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29"/>
  <workbookPr defaultThemeVersion="166925"/>
  <mc:AlternateContent xmlns:mc="http://schemas.openxmlformats.org/markup-compatibility/2006">
    <mc:Choice Requires="x15">
      <x15ac:absPath xmlns:x15ac="http://schemas.microsoft.com/office/spreadsheetml/2010/11/ac" url="D:\SaaS Project\trading-alerts-saas-public\davintrade-regression-stack\"/>
    </mc:Choice>
  </mc:AlternateContent>
  <xr:revisionPtr revIDLastSave="0" documentId="13_ncr:1_{CD7967C1-EAB1-4E26-956D-B58461F9E5BF}" xr6:coauthVersionLast="47" xr6:coauthVersionMax="47" xr10:uidLastSave="{00000000-0000-0000-0000-000000000000}"/>
  <bookViews>
    <workbookView xWindow="-96" yWindow="-96" windowWidth="23232" windowHeight="12552" firstSheet="4" activeTab="9" xr2:uid="{00000000-000D-0000-FFFF-FFFF00000000}"/>
  </bookViews>
  <sheets>
    <sheet name="Statistic2" sheetId="1" r:id="rId1"/>
    <sheet name="Data Export2" sheetId="2" r:id="rId2"/>
    <sheet name="Data Export2 Refine" sheetId="3" r:id="rId3"/>
    <sheet name="Statistical Testing Results" sheetId="4" r:id="rId4"/>
    <sheet name="MACD_H2_Int1" sheetId="5" r:id="rId5"/>
    <sheet name="MACD_H2_Int2" sheetId="6" r:id="rId6"/>
    <sheet name="MACD_H2_Int3" sheetId="7" r:id="rId7"/>
    <sheet name="MACD_H2_Comp" sheetId="8" r:id="rId8"/>
    <sheet name="H2_Signal_Guide" sheetId="9" r:id="rId9"/>
    <sheet name="RT_Architecture" sheetId="10" r:id="rId10"/>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44" i="7" l="1"/>
  <c r="G17" i="8" s="1"/>
  <c r="B44" i="7"/>
  <c r="F17" i="8" s="1"/>
  <c r="C37" i="7"/>
  <c r="G13" i="8" s="1"/>
  <c r="B37" i="7"/>
  <c r="F13" i="8" s="1"/>
  <c r="C36" i="7"/>
  <c r="G12" i="8" s="1"/>
  <c r="B36" i="7"/>
  <c r="F12" i="8" s="1"/>
  <c r="C26" i="7"/>
  <c r="C30" i="7" s="1"/>
  <c r="B26" i="7"/>
  <c r="B30" i="7" s="1"/>
  <c r="C21" i="7"/>
  <c r="B21" i="7"/>
  <c r="C16" i="7"/>
  <c r="B16" i="7"/>
  <c r="C44" i="6"/>
  <c r="E17" i="8" s="1"/>
  <c r="B44" i="6"/>
  <c r="D17" i="8" s="1"/>
  <c r="C38" i="6"/>
  <c r="C37" i="6"/>
  <c r="E13" i="8" s="1"/>
  <c r="B37" i="6"/>
  <c r="D13" i="8" s="1"/>
  <c r="C36" i="6"/>
  <c r="E12" i="8" s="1"/>
  <c r="B36" i="6"/>
  <c r="D12" i="8" s="1"/>
  <c r="C30" i="6"/>
  <c r="B30" i="6"/>
  <c r="C26" i="6"/>
  <c r="B26" i="6"/>
  <c r="C16" i="6"/>
  <c r="C21" i="6" s="1"/>
  <c r="B16" i="6"/>
  <c r="B21" i="6" s="1"/>
  <c r="C44" i="5"/>
  <c r="C17" i="8" s="1"/>
  <c r="B44" i="5"/>
  <c r="B17" i="8" s="1"/>
  <c r="C37" i="5"/>
  <c r="C13" i="8" s="1"/>
  <c r="B37" i="5"/>
  <c r="C36" i="5"/>
  <c r="C12" i="8" s="1"/>
  <c r="B36" i="5"/>
  <c r="B12" i="8" s="1"/>
  <c r="C26" i="5"/>
  <c r="C30" i="5" s="1"/>
  <c r="B26" i="5"/>
  <c r="B30" i="5" s="1"/>
  <c r="C21" i="5"/>
  <c r="C16" i="5"/>
  <c r="B16" i="5"/>
  <c r="B21" i="5" s="1"/>
  <c r="B16" i="4"/>
  <c r="B22" i="4" s="1"/>
  <c r="B12" i="4"/>
  <c r="B6" i="4"/>
  <c r="AL1137" i="3"/>
  <c r="AG1137" i="3"/>
  <c r="AH1137" i="3" s="1"/>
  <c r="AG1136" i="3"/>
  <c r="AG1135" i="3"/>
  <c r="AH1135" i="3" s="1"/>
  <c r="AL1134" i="3"/>
  <c r="AM1135" i="3" s="1"/>
  <c r="AG1134" i="3"/>
  <c r="AH1134" i="3" s="1"/>
  <c r="AL1133" i="3"/>
  <c r="AM1134" i="3" s="1"/>
  <c r="AG1133" i="3"/>
  <c r="AH1133" i="3" s="1"/>
  <c r="AH1132" i="3"/>
  <c r="AG1132" i="3"/>
  <c r="AH1131" i="3"/>
  <c r="AG1131" i="3"/>
  <c r="AG1130" i="3"/>
  <c r="AG1129" i="3"/>
  <c r="AG1128" i="3"/>
  <c r="AM1127" i="3"/>
  <c r="AH1127" i="3"/>
  <c r="AG1127" i="3"/>
  <c r="AL1126" i="3"/>
  <c r="AL1127" i="3" s="1"/>
  <c r="AG1126" i="3"/>
  <c r="AG1125" i="3"/>
  <c r="AM1124" i="3"/>
  <c r="AL1124" i="3"/>
  <c r="AH1124" i="3"/>
  <c r="AG1124" i="3"/>
  <c r="AM1123" i="3"/>
  <c r="AG1123" i="3"/>
  <c r="AM1122" i="3"/>
  <c r="AH1122" i="3"/>
  <c r="AG1122" i="3"/>
  <c r="AM1121" i="3"/>
  <c r="AL1121" i="3"/>
  <c r="AL1122" i="3" s="1"/>
  <c r="AL1123" i="3" s="1"/>
  <c r="AG1121" i="3"/>
  <c r="AH1121" i="3" s="1"/>
  <c r="AL1120" i="3"/>
  <c r="AG1120" i="3"/>
  <c r="AG1119" i="3"/>
  <c r="AH1119" i="3" s="1"/>
  <c r="AH1118" i="3"/>
  <c r="AG1118" i="3"/>
  <c r="AG1117" i="3"/>
  <c r="AH1117" i="3" s="1"/>
  <c r="AG1116" i="3"/>
  <c r="AL1115" i="3"/>
  <c r="AL1116" i="3" s="1"/>
  <c r="AG1115" i="3"/>
  <c r="AG1114" i="3"/>
  <c r="AG1113" i="3"/>
  <c r="AH1112" i="3"/>
  <c r="AG1112" i="3"/>
  <c r="AG1111" i="3"/>
  <c r="AH1110" i="3"/>
  <c r="AG1110" i="3"/>
  <c r="AG1109" i="3"/>
  <c r="AH1108" i="3"/>
  <c r="AG1108" i="3"/>
  <c r="AG1107" i="3"/>
  <c r="AH1106" i="3"/>
  <c r="AG1106" i="3"/>
  <c r="AM1105" i="3"/>
  <c r="AL1105" i="3"/>
  <c r="AM1106" i="3" s="1"/>
  <c r="AG1105" i="3"/>
  <c r="AL1104" i="3"/>
  <c r="AH1104" i="3"/>
  <c r="AG1104" i="3"/>
  <c r="AG1103" i="3"/>
  <c r="AH1103" i="3" s="1"/>
  <c r="AG1102" i="3"/>
  <c r="AG1101" i="3"/>
  <c r="AG1100" i="3"/>
  <c r="AH1099" i="3"/>
  <c r="AG1099" i="3"/>
  <c r="AG1098" i="3"/>
  <c r="AG1097" i="3"/>
  <c r="AH1096" i="3"/>
  <c r="AG1096" i="3"/>
  <c r="AG1095" i="3"/>
  <c r="AM1094" i="3"/>
  <c r="AG1094" i="3"/>
  <c r="AM1093" i="3"/>
  <c r="AL1093" i="3"/>
  <c r="AL1094" i="3" s="1"/>
  <c r="AM1095" i="3" s="1"/>
  <c r="AG1093" i="3"/>
  <c r="AH1093" i="3" s="1"/>
  <c r="AL1092" i="3"/>
  <c r="AH1092" i="3"/>
  <c r="AG1092" i="3"/>
  <c r="AH1091" i="3"/>
  <c r="AG1091" i="3"/>
  <c r="AH1090" i="3"/>
  <c r="AG1090" i="3"/>
  <c r="AG1089" i="3"/>
  <c r="AH1088" i="3"/>
  <c r="AG1088" i="3"/>
  <c r="AG1087" i="3"/>
  <c r="AH1087" i="3" s="1"/>
  <c r="AG1086" i="3"/>
  <c r="AG1085" i="3"/>
  <c r="AH1085" i="3" s="1"/>
  <c r="AH1084" i="3"/>
  <c r="AG1084" i="3"/>
  <c r="AH1083" i="3"/>
  <c r="AG1083" i="3"/>
  <c r="AH1082" i="3"/>
  <c r="AG1082" i="3"/>
  <c r="AG1081" i="3"/>
  <c r="AG1080" i="3"/>
  <c r="AG1079" i="3"/>
  <c r="AG1078" i="3"/>
  <c r="AG1077" i="3"/>
  <c r="AH1077" i="3" s="1"/>
  <c r="AG1076" i="3"/>
  <c r="AH1076" i="3" s="1"/>
  <c r="AH1075" i="3"/>
  <c r="AG1075" i="3"/>
  <c r="AH1074" i="3"/>
  <c r="AG1074" i="3"/>
  <c r="AG1073" i="3"/>
  <c r="AH1073" i="3" s="1"/>
  <c r="AH1072" i="3"/>
  <c r="AG1072" i="3"/>
  <c r="AG1071" i="3"/>
  <c r="AH1070" i="3"/>
  <c r="AG1070" i="3"/>
  <c r="AG1069" i="3"/>
  <c r="AH1069" i="3" s="1"/>
  <c r="AG1068" i="3"/>
  <c r="AH1067" i="3"/>
  <c r="AG1067" i="3"/>
  <c r="AM1066" i="3"/>
  <c r="AL1066" i="3"/>
  <c r="AH1066" i="3"/>
  <c r="AG1066" i="3"/>
  <c r="AL1065" i="3"/>
  <c r="AG1065" i="3"/>
  <c r="AL1064" i="3"/>
  <c r="AM1065" i="3" s="1"/>
  <c r="AH1064" i="3"/>
  <c r="AG1064" i="3"/>
  <c r="AG1063" i="3"/>
  <c r="AH1062" i="3"/>
  <c r="AG1062" i="3"/>
  <c r="AG1061" i="3"/>
  <c r="AH1060" i="3"/>
  <c r="AG1060" i="3"/>
  <c r="AH1059" i="3"/>
  <c r="AG1059" i="3"/>
  <c r="AG1058" i="3"/>
  <c r="AM1057" i="3"/>
  <c r="AG1057" i="3"/>
  <c r="AL1056" i="3"/>
  <c r="AL1057" i="3" s="1"/>
  <c r="AH1056" i="3"/>
  <c r="AG1056" i="3"/>
  <c r="AG1055" i="3"/>
  <c r="AH1054" i="3"/>
  <c r="AG1054" i="3"/>
  <c r="AG1053" i="3"/>
  <c r="AH1052" i="3"/>
  <c r="AG1052" i="3"/>
  <c r="AH1051" i="3"/>
  <c r="AG1051" i="3"/>
  <c r="AG1050" i="3"/>
  <c r="AH1049" i="3"/>
  <c r="AG1049" i="3"/>
  <c r="AH1048" i="3"/>
  <c r="AG1048" i="3"/>
  <c r="AH1047" i="3"/>
  <c r="AG1047" i="3"/>
  <c r="AG1046" i="3"/>
  <c r="AG1045" i="3"/>
  <c r="AH1044" i="3"/>
  <c r="AG1044" i="3"/>
  <c r="AL1043" i="3"/>
  <c r="AG1043" i="3"/>
  <c r="AG1042" i="3"/>
  <c r="AH1041" i="3"/>
  <c r="AG1041" i="3"/>
  <c r="AH1040" i="3"/>
  <c r="AG1040" i="3"/>
  <c r="AM1039" i="3"/>
  <c r="AL1039" i="3"/>
  <c r="AG1039" i="3"/>
  <c r="AH1039" i="3" s="1"/>
  <c r="AL1038" i="3"/>
  <c r="AG1038" i="3"/>
  <c r="AH1038" i="3" s="1"/>
  <c r="AL1037" i="3"/>
  <c r="AM1038" i="3" s="1"/>
  <c r="AH1037" i="3"/>
  <c r="AG1037" i="3"/>
  <c r="AH1036" i="3"/>
  <c r="AG1036" i="3"/>
  <c r="AH1035" i="3"/>
  <c r="AG1035" i="3"/>
  <c r="AG1034" i="3"/>
  <c r="AG1033" i="3"/>
  <c r="AH1032" i="3"/>
  <c r="AG1032" i="3"/>
  <c r="AH1031" i="3"/>
  <c r="AG1031" i="3"/>
  <c r="AH1030" i="3"/>
  <c r="AG1030" i="3"/>
  <c r="AG1029" i="3"/>
  <c r="AH1028" i="3"/>
  <c r="AG1028" i="3"/>
  <c r="AG1027" i="3"/>
  <c r="AG1026" i="3"/>
  <c r="AH1025" i="3"/>
  <c r="AG1025" i="3"/>
  <c r="AH1024" i="3"/>
  <c r="AG1024" i="3"/>
  <c r="AG1023" i="3"/>
  <c r="AG1022" i="3"/>
  <c r="AH1021" i="3"/>
  <c r="AG1021" i="3"/>
  <c r="AM1020" i="3"/>
  <c r="AL1020" i="3"/>
  <c r="AH1020" i="3"/>
  <c r="AG1020" i="3"/>
  <c r="AL1019" i="3"/>
  <c r="AG1019" i="3"/>
  <c r="AH1018" i="3"/>
  <c r="AG1018" i="3"/>
  <c r="AH1017" i="3"/>
  <c r="AG1017" i="3"/>
  <c r="AH1016" i="3"/>
  <c r="AG1016" i="3"/>
  <c r="AH1015" i="3"/>
  <c r="AG1015" i="3"/>
  <c r="AH1014" i="3"/>
  <c r="AG1014" i="3"/>
  <c r="AH1013" i="3"/>
  <c r="AG1013" i="3"/>
  <c r="AH1012" i="3"/>
  <c r="AG1012" i="3"/>
  <c r="AG1011" i="3"/>
  <c r="AH1011" i="3" s="1"/>
  <c r="AH1010" i="3"/>
  <c r="AG1010" i="3"/>
  <c r="AG1009" i="3"/>
  <c r="AH1008" i="3"/>
  <c r="AG1008" i="3"/>
  <c r="AH1007" i="3"/>
  <c r="AG1007" i="3"/>
  <c r="AH1006" i="3"/>
  <c r="AG1006" i="3"/>
  <c r="AG1005" i="3"/>
  <c r="AH1004" i="3"/>
  <c r="AG1004" i="3"/>
  <c r="AH1003" i="3"/>
  <c r="AG1003" i="3"/>
  <c r="AG1002" i="3"/>
  <c r="AH1001" i="3"/>
  <c r="AG1001" i="3"/>
  <c r="AH1000" i="3"/>
  <c r="AG1000" i="3"/>
  <c r="AH999" i="3"/>
  <c r="AG999" i="3"/>
  <c r="AG998" i="3"/>
  <c r="AH997" i="3"/>
  <c r="AG997" i="3"/>
  <c r="AM996" i="3"/>
  <c r="AL996" i="3"/>
  <c r="AM997" i="3" s="1"/>
  <c r="AH996" i="3"/>
  <c r="AG996" i="3"/>
  <c r="AL995" i="3"/>
  <c r="AG995" i="3"/>
  <c r="AH994" i="3"/>
  <c r="AG994" i="3"/>
  <c r="AH993" i="3"/>
  <c r="AG993" i="3"/>
  <c r="AG992" i="3"/>
  <c r="AH992" i="3" s="1"/>
  <c r="AG991" i="3"/>
  <c r="AH990" i="3"/>
  <c r="AG990" i="3"/>
  <c r="AH989" i="3"/>
  <c r="AG989" i="3"/>
  <c r="AG988" i="3"/>
  <c r="AH988" i="3" s="1"/>
  <c r="AH987" i="3"/>
  <c r="AG987" i="3"/>
  <c r="AG986" i="3"/>
  <c r="AH985" i="3"/>
  <c r="AG985" i="3"/>
  <c r="AG984" i="3"/>
  <c r="AH984" i="3" s="1"/>
  <c r="AG983" i="3"/>
  <c r="AH983" i="3" s="1"/>
  <c r="AG982" i="3"/>
  <c r="AH981" i="3"/>
  <c r="AG981" i="3"/>
  <c r="AG980" i="3"/>
  <c r="AH980" i="3" s="1"/>
  <c r="AH979" i="3"/>
  <c r="AG979" i="3"/>
  <c r="AH978" i="3"/>
  <c r="AG978" i="3"/>
  <c r="AH977" i="3"/>
  <c r="AG977" i="3"/>
  <c r="AH976" i="3"/>
  <c r="AG976" i="3"/>
  <c r="AG975" i="3"/>
  <c r="AH975" i="3" s="1"/>
  <c r="AH974" i="3"/>
  <c r="AG974" i="3"/>
  <c r="AH973" i="3"/>
  <c r="AG973" i="3"/>
  <c r="AG972" i="3"/>
  <c r="AG971" i="3"/>
  <c r="AH970" i="3"/>
  <c r="AG970" i="3"/>
  <c r="AH969" i="3"/>
  <c r="AG969" i="3"/>
  <c r="AL968" i="3"/>
  <c r="AG968" i="3"/>
  <c r="AG967" i="3"/>
  <c r="AG966" i="3"/>
  <c r="AG965" i="3"/>
  <c r="AH964" i="3"/>
  <c r="AG964" i="3"/>
  <c r="AM963" i="3"/>
  <c r="AG963" i="3"/>
  <c r="AM962" i="3"/>
  <c r="AG962" i="3"/>
  <c r="AH962" i="3" s="1"/>
  <c r="AL961" i="3"/>
  <c r="AL962" i="3" s="1"/>
  <c r="AL963" i="3" s="1"/>
  <c r="AH961" i="3"/>
  <c r="AG961" i="3"/>
  <c r="AG960" i="3"/>
  <c r="AH959" i="3"/>
  <c r="AG959" i="3"/>
  <c r="AG958" i="3"/>
  <c r="AH958" i="3" s="1"/>
  <c r="AG957" i="3"/>
  <c r="AG956" i="3"/>
  <c r="AH955" i="3"/>
  <c r="AG955" i="3"/>
  <c r="AH954" i="3"/>
  <c r="AG954" i="3"/>
  <c r="AM953" i="3"/>
  <c r="AG953" i="3"/>
  <c r="AL952" i="3"/>
  <c r="AL953" i="3" s="1"/>
  <c r="AH952" i="3"/>
  <c r="AG952" i="3"/>
  <c r="AG951" i="3"/>
  <c r="AH950" i="3"/>
  <c r="AG950" i="3"/>
  <c r="AH949" i="3"/>
  <c r="AG949" i="3"/>
  <c r="AH948" i="3"/>
  <c r="AG948" i="3"/>
  <c r="AG947" i="3"/>
  <c r="AG946" i="3"/>
  <c r="AH946" i="3" s="1"/>
  <c r="AH945" i="3"/>
  <c r="AG945" i="3"/>
  <c r="AL944" i="3"/>
  <c r="AM945" i="3" s="1"/>
  <c r="AG944" i="3"/>
  <c r="AG943" i="3"/>
  <c r="AH942" i="3"/>
  <c r="AG942" i="3"/>
  <c r="AH941" i="3"/>
  <c r="AG941" i="3"/>
  <c r="AG940" i="3"/>
  <c r="AL939" i="3"/>
  <c r="AG939" i="3"/>
  <c r="AH938" i="3"/>
  <c r="AG938" i="3"/>
  <c r="AH937" i="3"/>
  <c r="AG937" i="3"/>
  <c r="AG936" i="3"/>
  <c r="AG935" i="3"/>
  <c r="AH934" i="3"/>
  <c r="AG934" i="3"/>
  <c r="AH933" i="3"/>
  <c r="AG933" i="3"/>
  <c r="AG932" i="3"/>
  <c r="AL931" i="3"/>
  <c r="AG931" i="3"/>
  <c r="AH930" i="3"/>
  <c r="AG930" i="3"/>
  <c r="AH929" i="3"/>
  <c r="AG929" i="3"/>
  <c r="AG928" i="3"/>
  <c r="AG927" i="3"/>
  <c r="AH926" i="3"/>
  <c r="AG926" i="3"/>
  <c r="AH925" i="3"/>
  <c r="AG925" i="3"/>
  <c r="AG924" i="3"/>
  <c r="AG923" i="3"/>
  <c r="AH922" i="3"/>
  <c r="AG922" i="3"/>
  <c r="AG921" i="3"/>
  <c r="AG920" i="3"/>
  <c r="AG919" i="3"/>
  <c r="AH918" i="3"/>
  <c r="AG918" i="3"/>
  <c r="AH917" i="3"/>
  <c r="AG917" i="3"/>
  <c r="AG916" i="3"/>
  <c r="AG915" i="3"/>
  <c r="AH914" i="3"/>
  <c r="AG914" i="3"/>
  <c r="AG913" i="3"/>
  <c r="AG912" i="3"/>
  <c r="AG911" i="3"/>
  <c r="AM910" i="3"/>
  <c r="AL910" i="3"/>
  <c r="AH910" i="3"/>
  <c r="AG910" i="3"/>
  <c r="AL909" i="3"/>
  <c r="AG909" i="3"/>
  <c r="AG908" i="3"/>
  <c r="AG907" i="3"/>
  <c r="AH906" i="3"/>
  <c r="AG906" i="3"/>
  <c r="AG905" i="3"/>
  <c r="AG904" i="3"/>
  <c r="AG903" i="3"/>
  <c r="AH902" i="3"/>
  <c r="AG902" i="3"/>
  <c r="AG901" i="3"/>
  <c r="AG900" i="3"/>
  <c r="AG899" i="3"/>
  <c r="AH898" i="3"/>
  <c r="AG898" i="3"/>
  <c r="AH897" i="3"/>
  <c r="AG897" i="3"/>
  <c r="AH896" i="3"/>
  <c r="AG896" i="3"/>
  <c r="AG895" i="3"/>
  <c r="AH894" i="3"/>
  <c r="AG894" i="3"/>
  <c r="AH893" i="3"/>
  <c r="AG893" i="3"/>
  <c r="AH892" i="3"/>
  <c r="AG892" i="3"/>
  <c r="AG891" i="3"/>
  <c r="AG890" i="3"/>
  <c r="AG889" i="3"/>
  <c r="AG888" i="3"/>
  <c r="AG887" i="3"/>
  <c r="AH887" i="3" s="1"/>
  <c r="AH886" i="3"/>
  <c r="AG886" i="3"/>
  <c r="AH885" i="3"/>
  <c r="AG885" i="3"/>
  <c r="AH884" i="3"/>
  <c r="AG884" i="3"/>
  <c r="AL883" i="3"/>
  <c r="AG883" i="3"/>
  <c r="AH883" i="3" s="1"/>
  <c r="AG882" i="3"/>
  <c r="AG881" i="3"/>
  <c r="AG880" i="3"/>
  <c r="AG879" i="3"/>
  <c r="AG878" i="3"/>
  <c r="AH877" i="3"/>
  <c r="AG877" i="3"/>
  <c r="AG876" i="3"/>
  <c r="AG875" i="3"/>
  <c r="AM874" i="3"/>
  <c r="AL874" i="3"/>
  <c r="AG874" i="3"/>
  <c r="AM873" i="3"/>
  <c r="AL873" i="3"/>
  <c r="AH873" i="3"/>
  <c r="AG873" i="3"/>
  <c r="AL872" i="3"/>
  <c r="AG872" i="3"/>
  <c r="AH872" i="3" s="1"/>
  <c r="AG871" i="3"/>
  <c r="AG870" i="3"/>
  <c r="AH869" i="3"/>
  <c r="AG869" i="3"/>
  <c r="AH868" i="3"/>
  <c r="AG868" i="3"/>
  <c r="AG867" i="3"/>
  <c r="AG866" i="3"/>
  <c r="AH865" i="3"/>
  <c r="AG865" i="3"/>
  <c r="AH864" i="3"/>
  <c r="AG864" i="3"/>
  <c r="AG863" i="3"/>
  <c r="AG862" i="3"/>
  <c r="AH861" i="3"/>
  <c r="AG861" i="3"/>
  <c r="AH860" i="3"/>
  <c r="AG860" i="3"/>
  <c r="AG859" i="3"/>
  <c r="AG858" i="3"/>
  <c r="AH857" i="3"/>
  <c r="AG857" i="3"/>
  <c r="AG856" i="3"/>
  <c r="AG855" i="3"/>
  <c r="AG854" i="3"/>
  <c r="AH853" i="3"/>
  <c r="AG853" i="3"/>
  <c r="AG852" i="3"/>
  <c r="AG851" i="3"/>
  <c r="AG850" i="3"/>
  <c r="AH849" i="3"/>
  <c r="AG849" i="3"/>
  <c r="AG848" i="3"/>
  <c r="AH848" i="3" s="1"/>
  <c r="AG847" i="3"/>
  <c r="AL846" i="3"/>
  <c r="AG846" i="3"/>
  <c r="AG845" i="3"/>
  <c r="AG844" i="3"/>
  <c r="AG843" i="3"/>
  <c r="AG842" i="3"/>
  <c r="AG841" i="3"/>
  <c r="AH840" i="3"/>
  <c r="AG840" i="3"/>
  <c r="AG839" i="3"/>
  <c r="AH839" i="3" s="1"/>
  <c r="AL838" i="3"/>
  <c r="AL839" i="3" s="1"/>
  <c r="AL840" i="3" s="1"/>
  <c r="AM841" i="3" s="1"/>
  <c r="AG838" i="3"/>
  <c r="AG837" i="3"/>
  <c r="AH836" i="3"/>
  <c r="AG836" i="3"/>
  <c r="AG835" i="3"/>
  <c r="AH835" i="3" s="1"/>
  <c r="AG834" i="3"/>
  <c r="AG833" i="3"/>
  <c r="AG832" i="3"/>
  <c r="AG831" i="3"/>
  <c r="AG830" i="3"/>
  <c r="AL829" i="3"/>
  <c r="AM830" i="3" s="1"/>
  <c r="AH829" i="3"/>
  <c r="AG829" i="3"/>
  <c r="AG828" i="3"/>
  <c r="AG827" i="3"/>
  <c r="AH827" i="3" s="1"/>
  <c r="AG826" i="3"/>
  <c r="AG825" i="3"/>
  <c r="AG824" i="3"/>
  <c r="AG823" i="3"/>
  <c r="AH823" i="3" s="1"/>
  <c r="AG822" i="3"/>
  <c r="AG821" i="3"/>
  <c r="AM820" i="3"/>
  <c r="AL820" i="3"/>
  <c r="AH820" i="3"/>
  <c r="AG820" i="3"/>
  <c r="AM819" i="3"/>
  <c r="AG819" i="3"/>
  <c r="AH819" i="3" s="1"/>
  <c r="AL818" i="3"/>
  <c r="AL819" i="3" s="1"/>
  <c r="AG818" i="3"/>
  <c r="AH817" i="3"/>
  <c r="AG817" i="3"/>
  <c r="AG816" i="3"/>
  <c r="AG815" i="3"/>
  <c r="AG814" i="3"/>
  <c r="AM813" i="3"/>
  <c r="AL813" i="3"/>
  <c r="AM814" i="3" s="1"/>
  <c r="AH813" i="3"/>
  <c r="AG813" i="3"/>
  <c r="AL812" i="3"/>
  <c r="AG812" i="3"/>
  <c r="AG811" i="3"/>
  <c r="AH811" i="3" s="1"/>
  <c r="AG810" i="3"/>
  <c r="AG809" i="3"/>
  <c r="AH808" i="3"/>
  <c r="AG808" i="3"/>
  <c r="AH807" i="3"/>
  <c r="AG807" i="3"/>
  <c r="AG806" i="3"/>
  <c r="AG805" i="3"/>
  <c r="AH804" i="3"/>
  <c r="AG804" i="3"/>
  <c r="AH803" i="3"/>
  <c r="AG803" i="3"/>
  <c r="AG802" i="3"/>
  <c r="AG801" i="3"/>
  <c r="AH800" i="3"/>
  <c r="AG800" i="3"/>
  <c r="AH799" i="3"/>
  <c r="AG799" i="3"/>
  <c r="AG798" i="3"/>
  <c r="AG797" i="3"/>
  <c r="AH796" i="3"/>
  <c r="AG796" i="3"/>
  <c r="AH795" i="3"/>
  <c r="AG795" i="3"/>
  <c r="AG794" i="3"/>
  <c r="AM793" i="3"/>
  <c r="AL793" i="3"/>
  <c r="AG793" i="3"/>
  <c r="AM792" i="3"/>
  <c r="AL792" i="3"/>
  <c r="AH792" i="3"/>
  <c r="AG792" i="3"/>
  <c r="AL791" i="3"/>
  <c r="AG791" i="3"/>
  <c r="AG790" i="3"/>
  <c r="AG789" i="3"/>
  <c r="AH788" i="3"/>
  <c r="AG788" i="3"/>
  <c r="AH787" i="3"/>
  <c r="AG787" i="3"/>
  <c r="AG786" i="3"/>
  <c r="AG785" i="3"/>
  <c r="AH784" i="3"/>
  <c r="AG784" i="3"/>
  <c r="AH783" i="3"/>
  <c r="AG783" i="3"/>
  <c r="AG782" i="3"/>
  <c r="AM781" i="3"/>
  <c r="AL781" i="3"/>
  <c r="AG781" i="3"/>
  <c r="AM780" i="3"/>
  <c r="AL780" i="3"/>
  <c r="AH780" i="3"/>
  <c r="AG780" i="3"/>
  <c r="AL779" i="3"/>
  <c r="AH779" i="3"/>
  <c r="AG779" i="3"/>
  <c r="AG778" i="3"/>
  <c r="AG777" i="3"/>
  <c r="AH776" i="3"/>
  <c r="AG776" i="3"/>
  <c r="AH775" i="3"/>
  <c r="AG775" i="3"/>
  <c r="AG774" i="3"/>
  <c r="AL773" i="3"/>
  <c r="AG773" i="3"/>
  <c r="AH772" i="3"/>
  <c r="AG772" i="3"/>
  <c r="AH771" i="3"/>
  <c r="AG771" i="3"/>
  <c r="AG770" i="3"/>
  <c r="AM769" i="3"/>
  <c r="AL769" i="3"/>
  <c r="AG769" i="3"/>
  <c r="AM768" i="3"/>
  <c r="AL768" i="3"/>
  <c r="AH768" i="3"/>
  <c r="AG768" i="3"/>
  <c r="AL767" i="3"/>
  <c r="AH767" i="3"/>
  <c r="AG767" i="3"/>
  <c r="AG766" i="3"/>
  <c r="AG765" i="3"/>
  <c r="AH764" i="3"/>
  <c r="AG764" i="3"/>
  <c r="AH763" i="3"/>
  <c r="AG763" i="3"/>
  <c r="AG762" i="3"/>
  <c r="AL761" i="3"/>
  <c r="AG761" i="3"/>
  <c r="AH760" i="3"/>
  <c r="AG760" i="3"/>
  <c r="AM759" i="3"/>
  <c r="AG759" i="3"/>
  <c r="AL758" i="3"/>
  <c r="AL759" i="3" s="1"/>
  <c r="AL760" i="3" s="1"/>
  <c r="AM761" i="3" s="1"/>
  <c r="AG758" i="3"/>
  <c r="AG757" i="3"/>
  <c r="AH756" i="3"/>
  <c r="AG756" i="3"/>
  <c r="AH755" i="3"/>
  <c r="AG755" i="3"/>
  <c r="AG754" i="3"/>
  <c r="AG753" i="3"/>
  <c r="AH752" i="3"/>
  <c r="AG752" i="3"/>
  <c r="AG751" i="3"/>
  <c r="AG750" i="3"/>
  <c r="AG749" i="3"/>
  <c r="AH748" i="3"/>
  <c r="AG748" i="3"/>
  <c r="AH747" i="3"/>
  <c r="AG747" i="3"/>
  <c r="AG746" i="3"/>
  <c r="AG745" i="3"/>
  <c r="AH744" i="3"/>
  <c r="AG744" i="3"/>
  <c r="AG743" i="3"/>
  <c r="AG742" i="3"/>
  <c r="AG741" i="3"/>
  <c r="AM740" i="3"/>
  <c r="AL740" i="3"/>
  <c r="AH740" i="3"/>
  <c r="AG740" i="3"/>
  <c r="AL739" i="3"/>
  <c r="AG739" i="3"/>
  <c r="AG738" i="3"/>
  <c r="AG737" i="3"/>
  <c r="AH736" i="3"/>
  <c r="AG736" i="3"/>
  <c r="AG735" i="3"/>
  <c r="AG734" i="3"/>
  <c r="AG733" i="3"/>
  <c r="AM732" i="3"/>
  <c r="AL732" i="3"/>
  <c r="AM733" i="3" s="1"/>
  <c r="AH732" i="3"/>
  <c r="AG732" i="3"/>
  <c r="AM731" i="3"/>
  <c r="AG731" i="3"/>
  <c r="AL730" i="3"/>
  <c r="AL731" i="3" s="1"/>
  <c r="AG730" i="3"/>
  <c r="AG729" i="3"/>
  <c r="AH728" i="3"/>
  <c r="AG728" i="3"/>
  <c r="AG727" i="3"/>
  <c r="AG726" i="3"/>
  <c r="AG725" i="3"/>
  <c r="AH724" i="3"/>
  <c r="AG724" i="3"/>
  <c r="AG723" i="3"/>
  <c r="AG722" i="3"/>
  <c r="AG721" i="3"/>
  <c r="AH720" i="3"/>
  <c r="AG720" i="3"/>
  <c r="AH719" i="3"/>
  <c r="AG719" i="3"/>
  <c r="AG718" i="3"/>
  <c r="AG717" i="3"/>
  <c r="AG716" i="3"/>
  <c r="AH715" i="3"/>
  <c r="AG715" i="3"/>
  <c r="AG714" i="3"/>
  <c r="AG713" i="3"/>
  <c r="AG712" i="3"/>
  <c r="AH711" i="3"/>
  <c r="AG711" i="3"/>
  <c r="AG710" i="3"/>
  <c r="AG709" i="3"/>
  <c r="AG708" i="3"/>
  <c r="AH707" i="3"/>
  <c r="AG707" i="3"/>
  <c r="AG706" i="3"/>
  <c r="AG705" i="3"/>
  <c r="AH705" i="3" s="1"/>
  <c r="AH704" i="3"/>
  <c r="AG704" i="3"/>
  <c r="AG703" i="3"/>
  <c r="AG702" i="3"/>
  <c r="AG701" i="3"/>
  <c r="AH701" i="3" s="1"/>
  <c r="AH700" i="3"/>
  <c r="AG700" i="3"/>
  <c r="AG699" i="3"/>
  <c r="AG698" i="3"/>
  <c r="AG697" i="3"/>
  <c r="AH697" i="3" s="1"/>
  <c r="AM696" i="3"/>
  <c r="AL696" i="3"/>
  <c r="AG696" i="3"/>
  <c r="AL695" i="3"/>
  <c r="AH695" i="3"/>
  <c r="AG695" i="3"/>
  <c r="AG694" i="3"/>
  <c r="AM693" i="3"/>
  <c r="AL693" i="3"/>
  <c r="AG693" i="3"/>
  <c r="AH693" i="3" s="1"/>
  <c r="AL692" i="3"/>
  <c r="AG692" i="3"/>
  <c r="AG691" i="3"/>
  <c r="AH690" i="3"/>
  <c r="AG690" i="3"/>
  <c r="AG689" i="3"/>
  <c r="AH689" i="3" s="1"/>
  <c r="AH688" i="3"/>
  <c r="AG688" i="3"/>
  <c r="AH687" i="3"/>
  <c r="AG687" i="3"/>
  <c r="AG686" i="3"/>
  <c r="AG685" i="3"/>
  <c r="AH685" i="3" s="1"/>
  <c r="AG684" i="3"/>
  <c r="AG683" i="3"/>
  <c r="AH682" i="3"/>
  <c r="AG682" i="3"/>
  <c r="AL681" i="3"/>
  <c r="AM682" i="3" s="1"/>
  <c r="AG681" i="3"/>
  <c r="AG680" i="3"/>
  <c r="AG679" i="3"/>
  <c r="AH678" i="3"/>
  <c r="AG678" i="3"/>
  <c r="AH677" i="3"/>
  <c r="AG677" i="3"/>
  <c r="AG676" i="3"/>
  <c r="AG675" i="3"/>
  <c r="AH674" i="3"/>
  <c r="AG674" i="3"/>
  <c r="AG673" i="3"/>
  <c r="AG672" i="3"/>
  <c r="AG671" i="3"/>
  <c r="AH670" i="3"/>
  <c r="AG670" i="3"/>
  <c r="AL669" i="3"/>
  <c r="AL670" i="3" s="1"/>
  <c r="AL671" i="3" s="1"/>
  <c r="AG669" i="3"/>
  <c r="AL668" i="3"/>
  <c r="AM669" i="3" s="1"/>
  <c r="AG668" i="3"/>
  <c r="AL667" i="3"/>
  <c r="AM668" i="3" s="1"/>
  <c r="AG667" i="3"/>
  <c r="AH666" i="3"/>
  <c r="AG666" i="3"/>
  <c r="AG665" i="3"/>
  <c r="AG664" i="3"/>
  <c r="AM663" i="3"/>
  <c r="AG663" i="3"/>
  <c r="AL662" i="3"/>
  <c r="AL663" i="3" s="1"/>
  <c r="AH662" i="3"/>
  <c r="AG662" i="3"/>
  <c r="AG661" i="3"/>
  <c r="AG660" i="3"/>
  <c r="AG659" i="3"/>
  <c r="AH658" i="3"/>
  <c r="AG658" i="3"/>
  <c r="AG657" i="3"/>
  <c r="AG656" i="3"/>
  <c r="AG655" i="3"/>
  <c r="AH654" i="3"/>
  <c r="AG654" i="3"/>
  <c r="AL653" i="3"/>
  <c r="AH653" i="3"/>
  <c r="AG653" i="3"/>
  <c r="AG652" i="3"/>
  <c r="AG651" i="3"/>
  <c r="AH650" i="3"/>
  <c r="AG650" i="3"/>
  <c r="AH649" i="3"/>
  <c r="AG649" i="3"/>
  <c r="AG648" i="3"/>
  <c r="AG647" i="3"/>
  <c r="AH646" i="3"/>
  <c r="AG646" i="3"/>
  <c r="AG645" i="3"/>
  <c r="AG644" i="3"/>
  <c r="AG643" i="3"/>
  <c r="AH642" i="3"/>
  <c r="AG642" i="3"/>
  <c r="AG641" i="3"/>
  <c r="AG640" i="3"/>
  <c r="AG639" i="3"/>
  <c r="AH638" i="3"/>
  <c r="AG638" i="3"/>
  <c r="AG637" i="3"/>
  <c r="AG636" i="3"/>
  <c r="AH636" i="3" s="1"/>
  <c r="AM635" i="3"/>
  <c r="AG635" i="3"/>
  <c r="AH634" i="3"/>
  <c r="AG634" i="3"/>
  <c r="AL633" i="3"/>
  <c r="AL634" i="3" s="1"/>
  <c r="AL635" i="3" s="1"/>
  <c r="AG633" i="3"/>
  <c r="AG632" i="3"/>
  <c r="AH632" i="3" s="1"/>
  <c r="AG631" i="3"/>
  <c r="AH630" i="3"/>
  <c r="AG630" i="3"/>
  <c r="AH629" i="3"/>
  <c r="AG629" i="3"/>
  <c r="AL628" i="3"/>
  <c r="AM629" i="3" s="1"/>
  <c r="AG628" i="3"/>
  <c r="AH628" i="3" s="1"/>
  <c r="AL627" i="3"/>
  <c r="AM628" i="3" s="1"/>
  <c r="AG627" i="3"/>
  <c r="AH626" i="3"/>
  <c r="AG626" i="3"/>
  <c r="AG625" i="3"/>
  <c r="AG624" i="3"/>
  <c r="AH624" i="3" s="1"/>
  <c r="AG623" i="3"/>
  <c r="AH622" i="3"/>
  <c r="AG622" i="3"/>
  <c r="AG621" i="3"/>
  <c r="AG620" i="3"/>
  <c r="AH620" i="3" s="1"/>
  <c r="AM619" i="3"/>
  <c r="AL619" i="3"/>
  <c r="AM620" i="3" s="1"/>
  <c r="AG619" i="3"/>
  <c r="AL618" i="3"/>
  <c r="AH618" i="3"/>
  <c r="AG618" i="3"/>
  <c r="AG617" i="3"/>
  <c r="AH617" i="3" s="1"/>
  <c r="AH616" i="3"/>
  <c r="AG616" i="3"/>
  <c r="AM615" i="3"/>
  <c r="AL615" i="3"/>
  <c r="AG615" i="3"/>
  <c r="AL614" i="3"/>
  <c r="AH614" i="3"/>
  <c r="AG614" i="3"/>
  <c r="AG613" i="3"/>
  <c r="AH612" i="3"/>
  <c r="AG612" i="3"/>
  <c r="AG611" i="3"/>
  <c r="AH610" i="3"/>
  <c r="AG610" i="3"/>
  <c r="AG609" i="3"/>
  <c r="AG608" i="3"/>
  <c r="AG607" i="3"/>
  <c r="AH606" i="3"/>
  <c r="AG606" i="3"/>
  <c r="AL605" i="3"/>
  <c r="AH605" i="3"/>
  <c r="AG605" i="3"/>
  <c r="AG604" i="3"/>
  <c r="AG603" i="3"/>
  <c r="AH602" i="3"/>
  <c r="AG602" i="3"/>
  <c r="AG601" i="3"/>
  <c r="AG600" i="3"/>
  <c r="AG599" i="3"/>
  <c r="AH598" i="3"/>
  <c r="AG598" i="3"/>
  <c r="AG597" i="3"/>
  <c r="AH596" i="3"/>
  <c r="AG596" i="3"/>
  <c r="AG595" i="3"/>
  <c r="AH594" i="3"/>
  <c r="AG594" i="3"/>
  <c r="AH593" i="3"/>
  <c r="AG593" i="3"/>
  <c r="AH592" i="3"/>
  <c r="AG592" i="3"/>
  <c r="AG591" i="3"/>
  <c r="AH590" i="3"/>
  <c r="AG590" i="3"/>
  <c r="AH589" i="3"/>
  <c r="AG589" i="3"/>
  <c r="AM588" i="3"/>
  <c r="AL588" i="3"/>
  <c r="AG588" i="3"/>
  <c r="AL587" i="3"/>
  <c r="AG587" i="3"/>
  <c r="AG586" i="3"/>
  <c r="AH585" i="3"/>
  <c r="AG585" i="3"/>
  <c r="AH584" i="3"/>
  <c r="AG584" i="3"/>
  <c r="AG583" i="3"/>
  <c r="AH583" i="3" s="1"/>
  <c r="AG582" i="3"/>
  <c r="AH581" i="3"/>
  <c r="AG581" i="3"/>
  <c r="AH580" i="3"/>
  <c r="AG580" i="3"/>
  <c r="AG579" i="3"/>
  <c r="AH579" i="3" s="1"/>
  <c r="AH578" i="3"/>
  <c r="AG578" i="3"/>
  <c r="AG577" i="3"/>
  <c r="AG576" i="3"/>
  <c r="AG575" i="3"/>
  <c r="AH575" i="3" s="1"/>
  <c r="AH574" i="3"/>
  <c r="AG574" i="3"/>
  <c r="AH573" i="3"/>
  <c r="AG573" i="3"/>
  <c r="AG572" i="3"/>
  <c r="AG571" i="3"/>
  <c r="AG570" i="3"/>
  <c r="AH569" i="3"/>
  <c r="AG569" i="3"/>
  <c r="AH568" i="3"/>
  <c r="AG568" i="3"/>
  <c r="AG567" i="3"/>
  <c r="AM566" i="3"/>
  <c r="AG566" i="3"/>
  <c r="AL565" i="3"/>
  <c r="AL566" i="3" s="1"/>
  <c r="AH565" i="3"/>
  <c r="AG565" i="3"/>
  <c r="AH564" i="3"/>
  <c r="AG564" i="3"/>
  <c r="AG563" i="3"/>
  <c r="AH563" i="3" s="1"/>
  <c r="AL562" i="3"/>
  <c r="AM563" i="3" s="1"/>
  <c r="AH562" i="3"/>
  <c r="AG562" i="3"/>
  <c r="AG561" i="3"/>
  <c r="AG560" i="3"/>
  <c r="AL559" i="3"/>
  <c r="AG559" i="3"/>
  <c r="AH559" i="3" s="1"/>
  <c r="AM558" i="3"/>
  <c r="AL558" i="3"/>
  <c r="AM559" i="3" s="1"/>
  <c r="AG558" i="3"/>
  <c r="AL557" i="3"/>
  <c r="AH557" i="3"/>
  <c r="AG557" i="3"/>
  <c r="AG556" i="3"/>
  <c r="AG555" i="3"/>
  <c r="AG554" i="3"/>
  <c r="AH553" i="3"/>
  <c r="AG553" i="3"/>
  <c r="AH552" i="3"/>
  <c r="AG552" i="3"/>
  <c r="AG551" i="3"/>
  <c r="AG550" i="3"/>
  <c r="AM549" i="3"/>
  <c r="AL549" i="3"/>
  <c r="AH549" i="3"/>
  <c r="AG549" i="3"/>
  <c r="AL548" i="3"/>
  <c r="AH548" i="3"/>
  <c r="AG548" i="3"/>
  <c r="AG547" i="3"/>
  <c r="AH547" i="3" s="1"/>
  <c r="AM546" i="3"/>
  <c r="AL546" i="3"/>
  <c r="AM547" i="3" s="1"/>
  <c r="AH546" i="3"/>
  <c r="AG546" i="3"/>
  <c r="AL545" i="3"/>
  <c r="AG545" i="3"/>
  <c r="AG544" i="3"/>
  <c r="AG543" i="3"/>
  <c r="AH543" i="3" s="1"/>
  <c r="AG542" i="3"/>
  <c r="AH541" i="3"/>
  <c r="AG541" i="3"/>
  <c r="AG540" i="3"/>
  <c r="AG539" i="3"/>
  <c r="AG538" i="3"/>
  <c r="AM537" i="3"/>
  <c r="AG537" i="3"/>
  <c r="AL536" i="3"/>
  <c r="AL537" i="3" s="1"/>
  <c r="AH536" i="3"/>
  <c r="AG536" i="3"/>
  <c r="AG535" i="3"/>
  <c r="AG534" i="3"/>
  <c r="AG533" i="3"/>
  <c r="AH532" i="3"/>
  <c r="AG532" i="3"/>
  <c r="AL531" i="3"/>
  <c r="AL532" i="3" s="1"/>
  <c r="AL533" i="3" s="1"/>
  <c r="AH531" i="3"/>
  <c r="AG531" i="3"/>
  <c r="AG530" i="3"/>
  <c r="AG529" i="3"/>
  <c r="AH528" i="3"/>
  <c r="AG528" i="3"/>
  <c r="AG527" i="3"/>
  <c r="AH526" i="3"/>
  <c r="AG526" i="3"/>
  <c r="AM525" i="3"/>
  <c r="AG525" i="3"/>
  <c r="AM524" i="3"/>
  <c r="AH524" i="3"/>
  <c r="AG524" i="3"/>
  <c r="AL523" i="3"/>
  <c r="AL524" i="3" s="1"/>
  <c r="AL525" i="3" s="1"/>
  <c r="AG523" i="3"/>
  <c r="AL522" i="3"/>
  <c r="AM523" i="3" s="1"/>
  <c r="AH522" i="3"/>
  <c r="AG522" i="3"/>
  <c r="AM521" i="3"/>
  <c r="AG521" i="3"/>
  <c r="AL520" i="3"/>
  <c r="AL521" i="3" s="1"/>
  <c r="AM522" i="3" s="1"/>
  <c r="AH520" i="3"/>
  <c r="AG520" i="3"/>
  <c r="AG519" i="3"/>
  <c r="AG518" i="3"/>
  <c r="AM517" i="3"/>
  <c r="AG517" i="3"/>
  <c r="AH516" i="3"/>
  <c r="AG516" i="3"/>
  <c r="AL515" i="3"/>
  <c r="AL516" i="3" s="1"/>
  <c r="AL517" i="3" s="1"/>
  <c r="AG515" i="3"/>
  <c r="AL514" i="3"/>
  <c r="AM515" i="3" s="1"/>
  <c r="AG514" i="3"/>
  <c r="AL513" i="3"/>
  <c r="AM514" i="3" s="1"/>
  <c r="AG513" i="3"/>
  <c r="AH512" i="3"/>
  <c r="AG512" i="3"/>
  <c r="AG511" i="3"/>
  <c r="AG510" i="3"/>
  <c r="AG509" i="3"/>
  <c r="AH508" i="3"/>
  <c r="AG508" i="3"/>
  <c r="AH507" i="3"/>
  <c r="AG507" i="3"/>
  <c r="AG506" i="3"/>
  <c r="AG505" i="3"/>
  <c r="AH504" i="3"/>
  <c r="AG504" i="3"/>
  <c r="AG503" i="3"/>
  <c r="AH502" i="3"/>
  <c r="AG502" i="3"/>
  <c r="AG501" i="3"/>
  <c r="AL500" i="3"/>
  <c r="AM501" i="3" s="1"/>
  <c r="AH500" i="3"/>
  <c r="AG500" i="3"/>
  <c r="AG499" i="3"/>
  <c r="AG498" i="3"/>
  <c r="AG497" i="3"/>
  <c r="AH496" i="3"/>
  <c r="AG496" i="3"/>
  <c r="AH495" i="3"/>
  <c r="AG495" i="3"/>
  <c r="AH494" i="3"/>
  <c r="AG494" i="3"/>
  <c r="AG493" i="3"/>
  <c r="AH492" i="3"/>
  <c r="AG492" i="3"/>
  <c r="AG491" i="3"/>
  <c r="AG490" i="3"/>
  <c r="AG489" i="3"/>
  <c r="AL488" i="3"/>
  <c r="AH488" i="3"/>
  <c r="AG488" i="3"/>
  <c r="AH487" i="3"/>
  <c r="AG487" i="3"/>
  <c r="AG486" i="3"/>
  <c r="AG485" i="3"/>
  <c r="AH484" i="3"/>
  <c r="AG484" i="3"/>
  <c r="AG483" i="3"/>
  <c r="AH482" i="3"/>
  <c r="AG482" i="3"/>
  <c r="AG481" i="3"/>
  <c r="AH480" i="3"/>
  <c r="AG480" i="3"/>
  <c r="AH479" i="3"/>
  <c r="AG479" i="3"/>
  <c r="AG478" i="3"/>
  <c r="AG477" i="3"/>
  <c r="AH476" i="3"/>
  <c r="AG476" i="3"/>
  <c r="AG475" i="3"/>
  <c r="AH474" i="3"/>
  <c r="AG474" i="3"/>
  <c r="AG473" i="3"/>
  <c r="AH472" i="3"/>
  <c r="AG472" i="3"/>
  <c r="AH471" i="3"/>
  <c r="AG471" i="3"/>
  <c r="AG470" i="3"/>
  <c r="AG469" i="3"/>
  <c r="AH469" i="3" s="1"/>
  <c r="AH468" i="3"/>
  <c r="AG468" i="3"/>
  <c r="AH467" i="3"/>
  <c r="AG467" i="3"/>
  <c r="AL466" i="3"/>
  <c r="AM467" i="3" s="1"/>
  <c r="AG466" i="3"/>
  <c r="AG465" i="3"/>
  <c r="AH465" i="3" s="1"/>
  <c r="AH464" i="3"/>
  <c r="AG464" i="3"/>
  <c r="AG463" i="3"/>
  <c r="AM462" i="3"/>
  <c r="AG462" i="3"/>
  <c r="AL461" i="3"/>
  <c r="AL462" i="3" s="1"/>
  <c r="AG461" i="3"/>
  <c r="AH461" i="3" s="1"/>
  <c r="AG460" i="3"/>
  <c r="AH459" i="3"/>
  <c r="AG459" i="3"/>
  <c r="AL458" i="3"/>
  <c r="AH458" i="3"/>
  <c r="AG458" i="3"/>
  <c r="AM457" i="3"/>
  <c r="AG457" i="3"/>
  <c r="AL456" i="3"/>
  <c r="AL457" i="3" s="1"/>
  <c r="AM458" i="3" s="1"/>
  <c r="AG456" i="3"/>
  <c r="AH456" i="3" s="1"/>
  <c r="AG455" i="3"/>
  <c r="AH454" i="3"/>
  <c r="AG454" i="3"/>
  <c r="AG453" i="3"/>
  <c r="AH453" i="3" s="1"/>
  <c r="AH452" i="3"/>
  <c r="AG452" i="3"/>
  <c r="AH451" i="3"/>
  <c r="AG451" i="3"/>
  <c r="AG450" i="3"/>
  <c r="AG449" i="3"/>
  <c r="AH449" i="3" s="1"/>
  <c r="AH448" i="3"/>
  <c r="AG448" i="3"/>
  <c r="AM447" i="3"/>
  <c r="AL447" i="3"/>
  <c r="AM448" i="3" s="1"/>
  <c r="AG447" i="3"/>
  <c r="AL446" i="3"/>
  <c r="AG446" i="3"/>
  <c r="AH446" i="3" s="1"/>
  <c r="AG445" i="3"/>
  <c r="AH444" i="3"/>
  <c r="AG444" i="3"/>
  <c r="AG443" i="3"/>
  <c r="AG442" i="3"/>
  <c r="AH442" i="3" s="1"/>
  <c r="AG441" i="3"/>
  <c r="AH440" i="3"/>
  <c r="AG440" i="3"/>
  <c r="AG439" i="3"/>
  <c r="AG438" i="3"/>
  <c r="AH438" i="3" s="1"/>
  <c r="AG437" i="3"/>
  <c r="AH436" i="3"/>
  <c r="AG436" i="3"/>
  <c r="AL435" i="3"/>
  <c r="AM436" i="3" s="1"/>
  <c r="AG435" i="3"/>
  <c r="AG434" i="3"/>
  <c r="AH434" i="3" s="1"/>
  <c r="AG433" i="3"/>
  <c r="AH432" i="3"/>
  <c r="AG432" i="3"/>
  <c r="AG431" i="3"/>
  <c r="AG430" i="3"/>
  <c r="AH430" i="3" s="1"/>
  <c r="AG429" i="3"/>
  <c r="AH428" i="3"/>
  <c r="AG428" i="3"/>
  <c r="AG427" i="3"/>
  <c r="AG426" i="3"/>
  <c r="AH426" i="3" s="1"/>
  <c r="AG425" i="3"/>
  <c r="AH424" i="3"/>
  <c r="AG424" i="3"/>
  <c r="AG423" i="3"/>
  <c r="AG422" i="3"/>
  <c r="AH422" i="3" s="1"/>
  <c r="AG421" i="3"/>
  <c r="AH420" i="3"/>
  <c r="AG420" i="3"/>
  <c r="AM419" i="3"/>
  <c r="AL419" i="3"/>
  <c r="AG419" i="3"/>
  <c r="AL418" i="3"/>
  <c r="AG418" i="3"/>
  <c r="AH418" i="3" s="1"/>
  <c r="AG417" i="3"/>
  <c r="AH416" i="3"/>
  <c r="AG416" i="3"/>
  <c r="AG415" i="3"/>
  <c r="AG414" i="3"/>
  <c r="AH414" i="3" s="1"/>
  <c r="AG413" i="3"/>
  <c r="AH412" i="3"/>
  <c r="AG412" i="3"/>
  <c r="AH411" i="3"/>
  <c r="AG411" i="3"/>
  <c r="AG410" i="3"/>
  <c r="AH410" i="3" s="1"/>
  <c r="AG409" i="3"/>
  <c r="AL408" i="3"/>
  <c r="AM409" i="3" s="1"/>
  <c r="AH408" i="3"/>
  <c r="AG408" i="3"/>
  <c r="AH407" i="3"/>
  <c r="AG407" i="3"/>
  <c r="AG406" i="3"/>
  <c r="AH406" i="3" s="1"/>
  <c r="AG405" i="3"/>
  <c r="AL404" i="3"/>
  <c r="AH404" i="3"/>
  <c r="AG404" i="3"/>
  <c r="AM403" i="3"/>
  <c r="AL403" i="3"/>
  <c r="AM404" i="3" s="1"/>
  <c r="AG403" i="3"/>
  <c r="AL402" i="3"/>
  <c r="AG402" i="3"/>
  <c r="AH402" i="3" s="1"/>
  <c r="AH401" i="3"/>
  <c r="AG401" i="3"/>
  <c r="AH400" i="3"/>
  <c r="AG400" i="3"/>
  <c r="AH399" i="3"/>
  <c r="AG399" i="3"/>
  <c r="AG398" i="3"/>
  <c r="AH398" i="3" s="1"/>
  <c r="AH397" i="3"/>
  <c r="AG397" i="3"/>
  <c r="AH396" i="3"/>
  <c r="AG396" i="3"/>
  <c r="AG395" i="3"/>
  <c r="AG394" i="3"/>
  <c r="AH394" i="3" s="1"/>
  <c r="AL393" i="3"/>
  <c r="AG393" i="3"/>
  <c r="AH392" i="3"/>
  <c r="AG392" i="3"/>
  <c r="AG391" i="3"/>
  <c r="AG390" i="3"/>
  <c r="AH390" i="3" s="1"/>
  <c r="AH389" i="3"/>
  <c r="AG389" i="3"/>
  <c r="AH388" i="3"/>
  <c r="AG388" i="3"/>
  <c r="AG387" i="3"/>
  <c r="AG386" i="3"/>
  <c r="AH386" i="3" s="1"/>
  <c r="AH385" i="3"/>
  <c r="AG385" i="3"/>
  <c r="AG384" i="3"/>
  <c r="AG383" i="3"/>
  <c r="AG382" i="3"/>
  <c r="AH382" i="3" s="1"/>
  <c r="AH381" i="3"/>
  <c r="AG381" i="3"/>
  <c r="AG380" i="3"/>
  <c r="AG379" i="3"/>
  <c r="AG378" i="3"/>
  <c r="AH378" i="3" s="1"/>
  <c r="AL377" i="3"/>
  <c r="AH377" i="3"/>
  <c r="AG377" i="3"/>
  <c r="AG376" i="3"/>
  <c r="AG375" i="3"/>
  <c r="AG374" i="3"/>
  <c r="AH374" i="3" s="1"/>
  <c r="AH373" i="3"/>
  <c r="AG373" i="3"/>
  <c r="AG372" i="3"/>
  <c r="AG371" i="3"/>
  <c r="AG370" i="3"/>
  <c r="AH370" i="3" s="1"/>
  <c r="AM369" i="3"/>
  <c r="AL369" i="3"/>
  <c r="AH369" i="3"/>
  <c r="AG369" i="3"/>
  <c r="AM368" i="3"/>
  <c r="AL368" i="3"/>
  <c r="AG368" i="3"/>
  <c r="AM367" i="3"/>
  <c r="AL367" i="3"/>
  <c r="AG367" i="3"/>
  <c r="AL366" i="3"/>
  <c r="AG366" i="3"/>
  <c r="AH366" i="3" s="1"/>
  <c r="AG365" i="3"/>
  <c r="AL364" i="3"/>
  <c r="AM365" i="3" s="1"/>
  <c r="AG364" i="3"/>
  <c r="AH363" i="3"/>
  <c r="AG363" i="3"/>
  <c r="AG362" i="3"/>
  <c r="AH362" i="3" s="1"/>
  <c r="AG361" i="3"/>
  <c r="AG360" i="3"/>
  <c r="AH359" i="3"/>
  <c r="AG359" i="3"/>
  <c r="AG358" i="3"/>
  <c r="AH358" i="3" s="1"/>
  <c r="AG357" i="3"/>
  <c r="AM356" i="3"/>
  <c r="AL356" i="3"/>
  <c r="AM357" i="3" s="1"/>
  <c r="AG356" i="3"/>
  <c r="AM355" i="3"/>
  <c r="AL355" i="3"/>
  <c r="AH355" i="3"/>
  <c r="AG355" i="3"/>
  <c r="AL354" i="3"/>
  <c r="AG354" i="3"/>
  <c r="AH354" i="3" s="1"/>
  <c r="AM353" i="3"/>
  <c r="AL353" i="3"/>
  <c r="AM354" i="3" s="1"/>
  <c r="AG353" i="3"/>
  <c r="AL352" i="3"/>
  <c r="AH352" i="3"/>
  <c r="AG352" i="3"/>
  <c r="AG351" i="3"/>
  <c r="AG350" i="3"/>
  <c r="AH350" i="3" s="1"/>
  <c r="AG349" i="3"/>
  <c r="AH348" i="3"/>
  <c r="AG348" i="3"/>
  <c r="AH347" i="3"/>
  <c r="AG347" i="3"/>
  <c r="AG346" i="3"/>
  <c r="AH346" i="3" s="1"/>
  <c r="AG345" i="3"/>
  <c r="AH344" i="3"/>
  <c r="AG344" i="3"/>
  <c r="AG343" i="3"/>
  <c r="AG342" i="3"/>
  <c r="AH342" i="3" s="1"/>
  <c r="AG341" i="3"/>
  <c r="AH340" i="3"/>
  <c r="AG340" i="3"/>
  <c r="AM339" i="3"/>
  <c r="AL339" i="3"/>
  <c r="AH339" i="3"/>
  <c r="AG339" i="3"/>
  <c r="AL338" i="3"/>
  <c r="AG338" i="3"/>
  <c r="AH337" i="3"/>
  <c r="AG337" i="3"/>
  <c r="AH336" i="3"/>
  <c r="AG336" i="3"/>
  <c r="AG335" i="3"/>
  <c r="AG334" i="3"/>
  <c r="AH334" i="3" s="1"/>
  <c r="AM333" i="3"/>
  <c r="AL333" i="3"/>
  <c r="AG333" i="3"/>
  <c r="AH333" i="3" s="1"/>
  <c r="AL332" i="3"/>
  <c r="AH332" i="3"/>
  <c r="AG332" i="3"/>
  <c r="AL331" i="3"/>
  <c r="AM332" i="3" s="1"/>
  <c r="AG331" i="3"/>
  <c r="AL330" i="3"/>
  <c r="AM331" i="3" s="1"/>
  <c r="AH330" i="3"/>
  <c r="AG330" i="3"/>
  <c r="AM329" i="3"/>
  <c r="AL329" i="3"/>
  <c r="AM330" i="3" s="1"/>
  <c r="AG329" i="3"/>
  <c r="AH329" i="3" s="1"/>
  <c r="AL328" i="3"/>
  <c r="AH328" i="3"/>
  <c r="AG328" i="3"/>
  <c r="AL327" i="3"/>
  <c r="AM328" i="3" s="1"/>
  <c r="AG327" i="3"/>
  <c r="AL326" i="3"/>
  <c r="AM327" i="3" s="1"/>
  <c r="AH326" i="3"/>
  <c r="AG326" i="3"/>
  <c r="AG325" i="3"/>
  <c r="AH325" i="3" s="1"/>
  <c r="AH324" i="3"/>
  <c r="AG324" i="3"/>
  <c r="AG323" i="3"/>
  <c r="AH322" i="3"/>
  <c r="AG322" i="3"/>
  <c r="AG321" i="3"/>
  <c r="AH321" i="3" s="1"/>
  <c r="AH320" i="3"/>
  <c r="AG320" i="3"/>
  <c r="AG319" i="3"/>
  <c r="AH318" i="3"/>
  <c r="AG318" i="3"/>
  <c r="AG317" i="3"/>
  <c r="AH317" i="3" s="1"/>
  <c r="AG316" i="3"/>
  <c r="AG315" i="3"/>
  <c r="AH314" i="3"/>
  <c r="AG314" i="3"/>
  <c r="AG313" i="3"/>
  <c r="AH313" i="3" s="1"/>
  <c r="AH312" i="3"/>
  <c r="AG312" i="3"/>
  <c r="AG311" i="3"/>
  <c r="AH310" i="3"/>
  <c r="AG310" i="3"/>
  <c r="AG309" i="3"/>
  <c r="AH309" i="3" s="1"/>
  <c r="AG308" i="3"/>
  <c r="AG307" i="3"/>
  <c r="AH306" i="3"/>
  <c r="AG306" i="3"/>
  <c r="AG305" i="3"/>
  <c r="AH305" i="3" s="1"/>
  <c r="AG304" i="3"/>
  <c r="AH304" i="3" s="1"/>
  <c r="AG303" i="3"/>
  <c r="AH302" i="3"/>
  <c r="AG302" i="3"/>
  <c r="AG301" i="3"/>
  <c r="AH301" i="3" s="1"/>
  <c r="AH300" i="3"/>
  <c r="AG300" i="3"/>
  <c r="AL299" i="3"/>
  <c r="AM300" i="3" s="1"/>
  <c r="AG299" i="3"/>
  <c r="AH298" i="3"/>
  <c r="AG298" i="3"/>
  <c r="AG297" i="3"/>
  <c r="AH297" i="3" s="1"/>
  <c r="AH296" i="3"/>
  <c r="AG296" i="3"/>
  <c r="AG295" i="3"/>
  <c r="AH294" i="3"/>
  <c r="AG294" i="3"/>
  <c r="AG293" i="3"/>
  <c r="AH293" i="3" s="1"/>
  <c r="AG292" i="3"/>
  <c r="AG291" i="3"/>
  <c r="AH290" i="3"/>
  <c r="AG290" i="3"/>
  <c r="AG289" i="3"/>
  <c r="AH289" i="3" s="1"/>
  <c r="AG288" i="3"/>
  <c r="AG287" i="3"/>
  <c r="AH286" i="3"/>
  <c r="AG286" i="3"/>
  <c r="AG285" i="3"/>
  <c r="AH285" i="3" s="1"/>
  <c r="AG284" i="3"/>
  <c r="AG283" i="3"/>
  <c r="AH282" i="3"/>
  <c r="AG282" i="3"/>
  <c r="AG281" i="3"/>
  <c r="AH281" i="3" s="1"/>
  <c r="AG280" i="3"/>
  <c r="AH280" i="3" s="1"/>
  <c r="AG279" i="3"/>
  <c r="AH278" i="3"/>
  <c r="AG278" i="3"/>
  <c r="AG277" i="3"/>
  <c r="AH277" i="3" s="1"/>
  <c r="AG276" i="3"/>
  <c r="AG275" i="3"/>
  <c r="AH274" i="3"/>
  <c r="AG274" i="3"/>
  <c r="AG273" i="3"/>
  <c r="AH273" i="3" s="1"/>
  <c r="AH272" i="3"/>
  <c r="AG272" i="3"/>
  <c r="AG271" i="3"/>
  <c r="AH270" i="3"/>
  <c r="AG270" i="3"/>
  <c r="AG269" i="3"/>
  <c r="AG268" i="3"/>
  <c r="AM267" i="3"/>
  <c r="AG267" i="3"/>
  <c r="AL266" i="3"/>
  <c r="AL267" i="3" s="1"/>
  <c r="AH266" i="3"/>
  <c r="AG266" i="3"/>
  <c r="AG265" i="3"/>
  <c r="AH265" i="3" s="1"/>
  <c r="AG264" i="3"/>
  <c r="AG263" i="3"/>
  <c r="AH262" i="3"/>
  <c r="AG262" i="3"/>
  <c r="AG261" i="3"/>
  <c r="AH261" i="3" s="1"/>
  <c r="AL260" i="3"/>
  <c r="AM261" i="3" s="1"/>
  <c r="AH260" i="3"/>
  <c r="AG260" i="3"/>
  <c r="AG259" i="3"/>
  <c r="AH258" i="3"/>
  <c r="AG258" i="3"/>
  <c r="AM257" i="3"/>
  <c r="AG257" i="3"/>
  <c r="AL256" i="3"/>
  <c r="AL257" i="3" s="1"/>
  <c r="AM258" i="3" s="1"/>
  <c r="AG256" i="3"/>
  <c r="AL255" i="3"/>
  <c r="AM256" i="3" s="1"/>
  <c r="AG255" i="3"/>
  <c r="AH254" i="3"/>
  <c r="AG254" i="3"/>
  <c r="AG253" i="3"/>
  <c r="AH253" i="3" s="1"/>
  <c r="AG252" i="3"/>
  <c r="AG251" i="3"/>
  <c r="AH250" i="3"/>
  <c r="AG250" i="3"/>
  <c r="AG249" i="3"/>
  <c r="AH249" i="3" s="1"/>
  <c r="AL248" i="3"/>
  <c r="AG248" i="3"/>
  <c r="AH248" i="3" s="1"/>
  <c r="AG247" i="3"/>
  <c r="AH246" i="3"/>
  <c r="AG246" i="3"/>
  <c r="AG245" i="3"/>
  <c r="AH245" i="3" s="1"/>
  <c r="AG244" i="3"/>
  <c r="AG243" i="3"/>
  <c r="AH242" i="3"/>
  <c r="AG242" i="3"/>
  <c r="AG241" i="3"/>
  <c r="AH241" i="3" s="1"/>
  <c r="AG240" i="3"/>
  <c r="AH239" i="3"/>
  <c r="AG239" i="3"/>
  <c r="AH238" i="3"/>
  <c r="AG238" i="3"/>
  <c r="AG237" i="3"/>
  <c r="AH237" i="3" s="1"/>
  <c r="AH236" i="3"/>
  <c r="AG236" i="3"/>
  <c r="AG235" i="3"/>
  <c r="AH234" i="3"/>
  <c r="AG234" i="3"/>
  <c r="AG233" i="3"/>
  <c r="AH233" i="3" s="1"/>
  <c r="AG232" i="3"/>
  <c r="AH232" i="3" s="1"/>
  <c r="AG231" i="3"/>
  <c r="AH231" i="3" s="1"/>
  <c r="AG230" i="3"/>
  <c r="AG229" i="3"/>
  <c r="AH229" i="3" s="1"/>
  <c r="AG228" i="3"/>
  <c r="AH227" i="3"/>
  <c r="AG227" i="3"/>
  <c r="AH226" i="3"/>
  <c r="AG226" i="3"/>
  <c r="AG225" i="3"/>
  <c r="AH225" i="3" s="1"/>
  <c r="AH224" i="3"/>
  <c r="AG224" i="3"/>
  <c r="AG223" i="3"/>
  <c r="AG222" i="3"/>
  <c r="AG221" i="3"/>
  <c r="AH221" i="3" s="1"/>
  <c r="AG220" i="3"/>
  <c r="AG219" i="3"/>
  <c r="AH219" i="3" s="1"/>
  <c r="AG218" i="3"/>
  <c r="AH217" i="3"/>
  <c r="AG217" i="3"/>
  <c r="AL216" i="3"/>
  <c r="AG216" i="3"/>
  <c r="AH216" i="3" s="1"/>
  <c r="AG215" i="3"/>
  <c r="AH215" i="3" s="1"/>
  <c r="AG214" i="3"/>
  <c r="AH213" i="3"/>
  <c r="AG213" i="3"/>
  <c r="AH212" i="3"/>
  <c r="AG212" i="3"/>
  <c r="AG211" i="3"/>
  <c r="AH211" i="3" s="1"/>
  <c r="AG210" i="3"/>
  <c r="AH209" i="3"/>
  <c r="AG209" i="3"/>
  <c r="AG208" i="3"/>
  <c r="AG207" i="3"/>
  <c r="AH207" i="3" s="1"/>
  <c r="AL206" i="3"/>
  <c r="AG206" i="3"/>
  <c r="AH205" i="3"/>
  <c r="AG205" i="3"/>
  <c r="AL204" i="3"/>
  <c r="AG204" i="3"/>
  <c r="AH204" i="3" s="1"/>
  <c r="AG203" i="3"/>
  <c r="AH203" i="3" s="1"/>
  <c r="AG202" i="3"/>
  <c r="AH201" i="3"/>
  <c r="AG201" i="3"/>
  <c r="AH200" i="3"/>
  <c r="AG200" i="3"/>
  <c r="AG199" i="3"/>
  <c r="AH199" i="3" s="1"/>
  <c r="AG198" i="3"/>
  <c r="AH197" i="3"/>
  <c r="AG197" i="3"/>
  <c r="AG196" i="3"/>
  <c r="AG195" i="3"/>
  <c r="AH195" i="3" s="1"/>
  <c r="AM194" i="3"/>
  <c r="AL194" i="3"/>
  <c r="AG194" i="3"/>
  <c r="AL193" i="3"/>
  <c r="AH193" i="3"/>
  <c r="AG193" i="3"/>
  <c r="AH192" i="3"/>
  <c r="AG192" i="3"/>
  <c r="AG191" i="3"/>
  <c r="AH191" i="3" s="1"/>
  <c r="AG190" i="3"/>
  <c r="AI189" i="3"/>
  <c r="AH189" i="3"/>
  <c r="AG189" i="3"/>
  <c r="AG188" i="3"/>
  <c r="AG187" i="3"/>
  <c r="AH187" i="3" s="1"/>
  <c r="AG186" i="3"/>
  <c r="AH185" i="3"/>
  <c r="AG185" i="3"/>
  <c r="AM184" i="3"/>
  <c r="AL184" i="3"/>
  <c r="AH184" i="3"/>
  <c r="AG184" i="3"/>
  <c r="AL183" i="3"/>
  <c r="AG183" i="3"/>
  <c r="AH183" i="3" s="1"/>
  <c r="AG182" i="3"/>
  <c r="AH181" i="3"/>
  <c r="AG181" i="3"/>
  <c r="AG180" i="3"/>
  <c r="AG179" i="3"/>
  <c r="AH179" i="3" s="1"/>
  <c r="AG178" i="3"/>
  <c r="AH177" i="3"/>
  <c r="AG177" i="3"/>
  <c r="AG176" i="3"/>
  <c r="AG175" i="3"/>
  <c r="AH175" i="3" s="1"/>
  <c r="AG174" i="3"/>
  <c r="AH173" i="3"/>
  <c r="AG173" i="3"/>
  <c r="AG172" i="3"/>
  <c r="AH172" i="3" s="1"/>
  <c r="AG171" i="3"/>
  <c r="AH171" i="3" s="1"/>
  <c r="AG170" i="3"/>
  <c r="AH169" i="3"/>
  <c r="AG169" i="3"/>
  <c r="AH168" i="3"/>
  <c r="AG168" i="3"/>
  <c r="AG167" i="3"/>
  <c r="AH167" i="3" s="1"/>
  <c r="AG166" i="3"/>
  <c r="AH165" i="3"/>
  <c r="AG165" i="3"/>
  <c r="AM164" i="3"/>
  <c r="AL164" i="3"/>
  <c r="AG164" i="3"/>
  <c r="AH164" i="3" s="1"/>
  <c r="AL163" i="3"/>
  <c r="AG163" i="3"/>
  <c r="AH163" i="3" s="1"/>
  <c r="AG162" i="3"/>
  <c r="AH161" i="3"/>
  <c r="AG161" i="3"/>
  <c r="AG160" i="3"/>
  <c r="AG159" i="3"/>
  <c r="AH159" i="3" s="1"/>
  <c r="AL158" i="3"/>
  <c r="AG158" i="3"/>
  <c r="AH157" i="3"/>
  <c r="AG157" i="3"/>
  <c r="AG156" i="3"/>
  <c r="AG155" i="3"/>
  <c r="AH155" i="3" s="1"/>
  <c r="AG154" i="3"/>
  <c r="AH153" i="3"/>
  <c r="AG153" i="3"/>
  <c r="AM152" i="3"/>
  <c r="AL152" i="3"/>
  <c r="AG152" i="3"/>
  <c r="AH152" i="3" s="1"/>
  <c r="AL151" i="3"/>
  <c r="AG151" i="3"/>
  <c r="AH151" i="3" s="1"/>
  <c r="AG150" i="3"/>
  <c r="AG149" i="3"/>
  <c r="AJ149" i="3" s="1"/>
  <c r="AH148" i="3"/>
  <c r="AG148" i="3"/>
  <c r="AG147" i="3"/>
  <c r="AH147" i="3" s="1"/>
  <c r="AG146" i="3"/>
  <c r="AG145" i="3"/>
  <c r="AJ145" i="3" s="1"/>
  <c r="AH144" i="3"/>
  <c r="AG144" i="3"/>
  <c r="AG143" i="3"/>
  <c r="AH143" i="3" s="1"/>
  <c r="AG142" i="3"/>
  <c r="AG141" i="3"/>
  <c r="AJ141" i="3" s="1"/>
  <c r="AH140" i="3"/>
  <c r="AG140" i="3"/>
  <c r="AG139" i="3"/>
  <c r="AM138" i="3"/>
  <c r="AL138" i="3"/>
  <c r="AL139" i="3" s="1"/>
  <c r="AM140" i="3" s="1"/>
  <c r="AG138" i="3"/>
  <c r="AL137" i="3"/>
  <c r="AH137" i="3"/>
  <c r="AG137" i="3"/>
  <c r="AG136" i="3"/>
  <c r="AJ136" i="3" s="1"/>
  <c r="AG135" i="3"/>
  <c r="AH135" i="3" s="1"/>
  <c r="AG134" i="3"/>
  <c r="AJ134" i="3" s="1"/>
  <c r="AH133" i="3"/>
  <c r="AG133" i="3"/>
  <c r="AG132" i="3"/>
  <c r="AJ132" i="3" s="1"/>
  <c r="AG131" i="3"/>
  <c r="AH131" i="3" s="1"/>
  <c r="AG130" i="3"/>
  <c r="AJ130" i="3" s="1"/>
  <c r="AH129" i="3"/>
  <c r="AG129" i="3"/>
  <c r="AL128" i="3"/>
  <c r="AL129" i="3" s="1"/>
  <c r="AM130" i="3" s="1"/>
  <c r="AG128" i="3"/>
  <c r="AJ128" i="3" s="1"/>
  <c r="AG127" i="3"/>
  <c r="AH127" i="3" s="1"/>
  <c r="AG126" i="3"/>
  <c r="AJ126" i="3" s="1"/>
  <c r="AH125" i="3"/>
  <c r="AG125" i="3"/>
  <c r="AG124" i="3"/>
  <c r="AJ124" i="3" s="1"/>
  <c r="AG123" i="3"/>
  <c r="AH123" i="3" s="1"/>
  <c r="AG122" i="3"/>
  <c r="AJ122" i="3" s="1"/>
  <c r="AH121" i="3"/>
  <c r="AG121" i="3"/>
  <c r="AG120" i="3"/>
  <c r="AJ120" i="3" s="1"/>
  <c r="AG119" i="3"/>
  <c r="AH119" i="3" s="1"/>
  <c r="AG118" i="3"/>
  <c r="AJ118" i="3" s="1"/>
  <c r="AG117" i="3"/>
  <c r="AH117" i="3" s="1"/>
  <c r="AH116" i="3"/>
  <c r="AG116" i="3"/>
  <c r="AG115" i="3"/>
  <c r="AH115" i="3" s="1"/>
  <c r="AH114" i="3"/>
  <c r="AG114" i="3"/>
  <c r="AG113" i="3"/>
  <c r="AJ113" i="3" s="1"/>
  <c r="AL112" i="3"/>
  <c r="AM113" i="3" s="1"/>
  <c r="AG112" i="3"/>
  <c r="AH112" i="3" s="1"/>
  <c r="AG111" i="3"/>
  <c r="AH111" i="3" s="1"/>
  <c r="AM110" i="3"/>
  <c r="AH110" i="3"/>
  <c r="AG110" i="3"/>
  <c r="AL109" i="3"/>
  <c r="AL110" i="3" s="1"/>
  <c r="AH109" i="3"/>
  <c r="AG109" i="3"/>
  <c r="AH108" i="3"/>
  <c r="AG108" i="3"/>
  <c r="AG107" i="3"/>
  <c r="AH107" i="3" s="1"/>
  <c r="AG106" i="3"/>
  <c r="AG105" i="3"/>
  <c r="AJ81" i="3" s="1"/>
  <c r="AG104" i="3"/>
  <c r="AH104" i="3" s="1"/>
  <c r="AJ103" i="3"/>
  <c r="AG103" i="3"/>
  <c r="AH103" i="3" s="1"/>
  <c r="AM102" i="3"/>
  <c r="AH102" i="3"/>
  <c r="AG102" i="3"/>
  <c r="AM101" i="3"/>
  <c r="AL101" i="3"/>
  <c r="AL102" i="3" s="1"/>
  <c r="AH101" i="3"/>
  <c r="AG101" i="3"/>
  <c r="AM100" i="3"/>
  <c r="AL100" i="3"/>
  <c r="AH100" i="3"/>
  <c r="AG100" i="3"/>
  <c r="AL99" i="3"/>
  <c r="AG99" i="3"/>
  <c r="AH99" i="3" s="1"/>
  <c r="AG98" i="3"/>
  <c r="AH97" i="3"/>
  <c r="AG97" i="3"/>
  <c r="AM96" i="3"/>
  <c r="AL96" i="3"/>
  <c r="AM97" i="3" s="1"/>
  <c r="AG96" i="3"/>
  <c r="AI96" i="3" s="1"/>
  <c r="AM95" i="3"/>
  <c r="AG95" i="3"/>
  <c r="AH95" i="3" s="1"/>
  <c r="AM94" i="3"/>
  <c r="AL94" i="3"/>
  <c r="AL95" i="3" s="1"/>
  <c r="AG94" i="3"/>
  <c r="AJ94" i="3" s="1"/>
  <c r="AL93" i="3"/>
  <c r="AG93" i="3"/>
  <c r="AH93" i="3" s="1"/>
  <c r="AI92" i="3"/>
  <c r="AH92" i="3"/>
  <c r="AG92" i="3"/>
  <c r="AG91" i="3"/>
  <c r="AH91" i="3" s="1"/>
  <c r="AG90" i="3"/>
  <c r="AH89" i="3"/>
  <c r="AG89" i="3"/>
  <c r="AG88" i="3"/>
  <c r="AI88" i="3" s="1"/>
  <c r="AG87" i="3"/>
  <c r="AH87" i="3" s="1"/>
  <c r="AG86" i="3"/>
  <c r="AJ86" i="3" s="1"/>
  <c r="AG85" i="3"/>
  <c r="AH85" i="3" s="1"/>
  <c r="AI84" i="3"/>
  <c r="AH84" i="3"/>
  <c r="AG84" i="3"/>
  <c r="AG83" i="3"/>
  <c r="AH83" i="3" s="1"/>
  <c r="AM82" i="3"/>
  <c r="AH82" i="3"/>
  <c r="AG82" i="3"/>
  <c r="AM81" i="3"/>
  <c r="AL81" i="3"/>
  <c r="AL82" i="3" s="1"/>
  <c r="AI81" i="3"/>
  <c r="AH81" i="3"/>
  <c r="AG81" i="3"/>
  <c r="AL80" i="3"/>
  <c r="AH80" i="3"/>
  <c r="AG80" i="3"/>
  <c r="AJ80" i="3" s="1"/>
  <c r="AG79" i="3"/>
  <c r="AH79" i="3" s="1"/>
  <c r="AJ78" i="3"/>
  <c r="AG78" i="3"/>
  <c r="AI78" i="3" s="1"/>
  <c r="AG77" i="3"/>
  <c r="AI32" i="3" s="1"/>
  <c r="AG76" i="3"/>
  <c r="AH76" i="3" s="1"/>
  <c r="AM75" i="3"/>
  <c r="AL75" i="3"/>
  <c r="AM76" i="3" s="1"/>
  <c r="AG75" i="3"/>
  <c r="AJ75" i="3" s="1"/>
  <c r="AL74" i="3"/>
  <c r="AH74" i="3"/>
  <c r="AG74" i="3"/>
  <c r="AH73" i="3"/>
  <c r="AG73" i="3"/>
  <c r="AJ73" i="3" s="1"/>
  <c r="AG72" i="3"/>
  <c r="AH72" i="3" s="1"/>
  <c r="AG71" i="3"/>
  <c r="AJ71" i="3" s="1"/>
  <c r="AH70" i="3"/>
  <c r="AG70" i="3"/>
  <c r="AH69" i="3"/>
  <c r="AG69" i="3"/>
  <c r="AJ69" i="3" s="1"/>
  <c r="AG68" i="3"/>
  <c r="AH68" i="3" s="1"/>
  <c r="AG67" i="3"/>
  <c r="AJ67" i="3" s="1"/>
  <c r="AH66" i="3"/>
  <c r="AG66" i="3"/>
  <c r="AL65" i="3"/>
  <c r="AM66" i="3" s="1"/>
  <c r="AH65" i="3"/>
  <c r="AG65" i="3"/>
  <c r="AJ65" i="3" s="1"/>
  <c r="AG64" i="3"/>
  <c r="AH64" i="3" s="1"/>
  <c r="AG63" i="3"/>
  <c r="AJ63" i="3" s="1"/>
  <c r="AH62" i="3"/>
  <c r="AG62" i="3"/>
  <c r="AH61" i="3"/>
  <c r="AG61" i="3"/>
  <c r="AJ61" i="3" s="1"/>
  <c r="AG60" i="3"/>
  <c r="AH60" i="3" s="1"/>
  <c r="AG59" i="3"/>
  <c r="AJ59" i="3" s="1"/>
  <c r="AH58" i="3"/>
  <c r="AG58" i="3"/>
  <c r="AM57" i="3"/>
  <c r="AL57" i="3"/>
  <c r="AM58" i="3" s="1"/>
  <c r="AH57" i="3"/>
  <c r="AG57" i="3"/>
  <c r="AJ57" i="3" s="1"/>
  <c r="AL56" i="3"/>
  <c r="AG56" i="3"/>
  <c r="AH56" i="3" s="1"/>
  <c r="AG55" i="3"/>
  <c r="AJ55" i="3" s="1"/>
  <c r="AH54" i="3"/>
  <c r="AG54" i="3"/>
  <c r="AH53" i="3"/>
  <c r="AG53" i="3"/>
  <c r="AJ53" i="3" s="1"/>
  <c r="AG52" i="3"/>
  <c r="AH52" i="3" s="1"/>
  <c r="AG51" i="3"/>
  <c r="AJ51" i="3" s="1"/>
  <c r="AH50" i="3"/>
  <c r="AG50" i="3"/>
  <c r="AH49" i="3"/>
  <c r="AG49" i="3"/>
  <c r="AJ49" i="3" s="1"/>
  <c r="AG48" i="3"/>
  <c r="AH48" i="3" s="1"/>
  <c r="AG47" i="3"/>
  <c r="AJ47" i="3" s="1"/>
  <c r="AH46" i="3"/>
  <c r="AG46" i="3"/>
  <c r="AH45" i="3"/>
  <c r="AG45" i="3"/>
  <c r="AJ45" i="3" s="1"/>
  <c r="AG44" i="3"/>
  <c r="AH44" i="3" s="1"/>
  <c r="AM43" i="3"/>
  <c r="AL43" i="3"/>
  <c r="AM44" i="3" s="1"/>
  <c r="AG43" i="3"/>
  <c r="AJ43" i="3" s="1"/>
  <c r="AL42" i="3"/>
  <c r="AH42" i="3"/>
  <c r="AG42" i="3"/>
  <c r="AH41" i="3"/>
  <c r="AG41" i="3"/>
  <c r="AJ41" i="3" s="1"/>
  <c r="AG40" i="3"/>
  <c r="AH40" i="3" s="1"/>
  <c r="AG39" i="3"/>
  <c r="AJ39" i="3" s="1"/>
  <c r="AH38" i="3"/>
  <c r="AG38" i="3"/>
  <c r="AH37" i="3"/>
  <c r="AG37" i="3"/>
  <c r="AJ37" i="3" s="1"/>
  <c r="AG36" i="3"/>
  <c r="AH36" i="3" s="1"/>
  <c r="AM35" i="3"/>
  <c r="AL35" i="3"/>
  <c r="AM36" i="3" s="1"/>
  <c r="AG35" i="3"/>
  <c r="AJ35" i="3" s="1"/>
  <c r="AL34" i="3"/>
  <c r="AH34" i="3"/>
  <c r="AG34" i="3"/>
  <c r="AH33" i="3"/>
  <c r="AG33" i="3"/>
  <c r="AJ33" i="3" s="1"/>
  <c r="AG32" i="3"/>
  <c r="AH32" i="3" s="1"/>
  <c r="AG31" i="3"/>
  <c r="AJ31" i="3" s="1"/>
  <c r="AH30" i="3"/>
  <c r="AG30" i="3"/>
  <c r="AH29" i="3"/>
  <c r="AG29" i="3"/>
  <c r="AI29" i="3" s="1"/>
  <c r="AG28" i="3"/>
  <c r="AH28" i="3" s="1"/>
  <c r="AL27" i="3"/>
  <c r="AM28" i="3" s="1"/>
  <c r="AG27" i="3"/>
  <c r="AJ27" i="3" s="1"/>
  <c r="AH26" i="3"/>
  <c r="AG26" i="3"/>
  <c r="AG25" i="3"/>
  <c r="AJ25" i="3" s="1"/>
  <c r="AG24" i="3"/>
  <c r="AH24" i="3" s="1"/>
  <c r="AL23" i="3"/>
  <c r="AM24" i="3" s="1"/>
  <c r="AG23" i="3"/>
  <c r="AJ23" i="3" s="1"/>
  <c r="AH22" i="3"/>
  <c r="AG22" i="3"/>
  <c r="AG21" i="3"/>
  <c r="AJ21" i="3" s="1"/>
  <c r="AG20" i="3"/>
  <c r="AH20" i="3" s="1"/>
  <c r="AG19" i="3"/>
  <c r="AJ19" i="3" s="1"/>
  <c r="AH18" i="3"/>
  <c r="AG18" i="3"/>
  <c r="AM17" i="3"/>
  <c r="AL17" i="3"/>
  <c r="AM18" i="3" s="1"/>
  <c r="AG17" i="3"/>
  <c r="AJ17" i="3" s="1"/>
  <c r="AL16" i="3"/>
  <c r="AG16" i="3"/>
  <c r="AH16" i="3" s="1"/>
  <c r="AG15" i="3"/>
  <c r="AJ15" i="3" s="1"/>
  <c r="AH14" i="3"/>
  <c r="AG14" i="3"/>
  <c r="AG13" i="3"/>
  <c r="AJ13" i="3" s="1"/>
  <c r="AG12" i="3"/>
  <c r="AH12" i="3" s="1"/>
  <c r="AG11" i="3"/>
  <c r="AJ11" i="3" s="1"/>
  <c r="AH10" i="3"/>
  <c r="AG10" i="3"/>
  <c r="AG9" i="3"/>
  <c r="AJ9" i="3" s="1"/>
  <c r="AG8" i="3"/>
  <c r="AH8" i="3" s="1"/>
  <c r="AL7" i="3"/>
  <c r="AM8" i="3" s="1"/>
  <c r="AG7" i="3"/>
  <c r="AJ7" i="3" s="1"/>
  <c r="AH6" i="3"/>
  <c r="AG6" i="3"/>
  <c r="AG5" i="3"/>
  <c r="AJ20" i="3" s="1"/>
  <c r="AF5" i="3"/>
  <c r="AF6" i="3" s="1"/>
  <c r="AE5" i="3"/>
  <c r="AE6" i="3" s="1"/>
  <c r="AE7" i="3" s="1"/>
  <c r="AE8" i="3" s="1"/>
  <c r="AE9" i="3" s="1"/>
  <c r="AE10" i="3" s="1"/>
  <c r="AE11" i="3" s="1"/>
  <c r="AE12" i="3" s="1"/>
  <c r="AE13" i="3" s="1"/>
  <c r="AE14" i="3" s="1"/>
  <c r="AE15" i="3" s="1"/>
  <c r="AE16" i="3" s="1"/>
  <c r="AE17" i="3" s="1"/>
  <c r="AE18" i="3" s="1"/>
  <c r="AE19" i="3" s="1"/>
  <c r="AE20" i="3" s="1"/>
  <c r="AE21" i="3" s="1"/>
  <c r="AE22" i="3" s="1"/>
  <c r="AE23" i="3" s="1"/>
  <c r="AE24" i="3" s="1"/>
  <c r="AE25" i="3" s="1"/>
  <c r="AE26" i="3" s="1"/>
  <c r="AE27" i="3" s="1"/>
  <c r="AE28" i="3" s="1"/>
  <c r="AE29" i="3" s="1"/>
  <c r="AE30" i="3" s="1"/>
  <c r="AE31" i="3" s="1"/>
  <c r="AE32" i="3" s="1"/>
  <c r="AE33" i="3" s="1"/>
  <c r="AE34" i="3" s="1"/>
  <c r="AE35" i="3" s="1"/>
  <c r="AE36" i="3" s="1"/>
  <c r="AE37" i="3" s="1"/>
  <c r="AE38" i="3" s="1"/>
  <c r="AE39" i="3" s="1"/>
  <c r="AE40" i="3" s="1"/>
  <c r="AE41" i="3" s="1"/>
  <c r="AE42" i="3" s="1"/>
  <c r="AE43" i="3" s="1"/>
  <c r="AE44" i="3" s="1"/>
  <c r="AE45" i="3" s="1"/>
  <c r="AE46" i="3" s="1"/>
  <c r="AE47" i="3" s="1"/>
  <c r="AE48" i="3" s="1"/>
  <c r="AE49" i="3" s="1"/>
  <c r="AE50" i="3" s="1"/>
  <c r="AE51" i="3" s="1"/>
  <c r="AE52" i="3" s="1"/>
  <c r="AE53" i="3" s="1"/>
  <c r="AE54" i="3" s="1"/>
  <c r="AE55" i="3" s="1"/>
  <c r="AE56" i="3" s="1"/>
  <c r="AE57" i="3" s="1"/>
  <c r="AE58" i="3" s="1"/>
  <c r="AE59" i="3" s="1"/>
  <c r="AE60" i="3" s="1"/>
  <c r="AE61" i="3" s="1"/>
  <c r="AE62" i="3" s="1"/>
  <c r="AE63" i="3" s="1"/>
  <c r="AE64" i="3" s="1"/>
  <c r="AE65" i="3" s="1"/>
  <c r="AE66" i="3" s="1"/>
  <c r="AE67" i="3" s="1"/>
  <c r="AE68" i="3" s="1"/>
  <c r="AE69" i="3" s="1"/>
  <c r="AE70" i="3" s="1"/>
  <c r="AE71" i="3" s="1"/>
  <c r="AE72" i="3" s="1"/>
  <c r="AE73" i="3" s="1"/>
  <c r="AE74" i="3" s="1"/>
  <c r="AE75" i="3" s="1"/>
  <c r="AE76" i="3" s="1"/>
  <c r="AE77" i="3" s="1"/>
  <c r="AE78" i="3" s="1"/>
  <c r="AE79" i="3" s="1"/>
  <c r="AE80" i="3" s="1"/>
  <c r="AE81" i="3" s="1"/>
  <c r="AE82" i="3" s="1"/>
  <c r="AE83" i="3" s="1"/>
  <c r="AE84" i="3" s="1"/>
  <c r="AE85" i="3" s="1"/>
  <c r="AE86" i="3" s="1"/>
  <c r="AE87" i="3" s="1"/>
  <c r="AE88" i="3" s="1"/>
  <c r="AE89" i="3" s="1"/>
  <c r="AE90" i="3" s="1"/>
  <c r="AE91" i="3" s="1"/>
  <c r="AE92" i="3" s="1"/>
  <c r="AE93" i="3" s="1"/>
  <c r="AE94" i="3" s="1"/>
  <c r="AE95" i="3" s="1"/>
  <c r="AE96" i="3" s="1"/>
  <c r="AE97" i="3" s="1"/>
  <c r="AE98" i="3" s="1"/>
  <c r="AE99" i="3" s="1"/>
  <c r="AE100" i="3" s="1"/>
  <c r="AE101" i="3" s="1"/>
  <c r="AE102" i="3" s="1"/>
  <c r="AE103" i="3" s="1"/>
  <c r="AE104" i="3" s="1"/>
  <c r="AE105" i="3" s="1"/>
  <c r="AE106" i="3" s="1"/>
  <c r="AE107" i="3" s="1"/>
  <c r="AE108" i="3" s="1"/>
  <c r="AE109" i="3" s="1"/>
  <c r="AE110" i="3" s="1"/>
  <c r="AE111" i="3" s="1"/>
  <c r="AE112" i="3" s="1"/>
  <c r="AE113" i="3" s="1"/>
  <c r="AE114" i="3" s="1"/>
  <c r="AE115" i="3" s="1"/>
  <c r="AE116" i="3" s="1"/>
  <c r="AE117" i="3" s="1"/>
  <c r="AE118" i="3" s="1"/>
  <c r="AE119" i="3" s="1"/>
  <c r="AE120" i="3" s="1"/>
  <c r="AE121" i="3" s="1"/>
  <c r="AE122" i="3" s="1"/>
  <c r="AE123" i="3" s="1"/>
  <c r="AE124" i="3" s="1"/>
  <c r="AE125" i="3" s="1"/>
  <c r="AE126" i="3" s="1"/>
  <c r="AE127" i="3" s="1"/>
  <c r="AE128" i="3" s="1"/>
  <c r="AE129" i="3" s="1"/>
  <c r="AE130" i="3" s="1"/>
  <c r="AE131" i="3" s="1"/>
  <c r="AE132" i="3" s="1"/>
  <c r="AE133" i="3" s="1"/>
  <c r="AE134" i="3" s="1"/>
  <c r="AE135" i="3" s="1"/>
  <c r="AE136" i="3" s="1"/>
  <c r="AE137" i="3" s="1"/>
  <c r="AE138" i="3" s="1"/>
  <c r="AE139" i="3" s="1"/>
  <c r="AE140" i="3" s="1"/>
  <c r="AE141" i="3" s="1"/>
  <c r="AE142" i="3" s="1"/>
  <c r="AE143" i="3" s="1"/>
  <c r="AE144" i="3" s="1"/>
  <c r="AE145" i="3" s="1"/>
  <c r="AE146" i="3" s="1"/>
  <c r="AE147" i="3" s="1"/>
  <c r="AE148" i="3" s="1"/>
  <c r="AE149" i="3" s="1"/>
  <c r="AE150" i="3" s="1"/>
  <c r="AE151" i="3" s="1"/>
  <c r="AE152" i="3" s="1"/>
  <c r="AE153" i="3" s="1"/>
  <c r="AE154" i="3" s="1"/>
  <c r="AE155" i="3" s="1"/>
  <c r="AE156" i="3" s="1"/>
  <c r="AE157" i="3" s="1"/>
  <c r="AE158" i="3" s="1"/>
  <c r="AE159" i="3" s="1"/>
  <c r="AE160" i="3" s="1"/>
  <c r="AE161" i="3" s="1"/>
  <c r="AE162" i="3" s="1"/>
  <c r="AE163" i="3" s="1"/>
  <c r="AE164" i="3" s="1"/>
  <c r="AE165" i="3" s="1"/>
  <c r="AE166" i="3" s="1"/>
  <c r="AE167" i="3" s="1"/>
  <c r="AE168" i="3" s="1"/>
  <c r="AE169" i="3" s="1"/>
  <c r="AE170" i="3" s="1"/>
  <c r="AE171" i="3" s="1"/>
  <c r="AE172" i="3" s="1"/>
  <c r="AE173" i="3" s="1"/>
  <c r="AE174" i="3" s="1"/>
  <c r="AE175" i="3" s="1"/>
  <c r="AE176" i="3" s="1"/>
  <c r="AE177" i="3" s="1"/>
  <c r="AE178" i="3" s="1"/>
  <c r="AE179" i="3" s="1"/>
  <c r="AE180" i="3" s="1"/>
  <c r="AE181" i="3" s="1"/>
  <c r="AE182" i="3" s="1"/>
  <c r="AE183" i="3" s="1"/>
  <c r="AE184" i="3" s="1"/>
  <c r="AE185" i="3" s="1"/>
  <c r="AE186" i="3" s="1"/>
  <c r="AE187" i="3" s="1"/>
  <c r="AE188" i="3" s="1"/>
  <c r="AE189" i="3" s="1"/>
  <c r="AE190" i="3" s="1"/>
  <c r="AE191" i="3" s="1"/>
  <c r="AE192" i="3" s="1"/>
  <c r="AE193" i="3" s="1"/>
  <c r="AE194" i="3" s="1"/>
  <c r="AE195" i="3" s="1"/>
  <c r="AE196" i="3" s="1"/>
  <c r="AE197" i="3" s="1"/>
  <c r="AE198" i="3" s="1"/>
  <c r="AE199" i="3" s="1"/>
  <c r="AE200" i="3" s="1"/>
  <c r="AE201" i="3" s="1"/>
  <c r="AE202" i="3" s="1"/>
  <c r="AE203" i="3" s="1"/>
  <c r="AE204" i="3" s="1"/>
  <c r="AE205" i="3" s="1"/>
  <c r="AE206" i="3" s="1"/>
  <c r="AE207" i="3" s="1"/>
  <c r="AE208" i="3" s="1"/>
  <c r="AE209" i="3" s="1"/>
  <c r="AE210" i="3" s="1"/>
  <c r="AE211" i="3" s="1"/>
  <c r="AE212" i="3" s="1"/>
  <c r="AE213" i="3" s="1"/>
  <c r="AE214" i="3" s="1"/>
  <c r="AE215" i="3" s="1"/>
  <c r="AE216" i="3" s="1"/>
  <c r="AE217" i="3" s="1"/>
  <c r="AE218" i="3" s="1"/>
  <c r="AE219" i="3" s="1"/>
  <c r="AE220" i="3" s="1"/>
  <c r="AE221" i="3" s="1"/>
  <c r="AE222" i="3" s="1"/>
  <c r="AE223" i="3" s="1"/>
  <c r="AE224" i="3" s="1"/>
  <c r="AE225" i="3" s="1"/>
  <c r="AE226" i="3" s="1"/>
  <c r="AE227" i="3" s="1"/>
  <c r="AE228" i="3" s="1"/>
  <c r="AE229" i="3" s="1"/>
  <c r="AE230" i="3" s="1"/>
  <c r="AE231" i="3" s="1"/>
  <c r="AE232" i="3" s="1"/>
  <c r="AE233" i="3" s="1"/>
  <c r="AE234" i="3" s="1"/>
  <c r="AE235" i="3" s="1"/>
  <c r="AE236" i="3" s="1"/>
  <c r="AE237" i="3" s="1"/>
  <c r="AE238" i="3" s="1"/>
  <c r="AE239" i="3" s="1"/>
  <c r="AE240" i="3" s="1"/>
  <c r="AE241" i="3" s="1"/>
  <c r="AE242" i="3" s="1"/>
  <c r="AE243" i="3" s="1"/>
  <c r="AE244" i="3" s="1"/>
  <c r="AE245" i="3" s="1"/>
  <c r="AE246" i="3" s="1"/>
  <c r="AE247" i="3" s="1"/>
  <c r="AE248" i="3" s="1"/>
  <c r="AE249" i="3" s="1"/>
  <c r="AE250" i="3" s="1"/>
  <c r="AE251" i="3" s="1"/>
  <c r="AE252" i="3" s="1"/>
  <c r="AE253" i="3" s="1"/>
  <c r="AE254" i="3" s="1"/>
  <c r="AE255" i="3" s="1"/>
  <c r="AE256" i="3" s="1"/>
  <c r="AE257" i="3" s="1"/>
  <c r="AE258" i="3" s="1"/>
  <c r="AE259" i="3" s="1"/>
  <c r="AE260" i="3" s="1"/>
  <c r="AE261" i="3" s="1"/>
  <c r="AE262" i="3" s="1"/>
  <c r="AE263" i="3" s="1"/>
  <c r="AE264" i="3" s="1"/>
  <c r="AE265" i="3" s="1"/>
  <c r="AE266" i="3" s="1"/>
  <c r="AE267" i="3" s="1"/>
  <c r="AE268" i="3" s="1"/>
  <c r="AE269" i="3" s="1"/>
  <c r="AE270" i="3" s="1"/>
  <c r="AE271" i="3" s="1"/>
  <c r="AE272" i="3" s="1"/>
  <c r="AE273" i="3" s="1"/>
  <c r="AE274" i="3" s="1"/>
  <c r="AE275" i="3" s="1"/>
  <c r="AE276" i="3" s="1"/>
  <c r="AE277" i="3" s="1"/>
  <c r="AE278" i="3" s="1"/>
  <c r="AE279" i="3" s="1"/>
  <c r="AE280" i="3" s="1"/>
  <c r="AE281" i="3" s="1"/>
  <c r="AE282" i="3" s="1"/>
  <c r="AE283" i="3" s="1"/>
  <c r="AE284" i="3" s="1"/>
  <c r="AE285" i="3" s="1"/>
  <c r="AE286" i="3" s="1"/>
  <c r="AE287" i="3" s="1"/>
  <c r="AE288" i="3" s="1"/>
  <c r="AE289" i="3" s="1"/>
  <c r="AE290" i="3" s="1"/>
  <c r="AE291" i="3" s="1"/>
  <c r="AE292" i="3" s="1"/>
  <c r="AE293" i="3" s="1"/>
  <c r="AE294" i="3" s="1"/>
  <c r="AE295" i="3" s="1"/>
  <c r="AE296" i="3" s="1"/>
  <c r="AE297" i="3" s="1"/>
  <c r="AE298" i="3" s="1"/>
  <c r="AE299" i="3" s="1"/>
  <c r="AE300" i="3" s="1"/>
  <c r="AE301" i="3" s="1"/>
  <c r="AE302" i="3" s="1"/>
  <c r="AE303" i="3" s="1"/>
  <c r="AE304" i="3" s="1"/>
  <c r="AE305" i="3" s="1"/>
  <c r="AE306" i="3" s="1"/>
  <c r="AE307" i="3" s="1"/>
  <c r="AE308" i="3" s="1"/>
  <c r="AE309" i="3" s="1"/>
  <c r="AE310" i="3" s="1"/>
  <c r="AE311" i="3" s="1"/>
  <c r="AE312" i="3" s="1"/>
  <c r="AE313" i="3" s="1"/>
  <c r="AE314" i="3" s="1"/>
  <c r="AE315" i="3" s="1"/>
  <c r="AE316" i="3" s="1"/>
  <c r="AE317" i="3" s="1"/>
  <c r="AE318" i="3" s="1"/>
  <c r="AE319" i="3" s="1"/>
  <c r="AE320" i="3" s="1"/>
  <c r="AE321" i="3" s="1"/>
  <c r="AE322" i="3" s="1"/>
  <c r="AE323" i="3" s="1"/>
  <c r="AE324" i="3" s="1"/>
  <c r="AE325" i="3" s="1"/>
  <c r="AE326" i="3" s="1"/>
  <c r="AE327" i="3" s="1"/>
  <c r="AE328" i="3" s="1"/>
  <c r="AE329" i="3" s="1"/>
  <c r="AE330" i="3" s="1"/>
  <c r="AE331" i="3" s="1"/>
  <c r="AE332" i="3" s="1"/>
  <c r="AE333" i="3" s="1"/>
  <c r="AE334" i="3" s="1"/>
  <c r="AE335" i="3" s="1"/>
  <c r="AE336" i="3" s="1"/>
  <c r="AE337" i="3" s="1"/>
  <c r="AE338" i="3" s="1"/>
  <c r="AE339" i="3" s="1"/>
  <c r="AE340" i="3" s="1"/>
  <c r="AE341" i="3" s="1"/>
  <c r="AE342" i="3" s="1"/>
  <c r="AE343" i="3" s="1"/>
  <c r="AE344" i="3" s="1"/>
  <c r="AE345" i="3" s="1"/>
  <c r="AE346" i="3" s="1"/>
  <c r="AE347" i="3" s="1"/>
  <c r="AE348" i="3" s="1"/>
  <c r="AE349" i="3" s="1"/>
  <c r="AE350" i="3" s="1"/>
  <c r="AE351" i="3" s="1"/>
  <c r="AE352" i="3" s="1"/>
  <c r="AE353" i="3" s="1"/>
  <c r="AE354" i="3" s="1"/>
  <c r="AE355" i="3" s="1"/>
  <c r="AE356" i="3" s="1"/>
  <c r="AE357" i="3" s="1"/>
  <c r="AE358" i="3" s="1"/>
  <c r="AE359" i="3" s="1"/>
  <c r="AE360" i="3" s="1"/>
  <c r="AE361" i="3" s="1"/>
  <c r="AE362" i="3" s="1"/>
  <c r="AE363" i="3" s="1"/>
  <c r="AE364" i="3" s="1"/>
  <c r="AE365" i="3" s="1"/>
  <c r="AE366" i="3" s="1"/>
  <c r="AE367" i="3" s="1"/>
  <c r="AE368" i="3" s="1"/>
  <c r="AE369" i="3" s="1"/>
  <c r="AE370" i="3" s="1"/>
  <c r="AE371" i="3" s="1"/>
  <c r="AE372" i="3" s="1"/>
  <c r="AE373" i="3" s="1"/>
  <c r="AE374" i="3" s="1"/>
  <c r="AE375" i="3" s="1"/>
  <c r="AE376" i="3" s="1"/>
  <c r="AE377" i="3" s="1"/>
  <c r="AE378" i="3" s="1"/>
  <c r="AE379" i="3" s="1"/>
  <c r="AE380" i="3" s="1"/>
  <c r="AE381" i="3" s="1"/>
  <c r="AE382" i="3" s="1"/>
  <c r="AE383" i="3" s="1"/>
  <c r="AE384" i="3" s="1"/>
  <c r="AE385" i="3" s="1"/>
  <c r="AE386" i="3" s="1"/>
  <c r="AE387" i="3" s="1"/>
  <c r="AE388" i="3" s="1"/>
  <c r="AE389" i="3" s="1"/>
  <c r="AE390" i="3" s="1"/>
  <c r="AE391" i="3" s="1"/>
  <c r="AE392" i="3" s="1"/>
  <c r="AE393" i="3" s="1"/>
  <c r="AE394" i="3" s="1"/>
  <c r="AE395" i="3" s="1"/>
  <c r="AE396" i="3" s="1"/>
  <c r="AE397" i="3" s="1"/>
  <c r="AE398" i="3" s="1"/>
  <c r="AE399" i="3" s="1"/>
  <c r="AE400" i="3" s="1"/>
  <c r="AE401" i="3" s="1"/>
  <c r="AE402" i="3" s="1"/>
  <c r="AE403" i="3" s="1"/>
  <c r="AE404" i="3" s="1"/>
  <c r="AE405" i="3" s="1"/>
  <c r="AE406" i="3" s="1"/>
  <c r="AE407" i="3" s="1"/>
  <c r="AE408" i="3" s="1"/>
  <c r="AE409" i="3" s="1"/>
  <c r="AE410" i="3" s="1"/>
  <c r="AE411" i="3" s="1"/>
  <c r="AE412" i="3" s="1"/>
  <c r="AE413" i="3" s="1"/>
  <c r="AE414" i="3" s="1"/>
  <c r="AE415" i="3" s="1"/>
  <c r="AE416" i="3" s="1"/>
  <c r="AE417" i="3" s="1"/>
  <c r="AE418" i="3" s="1"/>
  <c r="AE419" i="3" s="1"/>
  <c r="AE420" i="3" s="1"/>
  <c r="AE421" i="3" s="1"/>
  <c r="AE422" i="3" s="1"/>
  <c r="AE423" i="3" s="1"/>
  <c r="AE424" i="3" s="1"/>
  <c r="AE425" i="3" s="1"/>
  <c r="AE426" i="3" s="1"/>
  <c r="AE427" i="3" s="1"/>
  <c r="AE428" i="3" s="1"/>
  <c r="AE429" i="3" s="1"/>
  <c r="AE430" i="3" s="1"/>
  <c r="AE431" i="3" s="1"/>
  <c r="AE432" i="3" s="1"/>
  <c r="AE433" i="3" s="1"/>
  <c r="AE434" i="3" s="1"/>
  <c r="AE435" i="3" s="1"/>
  <c r="AE436" i="3" s="1"/>
  <c r="AE437" i="3" s="1"/>
  <c r="AE438" i="3" s="1"/>
  <c r="AE439" i="3" s="1"/>
  <c r="AE440" i="3" s="1"/>
  <c r="AE441" i="3" s="1"/>
  <c r="AE442" i="3" s="1"/>
  <c r="AE443" i="3" s="1"/>
  <c r="AE444" i="3" s="1"/>
  <c r="AE445" i="3" s="1"/>
  <c r="AE446" i="3" s="1"/>
  <c r="AE447" i="3" s="1"/>
  <c r="AE448" i="3" s="1"/>
  <c r="AE449" i="3" s="1"/>
  <c r="AE450" i="3" s="1"/>
  <c r="AE451" i="3" s="1"/>
  <c r="AE452" i="3" s="1"/>
  <c r="AE453" i="3" s="1"/>
  <c r="AE454" i="3" s="1"/>
  <c r="AE455" i="3" s="1"/>
  <c r="AE456" i="3" s="1"/>
  <c r="AE457" i="3" s="1"/>
  <c r="AE458" i="3" s="1"/>
  <c r="AE459" i="3" s="1"/>
  <c r="AE460" i="3" s="1"/>
  <c r="AE461" i="3" s="1"/>
  <c r="AE462" i="3" s="1"/>
  <c r="AE463" i="3" s="1"/>
  <c r="AE464" i="3" s="1"/>
  <c r="AE465" i="3" s="1"/>
  <c r="AE466" i="3" s="1"/>
  <c r="AE467" i="3" s="1"/>
  <c r="AE468" i="3" s="1"/>
  <c r="AE469" i="3" s="1"/>
  <c r="AE470" i="3" s="1"/>
  <c r="AE471" i="3" s="1"/>
  <c r="AE472" i="3" s="1"/>
  <c r="AE473" i="3" s="1"/>
  <c r="AE474" i="3" s="1"/>
  <c r="AE475" i="3" s="1"/>
  <c r="AE476" i="3" s="1"/>
  <c r="AE477" i="3" s="1"/>
  <c r="AE478" i="3" s="1"/>
  <c r="AE479" i="3" s="1"/>
  <c r="AE480" i="3" s="1"/>
  <c r="AE481" i="3" s="1"/>
  <c r="AE482" i="3" s="1"/>
  <c r="AE483" i="3" s="1"/>
  <c r="AE484" i="3" s="1"/>
  <c r="AE485" i="3" s="1"/>
  <c r="AE486" i="3" s="1"/>
  <c r="AE487" i="3" s="1"/>
  <c r="AE488" i="3" s="1"/>
  <c r="AE489" i="3" s="1"/>
  <c r="AE490" i="3" s="1"/>
  <c r="AE491" i="3" s="1"/>
  <c r="AE492" i="3" s="1"/>
  <c r="AE493" i="3" s="1"/>
  <c r="AE494" i="3" s="1"/>
  <c r="AE495" i="3" s="1"/>
  <c r="AE496" i="3" s="1"/>
  <c r="AE497" i="3" s="1"/>
  <c r="AE498" i="3" s="1"/>
  <c r="AE499" i="3" s="1"/>
  <c r="AE500" i="3" s="1"/>
  <c r="AE501" i="3" s="1"/>
  <c r="AE502" i="3" s="1"/>
  <c r="AE503" i="3" s="1"/>
  <c r="AE504" i="3" s="1"/>
  <c r="AE505" i="3" s="1"/>
  <c r="AE506" i="3" s="1"/>
  <c r="AE507" i="3" s="1"/>
  <c r="AE508" i="3" s="1"/>
  <c r="AE509" i="3" s="1"/>
  <c r="AE510" i="3" s="1"/>
  <c r="AE511" i="3" s="1"/>
  <c r="AE512" i="3" s="1"/>
  <c r="AE513" i="3" s="1"/>
  <c r="AE514" i="3" s="1"/>
  <c r="AE515" i="3" s="1"/>
  <c r="AE516" i="3" s="1"/>
  <c r="AE517" i="3" s="1"/>
  <c r="AE518" i="3" s="1"/>
  <c r="AE519" i="3" s="1"/>
  <c r="AE520" i="3" s="1"/>
  <c r="AE521" i="3" s="1"/>
  <c r="AE522" i="3" s="1"/>
  <c r="AE523" i="3" s="1"/>
  <c r="AE524" i="3" s="1"/>
  <c r="AE525" i="3" s="1"/>
  <c r="AE526" i="3" s="1"/>
  <c r="AE527" i="3" s="1"/>
  <c r="AE528" i="3" s="1"/>
  <c r="AE529" i="3" s="1"/>
  <c r="AE530" i="3" s="1"/>
  <c r="AE531" i="3" s="1"/>
  <c r="AE532" i="3" s="1"/>
  <c r="AE533" i="3" s="1"/>
  <c r="AE534" i="3" s="1"/>
  <c r="AE535" i="3" s="1"/>
  <c r="AE536" i="3" s="1"/>
  <c r="AE537" i="3" s="1"/>
  <c r="AE538" i="3" s="1"/>
  <c r="AE539" i="3" s="1"/>
  <c r="AE540" i="3" s="1"/>
  <c r="AE541" i="3" s="1"/>
  <c r="AE542" i="3" s="1"/>
  <c r="AE543" i="3" s="1"/>
  <c r="AE544" i="3" s="1"/>
  <c r="AE545" i="3" s="1"/>
  <c r="AE546" i="3" s="1"/>
  <c r="AE547" i="3" s="1"/>
  <c r="AE548" i="3" s="1"/>
  <c r="AE549" i="3" s="1"/>
  <c r="AE550" i="3" s="1"/>
  <c r="AE551" i="3" s="1"/>
  <c r="AE552" i="3" s="1"/>
  <c r="AE553" i="3" s="1"/>
  <c r="AE554" i="3" s="1"/>
  <c r="AE555" i="3" s="1"/>
  <c r="AE556" i="3" s="1"/>
  <c r="AE557" i="3" s="1"/>
  <c r="AE558" i="3" s="1"/>
  <c r="AE559" i="3" s="1"/>
  <c r="AE560" i="3" s="1"/>
  <c r="AE561" i="3" s="1"/>
  <c r="AE562" i="3" s="1"/>
  <c r="AE563" i="3" s="1"/>
  <c r="AE564" i="3" s="1"/>
  <c r="AE565" i="3" s="1"/>
  <c r="AE566" i="3" s="1"/>
  <c r="AE567" i="3" s="1"/>
  <c r="AE568" i="3" s="1"/>
  <c r="AE569" i="3" s="1"/>
  <c r="AE570" i="3" s="1"/>
  <c r="AE571" i="3" s="1"/>
  <c r="AE572" i="3" s="1"/>
  <c r="AE573" i="3" s="1"/>
  <c r="AE574" i="3" s="1"/>
  <c r="AE575" i="3" s="1"/>
  <c r="AE576" i="3" s="1"/>
  <c r="AE577" i="3" s="1"/>
  <c r="AE578" i="3" s="1"/>
  <c r="AE579" i="3" s="1"/>
  <c r="AE580" i="3" s="1"/>
  <c r="AE581" i="3" s="1"/>
  <c r="AE582" i="3" s="1"/>
  <c r="AE583" i="3" s="1"/>
  <c r="AE584" i="3" s="1"/>
  <c r="AE585" i="3" s="1"/>
  <c r="AE586" i="3" s="1"/>
  <c r="AE587" i="3" s="1"/>
  <c r="AE588" i="3" s="1"/>
  <c r="AE589" i="3" s="1"/>
  <c r="AE590" i="3" s="1"/>
  <c r="AE591" i="3" s="1"/>
  <c r="AE592" i="3" s="1"/>
  <c r="AE593" i="3" s="1"/>
  <c r="AE594" i="3" s="1"/>
  <c r="AE595" i="3" s="1"/>
  <c r="AE596" i="3" s="1"/>
  <c r="AE597" i="3" s="1"/>
  <c r="AE598" i="3" s="1"/>
  <c r="AE599" i="3" s="1"/>
  <c r="AE600" i="3" s="1"/>
  <c r="AE601" i="3" s="1"/>
  <c r="AE602" i="3" s="1"/>
  <c r="AE603" i="3" s="1"/>
  <c r="AE604" i="3" s="1"/>
  <c r="AE605" i="3" s="1"/>
  <c r="AE606" i="3" s="1"/>
  <c r="AE607" i="3" s="1"/>
  <c r="AE608" i="3" s="1"/>
  <c r="AE609" i="3" s="1"/>
  <c r="AE610" i="3" s="1"/>
  <c r="AE611" i="3" s="1"/>
  <c r="AE612" i="3" s="1"/>
  <c r="AE613" i="3" s="1"/>
  <c r="AE614" i="3" s="1"/>
  <c r="AE615" i="3" s="1"/>
  <c r="AE616" i="3" s="1"/>
  <c r="AE617" i="3" s="1"/>
  <c r="AE618" i="3" s="1"/>
  <c r="AE619" i="3" s="1"/>
  <c r="AE620" i="3" s="1"/>
  <c r="AE621" i="3" s="1"/>
  <c r="AE622" i="3" s="1"/>
  <c r="AE623" i="3" s="1"/>
  <c r="AE624" i="3" s="1"/>
  <c r="AE625" i="3" s="1"/>
  <c r="AE626" i="3" s="1"/>
  <c r="AE627" i="3" s="1"/>
  <c r="AE628" i="3" s="1"/>
  <c r="AE629" i="3" s="1"/>
  <c r="AE630" i="3" s="1"/>
  <c r="AE631" i="3" s="1"/>
  <c r="AE632" i="3" s="1"/>
  <c r="AE633" i="3" s="1"/>
  <c r="AE634" i="3" s="1"/>
  <c r="AE635" i="3" s="1"/>
  <c r="AE636" i="3" s="1"/>
  <c r="AE637" i="3" s="1"/>
  <c r="AE638" i="3" s="1"/>
  <c r="AE639" i="3" s="1"/>
  <c r="AE640" i="3" s="1"/>
  <c r="AE641" i="3" s="1"/>
  <c r="AE642" i="3" s="1"/>
  <c r="AE643" i="3" s="1"/>
  <c r="AE644" i="3" s="1"/>
  <c r="AE645" i="3" s="1"/>
  <c r="AE646" i="3" s="1"/>
  <c r="AE647" i="3" s="1"/>
  <c r="AE648" i="3" s="1"/>
  <c r="AE649" i="3" s="1"/>
  <c r="AE650" i="3" s="1"/>
  <c r="AE651" i="3" s="1"/>
  <c r="AE652" i="3" s="1"/>
  <c r="AE653" i="3" s="1"/>
  <c r="AE654" i="3" s="1"/>
  <c r="AE655" i="3" s="1"/>
  <c r="AE656" i="3" s="1"/>
  <c r="AE657" i="3" s="1"/>
  <c r="AE658" i="3" s="1"/>
  <c r="AE659" i="3" s="1"/>
  <c r="AE660" i="3" s="1"/>
  <c r="AE661" i="3" s="1"/>
  <c r="AE662" i="3" s="1"/>
  <c r="AE663" i="3" s="1"/>
  <c r="AE664" i="3" s="1"/>
  <c r="AE665" i="3" s="1"/>
  <c r="AE666" i="3" s="1"/>
  <c r="AE667" i="3" s="1"/>
  <c r="AE668" i="3" s="1"/>
  <c r="AE669" i="3" s="1"/>
  <c r="AE670" i="3" s="1"/>
  <c r="AE671" i="3" s="1"/>
  <c r="AE672" i="3" s="1"/>
  <c r="AE673" i="3" s="1"/>
  <c r="AE674" i="3" s="1"/>
  <c r="AE675" i="3" s="1"/>
  <c r="AE676" i="3" s="1"/>
  <c r="AE677" i="3" s="1"/>
  <c r="AE678" i="3" s="1"/>
  <c r="AE679" i="3" s="1"/>
  <c r="AE680" i="3" s="1"/>
  <c r="AE681" i="3" s="1"/>
  <c r="AE682" i="3" s="1"/>
  <c r="AE683" i="3" s="1"/>
  <c r="AE684" i="3" s="1"/>
  <c r="AE685" i="3" s="1"/>
  <c r="AE686" i="3" s="1"/>
  <c r="AE687" i="3" s="1"/>
  <c r="AE688" i="3" s="1"/>
  <c r="AE689" i="3" s="1"/>
  <c r="AE690" i="3" s="1"/>
  <c r="AE691" i="3" s="1"/>
  <c r="AE692" i="3" s="1"/>
  <c r="AE693" i="3" s="1"/>
  <c r="AE694" i="3" s="1"/>
  <c r="AE695" i="3" s="1"/>
  <c r="AE696" i="3" s="1"/>
  <c r="AE697" i="3" s="1"/>
  <c r="AE698" i="3" s="1"/>
  <c r="AE699" i="3" s="1"/>
  <c r="AE700" i="3" s="1"/>
  <c r="AE701" i="3" s="1"/>
  <c r="AE702" i="3" s="1"/>
  <c r="AE703" i="3" s="1"/>
  <c r="AE704" i="3" s="1"/>
  <c r="AE705" i="3" s="1"/>
  <c r="AE706" i="3" s="1"/>
  <c r="AE707" i="3" s="1"/>
  <c r="AE708" i="3" s="1"/>
  <c r="AE709" i="3" s="1"/>
  <c r="AE710" i="3" s="1"/>
  <c r="AE711" i="3" s="1"/>
  <c r="AE712" i="3" s="1"/>
  <c r="AE713" i="3" s="1"/>
  <c r="AE714" i="3" s="1"/>
  <c r="AE715" i="3" s="1"/>
  <c r="AE716" i="3" s="1"/>
  <c r="AE717" i="3" s="1"/>
  <c r="AE718" i="3" s="1"/>
  <c r="AE719" i="3" s="1"/>
  <c r="AE720" i="3" s="1"/>
  <c r="AE721" i="3" s="1"/>
  <c r="AE722" i="3" s="1"/>
  <c r="AE723" i="3" s="1"/>
  <c r="AE724" i="3" s="1"/>
  <c r="AE725" i="3" s="1"/>
  <c r="AE726" i="3" s="1"/>
  <c r="AE727" i="3" s="1"/>
  <c r="AE728" i="3" s="1"/>
  <c r="AE729" i="3" s="1"/>
  <c r="AE730" i="3" s="1"/>
  <c r="AE731" i="3" s="1"/>
  <c r="AE732" i="3" s="1"/>
  <c r="AE733" i="3" s="1"/>
  <c r="AE734" i="3" s="1"/>
  <c r="AE735" i="3" s="1"/>
  <c r="AE736" i="3" s="1"/>
  <c r="AE737" i="3" s="1"/>
  <c r="AE738" i="3" s="1"/>
  <c r="AE739" i="3" s="1"/>
  <c r="AE740" i="3" s="1"/>
  <c r="AE741" i="3" s="1"/>
  <c r="AE742" i="3" s="1"/>
  <c r="AE743" i="3" s="1"/>
  <c r="AE744" i="3" s="1"/>
  <c r="AE745" i="3" s="1"/>
  <c r="AE746" i="3" s="1"/>
  <c r="AE747" i="3" s="1"/>
  <c r="AE748" i="3" s="1"/>
  <c r="AE749" i="3" s="1"/>
  <c r="AE750" i="3" s="1"/>
  <c r="AE751" i="3" s="1"/>
  <c r="AE752" i="3" s="1"/>
  <c r="AE753" i="3" s="1"/>
  <c r="AE754" i="3" s="1"/>
  <c r="AE755" i="3" s="1"/>
  <c r="AE756" i="3" s="1"/>
  <c r="AE757" i="3" s="1"/>
  <c r="AE758" i="3" s="1"/>
  <c r="AE759" i="3" s="1"/>
  <c r="AE760" i="3" s="1"/>
  <c r="AE761" i="3" s="1"/>
  <c r="AE762" i="3" s="1"/>
  <c r="AE763" i="3" s="1"/>
  <c r="AE764" i="3" s="1"/>
  <c r="AE765" i="3" s="1"/>
  <c r="AE766" i="3" s="1"/>
  <c r="AE767" i="3" s="1"/>
  <c r="AE768" i="3" s="1"/>
  <c r="AE769" i="3" s="1"/>
  <c r="AE770" i="3" s="1"/>
  <c r="AE771" i="3" s="1"/>
  <c r="AE772" i="3" s="1"/>
  <c r="AE773" i="3" s="1"/>
  <c r="AE774" i="3" s="1"/>
  <c r="AE775" i="3" s="1"/>
  <c r="AE776" i="3" s="1"/>
  <c r="AE777" i="3" s="1"/>
  <c r="AE778" i="3" s="1"/>
  <c r="AE779" i="3" s="1"/>
  <c r="AE780" i="3" s="1"/>
  <c r="AE781" i="3" s="1"/>
  <c r="AE782" i="3" s="1"/>
  <c r="AE783" i="3" s="1"/>
  <c r="AE784" i="3" s="1"/>
  <c r="AE785" i="3" s="1"/>
  <c r="AE786" i="3" s="1"/>
  <c r="AE787" i="3" s="1"/>
  <c r="AE788" i="3" s="1"/>
  <c r="AE789" i="3" s="1"/>
  <c r="AE790" i="3" s="1"/>
  <c r="AE791" i="3" s="1"/>
  <c r="AE792" i="3" s="1"/>
  <c r="AE793" i="3" s="1"/>
  <c r="AE794" i="3" s="1"/>
  <c r="AE795" i="3" s="1"/>
  <c r="AE796" i="3" s="1"/>
  <c r="AE797" i="3" s="1"/>
  <c r="AE798" i="3" s="1"/>
  <c r="AE799" i="3" s="1"/>
  <c r="AE800" i="3" s="1"/>
  <c r="AE801" i="3" s="1"/>
  <c r="AE802" i="3" s="1"/>
  <c r="AE803" i="3" s="1"/>
  <c r="AE804" i="3" s="1"/>
  <c r="AE805" i="3" s="1"/>
  <c r="AE806" i="3" s="1"/>
  <c r="AE807" i="3" s="1"/>
  <c r="AE808" i="3" s="1"/>
  <c r="AE809" i="3" s="1"/>
  <c r="AE810" i="3" s="1"/>
  <c r="AE811" i="3" s="1"/>
  <c r="AE812" i="3" s="1"/>
  <c r="AE813" i="3" s="1"/>
  <c r="AE814" i="3" s="1"/>
  <c r="AE815" i="3" s="1"/>
  <c r="AE816" i="3" s="1"/>
  <c r="AE817" i="3" s="1"/>
  <c r="AE818" i="3" s="1"/>
  <c r="AE819" i="3" s="1"/>
  <c r="AE820" i="3" s="1"/>
  <c r="AE821" i="3" s="1"/>
  <c r="AE822" i="3" s="1"/>
  <c r="AE823" i="3" s="1"/>
  <c r="AE824" i="3" s="1"/>
  <c r="AE825" i="3" s="1"/>
  <c r="AE826" i="3" s="1"/>
  <c r="AE827" i="3" s="1"/>
  <c r="AE828" i="3" s="1"/>
  <c r="AE829" i="3" s="1"/>
  <c r="AE830" i="3" s="1"/>
  <c r="AE831" i="3" s="1"/>
  <c r="AE832" i="3" s="1"/>
  <c r="AE833" i="3" s="1"/>
  <c r="AE834" i="3" s="1"/>
  <c r="AE835" i="3" s="1"/>
  <c r="AE836" i="3" s="1"/>
  <c r="AE837" i="3" s="1"/>
  <c r="AE838" i="3" s="1"/>
  <c r="AE839" i="3" s="1"/>
  <c r="AE840" i="3" s="1"/>
  <c r="AE841" i="3" s="1"/>
  <c r="AE842" i="3" s="1"/>
  <c r="AE843" i="3" s="1"/>
  <c r="AE844" i="3" s="1"/>
  <c r="AE845" i="3" s="1"/>
  <c r="AE846" i="3" s="1"/>
  <c r="AE847" i="3" s="1"/>
  <c r="AE848" i="3" s="1"/>
  <c r="AE849" i="3" s="1"/>
  <c r="AE850" i="3" s="1"/>
  <c r="AE851" i="3" s="1"/>
  <c r="AE852" i="3" s="1"/>
  <c r="AE853" i="3" s="1"/>
  <c r="AE854" i="3" s="1"/>
  <c r="AE855" i="3" s="1"/>
  <c r="AE856" i="3" s="1"/>
  <c r="AE857" i="3" s="1"/>
  <c r="AE858" i="3" s="1"/>
  <c r="AE859" i="3" s="1"/>
  <c r="AE860" i="3" s="1"/>
  <c r="AE861" i="3" s="1"/>
  <c r="AE862" i="3" s="1"/>
  <c r="AE863" i="3" s="1"/>
  <c r="AE864" i="3" s="1"/>
  <c r="AE865" i="3" s="1"/>
  <c r="AE866" i="3" s="1"/>
  <c r="AE867" i="3" s="1"/>
  <c r="AE868" i="3" s="1"/>
  <c r="AE869" i="3" s="1"/>
  <c r="AE870" i="3" s="1"/>
  <c r="AE871" i="3" s="1"/>
  <c r="AE872" i="3" s="1"/>
  <c r="AE873" i="3" s="1"/>
  <c r="AE874" i="3" s="1"/>
  <c r="AE875" i="3" s="1"/>
  <c r="AE876" i="3" s="1"/>
  <c r="AE877" i="3" s="1"/>
  <c r="AE878" i="3" s="1"/>
  <c r="AE879" i="3" s="1"/>
  <c r="AE880" i="3" s="1"/>
  <c r="AE881" i="3" s="1"/>
  <c r="AE882" i="3" s="1"/>
  <c r="AE883" i="3" s="1"/>
  <c r="AE884" i="3" s="1"/>
  <c r="AE885" i="3" s="1"/>
  <c r="AE886" i="3" s="1"/>
  <c r="AE887" i="3" s="1"/>
  <c r="AE888" i="3" s="1"/>
  <c r="AE889" i="3" s="1"/>
  <c r="AE890" i="3" s="1"/>
  <c r="AE891" i="3" s="1"/>
  <c r="AE892" i="3" s="1"/>
  <c r="AE893" i="3" s="1"/>
  <c r="AE894" i="3" s="1"/>
  <c r="AE895" i="3" s="1"/>
  <c r="AE896" i="3" s="1"/>
  <c r="AE897" i="3" s="1"/>
  <c r="AE898" i="3" s="1"/>
  <c r="AE899" i="3" s="1"/>
  <c r="AE900" i="3" s="1"/>
  <c r="AE901" i="3" s="1"/>
  <c r="AE902" i="3" s="1"/>
  <c r="AE903" i="3" s="1"/>
  <c r="AE904" i="3" s="1"/>
  <c r="AE905" i="3" s="1"/>
  <c r="AE906" i="3" s="1"/>
  <c r="AE907" i="3" s="1"/>
  <c r="AE908" i="3" s="1"/>
  <c r="AE909" i="3" s="1"/>
  <c r="AE910" i="3" s="1"/>
  <c r="AE911" i="3" s="1"/>
  <c r="AE912" i="3" s="1"/>
  <c r="AE913" i="3" s="1"/>
  <c r="AE914" i="3" s="1"/>
  <c r="AE915" i="3" s="1"/>
  <c r="AE916" i="3" s="1"/>
  <c r="AE917" i="3" s="1"/>
  <c r="AE918" i="3" s="1"/>
  <c r="AE919" i="3" s="1"/>
  <c r="AE920" i="3" s="1"/>
  <c r="AE921" i="3" s="1"/>
  <c r="AE922" i="3" s="1"/>
  <c r="AE923" i="3" s="1"/>
  <c r="AE924" i="3" s="1"/>
  <c r="AE925" i="3" s="1"/>
  <c r="AE926" i="3" s="1"/>
  <c r="AE927" i="3" s="1"/>
  <c r="AE928" i="3" s="1"/>
  <c r="AE929" i="3" s="1"/>
  <c r="AE930" i="3" s="1"/>
  <c r="AE931" i="3" s="1"/>
  <c r="AE932" i="3" s="1"/>
  <c r="AE933" i="3" s="1"/>
  <c r="AE934" i="3" s="1"/>
  <c r="AE935" i="3" s="1"/>
  <c r="AE936" i="3" s="1"/>
  <c r="AE937" i="3" s="1"/>
  <c r="AE938" i="3" s="1"/>
  <c r="AE939" i="3" s="1"/>
  <c r="AE940" i="3" s="1"/>
  <c r="AE941" i="3" s="1"/>
  <c r="AE942" i="3" s="1"/>
  <c r="AE943" i="3" s="1"/>
  <c r="AE944" i="3" s="1"/>
  <c r="AE945" i="3" s="1"/>
  <c r="AE946" i="3" s="1"/>
  <c r="AE947" i="3" s="1"/>
  <c r="AE948" i="3" s="1"/>
  <c r="AE949" i="3" s="1"/>
  <c r="AE950" i="3" s="1"/>
  <c r="AE951" i="3" s="1"/>
  <c r="AE952" i="3" s="1"/>
  <c r="AE953" i="3" s="1"/>
  <c r="AE954" i="3" s="1"/>
  <c r="AE955" i="3" s="1"/>
  <c r="AE956" i="3" s="1"/>
  <c r="AE957" i="3" s="1"/>
  <c r="AE958" i="3" s="1"/>
  <c r="AE959" i="3" s="1"/>
  <c r="AE960" i="3" s="1"/>
  <c r="AE961" i="3" s="1"/>
  <c r="AE962" i="3" s="1"/>
  <c r="AE963" i="3" s="1"/>
  <c r="AE964" i="3" s="1"/>
  <c r="AE965" i="3" s="1"/>
  <c r="AE966" i="3" s="1"/>
  <c r="AE967" i="3" s="1"/>
  <c r="AE968" i="3" s="1"/>
  <c r="AE969" i="3" s="1"/>
  <c r="AE970" i="3" s="1"/>
  <c r="AE971" i="3" s="1"/>
  <c r="AE972" i="3" s="1"/>
  <c r="AE973" i="3" s="1"/>
  <c r="AE974" i="3" s="1"/>
  <c r="AE975" i="3" s="1"/>
  <c r="AE976" i="3" s="1"/>
  <c r="AE977" i="3" s="1"/>
  <c r="AE978" i="3" s="1"/>
  <c r="AE979" i="3" s="1"/>
  <c r="AE980" i="3" s="1"/>
  <c r="AE981" i="3" s="1"/>
  <c r="AE982" i="3" s="1"/>
  <c r="AE983" i="3" s="1"/>
  <c r="AE984" i="3" s="1"/>
  <c r="AE985" i="3" s="1"/>
  <c r="AE986" i="3" s="1"/>
  <c r="AE987" i="3" s="1"/>
  <c r="AE988" i="3" s="1"/>
  <c r="AE989" i="3" s="1"/>
  <c r="AE990" i="3" s="1"/>
  <c r="AE991" i="3" s="1"/>
  <c r="AE992" i="3" s="1"/>
  <c r="AE993" i="3" s="1"/>
  <c r="AE994" i="3" s="1"/>
  <c r="AE995" i="3" s="1"/>
  <c r="AE996" i="3" s="1"/>
  <c r="AE997" i="3" s="1"/>
  <c r="AE998" i="3" s="1"/>
  <c r="AE999" i="3" s="1"/>
  <c r="AE1000" i="3" s="1"/>
  <c r="AE1001" i="3" s="1"/>
  <c r="AE1002" i="3" s="1"/>
  <c r="AE1003" i="3" s="1"/>
  <c r="AE1004" i="3" s="1"/>
  <c r="AE1005" i="3" s="1"/>
  <c r="AE1006" i="3" s="1"/>
  <c r="AE1007" i="3" s="1"/>
  <c r="AE1008" i="3" s="1"/>
  <c r="AE1009" i="3" s="1"/>
  <c r="AE1010" i="3" s="1"/>
  <c r="AE1011" i="3" s="1"/>
  <c r="AE1012" i="3" s="1"/>
  <c r="AE1013" i="3" s="1"/>
  <c r="AE1014" i="3" s="1"/>
  <c r="AE1015" i="3" s="1"/>
  <c r="AE1016" i="3" s="1"/>
  <c r="AE1017" i="3" s="1"/>
  <c r="AE1018" i="3" s="1"/>
  <c r="AE1019" i="3" s="1"/>
  <c r="AE1020" i="3" s="1"/>
  <c r="AE1021" i="3" s="1"/>
  <c r="AE1022" i="3" s="1"/>
  <c r="AE1023" i="3" s="1"/>
  <c r="AE1024" i="3" s="1"/>
  <c r="AE1025" i="3" s="1"/>
  <c r="AE1026" i="3" s="1"/>
  <c r="AE1027" i="3" s="1"/>
  <c r="AE1028" i="3" s="1"/>
  <c r="AE1029" i="3" s="1"/>
  <c r="AE1030" i="3" s="1"/>
  <c r="AE1031" i="3" s="1"/>
  <c r="AE1032" i="3" s="1"/>
  <c r="AE1033" i="3" s="1"/>
  <c r="AE1034" i="3" s="1"/>
  <c r="AE1035" i="3" s="1"/>
  <c r="AE1036" i="3" s="1"/>
  <c r="AE1037" i="3" s="1"/>
  <c r="AE1038" i="3" s="1"/>
  <c r="AE1039" i="3" s="1"/>
  <c r="AE1040" i="3" s="1"/>
  <c r="AE1041" i="3" s="1"/>
  <c r="AE1042" i="3" s="1"/>
  <c r="AE1043" i="3" s="1"/>
  <c r="AE1044" i="3" s="1"/>
  <c r="AE1045" i="3" s="1"/>
  <c r="AE1046" i="3" s="1"/>
  <c r="AE1047" i="3" s="1"/>
  <c r="AE1048" i="3" s="1"/>
  <c r="AE1049" i="3" s="1"/>
  <c r="AE1050" i="3" s="1"/>
  <c r="AE1051" i="3" s="1"/>
  <c r="AE1052" i="3" s="1"/>
  <c r="AE1053" i="3" s="1"/>
  <c r="AE1054" i="3" s="1"/>
  <c r="AE1055" i="3" s="1"/>
  <c r="AE1056" i="3" s="1"/>
  <c r="AE1057" i="3" s="1"/>
  <c r="AE1058" i="3" s="1"/>
  <c r="AE1059" i="3" s="1"/>
  <c r="AE1060" i="3" s="1"/>
  <c r="AE1061" i="3" s="1"/>
  <c r="AE1062" i="3" s="1"/>
  <c r="AE1063" i="3" s="1"/>
  <c r="AE1064" i="3" s="1"/>
  <c r="AE1065" i="3" s="1"/>
  <c r="AE1066" i="3" s="1"/>
  <c r="AE1067" i="3" s="1"/>
  <c r="AE1068" i="3" s="1"/>
  <c r="AE1069" i="3" s="1"/>
  <c r="AE1070" i="3" s="1"/>
  <c r="AE1071" i="3" s="1"/>
  <c r="AE1072" i="3" s="1"/>
  <c r="AE1073" i="3" s="1"/>
  <c r="AE1074" i="3" s="1"/>
  <c r="AE1075" i="3" s="1"/>
  <c r="AE1076" i="3" s="1"/>
  <c r="AE1077" i="3" s="1"/>
  <c r="AE1078" i="3" s="1"/>
  <c r="AE1079" i="3" s="1"/>
  <c r="AE1080" i="3" s="1"/>
  <c r="AE1081" i="3" s="1"/>
  <c r="AE1082" i="3" s="1"/>
  <c r="AE1083" i="3" s="1"/>
  <c r="AE1084" i="3" s="1"/>
  <c r="AE1085" i="3" s="1"/>
  <c r="AE1086" i="3" s="1"/>
  <c r="AE1087" i="3" s="1"/>
  <c r="AE1088" i="3" s="1"/>
  <c r="AE1089" i="3" s="1"/>
  <c r="AE1090" i="3" s="1"/>
  <c r="AE1091" i="3" s="1"/>
  <c r="AE1092" i="3" s="1"/>
  <c r="AE1093" i="3" s="1"/>
  <c r="AE1094" i="3" s="1"/>
  <c r="AE1095" i="3" s="1"/>
  <c r="AE1096" i="3" s="1"/>
  <c r="AE1097" i="3" s="1"/>
  <c r="AE1098" i="3" s="1"/>
  <c r="AE1099" i="3" s="1"/>
  <c r="AE1100" i="3" s="1"/>
  <c r="AE1101" i="3" s="1"/>
  <c r="AE1102" i="3" s="1"/>
  <c r="AE1103" i="3" s="1"/>
  <c r="AE1104" i="3" s="1"/>
  <c r="AE1105" i="3" s="1"/>
  <c r="AE1106" i="3" s="1"/>
  <c r="AE1107" i="3" s="1"/>
  <c r="AE1108" i="3" s="1"/>
  <c r="AE1109" i="3" s="1"/>
  <c r="AE1110" i="3" s="1"/>
  <c r="AE1111" i="3" s="1"/>
  <c r="AE1112" i="3" s="1"/>
  <c r="AE1113" i="3" s="1"/>
  <c r="AE1114" i="3" s="1"/>
  <c r="AE1115" i="3" s="1"/>
  <c r="AE1116" i="3" s="1"/>
  <c r="AE1117" i="3" s="1"/>
  <c r="AE1118" i="3" s="1"/>
  <c r="AE1119" i="3" s="1"/>
  <c r="AE1120" i="3" s="1"/>
  <c r="AE1121" i="3" s="1"/>
  <c r="AE1122" i="3" s="1"/>
  <c r="AE1123" i="3" s="1"/>
  <c r="AE1124" i="3" s="1"/>
  <c r="AE1125" i="3" s="1"/>
  <c r="AE1126" i="3" s="1"/>
  <c r="AE1127" i="3" s="1"/>
  <c r="AE1128" i="3" s="1"/>
  <c r="AE1129" i="3" s="1"/>
  <c r="AE1130" i="3" s="1"/>
  <c r="AE1131" i="3" s="1"/>
  <c r="AE1132" i="3" s="1"/>
  <c r="AE1133" i="3" s="1"/>
  <c r="AE1134" i="3" s="1"/>
  <c r="AE1135" i="3" s="1"/>
  <c r="AE1136" i="3" s="1"/>
  <c r="AE1137" i="3" s="1"/>
  <c r="AG4" i="3"/>
  <c r="AH4" i="3" s="1"/>
  <c r="AF4" i="3"/>
  <c r="AK4" i="3" s="1"/>
  <c r="AE4" i="3"/>
  <c r="AL3" i="3"/>
  <c r="AM4" i="3" s="1"/>
  <c r="AK3" i="3"/>
  <c r="AJ3" i="3"/>
  <c r="AG3" i="3"/>
  <c r="AJ227" i="3" s="1"/>
  <c r="AL111" i="3" l="1"/>
  <c r="AM112" i="3" s="1"/>
  <c r="AM111" i="3"/>
  <c r="AL83" i="3"/>
  <c r="AM83" i="3"/>
  <c r="AF7" i="3"/>
  <c r="AK6" i="3"/>
  <c r="AL103" i="3"/>
  <c r="AM103" i="3"/>
  <c r="AI89" i="3"/>
  <c r="AJ22" i="3"/>
  <c r="AJ26" i="3"/>
  <c r="AJ30" i="3"/>
  <c r="AJ34" i="3"/>
  <c r="AJ38" i="3"/>
  <c r="AJ42" i="3"/>
  <c r="AJ46" i="3"/>
  <c r="AJ50" i="3"/>
  <c r="AJ54" i="3"/>
  <c r="AJ58" i="3"/>
  <c r="AJ62" i="3"/>
  <c r="AJ66" i="3"/>
  <c r="AJ70" i="3"/>
  <c r="AJ74" i="3"/>
  <c r="AH77" i="3"/>
  <c r="AH86" i="3"/>
  <c r="AJ89" i="3"/>
  <c r="AH94" i="3"/>
  <c r="AJ97" i="3"/>
  <c r="AJ100" i="3"/>
  <c r="AI102" i="3"/>
  <c r="AI105" i="3"/>
  <c r="AJ108" i="3"/>
  <c r="AI110" i="3"/>
  <c r="AI113" i="3"/>
  <c r="AJ116" i="3"/>
  <c r="AH120" i="3"/>
  <c r="AH124" i="3"/>
  <c r="AH128" i="3"/>
  <c r="AH132" i="3"/>
  <c r="AH136" i="3"/>
  <c r="B41" i="6"/>
  <c r="B17" i="6"/>
  <c r="B42" i="5"/>
  <c r="B41" i="5"/>
  <c r="B42" i="7"/>
  <c r="B41" i="7"/>
  <c r="B17" i="7"/>
  <c r="B42" i="6"/>
  <c r="B18" i="6"/>
  <c r="B18" i="7"/>
  <c r="B17" i="5"/>
  <c r="AI138" i="3"/>
  <c r="AH138" i="3"/>
  <c r="AI140" i="3"/>
  <c r="AI142" i="3"/>
  <c r="AH142" i="3"/>
  <c r="AI144" i="3"/>
  <c r="AI146" i="3"/>
  <c r="AH146" i="3"/>
  <c r="AI148" i="3"/>
  <c r="AJ150" i="3"/>
  <c r="AI150" i="3"/>
  <c r="AH150" i="3"/>
  <c r="AJ159" i="3"/>
  <c r="AM165" i="3"/>
  <c r="AL165" i="3"/>
  <c r="AJ178" i="3"/>
  <c r="AI181" i="3"/>
  <c r="AJ184" i="3"/>
  <c r="AI184" i="3"/>
  <c r="AI195" i="3"/>
  <c r="AJ201" i="3"/>
  <c r="AM205" i="3"/>
  <c r="AL205" i="3"/>
  <c r="AM206" i="3" s="1"/>
  <c r="AI207" i="3"/>
  <c r="AJ213" i="3"/>
  <c r="AM217" i="3"/>
  <c r="AL217" i="3"/>
  <c r="AI219" i="3"/>
  <c r="AJ223" i="3"/>
  <c r="AI223" i="3"/>
  <c r="AH223" i="3"/>
  <c r="AI226" i="3"/>
  <c r="AH257" i="3"/>
  <c r="AJ257" i="3"/>
  <c r="AI257" i="3"/>
  <c r="AI273" i="3"/>
  <c r="AJ292" i="3"/>
  <c r="AI169" i="3"/>
  <c r="AI38" i="3"/>
  <c r="AI70" i="3"/>
  <c r="AI97" i="3"/>
  <c r="AH113" i="3"/>
  <c r="AI122" i="3"/>
  <c r="AH122" i="3"/>
  <c r="AJ152" i="3"/>
  <c r="AI152" i="3"/>
  <c r="AI201" i="3"/>
  <c r="AJ6" i="3"/>
  <c r="AH17" i="3"/>
  <c r="AJ105" i="3"/>
  <c r="AJ138" i="3"/>
  <c r="AJ142" i="3"/>
  <c r="AJ146" i="3"/>
  <c r="AM153" i="3"/>
  <c r="AL153" i="3"/>
  <c r="AI157" i="3"/>
  <c r="AJ162" i="3"/>
  <c r="AI162" i="3"/>
  <c r="AH162" i="3"/>
  <c r="AI167" i="3"/>
  <c r="AI175" i="3"/>
  <c r="AJ181" i="3"/>
  <c r="AJ229" i="3"/>
  <c r="AI233" i="3"/>
  <c r="AI236" i="3"/>
  <c r="AI239" i="3"/>
  <c r="AJ244" i="3"/>
  <c r="AI244" i="3"/>
  <c r="AH244" i="3"/>
  <c r="AM249" i="3"/>
  <c r="AL249" i="3"/>
  <c r="AI288" i="3"/>
  <c r="AI308" i="3"/>
  <c r="AJ331" i="3"/>
  <c r="AI331" i="3"/>
  <c r="AH331" i="3"/>
  <c r="AI341" i="3"/>
  <c r="AJ341" i="3"/>
  <c r="AJ432" i="3"/>
  <c r="AJ561" i="3"/>
  <c r="AH561" i="3"/>
  <c r="AI235" i="3"/>
  <c r="AI10" i="3"/>
  <c r="AI42" i="3"/>
  <c r="AI100" i="3"/>
  <c r="B18" i="5"/>
  <c r="AJ10" i="3"/>
  <c r="AH5" i="3"/>
  <c r="AH25" i="3"/>
  <c r="AI13" i="3"/>
  <c r="AI17" i="3"/>
  <c r="AI33" i="3"/>
  <c r="AI37" i="3"/>
  <c r="AI41" i="3"/>
  <c r="AI45" i="3"/>
  <c r="AI49" i="3"/>
  <c r="AI53" i="3"/>
  <c r="AI57" i="3"/>
  <c r="AL58" i="3"/>
  <c r="AI61" i="3"/>
  <c r="AI65" i="3"/>
  <c r="AL66" i="3"/>
  <c r="AI69" i="3"/>
  <c r="AI73" i="3"/>
  <c r="AJ77" i="3"/>
  <c r="AI80" i="3"/>
  <c r="AI83" i="3"/>
  <c r="AI91" i="3"/>
  <c r="AL97" i="3"/>
  <c r="AI99" i="3"/>
  <c r="AJ102" i="3"/>
  <c r="AJ110" i="3"/>
  <c r="AL130" i="3"/>
  <c r="AJ140" i="3"/>
  <c r="AJ144" i="3"/>
  <c r="AJ148" i="3"/>
  <c r="AJ157" i="3"/>
  <c r="AJ167" i="3"/>
  <c r="AJ170" i="3"/>
  <c r="AI170" i="3"/>
  <c r="AH170" i="3"/>
  <c r="AM185" i="3"/>
  <c r="AL185" i="3"/>
  <c r="AJ190" i="3"/>
  <c r="AI193" i="3"/>
  <c r="AJ196" i="3"/>
  <c r="AI196" i="3"/>
  <c r="AJ208" i="3"/>
  <c r="AI208" i="3"/>
  <c r="AJ220" i="3"/>
  <c r="AI220" i="3"/>
  <c r="AJ226" i="3"/>
  <c r="AJ230" i="3"/>
  <c r="AJ233" i="3"/>
  <c r="AJ236" i="3"/>
  <c r="AJ240" i="3"/>
  <c r="AI240" i="3"/>
  <c r="AH240" i="3"/>
  <c r="AI261" i="3"/>
  <c r="AI278" i="3"/>
  <c r="AJ283" i="3"/>
  <c r="AH283" i="3"/>
  <c r="AI283" i="3"/>
  <c r="AJ315" i="3"/>
  <c r="AI315" i="3"/>
  <c r="AH315" i="3"/>
  <c r="AH341" i="3"/>
  <c r="AI515" i="3"/>
  <c r="AJ515" i="3"/>
  <c r="AH515" i="3"/>
  <c r="AI561" i="3"/>
  <c r="AI46" i="3"/>
  <c r="AI62" i="3"/>
  <c r="AI124" i="3"/>
  <c r="AI130" i="3"/>
  <c r="AH130" i="3"/>
  <c r="AI134" i="3"/>
  <c r="AH134" i="3"/>
  <c r="AJ210" i="3"/>
  <c r="AJ243" i="3"/>
  <c r="AI243" i="3"/>
  <c r="AH243" i="3"/>
  <c r="AJ408" i="3"/>
  <c r="AJ18" i="3"/>
  <c r="AH9" i="3"/>
  <c r="AH13" i="3"/>
  <c r="AH21" i="3"/>
  <c r="AI5" i="3"/>
  <c r="AI9" i="3"/>
  <c r="AL18" i="3"/>
  <c r="AI21" i="3"/>
  <c r="AI25" i="3"/>
  <c r="AJ5" i="3"/>
  <c r="AJ29" i="3"/>
  <c r="AJ83" i="3"/>
  <c r="AH88" i="3"/>
  <c r="AJ91" i="3"/>
  <c r="AH96" i="3"/>
  <c r="AJ99" i="3"/>
  <c r="AI107" i="3"/>
  <c r="AL113" i="3"/>
  <c r="AI115" i="3"/>
  <c r="AL140" i="3"/>
  <c r="AI155" i="3"/>
  <c r="AJ160" i="3"/>
  <c r="AI160" i="3"/>
  <c r="AJ176" i="3"/>
  <c r="AI176" i="3"/>
  <c r="AI187" i="3"/>
  <c r="AJ193" i="3"/>
  <c r="AH196" i="3"/>
  <c r="AJ202" i="3"/>
  <c r="AI205" i="3"/>
  <c r="AH208" i="3"/>
  <c r="AJ214" i="3"/>
  <c r="AI217" i="3"/>
  <c r="AH220" i="3"/>
  <c r="AH230" i="3"/>
  <c r="AJ249" i="3"/>
  <c r="AJ284" i="3"/>
  <c r="AI284" i="3"/>
  <c r="AH284" i="3"/>
  <c r="AJ309" i="3"/>
  <c r="AJ316" i="3"/>
  <c r="AI349" i="3"/>
  <c r="AJ349" i="3"/>
  <c r="AJ161" i="3"/>
  <c r="AJ172" i="3"/>
  <c r="AI172" i="3"/>
  <c r="AJ272" i="3"/>
  <c r="AI18" i="3"/>
  <c r="AI74" i="3"/>
  <c r="AI94" i="3"/>
  <c r="AI136" i="3"/>
  <c r="AJ189" i="3"/>
  <c r="AJ260" i="3"/>
  <c r="AJ14" i="3"/>
  <c r="AI77" i="3"/>
  <c r="AK5" i="3"/>
  <c r="AJ107" i="3"/>
  <c r="AJ115" i="3"/>
  <c r="AJ155" i="3"/>
  <c r="AH160" i="3"/>
  <c r="AI165" i="3"/>
  <c r="AJ168" i="3"/>
  <c r="AI168" i="3"/>
  <c r="AI173" i="3"/>
  <c r="AH176" i="3"/>
  <c r="AJ182" i="3"/>
  <c r="AI199" i="3"/>
  <c r="AJ205" i="3"/>
  <c r="AI211" i="3"/>
  <c r="AJ217" i="3"/>
  <c r="AI224" i="3"/>
  <c r="AI230" i="3"/>
  <c r="AL258" i="3"/>
  <c r="AI266" i="3"/>
  <c r="AI279" i="3"/>
  <c r="AI328" i="3"/>
  <c r="AH349" i="3"/>
  <c r="AI493" i="3"/>
  <c r="AI260" i="3"/>
  <c r="AI26" i="3"/>
  <c r="AI116" i="3"/>
  <c r="AI4" i="3"/>
  <c r="AI16" i="3"/>
  <c r="AI28" i="3"/>
  <c r="AI40" i="3"/>
  <c r="AI60" i="3"/>
  <c r="AI68" i="3"/>
  <c r="AI72" i="3"/>
  <c r="AI85" i="3"/>
  <c r="AJ88" i="3"/>
  <c r="AI90" i="3"/>
  <c r="AI93" i="3"/>
  <c r="AJ96" i="3"/>
  <c r="AI98" i="3"/>
  <c r="AI104" i="3"/>
  <c r="AI112" i="3"/>
  <c r="AI117" i="3"/>
  <c r="AI153" i="3"/>
  <c r="AJ158" i="3"/>
  <c r="AI158" i="3"/>
  <c r="AH158" i="3"/>
  <c r="AJ165" i="3"/>
  <c r="AJ173" i="3"/>
  <c r="AI179" i="3"/>
  <c r="AJ188" i="3"/>
  <c r="AI188" i="3"/>
  <c r="AJ224" i="3"/>
  <c r="AI227" i="3"/>
  <c r="AI254" i="3"/>
  <c r="AM268" i="3"/>
  <c r="AL268" i="3"/>
  <c r="AJ295" i="3"/>
  <c r="AI295" i="3"/>
  <c r="AH295" i="3"/>
  <c r="AI304" i="3"/>
  <c r="AH338" i="3"/>
  <c r="AJ338" i="3"/>
  <c r="AI338" i="3"/>
  <c r="AJ111" i="3"/>
  <c r="AJ238" i="3"/>
  <c r="AI14" i="3"/>
  <c r="AI54" i="3"/>
  <c r="AJ84" i="3"/>
  <c r="AI118" i="3"/>
  <c r="AH118" i="3"/>
  <c r="AI159" i="3"/>
  <c r="AI20" i="3"/>
  <c r="AI36" i="3"/>
  <c r="AI44" i="3"/>
  <c r="AI52" i="3"/>
  <c r="AJ16" i="3"/>
  <c r="AJ28" i="3"/>
  <c r="AJ32" i="3"/>
  <c r="AJ36" i="3"/>
  <c r="AJ44" i="3"/>
  <c r="AJ48" i="3"/>
  <c r="AJ52" i="3"/>
  <c r="AJ56" i="3"/>
  <c r="AJ60" i="3"/>
  <c r="AJ64" i="3"/>
  <c r="AJ68" i="3"/>
  <c r="AJ72" i="3"/>
  <c r="AJ76" i="3"/>
  <c r="AJ79" i="3"/>
  <c r="AI82" i="3"/>
  <c r="AJ85" i="3"/>
  <c r="AH90" i="3"/>
  <c r="AJ93" i="3"/>
  <c r="AH98" i="3"/>
  <c r="AI101" i="3"/>
  <c r="AJ104" i="3"/>
  <c r="AI106" i="3"/>
  <c r="AI109" i="3"/>
  <c r="AJ112" i="3"/>
  <c r="AI114" i="3"/>
  <c r="AJ117" i="3"/>
  <c r="AI119" i="3"/>
  <c r="AI121" i="3"/>
  <c r="AI123" i="3"/>
  <c r="AI125" i="3"/>
  <c r="AI127" i="3"/>
  <c r="AI129" i="3"/>
  <c r="AI131" i="3"/>
  <c r="AI133" i="3"/>
  <c r="AI135" i="3"/>
  <c r="AI137" i="3"/>
  <c r="B11" i="5"/>
  <c r="B12" i="5" s="1"/>
  <c r="B11" i="7"/>
  <c r="B12" i="7" s="1"/>
  <c r="B11" i="6"/>
  <c r="B12" i="6" s="1"/>
  <c r="AH139" i="3"/>
  <c r="AH141" i="3"/>
  <c r="AH145" i="3"/>
  <c r="AH149" i="3"/>
  <c r="AI151" i="3"/>
  <c r="AJ153" i="3"/>
  <c r="AI163" i="3"/>
  <c r="AI185" i="3"/>
  <c r="AH188" i="3"/>
  <c r="AJ200" i="3"/>
  <c r="AI200" i="3"/>
  <c r="AJ212" i="3"/>
  <c r="AI212" i="3"/>
  <c r="AJ221" i="3"/>
  <c r="AJ255" i="3"/>
  <c r="AH255" i="3"/>
  <c r="AJ267" i="3"/>
  <c r="AH267" i="3"/>
  <c r="AJ186" i="3"/>
  <c r="AJ242" i="3"/>
  <c r="AJ390" i="3"/>
  <c r="AI6" i="3"/>
  <c r="AI34" i="3"/>
  <c r="AI66" i="3"/>
  <c r="AJ92" i="3"/>
  <c r="AH105" i="3"/>
  <c r="AI128" i="3"/>
  <c r="AI213" i="3"/>
  <c r="AH269" i="3"/>
  <c r="AJ269" i="3"/>
  <c r="AI269" i="3"/>
  <c r="AL370" i="3"/>
  <c r="AM370" i="3"/>
  <c r="AI12" i="3"/>
  <c r="AI24" i="3"/>
  <c r="AI76" i="3"/>
  <c r="AJ4" i="3"/>
  <c r="AJ12" i="3"/>
  <c r="AJ24" i="3"/>
  <c r="AJ40" i="3"/>
  <c r="AI1122" i="3"/>
  <c r="AI1083" i="3"/>
  <c r="AI1075" i="3"/>
  <c r="AI1072" i="3"/>
  <c r="AI1060" i="3"/>
  <c r="AI1036" i="3"/>
  <c r="AJ1106" i="3"/>
  <c r="AI1064" i="3"/>
  <c r="AI1040" i="3"/>
  <c r="AI1016" i="3"/>
  <c r="B8" i="4"/>
  <c r="AI1135" i="3"/>
  <c r="AI1127" i="3"/>
  <c r="AI1113" i="3"/>
  <c r="AI1099" i="3"/>
  <c r="AI1091" i="3"/>
  <c r="AI1088" i="3"/>
  <c r="AI1077" i="3"/>
  <c r="AJ1122" i="3"/>
  <c r="AJ1108" i="3"/>
  <c r="AJ1083" i="3"/>
  <c r="AJ1075" i="3"/>
  <c r="AJ1072" i="3"/>
  <c r="AI1069" i="3"/>
  <c r="AJ1060" i="3"/>
  <c r="AJ1132" i="3"/>
  <c r="AI1106" i="3"/>
  <c r="AJ1104" i="3"/>
  <c r="AJ1085" i="3"/>
  <c r="AI1078" i="3"/>
  <c r="AI1076" i="3"/>
  <c r="AI1074" i="3"/>
  <c r="AJ1068" i="3"/>
  <c r="AI1066" i="3"/>
  <c r="AI1059" i="3"/>
  <c r="AI1057" i="3"/>
  <c r="AJ1048" i="3"/>
  <c r="AI1031" i="3"/>
  <c r="AJ1024" i="3"/>
  <c r="AI1021" i="3"/>
  <c r="AI1018" i="3"/>
  <c r="AI1015" i="3"/>
  <c r="B9" i="4"/>
  <c r="AI1104" i="3"/>
  <c r="AJ1091" i="3"/>
  <c r="AI1085" i="3"/>
  <c r="AJ1064" i="3"/>
  <c r="AI1048" i="3"/>
  <c r="AJ1044" i="3"/>
  <c r="AI1024" i="3"/>
  <c r="AJ1004" i="3"/>
  <c r="AJ1127" i="3"/>
  <c r="AJ1121" i="3"/>
  <c r="AI1119" i="3"/>
  <c r="AI1097" i="3"/>
  <c r="AI1044" i="3"/>
  <c r="AI1004" i="3"/>
  <c r="B3" i="4"/>
  <c r="AI1121" i="3"/>
  <c r="AI1110" i="3"/>
  <c r="AJ1099" i="3"/>
  <c r="AI1093" i="3"/>
  <c r="AI1062" i="3"/>
  <c r="AJ1032" i="3"/>
  <c r="AJ1016" i="3"/>
  <c r="AI1010" i="3"/>
  <c r="AI1007" i="3"/>
  <c r="AI1129" i="3"/>
  <c r="AI1032" i="3"/>
  <c r="AI1133" i="3"/>
  <c r="AJ1040" i="3"/>
  <c r="AJ1137" i="3"/>
  <c r="AJ1124" i="3"/>
  <c r="AI1092" i="3"/>
  <c r="AJ1090" i="3"/>
  <c r="AJ1088" i="3"/>
  <c r="AJ1077" i="3"/>
  <c r="AI1118" i="3"/>
  <c r="AJ1096" i="3"/>
  <c r="AI1028" i="3"/>
  <c r="AI1070" i="3"/>
  <c r="AI1041" i="3"/>
  <c r="AJ1035" i="3"/>
  <c r="AI1026" i="3"/>
  <c r="AI1020" i="3"/>
  <c r="AJ1015" i="3"/>
  <c r="AI1000" i="3"/>
  <c r="AJ989" i="3"/>
  <c r="AJ1136" i="3"/>
  <c r="AI1103" i="3"/>
  <c r="AI1035" i="3"/>
  <c r="AI1017" i="3"/>
  <c r="AJ973" i="3"/>
  <c r="AJ950" i="3"/>
  <c r="AI1124" i="3"/>
  <c r="AJ1098" i="3"/>
  <c r="AI1073" i="3"/>
  <c r="AJ1066" i="3"/>
  <c r="AJ1012" i="3"/>
  <c r="AI950" i="3"/>
  <c r="AJ1135" i="3"/>
  <c r="AI1086" i="3"/>
  <c r="AJ1069" i="3"/>
  <c r="AI1047" i="3"/>
  <c r="AJ1014" i="3"/>
  <c r="AI1012" i="3"/>
  <c r="AI971" i="3"/>
  <c r="AJ966" i="3"/>
  <c r="AI963" i="3"/>
  <c r="AI947" i="3"/>
  <c r="AI1090" i="3"/>
  <c r="AI1014" i="3"/>
  <c r="AJ1076" i="3"/>
  <c r="AI1050" i="3"/>
  <c r="AJ1028" i="3"/>
  <c r="AI1009" i="3"/>
  <c r="AJ969" i="3"/>
  <c r="AJ1109" i="3"/>
  <c r="AI1065" i="3"/>
  <c r="AJ1031" i="3"/>
  <c r="AI1006" i="3"/>
  <c r="AJ1134" i="3"/>
  <c r="AJ1056" i="3"/>
  <c r="AI1049" i="3"/>
  <c r="AJ1011" i="3"/>
  <c r="AJ1008" i="3"/>
  <c r="AJ1003" i="3"/>
  <c r="AJ988" i="3"/>
  <c r="AI964" i="3"/>
  <c r="AJ961" i="3"/>
  <c r="AI1134" i="3"/>
  <c r="AJ1118" i="3"/>
  <c r="AI1096" i="3"/>
  <c r="AJ1059" i="3"/>
  <c r="AI1056" i="3"/>
  <c r="AI1011" i="3"/>
  <c r="AI1008" i="3"/>
  <c r="AI1003" i="3"/>
  <c r="AJ992" i="3"/>
  <c r="AI988" i="3"/>
  <c r="AJ1052" i="3"/>
  <c r="AJ1036" i="3"/>
  <c r="AI1033" i="3"/>
  <c r="AJ1018" i="3"/>
  <c r="AJ996" i="3"/>
  <c r="AI992" i="3"/>
  <c r="AJ979" i="3"/>
  <c r="AJ977" i="3"/>
  <c r="AJ952" i="3"/>
  <c r="AI1002" i="3"/>
  <c r="AJ906" i="3"/>
  <c r="AI886" i="3"/>
  <c r="AI1045" i="3"/>
  <c r="AJ983" i="3"/>
  <c r="AJ962" i="3"/>
  <c r="AJ959" i="3"/>
  <c r="AJ910" i="3"/>
  <c r="AJ908" i="3"/>
  <c r="AI906" i="3"/>
  <c r="AJ894" i="3"/>
  <c r="AI983" i="3"/>
  <c r="AI962" i="3"/>
  <c r="AJ942" i="3"/>
  <c r="AJ930" i="3"/>
  <c r="AI910" i="3"/>
  <c r="AI894" i="3"/>
  <c r="AI1061" i="3"/>
  <c r="AJ987" i="3"/>
  <c r="AJ965" i="3"/>
  <c r="AI942" i="3"/>
  <c r="AI937" i="3"/>
  <c r="AI930" i="3"/>
  <c r="AI925" i="3"/>
  <c r="AJ914" i="3"/>
  <c r="AJ892" i="3"/>
  <c r="AI996" i="3"/>
  <c r="AJ916" i="3"/>
  <c r="AI914" i="3"/>
  <c r="AI1137" i="3"/>
  <c r="AJ1000" i="3"/>
  <c r="AJ964" i="3"/>
  <c r="AI952" i="3"/>
  <c r="AJ918" i="3"/>
  <c r="AJ981" i="3"/>
  <c r="AI958" i="3"/>
  <c r="AJ949" i="3"/>
  <c r="AJ941" i="3"/>
  <c r="AJ934" i="3"/>
  <c r="AJ929" i="3"/>
  <c r="AJ920" i="3"/>
  <c r="AI918" i="3"/>
  <c r="AJ1038" i="3"/>
  <c r="AJ946" i="3"/>
  <c r="AI934" i="3"/>
  <c r="AJ922" i="3"/>
  <c r="AI885" i="3"/>
  <c r="AJ1020" i="3"/>
  <c r="AJ985" i="3"/>
  <c r="AI967" i="3"/>
  <c r="AI946" i="3"/>
  <c r="AJ924" i="3"/>
  <c r="AI922" i="3"/>
  <c r="AI1058" i="3"/>
  <c r="AI1052" i="3"/>
  <c r="AI980" i="3"/>
  <c r="AJ975" i="3"/>
  <c r="AJ948" i="3"/>
  <c r="AJ877" i="3"/>
  <c r="AJ902" i="3"/>
  <c r="AJ885" i="3"/>
  <c r="AI861" i="3"/>
  <c r="AJ1074" i="3"/>
  <c r="AI975" i="3"/>
  <c r="AJ945" i="3"/>
  <c r="AI902" i="3"/>
  <c r="AJ865" i="3"/>
  <c r="AI827" i="3"/>
  <c r="AI811" i="3"/>
  <c r="AI865" i="3"/>
  <c r="AJ869" i="3"/>
  <c r="AI856" i="3"/>
  <c r="AJ843" i="3"/>
  <c r="AJ839" i="3"/>
  <c r="AI832" i="3"/>
  <c r="AI825" i="3"/>
  <c r="AJ823" i="3"/>
  <c r="AI816" i="3"/>
  <c r="AI809" i="3"/>
  <c r="AI979" i="3"/>
  <c r="AJ896" i="3"/>
  <c r="AJ873" i="3"/>
  <c r="AI869" i="3"/>
  <c r="AJ938" i="3"/>
  <c r="AJ933" i="3"/>
  <c r="AJ917" i="3"/>
  <c r="AI873" i="3"/>
  <c r="AJ849" i="3"/>
  <c r="AI938" i="3"/>
  <c r="AI933" i="3"/>
  <c r="AI917" i="3"/>
  <c r="AJ864" i="3"/>
  <c r="AJ851" i="3"/>
  <c r="AI849" i="3"/>
  <c r="AI948" i="3"/>
  <c r="AI891" i="3"/>
  <c r="AI877" i="3"/>
  <c r="AJ853" i="3"/>
  <c r="AJ898" i="3"/>
  <c r="AJ886" i="3"/>
  <c r="AJ855" i="3"/>
  <c r="AI853" i="3"/>
  <c r="AJ826" i="3"/>
  <c r="AJ810" i="3"/>
  <c r="AJ984" i="3"/>
  <c r="AJ926" i="3"/>
  <c r="AJ904" i="3"/>
  <c r="AI898" i="3"/>
  <c r="AJ883" i="3"/>
  <c r="AJ857" i="3"/>
  <c r="AJ808" i="3"/>
  <c r="AJ804" i="3"/>
  <c r="AJ800" i="3"/>
  <c r="AJ796" i="3"/>
  <c r="AJ792" i="3"/>
  <c r="AJ876" i="3"/>
  <c r="AJ872" i="3"/>
  <c r="AJ836" i="3"/>
  <c r="AJ779" i="3"/>
  <c r="AJ768" i="3"/>
  <c r="AI760" i="3"/>
  <c r="AI752" i="3"/>
  <c r="AJ736" i="3"/>
  <c r="AJ717" i="3"/>
  <c r="AJ713" i="3"/>
  <c r="AJ709" i="3"/>
  <c r="AJ705" i="3"/>
  <c r="AJ693" i="3"/>
  <c r="AJ685" i="3"/>
  <c r="AI682" i="3"/>
  <c r="AI678" i="3"/>
  <c r="AI674" i="3"/>
  <c r="AI670" i="3"/>
  <c r="AI666" i="3"/>
  <c r="AI662" i="3"/>
  <c r="AI658" i="3"/>
  <c r="AI654" i="3"/>
  <c r="AI650" i="3"/>
  <c r="AI646" i="3"/>
  <c r="AI642" i="3"/>
  <c r="AI638" i="3"/>
  <c r="AI634" i="3"/>
  <c r="AI883" i="3"/>
  <c r="AI872" i="3"/>
  <c r="AJ848" i="3"/>
  <c r="AJ784" i="3"/>
  <c r="AJ776" i="3"/>
  <c r="AI768" i="3"/>
  <c r="AJ740" i="3"/>
  <c r="AJ738" i="3"/>
  <c r="AI736" i="3"/>
  <c r="AI705" i="3"/>
  <c r="AI693" i="3"/>
  <c r="AJ688" i="3"/>
  <c r="AI685" i="3"/>
  <c r="AI848" i="3"/>
  <c r="AI796" i="3"/>
  <c r="AI784" i="3"/>
  <c r="AI776" i="3"/>
  <c r="AI740" i="3"/>
  <c r="AI688" i="3"/>
  <c r="AI926" i="3"/>
  <c r="AJ829" i="3"/>
  <c r="AI800" i="3"/>
  <c r="AJ744" i="3"/>
  <c r="AI727" i="3"/>
  <c r="AJ701" i="3"/>
  <c r="AI691" i="3"/>
  <c r="AI683" i="3"/>
  <c r="AI679" i="3"/>
  <c r="AI675" i="3"/>
  <c r="AI671" i="3"/>
  <c r="AI667" i="3"/>
  <c r="AI663" i="3"/>
  <c r="AI659" i="3"/>
  <c r="AI655" i="3"/>
  <c r="AI651" i="3"/>
  <c r="AI647" i="3"/>
  <c r="AI643" i="3"/>
  <c r="AI639" i="3"/>
  <c r="AI804" i="3"/>
  <c r="AI744" i="3"/>
  <c r="AJ813" i="3"/>
  <c r="AI808" i="3"/>
  <c r="AJ720" i="3"/>
  <c r="AJ822" i="3"/>
  <c r="AI792" i="3"/>
  <c r="AJ772" i="3"/>
  <c r="AJ764" i="3"/>
  <c r="AJ756" i="3"/>
  <c r="AJ748" i="3"/>
  <c r="AJ722" i="3"/>
  <c r="AI720" i="3"/>
  <c r="AJ704" i="3"/>
  <c r="AI857" i="3"/>
  <c r="AJ780" i="3"/>
  <c r="AI772" i="3"/>
  <c r="AI764" i="3"/>
  <c r="AI756" i="3"/>
  <c r="AI748" i="3"/>
  <c r="AJ724" i="3"/>
  <c r="AI704" i="3"/>
  <c r="AJ838" i="3"/>
  <c r="AI780" i="3"/>
  <c r="AJ726" i="3"/>
  <c r="AI724" i="3"/>
  <c r="AJ702" i="3"/>
  <c r="AJ788" i="3"/>
  <c r="AJ728" i="3"/>
  <c r="AJ700" i="3"/>
  <c r="AJ755" i="3"/>
  <c r="AJ732" i="3"/>
  <c r="AI700" i="3"/>
  <c r="AJ690" i="3"/>
  <c r="AJ653" i="3"/>
  <c r="AJ632" i="3"/>
  <c r="AJ622" i="3"/>
  <c r="AJ610" i="3"/>
  <c r="AI602" i="3"/>
  <c r="AI578" i="3"/>
  <c r="AJ575" i="3"/>
  <c r="AI562" i="3"/>
  <c r="AJ559" i="3"/>
  <c r="AI546" i="3"/>
  <c r="AJ543" i="3"/>
  <c r="AI536" i="3"/>
  <c r="AI532" i="3"/>
  <c r="AI528" i="3"/>
  <c r="AI524" i="3"/>
  <c r="AI520" i="3"/>
  <c r="AI516" i="3"/>
  <c r="AI512" i="3"/>
  <c r="AI508" i="3"/>
  <c r="AJ760" i="3"/>
  <c r="AI732" i="3"/>
  <c r="AJ715" i="3"/>
  <c r="AI668" i="3"/>
  <c r="AI632" i="3"/>
  <c r="AI622" i="3"/>
  <c r="AI610" i="3"/>
  <c r="AJ605" i="3"/>
  <c r="AJ594" i="3"/>
  <c r="AI591" i="3"/>
  <c r="AJ585" i="3"/>
  <c r="AI575" i="3"/>
  <c r="AJ569" i="3"/>
  <c r="AI559" i="3"/>
  <c r="AJ553" i="3"/>
  <c r="AI543" i="3"/>
  <c r="AI715" i="3"/>
  <c r="AJ662" i="3"/>
  <c r="AJ646" i="3"/>
  <c r="AJ634" i="3"/>
  <c r="AJ618" i="3"/>
  <c r="AI594" i="3"/>
  <c r="AI553" i="3"/>
  <c r="AI815" i="3"/>
  <c r="AJ674" i="3"/>
  <c r="AI618" i="3"/>
  <c r="AI608" i="3"/>
  <c r="AI600" i="3"/>
  <c r="AI597" i="3"/>
  <c r="AI582" i="3"/>
  <c r="AJ579" i="3"/>
  <c r="AI566" i="3"/>
  <c r="AJ563" i="3"/>
  <c r="AI550" i="3"/>
  <c r="AJ547" i="3"/>
  <c r="AI537" i="3"/>
  <c r="AI533" i="3"/>
  <c r="AI529" i="3"/>
  <c r="AI525" i="3"/>
  <c r="AI521" i="3"/>
  <c r="AI517" i="3"/>
  <c r="AI513" i="3"/>
  <c r="AJ747" i="3"/>
  <c r="AJ719" i="3"/>
  <c r="AJ820" i="3"/>
  <c r="AI719" i="3"/>
  <c r="AJ698" i="3"/>
  <c r="AJ678" i="3"/>
  <c r="AJ670" i="3"/>
  <c r="AJ658" i="3"/>
  <c r="AJ642" i="3"/>
  <c r="AJ606" i="3"/>
  <c r="AJ763" i="3"/>
  <c r="AJ752" i="3"/>
  <c r="AJ682" i="3"/>
  <c r="AI648" i="3"/>
  <c r="AI623" i="3"/>
  <c r="AI606" i="3"/>
  <c r="AJ598" i="3"/>
  <c r="AI595" i="3"/>
  <c r="AJ580" i="3"/>
  <c r="AJ564" i="3"/>
  <c r="AJ548" i="3"/>
  <c r="AJ861" i="3"/>
  <c r="AJ734" i="3"/>
  <c r="AJ707" i="3"/>
  <c r="AJ614" i="3"/>
  <c r="AI598" i="3"/>
  <c r="AI580" i="3"/>
  <c r="AI564" i="3"/>
  <c r="AI548" i="3"/>
  <c r="AI707" i="3"/>
  <c r="AJ654" i="3"/>
  <c r="AJ638" i="3"/>
  <c r="AI619" i="3"/>
  <c r="AI614" i="3"/>
  <c r="AJ590" i="3"/>
  <c r="AI788" i="3"/>
  <c r="AJ612" i="3"/>
  <c r="AJ596" i="3"/>
  <c r="AJ593" i="3"/>
  <c r="AI590" i="3"/>
  <c r="AJ584" i="3"/>
  <c r="AJ568" i="3"/>
  <c r="AJ552" i="3"/>
  <c r="AJ581" i="3"/>
  <c r="AJ549" i="3"/>
  <c r="AI530" i="3"/>
  <c r="AI500" i="3"/>
  <c r="AJ488" i="3"/>
  <c r="AI485" i="3"/>
  <c r="AI581" i="3"/>
  <c r="AI549" i="3"/>
  <c r="AJ524" i="3"/>
  <c r="AI509" i="3"/>
  <c r="AI505" i="3"/>
  <c r="AI488" i="3"/>
  <c r="AJ624" i="3"/>
  <c r="AJ546" i="3"/>
  <c r="AJ536" i="3"/>
  <c r="AJ496" i="3"/>
  <c r="AJ480" i="3"/>
  <c r="AI477" i="3"/>
  <c r="AI465" i="3"/>
  <c r="AJ459" i="3"/>
  <c r="AI449" i="3"/>
  <c r="AJ666" i="3"/>
  <c r="AJ628" i="3"/>
  <c r="AI599" i="3"/>
  <c r="AI552" i="3"/>
  <c r="AI526" i="3"/>
  <c r="AJ516" i="3"/>
  <c r="AI496" i="3"/>
  <c r="AI494" i="3"/>
  <c r="AI480" i="3"/>
  <c r="AI459" i="3"/>
  <c r="AJ456" i="3"/>
  <c r="AJ446" i="3"/>
  <c r="AJ442" i="3"/>
  <c r="AJ438" i="3"/>
  <c r="AJ434" i="3"/>
  <c r="AJ771" i="3"/>
  <c r="AI628" i="3"/>
  <c r="AJ542" i="3"/>
  <c r="AJ511" i="3"/>
  <c r="AI503" i="3"/>
  <c r="AI501" i="3"/>
  <c r="AI486" i="3"/>
  <c r="AI483" i="3"/>
  <c r="AJ472" i="3"/>
  <c r="AJ469" i="3"/>
  <c r="AI456" i="3"/>
  <c r="AJ453" i="3"/>
  <c r="AJ450" i="3"/>
  <c r="AI446" i="3"/>
  <c r="AI442" i="3"/>
  <c r="AI438" i="3"/>
  <c r="AI434" i="3"/>
  <c r="AI584" i="3"/>
  <c r="AJ532" i="3"/>
  <c r="AJ492" i="3"/>
  <c r="AI472" i="3"/>
  <c r="AI593" i="3"/>
  <c r="AI492" i="3"/>
  <c r="AJ565" i="3"/>
  <c r="AJ562" i="3"/>
  <c r="AI555" i="3"/>
  <c r="AI545" i="3"/>
  <c r="AJ508" i="3"/>
  <c r="AI497" i="3"/>
  <c r="AJ484" i="3"/>
  <c r="AI728" i="3"/>
  <c r="AJ630" i="3"/>
  <c r="AJ626" i="3"/>
  <c r="AJ617" i="3"/>
  <c r="AJ602" i="3"/>
  <c r="AI565" i="3"/>
  <c r="AJ528" i="3"/>
  <c r="AJ504" i="3"/>
  <c r="AI484" i="3"/>
  <c r="AJ711" i="3"/>
  <c r="AJ650" i="3"/>
  <c r="AI630" i="3"/>
  <c r="AI626" i="3"/>
  <c r="AI617" i="3"/>
  <c r="AI612" i="3"/>
  <c r="AJ520" i="3"/>
  <c r="AI504" i="3"/>
  <c r="AJ495" i="3"/>
  <c r="AJ476" i="3"/>
  <c r="AJ426" i="3"/>
  <c r="AI418" i="3"/>
  <c r="AI406" i="3"/>
  <c r="AJ404" i="3"/>
  <c r="AI395" i="3"/>
  <c r="AJ388" i="3"/>
  <c r="AJ361" i="3"/>
  <c r="AI350" i="3"/>
  <c r="AI342" i="3"/>
  <c r="AI333" i="3"/>
  <c r="AI329" i="3"/>
  <c r="AI325" i="3"/>
  <c r="AI321" i="3"/>
  <c r="AI317" i="3"/>
  <c r="AI313" i="3"/>
  <c r="AI309" i="3"/>
  <c r="AI305" i="3"/>
  <c r="AI301" i="3"/>
  <c r="AI297" i="3"/>
  <c r="AI293" i="3"/>
  <c r="AI289" i="3"/>
  <c r="AI711" i="3"/>
  <c r="AJ578" i="3"/>
  <c r="AJ461" i="3"/>
  <c r="AI426" i="3"/>
  <c r="AJ420" i="3"/>
  <c r="AI404" i="3"/>
  <c r="AI388" i="3"/>
  <c r="AI596" i="3"/>
  <c r="AJ464" i="3"/>
  <c r="AI461" i="3"/>
  <c r="AI420" i="3"/>
  <c r="AJ402" i="3"/>
  <c r="AJ359" i="3"/>
  <c r="AJ348" i="3"/>
  <c r="AJ340" i="3"/>
  <c r="AJ337" i="3"/>
  <c r="AJ330" i="3"/>
  <c r="AJ326" i="3"/>
  <c r="AJ322" i="3"/>
  <c r="AJ318" i="3"/>
  <c r="AJ314" i="3"/>
  <c r="AJ310" i="3"/>
  <c r="AJ306" i="3"/>
  <c r="AJ302" i="3"/>
  <c r="AJ298" i="3"/>
  <c r="AJ294" i="3"/>
  <c r="AJ290" i="3"/>
  <c r="AJ286" i="3"/>
  <c r="AJ282" i="3"/>
  <c r="AJ278" i="3"/>
  <c r="AI476" i="3"/>
  <c r="AI464" i="3"/>
  <c r="AJ428" i="3"/>
  <c r="AI411" i="3"/>
  <c r="AI402" i="3"/>
  <c r="AJ400" i="3"/>
  <c r="AJ386" i="3"/>
  <c r="AJ378" i="3"/>
  <c r="AJ370" i="3"/>
  <c r="AI359" i="3"/>
  <c r="AI348" i="3"/>
  <c r="AI340" i="3"/>
  <c r="AI337" i="3"/>
  <c r="AJ334" i="3"/>
  <c r="AI330" i="3"/>
  <c r="AI326" i="3"/>
  <c r="AI322" i="3"/>
  <c r="AI318" i="3"/>
  <c r="AI314" i="3"/>
  <c r="AI310" i="3"/>
  <c r="AI306" i="3"/>
  <c r="AI302" i="3"/>
  <c r="AJ512" i="3"/>
  <c r="AI428" i="3"/>
  <c r="AI400" i="3"/>
  <c r="AJ398" i="3"/>
  <c r="AI386" i="3"/>
  <c r="AI378" i="3"/>
  <c r="AI370" i="3"/>
  <c r="AJ362" i="3"/>
  <c r="AI351" i="3"/>
  <c r="AI343" i="3"/>
  <c r="AI334" i="3"/>
  <c r="AJ500" i="3"/>
  <c r="AI495" i="3"/>
  <c r="AJ448" i="3"/>
  <c r="AJ422" i="3"/>
  <c r="AI398" i="3"/>
  <c r="AJ396" i="3"/>
  <c r="AI568" i="3"/>
  <c r="AI522" i="3"/>
  <c r="AI448" i="3"/>
  <c r="AI422" i="3"/>
  <c r="AI396" i="3"/>
  <c r="AI354" i="3"/>
  <c r="AI346" i="3"/>
  <c r="AJ479" i="3"/>
  <c r="AJ430" i="3"/>
  <c r="AJ414" i="3"/>
  <c r="AI479" i="3"/>
  <c r="AJ444" i="3"/>
  <c r="AJ440" i="3"/>
  <c r="AJ436" i="3"/>
  <c r="AI430" i="3"/>
  <c r="AJ424" i="3"/>
  <c r="AJ416" i="3"/>
  <c r="AI414" i="3"/>
  <c r="AJ412" i="3"/>
  <c r="AJ392" i="3"/>
  <c r="AJ363" i="3"/>
  <c r="AJ355" i="3"/>
  <c r="AJ352" i="3"/>
  <c r="AI482" i="3"/>
  <c r="AI458" i="3"/>
  <c r="AI432" i="3"/>
  <c r="AJ418" i="3"/>
  <c r="AI408" i="3"/>
  <c r="AJ406" i="3"/>
  <c r="AI390" i="3"/>
  <c r="AJ385" i="3"/>
  <c r="AJ377" i="3"/>
  <c r="AJ369" i="3"/>
  <c r="AI366" i="3"/>
  <c r="AI358" i="3"/>
  <c r="AJ350" i="3"/>
  <c r="AJ342" i="3"/>
  <c r="AI336" i="3"/>
  <c r="AJ333" i="3"/>
  <c r="AJ329" i="3"/>
  <c r="AJ325" i="3"/>
  <c r="AJ344" i="3"/>
  <c r="AI324" i="3"/>
  <c r="AJ321" i="3"/>
  <c r="AJ305" i="3"/>
  <c r="AJ297" i="3"/>
  <c r="AI286" i="3"/>
  <c r="AI277" i="3"/>
  <c r="AI270" i="3"/>
  <c r="AI265" i="3"/>
  <c r="AI258" i="3"/>
  <c r="AI253" i="3"/>
  <c r="AI248" i="3"/>
  <c r="AI245" i="3"/>
  <c r="AI234" i="3"/>
  <c r="AI231" i="3"/>
  <c r="AI451" i="3"/>
  <c r="AI352" i="3"/>
  <c r="AI344" i="3"/>
  <c r="AI444" i="3"/>
  <c r="AI436" i="3"/>
  <c r="AJ320" i="3"/>
  <c r="AI294" i="3"/>
  <c r="AI282" i="3"/>
  <c r="AJ246" i="3"/>
  <c r="AI587" i="3"/>
  <c r="AI355" i="3"/>
  <c r="AJ347" i="3"/>
  <c r="AI320" i="3"/>
  <c r="AJ317" i="3"/>
  <c r="AJ304" i="3"/>
  <c r="AJ280" i="3"/>
  <c r="AJ273" i="3"/>
  <c r="AJ266" i="3"/>
  <c r="AJ261" i="3"/>
  <c r="AJ254" i="3"/>
  <c r="AI246" i="3"/>
  <c r="AJ232" i="3"/>
  <c r="AJ219" i="3"/>
  <c r="AJ215" i="3"/>
  <c r="AJ211" i="3"/>
  <c r="AJ207" i="3"/>
  <c r="AJ203" i="3"/>
  <c r="AJ199" i="3"/>
  <c r="AJ195" i="3"/>
  <c r="AJ191" i="3"/>
  <c r="AJ187" i="3"/>
  <c r="AJ183" i="3"/>
  <c r="AJ179" i="3"/>
  <c r="AJ175" i="3"/>
  <c r="AJ482" i="3"/>
  <c r="AI416" i="3"/>
  <c r="AJ410" i="3"/>
  <c r="AJ382" i="3"/>
  <c r="AI347" i="3"/>
  <c r="AJ339" i="3"/>
  <c r="AJ336" i="3"/>
  <c r="AJ332" i="3"/>
  <c r="AI410" i="3"/>
  <c r="AI392" i="3"/>
  <c r="AI382" i="3"/>
  <c r="AI339" i="3"/>
  <c r="AI332" i="3"/>
  <c r="AJ301" i="3"/>
  <c r="AI238" i="3"/>
  <c r="AJ455" i="3"/>
  <c r="AI363" i="3"/>
  <c r="AJ358" i="3"/>
  <c r="AJ313" i="3"/>
  <c r="AI298" i="3"/>
  <c r="AI291" i="3"/>
  <c r="AJ289" i="3"/>
  <c r="AI287" i="3"/>
  <c r="AJ285" i="3"/>
  <c r="AJ274" i="3"/>
  <c r="AJ262" i="3"/>
  <c r="AJ250" i="3"/>
  <c r="AI440" i="3"/>
  <c r="AJ328" i="3"/>
  <c r="AJ312" i="3"/>
  <c r="AJ300" i="3"/>
  <c r="AJ293" i="3"/>
  <c r="AI285" i="3"/>
  <c r="AI274" i="3"/>
  <c r="AI262" i="3"/>
  <c r="AI250" i="3"/>
  <c r="AI424" i="3"/>
  <c r="AI412" i="3"/>
  <c r="AI399" i="3"/>
  <c r="AI374" i="3"/>
  <c r="AJ366" i="3"/>
  <c r="AJ324" i="3"/>
  <c r="AJ308" i="3"/>
  <c r="AI290" i="3"/>
  <c r="AJ288" i="3"/>
  <c r="AJ277" i="3"/>
  <c r="AJ270" i="3"/>
  <c r="AJ265" i="3"/>
  <c r="AJ258" i="3"/>
  <c r="AJ253" i="3"/>
  <c r="AJ248" i="3"/>
  <c r="AJ245" i="3"/>
  <c r="AJ234" i="3"/>
  <c r="AJ231" i="3"/>
  <c r="AI221" i="3"/>
  <c r="AH11" i="3"/>
  <c r="AH15" i="3"/>
  <c r="AH19" i="3"/>
  <c r="AH23" i="3"/>
  <c r="AH27" i="3"/>
  <c r="AH31" i="3"/>
  <c r="AH35" i="3"/>
  <c r="AH39" i="3"/>
  <c r="AH43" i="3"/>
  <c r="AH47" i="3"/>
  <c r="AH51" i="3"/>
  <c r="AH55" i="3"/>
  <c r="AH59" i="3"/>
  <c r="AH63" i="3"/>
  <c r="AH67" i="3"/>
  <c r="AH71" i="3"/>
  <c r="AH75" i="3"/>
  <c r="AL76" i="3"/>
  <c r="AJ82" i="3"/>
  <c r="AJ90" i="3"/>
  <c r="AJ98" i="3"/>
  <c r="AJ101" i="3"/>
  <c r="AH106" i="3"/>
  <c r="AJ109" i="3"/>
  <c r="AJ119" i="3"/>
  <c r="AJ121" i="3"/>
  <c r="AJ123" i="3"/>
  <c r="AJ125" i="3"/>
  <c r="AJ127" i="3"/>
  <c r="AJ129" i="3"/>
  <c r="AJ131" i="3"/>
  <c r="AJ133" i="3"/>
  <c r="AJ135" i="3"/>
  <c r="AJ137" i="3"/>
  <c r="AI139" i="3"/>
  <c r="AI141" i="3"/>
  <c r="AI143" i="3"/>
  <c r="AI145" i="3"/>
  <c r="AI147" i="3"/>
  <c r="AI149" i="3"/>
  <c r="AJ151" i="3"/>
  <c r="AJ156" i="3"/>
  <c r="AI156" i="3"/>
  <c r="AM159" i="3"/>
  <c r="AL159" i="3"/>
  <c r="AJ163" i="3"/>
  <c r="AI171" i="3"/>
  <c r="AJ180" i="3"/>
  <c r="AI180" i="3"/>
  <c r="AJ185" i="3"/>
  <c r="AI191" i="3"/>
  <c r="AJ194" i="3"/>
  <c r="AI197" i="3"/>
  <c r="AJ206" i="3"/>
  <c r="AI209" i="3"/>
  <c r="AJ218" i="3"/>
  <c r="AI255" i="3"/>
  <c r="AI267" i="3"/>
  <c r="AJ276" i="3"/>
  <c r="AI280" i="3"/>
  <c r="AI296" i="3"/>
  <c r="AJ374" i="3"/>
  <c r="AJ458" i="3"/>
  <c r="AJ204" i="3"/>
  <c r="AI204" i="3"/>
  <c r="AJ216" i="3"/>
  <c r="AI216" i="3"/>
  <c r="AJ281" i="3"/>
  <c r="AI30" i="3"/>
  <c r="AI58" i="3"/>
  <c r="AI86" i="3"/>
  <c r="AI132" i="3"/>
  <c r="AI15" i="3"/>
  <c r="AI19" i="3"/>
  <c r="AI23" i="3"/>
  <c r="AL24" i="3"/>
  <c r="AI27" i="3"/>
  <c r="AL28" i="3"/>
  <c r="AI31" i="3"/>
  <c r="AI35" i="3"/>
  <c r="AL36" i="3"/>
  <c r="AI39" i="3"/>
  <c r="AI43" i="3"/>
  <c r="AL44" i="3"/>
  <c r="AI47" i="3"/>
  <c r="AI51" i="3"/>
  <c r="AI55" i="3"/>
  <c r="AI59" i="3"/>
  <c r="AI63" i="3"/>
  <c r="AI67" i="3"/>
  <c r="AI71" i="3"/>
  <c r="AI75" i="3"/>
  <c r="AH78" i="3"/>
  <c r="AI87" i="3"/>
  <c r="AI95" i="3"/>
  <c r="AJ106" i="3"/>
  <c r="AJ114" i="3"/>
  <c r="AJ139" i="3"/>
  <c r="AJ143" i="3"/>
  <c r="AJ147" i="3"/>
  <c r="AH156" i="3"/>
  <c r="AJ166" i="3"/>
  <c r="AI166" i="3"/>
  <c r="AH166" i="3"/>
  <c r="AJ171" i="3"/>
  <c r="AJ174" i="3"/>
  <c r="AI174" i="3"/>
  <c r="AH174" i="3"/>
  <c r="AI177" i="3"/>
  <c r="AH180" i="3"/>
  <c r="AM195" i="3"/>
  <c r="AL195" i="3"/>
  <c r="AJ197" i="3"/>
  <c r="AI203" i="3"/>
  <c r="AM207" i="3"/>
  <c r="AL207" i="3"/>
  <c r="AJ209" i="3"/>
  <c r="AI215" i="3"/>
  <c r="AJ228" i="3"/>
  <c r="AI300" i="3"/>
  <c r="AJ375" i="3"/>
  <c r="AL459" i="3"/>
  <c r="AM459" i="3"/>
  <c r="AJ164" i="3"/>
  <c r="AI164" i="3"/>
  <c r="AJ252" i="3"/>
  <c r="AI22" i="3"/>
  <c r="AI50" i="3"/>
  <c r="AI108" i="3"/>
  <c r="AI120" i="3"/>
  <c r="AI126" i="3"/>
  <c r="AH126" i="3"/>
  <c r="AJ169" i="3"/>
  <c r="AJ198" i="3"/>
  <c r="AI232" i="3"/>
  <c r="AI8" i="3"/>
  <c r="AI48" i="3"/>
  <c r="AI56" i="3"/>
  <c r="AI64" i="3"/>
  <c r="AI79" i="3"/>
  <c r="AJ8" i="3"/>
  <c r="AH7" i="3"/>
  <c r="AH3" i="3"/>
  <c r="AL4" i="3"/>
  <c r="AI7" i="3"/>
  <c r="AL8" i="3"/>
  <c r="AI11" i="3"/>
  <c r="AI3" i="3"/>
  <c r="AJ87" i="3"/>
  <c r="AJ95" i="3"/>
  <c r="AI103" i="3"/>
  <c r="AI111" i="3"/>
  <c r="AM129" i="3"/>
  <c r="AM139" i="3"/>
  <c r="AJ154" i="3"/>
  <c r="AI154" i="3"/>
  <c r="AH154" i="3"/>
  <c r="AI161" i="3"/>
  <c r="AJ177" i="3"/>
  <c r="AI183" i="3"/>
  <c r="AJ192" i="3"/>
  <c r="AI192" i="3"/>
  <c r="AJ222" i="3"/>
  <c r="AI222" i="3"/>
  <c r="AH222" i="3"/>
  <c r="AI242" i="3"/>
  <c r="AJ247" i="3"/>
  <c r="AI247" i="3"/>
  <c r="AH247" i="3"/>
  <c r="AJ256" i="3"/>
  <c r="AI256" i="3"/>
  <c r="AH256" i="3"/>
  <c r="AJ264" i="3"/>
  <c r="AJ268" i="3"/>
  <c r="AI268" i="3"/>
  <c r="AH268" i="3"/>
  <c r="AI272" i="3"/>
  <c r="AI281" i="3"/>
  <c r="AJ296" i="3"/>
  <c r="AI312" i="3"/>
  <c r="AJ239" i="3"/>
  <c r="AJ279" i="3"/>
  <c r="AH279" i="3"/>
  <c r="AJ380" i="3"/>
  <c r="AJ303" i="3"/>
  <c r="AI303" i="3"/>
  <c r="AH303" i="3"/>
  <c r="AJ335" i="3"/>
  <c r="AI335" i="3"/>
  <c r="AJ367" i="3"/>
  <c r="AJ391" i="3"/>
  <c r="AM405" i="3"/>
  <c r="AL405" i="3"/>
  <c r="AJ466" i="3"/>
  <c r="AI241" i="3"/>
  <c r="AH252" i="3"/>
  <c r="AH264" i="3"/>
  <c r="AH276" i="3"/>
  <c r="AJ287" i="3"/>
  <c r="AH287" i="3"/>
  <c r="AJ291" i="3"/>
  <c r="AH291" i="3"/>
  <c r="AH316" i="3"/>
  <c r="AH335" i="3"/>
  <c r="AJ371" i="3"/>
  <c r="AI371" i="3"/>
  <c r="AJ376" i="3"/>
  <c r="AI376" i="3"/>
  <c r="AH376" i="3"/>
  <c r="AJ387" i="3"/>
  <c r="AI387" i="3"/>
  <c r="AJ427" i="3"/>
  <c r="AI427" i="3"/>
  <c r="AH427" i="3"/>
  <c r="AJ544" i="3"/>
  <c r="AI544" i="3"/>
  <c r="AH544" i="3"/>
  <c r="AJ235" i="3"/>
  <c r="AJ241" i="3"/>
  <c r="AI252" i="3"/>
  <c r="AJ259" i="3"/>
  <c r="AH259" i="3"/>
  <c r="AI264" i="3"/>
  <c r="AJ271" i="3"/>
  <c r="AH271" i="3"/>
  <c r="AI276" i="3"/>
  <c r="AI316" i="3"/>
  <c r="AJ319" i="3"/>
  <c r="AI319" i="3"/>
  <c r="AH319" i="3"/>
  <c r="AH371" i="3"/>
  <c r="AH387" i="3"/>
  <c r="AJ474" i="3"/>
  <c r="AI229" i="3"/>
  <c r="AH235" i="3"/>
  <c r="AI249" i="3"/>
  <c r="AI259" i="3"/>
  <c r="AI271" i="3"/>
  <c r="AJ364" i="3"/>
  <c r="AJ372" i="3"/>
  <c r="AJ635" i="3"/>
  <c r="AH635" i="3"/>
  <c r="AI635" i="3"/>
  <c r="AJ343" i="3"/>
  <c r="AJ351" i="3"/>
  <c r="AJ368" i="3"/>
  <c r="AI368" i="3"/>
  <c r="AH368" i="3"/>
  <c r="AJ307" i="3"/>
  <c r="AI307" i="3"/>
  <c r="AH307" i="3"/>
  <c r="AJ323" i="3"/>
  <c r="AI323" i="3"/>
  <c r="AH323" i="3"/>
  <c r="AL340" i="3"/>
  <c r="AM340" i="3"/>
  <c r="AL378" i="3"/>
  <c r="AM378" i="3"/>
  <c r="AJ383" i="3"/>
  <c r="AJ462" i="3"/>
  <c r="AJ483" i="3"/>
  <c r="AH178" i="3"/>
  <c r="AH182" i="3"/>
  <c r="AH186" i="3"/>
  <c r="AH190" i="3"/>
  <c r="AH194" i="3"/>
  <c r="AH198" i="3"/>
  <c r="AH202" i="3"/>
  <c r="AH206" i="3"/>
  <c r="AH210" i="3"/>
  <c r="AH214" i="3"/>
  <c r="AH218" i="3"/>
  <c r="AI225" i="3"/>
  <c r="AH228" i="3"/>
  <c r="AI237" i="3"/>
  <c r="AJ251" i="3"/>
  <c r="AH251" i="3"/>
  <c r="AJ263" i="3"/>
  <c r="AH263" i="3"/>
  <c r="AJ275" i="3"/>
  <c r="AH275" i="3"/>
  <c r="AH292" i="3"/>
  <c r="AJ299" i="3"/>
  <c r="AI299" i="3"/>
  <c r="AH299" i="3"/>
  <c r="AJ360" i="3"/>
  <c r="AI360" i="3"/>
  <c r="AI178" i="3"/>
  <c r="AI182" i="3"/>
  <c r="AI186" i="3"/>
  <c r="AI190" i="3"/>
  <c r="AI194" i="3"/>
  <c r="AI198" i="3"/>
  <c r="AI202" i="3"/>
  <c r="AI206" i="3"/>
  <c r="AI210" i="3"/>
  <c r="AI214" i="3"/>
  <c r="AI218" i="3"/>
  <c r="AJ225" i="3"/>
  <c r="AI228" i="3"/>
  <c r="AJ237" i="3"/>
  <c r="AI251" i="3"/>
  <c r="AL261" i="3"/>
  <c r="AI263" i="3"/>
  <c r="AI275" i="3"/>
  <c r="AH288" i="3"/>
  <c r="AI292" i="3"/>
  <c r="AH308" i="3"/>
  <c r="AJ327" i="3"/>
  <c r="AI327" i="3"/>
  <c r="AH327" i="3"/>
  <c r="AH360" i="3"/>
  <c r="AJ379" i="3"/>
  <c r="AI379" i="3"/>
  <c r="AJ384" i="3"/>
  <c r="AI384" i="3"/>
  <c r="AH384" i="3"/>
  <c r="AJ403" i="3"/>
  <c r="AI403" i="3"/>
  <c r="AH403" i="3"/>
  <c r="AJ573" i="3"/>
  <c r="AJ311" i="3"/>
  <c r="AI311" i="3"/>
  <c r="AH311" i="3"/>
  <c r="AM334" i="3"/>
  <c r="AL334" i="3"/>
  <c r="AJ356" i="3"/>
  <c r="AH379" i="3"/>
  <c r="AJ470" i="3"/>
  <c r="AI470" i="3"/>
  <c r="AH470" i="3"/>
  <c r="AJ401" i="3"/>
  <c r="AI401" i="3"/>
  <c r="AJ421" i="3"/>
  <c r="AI421" i="3"/>
  <c r="AH421" i="3"/>
  <c r="AJ447" i="3"/>
  <c r="AI447" i="3"/>
  <c r="AH447" i="3"/>
  <c r="AJ451" i="3"/>
  <c r="AI455" i="3"/>
  <c r="AM463" i="3"/>
  <c r="AL463" i="3"/>
  <c r="AJ473" i="3"/>
  <c r="AH473" i="3"/>
  <c r="AI473" i="3"/>
  <c r="AJ478" i="3"/>
  <c r="AJ493" i="3"/>
  <c r="AH493" i="3"/>
  <c r="AJ503" i="3"/>
  <c r="AH587" i="3"/>
  <c r="AJ587" i="3"/>
  <c r="AJ592" i="3"/>
  <c r="AJ696" i="3"/>
  <c r="AJ937" i="3"/>
  <c r="AI357" i="3"/>
  <c r="AI365" i="3"/>
  <c r="AJ405" i="3"/>
  <c r="AI405" i="3"/>
  <c r="AJ433" i="3"/>
  <c r="AJ452" i="3"/>
  <c r="AM489" i="3"/>
  <c r="AL489" i="3"/>
  <c r="AJ499" i="3"/>
  <c r="AJ510" i="3"/>
  <c r="AI510" i="3"/>
  <c r="AH510" i="3"/>
  <c r="AL550" i="3"/>
  <c r="AM550" i="3"/>
  <c r="AJ601" i="3"/>
  <c r="AI601" i="3"/>
  <c r="AH601" i="3"/>
  <c r="AH357" i="3"/>
  <c r="AH365" i="3"/>
  <c r="AI373" i="3"/>
  <c r="AI381" i="3"/>
  <c r="C11" i="5"/>
  <c r="C12" i="5" s="1"/>
  <c r="C7" i="8" s="1"/>
  <c r="AJ389" i="3"/>
  <c r="AI389" i="3"/>
  <c r="AI394" i="3"/>
  <c r="AH405" i="3"/>
  <c r="AJ407" i="3"/>
  <c r="AJ419" i="3"/>
  <c r="AI419" i="3"/>
  <c r="AH419" i="3"/>
  <c r="AJ437" i="3"/>
  <c r="AJ441" i="3"/>
  <c r="AJ445" i="3"/>
  <c r="AJ467" i="3"/>
  <c r="AJ471" i="3"/>
  <c r="AJ582" i="3"/>
  <c r="AL300" i="3"/>
  <c r="AJ357" i="3"/>
  <c r="AJ365" i="3"/>
  <c r="AJ394" i="3"/>
  <c r="AJ409" i="3"/>
  <c r="AI409" i="3"/>
  <c r="AJ417" i="3"/>
  <c r="AI417" i="3"/>
  <c r="AM420" i="3"/>
  <c r="AL420" i="3"/>
  <c r="AJ425" i="3"/>
  <c r="AI425" i="3"/>
  <c r="AH425" i="3"/>
  <c r="AJ463" i="3"/>
  <c r="AJ475" i="3"/>
  <c r="AJ490" i="3"/>
  <c r="AI490" i="3"/>
  <c r="AI669" i="3"/>
  <c r="AJ669" i="3"/>
  <c r="AH669" i="3"/>
  <c r="AH343" i="3"/>
  <c r="AJ346" i="3"/>
  <c r="AH351" i="3"/>
  <c r="AJ354" i="3"/>
  <c r="AI362" i="3"/>
  <c r="AJ373" i="3"/>
  <c r="AJ381" i="3"/>
  <c r="AH391" i="3"/>
  <c r="C10" i="5" s="1"/>
  <c r="C6" i="8" s="1"/>
  <c r="AI407" i="3"/>
  <c r="AH409" i="3"/>
  <c r="AJ411" i="3"/>
  <c r="AH417" i="3"/>
  <c r="AI467" i="3"/>
  <c r="AH490" i="3"/>
  <c r="AJ517" i="3"/>
  <c r="AJ534" i="3"/>
  <c r="AH534" i="3"/>
  <c r="AI534" i="3"/>
  <c r="AL357" i="3"/>
  <c r="AL365" i="3"/>
  <c r="AM366" i="3" s="1"/>
  <c r="AI391" i="3"/>
  <c r="AJ413" i="3"/>
  <c r="AI413" i="3"/>
  <c r="AJ431" i="3"/>
  <c r="AI431" i="3"/>
  <c r="AH431" i="3"/>
  <c r="AJ460" i="3"/>
  <c r="AI460" i="3"/>
  <c r="AH460" i="3"/>
  <c r="AJ468" i="3"/>
  <c r="AJ491" i="3"/>
  <c r="AI558" i="3"/>
  <c r="AJ558" i="3"/>
  <c r="AH558" i="3"/>
  <c r="AI345" i="3"/>
  <c r="AI353" i="3"/>
  <c r="AH356" i="3"/>
  <c r="AH364" i="3"/>
  <c r="AH367" i="3"/>
  <c r="AH375" i="3"/>
  <c r="AH383" i="3"/>
  <c r="AJ393" i="3"/>
  <c r="AI393" i="3"/>
  <c r="AL409" i="3"/>
  <c r="AH413" i="3"/>
  <c r="AJ415" i="3"/>
  <c r="AI415" i="3"/>
  <c r="AH415" i="3"/>
  <c r="AH457" i="3"/>
  <c r="AJ457" i="3"/>
  <c r="AI457" i="3"/>
  <c r="AI657" i="3"/>
  <c r="AJ657" i="3"/>
  <c r="AH657" i="3"/>
  <c r="AH345" i="3"/>
  <c r="AH353" i="3"/>
  <c r="AI356" i="3"/>
  <c r="AI361" i="3"/>
  <c r="AI364" i="3"/>
  <c r="AI367" i="3"/>
  <c r="AH372" i="3"/>
  <c r="AI375" i="3"/>
  <c r="AH380" i="3"/>
  <c r="AI383" i="3"/>
  <c r="AH393" i="3"/>
  <c r="AJ395" i="3"/>
  <c r="AJ423" i="3"/>
  <c r="AI423" i="3"/>
  <c r="AH423" i="3"/>
  <c r="AJ486" i="3"/>
  <c r="AJ345" i="3"/>
  <c r="AJ353" i="3"/>
  <c r="AH361" i="3"/>
  <c r="AI369" i="3"/>
  <c r="AI372" i="3"/>
  <c r="AI377" i="3"/>
  <c r="AI380" i="3"/>
  <c r="AI385" i="3"/>
  <c r="AH395" i="3"/>
  <c r="AJ397" i="3"/>
  <c r="AI397" i="3"/>
  <c r="AJ429" i="3"/>
  <c r="AI429" i="3"/>
  <c r="AH429" i="3"/>
  <c r="AJ435" i="3"/>
  <c r="AI435" i="3"/>
  <c r="AH435" i="3"/>
  <c r="AJ454" i="3"/>
  <c r="AI454" i="3"/>
  <c r="AJ487" i="3"/>
  <c r="AI487" i="3"/>
  <c r="AJ502" i="3"/>
  <c r="AI502" i="3"/>
  <c r="AM394" i="3"/>
  <c r="AL394" i="3"/>
  <c r="AJ399" i="3"/>
  <c r="AJ439" i="3"/>
  <c r="AI439" i="3"/>
  <c r="AH439" i="3"/>
  <c r="AJ443" i="3"/>
  <c r="AI443" i="3"/>
  <c r="AH443" i="3"/>
  <c r="AI450" i="3"/>
  <c r="AI531" i="3"/>
  <c r="AJ531" i="3"/>
  <c r="AJ537" i="3"/>
  <c r="AJ550" i="3"/>
  <c r="AJ554" i="3"/>
  <c r="AI554" i="3"/>
  <c r="AH554" i="3"/>
  <c r="AI569" i="3"/>
  <c r="AJ597" i="3"/>
  <c r="AJ607" i="3"/>
  <c r="AH607" i="3"/>
  <c r="AJ621" i="3"/>
  <c r="AI621" i="3"/>
  <c r="AH621" i="3"/>
  <c r="AJ676" i="3"/>
  <c r="AJ691" i="3"/>
  <c r="AJ481" i="3"/>
  <c r="AH481" i="3"/>
  <c r="AJ497" i="3"/>
  <c r="AH499" i="3"/>
  <c r="AJ506" i="3"/>
  <c r="AI523" i="3"/>
  <c r="AJ525" i="3"/>
  <c r="AM534" i="3"/>
  <c r="AL534" i="3"/>
  <c r="AI535" i="3"/>
  <c r="AJ541" i="3"/>
  <c r="AJ545" i="3"/>
  <c r="AH545" i="3"/>
  <c r="AH555" i="3"/>
  <c r="AJ555" i="3"/>
  <c r="AJ574" i="3"/>
  <c r="AI574" i="3"/>
  <c r="AJ588" i="3"/>
  <c r="AI607" i="3"/>
  <c r="AJ613" i="3"/>
  <c r="AJ644" i="3"/>
  <c r="AH644" i="3"/>
  <c r="AI644" i="3"/>
  <c r="AL436" i="3"/>
  <c r="AL448" i="3"/>
  <c r="AH463" i="3"/>
  <c r="AH475" i="3"/>
  <c r="AH478" i="3"/>
  <c r="AI481" i="3"/>
  <c r="AI499" i="3"/>
  <c r="AH506" i="3"/>
  <c r="AJ518" i="3"/>
  <c r="AH523" i="3"/>
  <c r="AH535" i="3"/>
  <c r="AM589" i="3"/>
  <c r="AL589" i="3"/>
  <c r="AJ608" i="3"/>
  <c r="AI750" i="3"/>
  <c r="AH750" i="3"/>
  <c r="AJ750" i="3"/>
  <c r="AH450" i="3"/>
  <c r="AI463" i="3"/>
  <c r="AH466" i="3"/>
  <c r="AL467" i="3"/>
  <c r="AI475" i="3"/>
  <c r="AI478" i="3"/>
  <c r="AJ489" i="3"/>
  <c r="AH489" i="3"/>
  <c r="AI506" i="3"/>
  <c r="AI511" i="3"/>
  <c r="AJ513" i="3"/>
  <c r="AM518" i="3"/>
  <c r="AL518" i="3"/>
  <c r="AH518" i="3"/>
  <c r="AJ523" i="3"/>
  <c r="AJ535" i="3"/>
  <c r="AJ538" i="3"/>
  <c r="AH538" i="3"/>
  <c r="AI542" i="3"/>
  <c r="AH551" i="3"/>
  <c r="AJ551" i="3"/>
  <c r="AI551" i="3"/>
  <c r="AM567" i="3"/>
  <c r="AL567" i="3"/>
  <c r="AJ609" i="3"/>
  <c r="AI609" i="3"/>
  <c r="AI453" i="3"/>
  <c r="AI466" i="3"/>
  <c r="AI469" i="3"/>
  <c r="AH483" i="3"/>
  <c r="AH486" i="3"/>
  <c r="AI489" i="3"/>
  <c r="AJ494" i="3"/>
  <c r="AJ501" i="3"/>
  <c r="AH503" i="3"/>
  <c r="AH511" i="3"/>
  <c r="AI518" i="3"/>
  <c r="AJ526" i="3"/>
  <c r="AI538" i="3"/>
  <c r="AH542" i="3"/>
  <c r="AJ556" i="3"/>
  <c r="AJ566" i="3"/>
  <c r="AJ570" i="3"/>
  <c r="AI570" i="3"/>
  <c r="AH570" i="3"/>
  <c r="AJ589" i="3"/>
  <c r="AH609" i="3"/>
  <c r="AJ777" i="3"/>
  <c r="AI519" i="3"/>
  <c r="AM526" i="3"/>
  <c r="AL526" i="3"/>
  <c r="AJ529" i="3"/>
  <c r="AH539" i="3"/>
  <c r="AJ539" i="3"/>
  <c r="AH571" i="3"/>
  <c r="AJ571" i="3"/>
  <c r="AI585" i="3"/>
  <c r="AJ604" i="3"/>
  <c r="AI604" i="3"/>
  <c r="AH604" i="3"/>
  <c r="AI633" i="3"/>
  <c r="AJ633" i="3"/>
  <c r="AH633" i="3"/>
  <c r="AJ660" i="3"/>
  <c r="AH660" i="3"/>
  <c r="AI660" i="3"/>
  <c r="AH462" i="3"/>
  <c r="AJ477" i="3"/>
  <c r="AH477" i="3"/>
  <c r="AH491" i="3"/>
  <c r="AL501" i="3"/>
  <c r="AI507" i="3"/>
  <c r="AH519" i="3"/>
  <c r="AJ521" i="3"/>
  <c r="AM532" i="3"/>
  <c r="AI539" i="3"/>
  <c r="AM560" i="3"/>
  <c r="AL560" i="3"/>
  <c r="AI571" i="3"/>
  <c r="AJ576" i="3"/>
  <c r="AI605" i="3"/>
  <c r="AJ647" i="3"/>
  <c r="AL654" i="3"/>
  <c r="AM654" i="3"/>
  <c r="AJ672" i="3"/>
  <c r="AH672" i="3"/>
  <c r="AI672" i="3"/>
  <c r="AH433" i="3"/>
  <c r="AH437" i="3"/>
  <c r="AH441" i="3"/>
  <c r="AH445" i="3"/>
  <c r="AI462" i="3"/>
  <c r="AI491" i="3"/>
  <c r="AJ498" i="3"/>
  <c r="AJ505" i="3"/>
  <c r="AJ509" i="3"/>
  <c r="AJ514" i="3"/>
  <c r="AJ519" i="3"/>
  <c r="AI527" i="3"/>
  <c r="AH567" i="3"/>
  <c r="AJ567" i="3"/>
  <c r="AI567" i="3"/>
  <c r="AM616" i="3"/>
  <c r="AL616" i="3"/>
  <c r="AI641" i="3"/>
  <c r="AJ641" i="3"/>
  <c r="AJ681" i="3"/>
  <c r="AI681" i="3"/>
  <c r="AI433" i="3"/>
  <c r="AI437" i="3"/>
  <c r="AI441" i="3"/>
  <c r="AI445" i="3"/>
  <c r="AJ449" i="3"/>
  <c r="AI452" i="3"/>
  <c r="AH455" i="3"/>
  <c r="AJ465" i="3"/>
  <c r="AI468" i="3"/>
  <c r="AI471" i="3"/>
  <c r="AI474" i="3"/>
  <c r="AJ485" i="3"/>
  <c r="AH485" i="3"/>
  <c r="AH498" i="3"/>
  <c r="AJ507" i="3"/>
  <c r="AH514" i="3"/>
  <c r="AM516" i="3"/>
  <c r="AH527" i="3"/>
  <c r="AJ530" i="3"/>
  <c r="AH530" i="3"/>
  <c r="AJ533" i="3"/>
  <c r="AJ557" i="3"/>
  <c r="AJ560" i="3"/>
  <c r="AJ572" i="3"/>
  <c r="AJ577" i="3"/>
  <c r="AI577" i="3"/>
  <c r="AH577" i="3"/>
  <c r="AJ600" i="3"/>
  <c r="AM606" i="3"/>
  <c r="AL606" i="3"/>
  <c r="AH641" i="3"/>
  <c r="AH681" i="3"/>
  <c r="C42" i="5"/>
  <c r="C41" i="5"/>
  <c r="C18" i="5"/>
  <c r="C17" i="5"/>
  <c r="AI498" i="3"/>
  <c r="AI514" i="3"/>
  <c r="AJ522" i="3"/>
  <c r="AJ527" i="3"/>
  <c r="AM533" i="3"/>
  <c r="AM538" i="3"/>
  <c r="AL538" i="3"/>
  <c r="AJ540" i="3"/>
  <c r="AJ586" i="3"/>
  <c r="AJ616" i="3"/>
  <c r="AJ625" i="3"/>
  <c r="AJ619" i="3"/>
  <c r="AH619" i="3"/>
  <c r="AJ663" i="3"/>
  <c r="AJ677" i="3"/>
  <c r="AI677" i="3"/>
  <c r="AJ687" i="3"/>
  <c r="AI687" i="3"/>
  <c r="AJ692" i="3"/>
  <c r="AI692" i="3"/>
  <c r="AH692" i="3"/>
  <c r="AM697" i="3"/>
  <c r="AL697" i="3"/>
  <c r="AJ712" i="3"/>
  <c r="AJ723" i="3"/>
  <c r="AJ739" i="3"/>
  <c r="AI739" i="3"/>
  <c r="AH739" i="3"/>
  <c r="AJ745" i="3"/>
  <c r="AI745" i="3"/>
  <c r="AH745" i="3"/>
  <c r="AJ782" i="3"/>
  <c r="AI782" i="3"/>
  <c r="AH782" i="3"/>
  <c r="AI645" i="3"/>
  <c r="AI661" i="3"/>
  <c r="AM672" i="3"/>
  <c r="AL672" i="3"/>
  <c r="AI673" i="3"/>
  <c r="AI730" i="3"/>
  <c r="AH730" i="3"/>
  <c r="AI583" i="3"/>
  <c r="AH586" i="3"/>
  <c r="AJ595" i="3"/>
  <c r="AH595" i="3"/>
  <c r="AJ623" i="3"/>
  <c r="AH623" i="3"/>
  <c r="AH625" i="3"/>
  <c r="AI629" i="3"/>
  <c r="AM636" i="3"/>
  <c r="AL636" i="3"/>
  <c r="AH645" i="3"/>
  <c r="AJ648" i="3"/>
  <c r="AH648" i="3"/>
  <c r="AJ651" i="3"/>
  <c r="AH661" i="3"/>
  <c r="AH673" i="3"/>
  <c r="AJ703" i="3"/>
  <c r="AJ730" i="3"/>
  <c r="AJ758" i="3"/>
  <c r="AI758" i="3"/>
  <c r="AH758" i="3"/>
  <c r="AJ844" i="3"/>
  <c r="AI844" i="3"/>
  <c r="AH844" i="3"/>
  <c r="AJ583" i="3"/>
  <c r="AI586" i="3"/>
  <c r="AJ611" i="3"/>
  <c r="AH611" i="3"/>
  <c r="AI625" i="3"/>
  <c r="AJ631" i="3"/>
  <c r="AH631" i="3"/>
  <c r="AJ645" i="3"/>
  <c r="AJ661" i="3"/>
  <c r="AJ664" i="3"/>
  <c r="AH664" i="3"/>
  <c r="AJ667" i="3"/>
  <c r="AJ673" i="3"/>
  <c r="AJ708" i="3"/>
  <c r="AJ791" i="3"/>
  <c r="AI791" i="3"/>
  <c r="AJ802" i="3"/>
  <c r="AI541" i="3"/>
  <c r="AI557" i="3"/>
  <c r="AH560" i="3"/>
  <c r="AI573" i="3"/>
  <c r="AH576" i="3"/>
  <c r="AI589" i="3"/>
  <c r="AI592" i="3"/>
  <c r="AJ603" i="3"/>
  <c r="AH603" i="3"/>
  <c r="AI611" i="3"/>
  <c r="AH613" i="3"/>
  <c r="AI616" i="3"/>
  <c r="AJ627" i="3"/>
  <c r="AH627" i="3"/>
  <c r="AJ629" i="3"/>
  <c r="AI631" i="3"/>
  <c r="AI636" i="3"/>
  <c r="AI649" i="3"/>
  <c r="AI664" i="3"/>
  <c r="AM694" i="3"/>
  <c r="AL694" i="3"/>
  <c r="AM695" i="3" s="1"/>
  <c r="AJ731" i="3"/>
  <c r="AJ735" i="3"/>
  <c r="AM741" i="3"/>
  <c r="AL741" i="3"/>
  <c r="AH791" i="3"/>
  <c r="AH497" i="3"/>
  <c r="AH501" i="3"/>
  <c r="AH505" i="3"/>
  <c r="AH509" i="3"/>
  <c r="AH513" i="3"/>
  <c r="AH517" i="3"/>
  <c r="AH521" i="3"/>
  <c r="AH525" i="3"/>
  <c r="AH529" i="3"/>
  <c r="AH533" i="3"/>
  <c r="AH537" i="3"/>
  <c r="AI547" i="3"/>
  <c r="AH550" i="3"/>
  <c r="AI560" i="3"/>
  <c r="AI563" i="3"/>
  <c r="AH566" i="3"/>
  <c r="AI576" i="3"/>
  <c r="AI579" i="3"/>
  <c r="AH582" i="3"/>
  <c r="AH597" i="3"/>
  <c r="AH600" i="3"/>
  <c r="AI603" i="3"/>
  <c r="AH608" i="3"/>
  <c r="AI613" i="3"/>
  <c r="AI627" i="3"/>
  <c r="AL629" i="3"/>
  <c r="AJ636" i="3"/>
  <c r="AJ652" i="3"/>
  <c r="AH652" i="3"/>
  <c r="AJ655" i="3"/>
  <c r="AI665" i="3"/>
  <c r="AJ683" i="3"/>
  <c r="AJ774" i="3"/>
  <c r="AI774" i="3"/>
  <c r="AH774" i="3"/>
  <c r="AM821" i="3"/>
  <c r="AL821" i="3"/>
  <c r="AJ837" i="3"/>
  <c r="AJ856" i="3"/>
  <c r="AI637" i="3"/>
  <c r="AJ649" i="3"/>
  <c r="AI652" i="3"/>
  <c r="AH665" i="3"/>
  <c r="AM670" i="3"/>
  <c r="AJ679" i="3"/>
  <c r="AJ699" i="3"/>
  <c r="AJ785" i="3"/>
  <c r="AH540" i="3"/>
  <c r="AH556" i="3"/>
  <c r="AH572" i="3"/>
  <c r="AH588" i="3"/>
  <c r="AJ591" i="3"/>
  <c r="AH591" i="3"/>
  <c r="AI620" i="3"/>
  <c r="AH637" i="3"/>
  <c r="AI653" i="3"/>
  <c r="AJ665" i="3"/>
  <c r="AJ668" i="3"/>
  <c r="AH668" i="3"/>
  <c r="AJ684" i="3"/>
  <c r="AI684" i="3"/>
  <c r="AH684" i="3"/>
  <c r="AJ695" i="3"/>
  <c r="AI695" i="3"/>
  <c r="AJ816" i="3"/>
  <c r="AI540" i="3"/>
  <c r="AL547" i="3"/>
  <c r="AM548" i="3" s="1"/>
  <c r="AI556" i="3"/>
  <c r="AL563" i="3"/>
  <c r="AI572" i="3"/>
  <c r="AI588" i="3"/>
  <c r="AJ615" i="3"/>
  <c r="AH615" i="3"/>
  <c r="AJ620" i="3"/>
  <c r="AJ637" i="3"/>
  <c r="AJ640" i="3"/>
  <c r="AH640" i="3"/>
  <c r="AJ643" i="3"/>
  <c r="AJ656" i="3"/>
  <c r="AH656" i="3"/>
  <c r="AJ659" i="3"/>
  <c r="AJ671" i="3"/>
  <c r="AJ675" i="3"/>
  <c r="AJ727" i="3"/>
  <c r="AJ743" i="3"/>
  <c r="AI743" i="3"/>
  <c r="AJ766" i="3"/>
  <c r="AI766" i="3"/>
  <c r="AH766" i="3"/>
  <c r="AH831" i="3"/>
  <c r="AJ831" i="3"/>
  <c r="AJ599" i="3"/>
  <c r="AH599" i="3"/>
  <c r="AI615" i="3"/>
  <c r="AL620" i="3"/>
  <c r="AI624" i="3"/>
  <c r="AM634" i="3"/>
  <c r="AI640" i="3"/>
  <c r="AI656" i="3"/>
  <c r="AM664" i="3"/>
  <c r="AL664" i="3"/>
  <c r="AM671" i="3"/>
  <c r="AJ680" i="3"/>
  <c r="AJ716" i="3"/>
  <c r="AH743" i="3"/>
  <c r="AJ798" i="3"/>
  <c r="AI831" i="3"/>
  <c r="AL682" i="3"/>
  <c r="AI702" i="3"/>
  <c r="AH702" i="3"/>
  <c r="AI726" i="3"/>
  <c r="AH726" i="3"/>
  <c r="AJ741" i="3"/>
  <c r="AI741" i="3"/>
  <c r="AH741" i="3"/>
  <c r="AM760" i="3"/>
  <c r="AJ794" i="3"/>
  <c r="AJ807" i="3"/>
  <c r="AJ812" i="3"/>
  <c r="AJ817" i="3"/>
  <c r="AI817" i="3"/>
  <c r="AJ832" i="3"/>
  <c r="AJ868" i="3"/>
  <c r="AI868" i="3"/>
  <c r="AJ915" i="3"/>
  <c r="AI915" i="3"/>
  <c r="AH915" i="3"/>
  <c r="AJ737" i="3"/>
  <c r="AI737" i="3"/>
  <c r="AH737" i="3"/>
  <c r="AJ753" i="3"/>
  <c r="AJ761" i="3"/>
  <c r="AJ769" i="3"/>
  <c r="AJ803" i="3"/>
  <c r="AJ821" i="3"/>
  <c r="AJ833" i="3"/>
  <c r="AI833" i="3"/>
  <c r="AJ845" i="3"/>
  <c r="AJ909" i="3"/>
  <c r="AI909" i="3"/>
  <c r="AH909" i="3"/>
  <c r="AJ931" i="3"/>
  <c r="AL954" i="3"/>
  <c r="AM954" i="3"/>
  <c r="AH676" i="3"/>
  <c r="AH680" i="3"/>
  <c r="AI689" i="3"/>
  <c r="AI697" i="3"/>
  <c r="AH708" i="3"/>
  <c r="AH712" i="3"/>
  <c r="AH716" i="3"/>
  <c r="AI722" i="3"/>
  <c r="AH722" i="3"/>
  <c r="AH735" i="3"/>
  <c r="AI767" i="3"/>
  <c r="AI775" i="3"/>
  <c r="AI783" i="3"/>
  <c r="AJ789" i="3"/>
  <c r="AJ799" i="3"/>
  <c r="AI813" i="3"/>
  <c r="AH833" i="3"/>
  <c r="AJ846" i="3"/>
  <c r="AI846" i="3"/>
  <c r="AH846" i="3"/>
  <c r="AH879" i="3"/>
  <c r="AJ879" i="3"/>
  <c r="AI879" i="3"/>
  <c r="AI676" i="3"/>
  <c r="AI680" i="3"/>
  <c r="AI686" i="3"/>
  <c r="AJ689" i="3"/>
  <c r="AI694" i="3"/>
  <c r="AJ697" i="3"/>
  <c r="AI706" i="3"/>
  <c r="AH706" i="3"/>
  <c r="AI708" i="3"/>
  <c r="AI710" i="3"/>
  <c r="AH710" i="3"/>
  <c r="AI712" i="3"/>
  <c r="AI714" i="3"/>
  <c r="AH714" i="3"/>
  <c r="AI716" i="3"/>
  <c r="AI718" i="3"/>
  <c r="AH718" i="3"/>
  <c r="AJ733" i="3"/>
  <c r="AI733" i="3"/>
  <c r="AH733" i="3"/>
  <c r="AI735" i="3"/>
  <c r="AI751" i="3"/>
  <c r="AI759" i="3"/>
  <c r="AM762" i="3"/>
  <c r="AL762" i="3"/>
  <c r="AM770" i="3"/>
  <c r="AL770" i="3"/>
  <c r="AJ795" i="3"/>
  <c r="AJ828" i="3"/>
  <c r="AJ852" i="3"/>
  <c r="C11" i="6"/>
  <c r="C12" i="6" s="1"/>
  <c r="E7" i="8" s="1"/>
  <c r="AH686" i="3"/>
  <c r="AH694" i="3"/>
  <c r="AH699" i="3"/>
  <c r="AJ706" i="3"/>
  <c r="AJ710" i="3"/>
  <c r="AJ714" i="3"/>
  <c r="AJ718" i="3"/>
  <c r="AJ729" i="3"/>
  <c r="AI729" i="3"/>
  <c r="AH729" i="3"/>
  <c r="AH731" i="3"/>
  <c r="AI746" i="3"/>
  <c r="AH746" i="3"/>
  <c r="AH751" i="3"/>
  <c r="AH759" i="3"/>
  <c r="AJ767" i="3"/>
  <c r="AJ775" i="3"/>
  <c r="AJ778" i="3"/>
  <c r="AI778" i="3"/>
  <c r="AH778" i="3"/>
  <c r="AJ783" i="3"/>
  <c r="AJ786" i="3"/>
  <c r="AI829" i="3"/>
  <c r="AI859" i="3"/>
  <c r="AH859" i="3"/>
  <c r="AI864" i="3"/>
  <c r="AJ870" i="3"/>
  <c r="AI870" i="3"/>
  <c r="AH870" i="3"/>
  <c r="AH639" i="3"/>
  <c r="AH643" i="3"/>
  <c r="AH647" i="3"/>
  <c r="AH651" i="3"/>
  <c r="C9" i="6" s="1"/>
  <c r="AH655" i="3"/>
  <c r="AH659" i="3"/>
  <c r="AH663" i="3"/>
  <c r="AH667" i="3"/>
  <c r="AH671" i="3"/>
  <c r="AH675" i="3"/>
  <c r="AH679" i="3"/>
  <c r="AH683" i="3"/>
  <c r="AJ686" i="3"/>
  <c r="AH691" i="3"/>
  <c r="AJ694" i="3"/>
  <c r="AI699" i="3"/>
  <c r="AI701" i="3"/>
  <c r="AH727" i="3"/>
  <c r="AI731" i="3"/>
  <c r="AL733" i="3"/>
  <c r="AJ746" i="3"/>
  <c r="AJ751" i="3"/>
  <c r="AJ759" i="3"/>
  <c r="AJ809" i="3"/>
  <c r="AJ840" i="3"/>
  <c r="AI840" i="3"/>
  <c r="AJ859" i="3"/>
  <c r="AM875" i="3"/>
  <c r="AL875" i="3"/>
  <c r="AI941" i="3"/>
  <c r="AJ725" i="3"/>
  <c r="AI725" i="3"/>
  <c r="AH725" i="3"/>
  <c r="AI742" i="3"/>
  <c r="AH742" i="3"/>
  <c r="AJ749" i="3"/>
  <c r="AI749" i="3"/>
  <c r="AH749" i="3"/>
  <c r="AJ754" i="3"/>
  <c r="AI754" i="3"/>
  <c r="AH754" i="3"/>
  <c r="AJ757" i="3"/>
  <c r="AJ762" i="3"/>
  <c r="AI762" i="3"/>
  <c r="AH762" i="3"/>
  <c r="AJ765" i="3"/>
  <c r="AJ770" i="3"/>
  <c r="AI770" i="3"/>
  <c r="AH770" i="3"/>
  <c r="AJ773" i="3"/>
  <c r="AJ781" i="3"/>
  <c r="AJ805" i="3"/>
  <c r="AJ824" i="3"/>
  <c r="AI824" i="3"/>
  <c r="AJ860" i="3"/>
  <c r="C41" i="6"/>
  <c r="C17" i="6"/>
  <c r="C42" i="6"/>
  <c r="C18" i="6"/>
  <c r="AJ639" i="3"/>
  <c r="AH696" i="3"/>
  <c r="AH703" i="3"/>
  <c r="AH723" i="3"/>
  <c r="AI738" i="3"/>
  <c r="AH738" i="3"/>
  <c r="AJ742" i="3"/>
  <c r="AI779" i="3"/>
  <c r="AJ787" i="3"/>
  <c r="AI787" i="3"/>
  <c r="AJ790" i="3"/>
  <c r="AJ793" i="3"/>
  <c r="AJ801" i="3"/>
  <c r="AH824" i="3"/>
  <c r="AI836" i="3"/>
  <c r="AJ841" i="3"/>
  <c r="AJ963" i="3"/>
  <c r="AI696" i="3"/>
  <c r="AI703" i="3"/>
  <c r="AI709" i="3"/>
  <c r="AH709" i="3"/>
  <c r="AI713" i="3"/>
  <c r="AH713" i="3"/>
  <c r="AI717" i="3"/>
  <c r="AH717" i="3"/>
  <c r="AJ721" i="3"/>
  <c r="AI721" i="3"/>
  <c r="AH721" i="3"/>
  <c r="AI723" i="3"/>
  <c r="AI747" i="3"/>
  <c r="AM774" i="3"/>
  <c r="AL774" i="3"/>
  <c r="AM782" i="3"/>
  <c r="AL782" i="3"/>
  <c r="AJ797" i="3"/>
  <c r="AI820" i="3"/>
  <c r="AJ825" i="3"/>
  <c r="AI842" i="3"/>
  <c r="AH842" i="3"/>
  <c r="AI876" i="3"/>
  <c r="AI690" i="3"/>
  <c r="AI698" i="3"/>
  <c r="AH698" i="3"/>
  <c r="AI734" i="3"/>
  <c r="AH734" i="3"/>
  <c r="AI755" i="3"/>
  <c r="AI763" i="3"/>
  <c r="AI771" i="3"/>
  <c r="AM794" i="3"/>
  <c r="AL794" i="3"/>
  <c r="AJ806" i="3"/>
  <c r="AH815" i="3"/>
  <c r="AJ815" i="3"/>
  <c r="AJ842" i="3"/>
  <c r="AJ921" i="3"/>
  <c r="AI810" i="3"/>
  <c r="AH810" i="3"/>
  <c r="AI826" i="3"/>
  <c r="AH826" i="3"/>
  <c r="AM847" i="3"/>
  <c r="AL847" i="3"/>
  <c r="AI855" i="3"/>
  <c r="AH855" i="3"/>
  <c r="AJ866" i="3"/>
  <c r="AI866" i="3"/>
  <c r="AH866" i="3"/>
  <c r="AJ890" i="3"/>
  <c r="AI890" i="3"/>
  <c r="AH890" i="3"/>
  <c r="AI880" i="3"/>
  <c r="AH880" i="3"/>
  <c r="AM884" i="3"/>
  <c r="AL884" i="3"/>
  <c r="AI795" i="3"/>
  <c r="AI799" i="3"/>
  <c r="AI803" i="3"/>
  <c r="AI807" i="3"/>
  <c r="AH812" i="3"/>
  <c r="AI819" i="3"/>
  <c r="AH821" i="3"/>
  <c r="AH828" i="3"/>
  <c r="AI835" i="3"/>
  <c r="AH837" i="3"/>
  <c r="AM840" i="3"/>
  <c r="AI851" i="3"/>
  <c r="AH851" i="3"/>
  <c r="AJ862" i="3"/>
  <c r="AI862" i="3"/>
  <c r="AH862" i="3"/>
  <c r="AJ880" i="3"/>
  <c r="AJ895" i="3"/>
  <c r="AH895" i="3"/>
  <c r="AI895" i="3"/>
  <c r="AJ905" i="3"/>
  <c r="AM911" i="3"/>
  <c r="AL911" i="3"/>
  <c r="AI812" i="3"/>
  <c r="AI814" i="3"/>
  <c r="AH814" i="3"/>
  <c r="AJ819" i="3"/>
  <c r="AI821" i="3"/>
  <c r="AI828" i="3"/>
  <c r="AI830" i="3"/>
  <c r="AH830" i="3"/>
  <c r="AJ835" i="3"/>
  <c r="AI837" i="3"/>
  <c r="AI875" i="3"/>
  <c r="AH875" i="3"/>
  <c r="AI900" i="3"/>
  <c r="AH900" i="3"/>
  <c r="AJ943" i="3"/>
  <c r="AJ960" i="3"/>
  <c r="AI960" i="3"/>
  <c r="AH960" i="3"/>
  <c r="AJ998" i="3"/>
  <c r="AI998" i="3"/>
  <c r="AH998" i="3"/>
  <c r="AH786" i="3"/>
  <c r="AH790" i="3"/>
  <c r="AH794" i="3"/>
  <c r="AH798" i="3"/>
  <c r="AH802" i="3"/>
  <c r="AH806" i="3"/>
  <c r="AJ814" i="3"/>
  <c r="AJ830" i="3"/>
  <c r="AH841" i="3"/>
  <c r="AH845" i="3"/>
  <c r="AI847" i="3"/>
  <c r="AH847" i="3"/>
  <c r="AJ858" i="3"/>
  <c r="AI858" i="3"/>
  <c r="AH858" i="3"/>
  <c r="AI860" i="3"/>
  <c r="AI871" i="3"/>
  <c r="AH871" i="3"/>
  <c r="AJ875" i="3"/>
  <c r="AJ881" i="3"/>
  <c r="AI881" i="3"/>
  <c r="AH881" i="3"/>
  <c r="AJ900" i="3"/>
  <c r="AI786" i="3"/>
  <c r="AI790" i="3"/>
  <c r="AI794" i="3"/>
  <c r="AI798" i="3"/>
  <c r="AI802" i="3"/>
  <c r="AI806" i="3"/>
  <c r="AH809" i="3"/>
  <c r="AH816" i="3"/>
  <c r="AI823" i="3"/>
  <c r="AH825" i="3"/>
  <c r="AH832" i="3"/>
  <c r="AI839" i="3"/>
  <c r="AI841" i="3"/>
  <c r="AI843" i="3"/>
  <c r="AH843" i="3"/>
  <c r="AI845" i="3"/>
  <c r="AJ847" i="3"/>
  <c r="AH856" i="3"/>
  <c r="AJ871" i="3"/>
  <c r="AJ901" i="3"/>
  <c r="AI929" i="3"/>
  <c r="AL814" i="3"/>
  <c r="AI818" i="3"/>
  <c r="AH818" i="3"/>
  <c r="AL830" i="3"/>
  <c r="AI834" i="3"/>
  <c r="AH834" i="3"/>
  <c r="AJ854" i="3"/>
  <c r="AI854" i="3"/>
  <c r="AH854" i="3"/>
  <c r="AI867" i="3"/>
  <c r="AH867" i="3"/>
  <c r="AJ878" i="3"/>
  <c r="AI878" i="3"/>
  <c r="AH878" i="3"/>
  <c r="AJ913" i="3"/>
  <c r="AI913" i="3"/>
  <c r="AH753" i="3"/>
  <c r="AH757" i="3"/>
  <c r="AH761" i="3"/>
  <c r="AH765" i="3"/>
  <c r="AH769" i="3"/>
  <c r="AH773" i="3"/>
  <c r="AH777" i="3"/>
  <c r="AH781" i="3"/>
  <c r="AH785" i="3"/>
  <c r="AH789" i="3"/>
  <c r="AH793" i="3"/>
  <c r="AH797" i="3"/>
  <c r="AH801" i="3"/>
  <c r="AH805" i="3"/>
  <c r="AJ818" i="3"/>
  <c r="AJ834" i="3"/>
  <c r="AM839" i="3"/>
  <c r="AH852" i="3"/>
  <c r="AJ867" i="3"/>
  <c r="AJ882" i="3"/>
  <c r="AH882" i="3"/>
  <c r="C42" i="7"/>
  <c r="C41" i="7"/>
  <c r="C17" i="7"/>
  <c r="C18" i="7"/>
  <c r="AI888" i="3"/>
  <c r="AH888" i="3"/>
  <c r="AI893" i="3"/>
  <c r="AH913" i="3"/>
  <c r="AJ925" i="3"/>
  <c r="AI753" i="3"/>
  <c r="AI757" i="3"/>
  <c r="AI761" i="3"/>
  <c r="AI765" i="3"/>
  <c r="AI769" i="3"/>
  <c r="AI773" i="3"/>
  <c r="AI777" i="3"/>
  <c r="AI781" i="3"/>
  <c r="AI785" i="3"/>
  <c r="AI789" i="3"/>
  <c r="AI793" i="3"/>
  <c r="AI797" i="3"/>
  <c r="AI801" i="3"/>
  <c r="AI805" i="3"/>
  <c r="AL841" i="3"/>
  <c r="AJ850" i="3"/>
  <c r="AI850" i="3"/>
  <c r="AH850" i="3"/>
  <c r="AI852" i="3"/>
  <c r="AI863" i="3"/>
  <c r="AH863" i="3"/>
  <c r="AH876" i="3"/>
  <c r="AI882" i="3"/>
  <c r="AJ888" i="3"/>
  <c r="AJ897" i="3"/>
  <c r="AJ951" i="3"/>
  <c r="AI951" i="3"/>
  <c r="AH951" i="3"/>
  <c r="AJ811" i="3"/>
  <c r="AI822" i="3"/>
  <c r="AH822" i="3"/>
  <c r="AJ827" i="3"/>
  <c r="AI838" i="3"/>
  <c r="AH838" i="3"/>
  <c r="AJ863" i="3"/>
  <c r="AJ874" i="3"/>
  <c r="AI874" i="3"/>
  <c r="AH874" i="3"/>
  <c r="AJ893" i="3"/>
  <c r="AJ911" i="3"/>
  <c r="AI911" i="3"/>
  <c r="AH911" i="3"/>
  <c r="AI924" i="3"/>
  <c r="AH924" i="3"/>
  <c r="AJ954" i="3"/>
  <c r="AI954" i="3"/>
  <c r="AI957" i="3"/>
  <c r="AJ957" i="3"/>
  <c r="AH957" i="3"/>
  <c r="AJ967" i="3"/>
  <c r="AH967" i="3"/>
  <c r="AJ971" i="3"/>
  <c r="AJ999" i="3"/>
  <c r="AJ1095" i="3"/>
  <c r="AJ907" i="3"/>
  <c r="AI907" i="3"/>
  <c r="AH907" i="3"/>
  <c r="AM932" i="3"/>
  <c r="AL932" i="3"/>
  <c r="AJ936" i="3"/>
  <c r="AI936" i="3"/>
  <c r="AH936" i="3"/>
  <c r="AJ972" i="3"/>
  <c r="AI972" i="3"/>
  <c r="AJ976" i="3"/>
  <c r="AJ995" i="3"/>
  <c r="AH905" i="3"/>
  <c r="AI920" i="3"/>
  <c r="AH920" i="3"/>
  <c r="AI955" i="3"/>
  <c r="AH972" i="3"/>
  <c r="AJ1005" i="3"/>
  <c r="AI1005" i="3"/>
  <c r="AM1021" i="3"/>
  <c r="AL1021" i="3"/>
  <c r="AJ899" i="3"/>
  <c r="AH899" i="3"/>
  <c r="AJ903" i="3"/>
  <c r="AI903" i="3"/>
  <c r="AH903" i="3"/>
  <c r="AI905" i="3"/>
  <c r="AJ927" i="3"/>
  <c r="AJ939" i="3"/>
  <c r="AJ968" i="3"/>
  <c r="AI977" i="3"/>
  <c r="AJ986" i="3"/>
  <c r="AI986" i="3"/>
  <c r="AH986" i="3"/>
  <c r="AH1005" i="3"/>
  <c r="AI887" i="3"/>
  <c r="AI892" i="3"/>
  <c r="AI897" i="3"/>
  <c r="AI899" i="3"/>
  <c r="AH901" i="3"/>
  <c r="AI916" i="3"/>
  <c r="AH916" i="3"/>
  <c r="AJ944" i="3"/>
  <c r="AI944" i="3"/>
  <c r="AH944" i="3"/>
  <c r="AJ955" i="3"/>
  <c r="AJ958" i="3"/>
  <c r="AI987" i="3"/>
  <c r="AJ991" i="3"/>
  <c r="AI884" i="3"/>
  <c r="AJ887" i="3"/>
  <c r="AI901" i="3"/>
  <c r="AJ932" i="3"/>
  <c r="AI932" i="3"/>
  <c r="AH932" i="3"/>
  <c r="AM940" i="3"/>
  <c r="AL940" i="3"/>
  <c r="AM964" i="3"/>
  <c r="AL964" i="3"/>
  <c r="AM969" i="3"/>
  <c r="AL969" i="3"/>
  <c r="AH1071" i="3"/>
  <c r="AI1071" i="3"/>
  <c r="AJ1071" i="3"/>
  <c r="AJ1112" i="3"/>
  <c r="C11" i="7"/>
  <c r="C12" i="7" s="1"/>
  <c r="G7" i="8" s="1"/>
  <c r="AI912" i="3"/>
  <c r="AH912" i="3"/>
  <c r="AJ923" i="3"/>
  <c r="AI923" i="3"/>
  <c r="AH923" i="3"/>
  <c r="AJ947" i="3"/>
  <c r="AI959" i="3"/>
  <c r="AJ1079" i="3"/>
  <c r="AH1079" i="3"/>
  <c r="AJ884" i="3"/>
  <c r="AH889" i="3"/>
  <c r="AI908" i="3"/>
  <c r="AH908" i="3"/>
  <c r="AJ912" i="3"/>
  <c r="AH921" i="3"/>
  <c r="AJ935" i="3"/>
  <c r="AJ956" i="3"/>
  <c r="AI1079" i="3"/>
  <c r="AI889" i="3"/>
  <c r="AI896" i="3"/>
  <c r="AJ919" i="3"/>
  <c r="AI919" i="3"/>
  <c r="AH919" i="3"/>
  <c r="AI921" i="3"/>
  <c r="AJ889" i="3"/>
  <c r="AJ891" i="3"/>
  <c r="AH891" i="3"/>
  <c r="AI904" i="3"/>
  <c r="AH904" i="3"/>
  <c r="AJ928" i="3"/>
  <c r="AI928" i="3"/>
  <c r="AH928" i="3"/>
  <c r="AJ940" i="3"/>
  <c r="AI940" i="3"/>
  <c r="AH940" i="3"/>
  <c r="AJ970" i="3"/>
  <c r="AI970" i="3"/>
  <c r="AJ1030" i="3"/>
  <c r="AI1030" i="3"/>
  <c r="AI945" i="3"/>
  <c r="AI961" i="3"/>
  <c r="AJ994" i="3"/>
  <c r="AI994" i="3"/>
  <c r="AJ1042" i="3"/>
  <c r="AI1042" i="3"/>
  <c r="AH1042" i="3"/>
  <c r="AI1100" i="3"/>
  <c r="AJ1100" i="3"/>
  <c r="AH1100" i="3"/>
  <c r="AH1130" i="3"/>
  <c r="AJ1130" i="3"/>
  <c r="AI1130" i="3"/>
  <c r="AJ1027" i="3"/>
  <c r="AI1027" i="3"/>
  <c r="AH1027" i="3"/>
  <c r="AJ1062" i="3"/>
  <c r="AJ1065" i="3"/>
  <c r="AJ1126" i="3"/>
  <c r="AH1126" i="3"/>
  <c r="AI969" i="3"/>
  <c r="AJ974" i="3"/>
  <c r="AI974" i="3"/>
  <c r="AI984" i="3"/>
  <c r="AJ990" i="3"/>
  <c r="AI990" i="3"/>
  <c r="AM1040" i="3"/>
  <c r="AL1040" i="3"/>
  <c r="AJ1043" i="3"/>
  <c r="AH1043" i="3"/>
  <c r="AI1043" i="3"/>
  <c r="AH1065" i="3"/>
  <c r="AH1101" i="3"/>
  <c r="AJ1101" i="3"/>
  <c r="AI1101" i="3"/>
  <c r="AH1109" i="3"/>
  <c r="AI1109" i="3"/>
  <c r="AI1126" i="3"/>
  <c r="AJ1034" i="3"/>
  <c r="AM1044" i="3"/>
  <c r="AL1044" i="3"/>
  <c r="AH1081" i="3"/>
  <c r="AJ1081" i="3"/>
  <c r="AI1081" i="3"/>
  <c r="AJ1123" i="3"/>
  <c r="AL1128" i="3"/>
  <c r="AM1128" i="3"/>
  <c r="AJ1131" i="3"/>
  <c r="AL945" i="3"/>
  <c r="AI966" i="3"/>
  <c r="AI976" i="3"/>
  <c r="AJ980" i="3"/>
  <c r="AJ982" i="3"/>
  <c r="AI982" i="3"/>
  <c r="AH995" i="3"/>
  <c r="AI999" i="3"/>
  <c r="AH1019" i="3"/>
  <c r="AJ1019" i="3"/>
  <c r="AI1019" i="3"/>
  <c r="AH1063" i="3"/>
  <c r="AI1063" i="3"/>
  <c r="AJ1063" i="3"/>
  <c r="AI1114" i="3"/>
  <c r="AJ1114" i="3"/>
  <c r="AH1114" i="3"/>
  <c r="AI1120" i="3"/>
  <c r="AH947" i="3"/>
  <c r="AH963" i="3"/>
  <c r="AH966" i="3"/>
  <c r="AH971" i="3"/>
  <c r="AJ978" i="3"/>
  <c r="AI978" i="3"/>
  <c r="AH982" i="3"/>
  <c r="AI995" i="3"/>
  <c r="AJ997" i="3"/>
  <c r="AJ1025" i="3"/>
  <c r="AJ1054" i="3"/>
  <c r="AI1054" i="3"/>
  <c r="AJ1082" i="3"/>
  <c r="AI1098" i="3"/>
  <c r="AJ1115" i="3"/>
  <c r="AH1120" i="3"/>
  <c r="AI953" i="3"/>
  <c r="AI973" i="3"/>
  <c r="AJ993" i="3"/>
  <c r="AJ1022" i="3"/>
  <c r="AI1022" i="3"/>
  <c r="AH1098" i="3"/>
  <c r="AJ1120" i="3"/>
  <c r="AH927" i="3"/>
  <c r="AH931" i="3"/>
  <c r="AH935" i="3"/>
  <c r="AH939" i="3"/>
  <c r="AH943" i="3"/>
  <c r="AH953" i="3"/>
  <c r="AH956" i="3"/>
  <c r="AH968" i="3"/>
  <c r="AI989" i="3"/>
  <c r="AH991" i="3"/>
  <c r="AL997" i="3"/>
  <c r="AJ1007" i="3"/>
  <c r="AH1022" i="3"/>
  <c r="AI1025" i="3"/>
  <c r="AJ1051" i="3"/>
  <c r="AI1051" i="3"/>
  <c r="AL1106" i="3"/>
  <c r="AM1117" i="3"/>
  <c r="AL1117" i="3"/>
  <c r="AI927" i="3"/>
  <c r="AI931" i="3"/>
  <c r="AI935" i="3"/>
  <c r="AI939" i="3"/>
  <c r="AI943" i="3"/>
  <c r="AJ953" i="3"/>
  <c r="AI956" i="3"/>
  <c r="AI965" i="3"/>
  <c r="AI968" i="3"/>
  <c r="AI985" i="3"/>
  <c r="AI991" i="3"/>
  <c r="AJ1002" i="3"/>
  <c r="AJ1023" i="3"/>
  <c r="AI1023" i="3"/>
  <c r="AJ1058" i="3"/>
  <c r="AL1067" i="3"/>
  <c r="AM1067" i="3"/>
  <c r="AJ1107" i="3"/>
  <c r="AH1107" i="3"/>
  <c r="AJ1111" i="3"/>
  <c r="AH1111" i="3"/>
  <c r="AI1111" i="3"/>
  <c r="AI1116" i="3"/>
  <c r="AH1116" i="3"/>
  <c r="AJ1116" i="3"/>
  <c r="AJ1128" i="3"/>
  <c r="AH1128" i="3"/>
  <c r="AI949" i="3"/>
  <c r="AH965" i="3"/>
  <c r="AI981" i="3"/>
  <c r="AH1002" i="3"/>
  <c r="AJ1010" i="3"/>
  <c r="AH1023" i="3"/>
  <c r="AI1038" i="3"/>
  <c r="AJ1045" i="3"/>
  <c r="AH1045" i="3"/>
  <c r="AJ1055" i="3"/>
  <c r="AI1055" i="3"/>
  <c r="AH1055" i="3"/>
  <c r="AH1058" i="3"/>
  <c r="AJ1061" i="3"/>
  <c r="AH1061" i="3"/>
  <c r="AI1107" i="3"/>
  <c r="AM1116" i="3"/>
  <c r="AI1128" i="3"/>
  <c r="AJ1017" i="3"/>
  <c r="AJ1033" i="3"/>
  <c r="AH1033" i="3"/>
  <c r="AJ1047" i="3"/>
  <c r="AJ1092" i="3"/>
  <c r="AJ1094" i="3"/>
  <c r="AH1094" i="3"/>
  <c r="AI1094" i="3"/>
  <c r="AI1067" i="3"/>
  <c r="AI1084" i="3"/>
  <c r="AJ1086" i="3"/>
  <c r="AH1086" i="3"/>
  <c r="AH1105" i="3"/>
  <c r="AI1105" i="3"/>
  <c r="AJ1105" i="3"/>
  <c r="AJ1053" i="3"/>
  <c r="AH1053" i="3"/>
  <c r="AI1053" i="3"/>
  <c r="AM1058" i="3"/>
  <c r="AL1058" i="3"/>
  <c r="AJ1067" i="3"/>
  <c r="AJ1073" i="3"/>
  <c r="AI1082" i="3"/>
  <c r="AJ1084" i="3"/>
  <c r="AJ1103" i="3"/>
  <c r="AI1112" i="3"/>
  <c r="AM1125" i="3"/>
  <c r="AL1125" i="3"/>
  <c r="AM1126" i="3" s="1"/>
  <c r="AH1129" i="3"/>
  <c r="AJ1129" i="3"/>
  <c r="AI1131" i="3"/>
  <c r="AJ1001" i="3"/>
  <c r="AJ1013" i="3"/>
  <c r="AJ1037" i="3"/>
  <c r="AH1080" i="3"/>
  <c r="AJ1080" i="3"/>
  <c r="AI1080" i="3"/>
  <c r="AH1095" i="3"/>
  <c r="AL1135" i="3"/>
  <c r="AJ1029" i="3"/>
  <c r="AH1029" i="3"/>
  <c r="AH1046" i="3"/>
  <c r="AI1046" i="3"/>
  <c r="AI1095" i="3"/>
  <c r="AI1108" i="3"/>
  <c r="AI993" i="3"/>
  <c r="AI997" i="3"/>
  <c r="AI1001" i="3"/>
  <c r="AI1013" i="3"/>
  <c r="AJ1021" i="3"/>
  <c r="AI1029" i="3"/>
  <c r="AH1034" i="3"/>
  <c r="AI1037" i="3"/>
  <c r="AI1039" i="3"/>
  <c r="AJ1046" i="3"/>
  <c r="AI1068" i="3"/>
  <c r="AI1087" i="3"/>
  <c r="AH1089" i="3"/>
  <c r="AJ1089" i="3"/>
  <c r="AJ1093" i="3"/>
  <c r="AH1115" i="3"/>
  <c r="AI1117" i="3"/>
  <c r="AH1123" i="3"/>
  <c r="AH1125" i="3"/>
  <c r="AI1125" i="3"/>
  <c r="AI1034" i="3"/>
  <c r="AJ1039" i="3"/>
  <c r="AJ1057" i="3"/>
  <c r="AH1057" i="3"/>
  <c r="AH1068" i="3"/>
  <c r="AJ1070" i="3"/>
  <c r="AJ1078" i="3"/>
  <c r="AH1078" i="3"/>
  <c r="AJ1087" i="3"/>
  <c r="AI1089" i="3"/>
  <c r="AL1095" i="3"/>
  <c r="AI1115" i="3"/>
  <c r="AJ1117" i="3"/>
  <c r="AI1123" i="3"/>
  <c r="AJ1125" i="3"/>
  <c r="AI1136" i="3"/>
  <c r="AJ1006" i="3"/>
  <c r="AJ1009" i="3"/>
  <c r="AH1009" i="3"/>
  <c r="AJ1026" i="3"/>
  <c r="AH1026" i="3"/>
  <c r="AJ1041" i="3"/>
  <c r="AJ1050" i="3"/>
  <c r="AH1050" i="3"/>
  <c r="AH1102" i="3"/>
  <c r="AJ1102" i="3"/>
  <c r="AI1102" i="3"/>
  <c r="AH1136" i="3"/>
  <c r="AJ1049" i="3"/>
  <c r="AH1113" i="3"/>
  <c r="AJ1113" i="3"/>
  <c r="AJ1110" i="3"/>
  <c r="AI1132" i="3"/>
  <c r="B13" i="8"/>
  <c r="B38" i="5"/>
  <c r="C38" i="5"/>
  <c r="E14" i="8"/>
  <c r="C39" i="6"/>
  <c r="E15" i="8" s="1"/>
  <c r="C40" i="6"/>
  <c r="E16" i="8" s="1"/>
  <c r="AH1097" i="3"/>
  <c r="AJ1097" i="3"/>
  <c r="AJ1119" i="3"/>
  <c r="AJ1133" i="3"/>
  <c r="B38" i="6"/>
  <c r="B38" i="7"/>
  <c r="C38" i="7"/>
  <c r="C9" i="7" l="1"/>
  <c r="C10" i="7"/>
  <c r="G6" i="8" s="1"/>
  <c r="AM912" i="3"/>
  <c r="AL912" i="3"/>
  <c r="AM763" i="3"/>
  <c r="AL763" i="3"/>
  <c r="AL683" i="3"/>
  <c r="AM683" i="3"/>
  <c r="AM568" i="3"/>
  <c r="AL568" i="3"/>
  <c r="C9" i="5"/>
  <c r="AM301" i="3"/>
  <c r="AL301" i="3"/>
  <c r="AM551" i="3"/>
  <c r="AL551" i="3"/>
  <c r="AM208" i="3"/>
  <c r="AL208" i="3"/>
  <c r="AM955" i="3"/>
  <c r="AL955" i="3"/>
  <c r="AM621" i="3"/>
  <c r="AL621" i="3"/>
  <c r="AM742" i="3"/>
  <c r="AL742" i="3"/>
  <c r="AM698" i="3"/>
  <c r="AL698" i="3"/>
  <c r="AL655" i="3"/>
  <c r="AM655" i="3"/>
  <c r="AM502" i="3"/>
  <c r="AL502" i="3"/>
  <c r="AM464" i="3"/>
  <c r="AL464" i="3"/>
  <c r="AM783" i="3"/>
  <c r="AL783" i="3"/>
  <c r="AM29" i="3"/>
  <c r="AL29" i="3"/>
  <c r="AM77" i="3"/>
  <c r="AL77" i="3"/>
  <c r="AL154" i="3"/>
  <c r="AM154" i="3"/>
  <c r="AL1059" i="3"/>
  <c r="AM1059" i="3"/>
  <c r="AL831" i="3"/>
  <c r="AM831" i="3"/>
  <c r="AM564" i="3"/>
  <c r="AL564" i="3"/>
  <c r="AM565" i="3" s="1"/>
  <c r="AM449" i="3"/>
  <c r="AL449" i="3"/>
  <c r="AM421" i="3"/>
  <c r="AL421" i="3"/>
  <c r="AM379" i="3"/>
  <c r="AL379" i="3"/>
  <c r="AL67" i="3"/>
  <c r="AM67" i="3"/>
  <c r="AM1041" i="3"/>
  <c r="AL1041" i="3"/>
  <c r="AL970" i="3"/>
  <c r="AM970" i="3"/>
  <c r="AL965" i="3"/>
  <c r="AM965" i="3"/>
  <c r="AM775" i="3"/>
  <c r="AL775" i="3"/>
  <c r="AM617" i="3"/>
  <c r="AL617" i="3"/>
  <c r="AM618" i="3" s="1"/>
  <c r="AM590" i="3"/>
  <c r="AL590" i="3"/>
  <c r="AM437" i="3"/>
  <c r="AL437" i="3"/>
  <c r="AL395" i="3"/>
  <c r="AM395" i="3"/>
  <c r="AM196" i="3"/>
  <c r="AL196" i="3"/>
  <c r="AM25" i="3"/>
  <c r="AL25" i="3"/>
  <c r="AL131" i="3"/>
  <c r="AM131" i="3"/>
  <c r="AM998" i="3"/>
  <c r="AL998" i="3"/>
  <c r="C14" i="8"/>
  <c r="C40" i="5"/>
  <c r="C16" i="8" s="1"/>
  <c r="C39" i="5"/>
  <c r="C15" i="8" s="1"/>
  <c r="B14" i="8"/>
  <c r="B40" i="5"/>
  <c r="B39" i="5"/>
  <c r="AL1096" i="3"/>
  <c r="AM1096" i="3"/>
  <c r="AL946" i="3"/>
  <c r="AM946" i="3"/>
  <c r="AM734" i="3"/>
  <c r="AL734" i="3"/>
  <c r="AL539" i="3"/>
  <c r="AM539" i="3"/>
  <c r="AM490" i="3"/>
  <c r="AL490" i="3"/>
  <c r="AM262" i="3"/>
  <c r="AL262" i="3"/>
  <c r="AM341" i="3"/>
  <c r="AL341" i="3"/>
  <c r="B7" i="4"/>
  <c r="B10" i="4" s="1"/>
  <c r="B17" i="4"/>
  <c r="AL269" i="3"/>
  <c r="AM269" i="3"/>
  <c r="AM104" i="3"/>
  <c r="AL104" i="3"/>
  <c r="F14" i="8"/>
  <c r="B40" i="7"/>
  <c r="B39" i="7"/>
  <c r="AM1045" i="3"/>
  <c r="AL1045" i="3"/>
  <c r="AM1068" i="3"/>
  <c r="AL1068" i="3"/>
  <c r="G14" i="8"/>
  <c r="C40" i="7"/>
  <c r="G16" i="8" s="1"/>
  <c r="C39" i="7"/>
  <c r="G15" i="8" s="1"/>
  <c r="AL1136" i="3"/>
  <c r="AM1137" i="3" s="1"/>
  <c r="AM1136" i="3"/>
  <c r="AL1118" i="3"/>
  <c r="AM1118" i="3"/>
  <c r="AM941" i="3"/>
  <c r="AL941" i="3"/>
  <c r="AM1022" i="3"/>
  <c r="AL1022" i="3"/>
  <c r="AM842" i="3"/>
  <c r="AL842" i="3"/>
  <c r="AL815" i="3"/>
  <c r="AM815" i="3"/>
  <c r="AM607" i="3"/>
  <c r="AL607" i="3"/>
  <c r="AM561" i="3"/>
  <c r="AL561" i="3"/>
  <c r="AM562" i="3" s="1"/>
  <c r="AM335" i="3"/>
  <c r="AL335" i="3"/>
  <c r="AL9" i="3"/>
  <c r="AM9" i="3"/>
  <c r="AM460" i="3"/>
  <c r="AL460" i="3"/>
  <c r="AM461" i="3" s="1"/>
  <c r="AL141" i="3"/>
  <c r="AM141" i="3"/>
  <c r="AL186" i="3"/>
  <c r="AM186" i="3"/>
  <c r="AL59" i="3"/>
  <c r="AM59" i="3"/>
  <c r="AM218" i="3"/>
  <c r="AL218" i="3"/>
  <c r="AL166" i="3"/>
  <c r="AM166" i="3"/>
  <c r="C10" i="6"/>
  <c r="E6" i="8" s="1"/>
  <c r="AM665" i="3"/>
  <c r="AL665" i="3"/>
  <c r="AM535" i="3"/>
  <c r="AL535" i="3"/>
  <c r="AM536" i="3" s="1"/>
  <c r="AM406" i="3"/>
  <c r="AL406" i="3"/>
  <c r="B50" i="6"/>
  <c r="D50" i="6" s="1"/>
  <c r="D7" i="8"/>
  <c r="AM259" i="3"/>
  <c r="AL259" i="3"/>
  <c r="AM260" i="3" s="1"/>
  <c r="AL19" i="3"/>
  <c r="AM19" i="3"/>
  <c r="B9" i="6"/>
  <c r="B51" i="6" s="1"/>
  <c r="D51" i="6" s="1"/>
  <c r="B9" i="7"/>
  <c r="B51" i="7" s="1"/>
  <c r="D51" i="7" s="1"/>
  <c r="B10" i="6"/>
  <c r="D6" i="8" s="1"/>
  <c r="B10" i="7"/>
  <c r="F6" i="8" s="1"/>
  <c r="B9" i="5"/>
  <c r="B51" i="5" s="1"/>
  <c r="D51" i="5" s="1"/>
  <c r="B10" i="5"/>
  <c r="B6" i="8" s="1"/>
  <c r="AF8" i="3"/>
  <c r="AK7" i="3"/>
  <c r="AM1107" i="3"/>
  <c r="AL1107" i="3"/>
  <c r="AM1129" i="3"/>
  <c r="AL1129" i="3"/>
  <c r="AL876" i="3"/>
  <c r="AM876" i="3"/>
  <c r="AM468" i="3"/>
  <c r="AL468" i="3"/>
  <c r="AM5" i="3"/>
  <c r="AL5" i="3"/>
  <c r="AL45" i="3"/>
  <c r="AM45" i="3"/>
  <c r="B50" i="7"/>
  <c r="D50" i="7" s="1"/>
  <c r="F7" i="8"/>
  <c r="AM114" i="3"/>
  <c r="AL114" i="3"/>
  <c r="AL98" i="3"/>
  <c r="AM99" i="3" s="1"/>
  <c r="AM98" i="3"/>
  <c r="D14" i="8"/>
  <c r="B40" i="6"/>
  <c r="B39" i="6"/>
  <c r="AL637" i="3"/>
  <c r="AM637" i="3"/>
  <c r="AM527" i="3"/>
  <c r="AL527" i="3"/>
  <c r="AM410" i="3"/>
  <c r="AL410" i="3"/>
  <c r="B2" i="4"/>
  <c r="B7" i="8"/>
  <c r="B50" i="5"/>
  <c r="D50" i="5" s="1"/>
  <c r="AM84" i="3"/>
  <c r="AL84" i="3"/>
  <c r="AM933" i="3"/>
  <c r="AL933" i="3"/>
  <c r="AM795" i="3"/>
  <c r="AL795" i="3"/>
  <c r="AM771" i="3"/>
  <c r="AL771" i="3"/>
  <c r="AL630" i="3"/>
  <c r="AM630" i="3"/>
  <c r="AM673" i="3"/>
  <c r="AL673" i="3"/>
  <c r="AL358" i="3"/>
  <c r="AM358" i="3"/>
  <c r="AM250" i="3"/>
  <c r="AL250" i="3"/>
  <c r="AL885" i="3"/>
  <c r="AM885" i="3"/>
  <c r="AL848" i="3"/>
  <c r="AM848" i="3"/>
  <c r="AM822" i="3"/>
  <c r="AL822" i="3"/>
  <c r="AM519" i="3"/>
  <c r="AL519" i="3"/>
  <c r="AM520" i="3" s="1"/>
  <c r="AL37" i="3"/>
  <c r="AM37" i="3"/>
  <c r="AM160" i="3"/>
  <c r="AL160" i="3"/>
  <c r="AM371" i="3"/>
  <c r="AL371" i="3"/>
  <c r="AM438" i="3" l="1"/>
  <c r="AL438" i="3"/>
  <c r="AM187" i="3"/>
  <c r="AL187" i="3"/>
  <c r="AM540" i="3"/>
  <c r="AL540" i="3"/>
  <c r="AM622" i="3"/>
  <c r="AL622" i="3"/>
  <c r="AM569" i="3"/>
  <c r="AL569" i="3"/>
  <c r="AL735" i="3"/>
  <c r="AM735" i="3"/>
  <c r="AM999" i="3"/>
  <c r="AL999" i="3"/>
  <c r="AL591" i="3"/>
  <c r="AM591" i="3"/>
  <c r="AM832" i="3"/>
  <c r="AL832" i="3"/>
  <c r="F23" i="8"/>
  <c r="F51" i="7"/>
  <c r="AL666" i="3"/>
  <c r="AM667" i="3" s="1"/>
  <c r="AM666" i="3"/>
  <c r="AM142" i="3"/>
  <c r="AL142" i="3"/>
  <c r="AM816" i="3"/>
  <c r="AL816" i="3"/>
  <c r="AM270" i="3"/>
  <c r="AL270" i="3"/>
  <c r="AM68" i="3"/>
  <c r="AL68" i="3"/>
  <c r="AL465" i="3"/>
  <c r="AM466" i="3" s="1"/>
  <c r="AM465" i="3"/>
  <c r="AM956" i="3"/>
  <c r="AL956" i="3"/>
  <c r="AM105" i="3"/>
  <c r="AL105" i="3"/>
  <c r="AL784" i="3"/>
  <c r="AM784" i="3"/>
  <c r="AM38" i="3"/>
  <c r="AL38" i="3"/>
  <c r="D23" i="8"/>
  <c r="F51" i="6"/>
  <c r="AL843" i="3"/>
  <c r="AM843" i="3"/>
  <c r="AM1060" i="3"/>
  <c r="AL1060" i="3"/>
  <c r="AM684" i="3"/>
  <c r="AL684" i="3"/>
  <c r="D15" i="8"/>
  <c r="B52" i="6"/>
  <c r="D52" i="6" s="1"/>
  <c r="AM1042" i="3"/>
  <c r="AL1042" i="3"/>
  <c r="AM1043" i="3" s="1"/>
  <c r="AL115" i="3"/>
  <c r="AM115" i="3"/>
  <c r="AM1130" i="3"/>
  <c r="AL1130" i="3"/>
  <c r="AM1069" i="3"/>
  <c r="AL1069" i="3"/>
  <c r="AL947" i="3"/>
  <c r="AM947" i="3"/>
  <c r="AM132" i="3"/>
  <c r="AL132" i="3"/>
  <c r="AM380" i="3"/>
  <c r="AL380" i="3"/>
  <c r="AM503" i="3"/>
  <c r="AL503" i="3"/>
  <c r="AL764" i="3"/>
  <c r="AM764" i="3"/>
  <c r="D16" i="8"/>
  <c r="B53" i="6"/>
  <c r="D53" i="6" s="1"/>
  <c r="AM469" i="3"/>
  <c r="AL469" i="3"/>
  <c r="AM359" i="3"/>
  <c r="AL359" i="3"/>
  <c r="AM674" i="3"/>
  <c r="AL674" i="3"/>
  <c r="AM877" i="3"/>
  <c r="AL877" i="3"/>
  <c r="B11" i="4"/>
  <c r="A13" i="4" s="1"/>
  <c r="AL631" i="3"/>
  <c r="AM631" i="3"/>
  <c r="AM411" i="3"/>
  <c r="AL411" i="3"/>
  <c r="AM20" i="3"/>
  <c r="AL20" i="3"/>
  <c r="AM1023" i="3"/>
  <c r="AL1023" i="3"/>
  <c r="AL342" i="3"/>
  <c r="AM342" i="3"/>
  <c r="AM26" i="3"/>
  <c r="AL26" i="3"/>
  <c r="AM27" i="3" s="1"/>
  <c r="AL776" i="3"/>
  <c r="AM776" i="3"/>
  <c r="AM155" i="3"/>
  <c r="AL155" i="3"/>
  <c r="AM209" i="3"/>
  <c r="AL209" i="3"/>
  <c r="F50" i="5"/>
  <c r="B22" i="8"/>
  <c r="AL823" i="3"/>
  <c r="AM823" i="3"/>
  <c r="AM849" i="3"/>
  <c r="AL849" i="3"/>
  <c r="AL772" i="3"/>
  <c r="AM773" i="3" s="1"/>
  <c r="AM772" i="3"/>
  <c r="AM1108" i="3"/>
  <c r="AL1108" i="3"/>
  <c r="AM167" i="3"/>
  <c r="AL167" i="3"/>
  <c r="AM10" i="3"/>
  <c r="AL10" i="3"/>
  <c r="AM1046" i="3"/>
  <c r="AL1046" i="3"/>
  <c r="AM1097" i="3"/>
  <c r="AL1097" i="3"/>
  <c r="AM422" i="3"/>
  <c r="AL422" i="3"/>
  <c r="AL913" i="3"/>
  <c r="AM913" i="3"/>
  <c r="AM85" i="3"/>
  <c r="AL85" i="3"/>
  <c r="AM372" i="3"/>
  <c r="AL372" i="3"/>
  <c r="AL528" i="3"/>
  <c r="AM528" i="3"/>
  <c r="F22" i="8"/>
  <c r="F50" i="7"/>
  <c r="AM219" i="3"/>
  <c r="AL219" i="3"/>
  <c r="AM336" i="3"/>
  <c r="AL336" i="3"/>
  <c r="AL942" i="3"/>
  <c r="AM942" i="3"/>
  <c r="AL263" i="3"/>
  <c r="AM263" i="3"/>
  <c r="B15" i="8"/>
  <c r="B52" i="5"/>
  <c r="D52" i="5" s="1"/>
  <c r="AM197" i="3"/>
  <c r="AL197" i="3"/>
  <c r="AM78" i="3"/>
  <c r="AL78" i="3"/>
  <c r="AM656" i="3"/>
  <c r="AL656" i="3"/>
  <c r="AM552" i="3"/>
  <c r="AL552" i="3"/>
  <c r="F15" i="8"/>
  <c r="B52" i="7"/>
  <c r="D52" i="7" s="1"/>
  <c r="B16" i="8"/>
  <c r="B53" i="5"/>
  <c r="D53" i="5" s="1"/>
  <c r="AL966" i="3"/>
  <c r="AM966" i="3"/>
  <c r="AM450" i="3"/>
  <c r="AL450" i="3"/>
  <c r="AL699" i="3"/>
  <c r="AM699" i="3"/>
  <c r="F51" i="5"/>
  <c r="B23" i="8"/>
  <c r="AL886" i="3"/>
  <c r="AM886" i="3"/>
  <c r="AM796" i="3"/>
  <c r="AL796" i="3"/>
  <c r="AM161" i="3"/>
  <c r="AL161" i="3"/>
  <c r="AL251" i="3"/>
  <c r="AM251" i="3"/>
  <c r="AM46" i="3"/>
  <c r="AL46" i="3"/>
  <c r="AK8" i="3"/>
  <c r="AF9" i="3"/>
  <c r="F50" i="6"/>
  <c r="D22" i="8"/>
  <c r="F16" i="8"/>
  <c r="B53" i="7"/>
  <c r="D53" i="7" s="1"/>
  <c r="AM491" i="3"/>
  <c r="AL491" i="3"/>
  <c r="AM30" i="3"/>
  <c r="AL30" i="3"/>
  <c r="AL302" i="3"/>
  <c r="AM302" i="3"/>
  <c r="AM608" i="3"/>
  <c r="AL608" i="3"/>
  <c r="AM934" i="3"/>
  <c r="AL934" i="3"/>
  <c r="AL638" i="3"/>
  <c r="AM638" i="3"/>
  <c r="AM6" i="3"/>
  <c r="AL6" i="3"/>
  <c r="AM7" i="3" s="1"/>
  <c r="AM407" i="3"/>
  <c r="AL407" i="3"/>
  <c r="AM408" i="3" s="1"/>
  <c r="AM60" i="3"/>
  <c r="AL60" i="3"/>
  <c r="AL1119" i="3"/>
  <c r="AM1120" i="3" s="1"/>
  <c r="AM1119" i="3"/>
  <c r="AM396" i="3"/>
  <c r="AL396" i="3"/>
  <c r="AM971" i="3"/>
  <c r="AL971" i="3"/>
  <c r="AL743" i="3"/>
  <c r="AM743" i="3"/>
  <c r="AM797" i="3" l="1"/>
  <c r="AL797" i="3"/>
  <c r="B25" i="8"/>
  <c r="F53" i="5"/>
  <c r="AM397" i="3"/>
  <c r="AL397" i="3"/>
  <c r="AL935" i="3"/>
  <c r="AM935" i="3"/>
  <c r="AM957" i="3"/>
  <c r="AL957" i="3"/>
  <c r="AM736" i="3"/>
  <c r="AL736" i="3"/>
  <c r="AM570" i="3"/>
  <c r="AL570" i="3"/>
  <c r="AM264" i="3"/>
  <c r="AL264" i="3"/>
  <c r="AL553" i="3"/>
  <c r="AM553" i="3"/>
  <c r="AL11" i="3"/>
  <c r="AM11" i="3"/>
  <c r="AM343" i="3"/>
  <c r="AL343" i="3"/>
  <c r="AM504" i="3"/>
  <c r="AL504" i="3"/>
  <c r="AL844" i="3"/>
  <c r="AM844" i="3"/>
  <c r="AM623" i="3"/>
  <c r="AL623" i="3"/>
  <c r="AM765" i="3"/>
  <c r="AL765" i="3"/>
  <c r="AM943" i="3"/>
  <c r="AL943" i="3"/>
  <c r="AM944" i="3" s="1"/>
  <c r="AM86" i="3"/>
  <c r="AL86" i="3"/>
  <c r="AM1024" i="3"/>
  <c r="AL1024" i="3"/>
  <c r="AL675" i="3"/>
  <c r="AM675" i="3"/>
  <c r="AM116" i="3"/>
  <c r="AL116" i="3"/>
  <c r="AM69" i="3"/>
  <c r="AL69" i="3"/>
  <c r="F52" i="7"/>
  <c r="F24" i="8"/>
  <c r="AL1047" i="3"/>
  <c r="AM1047" i="3"/>
  <c r="AM1131" i="3"/>
  <c r="AL1131" i="3"/>
  <c r="AM609" i="3"/>
  <c r="AL609" i="3"/>
  <c r="AL337" i="3"/>
  <c r="AM338" i="3" s="1"/>
  <c r="AM337" i="3"/>
  <c r="AM168" i="3"/>
  <c r="AL168" i="3"/>
  <c r="AM381" i="3"/>
  <c r="AL381" i="3"/>
  <c r="AM833" i="3"/>
  <c r="AL833" i="3"/>
  <c r="AM541" i="3"/>
  <c r="AL541" i="3"/>
  <c r="AL529" i="3"/>
  <c r="AM529" i="3"/>
  <c r="AM373" i="3"/>
  <c r="AL373" i="3"/>
  <c r="AL61" i="3"/>
  <c r="AM61" i="3"/>
  <c r="AL47" i="3"/>
  <c r="AM47" i="3"/>
  <c r="AL31" i="3"/>
  <c r="AM31" i="3"/>
  <c r="AM700" i="3"/>
  <c r="AL700" i="3"/>
  <c r="AM210" i="3"/>
  <c r="AL210" i="3"/>
  <c r="AL21" i="3"/>
  <c r="AM21" i="3"/>
  <c r="AM360" i="3"/>
  <c r="AL360" i="3"/>
  <c r="AL39" i="3"/>
  <c r="AM39" i="3"/>
  <c r="AM271" i="3"/>
  <c r="AL271" i="3"/>
  <c r="AF10" i="3"/>
  <c r="AK9" i="3"/>
  <c r="AM303" i="3"/>
  <c r="AL303" i="3"/>
  <c r="AM657" i="3"/>
  <c r="AL657" i="3"/>
  <c r="AM451" i="3"/>
  <c r="AL451" i="3"/>
  <c r="AM79" i="3"/>
  <c r="AL79" i="3"/>
  <c r="AM80" i="3" s="1"/>
  <c r="AM220" i="3"/>
  <c r="AL220" i="3"/>
  <c r="AM914" i="3"/>
  <c r="AL914" i="3"/>
  <c r="AL1109" i="3"/>
  <c r="AM1109" i="3"/>
  <c r="AL133" i="3"/>
  <c r="AM133" i="3"/>
  <c r="D24" i="8"/>
  <c r="F52" i="6"/>
  <c r="AM188" i="3"/>
  <c r="AL188" i="3"/>
  <c r="AL156" i="3"/>
  <c r="AM156" i="3"/>
  <c r="AM412" i="3"/>
  <c r="AL412" i="3"/>
  <c r="AM470" i="3"/>
  <c r="AL470" i="3"/>
  <c r="AM817" i="3"/>
  <c r="AL817" i="3"/>
  <c r="AM818" i="3" s="1"/>
  <c r="AM592" i="3"/>
  <c r="AL592" i="3"/>
  <c r="AM887" i="3"/>
  <c r="AL887" i="3"/>
  <c r="AM824" i="3"/>
  <c r="AL824" i="3"/>
  <c r="AM492" i="3"/>
  <c r="AL492" i="3"/>
  <c r="AM744" i="3"/>
  <c r="AL744" i="3"/>
  <c r="AM162" i="3"/>
  <c r="AL162" i="3"/>
  <c r="AM163" i="3" s="1"/>
  <c r="AM198" i="3"/>
  <c r="AL198" i="3"/>
  <c r="AM423" i="3"/>
  <c r="AL423" i="3"/>
  <c r="AM685" i="3"/>
  <c r="AL685" i="3"/>
  <c r="AM785" i="3"/>
  <c r="AL785" i="3"/>
  <c r="AM1000" i="3"/>
  <c r="AL1000" i="3"/>
  <c r="AM439" i="3"/>
  <c r="AL439" i="3"/>
  <c r="AM878" i="3"/>
  <c r="AL878" i="3"/>
  <c r="AM252" i="3"/>
  <c r="AL252" i="3"/>
  <c r="AM972" i="3"/>
  <c r="AL972" i="3"/>
  <c r="F53" i="7"/>
  <c r="F25" i="8"/>
  <c r="AL967" i="3"/>
  <c r="AM968" i="3" s="1"/>
  <c r="AM967" i="3"/>
  <c r="F53" i="6"/>
  <c r="D25" i="8"/>
  <c r="AM948" i="3"/>
  <c r="AL948" i="3"/>
  <c r="AL106" i="3"/>
  <c r="AM106" i="3"/>
  <c r="AL143" i="3"/>
  <c r="AM143" i="3"/>
  <c r="AL639" i="3"/>
  <c r="AM639" i="3"/>
  <c r="B24" i="8"/>
  <c r="F52" i="5"/>
  <c r="AM1098" i="3"/>
  <c r="AL1098" i="3"/>
  <c r="AM850" i="3"/>
  <c r="AL850" i="3"/>
  <c r="AM777" i="3"/>
  <c r="AL777" i="3"/>
  <c r="AM632" i="3"/>
  <c r="AL632" i="3"/>
  <c r="AM633" i="3" s="1"/>
  <c r="AM1070" i="3"/>
  <c r="AL1070" i="3"/>
  <c r="AM1061" i="3"/>
  <c r="AL1061" i="3"/>
  <c r="AM157" i="3" l="1"/>
  <c r="AL157" i="3"/>
  <c r="AM158" i="3" s="1"/>
  <c r="AM32" i="3"/>
  <c r="AL32" i="3"/>
  <c r="AM1048" i="3"/>
  <c r="AL1048" i="3"/>
  <c r="AM221" i="3"/>
  <c r="AL221" i="3"/>
  <c r="AL382" i="3"/>
  <c r="AM382" i="3"/>
  <c r="AM686" i="3"/>
  <c r="AL686" i="3"/>
  <c r="AM344" i="3"/>
  <c r="AL344" i="3"/>
  <c r="AM189" i="3"/>
  <c r="AL189" i="3"/>
  <c r="AM40" i="3"/>
  <c r="AL40" i="3"/>
  <c r="AM48" i="3"/>
  <c r="AL48" i="3"/>
  <c r="AM12" i="3"/>
  <c r="AL12" i="3"/>
  <c r="AM936" i="3"/>
  <c r="AL936" i="3"/>
  <c r="AL825" i="3"/>
  <c r="AM825" i="3"/>
  <c r="AM593" i="3"/>
  <c r="AL593" i="3"/>
  <c r="AM452" i="3"/>
  <c r="AL452" i="3"/>
  <c r="AL361" i="3"/>
  <c r="AM361" i="3"/>
  <c r="AM169" i="3"/>
  <c r="AL169" i="3"/>
  <c r="AM70" i="3"/>
  <c r="AL70" i="3"/>
  <c r="AM766" i="3"/>
  <c r="AL766" i="3"/>
  <c r="AM767" i="3" s="1"/>
  <c r="AM398" i="3"/>
  <c r="AL398" i="3"/>
  <c r="AL107" i="3"/>
  <c r="AM107" i="3"/>
  <c r="AM253" i="3"/>
  <c r="AL253" i="3"/>
  <c r="AM62" i="3"/>
  <c r="AL62" i="3"/>
  <c r="AM554" i="3"/>
  <c r="AL554" i="3"/>
  <c r="AL834" i="3"/>
  <c r="AM834" i="3"/>
  <c r="AM888" i="3"/>
  <c r="AL888" i="3"/>
  <c r="AM199" i="3"/>
  <c r="AL199" i="3"/>
  <c r="AM440" i="3"/>
  <c r="AL440" i="3"/>
  <c r="AL658" i="3"/>
  <c r="AM658" i="3"/>
  <c r="AL374" i="3"/>
  <c r="AM374" i="3"/>
  <c r="AM117" i="3"/>
  <c r="AL117" i="3"/>
  <c r="AM624" i="3"/>
  <c r="AL624" i="3"/>
  <c r="AM265" i="3"/>
  <c r="AL265" i="3"/>
  <c r="AM266" i="3" s="1"/>
  <c r="AM973" i="3"/>
  <c r="AL973" i="3"/>
  <c r="AL87" i="3"/>
  <c r="AM87" i="3"/>
  <c r="AM851" i="3"/>
  <c r="AL851" i="3"/>
  <c r="AM134" i="3"/>
  <c r="AL134" i="3"/>
  <c r="AM22" i="3"/>
  <c r="AL22" i="3"/>
  <c r="AM23" i="3" s="1"/>
  <c r="AM272" i="3"/>
  <c r="AL272" i="3"/>
  <c r="AM949" i="3"/>
  <c r="AL949" i="3"/>
  <c r="AL1001" i="3"/>
  <c r="AM1001" i="3"/>
  <c r="AM745" i="3"/>
  <c r="AL745" i="3"/>
  <c r="AM471" i="3"/>
  <c r="AL471" i="3"/>
  <c r="AM304" i="3"/>
  <c r="AL304" i="3"/>
  <c r="AM211" i="3"/>
  <c r="AL211" i="3"/>
  <c r="AM610" i="3"/>
  <c r="AL610" i="3"/>
  <c r="AM571" i="3"/>
  <c r="AL571" i="3"/>
  <c r="AM798" i="3"/>
  <c r="AL798" i="3"/>
  <c r="AM1099" i="3"/>
  <c r="AL1099" i="3"/>
  <c r="AM879" i="3"/>
  <c r="AL879" i="3"/>
  <c r="AM1071" i="3"/>
  <c r="AL1071" i="3"/>
  <c r="AM640" i="3"/>
  <c r="AL640" i="3"/>
  <c r="AM1110" i="3"/>
  <c r="AL1110" i="3"/>
  <c r="AM530" i="3"/>
  <c r="AL530" i="3"/>
  <c r="AM531" i="3" s="1"/>
  <c r="AM676" i="3"/>
  <c r="AL676" i="3"/>
  <c r="AM845" i="3"/>
  <c r="AL845" i="3"/>
  <c r="AM846" i="3" s="1"/>
  <c r="AM786" i="3"/>
  <c r="AL786" i="3"/>
  <c r="AM493" i="3"/>
  <c r="AL493" i="3"/>
  <c r="AM413" i="3"/>
  <c r="AL413" i="3"/>
  <c r="AM915" i="3"/>
  <c r="AL915" i="3"/>
  <c r="AM701" i="3"/>
  <c r="AL701" i="3"/>
  <c r="AM542" i="3"/>
  <c r="AL542" i="3"/>
  <c r="AM1132" i="3"/>
  <c r="AL1132" i="3"/>
  <c r="AM1133" i="3" s="1"/>
  <c r="AM1025" i="3"/>
  <c r="AL1025" i="3"/>
  <c r="AL505" i="3"/>
  <c r="AM505" i="3"/>
  <c r="AM737" i="3"/>
  <c r="AL737" i="3"/>
  <c r="AM778" i="3"/>
  <c r="AL778" i="3"/>
  <c r="AM779" i="3" s="1"/>
  <c r="AL958" i="3"/>
  <c r="AM958" i="3"/>
  <c r="AM424" i="3"/>
  <c r="AL424" i="3"/>
  <c r="AM1062" i="3"/>
  <c r="AL1062" i="3"/>
  <c r="AM144" i="3"/>
  <c r="AL144" i="3"/>
  <c r="AF11" i="3"/>
  <c r="AK10" i="3"/>
  <c r="AL1111" i="3" l="1"/>
  <c r="AM1111" i="3"/>
  <c r="AL572" i="3"/>
  <c r="AM572" i="3"/>
  <c r="AL63" i="3"/>
  <c r="AM63" i="3"/>
  <c r="AM170" i="3"/>
  <c r="AL170" i="3"/>
  <c r="AL13" i="3"/>
  <c r="AM13" i="3"/>
  <c r="AM1063" i="3"/>
  <c r="AL1063" i="3"/>
  <c r="AM1064" i="3" s="1"/>
  <c r="AM1002" i="3"/>
  <c r="AL1002" i="3"/>
  <c r="AL659" i="3"/>
  <c r="AM659" i="3"/>
  <c r="AL383" i="3"/>
  <c r="AM383" i="3"/>
  <c r="AM641" i="3"/>
  <c r="AL641" i="3"/>
  <c r="AM611" i="3"/>
  <c r="AL611" i="3"/>
  <c r="AL950" i="3"/>
  <c r="AM950" i="3"/>
  <c r="AL974" i="3"/>
  <c r="AM974" i="3"/>
  <c r="AM441" i="3"/>
  <c r="AL441" i="3"/>
  <c r="AM254" i="3"/>
  <c r="AL254" i="3"/>
  <c r="AM255" i="3" s="1"/>
  <c r="AL49" i="3"/>
  <c r="AM49" i="3"/>
  <c r="AL222" i="3"/>
  <c r="AM222" i="3"/>
  <c r="AL362" i="3"/>
  <c r="AM362" i="3"/>
  <c r="AL375" i="3"/>
  <c r="AM375" i="3"/>
  <c r="AM494" i="3"/>
  <c r="AL494" i="3"/>
  <c r="AL1072" i="3"/>
  <c r="AM1072" i="3"/>
  <c r="AM212" i="3"/>
  <c r="AL212" i="3"/>
  <c r="AM273" i="3"/>
  <c r="AL273" i="3"/>
  <c r="AM200" i="3"/>
  <c r="AL200" i="3"/>
  <c r="AM453" i="3"/>
  <c r="AL453" i="3"/>
  <c r="AL41" i="3"/>
  <c r="AM42" i="3" s="1"/>
  <c r="AM41" i="3"/>
  <c r="AM1049" i="3"/>
  <c r="AL1049" i="3"/>
  <c r="AM1026" i="3"/>
  <c r="AL1026" i="3"/>
  <c r="AM787" i="3"/>
  <c r="AL787" i="3"/>
  <c r="AM108" i="3"/>
  <c r="AL108" i="3"/>
  <c r="AM109" i="3" s="1"/>
  <c r="AM414" i="3"/>
  <c r="AL414" i="3"/>
  <c r="AM425" i="3"/>
  <c r="AL425" i="3"/>
  <c r="AK11" i="3"/>
  <c r="AF12" i="3"/>
  <c r="AL880" i="3"/>
  <c r="AM880" i="3"/>
  <c r="AM305" i="3"/>
  <c r="AL305" i="3"/>
  <c r="AM625" i="3"/>
  <c r="AL625" i="3"/>
  <c r="AL889" i="3"/>
  <c r="AM889" i="3"/>
  <c r="AM399" i="3"/>
  <c r="AL399" i="3"/>
  <c r="AM594" i="3"/>
  <c r="AL594" i="3"/>
  <c r="AM190" i="3"/>
  <c r="AL190" i="3"/>
  <c r="AM33" i="3"/>
  <c r="AL33" i="3"/>
  <c r="AM34" i="3" s="1"/>
  <c r="AM702" i="3"/>
  <c r="AL702" i="3"/>
  <c r="AM506" i="3"/>
  <c r="AL506" i="3"/>
  <c r="AM88" i="3"/>
  <c r="AL88" i="3"/>
  <c r="AM543" i="3"/>
  <c r="AL543" i="3"/>
  <c r="AL959" i="3"/>
  <c r="AM959" i="3"/>
  <c r="AL145" i="3"/>
  <c r="AM145" i="3"/>
  <c r="AM677" i="3"/>
  <c r="AL677" i="3"/>
  <c r="AL1100" i="3"/>
  <c r="AM1100" i="3"/>
  <c r="AM472" i="3"/>
  <c r="AL472" i="3"/>
  <c r="AL135" i="3"/>
  <c r="AM135" i="3"/>
  <c r="AM118" i="3"/>
  <c r="AL118" i="3"/>
  <c r="AL345" i="3"/>
  <c r="AM345" i="3"/>
  <c r="AM738" i="3"/>
  <c r="AL738" i="3"/>
  <c r="AM739" i="3" s="1"/>
  <c r="AM916" i="3"/>
  <c r="AL916" i="3"/>
  <c r="AL835" i="3"/>
  <c r="AM835" i="3"/>
  <c r="AM826" i="3"/>
  <c r="AL826" i="3"/>
  <c r="AM799" i="3"/>
  <c r="AL799" i="3"/>
  <c r="AM746" i="3"/>
  <c r="AL746" i="3"/>
  <c r="AL852" i="3"/>
  <c r="AM852" i="3"/>
  <c r="AM555" i="3"/>
  <c r="AL555" i="3"/>
  <c r="AL71" i="3"/>
  <c r="AM71" i="3"/>
  <c r="AM937" i="3"/>
  <c r="AL937" i="3"/>
  <c r="AL687" i="3"/>
  <c r="AM687" i="3"/>
  <c r="AM960" i="3" l="1"/>
  <c r="AL960" i="3"/>
  <c r="AM961" i="3" s="1"/>
  <c r="AM544" i="3"/>
  <c r="AL544" i="3"/>
  <c r="AM545" i="3" s="1"/>
  <c r="AM788" i="3"/>
  <c r="AL788" i="3"/>
  <c r="AM274" i="3"/>
  <c r="AL274" i="3"/>
  <c r="AM612" i="3"/>
  <c r="AL612" i="3"/>
  <c r="AM223" i="3"/>
  <c r="AL223" i="3"/>
  <c r="AM14" i="3"/>
  <c r="AL14" i="3"/>
  <c r="AL306" i="3"/>
  <c r="AM306" i="3"/>
  <c r="AL827" i="3"/>
  <c r="AM827" i="3"/>
  <c r="AM136" i="3"/>
  <c r="AL136" i="3"/>
  <c r="AM137" i="3" s="1"/>
  <c r="AL881" i="3"/>
  <c r="AM881" i="3"/>
  <c r="AL1027" i="3"/>
  <c r="AM1027" i="3"/>
  <c r="AM213" i="3"/>
  <c r="AL213" i="3"/>
  <c r="AL642" i="3"/>
  <c r="AM642" i="3"/>
  <c r="AM171" i="3"/>
  <c r="AL171" i="3"/>
  <c r="AM50" i="3"/>
  <c r="AL50" i="3"/>
  <c r="AL917" i="3"/>
  <c r="AM917" i="3"/>
  <c r="AM507" i="3"/>
  <c r="AL507" i="3"/>
  <c r="AM1050" i="3"/>
  <c r="AL1050" i="3"/>
  <c r="AM363" i="3"/>
  <c r="AL363" i="3"/>
  <c r="AM364" i="3" s="1"/>
  <c r="AK12" i="3"/>
  <c r="AF13" i="3"/>
  <c r="AM853" i="3"/>
  <c r="AL853" i="3"/>
  <c r="AM1101" i="3"/>
  <c r="AL1101" i="3"/>
  <c r="AM400" i="3"/>
  <c r="AL400" i="3"/>
  <c r="AM426" i="3"/>
  <c r="AL426" i="3"/>
  <c r="AL1073" i="3"/>
  <c r="AM1073" i="3"/>
  <c r="AM384" i="3"/>
  <c r="AL384" i="3"/>
  <c r="AM64" i="3"/>
  <c r="AL64" i="3"/>
  <c r="AM65" i="3" s="1"/>
  <c r="AM495" i="3"/>
  <c r="AL495" i="3"/>
  <c r="AM442" i="3"/>
  <c r="AL442" i="3"/>
  <c r="AM556" i="3"/>
  <c r="AL556" i="3"/>
  <c r="AM557" i="3" s="1"/>
  <c r="AM415" i="3"/>
  <c r="AL415" i="3"/>
  <c r="AM660" i="3"/>
  <c r="AL660" i="3"/>
  <c r="AM573" i="3"/>
  <c r="AL573" i="3"/>
  <c r="AM951" i="3"/>
  <c r="AL951" i="3"/>
  <c r="AM952" i="3" s="1"/>
  <c r="AM89" i="3"/>
  <c r="AL89" i="3"/>
  <c r="AL747" i="3"/>
  <c r="AM747" i="3"/>
  <c r="AM678" i="3"/>
  <c r="AL678" i="3"/>
  <c r="AL703" i="3"/>
  <c r="AM703" i="3"/>
  <c r="AM890" i="3"/>
  <c r="AL890" i="3"/>
  <c r="AM454" i="3"/>
  <c r="AL454" i="3"/>
  <c r="AL1003" i="3"/>
  <c r="AM1003" i="3"/>
  <c r="AM191" i="3"/>
  <c r="AL191" i="3"/>
  <c r="AM473" i="3"/>
  <c r="AL473" i="3"/>
  <c r="AM836" i="3"/>
  <c r="AL836" i="3"/>
  <c r="AM595" i="3"/>
  <c r="AL595" i="3"/>
  <c r="AM800" i="3"/>
  <c r="AL800" i="3"/>
  <c r="AM688" i="3"/>
  <c r="AL688" i="3"/>
  <c r="AL346" i="3"/>
  <c r="AM346" i="3"/>
  <c r="AM146" i="3"/>
  <c r="AL146" i="3"/>
  <c r="AM626" i="3"/>
  <c r="AL626" i="3"/>
  <c r="AM627" i="3" s="1"/>
  <c r="AM376" i="3"/>
  <c r="AL376" i="3"/>
  <c r="AM377" i="3" s="1"/>
  <c r="AM975" i="3"/>
  <c r="AL975" i="3"/>
  <c r="AM1112" i="3"/>
  <c r="AL1112" i="3"/>
  <c r="AM72" i="3"/>
  <c r="AL72" i="3"/>
  <c r="AM938" i="3"/>
  <c r="AL938" i="3"/>
  <c r="AM939" i="3" s="1"/>
  <c r="AL119" i="3"/>
  <c r="AM119" i="3"/>
  <c r="AM201" i="3"/>
  <c r="AL201" i="3"/>
  <c r="AL90" i="3" l="1"/>
  <c r="AM90" i="3"/>
  <c r="AM202" i="3"/>
  <c r="AL202" i="3"/>
  <c r="AL891" i="3"/>
  <c r="AM891" i="3"/>
  <c r="AM1028" i="3"/>
  <c r="AL1028" i="3"/>
  <c r="AM613" i="3"/>
  <c r="AL613" i="3"/>
  <c r="AM614" i="3" s="1"/>
  <c r="AM918" i="3"/>
  <c r="AL918" i="3"/>
  <c r="AM882" i="3"/>
  <c r="AL882" i="3"/>
  <c r="AM883" i="3" s="1"/>
  <c r="AM443" i="3"/>
  <c r="AL443" i="3"/>
  <c r="AL275" i="3"/>
  <c r="AM275" i="3"/>
  <c r="AM661" i="3"/>
  <c r="AL661" i="3"/>
  <c r="AM662" i="3" s="1"/>
  <c r="AM385" i="3"/>
  <c r="AL385" i="3"/>
  <c r="AF14" i="3"/>
  <c r="AK13" i="3"/>
  <c r="AM172" i="3"/>
  <c r="AL172" i="3"/>
  <c r="AM789" i="3"/>
  <c r="AL789" i="3"/>
  <c r="AL508" i="3"/>
  <c r="AM508" i="3"/>
  <c r="AM596" i="3"/>
  <c r="AL596" i="3"/>
  <c r="AM1102" i="3"/>
  <c r="AL1102" i="3"/>
  <c r="AM120" i="3"/>
  <c r="AL120" i="3"/>
  <c r="AM574" i="3"/>
  <c r="AL574" i="3"/>
  <c r="AL51" i="3"/>
  <c r="AM51" i="3"/>
  <c r="AL147" i="3"/>
  <c r="AM147" i="3"/>
  <c r="AM828" i="3"/>
  <c r="AL828" i="3"/>
  <c r="AM829" i="3" s="1"/>
  <c r="AM224" i="3"/>
  <c r="AL224" i="3"/>
  <c r="AM854" i="3"/>
  <c r="AL854" i="3"/>
  <c r="AL679" i="3"/>
  <c r="AM679" i="3"/>
  <c r="AM401" i="3"/>
  <c r="AL401" i="3"/>
  <c r="AM402" i="3" s="1"/>
  <c r="AL496" i="3"/>
  <c r="AM496" i="3"/>
  <c r="AM837" i="3"/>
  <c r="AL837" i="3"/>
  <c r="AM838" i="3" s="1"/>
  <c r="AM474" i="3"/>
  <c r="AL474" i="3"/>
  <c r="AM192" i="3"/>
  <c r="AL192" i="3"/>
  <c r="AM193" i="3" s="1"/>
  <c r="AM689" i="3"/>
  <c r="AL689" i="3"/>
  <c r="AM1074" i="3"/>
  <c r="AL1074" i="3"/>
  <c r="AL643" i="3"/>
  <c r="AM643" i="3"/>
  <c r="AM307" i="3"/>
  <c r="AL307" i="3"/>
  <c r="AM704" i="3"/>
  <c r="AL704" i="3"/>
  <c r="AM73" i="3"/>
  <c r="AL73" i="3"/>
  <c r="AM74" i="3" s="1"/>
  <c r="AM347" i="3"/>
  <c r="AL347" i="3"/>
  <c r="AM416" i="3"/>
  <c r="AL416" i="3"/>
  <c r="AM427" i="3"/>
  <c r="AL427" i="3"/>
  <c r="AL1051" i="3"/>
  <c r="AM1051" i="3"/>
  <c r="AM214" i="3"/>
  <c r="AL214" i="3"/>
  <c r="AL15" i="3"/>
  <c r="AM16" i="3" s="1"/>
  <c r="AM15" i="3"/>
  <c r="AM1113" i="3"/>
  <c r="AL1113" i="3"/>
  <c r="AM1004" i="3"/>
  <c r="AL1004" i="3"/>
  <c r="AM976" i="3"/>
  <c r="AL976" i="3"/>
  <c r="AM801" i="3"/>
  <c r="AL801" i="3"/>
  <c r="AM455" i="3"/>
  <c r="AL455" i="3"/>
  <c r="AM456" i="3" s="1"/>
  <c r="AL748" i="3"/>
  <c r="AM748" i="3"/>
  <c r="AM977" i="3" l="1"/>
  <c r="AL977" i="3"/>
  <c r="AM1052" i="3"/>
  <c r="AL1052" i="3"/>
  <c r="AM497" i="3"/>
  <c r="AL497" i="3"/>
  <c r="AL1029" i="3"/>
  <c r="AM1029" i="3"/>
  <c r="AL386" i="3"/>
  <c r="AM386" i="3"/>
  <c r="AM428" i="3"/>
  <c r="AL428" i="3"/>
  <c r="AL597" i="3"/>
  <c r="AM597" i="3"/>
  <c r="AM1005" i="3"/>
  <c r="AL1005" i="3"/>
  <c r="AL1075" i="3"/>
  <c r="AM1075" i="3"/>
  <c r="AM148" i="3"/>
  <c r="AL148" i="3"/>
  <c r="AL509" i="3"/>
  <c r="AM509" i="3"/>
  <c r="AM276" i="3"/>
  <c r="AL276" i="3"/>
  <c r="AM417" i="3"/>
  <c r="AL417" i="3"/>
  <c r="AM418" i="3" s="1"/>
  <c r="AL348" i="3"/>
  <c r="AM348" i="3"/>
  <c r="AM790" i="3"/>
  <c r="AL790" i="3"/>
  <c r="AM791" i="3" s="1"/>
  <c r="AM444" i="3"/>
  <c r="AL444" i="3"/>
  <c r="AM52" i="3"/>
  <c r="AL52" i="3"/>
  <c r="AM892" i="3"/>
  <c r="AL892" i="3"/>
  <c r="AL225" i="3"/>
  <c r="AM225" i="3"/>
  <c r="AM308" i="3"/>
  <c r="AL308" i="3"/>
  <c r="AM644" i="3"/>
  <c r="AL644" i="3"/>
  <c r="AM575" i="3"/>
  <c r="AL575" i="3"/>
  <c r="AM173" i="3"/>
  <c r="AL173" i="3"/>
  <c r="AM203" i="3"/>
  <c r="AL203" i="3"/>
  <c r="AM204" i="3" s="1"/>
  <c r="AM802" i="3"/>
  <c r="AL802" i="3"/>
  <c r="AM1103" i="3"/>
  <c r="AL1103" i="3"/>
  <c r="AM1104" i="3" s="1"/>
  <c r="AL1114" i="3"/>
  <c r="AM1115" i="3" s="1"/>
  <c r="AM1114" i="3"/>
  <c r="AM690" i="3"/>
  <c r="AL690" i="3"/>
  <c r="AM749" i="3"/>
  <c r="AL749" i="3"/>
  <c r="AM680" i="3"/>
  <c r="AL680" i="3"/>
  <c r="AM681" i="3" s="1"/>
  <c r="AM215" i="3"/>
  <c r="AL215" i="3"/>
  <c r="AM216" i="3" s="1"/>
  <c r="AM855" i="3"/>
  <c r="AL855" i="3"/>
  <c r="AL121" i="3"/>
  <c r="AM121" i="3"/>
  <c r="AM919" i="3"/>
  <c r="AL919" i="3"/>
  <c r="AM705" i="3"/>
  <c r="AL705" i="3"/>
  <c r="AM475" i="3"/>
  <c r="AL475" i="3"/>
  <c r="AF15" i="3"/>
  <c r="AK14" i="3"/>
  <c r="AL91" i="3"/>
  <c r="AM91" i="3"/>
  <c r="AL691" i="3" l="1"/>
  <c r="AM692" i="3" s="1"/>
  <c r="AM691" i="3"/>
  <c r="AM510" i="3"/>
  <c r="AL510" i="3"/>
  <c r="AM387" i="3"/>
  <c r="AL387" i="3"/>
  <c r="AM1030" i="3"/>
  <c r="AL1030" i="3"/>
  <c r="AM498" i="3"/>
  <c r="AL498" i="3"/>
  <c r="AM750" i="3"/>
  <c r="AL750" i="3"/>
  <c r="AM920" i="3"/>
  <c r="AL920" i="3"/>
  <c r="AM576" i="3"/>
  <c r="AL576" i="3"/>
  <c r="AM122" i="3"/>
  <c r="AL122" i="3"/>
  <c r="AM645" i="3"/>
  <c r="AL645" i="3"/>
  <c r="AL856" i="3"/>
  <c r="AM856" i="3"/>
  <c r="AL1076" i="3"/>
  <c r="AM1076" i="3"/>
  <c r="AM92" i="3"/>
  <c r="AL92" i="3"/>
  <c r="AM93" i="3" s="1"/>
  <c r="AM309" i="3"/>
  <c r="AL309" i="3"/>
  <c r="AM1006" i="3"/>
  <c r="AL1006" i="3"/>
  <c r="AM1053" i="3"/>
  <c r="AL1053" i="3"/>
  <c r="AM53" i="3"/>
  <c r="AL53" i="3"/>
  <c r="AM803" i="3"/>
  <c r="AL803" i="3"/>
  <c r="AM349" i="3"/>
  <c r="AL349" i="3"/>
  <c r="AL174" i="3"/>
  <c r="AM174" i="3"/>
  <c r="AF16" i="3"/>
  <c r="AK15" i="3"/>
  <c r="AL978" i="3"/>
  <c r="AM978" i="3"/>
  <c r="AL706" i="3"/>
  <c r="AM706" i="3"/>
  <c r="AM445" i="3"/>
  <c r="AL445" i="3"/>
  <c r="AM446" i="3" s="1"/>
  <c r="AM476" i="3"/>
  <c r="AL476" i="3"/>
  <c r="AM226" i="3"/>
  <c r="AL226" i="3"/>
  <c r="AM598" i="3"/>
  <c r="AL598" i="3"/>
  <c r="AL149" i="3"/>
  <c r="AM149" i="3"/>
  <c r="AL893" i="3"/>
  <c r="AM893" i="3"/>
  <c r="AM277" i="3"/>
  <c r="AL277" i="3"/>
  <c r="AL429" i="3"/>
  <c r="AM429" i="3"/>
  <c r="AK16" i="3" l="1"/>
  <c r="AF17" i="3"/>
  <c r="AM54" i="3"/>
  <c r="AL54" i="3"/>
  <c r="AM499" i="3"/>
  <c r="AL499" i="3"/>
  <c r="AM500" i="3" s="1"/>
  <c r="AL751" i="3"/>
  <c r="AM751" i="3"/>
  <c r="AM175" i="3"/>
  <c r="AL175" i="3"/>
  <c r="AM1054" i="3"/>
  <c r="AL1054" i="3"/>
  <c r="AL646" i="3"/>
  <c r="AM646" i="3"/>
  <c r="AL1031" i="3"/>
  <c r="AM1031" i="3"/>
  <c r="AM979" i="3"/>
  <c r="AL979" i="3"/>
  <c r="AM1077" i="3"/>
  <c r="AL1077" i="3"/>
  <c r="AM278" i="3"/>
  <c r="AL278" i="3"/>
  <c r="AM430" i="3"/>
  <c r="AL430" i="3"/>
  <c r="AL350" i="3"/>
  <c r="AM350" i="3"/>
  <c r="AL1007" i="3"/>
  <c r="AM1007" i="3"/>
  <c r="AL123" i="3"/>
  <c r="AM123" i="3"/>
  <c r="AM388" i="3"/>
  <c r="AL388" i="3"/>
  <c r="AM804" i="3"/>
  <c r="AL804" i="3"/>
  <c r="AM857" i="3"/>
  <c r="AL857" i="3"/>
  <c r="AL477" i="3"/>
  <c r="AM477" i="3"/>
  <c r="AM894" i="3"/>
  <c r="AL894" i="3"/>
  <c r="AL310" i="3"/>
  <c r="AM310" i="3"/>
  <c r="AM577" i="3"/>
  <c r="AL577" i="3"/>
  <c r="AM511" i="3"/>
  <c r="AL511" i="3"/>
  <c r="AM599" i="3"/>
  <c r="AL599" i="3"/>
  <c r="AM227" i="3"/>
  <c r="AL227" i="3"/>
  <c r="AM150" i="3"/>
  <c r="AL150" i="3"/>
  <c r="AM151" i="3" s="1"/>
  <c r="AL707" i="3"/>
  <c r="AM707" i="3"/>
  <c r="AL921" i="3"/>
  <c r="AM921" i="3"/>
  <c r="AL512" i="3" l="1"/>
  <c r="AM513" i="3" s="1"/>
  <c r="AM512" i="3"/>
  <c r="AM578" i="3"/>
  <c r="AL578" i="3"/>
  <c r="AL752" i="3"/>
  <c r="AM752" i="3"/>
  <c r="AL55" i="3"/>
  <c r="AM56" i="3" s="1"/>
  <c r="AM55" i="3"/>
  <c r="AL1078" i="3"/>
  <c r="AM1078" i="3"/>
  <c r="AM1032" i="3"/>
  <c r="AL1032" i="3"/>
  <c r="AM279" i="3"/>
  <c r="AL279" i="3"/>
  <c r="AF18" i="3"/>
  <c r="AK17" i="3"/>
  <c r="AM176" i="3"/>
  <c r="AL176" i="3"/>
  <c r="AM922" i="3"/>
  <c r="AL922" i="3"/>
  <c r="AM389" i="3"/>
  <c r="AL389" i="3"/>
  <c r="AM708" i="3"/>
  <c r="AL708" i="3"/>
  <c r="AM311" i="3"/>
  <c r="AL311" i="3"/>
  <c r="AM980" i="3"/>
  <c r="AL980" i="3"/>
  <c r="AM124" i="3"/>
  <c r="AL124" i="3"/>
  <c r="AM478" i="3"/>
  <c r="AL478" i="3"/>
  <c r="AM600" i="3"/>
  <c r="AL600" i="3"/>
  <c r="AM858" i="3"/>
  <c r="AL858" i="3"/>
  <c r="AM351" i="3"/>
  <c r="AL351" i="3"/>
  <c r="AM352" i="3" s="1"/>
  <c r="AL647" i="3"/>
  <c r="AM647" i="3"/>
  <c r="AM805" i="3"/>
  <c r="AL805" i="3"/>
  <c r="AM895" i="3"/>
  <c r="AL895" i="3"/>
  <c r="AL228" i="3"/>
  <c r="AM228" i="3"/>
  <c r="AM1008" i="3"/>
  <c r="AL1008" i="3"/>
  <c r="AM431" i="3"/>
  <c r="AL431" i="3"/>
  <c r="AM1055" i="3"/>
  <c r="AL1055" i="3"/>
  <c r="AM1056" i="3" s="1"/>
  <c r="AM1033" i="3" l="1"/>
  <c r="AL1033" i="3"/>
  <c r="AM806" i="3"/>
  <c r="AL806" i="3"/>
  <c r="AM390" i="3"/>
  <c r="AL390" i="3"/>
  <c r="AL1009" i="3"/>
  <c r="AM1009" i="3"/>
  <c r="AM923" i="3"/>
  <c r="AL923" i="3"/>
  <c r="AM1079" i="3"/>
  <c r="AL1079" i="3"/>
  <c r="AM479" i="3"/>
  <c r="AL479" i="3"/>
  <c r="AM432" i="3"/>
  <c r="AL432" i="3"/>
  <c r="AM896" i="3"/>
  <c r="AL896" i="3"/>
  <c r="AL125" i="3"/>
  <c r="AM125" i="3"/>
  <c r="AM648" i="3"/>
  <c r="AL648" i="3"/>
  <c r="AM981" i="3"/>
  <c r="AL981" i="3"/>
  <c r="AM177" i="3"/>
  <c r="AL177" i="3"/>
  <c r="AM753" i="3"/>
  <c r="AL753" i="3"/>
  <c r="AM859" i="3"/>
  <c r="AL859" i="3"/>
  <c r="AM312" i="3"/>
  <c r="AL312" i="3"/>
  <c r="AM579" i="3"/>
  <c r="AL579" i="3"/>
  <c r="AM229" i="3"/>
  <c r="AL229" i="3"/>
  <c r="AF19" i="3"/>
  <c r="AK18" i="3"/>
  <c r="AM601" i="3"/>
  <c r="AL601" i="3"/>
  <c r="AM709" i="3"/>
  <c r="AL709" i="3"/>
  <c r="AM280" i="3"/>
  <c r="AL280" i="3"/>
  <c r="AM924" i="3" l="1"/>
  <c r="AL924" i="3"/>
  <c r="AM1010" i="3"/>
  <c r="AL1010" i="3"/>
  <c r="AM391" i="3"/>
  <c r="AL391" i="3"/>
  <c r="AL860" i="3"/>
  <c r="AM860" i="3"/>
  <c r="AM807" i="3"/>
  <c r="AL807" i="3"/>
  <c r="AM602" i="3"/>
  <c r="AL602" i="3"/>
  <c r="AM754" i="3"/>
  <c r="AL754" i="3"/>
  <c r="AM281" i="3"/>
  <c r="AL281" i="3"/>
  <c r="AF20" i="3"/>
  <c r="AK19" i="3"/>
  <c r="AM178" i="3"/>
  <c r="AL178" i="3"/>
  <c r="AL480" i="3"/>
  <c r="AM480" i="3"/>
  <c r="AM1034" i="3"/>
  <c r="AL1034" i="3"/>
  <c r="AM580" i="3"/>
  <c r="AL580" i="3"/>
  <c r="AL710" i="3"/>
  <c r="AM710" i="3"/>
  <c r="AL897" i="3"/>
  <c r="AM897" i="3"/>
  <c r="AM230" i="3"/>
  <c r="AL230" i="3"/>
  <c r="AM649" i="3"/>
  <c r="AL649" i="3"/>
  <c r="AM313" i="3"/>
  <c r="AL313" i="3"/>
  <c r="AM126" i="3"/>
  <c r="AL126" i="3"/>
  <c r="AM433" i="3"/>
  <c r="AL433" i="3"/>
  <c r="AL982" i="3"/>
  <c r="AM982" i="3"/>
  <c r="AM1080" i="3"/>
  <c r="AL1080" i="3"/>
  <c r="AM434" i="3" l="1"/>
  <c r="AL434" i="3"/>
  <c r="AM435" i="3" s="1"/>
  <c r="AM231" i="3"/>
  <c r="AL231" i="3"/>
  <c r="AM179" i="3"/>
  <c r="AL179" i="3"/>
  <c r="AM861" i="3"/>
  <c r="AL861" i="3"/>
  <c r="AL314" i="3"/>
  <c r="AM314" i="3"/>
  <c r="AK20" i="3"/>
  <c r="AF21" i="3"/>
  <c r="AM808" i="3"/>
  <c r="AL808" i="3"/>
  <c r="AM282" i="3"/>
  <c r="AL282" i="3"/>
  <c r="AM392" i="3"/>
  <c r="AL392" i="3"/>
  <c r="AM393" i="3" s="1"/>
  <c r="AL711" i="3"/>
  <c r="AM711" i="3"/>
  <c r="AM983" i="3"/>
  <c r="AL983" i="3"/>
  <c r="AM481" i="3"/>
  <c r="AL481" i="3"/>
  <c r="AM581" i="3"/>
  <c r="AL581" i="3"/>
  <c r="AM755" i="3"/>
  <c r="AL755" i="3"/>
  <c r="AM1011" i="3"/>
  <c r="AL1011" i="3"/>
  <c r="AM1081" i="3"/>
  <c r="AL1081" i="3"/>
  <c r="AM1035" i="3"/>
  <c r="AL1035" i="3"/>
  <c r="AM603" i="3"/>
  <c r="AL603" i="3"/>
  <c r="AM925" i="3"/>
  <c r="AL925" i="3"/>
  <c r="AL127" i="3"/>
  <c r="AM128" i="3" s="1"/>
  <c r="AM127" i="3"/>
  <c r="AM898" i="3"/>
  <c r="AL898" i="3"/>
  <c r="AL650" i="3"/>
  <c r="AM650" i="3"/>
  <c r="AM1012" i="3" l="1"/>
  <c r="AL1012" i="3"/>
  <c r="AM984" i="3"/>
  <c r="AL984" i="3"/>
  <c r="AM862" i="3"/>
  <c r="AL862" i="3"/>
  <c r="AM899" i="3"/>
  <c r="AL899" i="3"/>
  <c r="AM232" i="3"/>
  <c r="AL232" i="3"/>
  <c r="AM1082" i="3"/>
  <c r="AL1082" i="3"/>
  <c r="AL651" i="3"/>
  <c r="AM651" i="3"/>
  <c r="AM180" i="3"/>
  <c r="AL180" i="3"/>
  <c r="AM315" i="3"/>
  <c r="AL315" i="3"/>
  <c r="AL756" i="3"/>
  <c r="AM756" i="3"/>
  <c r="AM926" i="3"/>
  <c r="AL926" i="3"/>
  <c r="AL582" i="3"/>
  <c r="AM582" i="3"/>
  <c r="AL809" i="3"/>
  <c r="AM809" i="3"/>
  <c r="AM1036" i="3"/>
  <c r="AL1036" i="3"/>
  <c r="AM1037" i="3" s="1"/>
  <c r="AM712" i="3"/>
  <c r="AL712" i="3"/>
  <c r="AM283" i="3"/>
  <c r="AL283" i="3"/>
  <c r="AM604" i="3"/>
  <c r="AL604" i="3"/>
  <c r="AM605" i="3" s="1"/>
  <c r="AM482" i="3"/>
  <c r="AL482" i="3"/>
  <c r="AF22" i="3"/>
  <c r="AK21" i="3"/>
  <c r="AM713" i="3" l="1"/>
  <c r="AL713" i="3"/>
  <c r="AM757" i="3"/>
  <c r="AL757" i="3"/>
  <c r="AM758" i="3" s="1"/>
  <c r="AM985" i="3"/>
  <c r="AL985" i="3"/>
  <c r="AM810" i="3"/>
  <c r="AL810" i="3"/>
  <c r="AM483" i="3"/>
  <c r="AL483" i="3"/>
  <c r="AM1083" i="3"/>
  <c r="AL1083" i="3"/>
  <c r="AM233" i="3"/>
  <c r="AL233" i="3"/>
  <c r="AM652" i="3"/>
  <c r="AL652" i="3"/>
  <c r="AM653" i="3" s="1"/>
  <c r="AM1013" i="3"/>
  <c r="AL1013" i="3"/>
  <c r="AM316" i="3"/>
  <c r="AL316" i="3"/>
  <c r="AM863" i="3"/>
  <c r="AL863" i="3"/>
  <c r="AM181" i="3"/>
  <c r="AL181" i="3"/>
  <c r="AF23" i="3"/>
  <c r="AK22" i="3"/>
  <c r="AM583" i="3"/>
  <c r="AL583" i="3"/>
  <c r="AM927" i="3"/>
  <c r="AL927" i="3"/>
  <c r="AM284" i="3"/>
  <c r="AL284" i="3"/>
  <c r="AM900" i="3"/>
  <c r="AL900" i="3"/>
  <c r="AM182" i="3" l="1"/>
  <c r="AL182" i="3"/>
  <c r="AM183" i="3" s="1"/>
  <c r="AL901" i="3"/>
  <c r="AM901" i="3"/>
  <c r="AL986" i="3"/>
  <c r="AM986" i="3"/>
  <c r="AL1084" i="3"/>
  <c r="AM1084" i="3"/>
  <c r="AM484" i="3"/>
  <c r="AL484" i="3"/>
  <c r="AL864" i="3"/>
  <c r="AM864" i="3"/>
  <c r="AL285" i="3"/>
  <c r="AM285" i="3"/>
  <c r="AL811" i="3"/>
  <c r="AM812" i="3" s="1"/>
  <c r="AM811" i="3"/>
  <c r="AM928" i="3"/>
  <c r="AL928" i="3"/>
  <c r="AM584" i="3"/>
  <c r="AL584" i="3"/>
  <c r="AM234" i="3"/>
  <c r="AL234" i="3"/>
  <c r="AL714" i="3"/>
  <c r="AM714" i="3"/>
  <c r="AM317" i="3"/>
  <c r="AL317" i="3"/>
  <c r="AM1014" i="3"/>
  <c r="AL1014" i="3"/>
  <c r="AF24" i="3"/>
  <c r="AK23" i="3"/>
  <c r="AM485" i="3" l="1"/>
  <c r="AL485" i="3"/>
  <c r="AM1085" i="3"/>
  <c r="AL1085" i="3"/>
  <c r="AM987" i="3"/>
  <c r="AL987" i="3"/>
  <c r="AK24" i="3"/>
  <c r="AF25" i="3"/>
  <c r="AM235" i="3"/>
  <c r="AL235" i="3"/>
  <c r="AM585" i="3"/>
  <c r="AL585" i="3"/>
  <c r="AM929" i="3"/>
  <c r="AL929" i="3"/>
  <c r="AL1015" i="3"/>
  <c r="AM1015" i="3"/>
  <c r="AM902" i="3"/>
  <c r="AL902" i="3"/>
  <c r="AL318" i="3"/>
  <c r="AM318" i="3"/>
  <c r="AL286" i="3"/>
  <c r="AM286" i="3"/>
  <c r="AL715" i="3"/>
  <c r="AM715" i="3"/>
  <c r="AM865" i="3"/>
  <c r="AL865" i="3"/>
  <c r="AM586" i="3" l="1"/>
  <c r="AL586" i="3"/>
  <c r="AM587" i="3" s="1"/>
  <c r="AM236" i="3"/>
  <c r="AL236" i="3"/>
  <c r="AM988" i="3"/>
  <c r="AL988" i="3"/>
  <c r="AM1086" i="3"/>
  <c r="AL1086" i="3"/>
  <c r="AM716" i="3"/>
  <c r="AL716" i="3"/>
  <c r="AM287" i="3"/>
  <c r="AL287" i="3"/>
  <c r="AM319" i="3"/>
  <c r="AL319" i="3"/>
  <c r="AF26" i="3"/>
  <c r="AK25" i="3"/>
  <c r="AM903" i="3"/>
  <c r="AL903" i="3"/>
  <c r="AM486" i="3"/>
  <c r="AL486" i="3"/>
  <c r="AM1016" i="3"/>
  <c r="AL1016" i="3"/>
  <c r="AM866" i="3"/>
  <c r="AL866" i="3"/>
  <c r="AL930" i="3"/>
  <c r="AM931" i="3" s="1"/>
  <c r="AM930" i="3"/>
  <c r="AM1017" i="3" l="1"/>
  <c r="AL1017" i="3"/>
  <c r="AL237" i="3"/>
  <c r="AM237" i="3"/>
  <c r="AM487" i="3"/>
  <c r="AL487" i="3"/>
  <c r="AM488" i="3" s="1"/>
  <c r="AM1087" i="3"/>
  <c r="AL1087" i="3"/>
  <c r="AM989" i="3"/>
  <c r="AL989" i="3"/>
  <c r="AM288" i="3"/>
  <c r="AL288" i="3"/>
  <c r="AM717" i="3"/>
  <c r="AL717" i="3"/>
  <c r="C46" i="5"/>
  <c r="C19" i="8" s="1"/>
  <c r="C45" i="5"/>
  <c r="C18" i="8" s="1"/>
  <c r="AM867" i="3"/>
  <c r="AL867" i="3"/>
  <c r="AM904" i="3"/>
  <c r="AL904" i="3"/>
  <c r="AF27" i="3"/>
  <c r="AK26" i="3"/>
  <c r="AM320" i="3"/>
  <c r="AL320" i="3"/>
  <c r="AF28" i="3" l="1"/>
  <c r="AK27" i="3"/>
  <c r="AM289" i="3"/>
  <c r="AL289" i="3"/>
  <c r="AL1088" i="3"/>
  <c r="AM1088" i="3"/>
  <c r="AM238" i="3"/>
  <c r="AL238" i="3"/>
  <c r="AL718" i="3"/>
  <c r="AM718" i="3"/>
  <c r="AM1018" i="3"/>
  <c r="AL1018" i="3"/>
  <c r="AM1019" i="3" s="1"/>
  <c r="AM321" i="3"/>
  <c r="AL321" i="3"/>
  <c r="AL990" i="3"/>
  <c r="AM990" i="3"/>
  <c r="AL905" i="3"/>
  <c r="AM905" i="3"/>
  <c r="AL868" i="3"/>
  <c r="AM868" i="3"/>
  <c r="AM991" i="3" l="1"/>
  <c r="AL991" i="3"/>
  <c r="AL719" i="3"/>
  <c r="AM719" i="3"/>
  <c r="AM906" i="3"/>
  <c r="AL906" i="3"/>
  <c r="AL322" i="3"/>
  <c r="AM322" i="3"/>
  <c r="AM239" i="3"/>
  <c r="AL239" i="3"/>
  <c r="AM869" i="3"/>
  <c r="AL869" i="3"/>
  <c r="AL1089" i="3"/>
  <c r="AM1089" i="3"/>
  <c r="AL290" i="3"/>
  <c r="AM290" i="3"/>
  <c r="AK28" i="3"/>
  <c r="AF29" i="3"/>
  <c r="AM240" i="3" l="1"/>
  <c r="AL240" i="3"/>
  <c r="AM907" i="3"/>
  <c r="AL907" i="3"/>
  <c r="AM870" i="3"/>
  <c r="AL870" i="3"/>
  <c r="AM720" i="3"/>
  <c r="AL720" i="3"/>
  <c r="AM323" i="3"/>
  <c r="AL323" i="3"/>
  <c r="AF30" i="3"/>
  <c r="AK29" i="3"/>
  <c r="AM291" i="3"/>
  <c r="AL291" i="3"/>
  <c r="AM992" i="3"/>
  <c r="AL992" i="3"/>
  <c r="AM1090" i="3"/>
  <c r="AL1090" i="3"/>
  <c r="AL1091" i="3" l="1"/>
  <c r="AM1092" i="3" s="1"/>
  <c r="AM1091" i="3"/>
  <c r="AF31" i="3"/>
  <c r="AK30" i="3"/>
  <c r="AM324" i="3"/>
  <c r="AL324" i="3"/>
  <c r="AM871" i="3"/>
  <c r="AL871" i="3"/>
  <c r="AM872" i="3" s="1"/>
  <c r="AM908" i="3"/>
  <c r="AL908" i="3"/>
  <c r="AM909" i="3" s="1"/>
  <c r="AM993" i="3"/>
  <c r="AL993" i="3"/>
  <c r="AM292" i="3"/>
  <c r="AL292" i="3"/>
  <c r="AM241" i="3"/>
  <c r="AL241" i="3"/>
  <c r="AL721" i="3"/>
  <c r="AM721" i="3"/>
  <c r="AM994" i="3" l="1"/>
  <c r="AL994" i="3"/>
  <c r="AM995" i="3" s="1"/>
  <c r="AM722" i="3"/>
  <c r="AL722" i="3"/>
  <c r="AM242" i="3"/>
  <c r="AL242" i="3"/>
  <c r="AK31" i="3"/>
  <c r="AF32" i="3"/>
  <c r="AM293" i="3"/>
  <c r="AL293" i="3"/>
  <c r="AM325" i="3"/>
  <c r="AL325" i="3"/>
  <c r="AM326" i="3" s="1"/>
  <c r="C46" i="7"/>
  <c r="G19" i="8" s="1"/>
  <c r="C45" i="7"/>
  <c r="G18" i="8" s="1"/>
  <c r="AL294" i="3" l="1"/>
  <c r="AM294" i="3"/>
  <c r="AK32" i="3"/>
  <c r="AF33" i="3"/>
  <c r="AL243" i="3"/>
  <c r="AM243" i="3"/>
  <c r="AL723" i="3"/>
  <c r="AM723" i="3"/>
  <c r="AM724" i="3" l="1"/>
  <c r="AL724" i="3"/>
  <c r="AM244" i="3"/>
  <c r="AL244" i="3"/>
  <c r="AF34" i="3"/>
  <c r="AK33" i="3"/>
  <c r="AM295" i="3"/>
  <c r="AL295" i="3"/>
  <c r="AM296" i="3" l="1"/>
  <c r="AL296" i="3"/>
  <c r="AM245" i="3"/>
  <c r="AL245" i="3"/>
  <c r="AM725" i="3"/>
  <c r="AL725" i="3"/>
  <c r="AF35" i="3"/>
  <c r="AK34" i="3"/>
  <c r="AM246" i="3" l="1"/>
  <c r="AL246" i="3"/>
  <c r="AF36" i="3"/>
  <c r="AK35" i="3"/>
  <c r="AM726" i="3"/>
  <c r="AL726" i="3"/>
  <c r="AL297" i="3"/>
  <c r="AM297" i="3"/>
  <c r="AK36" i="3" l="1"/>
  <c r="AF37" i="3"/>
  <c r="AL247" i="3"/>
  <c r="AM248" i="3" s="1"/>
  <c r="AM247" i="3"/>
  <c r="AL298" i="3"/>
  <c r="AM299" i="3" s="1"/>
  <c r="AM298" i="3"/>
  <c r="AL727" i="3"/>
  <c r="AM727" i="3"/>
  <c r="AF38" i="3" l="1"/>
  <c r="AK37" i="3"/>
  <c r="AM728" i="3"/>
  <c r="AL728" i="3"/>
  <c r="AM729" i="3" l="1"/>
  <c r="AL729" i="3"/>
  <c r="AM730" i="3" s="1"/>
  <c r="AF39" i="3"/>
  <c r="AK38" i="3"/>
  <c r="AK39" i="3" l="1"/>
  <c r="AF40" i="3"/>
  <c r="B46" i="7"/>
  <c r="F19" i="8" s="1"/>
  <c r="C46" i="6"/>
  <c r="E19" i="8" s="1"/>
  <c r="B46" i="5"/>
  <c r="B19" i="8" s="1"/>
  <c r="B46" i="6"/>
  <c r="D19" i="8" s="1"/>
  <c r="B45" i="6"/>
  <c r="B45" i="7"/>
  <c r="B45" i="5"/>
  <c r="C45" i="6"/>
  <c r="E18" i="8" s="1"/>
  <c r="B18" i="8" l="1"/>
  <c r="B54" i="5"/>
  <c r="D54" i="5" s="1"/>
  <c r="F18" i="8"/>
  <c r="B54" i="7"/>
  <c r="D54" i="7" s="1"/>
  <c r="D18" i="8"/>
  <c r="B54" i="6"/>
  <c r="D54" i="6" s="1"/>
  <c r="AK40" i="3"/>
  <c r="AF41" i="3"/>
  <c r="AF42" i="3" l="1"/>
  <c r="AK41" i="3"/>
  <c r="F54" i="6"/>
  <c r="D26" i="8"/>
  <c r="F26" i="8"/>
  <c r="F54" i="7"/>
  <c r="F54" i="5"/>
  <c r="B26" i="8"/>
  <c r="AF43" i="3" l="1"/>
  <c r="AK42" i="3"/>
  <c r="AK43" i="3" l="1"/>
  <c r="AF44" i="3"/>
  <c r="AK44" i="3" l="1"/>
  <c r="AF45" i="3"/>
  <c r="AF46" i="3" l="1"/>
  <c r="AK45" i="3"/>
  <c r="AF47" i="3" l="1"/>
  <c r="AK46" i="3"/>
  <c r="AK47" i="3" l="1"/>
  <c r="AF48" i="3"/>
  <c r="AK48" i="3" l="1"/>
  <c r="AF49" i="3"/>
  <c r="AF50" i="3" l="1"/>
  <c r="AK49" i="3"/>
  <c r="AF51" i="3" l="1"/>
  <c r="AK50" i="3"/>
  <c r="AF52" i="3" l="1"/>
  <c r="AK51" i="3"/>
  <c r="AK52" i="3" l="1"/>
  <c r="AF53" i="3"/>
  <c r="AF54" i="3" l="1"/>
  <c r="AK53" i="3"/>
  <c r="AF55" i="3" l="1"/>
  <c r="AK54" i="3"/>
  <c r="AF56" i="3" l="1"/>
  <c r="AK55" i="3"/>
  <c r="AK56" i="3" l="1"/>
  <c r="AF57" i="3"/>
  <c r="AF58" i="3" l="1"/>
  <c r="AK57" i="3"/>
  <c r="AF59" i="3" l="1"/>
  <c r="AK58" i="3"/>
  <c r="AK59" i="3" l="1"/>
  <c r="AF60" i="3"/>
  <c r="AF61" i="3" l="1"/>
  <c r="AK60" i="3"/>
  <c r="AF62" i="3" l="1"/>
  <c r="AK61" i="3"/>
  <c r="AF63" i="3" l="1"/>
  <c r="AK62" i="3"/>
  <c r="AF64" i="3" l="1"/>
  <c r="AK63" i="3"/>
  <c r="AK64" i="3" l="1"/>
  <c r="AF65" i="3"/>
  <c r="AF66" i="3" l="1"/>
  <c r="AK65" i="3"/>
  <c r="AF67" i="3" l="1"/>
  <c r="AK66" i="3"/>
  <c r="AK67" i="3" l="1"/>
  <c r="AF68" i="3"/>
  <c r="AK68" i="3" l="1"/>
  <c r="AF69" i="3"/>
  <c r="AF70" i="3" l="1"/>
  <c r="AK69" i="3"/>
  <c r="AF71" i="3" l="1"/>
  <c r="AK70" i="3"/>
  <c r="AF72" i="3" l="1"/>
  <c r="AK71" i="3"/>
  <c r="AK72" i="3" l="1"/>
  <c r="AF73" i="3"/>
  <c r="AF74" i="3" l="1"/>
  <c r="AK73" i="3"/>
  <c r="AF75" i="3" l="1"/>
  <c r="AK74" i="3"/>
  <c r="AF76" i="3" l="1"/>
  <c r="AK75" i="3"/>
  <c r="AK76" i="3" l="1"/>
  <c r="AF77" i="3"/>
  <c r="AF78" i="3" l="1"/>
  <c r="AK77" i="3"/>
  <c r="AF79" i="3" l="1"/>
  <c r="AK78" i="3"/>
  <c r="AK79" i="3" l="1"/>
  <c r="AF80" i="3"/>
  <c r="AK80" i="3" l="1"/>
  <c r="AF81" i="3"/>
  <c r="AF82" i="3" l="1"/>
  <c r="AK81" i="3"/>
  <c r="AK82" i="3" l="1"/>
  <c r="AF83" i="3"/>
  <c r="AF84" i="3" l="1"/>
  <c r="AK83" i="3"/>
  <c r="AF85" i="3" l="1"/>
  <c r="AK84" i="3"/>
  <c r="AK85" i="3" l="1"/>
  <c r="AF86" i="3"/>
  <c r="AF87" i="3" l="1"/>
  <c r="AK86" i="3"/>
  <c r="AF88" i="3" l="1"/>
  <c r="AK87" i="3"/>
  <c r="AF89" i="3" l="1"/>
  <c r="AK88" i="3"/>
  <c r="AF90" i="3" l="1"/>
  <c r="AK89" i="3"/>
  <c r="AK90" i="3" l="1"/>
  <c r="AF91" i="3"/>
  <c r="AF92" i="3" l="1"/>
  <c r="AK91" i="3"/>
  <c r="AF93" i="3" l="1"/>
  <c r="AK92" i="3"/>
  <c r="AK93" i="3" l="1"/>
  <c r="AF94" i="3"/>
  <c r="AF95" i="3" l="1"/>
  <c r="AK94" i="3"/>
  <c r="AK95" i="3" l="1"/>
  <c r="AF96" i="3"/>
  <c r="AF97" i="3" l="1"/>
  <c r="AK96" i="3"/>
  <c r="AF98" i="3" l="1"/>
  <c r="AK97" i="3"/>
  <c r="AK98" i="3" l="1"/>
  <c r="AF99" i="3"/>
  <c r="AF100" i="3" l="1"/>
  <c r="AK99" i="3"/>
  <c r="AF101" i="3" l="1"/>
  <c r="AK100" i="3"/>
  <c r="AK101" i="3" l="1"/>
  <c r="AF102" i="3"/>
  <c r="AF103" i="3" l="1"/>
  <c r="AK102" i="3"/>
  <c r="AF104" i="3" l="1"/>
  <c r="AK103" i="3"/>
  <c r="AF105" i="3" l="1"/>
  <c r="AK104" i="3"/>
  <c r="AF106" i="3" l="1"/>
  <c r="AK105" i="3"/>
  <c r="AK106" i="3" l="1"/>
  <c r="AF107" i="3"/>
  <c r="AF108" i="3" l="1"/>
  <c r="AK107" i="3"/>
  <c r="AF109" i="3" l="1"/>
  <c r="AK108" i="3"/>
  <c r="AK109" i="3" l="1"/>
  <c r="AF110" i="3"/>
  <c r="AF111" i="3" l="1"/>
  <c r="AK110" i="3"/>
  <c r="AK111" i="3" l="1"/>
  <c r="AF112" i="3"/>
  <c r="AF113" i="3" l="1"/>
  <c r="AK112" i="3"/>
  <c r="AF114" i="3" l="1"/>
  <c r="AK113" i="3"/>
  <c r="AK114" i="3" l="1"/>
  <c r="AF115" i="3"/>
  <c r="AF116" i="3" l="1"/>
  <c r="AK115" i="3"/>
  <c r="AF117" i="3" l="1"/>
  <c r="AK116" i="3"/>
  <c r="AK117" i="3" l="1"/>
  <c r="AF118" i="3"/>
  <c r="AF119" i="3" l="1"/>
  <c r="AK118" i="3"/>
  <c r="AK119" i="3" l="1"/>
  <c r="AF120" i="3"/>
  <c r="AF121" i="3" l="1"/>
  <c r="AK120" i="3"/>
  <c r="AK121" i="3" l="1"/>
  <c r="AF122" i="3"/>
  <c r="AF123" i="3" l="1"/>
  <c r="AK122" i="3"/>
  <c r="AK123" i="3" l="1"/>
  <c r="AF124" i="3"/>
  <c r="AF125" i="3" l="1"/>
  <c r="AK124" i="3"/>
  <c r="AK125" i="3" l="1"/>
  <c r="AF126" i="3"/>
  <c r="AF127" i="3" l="1"/>
  <c r="AK126" i="3"/>
  <c r="AK127" i="3" l="1"/>
  <c r="AF128" i="3"/>
  <c r="AF129" i="3" l="1"/>
  <c r="AK128" i="3"/>
  <c r="AK129" i="3" l="1"/>
  <c r="AF130" i="3"/>
  <c r="AF131" i="3" l="1"/>
  <c r="AK130" i="3"/>
  <c r="AK131" i="3" l="1"/>
  <c r="AF132" i="3"/>
  <c r="AF133" i="3" l="1"/>
  <c r="AK132" i="3"/>
  <c r="AK133" i="3" l="1"/>
  <c r="AF134" i="3"/>
  <c r="AF135" i="3" l="1"/>
  <c r="AK134" i="3"/>
  <c r="AK135" i="3" l="1"/>
  <c r="AF136" i="3"/>
  <c r="AF137" i="3" l="1"/>
  <c r="AK136" i="3"/>
  <c r="AF138" i="3" l="1"/>
  <c r="AK137" i="3"/>
  <c r="AF139" i="3" l="1"/>
  <c r="AK138" i="3"/>
  <c r="AK139" i="3" l="1"/>
  <c r="AF140" i="3"/>
  <c r="AF141" i="3" l="1"/>
  <c r="AK140" i="3"/>
  <c r="AK141" i="3" l="1"/>
  <c r="AF142" i="3"/>
  <c r="AF143" i="3" l="1"/>
  <c r="AK142" i="3"/>
  <c r="AK143" i="3" l="1"/>
  <c r="AF144" i="3"/>
  <c r="AF145" i="3" l="1"/>
  <c r="AK144" i="3"/>
  <c r="AK145" i="3" l="1"/>
  <c r="AF146" i="3"/>
  <c r="AF147" i="3" l="1"/>
  <c r="AK146" i="3"/>
  <c r="AK147" i="3" l="1"/>
  <c r="AF148" i="3"/>
  <c r="AF149" i="3" l="1"/>
  <c r="AK148" i="3"/>
  <c r="AK149" i="3" l="1"/>
  <c r="AF150" i="3"/>
  <c r="AF151" i="3" l="1"/>
  <c r="AK150" i="3"/>
  <c r="AK151" i="3" l="1"/>
  <c r="AF152" i="3"/>
  <c r="AF153" i="3" l="1"/>
  <c r="AK152" i="3"/>
  <c r="AF154" i="3" l="1"/>
  <c r="AK153" i="3"/>
  <c r="AF155" i="3" l="1"/>
  <c r="AK154" i="3"/>
  <c r="AK155" i="3" l="1"/>
  <c r="AF156" i="3"/>
  <c r="AF157" i="3" l="1"/>
  <c r="AK156" i="3"/>
  <c r="AF158" i="3" l="1"/>
  <c r="AK157" i="3"/>
  <c r="AF159" i="3" l="1"/>
  <c r="AK158" i="3"/>
  <c r="AK159" i="3" l="1"/>
  <c r="AF160" i="3"/>
  <c r="AF161" i="3" l="1"/>
  <c r="AK160" i="3"/>
  <c r="AK161" i="3" l="1"/>
  <c r="AF162" i="3"/>
  <c r="AF163" i="3" l="1"/>
  <c r="AK162" i="3"/>
  <c r="AK163" i="3" l="1"/>
  <c r="AF164" i="3"/>
  <c r="AF165" i="3" l="1"/>
  <c r="AK164" i="3"/>
  <c r="AF166" i="3" l="1"/>
  <c r="AK165" i="3"/>
  <c r="AF167" i="3" l="1"/>
  <c r="AK166" i="3"/>
  <c r="AK167" i="3" l="1"/>
  <c r="AF168" i="3"/>
  <c r="AF169" i="3" l="1"/>
  <c r="AK168" i="3"/>
  <c r="AF170" i="3" l="1"/>
  <c r="AK169" i="3"/>
  <c r="AF171" i="3" l="1"/>
  <c r="AK170" i="3"/>
  <c r="AK171" i="3" l="1"/>
  <c r="AF172" i="3"/>
  <c r="AF173" i="3" l="1"/>
  <c r="AK172" i="3"/>
  <c r="AF174" i="3" l="1"/>
  <c r="AK173" i="3"/>
  <c r="AF175" i="3" l="1"/>
  <c r="AK174" i="3"/>
  <c r="AK175" i="3" l="1"/>
  <c r="AF176" i="3"/>
  <c r="AF177" i="3" l="1"/>
  <c r="AK176" i="3"/>
  <c r="AK177" i="3" l="1"/>
  <c r="AF178" i="3"/>
  <c r="AF179" i="3" l="1"/>
  <c r="AK178" i="3"/>
  <c r="AK179" i="3" l="1"/>
  <c r="AF180" i="3"/>
  <c r="AF181" i="3" l="1"/>
  <c r="AK180" i="3"/>
  <c r="AF182" i="3" l="1"/>
  <c r="AK181" i="3"/>
  <c r="AF183" i="3" l="1"/>
  <c r="AK182" i="3"/>
  <c r="AK183" i="3" l="1"/>
  <c r="AF184" i="3"/>
  <c r="AF185" i="3" l="1"/>
  <c r="AK184" i="3"/>
  <c r="AF186" i="3" l="1"/>
  <c r="AK185" i="3"/>
  <c r="AF187" i="3" l="1"/>
  <c r="AK186" i="3"/>
  <c r="AK187" i="3" l="1"/>
  <c r="AF188" i="3"/>
  <c r="AF189" i="3" l="1"/>
  <c r="AK188" i="3"/>
  <c r="AF190" i="3" l="1"/>
  <c r="AK189" i="3"/>
  <c r="AF191" i="3" l="1"/>
  <c r="AK190" i="3"/>
  <c r="AK191" i="3" l="1"/>
  <c r="AF192" i="3"/>
  <c r="AF193" i="3" l="1"/>
  <c r="AK192" i="3"/>
  <c r="AF194" i="3" l="1"/>
  <c r="AK193" i="3"/>
  <c r="AF195" i="3" l="1"/>
  <c r="AK194" i="3"/>
  <c r="AK195" i="3" l="1"/>
  <c r="AF196" i="3"/>
  <c r="AF197" i="3" l="1"/>
  <c r="AK196" i="3"/>
  <c r="AK197" i="3" l="1"/>
  <c r="AF198" i="3"/>
  <c r="AF199" i="3" l="1"/>
  <c r="AK198" i="3"/>
  <c r="AK199" i="3" l="1"/>
  <c r="AF200" i="3"/>
  <c r="AF201" i="3" l="1"/>
  <c r="AK200" i="3"/>
  <c r="AF202" i="3" l="1"/>
  <c r="AK201" i="3"/>
  <c r="AF203" i="3" l="1"/>
  <c r="AK202" i="3"/>
  <c r="AK203" i="3" l="1"/>
  <c r="AF204" i="3"/>
  <c r="AF205" i="3" l="1"/>
  <c r="AK204" i="3"/>
  <c r="AF206" i="3" l="1"/>
  <c r="AK205" i="3"/>
  <c r="AF207" i="3" l="1"/>
  <c r="AK206" i="3"/>
  <c r="AK207" i="3" l="1"/>
  <c r="AF208" i="3"/>
  <c r="AF209" i="3" l="1"/>
  <c r="AK208" i="3"/>
  <c r="AK209" i="3" l="1"/>
  <c r="AF210" i="3"/>
  <c r="AF211" i="3" l="1"/>
  <c r="AK210" i="3"/>
  <c r="AK211" i="3" l="1"/>
  <c r="AF212" i="3"/>
  <c r="AF213" i="3" l="1"/>
  <c r="AK212" i="3"/>
  <c r="AF214" i="3" l="1"/>
  <c r="AK213" i="3"/>
  <c r="AF215" i="3" l="1"/>
  <c r="AK214" i="3"/>
  <c r="AK215" i="3" l="1"/>
  <c r="AF216" i="3"/>
  <c r="AF217" i="3" l="1"/>
  <c r="AK216" i="3"/>
  <c r="AF218" i="3" l="1"/>
  <c r="AK217" i="3"/>
  <c r="AF219" i="3" l="1"/>
  <c r="AK218" i="3"/>
  <c r="AK219" i="3" l="1"/>
  <c r="AF220" i="3"/>
  <c r="AF221" i="3" l="1"/>
  <c r="AK220" i="3"/>
  <c r="AF222" i="3" l="1"/>
  <c r="AK221" i="3"/>
  <c r="AK222" i="3" l="1"/>
  <c r="AF223" i="3"/>
  <c r="AF224" i="3" l="1"/>
  <c r="AK223" i="3"/>
  <c r="AF225" i="3" l="1"/>
  <c r="AK224" i="3"/>
  <c r="AK225" i="3" l="1"/>
  <c r="AF226" i="3"/>
  <c r="AK226" i="3" l="1"/>
  <c r="AF227" i="3"/>
  <c r="AK227" i="3" l="1"/>
  <c r="AF228" i="3"/>
  <c r="AF229" i="3" l="1"/>
  <c r="AK228" i="3"/>
  <c r="AK229" i="3" l="1"/>
  <c r="AF230" i="3"/>
  <c r="AK230" i="3" l="1"/>
  <c r="AF231" i="3"/>
  <c r="AF232" i="3" l="1"/>
  <c r="AK231" i="3"/>
  <c r="AK232" i="3" l="1"/>
  <c r="AF233" i="3"/>
  <c r="AF234" i="3" l="1"/>
  <c r="AK233" i="3"/>
  <c r="AK234" i="3" l="1"/>
  <c r="AF235" i="3"/>
  <c r="AF236" i="3" l="1"/>
  <c r="AK235" i="3"/>
  <c r="AK236" i="3" l="1"/>
  <c r="AF237" i="3"/>
  <c r="AK237" i="3" l="1"/>
  <c r="AF238" i="3"/>
  <c r="AK238" i="3" l="1"/>
  <c r="AF239" i="3"/>
  <c r="AF240" i="3" l="1"/>
  <c r="AK239" i="3"/>
  <c r="AK240" i="3" l="1"/>
  <c r="AF241" i="3"/>
  <c r="AF242" i="3" l="1"/>
  <c r="AK241" i="3"/>
  <c r="AK242" i="3" l="1"/>
  <c r="AF243" i="3"/>
  <c r="AK243" i="3" l="1"/>
  <c r="AF244" i="3"/>
  <c r="AF245" i="3" l="1"/>
  <c r="AK244" i="3"/>
  <c r="AF246" i="3" l="1"/>
  <c r="AK245" i="3"/>
  <c r="AK246" i="3" l="1"/>
  <c r="AF247" i="3"/>
  <c r="AF248" i="3" l="1"/>
  <c r="AK247" i="3"/>
  <c r="AF249" i="3" l="1"/>
  <c r="AK248" i="3"/>
  <c r="AK249" i="3" l="1"/>
  <c r="AF250" i="3"/>
  <c r="AK250" i="3" l="1"/>
  <c r="AF251" i="3"/>
  <c r="AK251" i="3" l="1"/>
  <c r="AF252" i="3"/>
  <c r="AK252" i="3" l="1"/>
  <c r="AF253" i="3"/>
  <c r="AF254" i="3" l="1"/>
  <c r="AK253" i="3"/>
  <c r="AK254" i="3" l="1"/>
  <c r="AF255" i="3"/>
  <c r="AF256" i="3" l="1"/>
  <c r="AK255" i="3"/>
  <c r="AK256" i="3" l="1"/>
  <c r="AF257" i="3"/>
  <c r="AF258" i="3" l="1"/>
  <c r="AK257" i="3"/>
  <c r="AK258" i="3" l="1"/>
  <c r="AF259" i="3"/>
  <c r="AF260" i="3" l="1"/>
  <c r="AK259" i="3"/>
  <c r="AK260" i="3" l="1"/>
  <c r="AF261" i="3"/>
  <c r="AK261" i="3" l="1"/>
  <c r="AF262" i="3"/>
  <c r="AK262" i="3" l="1"/>
  <c r="AF263" i="3"/>
  <c r="AK263" i="3" l="1"/>
  <c r="AF264" i="3"/>
  <c r="AK264" i="3" l="1"/>
  <c r="AF265" i="3"/>
  <c r="AF266" i="3" l="1"/>
  <c r="AK265" i="3"/>
  <c r="AK266" i="3" l="1"/>
  <c r="AF267" i="3"/>
  <c r="AF268" i="3" l="1"/>
  <c r="AK267" i="3"/>
  <c r="AK268" i="3" l="1"/>
  <c r="AF269" i="3"/>
  <c r="AF270" i="3" l="1"/>
  <c r="AK269" i="3"/>
  <c r="AK270" i="3" l="1"/>
  <c r="AF271" i="3"/>
  <c r="AF272" i="3" l="1"/>
  <c r="AK271" i="3"/>
  <c r="AK272" i="3" l="1"/>
  <c r="AF273" i="3"/>
  <c r="AK273" i="3" l="1"/>
  <c r="AF274" i="3"/>
  <c r="AK274" i="3" l="1"/>
  <c r="AF275" i="3"/>
  <c r="AK275" i="3" l="1"/>
  <c r="AF276" i="3"/>
  <c r="AK276" i="3" l="1"/>
  <c r="AF277" i="3"/>
  <c r="AF278" i="3" l="1"/>
  <c r="AK277" i="3"/>
  <c r="AK278" i="3" l="1"/>
  <c r="AF279" i="3"/>
  <c r="AF280" i="3" l="1"/>
  <c r="AK279" i="3"/>
  <c r="AK280" i="3" l="1"/>
  <c r="AF281" i="3"/>
  <c r="AF282" i="3" l="1"/>
  <c r="AK281" i="3"/>
  <c r="AK282" i="3" l="1"/>
  <c r="AF283" i="3"/>
  <c r="AF284" i="3" l="1"/>
  <c r="AK283" i="3"/>
  <c r="AK284" i="3" l="1"/>
  <c r="AF285" i="3"/>
  <c r="AF286" i="3" l="1"/>
  <c r="AK285" i="3"/>
  <c r="AK286" i="3" l="1"/>
  <c r="AF287" i="3"/>
  <c r="AF288" i="3" l="1"/>
  <c r="AK287" i="3"/>
  <c r="AK288" i="3" l="1"/>
  <c r="AF289" i="3"/>
  <c r="AF290" i="3" l="1"/>
  <c r="AK289" i="3"/>
  <c r="AK290" i="3" l="1"/>
  <c r="AF291" i="3"/>
  <c r="AF292" i="3" l="1"/>
  <c r="AK291" i="3"/>
  <c r="AK292" i="3" l="1"/>
  <c r="AF293" i="3"/>
  <c r="AF294" i="3" l="1"/>
  <c r="AK293" i="3"/>
  <c r="AK294" i="3" l="1"/>
  <c r="AF295" i="3"/>
  <c r="AF296" i="3" l="1"/>
  <c r="AK295" i="3"/>
  <c r="AK296" i="3" l="1"/>
  <c r="AF297" i="3"/>
  <c r="AF298" i="3" l="1"/>
  <c r="AK297" i="3"/>
  <c r="AK298" i="3" l="1"/>
  <c r="AF299" i="3"/>
  <c r="AF300" i="3" l="1"/>
  <c r="AK299" i="3"/>
  <c r="AF301" i="3" l="1"/>
  <c r="AK300" i="3"/>
  <c r="AF302" i="3" l="1"/>
  <c r="AK301" i="3"/>
  <c r="AK302" i="3" l="1"/>
  <c r="AF303" i="3"/>
  <c r="AF304" i="3" l="1"/>
  <c r="AK303" i="3"/>
  <c r="AF305" i="3" l="1"/>
  <c r="AK304" i="3"/>
  <c r="AF306" i="3" l="1"/>
  <c r="AK305" i="3"/>
  <c r="AK306" i="3" l="1"/>
  <c r="AF307" i="3"/>
  <c r="AF308" i="3" l="1"/>
  <c r="AK307" i="3"/>
  <c r="AF309" i="3" l="1"/>
  <c r="AK308" i="3"/>
  <c r="AF310" i="3" l="1"/>
  <c r="AK309" i="3"/>
  <c r="AK310" i="3" l="1"/>
  <c r="AF311" i="3"/>
  <c r="AF312" i="3" l="1"/>
  <c r="AK311" i="3"/>
  <c r="AF313" i="3" l="1"/>
  <c r="AK312" i="3"/>
  <c r="AF314" i="3" l="1"/>
  <c r="AK313" i="3"/>
  <c r="AK314" i="3" l="1"/>
  <c r="AF315" i="3"/>
  <c r="AF316" i="3" l="1"/>
  <c r="AK315" i="3"/>
  <c r="AF317" i="3" l="1"/>
  <c r="AK316" i="3"/>
  <c r="AF318" i="3" l="1"/>
  <c r="AK317" i="3"/>
  <c r="AK318" i="3" l="1"/>
  <c r="AF319" i="3"/>
  <c r="AF320" i="3" l="1"/>
  <c r="AK319" i="3"/>
  <c r="AF321" i="3" l="1"/>
  <c r="AK320" i="3"/>
  <c r="AF322" i="3" l="1"/>
  <c r="AK321" i="3"/>
  <c r="AK322" i="3" l="1"/>
  <c r="AF323" i="3"/>
  <c r="AF324" i="3" l="1"/>
  <c r="AK323" i="3"/>
  <c r="AF325" i="3" l="1"/>
  <c r="AK324" i="3"/>
  <c r="AF326" i="3" l="1"/>
  <c r="AK325" i="3"/>
  <c r="AK326" i="3" l="1"/>
  <c r="AF327" i="3"/>
  <c r="AF328" i="3" l="1"/>
  <c r="AK327" i="3"/>
  <c r="AF329" i="3" l="1"/>
  <c r="AK328" i="3"/>
  <c r="AF330" i="3" l="1"/>
  <c r="AK329" i="3"/>
  <c r="AK330" i="3" l="1"/>
  <c r="AF331" i="3"/>
  <c r="AF332" i="3" l="1"/>
  <c r="AK331" i="3"/>
  <c r="AF333" i="3" l="1"/>
  <c r="AK332" i="3"/>
  <c r="AF334" i="3" l="1"/>
  <c r="AK333" i="3"/>
  <c r="AK334" i="3" l="1"/>
  <c r="AF335" i="3"/>
  <c r="AK335" i="3" l="1"/>
  <c r="AF336" i="3"/>
  <c r="AF337" i="3" l="1"/>
  <c r="AK336" i="3"/>
  <c r="AK337" i="3" l="1"/>
  <c r="AF338" i="3"/>
  <c r="AF339" i="3" l="1"/>
  <c r="AK338" i="3"/>
  <c r="AF340" i="3" l="1"/>
  <c r="AK339" i="3"/>
  <c r="AK340" i="3" l="1"/>
  <c r="AF341" i="3"/>
  <c r="AF342" i="3" l="1"/>
  <c r="AK341" i="3"/>
  <c r="AF343" i="3" l="1"/>
  <c r="AK342" i="3"/>
  <c r="AF344" i="3" l="1"/>
  <c r="AK343" i="3"/>
  <c r="AF345" i="3" l="1"/>
  <c r="AK344" i="3"/>
  <c r="AK345" i="3" l="1"/>
  <c r="AF346" i="3"/>
  <c r="AF347" i="3" l="1"/>
  <c r="AK346" i="3"/>
  <c r="AF348" i="3" l="1"/>
  <c r="AK347" i="3"/>
  <c r="AK348" i="3" l="1"/>
  <c r="AF349" i="3"/>
  <c r="AF350" i="3" l="1"/>
  <c r="AK349" i="3"/>
  <c r="AF351" i="3" l="1"/>
  <c r="AK350" i="3"/>
  <c r="AF352" i="3" l="1"/>
  <c r="AK351" i="3"/>
  <c r="AF353" i="3" l="1"/>
  <c r="AK352" i="3"/>
  <c r="AK353" i="3" l="1"/>
  <c r="AF354" i="3"/>
  <c r="AF355" i="3" l="1"/>
  <c r="AK354" i="3"/>
  <c r="AF356" i="3" l="1"/>
  <c r="AK355" i="3"/>
  <c r="AK356" i="3" l="1"/>
  <c r="AF357" i="3"/>
  <c r="AF358" i="3" l="1"/>
  <c r="AK357" i="3"/>
  <c r="AF359" i="3" l="1"/>
  <c r="AK358" i="3"/>
  <c r="AF360" i="3" l="1"/>
  <c r="AK359" i="3"/>
  <c r="AF361" i="3" l="1"/>
  <c r="AK360" i="3"/>
  <c r="AF362" i="3" l="1"/>
  <c r="AK361" i="3"/>
  <c r="AF363" i="3" l="1"/>
  <c r="AK362" i="3"/>
  <c r="AF364" i="3" l="1"/>
  <c r="AK363" i="3"/>
  <c r="AK364" i="3" l="1"/>
  <c r="AF365" i="3"/>
  <c r="AF366" i="3" l="1"/>
  <c r="AK365" i="3"/>
  <c r="AF367" i="3" l="1"/>
  <c r="AK366" i="3"/>
  <c r="AF368" i="3" l="1"/>
  <c r="AK367" i="3"/>
  <c r="AF369" i="3" l="1"/>
  <c r="AK368" i="3"/>
  <c r="AF370" i="3" l="1"/>
  <c r="AK369" i="3"/>
  <c r="AK370" i="3" l="1"/>
  <c r="AF371" i="3"/>
  <c r="AF372" i="3" l="1"/>
  <c r="AK371" i="3"/>
  <c r="AF373" i="3" l="1"/>
  <c r="AK372" i="3"/>
  <c r="AF374" i="3" l="1"/>
  <c r="AK373" i="3"/>
  <c r="AF375" i="3" l="1"/>
  <c r="AK374" i="3"/>
  <c r="AF376" i="3" l="1"/>
  <c r="AK375" i="3"/>
  <c r="AF377" i="3" l="1"/>
  <c r="AK376" i="3"/>
  <c r="AF378" i="3" l="1"/>
  <c r="AK377" i="3"/>
  <c r="AK378" i="3" l="1"/>
  <c r="AF379" i="3"/>
  <c r="AF380" i="3" l="1"/>
  <c r="AK379" i="3"/>
  <c r="AF381" i="3" l="1"/>
  <c r="AK380" i="3"/>
  <c r="AF382" i="3" l="1"/>
  <c r="AK381" i="3"/>
  <c r="AF383" i="3" l="1"/>
  <c r="AK382" i="3"/>
  <c r="AF384" i="3" l="1"/>
  <c r="AK383" i="3"/>
  <c r="AF385" i="3" l="1"/>
  <c r="AK384" i="3"/>
  <c r="AF386" i="3" l="1"/>
  <c r="AK385" i="3"/>
  <c r="AK386" i="3" l="1"/>
  <c r="AF387" i="3"/>
  <c r="AF388" i="3" l="1"/>
  <c r="AK387" i="3"/>
  <c r="AF389" i="3" l="1"/>
  <c r="AK388" i="3"/>
  <c r="AF390" i="3" l="1"/>
  <c r="AK389" i="3"/>
  <c r="AF391" i="3" l="1"/>
  <c r="AK390" i="3"/>
  <c r="AF392" i="3" l="1"/>
  <c r="AK391" i="3"/>
  <c r="AF393" i="3" l="1"/>
  <c r="AK392" i="3"/>
  <c r="AK393" i="3" l="1"/>
  <c r="AF394" i="3"/>
  <c r="AF395" i="3" l="1"/>
  <c r="AK394" i="3"/>
  <c r="AF396" i="3" l="1"/>
  <c r="AK395" i="3"/>
  <c r="AF397" i="3" l="1"/>
  <c r="AK396" i="3"/>
  <c r="AF398" i="3" l="1"/>
  <c r="AK397" i="3"/>
  <c r="AF399" i="3" l="1"/>
  <c r="AK398" i="3"/>
  <c r="AF400" i="3" l="1"/>
  <c r="AK399" i="3"/>
  <c r="AF401" i="3" l="1"/>
  <c r="AK400" i="3"/>
  <c r="AF402" i="3" l="1"/>
  <c r="AK401" i="3"/>
  <c r="AK402" i="3" l="1"/>
  <c r="AF403" i="3"/>
  <c r="AF404" i="3" l="1"/>
  <c r="AK403" i="3"/>
  <c r="AK404" i="3" l="1"/>
  <c r="AF405" i="3"/>
  <c r="AF406" i="3" l="1"/>
  <c r="AK405" i="3"/>
  <c r="AF407" i="3" l="1"/>
  <c r="AK406" i="3"/>
  <c r="AF408" i="3" l="1"/>
  <c r="AK407" i="3"/>
  <c r="AF409" i="3" l="1"/>
  <c r="AK408" i="3"/>
  <c r="AF410" i="3" l="1"/>
  <c r="AK409" i="3"/>
  <c r="AF411" i="3" l="1"/>
  <c r="AK410" i="3"/>
  <c r="AF412" i="3" l="1"/>
  <c r="AK411" i="3"/>
  <c r="AF413" i="3" l="1"/>
  <c r="AK412" i="3"/>
  <c r="AK413" i="3" l="1"/>
  <c r="AF414" i="3"/>
  <c r="AF415" i="3" l="1"/>
  <c r="AK414" i="3"/>
  <c r="AF416" i="3" l="1"/>
  <c r="AK415" i="3"/>
  <c r="AK416" i="3" l="1"/>
  <c r="AF417" i="3"/>
  <c r="AF418" i="3" l="1"/>
  <c r="AK417" i="3"/>
  <c r="AK418" i="3" l="1"/>
  <c r="AF419" i="3"/>
  <c r="AF420" i="3" l="1"/>
  <c r="AK419" i="3"/>
  <c r="AK420" i="3" l="1"/>
  <c r="AF421" i="3"/>
  <c r="AF422" i="3" l="1"/>
  <c r="AK421" i="3"/>
  <c r="AK422" i="3" l="1"/>
  <c r="AF423" i="3"/>
  <c r="AF424" i="3" l="1"/>
  <c r="AK423" i="3"/>
  <c r="AK424" i="3" l="1"/>
  <c r="AF425" i="3"/>
  <c r="AF426" i="3" l="1"/>
  <c r="AK425" i="3"/>
  <c r="AK426" i="3" l="1"/>
  <c r="AF427" i="3"/>
  <c r="AF428" i="3" l="1"/>
  <c r="AK427" i="3"/>
  <c r="AK428" i="3" l="1"/>
  <c r="AF429" i="3"/>
  <c r="AF430" i="3" l="1"/>
  <c r="AK429" i="3"/>
  <c r="AK430" i="3" l="1"/>
  <c r="AF431" i="3"/>
  <c r="AF432" i="3" l="1"/>
  <c r="AK431" i="3"/>
  <c r="AK432" i="3" l="1"/>
  <c r="AF433" i="3"/>
  <c r="AF434" i="3" l="1"/>
  <c r="AK433" i="3"/>
  <c r="AK434" i="3" l="1"/>
  <c r="AF435" i="3"/>
  <c r="AF436" i="3" l="1"/>
  <c r="AK435" i="3"/>
  <c r="AF437" i="3" l="1"/>
  <c r="AK436" i="3"/>
  <c r="AF438" i="3" l="1"/>
  <c r="AK437" i="3"/>
  <c r="AK438" i="3" l="1"/>
  <c r="AF439" i="3"/>
  <c r="AF440" i="3" l="1"/>
  <c r="AK439" i="3"/>
  <c r="AF441" i="3" l="1"/>
  <c r="AK440" i="3"/>
  <c r="AF442" i="3" l="1"/>
  <c r="AK441" i="3"/>
  <c r="AK442" i="3" l="1"/>
  <c r="AF443" i="3"/>
  <c r="AF444" i="3" l="1"/>
  <c r="AK443" i="3"/>
  <c r="AF445" i="3" l="1"/>
  <c r="AK444" i="3"/>
  <c r="AF446" i="3" l="1"/>
  <c r="AK445" i="3"/>
  <c r="AK446" i="3" l="1"/>
  <c r="AF447" i="3"/>
  <c r="AF448" i="3" l="1"/>
  <c r="AK447" i="3"/>
  <c r="AF449" i="3" l="1"/>
  <c r="AK448" i="3"/>
  <c r="AK449" i="3" l="1"/>
  <c r="AF450" i="3"/>
  <c r="AK450" i="3" l="1"/>
  <c r="AF451" i="3"/>
  <c r="AF452" i="3" l="1"/>
  <c r="AK451" i="3"/>
  <c r="AF453" i="3" l="1"/>
  <c r="AK452" i="3"/>
  <c r="AK453" i="3" l="1"/>
  <c r="AF454" i="3"/>
  <c r="AK454" i="3" l="1"/>
  <c r="AF455" i="3"/>
  <c r="AF456" i="3" l="1"/>
  <c r="AK455" i="3"/>
  <c r="AK456" i="3" l="1"/>
  <c r="AF457" i="3"/>
  <c r="AF458" i="3" l="1"/>
  <c r="AK457" i="3"/>
  <c r="AK458" i="3" l="1"/>
  <c r="AF459" i="3"/>
  <c r="AK459" i="3" l="1"/>
  <c r="AF460" i="3"/>
  <c r="AF461" i="3" l="1"/>
  <c r="AK460" i="3"/>
  <c r="AF462" i="3" l="1"/>
  <c r="AK461" i="3"/>
  <c r="AK462" i="3" l="1"/>
  <c r="AF463" i="3"/>
  <c r="AF464" i="3" l="1"/>
  <c r="AK463" i="3"/>
  <c r="AF465" i="3" l="1"/>
  <c r="AK464" i="3"/>
  <c r="AK465" i="3" l="1"/>
  <c r="AF466" i="3"/>
  <c r="AK466" i="3" l="1"/>
  <c r="AF467" i="3"/>
  <c r="AF468" i="3" l="1"/>
  <c r="AK467" i="3"/>
  <c r="AF469" i="3" l="1"/>
  <c r="AK468" i="3"/>
  <c r="AK469" i="3" l="1"/>
  <c r="AF470" i="3"/>
  <c r="AK470" i="3" l="1"/>
  <c r="AF471" i="3"/>
  <c r="AF472" i="3" l="1"/>
  <c r="AK471" i="3"/>
  <c r="AK472" i="3" l="1"/>
  <c r="AF473" i="3"/>
  <c r="AF474" i="3" l="1"/>
  <c r="AK473" i="3"/>
  <c r="AK474" i="3" l="1"/>
  <c r="AF475" i="3"/>
  <c r="AF476" i="3" l="1"/>
  <c r="AK475" i="3"/>
  <c r="AF477" i="3" l="1"/>
  <c r="AK476" i="3"/>
  <c r="AK477" i="3" l="1"/>
  <c r="AF478" i="3"/>
  <c r="AK478" i="3" l="1"/>
  <c r="AF479" i="3"/>
  <c r="AF480" i="3" l="1"/>
  <c r="AK479" i="3"/>
  <c r="AK480" i="3" l="1"/>
  <c r="AF481" i="3"/>
  <c r="AF482" i="3" l="1"/>
  <c r="AK481" i="3"/>
  <c r="AK482" i="3" l="1"/>
  <c r="AF483" i="3"/>
  <c r="AK483" i="3" l="1"/>
  <c r="AF484" i="3"/>
  <c r="AF485" i="3" l="1"/>
  <c r="AK484" i="3"/>
  <c r="AF486" i="3" l="1"/>
  <c r="AK485" i="3"/>
  <c r="AK486" i="3" l="1"/>
  <c r="AF487" i="3"/>
  <c r="AF488" i="3" l="1"/>
  <c r="AK487" i="3"/>
  <c r="AF489" i="3" l="1"/>
  <c r="AK488" i="3"/>
  <c r="AF490" i="3" l="1"/>
  <c r="AK489" i="3"/>
  <c r="AK490" i="3" l="1"/>
  <c r="AF491" i="3"/>
  <c r="AK491" i="3" l="1"/>
  <c r="AF492" i="3"/>
  <c r="AF493" i="3" l="1"/>
  <c r="AK492" i="3"/>
  <c r="AK493" i="3" l="1"/>
  <c r="AF494" i="3"/>
  <c r="AK494" i="3" l="1"/>
  <c r="AF495" i="3"/>
  <c r="AF496" i="3" l="1"/>
  <c r="AK495" i="3"/>
  <c r="AK496" i="3" l="1"/>
  <c r="AF497" i="3"/>
  <c r="AK497" i="3" l="1"/>
  <c r="AF498" i="3"/>
  <c r="AK498" i="3" l="1"/>
  <c r="AF499" i="3"/>
  <c r="AF500" i="3" l="1"/>
  <c r="AK499" i="3"/>
  <c r="AF501" i="3" l="1"/>
  <c r="AK500" i="3"/>
  <c r="AK501" i="3" l="1"/>
  <c r="AF502" i="3"/>
  <c r="AK502" i="3" l="1"/>
  <c r="AF503" i="3"/>
  <c r="AF504" i="3" l="1"/>
  <c r="AK503" i="3"/>
  <c r="AF505" i="3" l="1"/>
  <c r="AK504" i="3"/>
  <c r="AK505" i="3" l="1"/>
  <c r="AF506" i="3"/>
  <c r="AK506" i="3" l="1"/>
  <c r="AF507" i="3"/>
  <c r="AK507" i="3" l="1"/>
  <c r="AF508" i="3"/>
  <c r="AF509" i="3" l="1"/>
  <c r="AK508" i="3"/>
  <c r="AK509" i="3" l="1"/>
  <c r="AF510" i="3"/>
  <c r="AF511" i="3" l="1"/>
  <c r="AK510" i="3"/>
  <c r="AF512" i="3" l="1"/>
  <c r="AK511" i="3"/>
  <c r="AF513" i="3" l="1"/>
  <c r="AK512" i="3"/>
  <c r="AK513" i="3" l="1"/>
  <c r="AF514" i="3"/>
  <c r="AF515" i="3" l="1"/>
  <c r="AK514" i="3"/>
  <c r="AF516" i="3" l="1"/>
  <c r="AK515" i="3"/>
  <c r="AK516" i="3" l="1"/>
  <c r="AF517" i="3"/>
  <c r="AK517" i="3" l="1"/>
  <c r="AF518" i="3"/>
  <c r="AF519" i="3" l="1"/>
  <c r="AK518" i="3"/>
  <c r="AF520" i="3" l="1"/>
  <c r="AK519" i="3"/>
  <c r="AF521" i="3" l="1"/>
  <c r="AK520" i="3"/>
  <c r="AK521" i="3" l="1"/>
  <c r="AF522" i="3"/>
  <c r="AF523" i="3" l="1"/>
  <c r="AK522" i="3"/>
  <c r="AF524" i="3" l="1"/>
  <c r="AK523" i="3"/>
  <c r="AK524" i="3" l="1"/>
  <c r="AF525" i="3"/>
  <c r="AK525" i="3" l="1"/>
  <c r="AF526" i="3"/>
  <c r="AF527" i="3" l="1"/>
  <c r="AK526" i="3"/>
  <c r="AF528" i="3" l="1"/>
  <c r="AK527" i="3"/>
  <c r="AF529" i="3" l="1"/>
  <c r="AK528" i="3"/>
  <c r="AK529" i="3" l="1"/>
  <c r="AF530" i="3"/>
  <c r="AF531" i="3" l="1"/>
  <c r="AK530" i="3"/>
  <c r="AF532" i="3" l="1"/>
  <c r="AK531" i="3"/>
  <c r="AF533" i="3" l="1"/>
  <c r="AK532" i="3"/>
  <c r="AK533" i="3" l="1"/>
  <c r="AF534" i="3"/>
  <c r="AF535" i="3" l="1"/>
  <c r="AK534" i="3"/>
  <c r="AF536" i="3" l="1"/>
  <c r="AK535" i="3"/>
  <c r="AK536" i="3" l="1"/>
  <c r="AF537" i="3"/>
  <c r="AK537" i="3" l="1"/>
  <c r="AF538" i="3"/>
  <c r="AF539" i="3" l="1"/>
  <c r="AK538" i="3"/>
  <c r="AF540" i="3" l="1"/>
  <c r="AK539" i="3"/>
  <c r="AK540" i="3" l="1"/>
  <c r="AF541" i="3"/>
  <c r="AF542" i="3" l="1"/>
  <c r="AK541" i="3"/>
  <c r="AF543" i="3" l="1"/>
  <c r="AK542" i="3"/>
  <c r="AF544" i="3" l="1"/>
  <c r="AK543" i="3"/>
  <c r="AK544" i="3" l="1"/>
  <c r="AF545" i="3"/>
  <c r="AF546" i="3" l="1"/>
  <c r="AK545" i="3"/>
  <c r="AK546" i="3" l="1"/>
  <c r="AF547" i="3"/>
  <c r="AK547" i="3" l="1"/>
  <c r="AF548" i="3"/>
  <c r="AK548" i="3" l="1"/>
  <c r="AF549" i="3"/>
  <c r="AF550" i="3" l="1"/>
  <c r="AK549" i="3"/>
  <c r="AK550" i="3" l="1"/>
  <c r="AF551" i="3"/>
  <c r="AF552" i="3" l="1"/>
  <c r="AK551" i="3"/>
  <c r="AK552" i="3" l="1"/>
  <c r="AF553" i="3"/>
  <c r="AK553" i="3" l="1"/>
  <c r="AF554" i="3"/>
  <c r="AF555" i="3" l="1"/>
  <c r="AK554" i="3"/>
  <c r="AF556" i="3" l="1"/>
  <c r="AK555" i="3"/>
  <c r="AK556" i="3" l="1"/>
  <c r="AF557" i="3"/>
  <c r="AF558" i="3" l="1"/>
  <c r="AK557" i="3"/>
  <c r="AF559" i="3" l="1"/>
  <c r="AK558" i="3"/>
  <c r="AF560" i="3" l="1"/>
  <c r="AK559" i="3"/>
  <c r="AK560" i="3" l="1"/>
  <c r="AF561" i="3"/>
  <c r="AF562" i="3" l="1"/>
  <c r="AK561" i="3"/>
  <c r="AF563" i="3" l="1"/>
  <c r="AK562" i="3"/>
  <c r="AK563" i="3" l="1"/>
  <c r="AF564" i="3"/>
  <c r="AK564" i="3" l="1"/>
  <c r="AF565" i="3"/>
  <c r="AF566" i="3" l="1"/>
  <c r="AK565" i="3"/>
  <c r="AK566" i="3" l="1"/>
  <c r="AF567" i="3"/>
  <c r="AF568" i="3" l="1"/>
  <c r="AK567" i="3"/>
  <c r="AK568" i="3" l="1"/>
  <c r="AF569" i="3"/>
  <c r="AK569" i="3" l="1"/>
  <c r="AF570" i="3"/>
  <c r="AF571" i="3" l="1"/>
  <c r="AK570" i="3"/>
  <c r="AF572" i="3" l="1"/>
  <c r="AK571" i="3"/>
  <c r="AK572" i="3" l="1"/>
  <c r="AF573" i="3"/>
  <c r="AF574" i="3" l="1"/>
  <c r="AK573" i="3"/>
  <c r="AF575" i="3" l="1"/>
  <c r="AK574" i="3"/>
  <c r="AF576" i="3" l="1"/>
  <c r="AK575" i="3"/>
  <c r="AK576" i="3" l="1"/>
  <c r="AF577" i="3"/>
  <c r="AF578" i="3" l="1"/>
  <c r="AK577" i="3"/>
  <c r="AF579" i="3" l="1"/>
  <c r="AK578" i="3"/>
  <c r="AK579" i="3" l="1"/>
  <c r="AF580" i="3"/>
  <c r="AK580" i="3" l="1"/>
  <c r="AF581" i="3"/>
  <c r="AF582" i="3" l="1"/>
  <c r="AK581" i="3"/>
  <c r="AK582" i="3" l="1"/>
  <c r="AF583" i="3"/>
  <c r="AF584" i="3" l="1"/>
  <c r="AK583" i="3"/>
  <c r="AK584" i="3" l="1"/>
  <c r="AF585" i="3"/>
  <c r="AK585" i="3" l="1"/>
  <c r="AF586" i="3"/>
  <c r="AF587" i="3" l="1"/>
  <c r="AK586" i="3"/>
  <c r="AF588" i="3" l="1"/>
  <c r="AK587" i="3"/>
  <c r="AK588" i="3" l="1"/>
  <c r="AF589" i="3"/>
  <c r="AF590" i="3" l="1"/>
  <c r="AK589" i="3"/>
  <c r="AF591" i="3" l="1"/>
  <c r="AK590" i="3"/>
  <c r="AK591" i="3" l="1"/>
  <c r="AF592" i="3"/>
  <c r="AK592" i="3" l="1"/>
  <c r="AF593" i="3"/>
  <c r="AF594" i="3" l="1"/>
  <c r="AK593" i="3"/>
  <c r="AK594" i="3" l="1"/>
  <c r="AF595" i="3"/>
  <c r="AF596" i="3" l="1"/>
  <c r="AK595" i="3"/>
  <c r="AK596" i="3" l="1"/>
  <c r="AF597" i="3"/>
  <c r="AK597" i="3" l="1"/>
  <c r="AF598" i="3"/>
  <c r="AF599" i="3" l="1"/>
  <c r="AK598" i="3"/>
  <c r="AF600" i="3" l="1"/>
  <c r="AK599" i="3"/>
  <c r="AK600" i="3" l="1"/>
  <c r="AF601" i="3"/>
  <c r="AF602" i="3" l="1"/>
  <c r="AK601" i="3"/>
  <c r="AF603" i="3" l="1"/>
  <c r="AK602" i="3"/>
  <c r="AK603" i="3" l="1"/>
  <c r="AF604" i="3"/>
  <c r="AK604" i="3" l="1"/>
  <c r="AF605" i="3"/>
  <c r="AK605" i="3" l="1"/>
  <c r="AF606" i="3"/>
  <c r="AF607" i="3" l="1"/>
  <c r="AK606" i="3"/>
  <c r="AK607" i="3" l="1"/>
  <c r="AF608" i="3"/>
  <c r="AK608" i="3" l="1"/>
  <c r="AF609" i="3"/>
  <c r="AF610" i="3" l="1"/>
  <c r="AK609" i="3"/>
  <c r="AF611" i="3" l="1"/>
  <c r="AK610" i="3"/>
  <c r="AK611" i="3" l="1"/>
  <c r="AF612" i="3"/>
  <c r="AK612" i="3" l="1"/>
  <c r="AF613" i="3"/>
  <c r="AK613" i="3" l="1"/>
  <c r="AF614" i="3"/>
  <c r="AF615" i="3" l="1"/>
  <c r="AK614" i="3"/>
  <c r="AK615" i="3" l="1"/>
  <c r="AF616" i="3"/>
  <c r="AK616" i="3" l="1"/>
  <c r="AF617" i="3"/>
  <c r="AF618" i="3" l="1"/>
  <c r="AK617" i="3"/>
  <c r="AK618" i="3" l="1"/>
  <c r="AF619" i="3"/>
  <c r="AK619" i="3" l="1"/>
  <c r="AF620" i="3"/>
  <c r="AK620" i="3" l="1"/>
  <c r="AF621" i="3"/>
  <c r="AK621" i="3" l="1"/>
  <c r="AF622" i="3"/>
  <c r="AF623" i="3" l="1"/>
  <c r="AK622" i="3"/>
  <c r="AK623" i="3" l="1"/>
  <c r="AF624" i="3"/>
  <c r="AK624" i="3" l="1"/>
  <c r="AF625" i="3"/>
  <c r="AK625" i="3" l="1"/>
  <c r="AF626" i="3"/>
  <c r="AF627" i="3" l="1"/>
  <c r="AK626" i="3"/>
  <c r="AK627" i="3" l="1"/>
  <c r="AF628" i="3"/>
  <c r="AK628" i="3" l="1"/>
  <c r="AF629" i="3"/>
  <c r="AK629" i="3" l="1"/>
  <c r="AF630" i="3"/>
  <c r="AF631" i="3" l="1"/>
  <c r="AK630" i="3"/>
  <c r="AK631" i="3" l="1"/>
  <c r="AF632" i="3"/>
  <c r="AF633" i="3" l="1"/>
  <c r="AK632" i="3"/>
  <c r="AK633" i="3" l="1"/>
  <c r="AF634" i="3"/>
  <c r="AK634" i="3" l="1"/>
  <c r="AF635" i="3"/>
  <c r="AK635" i="3" l="1"/>
  <c r="AF636" i="3"/>
  <c r="AF637" i="3" l="1"/>
  <c r="AK636" i="3"/>
  <c r="AF638" i="3" l="1"/>
  <c r="AK637" i="3"/>
  <c r="C8" i="5"/>
  <c r="C13" i="5"/>
  <c r="C8" i="8" s="1"/>
  <c r="C5" i="8" l="1"/>
  <c r="C19" i="5"/>
  <c r="AF639" i="3"/>
  <c r="AK638" i="3"/>
  <c r="AK639" i="3" l="1"/>
  <c r="AF640" i="3"/>
  <c r="C23" i="5"/>
  <c r="C9" i="8"/>
  <c r="C20" i="5"/>
  <c r="C10" i="8" s="1"/>
  <c r="AF641" i="3" l="1"/>
  <c r="AK640" i="3"/>
  <c r="AF642" i="3" l="1"/>
  <c r="AK641" i="3"/>
  <c r="AF643" i="3" l="1"/>
  <c r="AK642" i="3"/>
  <c r="AK643" i="3" l="1"/>
  <c r="AF644" i="3"/>
  <c r="AF645" i="3" l="1"/>
  <c r="AK644" i="3"/>
  <c r="AF646" i="3" l="1"/>
  <c r="AK645" i="3"/>
  <c r="AK646" i="3" l="1"/>
  <c r="AF647" i="3"/>
  <c r="AK647" i="3" l="1"/>
  <c r="AF648" i="3"/>
  <c r="AF649" i="3" l="1"/>
  <c r="AK648" i="3"/>
  <c r="AF650" i="3" l="1"/>
  <c r="AK649" i="3"/>
  <c r="AF651" i="3" l="1"/>
  <c r="AK650" i="3"/>
  <c r="AK651" i="3" l="1"/>
  <c r="AF652" i="3"/>
  <c r="AF653" i="3" l="1"/>
  <c r="AK652" i="3"/>
  <c r="AF654" i="3" l="1"/>
  <c r="AK653" i="3"/>
  <c r="AF655" i="3" l="1"/>
  <c r="AK654" i="3"/>
  <c r="AK655" i="3" l="1"/>
  <c r="AF656" i="3"/>
  <c r="AF657" i="3" l="1"/>
  <c r="AK656" i="3"/>
  <c r="AF658" i="3" l="1"/>
  <c r="AK657" i="3"/>
  <c r="AF659" i="3" l="1"/>
  <c r="AK658" i="3"/>
  <c r="AK659" i="3" l="1"/>
  <c r="AF660" i="3"/>
  <c r="AF661" i="3" l="1"/>
  <c r="AK660" i="3"/>
  <c r="AF662" i="3" l="1"/>
  <c r="AK661" i="3"/>
  <c r="AK662" i="3" l="1"/>
  <c r="AF663" i="3"/>
  <c r="AK663" i="3" l="1"/>
  <c r="AF664" i="3"/>
  <c r="AF665" i="3" l="1"/>
  <c r="AK664" i="3"/>
  <c r="AF666" i="3" l="1"/>
  <c r="AK665" i="3"/>
  <c r="AF667" i="3" l="1"/>
  <c r="AK666" i="3"/>
  <c r="AK667" i="3" l="1"/>
  <c r="AF668" i="3"/>
  <c r="AF669" i="3" l="1"/>
  <c r="AK668" i="3"/>
  <c r="AF670" i="3" l="1"/>
  <c r="AK669" i="3"/>
  <c r="AF671" i="3" l="1"/>
  <c r="AK670" i="3"/>
  <c r="AK671" i="3" l="1"/>
  <c r="AF672" i="3"/>
  <c r="AF673" i="3" l="1"/>
  <c r="AK672" i="3"/>
  <c r="AF674" i="3" l="1"/>
  <c r="AK673" i="3"/>
  <c r="AF675" i="3" l="1"/>
  <c r="AK674" i="3"/>
  <c r="AK675" i="3" l="1"/>
  <c r="AF676" i="3"/>
  <c r="AF677" i="3" l="1"/>
  <c r="AK676" i="3"/>
  <c r="AF678" i="3" l="1"/>
  <c r="AK677" i="3"/>
  <c r="AF679" i="3" l="1"/>
  <c r="AK678" i="3"/>
  <c r="AK679" i="3" l="1"/>
  <c r="AF680" i="3"/>
  <c r="AF681" i="3" l="1"/>
  <c r="AK680" i="3"/>
  <c r="AF682" i="3" l="1"/>
  <c r="AK681" i="3"/>
  <c r="AF683" i="3" l="1"/>
  <c r="AK682" i="3"/>
  <c r="AK683" i="3" l="1"/>
  <c r="AF684" i="3"/>
  <c r="AF685" i="3" l="1"/>
  <c r="AK684" i="3"/>
  <c r="AF686" i="3" l="1"/>
  <c r="AK685" i="3"/>
  <c r="AK686" i="3" l="1"/>
  <c r="AF687" i="3"/>
  <c r="AF688" i="3" l="1"/>
  <c r="AK687" i="3"/>
  <c r="AF689" i="3" l="1"/>
  <c r="AK688" i="3"/>
  <c r="AF690" i="3" l="1"/>
  <c r="AK689" i="3"/>
  <c r="AK690" i="3" l="1"/>
  <c r="AF691" i="3"/>
  <c r="AK691" i="3" l="1"/>
  <c r="AF692" i="3"/>
  <c r="AF693" i="3" l="1"/>
  <c r="AK692" i="3"/>
  <c r="AF694" i="3" l="1"/>
  <c r="AK693" i="3"/>
  <c r="AK694" i="3" l="1"/>
  <c r="AF695" i="3"/>
  <c r="AF696" i="3" l="1"/>
  <c r="AK695" i="3"/>
  <c r="AF697" i="3" l="1"/>
  <c r="AK696" i="3"/>
  <c r="AF698" i="3" l="1"/>
  <c r="AK697" i="3"/>
  <c r="AK698" i="3" l="1"/>
  <c r="AF699" i="3"/>
  <c r="AK699" i="3" l="1"/>
  <c r="AF700" i="3"/>
  <c r="AF701" i="3" l="1"/>
  <c r="AK700" i="3"/>
  <c r="AK701" i="3" l="1"/>
  <c r="AF702" i="3"/>
  <c r="AK702" i="3" l="1"/>
  <c r="AF703" i="3"/>
  <c r="AK703" i="3" l="1"/>
  <c r="AF704" i="3"/>
  <c r="AF705" i="3" l="1"/>
  <c r="AK704" i="3"/>
  <c r="AF706" i="3" l="1"/>
  <c r="AK705" i="3"/>
  <c r="AK706" i="3" l="1"/>
  <c r="AF707" i="3"/>
  <c r="AF708" i="3" l="1"/>
  <c r="AK707" i="3"/>
  <c r="AF709" i="3" l="1"/>
  <c r="AK708" i="3"/>
  <c r="AF710" i="3" l="1"/>
  <c r="AK709" i="3"/>
  <c r="AK710" i="3" l="1"/>
  <c r="AF711" i="3"/>
  <c r="AF712" i="3" l="1"/>
  <c r="AK711" i="3"/>
  <c r="AF713" i="3" l="1"/>
  <c r="AK712" i="3"/>
  <c r="AF714" i="3" l="1"/>
  <c r="AK713" i="3"/>
  <c r="AK714" i="3" l="1"/>
  <c r="AF715" i="3"/>
  <c r="AF716" i="3" l="1"/>
  <c r="AK715" i="3"/>
  <c r="AF717" i="3" l="1"/>
  <c r="AK716" i="3"/>
  <c r="AF718" i="3" l="1"/>
  <c r="AK717" i="3"/>
  <c r="AK718" i="3" l="1"/>
  <c r="AF719" i="3"/>
  <c r="AF720" i="3" l="1"/>
  <c r="AK719" i="3"/>
  <c r="AF721" i="3" l="1"/>
  <c r="AK720" i="3"/>
  <c r="AK721" i="3" l="1"/>
  <c r="AF722" i="3"/>
  <c r="AK722" i="3" l="1"/>
  <c r="AF723" i="3"/>
  <c r="AF724" i="3" l="1"/>
  <c r="AK723" i="3"/>
  <c r="AF725" i="3" l="1"/>
  <c r="AK724" i="3"/>
  <c r="AK725" i="3" l="1"/>
  <c r="AF726" i="3"/>
  <c r="AK726" i="3" l="1"/>
  <c r="AF727" i="3"/>
  <c r="AF728" i="3" l="1"/>
  <c r="AK727" i="3"/>
  <c r="AF729" i="3" l="1"/>
  <c r="AK728" i="3"/>
  <c r="AF730" i="3" l="1"/>
  <c r="AK729" i="3"/>
  <c r="AK730" i="3" l="1"/>
  <c r="AF731" i="3"/>
  <c r="AF732" i="3" l="1"/>
  <c r="AK731" i="3"/>
  <c r="AF733" i="3" l="1"/>
  <c r="AK732" i="3"/>
  <c r="AF734" i="3" l="1"/>
  <c r="AK733" i="3"/>
  <c r="AK734" i="3" l="1"/>
  <c r="AF735" i="3"/>
  <c r="AF736" i="3" l="1"/>
  <c r="AK735" i="3"/>
  <c r="AF737" i="3" l="1"/>
  <c r="AK736" i="3"/>
  <c r="AF738" i="3" l="1"/>
  <c r="AK737" i="3"/>
  <c r="AK738" i="3" l="1"/>
  <c r="AF739" i="3"/>
  <c r="AF740" i="3" l="1"/>
  <c r="AK739" i="3"/>
  <c r="AF741" i="3" l="1"/>
  <c r="AK740" i="3"/>
  <c r="AF742" i="3" l="1"/>
  <c r="AK741" i="3"/>
  <c r="AK742" i="3" l="1"/>
  <c r="AF743" i="3"/>
  <c r="AF744" i="3" l="1"/>
  <c r="AK743" i="3"/>
  <c r="AF745" i="3" l="1"/>
  <c r="AK744" i="3"/>
  <c r="AF746" i="3" l="1"/>
  <c r="AK745" i="3"/>
  <c r="AK746" i="3" l="1"/>
  <c r="AF747" i="3"/>
  <c r="AF748" i="3" l="1"/>
  <c r="AK747" i="3"/>
  <c r="AF749" i="3" l="1"/>
  <c r="AK748" i="3"/>
  <c r="AF750" i="3" l="1"/>
  <c r="AK749" i="3"/>
  <c r="AK750" i="3" l="1"/>
  <c r="AF751" i="3"/>
  <c r="AF752" i="3" l="1"/>
  <c r="AK751" i="3"/>
  <c r="AF753" i="3" l="1"/>
  <c r="AK752" i="3"/>
  <c r="AF754" i="3" l="1"/>
  <c r="AK753" i="3"/>
  <c r="AK754" i="3" l="1"/>
  <c r="AF755" i="3"/>
  <c r="AF756" i="3" l="1"/>
  <c r="AK755" i="3"/>
  <c r="AF757" i="3" l="1"/>
  <c r="AK756" i="3"/>
  <c r="AF758" i="3" l="1"/>
  <c r="AK757" i="3"/>
  <c r="AK758" i="3" l="1"/>
  <c r="AF759" i="3"/>
  <c r="AF760" i="3" l="1"/>
  <c r="AK759" i="3"/>
  <c r="AF761" i="3" l="1"/>
  <c r="AK760" i="3"/>
  <c r="AF762" i="3" l="1"/>
  <c r="AK761" i="3"/>
  <c r="AK762" i="3" l="1"/>
  <c r="AF763" i="3"/>
  <c r="AF764" i="3" l="1"/>
  <c r="AK763" i="3"/>
  <c r="AF765" i="3" l="1"/>
  <c r="AK764" i="3"/>
  <c r="AF766" i="3" l="1"/>
  <c r="AK765" i="3"/>
  <c r="AK766" i="3" l="1"/>
  <c r="AF767" i="3"/>
  <c r="AF768" i="3" l="1"/>
  <c r="AK767" i="3"/>
  <c r="AF769" i="3" l="1"/>
  <c r="AK768" i="3"/>
  <c r="AF770" i="3" l="1"/>
  <c r="AK769" i="3"/>
  <c r="AK770" i="3" l="1"/>
  <c r="AF771" i="3"/>
  <c r="AF772" i="3" l="1"/>
  <c r="AK771" i="3"/>
  <c r="AF773" i="3" l="1"/>
  <c r="AK772" i="3"/>
  <c r="AF774" i="3" l="1"/>
  <c r="AK773" i="3"/>
  <c r="AK774" i="3" l="1"/>
  <c r="AF775" i="3"/>
  <c r="AF776" i="3" l="1"/>
  <c r="AK775" i="3"/>
  <c r="AF777" i="3" l="1"/>
  <c r="AK776" i="3"/>
  <c r="AF778" i="3" l="1"/>
  <c r="AK777" i="3"/>
  <c r="AK778" i="3" l="1"/>
  <c r="AF779" i="3"/>
  <c r="AF780" i="3" l="1"/>
  <c r="AK779" i="3"/>
  <c r="AF781" i="3" l="1"/>
  <c r="AK780" i="3"/>
  <c r="AF782" i="3" l="1"/>
  <c r="AK781" i="3"/>
  <c r="AK782" i="3" l="1"/>
  <c r="AF783" i="3"/>
  <c r="AF784" i="3" l="1"/>
  <c r="AK783" i="3"/>
  <c r="AF785" i="3" l="1"/>
  <c r="AK784" i="3"/>
  <c r="AF786" i="3" l="1"/>
  <c r="AK785" i="3"/>
  <c r="AK786" i="3" l="1"/>
  <c r="AF787" i="3"/>
  <c r="AF788" i="3" l="1"/>
  <c r="AK787" i="3"/>
  <c r="AF789" i="3" l="1"/>
  <c r="AK788" i="3"/>
  <c r="AF790" i="3" l="1"/>
  <c r="AK789" i="3"/>
  <c r="AK790" i="3" l="1"/>
  <c r="AF791" i="3"/>
  <c r="AF792" i="3" l="1"/>
  <c r="AK791" i="3"/>
  <c r="AF793" i="3" l="1"/>
  <c r="AK792" i="3"/>
  <c r="AF794" i="3" l="1"/>
  <c r="AK793" i="3"/>
  <c r="AK794" i="3" l="1"/>
  <c r="AF795" i="3"/>
  <c r="AF796" i="3" l="1"/>
  <c r="AK795" i="3"/>
  <c r="AF797" i="3" l="1"/>
  <c r="AK796" i="3"/>
  <c r="AF798" i="3" l="1"/>
  <c r="AK797" i="3"/>
  <c r="AK798" i="3" l="1"/>
  <c r="AF799" i="3"/>
  <c r="AF800" i="3" l="1"/>
  <c r="AK799" i="3"/>
  <c r="AF801" i="3" l="1"/>
  <c r="AK800" i="3"/>
  <c r="AF802" i="3" l="1"/>
  <c r="AK801" i="3"/>
  <c r="AK802" i="3" l="1"/>
  <c r="AF803" i="3"/>
  <c r="AF804" i="3" l="1"/>
  <c r="AK803" i="3"/>
  <c r="AF805" i="3" l="1"/>
  <c r="AK804" i="3"/>
  <c r="AF806" i="3" l="1"/>
  <c r="AK805" i="3"/>
  <c r="AK806" i="3" l="1"/>
  <c r="AF807" i="3"/>
  <c r="AF808" i="3" l="1"/>
  <c r="AK807" i="3"/>
  <c r="AK808" i="3" l="1"/>
  <c r="AF809" i="3"/>
  <c r="AK809" i="3" l="1"/>
  <c r="AF810" i="3"/>
  <c r="AF811" i="3" l="1"/>
  <c r="AK810" i="3"/>
  <c r="AK811" i="3" l="1"/>
  <c r="AF812" i="3"/>
  <c r="AF813" i="3" l="1"/>
  <c r="AK812" i="3"/>
  <c r="AF814" i="3" l="1"/>
  <c r="AK813" i="3"/>
  <c r="AF815" i="3" l="1"/>
  <c r="AK814" i="3"/>
  <c r="AK815" i="3" l="1"/>
  <c r="AF816" i="3"/>
  <c r="AF817" i="3" l="1"/>
  <c r="AK816" i="3"/>
  <c r="AF818" i="3" l="1"/>
  <c r="AK817" i="3"/>
  <c r="AK818" i="3" l="1"/>
  <c r="AF819" i="3"/>
  <c r="AK819" i="3" l="1"/>
  <c r="AF820" i="3"/>
  <c r="AF821" i="3" l="1"/>
  <c r="AK820" i="3"/>
  <c r="AF822" i="3" l="1"/>
  <c r="AK821" i="3"/>
  <c r="AF823" i="3" l="1"/>
  <c r="AK822" i="3"/>
  <c r="AK823" i="3" l="1"/>
  <c r="AF824" i="3"/>
  <c r="AF825" i="3" l="1"/>
  <c r="AK824" i="3"/>
  <c r="AK825" i="3" l="1"/>
  <c r="AF826" i="3"/>
  <c r="AF827" i="3" l="1"/>
  <c r="AK826" i="3"/>
  <c r="AK827" i="3" l="1"/>
  <c r="AF828" i="3"/>
  <c r="AF829" i="3" l="1"/>
  <c r="AK828" i="3"/>
  <c r="AF830" i="3" l="1"/>
  <c r="AK829" i="3"/>
  <c r="AF831" i="3" l="1"/>
  <c r="AK830" i="3"/>
  <c r="AK831" i="3" l="1"/>
  <c r="AF832" i="3"/>
  <c r="AF833" i="3" l="1"/>
  <c r="AK832" i="3"/>
  <c r="AF834" i="3" l="1"/>
  <c r="AK833" i="3"/>
  <c r="AK834" i="3" l="1"/>
  <c r="AF835" i="3"/>
  <c r="AK835" i="3" l="1"/>
  <c r="AF836" i="3"/>
  <c r="AF837" i="3" l="1"/>
  <c r="AK836" i="3"/>
  <c r="AF838" i="3" l="1"/>
  <c r="AK837" i="3"/>
  <c r="AF839" i="3" l="1"/>
  <c r="AK838" i="3"/>
  <c r="AK839" i="3" l="1"/>
  <c r="AF840" i="3"/>
  <c r="AF841" i="3" l="1"/>
  <c r="AK840" i="3"/>
  <c r="AF842" i="3" l="1"/>
  <c r="AK841" i="3"/>
  <c r="AF843" i="3" l="1"/>
  <c r="AK842" i="3"/>
  <c r="AK843" i="3" l="1"/>
  <c r="AF844" i="3"/>
  <c r="AF845" i="3" l="1"/>
  <c r="AK844" i="3"/>
  <c r="AF846" i="3" l="1"/>
  <c r="AK845" i="3"/>
  <c r="AF847" i="3" l="1"/>
  <c r="AK846" i="3"/>
  <c r="AK847" i="3" l="1"/>
  <c r="AF848" i="3"/>
  <c r="AF849" i="3" l="1"/>
  <c r="AK848" i="3"/>
  <c r="AF850" i="3" l="1"/>
  <c r="AK849" i="3"/>
  <c r="AK850" i="3" l="1"/>
  <c r="AF851" i="3"/>
  <c r="AK851" i="3" l="1"/>
  <c r="AF852" i="3"/>
  <c r="AF853" i="3" l="1"/>
  <c r="AK852" i="3"/>
  <c r="AF854" i="3" l="1"/>
  <c r="AK853" i="3"/>
  <c r="AK854" i="3" l="1"/>
  <c r="AF855" i="3"/>
  <c r="AK855" i="3" l="1"/>
  <c r="AF856" i="3"/>
  <c r="AF857" i="3" l="1"/>
  <c r="AK856" i="3"/>
  <c r="AF858" i="3" l="1"/>
  <c r="AK857" i="3"/>
  <c r="AF859" i="3" l="1"/>
  <c r="AK858" i="3"/>
  <c r="AK859" i="3" l="1"/>
  <c r="AF860" i="3"/>
  <c r="AF861" i="3" l="1"/>
  <c r="AK860" i="3"/>
  <c r="AF862" i="3" l="1"/>
  <c r="AK861" i="3"/>
  <c r="AF863" i="3" l="1"/>
  <c r="AK862" i="3"/>
  <c r="AK863" i="3" l="1"/>
  <c r="AF864" i="3"/>
  <c r="AF865" i="3" l="1"/>
  <c r="AK864" i="3"/>
  <c r="AF866" i="3" l="1"/>
  <c r="AK865" i="3"/>
  <c r="AF867" i="3" l="1"/>
  <c r="AK866" i="3"/>
  <c r="AK867" i="3" l="1"/>
  <c r="AF868" i="3"/>
  <c r="AF869" i="3" l="1"/>
  <c r="AK868" i="3"/>
  <c r="AF870" i="3" l="1"/>
  <c r="AK869" i="3"/>
  <c r="AF871" i="3" l="1"/>
  <c r="AK870" i="3"/>
  <c r="AK871" i="3" l="1"/>
  <c r="AF872" i="3"/>
  <c r="AF873" i="3" l="1"/>
  <c r="AK872" i="3"/>
  <c r="AF874" i="3" l="1"/>
  <c r="AK873" i="3"/>
  <c r="AF875" i="3" l="1"/>
  <c r="AK874" i="3"/>
  <c r="AK875" i="3" l="1"/>
  <c r="AF876" i="3"/>
  <c r="AF877" i="3" l="1"/>
  <c r="AK876" i="3"/>
  <c r="AF878" i="3" l="1"/>
  <c r="AK877" i="3"/>
  <c r="AF879" i="3" l="1"/>
  <c r="AK878" i="3"/>
  <c r="AF880" i="3" l="1"/>
  <c r="AK879" i="3"/>
  <c r="AK880" i="3" l="1"/>
  <c r="AF881" i="3"/>
  <c r="AF882" i="3" l="1"/>
  <c r="AK881" i="3"/>
  <c r="AF883" i="3" l="1"/>
  <c r="AK882" i="3"/>
  <c r="AF884" i="3" l="1"/>
  <c r="AK883" i="3"/>
  <c r="AK884" i="3" l="1"/>
  <c r="AF885" i="3"/>
  <c r="AK885" i="3" l="1"/>
  <c r="AF886" i="3"/>
  <c r="AF887" i="3" l="1"/>
  <c r="AK886" i="3"/>
  <c r="AF888" i="3" l="1"/>
  <c r="AK887" i="3"/>
  <c r="C8" i="6"/>
  <c r="C13" i="6"/>
  <c r="E8" i="8" s="1"/>
  <c r="E5" i="8" l="1"/>
  <c r="C19" i="6"/>
  <c r="AK888" i="3"/>
  <c r="AF889" i="3"/>
  <c r="AF890" i="3" l="1"/>
  <c r="AK889" i="3"/>
  <c r="E9" i="8"/>
  <c r="C23" i="6"/>
  <c r="C20" i="6"/>
  <c r="E10" i="8" s="1"/>
  <c r="AF891" i="3" l="1"/>
  <c r="AK890" i="3"/>
  <c r="AF892" i="3" l="1"/>
  <c r="AK891" i="3"/>
  <c r="AK892" i="3" l="1"/>
  <c r="AF893" i="3"/>
  <c r="AF894" i="3" l="1"/>
  <c r="AK893" i="3"/>
  <c r="AF895" i="3" l="1"/>
  <c r="AK894" i="3"/>
  <c r="AF896" i="3" l="1"/>
  <c r="AK895" i="3"/>
  <c r="AK896" i="3" l="1"/>
  <c r="AF897" i="3"/>
  <c r="AK897" i="3" l="1"/>
  <c r="AF898" i="3"/>
  <c r="AF899" i="3" l="1"/>
  <c r="AK898" i="3"/>
  <c r="AF900" i="3" l="1"/>
  <c r="AK899" i="3"/>
  <c r="AK900" i="3" l="1"/>
  <c r="AF901" i="3"/>
  <c r="AF902" i="3" l="1"/>
  <c r="AK901" i="3"/>
  <c r="AF903" i="3" l="1"/>
  <c r="AK902" i="3"/>
  <c r="AF904" i="3" l="1"/>
  <c r="AK903" i="3"/>
  <c r="AK904" i="3" l="1"/>
  <c r="AF905" i="3"/>
  <c r="AF906" i="3" l="1"/>
  <c r="AK905" i="3"/>
  <c r="AF907" i="3" l="1"/>
  <c r="AK906" i="3"/>
  <c r="AF908" i="3" l="1"/>
  <c r="AK907" i="3"/>
  <c r="AK908" i="3" l="1"/>
  <c r="AF909" i="3"/>
  <c r="AF910" i="3" l="1"/>
  <c r="AK909" i="3"/>
  <c r="AF911" i="3" l="1"/>
  <c r="AK910" i="3"/>
  <c r="AF912" i="3" l="1"/>
  <c r="AK911" i="3"/>
  <c r="AK912" i="3" l="1"/>
  <c r="AF913" i="3"/>
  <c r="AF914" i="3" l="1"/>
  <c r="AK913" i="3"/>
  <c r="AF915" i="3" l="1"/>
  <c r="AK914" i="3"/>
  <c r="AF916" i="3" l="1"/>
  <c r="AK915" i="3"/>
  <c r="AK916" i="3" l="1"/>
  <c r="AF917" i="3"/>
  <c r="AF918" i="3" l="1"/>
  <c r="AK917" i="3"/>
  <c r="AF919" i="3" l="1"/>
  <c r="AK918" i="3"/>
  <c r="AK919" i="3" l="1"/>
  <c r="AF920" i="3"/>
  <c r="AK920" i="3" l="1"/>
  <c r="AF921" i="3"/>
  <c r="AF922" i="3" l="1"/>
  <c r="AK921" i="3"/>
  <c r="AF923" i="3" l="1"/>
  <c r="AK922" i="3"/>
  <c r="AK923" i="3" l="1"/>
  <c r="AF924" i="3"/>
  <c r="AK924" i="3" l="1"/>
  <c r="AF925" i="3"/>
  <c r="AF926" i="3" l="1"/>
  <c r="AK925" i="3"/>
  <c r="AF927" i="3" l="1"/>
  <c r="AK926" i="3"/>
  <c r="AF928" i="3" l="1"/>
  <c r="AK927" i="3"/>
  <c r="AK928" i="3" l="1"/>
  <c r="AF929" i="3"/>
  <c r="AF930" i="3" l="1"/>
  <c r="AK929" i="3"/>
  <c r="AF931" i="3" l="1"/>
  <c r="AK930" i="3"/>
  <c r="AF932" i="3" l="1"/>
  <c r="AK931" i="3"/>
  <c r="AK932" i="3" l="1"/>
  <c r="AF933" i="3"/>
  <c r="AF934" i="3" l="1"/>
  <c r="AK933" i="3"/>
  <c r="AF935" i="3" l="1"/>
  <c r="AK934" i="3"/>
  <c r="AK935" i="3" l="1"/>
  <c r="AF936" i="3"/>
  <c r="AK936" i="3" l="1"/>
  <c r="AF937" i="3"/>
  <c r="AF938" i="3" l="1"/>
  <c r="AK937" i="3"/>
  <c r="AF939" i="3" l="1"/>
  <c r="AK938" i="3"/>
  <c r="AF940" i="3" l="1"/>
  <c r="AK939" i="3"/>
  <c r="AK940" i="3" l="1"/>
  <c r="AF941" i="3"/>
  <c r="AF942" i="3" l="1"/>
  <c r="AK941" i="3"/>
  <c r="AF943" i="3" l="1"/>
  <c r="AK942" i="3"/>
  <c r="AF944" i="3" l="1"/>
  <c r="AK943" i="3"/>
  <c r="AK944" i="3" l="1"/>
  <c r="AF945" i="3"/>
  <c r="AF946" i="3" l="1"/>
  <c r="AK945" i="3"/>
  <c r="AK946" i="3" l="1"/>
  <c r="AF947" i="3"/>
  <c r="AF948" i="3" l="1"/>
  <c r="AK947" i="3"/>
  <c r="AF949" i="3" l="1"/>
  <c r="AK948" i="3"/>
  <c r="AF950" i="3" l="1"/>
  <c r="AK949" i="3"/>
  <c r="AK950" i="3" l="1"/>
  <c r="AF951" i="3"/>
  <c r="AF952" i="3" l="1"/>
  <c r="AK951" i="3"/>
  <c r="AF953" i="3" l="1"/>
  <c r="AK952" i="3"/>
  <c r="AK953" i="3" l="1"/>
  <c r="AF954" i="3"/>
  <c r="AF955" i="3" l="1"/>
  <c r="AK954" i="3"/>
  <c r="AF956" i="3" l="1"/>
  <c r="AK955" i="3"/>
  <c r="AK956" i="3" l="1"/>
  <c r="AF957" i="3"/>
  <c r="AK957" i="3" l="1"/>
  <c r="AF958" i="3"/>
  <c r="AF959" i="3" l="1"/>
  <c r="AK958" i="3"/>
  <c r="AF960" i="3" l="1"/>
  <c r="AK959" i="3"/>
  <c r="AK960" i="3" l="1"/>
  <c r="AF961" i="3"/>
  <c r="AF962" i="3" l="1"/>
  <c r="AK961" i="3"/>
  <c r="AK962" i="3" l="1"/>
  <c r="AF963" i="3"/>
  <c r="AF964" i="3" l="1"/>
  <c r="AK963" i="3"/>
  <c r="AF965" i="3" l="1"/>
  <c r="AK964" i="3"/>
  <c r="AF966" i="3" l="1"/>
  <c r="AK965" i="3"/>
  <c r="AK966" i="3" l="1"/>
  <c r="AF967" i="3"/>
  <c r="AF968" i="3" l="1"/>
  <c r="AK967" i="3"/>
  <c r="AF969" i="3" l="1"/>
  <c r="AK968" i="3"/>
  <c r="AF970" i="3" l="1"/>
  <c r="AK969" i="3"/>
  <c r="AK970" i="3" l="1"/>
  <c r="AF971" i="3"/>
  <c r="AF972" i="3" l="1"/>
  <c r="AK971" i="3"/>
  <c r="AF973" i="3" l="1"/>
  <c r="AK972" i="3"/>
  <c r="AK973" i="3" l="1"/>
  <c r="AF974" i="3"/>
  <c r="AF975" i="3" l="1"/>
  <c r="AK974" i="3"/>
  <c r="AF976" i="3" l="1"/>
  <c r="AK975" i="3"/>
  <c r="AF977" i="3" l="1"/>
  <c r="AK976" i="3"/>
  <c r="AK977" i="3" l="1"/>
  <c r="AF978" i="3"/>
  <c r="AK978" i="3" l="1"/>
  <c r="AF979" i="3"/>
  <c r="AF980" i="3" l="1"/>
  <c r="AK979" i="3"/>
  <c r="AF981" i="3" l="1"/>
  <c r="AK980" i="3"/>
  <c r="AK981" i="3" l="1"/>
  <c r="AF982" i="3"/>
  <c r="AK982" i="3" l="1"/>
  <c r="AF983" i="3"/>
  <c r="AF984" i="3" l="1"/>
  <c r="AK983" i="3"/>
  <c r="AF985" i="3" l="1"/>
  <c r="AK984" i="3"/>
  <c r="AK985" i="3" l="1"/>
  <c r="AF986" i="3"/>
  <c r="AK986" i="3" l="1"/>
  <c r="AF987" i="3"/>
  <c r="AF988" i="3" l="1"/>
  <c r="AK987" i="3"/>
  <c r="AF989" i="3" l="1"/>
  <c r="AK988" i="3"/>
  <c r="AK989" i="3" l="1"/>
  <c r="AF990" i="3"/>
  <c r="AK990" i="3" l="1"/>
  <c r="AF991" i="3"/>
  <c r="AF992" i="3" l="1"/>
  <c r="AK991" i="3"/>
  <c r="AF993" i="3" l="1"/>
  <c r="AK992" i="3"/>
  <c r="AK993" i="3" l="1"/>
  <c r="AF994" i="3"/>
  <c r="AK994" i="3" l="1"/>
  <c r="AF995" i="3"/>
  <c r="AF996" i="3" l="1"/>
  <c r="AK995" i="3"/>
  <c r="AF997" i="3" l="1"/>
  <c r="AK996" i="3"/>
  <c r="AK997" i="3" l="1"/>
  <c r="AF998" i="3"/>
  <c r="AK998" i="3" l="1"/>
  <c r="AF999" i="3"/>
  <c r="AF1000" i="3" l="1"/>
  <c r="AK999" i="3"/>
  <c r="AF1001" i="3" l="1"/>
  <c r="AK1000" i="3"/>
  <c r="AK1001" i="3" l="1"/>
  <c r="AF1002" i="3"/>
  <c r="AF1003" i="3" l="1"/>
  <c r="AK1002" i="3"/>
  <c r="AF1004" i="3" l="1"/>
  <c r="AK1003" i="3"/>
  <c r="AF1005" i="3" l="1"/>
  <c r="AK1004" i="3"/>
  <c r="AF1006" i="3" l="1"/>
  <c r="AK1005" i="3"/>
  <c r="AK1006" i="3" l="1"/>
  <c r="AF1007" i="3"/>
  <c r="AK1007" i="3" l="1"/>
  <c r="AF1008" i="3"/>
  <c r="AF1009" i="3" l="1"/>
  <c r="AK1008" i="3"/>
  <c r="AF1010" i="3" l="1"/>
  <c r="AK1009" i="3"/>
  <c r="AK1010" i="3" l="1"/>
  <c r="AF1011" i="3"/>
  <c r="AF1012" i="3" l="1"/>
  <c r="AK1011" i="3"/>
  <c r="AF1013" i="3" l="1"/>
  <c r="AK1012" i="3"/>
  <c r="AK1013" i="3" l="1"/>
  <c r="AF1014" i="3"/>
  <c r="AF1015" i="3" l="1"/>
  <c r="AK1014" i="3"/>
  <c r="AF1016" i="3" l="1"/>
  <c r="AK1015" i="3"/>
  <c r="AK1016" i="3" l="1"/>
  <c r="AF1017" i="3"/>
  <c r="AF1018" i="3" l="1"/>
  <c r="AK1017" i="3"/>
  <c r="AF1019" i="3" l="1"/>
  <c r="AK1018" i="3"/>
  <c r="AK1019" i="3" l="1"/>
  <c r="AF1020" i="3"/>
  <c r="AK1020" i="3" l="1"/>
  <c r="AF1021" i="3"/>
  <c r="AF1022" i="3" l="1"/>
  <c r="AK1021" i="3"/>
  <c r="AF1023" i="3" l="1"/>
  <c r="AK1022" i="3"/>
  <c r="AF1024" i="3" l="1"/>
  <c r="AK1023" i="3"/>
  <c r="AF1025" i="3" l="1"/>
  <c r="AK1024" i="3"/>
  <c r="AF1026" i="3" l="1"/>
  <c r="AK1025" i="3"/>
  <c r="AF1027" i="3" l="1"/>
  <c r="AK1026" i="3"/>
  <c r="AF1028" i="3" l="1"/>
  <c r="AK1027" i="3"/>
  <c r="AF1029" i="3" l="1"/>
  <c r="AK1028" i="3"/>
  <c r="AK1029" i="3" l="1"/>
  <c r="AF1030" i="3"/>
  <c r="AF1031" i="3" l="1"/>
  <c r="AK1030" i="3"/>
  <c r="AF1032" i="3" l="1"/>
  <c r="AK1031" i="3"/>
  <c r="AK1032" i="3" l="1"/>
  <c r="AF1033" i="3"/>
  <c r="AK1033" i="3" l="1"/>
  <c r="AF1034" i="3"/>
  <c r="AF1035" i="3" l="1"/>
  <c r="AK1034" i="3"/>
  <c r="AF1036" i="3" l="1"/>
  <c r="AK1035" i="3"/>
  <c r="AF1037" i="3" l="1"/>
  <c r="AK1036" i="3"/>
  <c r="AK1037" i="3" l="1"/>
  <c r="AF1038" i="3"/>
  <c r="AF1039" i="3" l="1"/>
  <c r="AK1038" i="3"/>
  <c r="AK1039" i="3" l="1"/>
  <c r="AF1040" i="3"/>
  <c r="AK1040" i="3" l="1"/>
  <c r="AF1041" i="3"/>
  <c r="AF1042" i="3" l="1"/>
  <c r="AK1041" i="3"/>
  <c r="AK1042" i="3" l="1"/>
  <c r="AF1043" i="3"/>
  <c r="AK1043" i="3" l="1"/>
  <c r="AF1044" i="3"/>
  <c r="AK1044" i="3" l="1"/>
  <c r="AF1045" i="3"/>
  <c r="AF1046" i="3" l="1"/>
  <c r="AK1045" i="3"/>
  <c r="AK1046" i="3" l="1"/>
  <c r="AF1047" i="3"/>
  <c r="AF1048" i="3" l="1"/>
  <c r="AK1047" i="3"/>
  <c r="AF1049" i="3" l="1"/>
  <c r="AK1048" i="3"/>
  <c r="AF1050" i="3" l="1"/>
  <c r="AK1049" i="3"/>
  <c r="AK1050" i="3" l="1"/>
  <c r="AF1051" i="3"/>
  <c r="AF1052" i="3" l="1"/>
  <c r="AK1051" i="3"/>
  <c r="AF1053" i="3" l="1"/>
  <c r="AK1052" i="3"/>
  <c r="AF1054" i="3" l="1"/>
  <c r="AK1053" i="3"/>
  <c r="AF1055" i="3" l="1"/>
  <c r="AK1054" i="3"/>
  <c r="AK1055" i="3" l="1"/>
  <c r="AF1056" i="3"/>
  <c r="AF1057" i="3" l="1"/>
  <c r="AK1056" i="3"/>
  <c r="AK1057" i="3" l="1"/>
  <c r="AF1058" i="3"/>
  <c r="AF1059" i="3" l="1"/>
  <c r="AK1058" i="3"/>
  <c r="AF1060" i="3" l="1"/>
  <c r="AK1059" i="3"/>
  <c r="AK1060" i="3" l="1"/>
  <c r="AF1061" i="3"/>
  <c r="AK1061" i="3" l="1"/>
  <c r="AF1062" i="3"/>
  <c r="AF1063" i="3" l="1"/>
  <c r="AK1062" i="3"/>
  <c r="AF1064" i="3" l="1"/>
  <c r="AK1063" i="3"/>
  <c r="AK1064" i="3" l="1"/>
  <c r="AF1065" i="3"/>
  <c r="AF1066" i="3" l="1"/>
  <c r="AK1065" i="3"/>
  <c r="AK1066" i="3" l="1"/>
  <c r="AF1067" i="3"/>
  <c r="AK1067" i="3" l="1"/>
  <c r="AF1068" i="3"/>
  <c r="AF1069" i="3" l="1"/>
  <c r="AK1068" i="3"/>
  <c r="AF1070" i="3" l="1"/>
  <c r="AK1069" i="3"/>
  <c r="AK1070" i="3" l="1"/>
  <c r="AF1071" i="3"/>
  <c r="AF1072" i="3" l="1"/>
  <c r="AK1071" i="3"/>
  <c r="AF1073" i="3" l="1"/>
  <c r="AK1072" i="3"/>
  <c r="AF1074" i="3" l="1"/>
  <c r="AK1073" i="3"/>
  <c r="AK1074" i="3" l="1"/>
  <c r="AF1075" i="3"/>
  <c r="AK1075" i="3" l="1"/>
  <c r="AF1076" i="3"/>
  <c r="AF1077" i="3" l="1"/>
  <c r="AK1076" i="3"/>
  <c r="AF1078" i="3" l="1"/>
  <c r="AK1077" i="3"/>
  <c r="AK1078" i="3" l="1"/>
  <c r="AF1079" i="3"/>
  <c r="AF1080" i="3" l="1"/>
  <c r="AK1079" i="3"/>
  <c r="AK1080" i="3" l="1"/>
  <c r="AF1081" i="3"/>
  <c r="AK1081" i="3" l="1"/>
  <c r="AF1082" i="3"/>
  <c r="AK1082" i="3" l="1"/>
  <c r="AF1083" i="3"/>
  <c r="AK1083" i="3" l="1"/>
  <c r="AF1084" i="3"/>
  <c r="AF1085" i="3" l="1"/>
  <c r="AK1084" i="3"/>
  <c r="AF1086" i="3" l="1"/>
  <c r="AK1085" i="3"/>
  <c r="AK1086" i="3" l="1"/>
  <c r="AF1087" i="3"/>
  <c r="AK1087" i="3" l="1"/>
  <c r="AF1088" i="3"/>
  <c r="AF1089" i="3" l="1"/>
  <c r="AK1088" i="3"/>
  <c r="AK1089" i="3" l="1"/>
  <c r="AF1090" i="3"/>
  <c r="AK1090" i="3" l="1"/>
  <c r="AF1091" i="3"/>
  <c r="AK1091" i="3" l="1"/>
  <c r="AF1092" i="3"/>
  <c r="AF1093" i="3" l="1"/>
  <c r="AK1092" i="3"/>
  <c r="AF1094" i="3" l="1"/>
  <c r="AK1093" i="3"/>
  <c r="AK1094" i="3" l="1"/>
  <c r="AF1095" i="3"/>
  <c r="AF1096" i="3" l="1"/>
  <c r="AK1095" i="3"/>
  <c r="AF1097" i="3" l="1"/>
  <c r="AK1096" i="3"/>
  <c r="AK1097" i="3" l="1"/>
  <c r="AF1098" i="3"/>
  <c r="AK1098" i="3" l="1"/>
  <c r="AF1099" i="3"/>
  <c r="AK1099" i="3" l="1"/>
  <c r="AF1100" i="3"/>
  <c r="AF1101" i="3" l="1"/>
  <c r="AK1100" i="3"/>
  <c r="AF1102" i="3" l="1"/>
  <c r="AK1101" i="3"/>
  <c r="AK1102" i="3" l="1"/>
  <c r="AF1103" i="3"/>
  <c r="AK1103" i="3" l="1"/>
  <c r="AF1104" i="3"/>
  <c r="AF1105" i="3" l="1"/>
  <c r="AK1104" i="3"/>
  <c r="AK1105" i="3" l="1"/>
  <c r="AF1106" i="3"/>
  <c r="AK1106" i="3" l="1"/>
  <c r="AF1107" i="3"/>
  <c r="AK1107" i="3" l="1"/>
  <c r="AF1108" i="3"/>
  <c r="AF1109" i="3" l="1"/>
  <c r="AK1108" i="3"/>
  <c r="AF1110" i="3" l="1"/>
  <c r="AK1109" i="3"/>
  <c r="AK1110" i="3" l="1"/>
  <c r="AF1111" i="3"/>
  <c r="AF1112" i="3" l="1"/>
  <c r="AK1111" i="3"/>
  <c r="AF1113" i="3" l="1"/>
  <c r="AK1112" i="3"/>
  <c r="AF1114" i="3" l="1"/>
  <c r="AK1113" i="3"/>
  <c r="AK1114" i="3" l="1"/>
  <c r="AF1115" i="3"/>
  <c r="AF1116" i="3" l="1"/>
  <c r="AK1115" i="3"/>
  <c r="AK1116" i="3" l="1"/>
  <c r="AF1117" i="3"/>
  <c r="AK1117" i="3" l="1"/>
  <c r="AF1118" i="3"/>
  <c r="AK1118" i="3" l="1"/>
  <c r="AF1119" i="3"/>
  <c r="AK1119" i="3" l="1"/>
  <c r="AF1120" i="3"/>
  <c r="AF1121" i="3" l="1"/>
  <c r="AK1120" i="3"/>
  <c r="AK1121" i="3" l="1"/>
  <c r="AF1122" i="3"/>
  <c r="AK1122" i="3" l="1"/>
  <c r="AF1123" i="3"/>
  <c r="AK1123" i="3" l="1"/>
  <c r="AF1124" i="3"/>
  <c r="AF1125" i="3" l="1"/>
  <c r="AK1124" i="3"/>
  <c r="AK1125" i="3" l="1"/>
  <c r="AF1126" i="3"/>
  <c r="AK1126" i="3" l="1"/>
  <c r="AF1127" i="3"/>
  <c r="AF1128" i="3" l="1"/>
  <c r="AK1127" i="3"/>
  <c r="AK1128" i="3" l="1"/>
  <c r="AF1129" i="3"/>
  <c r="AF1130" i="3" l="1"/>
  <c r="AK1129" i="3"/>
  <c r="AK1130" i="3" l="1"/>
  <c r="AF1131" i="3"/>
  <c r="AK1131" i="3" l="1"/>
  <c r="AF1132" i="3"/>
  <c r="AF1133" i="3" l="1"/>
  <c r="AK1132" i="3"/>
  <c r="AK1133" i="3" l="1"/>
  <c r="AF1134" i="3"/>
  <c r="AK1134" i="3" l="1"/>
  <c r="AF1135" i="3"/>
  <c r="AF1136" i="3" l="1"/>
  <c r="AK1135" i="3"/>
  <c r="AK1136" i="3" l="1"/>
  <c r="AF1137" i="3"/>
  <c r="AK1137" i="3" l="1"/>
  <c r="B8" i="5"/>
  <c r="B8" i="7"/>
  <c r="B8" i="6"/>
  <c r="B13" i="7"/>
  <c r="B13" i="5"/>
  <c r="B13" i="6"/>
  <c r="C8" i="7"/>
  <c r="C13" i="7"/>
  <c r="G8" i="8" s="1"/>
  <c r="G5" i="8" l="1"/>
  <c r="C19" i="7"/>
  <c r="B55" i="6"/>
  <c r="D55" i="6" s="1"/>
  <c r="D8" i="8"/>
  <c r="B8" i="8"/>
  <c r="B55" i="5"/>
  <c r="D55" i="5" s="1"/>
  <c r="F8" i="8"/>
  <c r="B55" i="7"/>
  <c r="D55" i="7" s="1"/>
  <c r="D5" i="8"/>
  <c r="B19" i="6"/>
  <c r="B5" i="8"/>
  <c r="B19" i="5"/>
  <c r="F5" i="8"/>
  <c r="B19" i="7"/>
  <c r="F55" i="5" l="1"/>
  <c r="B27" i="8"/>
  <c r="D27" i="8"/>
  <c r="F55" i="6"/>
  <c r="B22" i="6"/>
  <c r="D9" i="8"/>
  <c r="B57" i="6"/>
  <c r="D57" i="6" s="1"/>
  <c r="B20" i="6"/>
  <c r="D10" i="8" s="1"/>
  <c r="B22" i="7"/>
  <c r="B57" i="7"/>
  <c r="D57" i="7" s="1"/>
  <c r="B20" i="7"/>
  <c r="F10" i="8" s="1"/>
  <c r="F9" i="8"/>
  <c r="C23" i="7"/>
  <c r="C20" i="7"/>
  <c r="G10" i="8" s="1"/>
  <c r="G9" i="8"/>
  <c r="F27" i="8"/>
  <c r="F55" i="7"/>
  <c r="B9" i="8"/>
  <c r="B20" i="5"/>
  <c r="B10" i="8" s="1"/>
  <c r="B57" i="5"/>
  <c r="D57" i="5" s="1"/>
  <c r="B22" i="5"/>
  <c r="F57" i="7" l="1"/>
  <c r="F29" i="8"/>
  <c r="B29" i="8"/>
  <c r="F57" i="5"/>
  <c r="F57" i="6"/>
  <c r="D29" i="8"/>
  <c r="B19" i="4"/>
  <c r="B20" i="4"/>
  <c r="B21" i="4"/>
  <c r="A23" i="4"/>
  <c r="B27" i="5"/>
  <c r="B27" i="7"/>
  <c r="B27" i="6"/>
  <c r="C27" i="5"/>
  <c r="C27" i="6"/>
  <c r="C28" i="5"/>
  <c r="C33" i="5"/>
  <c r="C29" i="5"/>
  <c r="C31" i="5"/>
  <c r="B28" i="5"/>
  <c r="B29" i="5"/>
  <c r="B31" i="5"/>
  <c r="B56" i="5"/>
  <c r="D56" i="5"/>
  <c r="F56" i="5"/>
  <c r="B28" i="8"/>
  <c r="C11" i="8"/>
  <c r="C28" i="6"/>
  <c r="C29" i="6"/>
  <c r="C31" i="6"/>
  <c r="B28" i="6"/>
  <c r="B29" i="6"/>
  <c r="B31" i="6"/>
  <c r="B56" i="6"/>
  <c r="D56" i="6"/>
  <c r="F56" i="6"/>
  <c r="D28" i="8"/>
  <c r="E11" i="8"/>
  <c r="C33" i="6"/>
  <c r="C27" i="7"/>
  <c r="B11" i="8"/>
  <c r="B32" i="5"/>
  <c r="C28" i="7"/>
  <c r="C33" i="7"/>
  <c r="C29" i="7"/>
  <c r="C31" i="7"/>
  <c r="B28" i="7"/>
  <c r="B29" i="7"/>
  <c r="B31" i="7"/>
  <c r="B56" i="7"/>
  <c r="D56" i="7"/>
  <c r="F28" i="8"/>
  <c r="F56" i="7"/>
  <c r="G11" i="8"/>
  <c r="B32" i="7"/>
  <c r="F11" i="8"/>
  <c r="D11" i="8"/>
  <c r="B32" i="6"/>
  <c r="D60" i="6"/>
  <c r="D30" i="8"/>
  <c r="D61" i="6"/>
  <c r="D31" i="8"/>
  <c r="D60" i="7"/>
  <c r="F30" i="8"/>
  <c r="D61" i="7"/>
  <c r="F31" i="8"/>
  <c r="D60" i="5"/>
  <c r="B30" i="8"/>
  <c r="D61" i="5"/>
  <c r="B31" i="8"/>
</calcChain>
</file>

<file path=xl/sharedStrings.xml><?xml version="1.0" encoding="utf-8"?>
<sst xmlns="http://schemas.openxmlformats.org/spreadsheetml/2006/main" count="5476" uniqueCount="687">
  <si>
    <t>Regression Centroids (Box B): 4</t>
  </si>
  <si>
    <t>Excluded Recent Centroids (Box A): 2</t>
  </si>
  <si>
    <t>Math Search Window (Bars): 3000</t>
  </si>
  <si>
    <t>Visual EDT Window (Bars): 1496</t>
  </si>
  <si>
    <t>Observation Window (Box B Bars): 1135</t>
  </si>
  <si>
    <t>Total 171 Crossings (n): 107</t>
  </si>
  <si>
    <t>Timeframe (Sec): 900</t>
  </si>
  <si>
    <t>Raw Slope (b): -0.26760</t>
  </si>
  <si>
    <t>Regression Angle: -29.73</t>
  </si>
  <si>
    <t>Anchored Y-Int: 4417.30201</t>
  </si>
  <si>
    <t>[MODEL A; CROSSINGS]</t>
  </si>
  <si>
    <t>Sample (n): 107</t>
  </si>
  <si>
    <t>R-Square: 0.8055</t>
  </si>
  <si>
    <t>MSE: 1722.1930</t>
  </si>
  <si>
    <t>Var Ratio: 1.95</t>
  </si>
  <si>
    <t>Skewness: -0.21</t>
  </si>
  <si>
    <t>Kurtosis: 2.21</t>
  </si>
  <si>
    <t>[MODEL B; CLOSE PRICE]</t>
  </si>
  <si>
    <t>Sample (n): 1135</t>
  </si>
  <si>
    <t>R-Square: 0.7958</t>
  </si>
  <si>
    <t>MSE: 1661.0493</t>
  </si>
  <si>
    <t>Var Ratio: 2.30</t>
  </si>
  <si>
    <t>Skewness: -0.22</t>
  </si>
  <si>
    <t>Kurtosis: 2.33</t>
  </si>
  <si>
    <t>MQL DATA EXPORT</t>
  </si>
  <si>
    <t>SW_Base_FL2 Sheet</t>
  </si>
  <si>
    <t>JB_BaseFL2 Sheet</t>
  </si>
  <si>
    <t>BP_BaseFL2 Sheet</t>
  </si>
  <si>
    <t>White_BaseFL2</t>
  </si>
  <si>
    <t>timestamp</t>
  </si>
  <si>
    <t>symbol</t>
  </si>
  <si>
    <t>timeframe</t>
  </si>
  <si>
    <t>close</t>
  </si>
  <si>
    <t>CEN_0</t>
  </si>
  <si>
    <t>CEN_1</t>
  </si>
  <si>
    <t>CEN_2</t>
  </si>
  <si>
    <t>CEN_3</t>
  </si>
  <si>
    <t>CEN_4</t>
  </si>
  <si>
    <t>CEN_5</t>
  </si>
  <si>
    <t>CEN_6</t>
  </si>
  <si>
    <t>CEN_7</t>
  </si>
  <si>
    <t>CEN_8</t>
  </si>
  <si>
    <t>CEN_9</t>
  </si>
  <si>
    <t>CEN_10</t>
  </si>
  <si>
    <t>CEN_11</t>
  </si>
  <si>
    <t>Base_FL</t>
  </si>
  <si>
    <t>EDT_1</t>
  </si>
  <si>
    <t>EDT_2</t>
  </si>
  <si>
    <t>EDT_3</t>
  </si>
  <si>
    <t>EDT_4</t>
  </si>
  <si>
    <t>EDT_5</t>
  </si>
  <si>
    <t>EDT_6</t>
  </si>
  <si>
    <t>EDT_7</t>
  </si>
  <si>
    <t>EDT_8</t>
  </si>
  <si>
    <t>horiz_high_map</t>
  </si>
  <si>
    <t>horiz_low_map</t>
  </si>
  <si>
    <t>ssa</t>
  </si>
  <si>
    <t>ema_ssa</t>
  </si>
  <si>
    <t>crossing</t>
  </si>
  <si>
    <t>i</t>
  </si>
  <si>
    <t>Bar Index</t>
  </si>
  <si>
    <t>SSA</t>
  </si>
  <si>
    <t>Base_FL (MQL5)</t>
  </si>
  <si>
    <t>Residual eᵢ</t>
  </si>
  <si>
    <t>eᵢ²</t>
  </si>
  <si>
    <t>Close</t>
  </si>
  <si>
    <t>eᵢ</t>
  </si>
  <si>
    <t>(eᵢ/σ)³</t>
  </si>
  <si>
    <t>(eᵢ/σ)⁴</t>
  </si>
  <si>
    <t>Bar Index (X)</t>
  </si>
  <si>
    <t>eᵢ² (dep.var.)</t>
  </si>
  <si>
    <t>X²</t>
  </si>
  <si>
    <t>XAUUSD</t>
  </si>
  <si>
    <t>M15</t>
  </si>
  <si>
    <t>Jarque-Bera Test and White's Test</t>
  </si>
  <si>
    <t>SSA Last Cross</t>
  </si>
  <si>
    <t>SSA Cross Dist</t>
  </si>
  <si>
    <t>""</t>
  </si>
  <si>
    <t>Helper Values  (used by formulas below)</t>
  </si>
  <si>
    <t>σ  =  SQRT(AVERAGE(eᵢ²))   [population std dev of residuals]</t>
  </si>
  <si>
    <t>n  =  COUNT(eᵢ)   [number of observations]</t>
  </si>
  <si>
    <t>Jarque-Bera Test  (residual eᵢ = close − Base_FL)</t>
  </si>
  <si>
    <t>α  (significance level)</t>
  </si>
  <si>
    <t>n  (sample size)</t>
  </si>
  <si>
    <t>Skewness  S  =  SKEW(eᵢ)
[Excel SKEW = bias-corrected Fisher skewness; matches scipy.stats.skew]</t>
  </si>
  <si>
    <t>Excess Kurtosis  K−3  =  KURT(eᵢ)
[Excel KURT returns K−3 directly; matches scipy.stats.kurtosis]</t>
  </si>
  <si>
    <t>JB statistic  =  (n/6) × [ S²  +  (K−3)²/4 ]</t>
  </si>
  <si>
    <t>p-value  =  CHIDIST(JB, 2)   [right-tail chi-squared, df=2]</t>
  </si>
  <si>
    <t>Critical χ²(df=2, α)  =  CHIINV(α, 2)</t>
  </si>
  <si>
    <t>White's Test  (residual eᵢ = close − Base_FL)</t>
  </si>
  <si>
    <t>Auxiliary regression:  eᵢ²  ~  β₀ + β₁·(Bar Index) + β₂·(Bar Index²)   [Data Export2 Refine cols AH, AF, AK]</t>
  </si>
  <si>
    <t>R²_aux  =  INDEX(LINEST(eᵢ²,{Bar Index, Bar Index²},TRUE,TRUE), 3, 1)
[Row 3, col 1 of LINEST stats matrix = R² of auxiliary regression]</t>
  </si>
  <si>
    <t>White LM  =  n × R²_aux</t>
  </si>
  <si>
    <t>p-value  =  CHIDIST(LM, 2)   [right-tail chi-squared, df=2]</t>
  </si>
  <si>
    <t>MACD Hybrid v2 (8-Dim) — MACD_H2_Int1</t>
  </si>
  <si>
    <t>SLOW Window: Bars 136–1135  (n=1000, anchored from bar 136)</t>
  </si>
  <si>
    <t>FAST Window: Bars 386–635  (n=250, sliding)</t>
  </si>
  <si>
    <t>8-Dim model. REI two-sided (below + above) with symmetric anchor = (|EDT_outermost_below| + EDT_outermost_above) / 2 — robust to Base_FL asymmetry. SCD = SSA crossing-to-crossing distance (position-agnostic). Col E = editable threshold. Col F = ALERT when threshold crossed.</t>
  </si>
  <si>
    <t>Metric</t>
  </si>
  <si>
    <t>SLOW</t>
  </si>
  <si>
    <t>FAST</t>
  </si>
  <si>
    <t>Score</t>
  </si>
  <si>
    <t>Threshold</t>
  </si>
  <si>
    <t>Alert</t>
  </si>
  <si>
    <t>── Structural &amp; Mean-Reversion Metrics ──</t>
  </si>
  <si>
    <t>n (observations)</t>
  </si>
  <si>
    <t>Variance  E[eᵢ²]</t>
  </si>
  <si>
    <t>σ_rms  (RMS of residuals)</t>
  </si>
  <si>
    <t>HL Alpha  (AR1 no-const)</t>
  </si>
  <si>
    <t>Half-Life (bars)</t>
  </si>
  <si>
    <t>R²(close ~ BarIdx)  — linear trend quality</t>
  </si>
  <si>
    <t>── Jarque-Bera Normality Test  (on eᵢ) ──</t>
  </si>
  <si>
    <t>Significance level α</t>
  </si>
  <si>
    <t>Skewness  S  (SKEW)</t>
  </si>
  <si>
    <t>Excess Kurtosis  K-3  (KURT)</t>
  </si>
  <si>
    <t>JB Statistic  = n/6·(S²+(K-3)²/4)</t>
  </si>
  <si>
    <t>p-value  (CHIDIST, df=2)</t>
  </si>
  <si>
    <t>Critical value  χ²(α,2)  (CHIINV)</t>
  </si>
  <si>
    <t>JB Decision (Slow)</t>
  </si>
  <si>
    <t>JB Decision (Fast)</t>
  </si>
  <si>
    <t>── White's Heteroscedasticity Test  (on eᵢ) ──</t>
  </si>
  <si>
    <t>R²_aux  (eᵢ² ~ BarIdx + BarIdx²)</t>
  </si>
  <si>
    <t>LM = n × R²_aux</t>
  </si>
  <si>
    <t>log₁₀(p_White)</t>
  </si>
  <si>
    <t>White's Decision (Slow)</t>
  </si>
  <si>
    <t>White's Decision (Fast)</t>
  </si>
  <si>
    <t>── EDT Extremity  (REI — two-sided, Symmetric Anchor) ──</t>
  </si>
  <si>
    <t>Outermost Below EDT offset  (EDT_8→EDT_7→EDT_6 fallback)  [negative]</t>
  </si>
  <si>
    <t>Outermost Above EDT offset  (EDT_4→EDT_3→EDT_2→EDT_1 fallback)  [positive]</t>
  </si>
  <si>
    <t>Symmetric Anchor  =  (|EDT_below| + EDT_above) / 2  — scale reference</t>
  </si>
  <si>
    <t>REI_below  =  min(eᵢ) / Sym_anchor  [negative → below extreme]</t>
  </si>
  <si>
    <t>REI_above  =  max(eᵢ) / Sym_anchor  [positive → above extreme]</t>
  </si>
  <si>
    <t>max(eᵢ)  — informational</t>
  </si>
  <si>
    <t>min(eᵢ)  — informational</t>
  </si>
  <si>
    <t>── SSA Crossing Distance  (SCD — position-agnostic swing amplitude) ──</t>
  </si>
  <si>
    <t>n crossings  (SSA ↔ EMA-SSA in window)</t>
  </si>
  <si>
    <t>SCD mean  =  avg |SSA_cross_i − SSA_cross_{i-1}|</t>
  </si>
  <si>
    <t>← scored. Detects large swings anywhere in EDT channel, independent of Base_FL.</t>
  </si>
  <si>
    <t>SCD max  =  largest single crossing swing  (informational)</t>
  </si>
  <si>
    <t>── Individual Scores &amp; Threshold Flags  —  8 Dimensions ──</t>
  </si>
  <si>
    <t>Metric  [weight]</t>
  </si>
  <si>
    <t>Ratio / Signal</t>
  </si>
  <si>
    <t>Score  (−100 to +100)</t>
  </si>
  <si>
    <t>Threshold ← edit</t>
  </si>
  <si>
    <t>Half-Life ratio (fast/slow)  — mean reversion speed   [weight=25%]</t>
  </si>
  <si>
    <t>Variance Ratio (fast/slow)  — variance divergence   [weight=10%]</t>
  </si>
  <si>
    <t>REI_below ratio (fast/slow)  — oversold extreme retreat  [bullish]   [weight=10%]</t>
  </si>
  <si>
    <t>REI_above ratio (fast/slow)  — overbought extreme retreat  [bearish]   [weight=10%]</t>
  </si>
  <si>
    <t>SCD ratio (fast mean / slow mean)  — swing intensity   [weight=20%]</t>
  </si>
  <si>
    <t>R²_close ratio (fast/slow)  — trend coherence   [weight=10%]</t>
  </si>
  <si>
    <t>White's  Δlog₁₀p (fast−slow)  — heteroscedasticity   [weight=10%]</t>
  </si>
  <si>
    <t>JB ratio (fast/slow)  — residual normality   [weight=5%]</t>
  </si>
  <si>
    <t>── Composite Score  (secondary context) ──</t>
  </si>
  <si>
    <t>Composite Score (8D)  [HL=25 VR=10 REI_b=10 REI_a=10 SCD=20 R²=10 W=10 JB=5]</t>
  </si>
  <si>
    <t>Composite Interpretation  (secondary — individual flags are primary)</t>
  </si>
  <si>
    <t>MACD Hybrid v2 (8-Dim) — MACD_H2_Int2</t>
  </si>
  <si>
    <t>FAST Window: Bars 636–885  (n=250, sliding)</t>
  </si>
  <si>
    <t>MACD Hybrid v2 (8-Dim) — MACD_H2_Int3</t>
  </si>
  <si>
    <t>FAST Window: Bars 886–1135  (n=250, sliding)</t>
  </si>
  <si>
    <t>MACD Hybrid v2 — 8-Dim Comparison  |  Int1 / Int2 / Int3</t>
  </si>
  <si>
    <t>Weights: HL=25%  VR=10%  REI_below=10%  REI_above=10%  SCD=20%  R²=10%  White=10%  JB=5%  |  REI two-sided with symmetric anchor. SCD = SSA crossing amplitude (position-agnostic). Individual threshold flags in each interval sheet (col E=threshold, col F=alert).</t>
  </si>
  <si>
    <t>Int1 SLOW</t>
  </si>
  <si>
    <t>Int1 FAST</t>
  </si>
  <si>
    <t>Int2 SLOW</t>
  </si>
  <si>
    <t>Int2 FAST</t>
  </si>
  <si>
    <t>Int3 SLOW</t>
  </si>
  <si>
    <t>Int3 FAST</t>
  </si>
  <si>
    <t>── METRIC VALUES ──</t>
  </si>
  <si>
    <t>n (obs)</t>
  </si>
  <si>
    <t>σ_rms</t>
  </si>
  <si>
    <t>R²(close~BarIdx)</t>
  </si>
  <si>
    <t>JB Statistic</t>
  </si>
  <si>
    <t>p-value JB</t>
  </si>
  <si>
    <t>EDT Offset (below)</t>
  </si>
  <si>
    <t>EDT Offset (above)</t>
  </si>
  <si>
    <t>Symmetric Anchor</t>
  </si>
  <si>
    <t>REI_below</t>
  </si>
  <si>
    <t>REI_above</t>
  </si>
  <si>
    <t>SCD n_crossings</t>
  </si>
  <si>
    <t>SCD mean (swing Δ)</t>
  </si>
  <si>
    <t>SCD max</t>
  </si>
  <si>
    <t>── SCORES  (individual threshold flags → see each interval sheet col E/F) ──</t>
  </si>
  <si>
    <t>Score: HL         [25%]</t>
  </si>
  <si>
    <t>Score: VR         [10%]</t>
  </si>
  <si>
    <t>Score: REI_below  [10%]</t>
  </si>
  <si>
    <t>Score: REI_above  [10%]</t>
  </si>
  <si>
    <t>Score: SCD        [20%]</t>
  </si>
  <si>
    <t>Score: R²         [10%]</t>
  </si>
  <si>
    <t>Score: White      [10%]</t>
  </si>
  <si>
    <t>Score: JB         [ 5%]</t>
  </si>
  <si>
    <t>COMPOSITE SCORE (8D)</t>
  </si>
  <si>
    <t>Interpretation</t>
  </si>
  <si>
    <t>── Trader Narrative (from 8-Dim model) ──</t>
  </si>
  <si>
    <t>Int1  (Bars 386–635): Trend quality collapses (R²_fast≪R²_slow → sc_R2 very negative → R² flag). SCD_fast &lt; SCD_slow — swing amplitude still below average. REI_below mild — price not yet at outer lower fence. First structural warning: downtrend losing linear coherence.</t>
  </si>
  <si>
    <t>Int2  (Bars 636–885): Price touches outermost below EDT band (REI_below_fast ≈ −1.0 vs sym_anchor). One extraordinary large SCD swing (89.9 pts, the double-bottom low). SCD correctly captures this because swing occurred between lower EDT bands, not crossing Base_FL (ABR was blind to this; SCD is not). Sellers exhausted at the symmetric-anchor extreme.</t>
  </si>
  <si>
    <t>Int3  (Bars 886–1135): REI_below score high positive → price retreated from lower extreme. SCD_fast highest of all intervals (mean 22.1 vs slow 17.4, ratio≈1.27, score≈+55). 5 of top-10 largest crossing swings occur here — "extraordinary large swings" confirmed. HL extends to ~96 bars. REI_below and SCD flags both triggered. R² and HL flags confirm structural break. All signals converge: breakout imminent.</t>
  </si>
  <si>
    <t>Design Notes: (1) REI now two-sided: REI_below detects oversold extremes, REI_above detects overbought extremes — both reported independently. (2) Symmetric anchor = (|EDT_outermost_below| + EDT_outermost_above) / 2 — robust to Base_FL positional asymmetry within the EDT channel. (3) Individual threshold flags (col E=threshold editable, col F=ALERT) in each interval sheet: one factor crossing its threshold is a standalone breakout signal, not dependent on composite. Composite is retained as secondary context only.</t>
  </si>
  <si>
    <t>MACD Hybrid v2  —  8-Dimension Signal Guide  |  LLM Knowledge Base for Trader Guidance</t>
  </si>
  <si>
    <t>PURPOSE: This sheet is a knowledge base for LLMs to translate statistical signals into plain-language guidance for non-statistician traders. Each of the 8 model dimensions is mapped to concrete price behaviors, channel context, and actionable guidance. Individual ALERT flags (col E/F in interval sheets) are the PRIMARY signals. Composite score is secondary context. One factor crossing its threshold alone can indicate a high-probability setup.</t>
  </si>
  <si>
    <t>Dimension / Score Range</t>
  </si>
  <si>
    <t>Score Condition</t>
  </si>
  <si>
    <t>What Statistics Show</t>
  </si>
  <si>
    <t>Price Behavior  (Trader View)</t>
  </si>
  <si>
    <t>Signal Type</t>
  </si>
  <si>
    <t>LLM Guidance Text</t>
  </si>
  <si>
    <t>1. HALF-LIFE (HL)</t>
  </si>
  <si>
    <t>DEFINITION:  How quickly price residuals (deviations from the Base_FL regression line) decay back toward zero. Short HL = price snaps back to Base_FL fast (channel is strong). Long HL = price takes a long time to return (channel pull is weakening). Ratio = HL_fast / HL_slow. Score = (1 − ratio) × 100. Alert fires when Score ≥ 50 (HL_fast much shorter than baseline = channel holding tightly).</t>
  </si>
  <si>
    <t>HALF-LIFE</t>
  </si>
  <si>
    <t>Score &gt; +50  ⚑ ALERT
Ratio &lt; 0.5
HL_fast &lt;&lt; HL_slow</t>
  </si>
  <si>
    <t>Mean reversion is dramatically FASTER than the long-term baseline. Price deviations from Base_FL are corrected very quickly. The AR(1) coefficient is unusually strong — residuals do not persist.</t>
  </si>
  <si>
    <t>Price touches an EDT band and immediately bounces back to Base_FL. Oscillations are short and sharp. Each swing is quickly erased. Candles look like they are "magnetically" pulled back to the regression center. Price rarely lingers near the outer EDT lines.</t>
  </si>
  <si>
    <t>CHANNEL HOLD
/ Coiling</t>
  </si>
  <si>
    <t>Price is being aggressively pulled back to its regression center — the channel walls are acting as very strong magnets. This can mean two things: (a) The channel is in full control — range-bound trades from EDT bands back toward Base_FL are favored; (b) A spring is being compressed — when combined with VR compression or SCD alerts, an explosive breakout may follow this tight coiling phase. Do not interpret HL alert alone as a breakout signal; look for companion signals.</t>
  </si>
  <si>
    <t>Score near 0
Ratio ≈ 1.0
HL_fast ≈ HL_slow</t>
  </si>
  <si>
    <t>Mean reversion speed in the recent window matches the long-term average. No significant change in residual persistence.</t>
  </si>
  <si>
    <t>Price oscillates around Base_FL at a historically normal pace. Swings toward EDT bands are followed by typical-speed returns. Nothing unusual — the channel is functioning as expected.</t>
  </si>
  <si>
    <t>NEUTRAL
Normal Channel</t>
  </si>
  <si>
    <t>Price is behaving as expected within its regression channel. Mean reversion is working at its historical pace — no structural change in channel dynamics. No action required from this signal alone.</t>
  </si>
  <si>
    <t>Score &lt; −50
Ratio &gt; 1.5
HL_fast &gt;&gt; HL_slow</t>
  </si>
  <si>
    <t>Mean reversion is much SLOWER than the long-term baseline. Price residuals are more persistent — once price moves away from Base_FL, it takes significantly longer to return than historically expected.</t>
  </si>
  <si>
    <t>Price moves toward an outer EDT band and STAYS there longer than normal. It drifts along the outer channel lines rather than bouncing back promptly. The "rubber band" pull toward Base_FL appears to be weakening. Price is beginning to behave more like a trending instrument than a mean-reverting one.</t>
  </si>
  <si>
    <t>PRE-BREAKOUT
Trend Building</t>
  </si>
  <si>
    <t>The channel's grip on price is loosening. Price is no longer snapping back to its regression center at the usual speed — residuals are becoming persistent. This is an early statistical warning that price may be building toward a directional breakout. The longer price lingers near an outer EDT band without returning, the more likely a breakout becomes. Combine with REI and SCD signals to assess which direction and how close the breakout is.</t>
  </si>
  <si>
    <t>Score &lt; −80
Ratio &gt; 1.8
Extremely slow reversion</t>
  </si>
  <si>
    <t>Mean reversion has nearly stalled. Residuals are highly persistent. The AR(1) coefficient is near zero or positive — price is trending, not oscillating.</t>
  </si>
  <si>
    <t>Price is moving strongly in one direction and not correcting back to Base_FL. It may have already left the current channel structure entirely. EDT bands on one side are being breached repeatedly without a return.</t>
  </si>
  <si>
    <t>BREAKOUT
In Progress</t>
  </si>
  <si>
    <t>The channel's mean-reversion mechanism has effectively failed in the recent window. Price is in trending mode. If already in a position in the direction of the move, consider holding. If looking to enter, be aware that the channel boundaries may no longer act as reliable support/resistance — price may continue beyond the outer EDT bands.</t>
  </si>
  <si>
    <t>2. VARIANCE RATIO (VR)</t>
  </si>
  <si>
    <t>DEFINITION:  Measures how different the recent price swing size (variance of residuals) is from the long-term baseline. VR Score is ALWAYS ≤ 0 — it is a symmetric divergence penalty in either direction. Ratio = Var_fast / Var_slow. Ratio &gt; 1 = swings EXPANDING (bigger moves). Ratio &lt; 1 = swings CONTRACTING (smaller moves). Score = −|ratio − 1| × 100. Alert fires when Score ≤ −50 (fast variance is more than 50% different from long-term baseline, in either direction). IMPORTANT: Always check the Ratio value alongside the score to determine expansion vs. contraction.</t>
  </si>
  <si>
    <t>VARIANCE RATIO</t>
  </si>
  <si>
    <t>Score ≤ −50  ⚑ ALERT
Ratio &gt; 1.5
Fast variance &gt;&gt; Slow
(Expanding)</t>
  </si>
  <si>
    <t>Recent price swings are significantly LARGER than the long-term baseline. The variance of residuals (eᵢ = Close − Base_FL) has expanded dramatically. Price is deviating further from Base_FL than historically expected.</t>
  </si>
  <si>
    <t>Bars are making noticeably bigger moves away from Base_FL. Price is reaching or piercing the outer EDT bands more frequently. ATR has expanded. Candles look bigger. Each oscillation cycle is covering more price distance than the historical norm. The channel is being tested with greater force on both sides.</t>
  </si>
  <si>
    <t>VOLATILITY
EXPANSION</t>
  </si>
  <si>
    <t>Price is moving more aggressively than its historical norm — volatility is building. This is the fuel that drives breakouts. Expanding variance alone does not give direction, but combined with REI_below recovery (price bouncing from lower extreme) it confirms a real directional move is beginning. Widen expected price targets to outer EDT bands or beyond. Tighten stops if already in a position, as larger swings mean larger reversals are also possible.</t>
  </si>
  <si>
    <t>Score ≤ −50  ⚑ ALERT
Ratio &lt; 0.5
Fast variance &lt;&lt; Slow
(Contracting)</t>
  </si>
  <si>
    <t>Recent price swings are significantly SMALLER than the long-term baseline. The variance of residuals has compressed. Price is staying unusually close to Base_FL — deviations are smaller than normal.</t>
  </si>
  <si>
    <t>Tight, narrow oscillations around Base_FL. Price is not reaching the outer EDT bands. Candles look small and quiet. ATR has compressed. Price looks "coiled" or consolidating within a very narrow channel around the regression center. Volume may also be declining.</t>
  </si>
  <si>
    <t>VOLATILITY
COMPRESSION
(Coiling)</t>
  </si>
  <si>
    <t>Price is compressing into a tight range — like a coiled spring storing energy. Historically, volatility compression is followed by volatility expansion (breakout). The direction is not yet determined by this signal alone. Watch for REI_below or REI_above to signal which side breaks first. A breakout from a VR compression alert can be particularly sharp and fast — price "releases" the stored energy quickly once direction is established.</t>
  </si>
  <si>
    <t>Score near 0
Ratio ≈ 1.0
Fast ≈ Slow variance</t>
  </si>
  <si>
    <t>Recent price variance matches the long-term baseline. Swing sizes are historically normal — no unusual compression or expansion.</t>
  </si>
  <si>
    <t>Price is making typical-sized moves — not unusually large or small. EDT band touches occur at the normal expected frequency. Consistent, predictable oscillation amplitude.</t>
  </si>
  <si>
    <t>NEUTRAL
Normal Swings</t>
  </si>
  <si>
    <t>Volatility is at historical norms. No unusual change in price swing intensity. No action from this signal alone.</t>
  </si>
  <si>
    <t>Score −20 to −50
Ratio 0.5 to 1.5
Moderate divergence</t>
  </si>
  <si>
    <t>Variance has diverged moderately from the baseline — a mild expansion or contraction. Not yet at alert threshold but moving in a direction.</t>
  </si>
  <si>
    <t>Swings are slightly larger or smaller than usual. Not dramatic enough to classify as volatility expansion or compression.</t>
  </si>
  <si>
    <t>WATCHING
Early Shift</t>
  </si>
  <si>
    <t>Variance is starting to diverge from baseline but has not reached alert threshold yet. Monitor for progression toward ALERT level. If paired with other early signals, note the direction of change (ratio above or below 1.0).</t>
  </si>
  <si>
    <t>3. REI_BELOW  (Oversold Extreme)</t>
  </si>
  <si>
    <t>DEFINITION:  Measures whether price reached the outer LOWER EDT band AND has since retreated. REI_below = min(eᵢ) / Symmetric_anchor, where Symmetric_anchor = (|EDT_outermost_below| + EDT_outermost_above) / 2. Value is negative (price below Base_FL). Ratio = REI_below_fast / REI_below_slow (both negative → positive ratio). Score = (1 − ratio) × 100. Positive score = fast window shows LESS extreme lower deviation than slow baseline = price has retreated from the lower fence. Alert fires when Score ≥ 60.</t>
  </si>
  <si>
    <t>REI_BELOW</t>
  </si>
  <si>
    <t>Score &gt; +60  ⚑ ALERT
Ratio &lt; 0.4
Fast min(eᵢ) much less negative</t>
  </si>
  <si>
    <t>The deepest price drop (relative to the symmetric anchor scale) in the fast window is much shallower than in the slow baseline. Price previously reached the outer lower EDT fence — the statistical extreme oversold boundary — and has now significantly retreated toward Base_FL or above it. The oversold extreme event has occurred AND reversed.</t>
  </si>
  <si>
    <t>Price dropped to or near the outermost lower EDT band (the "floor" of the channel) and has since bounced back convincingly toward the center or upper zones. On the chart this looks like: a sharp drop to the lowest visible purple line, a wick or hammer candle at that level, followed by recovery. The low is in — sellers appear exhausted at the outer boundary. This is the statistical confirmation of a chart pattern traders call "touching major support."</t>
  </si>
  <si>
    <t>BULLISH
Oversold
Exhaustion</t>
  </si>
  <si>
    <t>STRONG BUY SETUP SIGNAL. Price visited the statistical extreme of its channel (the outer lower fence) and is now recovering — sellers have been exhausted at the boundary. This is the most direct confirmation of what chart traders see as a strong bounce from a key support zone. Consider long entries near Base_FL or at the lower EDT bands with targets at upper EDT bands. Risk is below the outer lower EDT band. When this fires alongside SCD ALERT and White ALERT, this is the highest-conviction long setup in the model.</t>
  </si>
  <si>
    <t>Score +20 to +60
Ratio 0.4 to 0.8
Moderate recovery</t>
  </si>
  <si>
    <t>Price has begun retreating from the lower extreme but the recovery is not yet dramatic. REI_below_fast is less negative than baseline but not dramatically so. An early-stage recovery from the lower EDT zone.</t>
  </si>
  <si>
    <t>Price has bounced from the lower EDT area but has not yet made a convincing return to Base_FL. The bounce may be shallow. Candles are recovering but are still in the lower half of the channel. The oversold condition is easing but not fully resolved.</t>
  </si>
  <si>
    <t>MILD BULLISH
Early Recovery</t>
  </si>
  <si>
    <t>Early signs of oversold recovery are present but the signal is not yet at full strength. Watch for this to develop into a full ALERT (score &gt; 60). Do not enter aggressively on this alone — wait for either the threshold to be crossed or for a companion signal (SCD or HL) to confirm the recovery is genuine.</t>
  </si>
  <si>
    <t>Score near 0
Ratio ≈ 1.0</t>
  </si>
  <si>
    <t>No significant difference in lower extreme behavior between the fast and slow windows. Price is not making unusual visits to the outer lower EDT bands.</t>
  </si>
  <si>
    <t>Price is oscillating normally, not reaching the outer lower lines in any meaningful way. The lower EDT bands are not being tested. Price is likely in the middle or upper portion of the channel.</t>
  </si>
  <si>
    <t>NEUTRAL</t>
  </si>
  <si>
    <t>No oversold extreme has been detected. Price has not tested the outer lower fence. This is the normal state when price is in an uptrend or mid-channel oscillation.</t>
  </si>
  <si>
    <t>Score &lt; 0
Ratio &gt; 1.0
Fast min(eᵢ) MORE negative</t>
  </si>
  <si>
    <t>The recent fast window is showing a DEEPER excursion into the lower EDT zone than the slow baseline. Price is currently pressing further into oversold territory. The decline is active — no recovery has occurred yet.</t>
  </si>
  <si>
    <t>Price is currently falling toward or through the outer lower EDT bands. Selling pressure is fresh and active. Price may be making new lows within the channel. The "floor" has not yet acted as support — price is still testing or breaching it.</t>
  </si>
  <si>
    <t>BEARISH
Oversold
Forming</t>
  </si>
  <si>
    <t>Do NOT treat this as a buy signal. Price is moving into extreme oversold territory but no reversal is confirmed. A very negative REI_below fast value means price is currently at or below the outer lower fence — this is dangerous territory for longs. WAIT for the ratio to reverse below 1.0 (score turns positive) before considering long entries. If SCD is also high and this is extreme, the "extraordinary large swing" event may be occurring NOW — it will become a buy setup AFTER the reversal is confirmed.</t>
  </si>
  <si>
    <t>4. REI_ABOVE  (Overbought Extreme)</t>
  </si>
  <si>
    <t>DEFINITION:  Measures whether price reached the outer UPPER EDT band AND has since retreated. REI_above = max(eᵢ) / Symmetric_anchor. Value is positive (price above Base_FL). Ratio = REI_above_fast / REI_above_slow (both positive → positive ratio). Score = (1 − ratio) × 100. Positive score = fast window shows LESS extreme upper deviation = price retreated from upper fence. Alert fires when Score ≥ 60. Reported INDEPENDENTLY from REI_below — both can fire simultaneously.</t>
  </si>
  <si>
    <t>REI_ABOVE</t>
  </si>
  <si>
    <t>Score &gt; +60  ⚑ ALERT
Ratio &lt; 0.4
Fast max(eᵢ) much smaller</t>
  </si>
  <si>
    <t>Price previously reached the outer upper EDT fence (the statistical extreme overbought boundary) and has now significantly retreated toward Base_FL or below it in the fast window. The overbought extreme event has occurred AND reversed.</t>
  </si>
  <si>
    <t>Price pushed up to or near the outermost upper EDT band (the "ceiling" of the channel) and has since pulled back convincingly toward the center or lower zones. On the chart: a rally to the highest visible purple line, a potential shooting star or rejection wick at that level, followed by decline. Buyers appear exhausted at the upper boundary. This is the statistical confirmation of "price touched major resistance and rejected."</t>
  </si>
  <si>
    <t>BEARISH
Overbought
Exhaustion</t>
  </si>
  <si>
    <t>STRONG SELL SETUP SIGNAL. Price visited the statistical extreme of its channel (outer upper fence) and is now declining — buyers have been exhausted at the boundary. This is the mirror image of the REI_below bullish signal. Consider short entries near Base_FL or upper EDT bands with targets at lower EDT bands. Risk is above the outer upper EDT band.</t>
  </si>
  <si>
    <t>No significant visit to the outer upper EDT zone, or behavior unchanged between windows. Price has not meaningfully tested the upper channel extreme.</t>
  </si>
  <si>
    <t>Price is not reaching the outer upper EDT bands. Typical during downtrends or when price is in the lower half of the channel.</t>
  </si>
  <si>
    <t>No overbought extreme detected. Price has not tested the outer upper fence. This is the normal state during bearish or neutral market phases.</t>
  </si>
  <si>
    <t>Score &lt; 0
Ratio &gt; 1.0
Fast max(eᵢ) LARGER</t>
  </si>
  <si>
    <t>Price is currently pushing further into upper EDT extreme territory in the fast window. Overbought condition is forming but has NOT reversed yet.</t>
  </si>
  <si>
    <t>Price is rallying toward or through the outer upper EDT bands. Momentum is upward and testing the upper channel ceiling. New highs within the channel are being made.</t>
  </si>
  <si>
    <t>OVERBOUGHT
Forming</t>
  </si>
  <si>
    <t>An overbought extreme is building — price is at or near the upper outer fence. Do NOT short yet. Wait for the ratio to reverse below 1.0 (score turns positive) before considering short entries. The overbought condition must REVERSE before it becomes a sell signal.</t>
  </si>
  <si>
    <t>REI_below ALERT
+ REI_above ALERT
both firing</t>
  </si>
  <si>
    <t>Within the combined measurement windows, price visited BOTH the outer lower AND outer upper EDT fences. Both extremes have been reached and partially recovered. The full channel range has been swept.</t>
  </si>
  <si>
    <t>Extremely large bidirectional swings. Price traveled from the lowest to the highest EDT bands (or close to it) and recovered from both extremes. Visually: large volatile swings covering the full channel width, with wicks touching both outer bands. The channel is under maximum stress.</t>
  </si>
  <si>
    <t>EXTREME
BIDIRECTIONAL
VOLATILITY</t>
  </si>
  <si>
    <t>Price has tested both extremes of its statistical channel — both buyers and sellers have reached exhaustion. This represents maximum channel stress and almost always precedes a major directional resolution. The NEXT significant move will reveal the winning direction. Watch which REI score is HIGHER after both fire — the side with higher recovery score gives the directional bias. Combined with SCD ALERT, this confirms the "extraordinary large swing" scenario described in the model.</t>
  </si>
  <si>
    <t>5. SCD  (SSA Crossing Distance — Swing Amplitude)</t>
  </si>
  <si>
    <t>DEFINITION:  Measures the amplitude of SSA oscillation cycles. At each crossing of SSA and EMA-SSA lines on the chart, SCD records the distance |SSA_now − SSA_prev_crossing|. SCD_mean is the average of all crossing distances in the window. Ratio = SCD_mean_fast / SCD_mean_slow. Score = (ratio − 1) × 200. KEY ADVANTAGE: SCD is position-agnostic — it detects large swings occurring entirely within the upper or lower EDT bands, even when price never crosses Base_FL. This is the correction to the old ABR flaw. Alert fires when Score ≥ 50.</t>
  </si>
  <si>
    <t>SCD</t>
  </si>
  <si>
    <t>Score &gt; +50  ⚑ ALERT
Ratio &gt; 1.25
Fast SCD mean &gt;&gt; Slow</t>
  </si>
  <si>
    <t>The average amplitude of SSA oscillation cycles in the recent window is significantly larger than the long-term baseline. Each "wave" of the SSA trend line is covering more distance between peaks and troughs. The crossing events between SSA and EMA-SSA are occurring with more force.</t>
  </si>
  <si>
    <t>Price is making bigger directional swings than usual. Even if price has not crossed Base_FL, the internal momentum cycles are growing — this is detectable deep in the lower or upper EDT zone. On the chart: the SSA line (blue oscillating line) is making taller waves. Individual impulse moves are covering more price distance before reversing. This is the direct statistical confirmation of the "extraordinary large swings" that chart traders observe before breakouts.</t>
  </si>
  <si>
    <t>SWING
INTENSITY
BUILDING</t>
  </si>
  <si>
    <t>The underlying momentum engine of price is amplifying — bigger oscillation cycles mean more energy is being stored. This is the fuel that drives breakouts, and it is captured here even when the large swings are occurring entirely within a lower or upper EDT zone (which the old ABR metric missed entirely). When REI_below ALERT also fires, this combination is the strongest pre-breakout signature in the model. The "extraordinary large swing" at the double bottom that preceded the chart breakout was detected by SCD, not ABR.</t>
  </si>
  <si>
    <t>Score &gt; +100 (capped)
Ratio &gt; 1.5
Extreme amplitude</t>
  </si>
  <si>
    <t>SSA crossing amplitude is extreme — recent cycles are more than 50% larger than historical average. A rare, high-magnitude swing event is occurring.</t>
  </si>
  <si>
    <t>Extraordinary large price swings are happening right now or just occurred. Price may be sweeping across multiple EDT bands in a single directional impulse. Visually: a very large candle or rapid series of candles covering an unusually large price range. The "once in many bars" event.</t>
  </si>
  <si>
    <t>EXTREME SWING
Rare Event</t>
  </si>
  <si>
    <t>This is the statistical marker of an extraordinary swing — the kind of event that chart traders circle and label. In a pre-breakout context, this is the large swing that either marks the final extreme before reversal, or is the breakout move itself beginning. If REI_below has just fired, the large swing was the final washout low — a bullish entry setup. If REI_below has not yet fired, the large swing may still be in progress — wait for confirmation.</t>
  </si>
  <si>
    <t>SSA crossing amplitude is consistent with the long-term baseline. Normal oscillation cycles with typical amplitude.</t>
  </si>
  <si>
    <t>Price waves are of average size. SSA line crossings with EMA-SSA are happening with normal force. No unusual momentum detected.</t>
  </si>
  <si>
    <t>NEUTRAL
Normal Momentum</t>
  </si>
  <si>
    <t>Swing intensity is at historical norm. No unusual build-up or collapse of momentum detected. No action from this signal alone.</t>
  </si>
  <si>
    <t>Score &lt; −30
Ratio &lt; 0.85
Fast SCD &lt;&lt; Slow</t>
  </si>
  <si>
    <t>SSA oscillation cycles are SMALLER than the long-term baseline. Crossings are happening with less amplitude — price waves are subdued.</t>
  </si>
  <si>
    <t>Price is making small, low-energy directional swings. The SSA line is making short, shallow crossings with EMA-SSA. Price lacks directional energy — it appears "sleepy" or range-bound in a tight zone.</t>
  </si>
  <si>
    <t>LOW MOMENTUM
Quiet Phase</t>
  </si>
  <si>
    <t>Price is in a low-energy phase — no directional momentum is building yet. This is not a breakout setup. Wait for SCD to begin expanding (ratio turning above 1.0 with increasing score) before expecting any meaningful directional move.</t>
  </si>
  <si>
    <t>6. R²  (Trend Coherence / Linearity)</t>
  </si>
  <si>
    <t>DEFINITION:  R² from regressing Close price on BarIndex within the window. Measures how well price fits a straight line. R² ≈ 1.0 = very clean, directional trend. R² ≈ 0.0 = random, choppy, no trend. Ratio = R²_fast / R²_slow. Score = (ratio − 1) × 100. Negative score = recent price action is LESS linear than historical baseline (trend has deteriorated). Alert fires when Score ≤ −50 (R²_fast less than half of R²_slow).</t>
  </si>
  <si>
    <t>R²</t>
  </si>
  <si>
    <t>Score &lt; −50  ⚑ ALERT
Ratio &lt; 0.5
R²_fast &lt;&lt; R²_slow</t>
  </si>
  <si>
    <t>The linear trend quality in the recent window has collapsed compared to the long-term baseline. The regression line no longer fits price well — price has deviated significantly from its previous directional slope. The old trend structure has broken down statistically.</t>
  </si>
  <si>
    <t>The clean directional slope previously visible in the channel is breaking down. Price is becoming "choppy" — overlapping candles, lack of clear direction, or erratic oscillations. The Base_FL slope (regression line gradient) may be flattening, reversing, or transitioning. What looked like a clean downtrend or uptrend is now acting more like a sideways consolidation or reversal. This is a structural transition moment — the old channel is dying.</t>
  </si>
  <si>
    <t>TREND
COLLAPSE
Pre-Breakout</t>
  </si>
  <si>
    <t>The current trend structure is statistically failing. Price no longer follows its previous linear path — the regression line is losing its descriptive power over recent price action. This is a critical signal: the old channel is ending. A new directional move (breakout from the collapsing structure) is forming. When R² ALERT fires alongside REI_below ALERT and SCD ALERT, the probability of a genuine breakout is at its highest in this model. This combination matches the chart observation: "trend quality collapses just before price breaks out."</t>
  </si>
  <si>
    <t>Score −20 to −50
Ratio 0.5 to 0.8</t>
  </si>
  <si>
    <t>Moderate decline in trend coherence. The linear fit is deteriorating but not yet at alert level.</t>
  </si>
  <si>
    <t>Price is becoming less directional than the historical baseline. More sideways or erratic movement within the channel, but not fully collapsed yet.</t>
  </si>
  <si>
    <t>DETERIORATING
Trend</t>
  </si>
  <si>
    <t>Trend quality is fading — early signs of the structural change that often precedes breakouts. Not yet at alert threshold, but monitor for progression. When combined with other early signals, this direction of change is meaningful.</t>
  </si>
  <si>
    <t>Linear trend quality in the fast window matches the long-term baseline. Trend coherence is unchanged.</t>
  </si>
  <si>
    <t>Price is following the channel slope (Base_FL gradient) with the same consistency as the historical norm. Normal mix of trend and oscillation.</t>
  </si>
  <si>
    <t>NEUTRAL
Trend Stable</t>
  </si>
  <si>
    <t>Trend coherence is unchanged from historical norms. The channel direction and slope are holding steady.</t>
  </si>
  <si>
    <t>Score &gt; +50
Ratio &gt; 1.5
R²_fast &gt;&gt; R²_slow</t>
  </si>
  <si>
    <t>Price is fitting a linear trend BETTER than the historical baseline in the recent window. The regression line is very tight — price is closely following a straight-line trajectory.</t>
  </si>
  <si>
    <t>Price is making unusually clean, directional moves with very little oscillation. Low noise — each bar moves in the same direction with minimal retracement. Looks like a sustained impulsive move on the chart.</t>
  </si>
  <si>
    <t>STRONG TREND
In Progress</t>
  </si>
  <si>
    <t>Price is in a very clean, committed directional run — trending with unusually high linear conviction. This is not a "setup" signal; it is a "trend is already fully in motion" signal. Momentum-following trades are favored. Do not counter-trade this condition — wait for trend coherence to deteriorate before fading the move.</t>
  </si>
  <si>
    <t>7. WHITE'S TEST  (Heteroscedasticity)</t>
  </si>
  <si>
    <t>DEFINITION:  Tests whether the variance of price residuals is constant over time (homoscedastic) or changing (heteroscedastic). Homoscedastic = price deviates from Base_FL by similar amounts throughout the window. Heteroscedastic = price deviations follow a pattern — some periods large, some small. Score = Δlog₁₀(p_White) × 5, where Δ = fast − slow. Positive score = heteroscedasticity is STRONGER in the fast window = variance structure is changing. Alert fires when Score ≥ 50.</t>
  </si>
  <si>
    <t>WHITE'S TEST</t>
  </si>
  <si>
    <t>Score &gt; +50  ⚑ ALERT
Δlog₁₀p &gt; +10
Strong heteroscedasticity in fast window</t>
  </si>
  <si>
    <t>The variance of residuals is no longer constant in the fast window — it changes systematically over time. Price deviations from Base_FL follow a pattern (not random). Some recent periods show small deviations, others show large ones, in a structured sequence.</t>
  </si>
  <si>
    <t>Price is NOT making random-sized moves around Base_FL. Instead, it is making small moves for a while, then suddenly large moves — or vice versa. This looks like expanding or contracting volatility clusters on the chart. The "texture" of how price interacts with the channel has changed. A common pattern: price consolidates quietly near Base_FL for many bars, then suddenly makes a large move to an outer EDT band — the "quiet then explosive" signature.</t>
  </si>
  <si>
    <t>STRUCTURAL
CHANGE
In Progress</t>
  </si>
  <si>
    <t>The statistical structure of how price behaves relative to its trend line is actively changing. This is a high-confidence indicator that the current market regime is transitioning. In a pre-breakout scenario, this often accompanies the pattern of: quiet consolidation → increasingly large deviations → final explosive breakout. Price is "waking up." When combined with SCD and REI_below alerts, the White's test alert confirms that the structural change is well underway, not just a temporary fluctuation.</t>
  </si>
  <si>
    <t>Score +20 to +50
Moderate heteroscedasticity increase</t>
  </si>
  <si>
    <t>Variance structure is beginning to change in the fast window but not yet at alert level. Some time-dependence in residual variance is emerging.</t>
  </si>
  <si>
    <t>Subtle change in the regularity of price oscillations. Some bars are larger than others in a non-random way, but not dramatically so.</t>
  </si>
  <si>
    <t>EARLY
REGIME SHIFT</t>
  </si>
  <si>
    <t>Early signs of a structural change in price behavior — the variance is becoming less constant. Not yet a full signal. Monitor for progression toward ALERT level.</t>
  </si>
  <si>
    <t>Score near 0
Δlog₁₀p ≈ 0</t>
  </si>
  <si>
    <t>Variance of residuals is stationary and consistent in the fast window. Price deviations from Base_FL are homoscedastic — equally sized throughout the window.</t>
  </si>
  <si>
    <t>Price makes similar-sized moves away from Base_FL across all bars in the window. Consistent, predictable oscillation amplitude throughout — no clustering of large or small moves.</t>
  </si>
  <si>
    <t>NEUTRAL
Stable Regime</t>
  </si>
  <si>
    <t>The variance structure is stable. No regime change is occurring. The channel is operating in a steady, consistent manner.</t>
  </si>
  <si>
    <t>Score &lt; −30
Δlog₁₀p &lt; −6
Fast more homoscedastic</t>
  </si>
  <si>
    <t>The fast window is actually MORE homoscedastic than the slow baseline — residual variance has become very consistent over time.</t>
  </si>
  <si>
    <t>Price is making very regular, equal-sized oscillations around Base_FL. Each bar moves a similar distance from the regression line. Price looks "rhythmic" and almost mechanical in its behavior.</t>
  </si>
  <si>
    <t>REGULAR
Oscillation
Pattern</t>
  </si>
  <si>
    <t>Price is moving in a very consistent, predictable rhythm around its baseline. This often indicates a consolidation phase where price is digesting a previous move in a controlled, regular pattern. While this is a stable condition, remember that regular oscillations can end abruptly — the regularity may itself be the "coiling" before a breakout.</t>
  </si>
  <si>
    <t>8. JB TEST  (Residual Normality)</t>
  </si>
  <si>
    <t>DEFINITION:  Jarque-Bera test on residuals eᵢ. Tests both Skewness (S) and Excess Kurtosis (K). Normal distribution: S=0, K=0. High kurtosis (K&gt;0): fat tails — occasional extreme price bars far from Base_FL. High skewness (S≠0): directional lean — price going further in one direction than the other. Ratio = JB_fast / JB_slow. Score = (1 − ratio) × 100. NEGATIVE score = MORE non-normal in fast window (higher JB = worse normality). POSITIVE score = more normal in fast window. Alert fires when Score ≤ −30 (residuals becoming significantly more non-normal). Check Skewness (S) and Kurtosis (K) rows in the sheet to identify the driver.</t>
  </si>
  <si>
    <t>JB TEST</t>
  </si>
  <si>
    <t>Score &lt; −30  ⚑ ALERT
Ratio &gt; 1.3
JB_fast &gt;&gt; JB_slow
Driver: High Kurtosis (K &gt; 3)</t>
  </si>
  <si>
    <t>Residuals in the fast window have fat tails — excess kurtosis is the primary driver of non-normality. Price is making occasional extreme bars: large deviations from Base_FL that are much bigger than typical. The distribution has more probability in the extreme tails than a normal curve would suggest.</t>
  </si>
  <si>
    <t>Most bars look normal-sized, but occasionally price makes a dramatic spike or jump far from Base_FL — potentially a large wick, gap, or sudden impulse bar reaching the outer EDT bands. These outlier bars appear "out of character" relative to the surrounding bars. They represent the rare but large events — including the "extraordinary large swing" type events that are also captured by SCD.</t>
  </si>
  <si>
    <t>FAT TAIL
Extreme Events
Occurring</t>
  </si>
  <si>
    <t>Unusual large-magnitude price events are occurring in the recent window. While most price action looks normal, there are occasional "outlier" bars making extreme moves. In a breakout context, one of these extreme bars may be the actual breakout candle or its precursor. Risk management is critical here — stops should be positioned beyond the outer EDT bands to account for the larger-than-expected moves that fat-tail conditions produce.</t>
  </si>
  <si>
    <t>Score &lt; −30  ⚑ ALERT
Ratio &gt; 1.3
JB_fast &gt;&gt; JB_slow
Driver: High Skewness (|S| &gt; 1)</t>
  </si>
  <si>
    <t>Residuals are skewed in one direction — the distribution is lopsided. Price is not oscillating symmetrically around Base_FL. It is going further or spending more time in one direction than the other.</t>
  </si>
  <si>
    <t>Negative skew (S &lt; 0): Price drops further below Base_FL than it rises above it. The lower EDT bands are being tested more aggressively than the upper ones. Bearish directional bias in the residuals. Positive skew (S &gt; 0): Price rises further above Base_FL than it falls below. The upper EDT bands are being tested more aggressively. Bullish directional bias. The channel is being used asymmetrically.</t>
  </si>
  <si>
    <t>DIRECTIONAL
BIAS
Detected</t>
  </si>
  <si>
    <t>Price has a statistical lean in one direction within the channel. Negative skewness combined with REI_below firing = strong confirmation that the oversold extreme is statistically significant (price really did go unusually far below Base_FL). Positive skewness combined with REI_above firing = overbought extreme statistically confirmed. Use the skewness direction to align with (or against) REI signals for highest-conviction trades.</t>
  </si>
  <si>
    <t>Score &gt; +50
Ratio &lt; 0.5
JB_fast &lt;&lt; JB_slow
Residuals more normal</t>
  </si>
  <si>
    <t>Residuals in the fast window are becoming MORE normally distributed than the slow baseline — lower skewness and kurtosis. The unusual distributional events from earlier periods are no longer present in the recent window.</t>
  </si>
  <si>
    <t>Price is oscillating symmetrically and with typical-sized moves around Base_FL. Fewer extreme bars. No directional lean. Price behavior looks "well-balanced" statistically — each side of Base_FL gets equal attention.</t>
  </si>
  <si>
    <t>NORMAL
Distribution
Restored</t>
  </si>
  <si>
    <t>The unusual distributional events from earlier windows have calmed down. Price has "normalized" statistically after a period of extremes. This can indicate: (a) post-spike consolidation after a large JB event; or (b) a return to balanced channel oscillation after a directional bias has been resolved. Normal distribution with other signals neutral = channel is fully restored and functioning.</t>
  </si>
  <si>
    <t>Residual normality is consistent with the long-term baseline. No unusual fat tails or directional skew.</t>
  </si>
  <si>
    <t>Normal, symmetric distribution of price moves. No unusual extreme bars. No directional lean. Price oscillates equally above and below Base_FL with typical amplitudes.</t>
  </si>
  <si>
    <t>NEUTRAL
Normal Distribution</t>
  </si>
  <si>
    <t>Residual distribution is at historical norm. No unusual events detected. No action from this signal alone.</t>
  </si>
  <si>
    <t>══  MULTI-SIGNAL COMBINATION PATTERNS  ══  When multiple flags fire simultaneously — what it means and how to respond</t>
  </si>
  <si>
    <t>Pattern Name</t>
  </si>
  <si>
    <t>Flags Triggered</t>
  </si>
  <si>
    <t>Statistical Combination</t>
  </si>
  <si>
    <t>Price Behavior on Chart</t>
  </si>
  <si>
    <t>Pre-Bullish Breakout
(Highest Conviction)</t>
  </si>
  <si>
    <t>REI_below ⚑ + SCD ⚑ + White ⚑</t>
  </si>
  <si>
    <t>Price visited the outer lower fence (oversold extreme) and is recovering (REI_below). Swing amplitude is growing (SCD). The variance structure is systematically changing (White). All three confirm the pre-breakout statistical fingerprint.</t>
  </si>
  <si>
    <t>Price dropped to the lowest EDT band, made an extraordinary large swing, and is now bouncing back while the "texture" of its movement has fundamentally changed. Chart traders see: sharp drop to major support → large bounce → growing momentum.</t>
  </si>
  <si>
    <t>HIGHEST CONVICTION
Bullish Setup</t>
  </si>
  <si>
    <t>This is the pre-breakout signature the model was designed to detect. REI_below confirms sellers exhausted at the outer boundary. SCD confirms the large swings that chart traders visually observe. White confirms the regime is actively changing. All three together = statistical confirmation that a bullish breakout is imminent or in progress. This is the exact combination that fired before the breakout shown in the annotated chart.</t>
  </si>
  <si>
    <t>Coiling / Spring-Loaded
Setup</t>
  </si>
  <si>
    <t>VR ⚑ (contracting) + HL ⚑</t>
  </si>
  <si>
    <t>Volatility is compressing (smaller swings, VR ratio &lt; 1) while mean reversion is becoming faster (HL_fast &lt; HL_slow). Price is being "squeezed" into a tight range with strong channel pull.</t>
  </si>
  <si>
    <t>Very narrow candles, low ATR. Price bouncing rapidly between narrow EDT band zones. Looks "boring" or consolidating on the chart but statistically is storing energy.</t>
  </si>
  <si>
    <t>COILING
Pre-Explosive</t>
  </si>
  <si>
    <t>Price is a coiled spring — energy is stored, direction not yet determined. WAIT for REI_below or REI_above to signal which side breaks first. The breakout from a volatility compression period tends to be fast and sharp. Do not enter until direction is confirmed by an REI alert.</t>
  </si>
  <si>
    <t>Trend Breakdown /
Reversal Setup</t>
  </si>
  <si>
    <t>R² ⚑ + White ⚑</t>
  </si>
  <si>
    <t>The linear trend quality has collapsed (R²_fast &lt;&lt; R²_slow) while the variance structure is actively changing (heteroscedasticity alert). The old channel direction is ending; a new regime is forming.</t>
  </si>
  <si>
    <t>Price that was trending cleanly in one direction is now making choppy, overlapping candles. The Base_FL slope may be flattening or reversing. EDT bands are being tested from unexpected angles.</t>
  </si>
  <si>
    <t>TREND ENDING
New Direction
Forming</t>
  </si>
  <si>
    <t>The current trend is statistically over — both the linear coherence and variance structure confirm it. A new directional move is forming but direction is not yet clear. Watch for REI_below or REI_above ALERT to fire next — whichever side alerts first reveals the direction of the new channel.</t>
  </si>
  <si>
    <t>Momentum Breakout
Already in Progress</t>
  </si>
  <si>
    <t>VR ⚑ (expanding) + SCD ⚑ + HL very negative</t>
  </si>
  <si>
    <t>Variance is expanding (bigger swings), swing amplitude is growing (SCD), and mean reversion is slowing (HL ratio &gt; 1.5). All three indicate accelerating directional movement.</t>
  </si>
  <si>
    <t>Large candles moving strongly in one direction. EDT bands being breached. Price pulling away from Base_FL and not correcting back. Momentum feels real and strong on the chart.</t>
  </si>
  <si>
    <t>The breakout may already be happening — this is a "train is moving" signal, not a setup signal. Momentum trades in the direction of price movement are favored. Do not fade this combination. If already in a position, consider holding and only exiting if REI_above or REI_below fires on the opposite side (exhaustion signal).</t>
  </si>
  <si>
    <t>Extreme Bidirectional
Exhaustion → Major
Directional Resolution</t>
  </si>
  <si>
    <t>REI_below ⚑ + REI_above ⚑ + SCD ⚑</t>
  </si>
  <si>
    <t>Price visited BOTH outer EDT fences AND swing amplitude is extreme. Both buyers and sellers have reached exhaustion points with large oscillations in both directions.</t>
  </si>
  <si>
    <t>Wild swings — price sweeping from lowest to highest EDT bands. Multiple large wicks. Looks chaotic and volatile on the chart. Eventually resolves strongly in one direction.</t>
  </si>
  <si>
    <t>EXHAUSTION
BOTH SIDES
Resolution Coming</t>
  </si>
  <si>
    <t>A major directional resolution is likely after this pattern. Both sides have been exhausted at their statistical extremes. The NEXT significant move will be strong and directional. To identify direction: the REI signal that fires LAST (or has a higher score) indicates which side most recently showed exhaustion and thus which direction the resolution will go. If REI_below score &gt; REI_above score → bullish resolution likely. If REI_above score &gt; REI_below score → bearish resolution likely.</t>
  </si>
  <si>
    <t>False Channel /
Base_FL Transition</t>
  </si>
  <si>
    <t>R² ⚑ + HL very negative
+ VR ⚑ (expanding)</t>
  </si>
  <si>
    <t>Trend coherence has collapsed (R² alert), mean reversion has nearly stalled (HL much longer), and variance is expanding. The current Base_FL regression line is no longer representative of where price "wants" to be.</t>
  </si>
  <si>
    <t>Price is moving far from Base_FL and not returning. The regression slope no longer matches actual price direction. EDT bands from the current channel model are being left behind.</t>
  </si>
  <si>
    <t>CHANNEL
INVALIDATION
Rebuild Needed</t>
  </si>
  <si>
    <t>The current channel model (Base_FL + EDT bands) has lost its relevance for the current price action. Price has moved beyond the model's descriptive power. This is not a trade signal per se — it is a model maintenance alert. A fresh regression (new data export) should be performed to re-anchor the channel to current price behavior. Signals from the current model should be treated with reduced confidence until recalibrated.</t>
  </si>
  <si>
    <t>NOTES FOR LLM USE: (1) Always check the Ratio value (col B in interval sheets) alongside the Score — for VR, the ratio tells you expansion vs. contraction direction which the score alone does not show. (2) For JB ALERT, check Skewness (S) and Kurtosis (K) rows in the interval sheet to determine whether the non-normality driver is fat tails (kurtosis) or directional lean (skewness). (3) The Symmetric Anchor row shows the scale reference used for REI — a higher anchor value means the outer EDT bands are further from Base_FL on both sides, giving context for how extreme the REI values are in absolute price terms. (4) All thresholds in col E of interval sheets are editable — adjust per market regime or asset volatility profile.</t>
  </si>
  <si>
    <t>Real-Time Sliding Window Architecture  —  Statistical Model Design</t>
  </si>
  <si>
    <t>This sheet documents the continuous real-time statistical architecture that replaces the 3-interval POC design in Excel. Intended as specification for Python implementation using Pandas / NumPy / SciPy.</t>
  </si>
  <si>
    <t xml:space="preserve">  1.  Core Concept — Two Windows, Every Bar</t>
  </si>
  <si>
    <t>At every new bar N, two statistical windows are computed simultaneously and compared:
  SLOW window  :  bars 1 → N        (expanding — grows by 1 each bar, anchored at the beginning)
  FAST window  :  bars (N−249) → N  (sliding — always exactly 250 bars, moves forward each bar)
The 8-dimension statistical comparison (score = fast vs slow ratio) is performed at every bar, not just at 3 fixed interval checkpoints as in the POC. Every bar produces a complete set of signals and alert flags.</t>
  </si>
  <si>
    <t xml:space="preserve">  2.  Window Definitions  (Formal)</t>
  </si>
  <si>
    <t>Parameter</t>
  </si>
  <si>
    <t>Slow Window</t>
  </si>
  <si>
    <t>Fast Window</t>
  </si>
  <si>
    <t>Fixed?</t>
  </si>
  <si>
    <t>Size at bar N</t>
  </si>
  <si>
    <t>Notes</t>
  </si>
  <si>
    <t>Start index</t>
  </si>
  <si>
    <t>bar 1</t>
  </si>
  <si>
    <t>bar  N − 249</t>
  </si>
  <si>
    <t>Start fixed (slow)
Start slides (fast)</t>
  </si>
  <si>
    <t>N bars / 250 bars</t>
  </si>
  <si>
    <t>End index</t>
  </si>
  <si>
    <t>bar N</t>
  </si>
  <si>
    <t>Both end at current bar N</t>
  </si>
  <si>
    <t>Window size</t>
  </si>
  <si>
    <t>N  (grows)</t>
  </si>
  <si>
    <t>250  (constant)</t>
  </si>
  <si>
    <t>Slow expands; Fast is fixed-size</t>
  </si>
  <si>
    <t>Minimum N = 500 before signals are trusted</t>
  </si>
  <si>
    <t>Window type</t>
  </si>
  <si>
    <t>Expanding</t>
  </si>
  <si>
    <t>Sliding</t>
  </si>
  <si>
    <t>Slow accumulates all history; Fast is always "recent"</t>
  </si>
  <si>
    <t>Purpose</t>
  </si>
  <si>
    <t>Stable baseline
(long-term norm)</t>
  </si>
  <si>
    <t>Sensitive signal
(recent behavior)</t>
  </si>
  <si>
    <t>Score = how does recent behavior differ from the full history?</t>
  </si>
  <si>
    <t>Update on new bar</t>
  </si>
  <si>
    <t>Append 1 bar</t>
  </si>
  <si>
    <t>Append 1 bar,
remove oldest</t>
  </si>
  <si>
    <t>Both windows always end at the latest bar N</t>
  </si>
  <si>
    <t xml:space="preserve">  3.  Bar-by-Bar Illustration  (as described by user)</t>
  </si>
  <si>
    <t>Current Bar  N</t>
  </si>
  <si>
    <t>Slow Size</t>
  </si>
  <si>
    <t>Fast Size</t>
  </si>
  <si>
    <t>Action</t>
  </si>
  <si>
    <t>N = 250</t>
  </si>
  <si>
    <t>bars 1 → 250</t>
  </si>
  <si>
    <t>250</t>
  </si>
  <si>
    <t>Cold start — fast window not yet full; signals unreliable</t>
  </si>
  <si>
    <t>N = 499</t>
  </si>
  <si>
    <t>bars 1 → 499</t>
  </si>
  <si>
    <t>bars 250 → 499</t>
  </si>
  <si>
    <t>499</t>
  </si>
  <si>
    <t>Approaching minimum trust threshold</t>
  </si>
  <si>
    <t>N = 500</t>
  </si>
  <si>
    <t>bars 1 → 500</t>
  </si>
  <si>
    <t>bars 251 → 500</t>
  </si>
  <si>
    <t>500</t>
  </si>
  <si>
    <t>Minimum recommended threshold reached — signals become meaningful</t>
  </si>
  <si>
    <t>N = 501  →</t>
  </si>
  <si>
    <t>bars 1 → 501</t>
  </si>
  <si>
    <t>bars 252 → 501</t>
  </si>
  <si>
    <t>501</t>
  </si>
  <si>
    <t>New bar added: slow expands by 1, fast slides forward by 1</t>
  </si>
  <si>
    <t>N = 502  →</t>
  </si>
  <si>
    <t>bars 1 → 502</t>
  </si>
  <si>
    <t>bars 253 → 502</t>
  </si>
  <si>
    <t>502</t>
  </si>
  <si>
    <t>N = 503  →</t>
  </si>
  <si>
    <t>bars 1 → 503</t>
  </si>
  <si>
    <t>bars 254 → 503</t>
  </si>
  <si>
    <t>503</t>
  </si>
  <si>
    <t>Pattern repeats every bar indefinitely</t>
  </si>
  <si>
    <t>…</t>
  </si>
  <si>
    <t>Fast window always = 250 bars. Slow window always = full history.</t>
  </si>
  <si>
    <t>N = 2000</t>
  </si>
  <si>
    <t>bars 1 → 2000</t>
  </si>
  <si>
    <t>bars 1751 → 2000</t>
  </si>
  <si>
    <t>2000</t>
  </si>
  <si>
    <t>Slow baseline very stable (2000 bars). Fast = most recent 250 bars.</t>
  </si>
  <si>
    <t>KEY INSIGHT: The fast window size is ALWAYS exactly 250 bars — it never changes. Only the slow window grows. This means the "ratio" comparison (fast ÷ slow) is always comparing "the most recent 250 bars" against "everything we have ever seen." The more history accumulates in the slow window, the more stable and meaningful the baseline becomes.</t>
  </si>
  <si>
    <t xml:space="preserve">  4.  Cold Start Protocol</t>
  </si>
  <si>
    <t>Bar Count N</t>
  </si>
  <si>
    <t>Status</t>
  </si>
  <si>
    <t>Description</t>
  </si>
  <si>
    <t>N &lt; 250</t>
  </si>
  <si>
    <t>BLOCKED</t>
  </si>
  <si>
    <t>Fast window is not yet 250 bars. Cannot compute fast statistics. Output: no signals.</t>
  </si>
  <si>
    <t>250 ≤ N &lt; 500</t>
  </si>
  <si>
    <t>UNSTABLE</t>
  </si>
  <si>
    <t>Fast window is full but slow window is too small to be a meaningful baseline. Ratios may be volatile and misleading. Output: signals shown but flagged as unreliable.</t>
  </si>
  <si>
    <t>500 ≤ N &lt; 1000</t>
  </si>
  <si>
    <t>PROVISIONAL</t>
  </si>
  <si>
    <t>Minimum threshold met. Slow window is building stability. Signals are meaningful but should be treated with moderate confidence.</t>
  </si>
  <si>
    <t>N ≥ 1000</t>
  </si>
  <si>
    <t>STABLE</t>
  </si>
  <si>
    <t>Slow baseline has sufficient depth. All 8 dimension signals are fully reliable. Scores and alert flags should be treated at full confidence.</t>
  </si>
  <si>
    <t xml:space="preserve">  5.  Base_FL Design Decision  (Regression Anchor)</t>
  </si>
  <si>
    <t>In the Excel POC, Base_FL was provided as a pre-computed column from the MQ5 indicator export (one regression value per bar, computed externally). In the real-time Python model, Base_FL must be computed internally. Two design options:</t>
  </si>
  <si>
    <t>Option</t>
  </si>
  <si>
    <t>Definition</t>
  </si>
  <si>
    <t>Advantage</t>
  </si>
  <si>
    <t>Disadvantage</t>
  </si>
  <si>
    <t>Recommendation</t>
  </si>
  <si>
    <t>A — Single
Slow-Window
Regression</t>
  </si>
  <si>
    <t>Base_FL = OLS regression line fitted to Close prices over bars 1→N (slow window). One regression per bar update.</t>
  </si>
  <si>
    <t>eᵢ = Close_i − Base_FL_i
Same residual used for both slow and fast statistics.</t>
  </si>
  <si>
    <t>Consistent with Excel POC design. Residuals have a stable, long-term regression anchor. Simpler to implement.</t>
  </si>
  <si>
    <t>Slow-window regression may diverge from recent price if trend has shifted. Fast-window statistics use residuals from a "stale" long-term trend.</t>
  </si>
  <si>
    <t>✓ RECOMMENDED
for first implementation.
Matches Excel POC logic.</t>
  </si>
  <si>
    <t>B — Dual
Window
Regression</t>
  </si>
  <si>
    <t>Separate OLS regression fitted to slow window (1→N) AND fast window (N−249→N). Two regressions per bar update.</t>
  </si>
  <si>
    <t>eᵢ_slow = Close_i − Base_FL_slow_i
eᵢ_fast = Close_i − Base_FL_fast_i
(different residuals per window)</t>
  </si>
  <si>
    <t>Fast residuals reflect the recent local trend — more accurate for recent behavior. REI, SCD, and HL are more sensitive to current market structure.</t>
  </si>
  <si>
    <t>More complex. R² comparison becomes less straightforward. Requires careful handling of two different regression slopes.</t>
  </si>
  <si>
    <t>Consider for v2 after
Option A is validated.</t>
  </si>
  <si>
    <t xml:space="preserve">  6.  Per-Bar Computation Flow  (on every new bar N)</t>
  </si>
  <si>
    <t>Step</t>
  </si>
  <si>
    <t>Name</t>
  </si>
  <si>
    <t>Logic</t>
  </si>
  <si>
    <t>Python Implementation</t>
  </si>
  <si>
    <t>Step 1</t>
  </si>
  <si>
    <t>Receive new bar</t>
  </si>
  <si>
    <t>Append new OHLCV bar to DataFrame. Update bar index N.</t>
  </si>
  <si>
    <t>pandas.DataFrame.append() or concat()</t>
  </si>
  <si>
    <t>Step 2</t>
  </si>
  <si>
    <t>Slice windows</t>
  </si>
  <si>
    <t>slow_data = df.iloc[0 : N]
fast_data = df.iloc[N-250 : N]</t>
  </si>
  <si>
    <t>pandas iloc slicing — O(1) view, no copy needed</t>
  </si>
  <si>
    <t>Step 3</t>
  </si>
  <si>
    <t>Compute Base_FL
(Option A)</t>
  </si>
  <si>
    <t>Fit OLS on slow_data Close vs BarIdx.
Base_FL_i = intercept + slope × BarIdx_i for all bars.</t>
  </si>
  <si>
    <t>numpy.polyfit(x, y, 1)  or  scipy.stats.linregress()</t>
  </si>
  <si>
    <t>Step 4</t>
  </si>
  <si>
    <t>Compute residuals</t>
  </si>
  <si>
    <t>e_i = Close_i − Base_FL_i  (for all bars)
e_slow = residuals for bars 1→N
e_fast = residuals for bars N−249→N</t>
  </si>
  <si>
    <t>numpy array subtraction — vectorized</t>
  </si>
  <si>
    <t>Step 5</t>
  </si>
  <si>
    <t>Compute EDT offsets
+ Symmetric Anchor</t>
  </si>
  <si>
    <t>For each EDT column (above + below Base_FL):
  offset = mean(EDT_col − Base_FL) for non-null values
sym_anchor_slow = (|below_offset_slow| + above_offset_slow) / 2
sym_anchor_fast = (|below_offset_fast| + above_offset_fast) / 2</t>
  </si>
  <si>
    <t>numpy.nanmean()  — handles empty EDT columns</t>
  </si>
  <si>
    <t>Step 6</t>
  </si>
  <si>
    <t>Compute SCD
(SSA crossing distance)</t>
  </si>
  <si>
    <t>Maintain running state: last_crossing_SSA
At each SSA ↔ EMA-SSA crossing:
  scd_i = |SSA_now − last_crossing_SSA|
  last_crossing_SSA = SSA_now
SCD_mean_slow = mean of all scd_i in slow window
SCD_mean_fast = mean of all scd_i in fast window</t>
  </si>
  <si>
    <t>numpy.diff() for crossing detection
State variable updated each bar</t>
  </si>
  <si>
    <t>Step 7</t>
  </si>
  <si>
    <t>Compute all
8 dimension metrics</t>
  </si>
  <si>
    <t>For each window (slow, fast) compute:
  HL alpha → Half-Life
  Variance → VR
  min/max(eᵢ) + sym_anchor → REI_below, REI_above
  SCD mean → SCD ratio
  R²(Close ~ BarIdx)
  White's LM test
  JB statistic (Skewness + Kurtosis)</t>
  </si>
  <si>
    <t>See Section 7 for Python library mapping</t>
  </si>
  <si>
    <t>Step 8</t>
  </si>
  <si>
    <t>Compute scores
+ apply thresholds</t>
  </si>
  <si>
    <t>For each dimension:
  ratio = metric_fast / metric_slow  (or delta)
  score = formula(ratio)  →  clipped to [−100, +100]
  flag  = True if score crosses threshold
Composite = weighted sum of 8 scores</t>
  </si>
  <si>
    <t>Pure Python arithmetic on scalars —
result of Step 7 computations</t>
  </si>
  <si>
    <t>Step 9</t>
  </si>
  <si>
    <t>Output signal packet</t>
  </si>
  <si>
    <t>Emit per-bar output dict/DataFrame row:
  bar_N, timestamp, 8 scores, 8 flags,
  composite score, all raw metrics
  (HL_slow, HL_fast, VR_ratio, REI_below_slow/fast, etc.)</t>
  </si>
  <si>
    <t>Append to output DataFrame or stream via API / websocket</t>
  </si>
  <si>
    <t xml:space="preserve">  7.  Python Library Mapping  —  Dimension → Implementation</t>
  </si>
  <si>
    <t>Dimension</t>
  </si>
  <si>
    <t>Python Function / Formula</t>
  </si>
  <si>
    <t>Library</t>
  </si>
  <si>
    <t>Half-Life (HL)</t>
  </si>
  <si>
    <t>AR(1) α coefficient</t>
  </si>
  <si>
    <t>alpha = np.dot(np.diff(e), e[:-1]) / np.dot(e[:-1], e[:-1])
HL = -np.log(2) / np.log(1 + alpha)</t>
  </si>
  <si>
    <t>NumPy</t>
  </si>
  <si>
    <t>No-constant AR(1) — matches Excel SUMPRODUCT formula exactly</t>
  </si>
  <si>
    <t>Variance Ratio (VR)</t>
  </si>
  <si>
    <t>E[eᵢ²] per window</t>
  </si>
  <si>
    <t>var_slow = np.mean(e_slow**2)
var_fast = np.mean(e_fast**2)
VR_ratio = var_fast / var_slow</t>
  </si>
  <si>
    <t>Mean of squared residuals (not ddof-corrected) — matches Excel AVERAGE(AH)</t>
  </si>
  <si>
    <t>min(eᵢ) / sym_anchor</t>
  </si>
  <si>
    <t>rei_below_slow = np.min(e_slow) / sym_anchor_slow
rei_below_fast = np.min(e_fast) / sym_anchor_fast</t>
  </si>
  <si>
    <t>sym_anchor computed in Step 5. Both values are negative.</t>
  </si>
  <si>
    <t>max(eᵢ) / sym_anchor</t>
  </si>
  <si>
    <t>rei_above_slow = np.max(e_slow) / sym_anchor_slow
rei_above_fast = np.max(e_fast) / sym_anchor_fast</t>
  </si>
  <si>
    <t>Both values are positive. Independent from REI_below.</t>
  </si>
  <si>
    <t>SSA crossing amplitude mean</t>
  </si>
  <si>
    <t>cross_idx = np.where(np.diff(np.sign(SSA - EMA_SSA)))[0]
scd_vals = np.abs(np.diff(SSA[cross_idx]))
SCD_mean = np.mean(scd_vals_in_window)</t>
  </si>
  <si>
    <t>State variable last_cross_SSA maintained per bar. Window filter applied to scd_vals array.</t>
  </si>
  <si>
    <t>RSQ(Close ~ BarIdx)</t>
  </si>
  <si>
    <t>slope, intercept, r, p, se = scipy.stats.linregress(bar_idx, close)
R2 = r**2
— or —
R2 = np.corrcoef(bar_idx, close)[0,1]**2</t>
  </si>
  <si>
    <t>SciPy / NumPy</t>
  </si>
  <si>
    <t>Fast option: np.corrcoef() squared. Use scipy.stats.linregress() if slope/intercept also needed.</t>
  </si>
  <si>
    <t>White's Test</t>
  </si>
  <si>
    <t>LM = n × R²_aux
(eᵢ² ~ BarIdx + BarIdx²)</t>
  </si>
  <si>
    <t>e2 = e**2
X = np.column_stack([bar_idx, bar_idx**2, np.ones(n)])
r2_aux = 1 - np.var(e2 - X @ np.linalg.lstsq(X,e2)[0]) / np.var(e2)
LM = n * r2_aux
p_white = scipy.stats.chi2.sf(LM, df=2)</t>
  </si>
  <si>
    <t>NumPy + SciPy</t>
  </si>
  <si>
    <t>Equivalent to Excel LINEST with CHOOSE({1,2},...). np.linalg.lstsq is the cleanest implementation.</t>
  </si>
  <si>
    <t>JB Test</t>
  </si>
  <si>
    <t>JB = n/6 × (S² + K²/4)</t>
  </si>
  <si>
    <t>S = scipy.stats.skew(e)
K = scipy.stats.kurtosis(e)   # excess kurtosis
JB = (n/6) * (S**2 + K**2/4)
p_jb = scipy.stats.chi2.sf(JB, df=2)</t>
  </si>
  <si>
    <t>SciPy</t>
  </si>
  <si>
    <t>scipy.stats.kurtosis() returns excess kurtosis by default (K−3). Matches Excel KURT() function.</t>
  </si>
  <si>
    <t>(|below_offset| + above_offset) / 2</t>
  </si>
  <si>
    <t>below_off = np.nanmean(EDT_below_col - Base_FL)
above_off = np.nanmean(EDT_above_col - Base_FL)
sym_anchor = (abs(below_off) + above_off) / 2</t>
  </si>
  <si>
    <t>np.nanmean ignores NaN (empty EDT cells). Fallback chain: EDT_8→EDT_7→EDT_6 (below), EDT_4→EDT_3→EDT_2 (above).</t>
  </si>
  <si>
    <t xml:space="preserve">  8.  Signal Output Structure  —  Per Bar N</t>
  </si>
  <si>
    <t>At every bar N, the model emits one row to an output DataFrame (or streaming payload). All values below are computed and available simultaneously:</t>
  </si>
  <si>
    <t>Field Group</t>
  </si>
  <si>
    <t>Fields</t>
  </si>
  <si>
    <t>Type</t>
  </si>
  <si>
    <t>Example Values</t>
  </si>
  <si>
    <t>Identity</t>
  </si>
  <si>
    <t>bar_N, timestamp, close_price</t>
  </si>
  <si>
    <t>int / datetime / float</t>
  </si>
  <si>
    <t>N=501, 2024-04-15 14:15, 3254.80</t>
  </si>
  <si>
    <t>Raw Metrics
(Slow Window)</t>
  </si>
  <si>
    <t>HL_slow, VR_slow, REI_below_slow, REI_above_slow,
SCD_mean_slow, R2_slow, LM_slow, JB_slow,
sym_anchor_slow</t>
  </si>
  <si>
    <t>float</t>
  </si>
  <si>
    <t>HL_slow=42.3, VR_slow=1842.5,
REI_below_slow=−0.82</t>
  </si>
  <si>
    <t>Raw Metrics
(Fast Window)</t>
  </si>
  <si>
    <t>HL_fast, VR_fast, REI_below_fast, REI_above_fast,
SCD_mean_fast, R2_fast, LM_fast, JB_fast,
sym_anchor_fast</t>
  </si>
  <si>
    <t>HL_fast=78.1, VR_fast=3302.4,
REI_below_fast=−0.11</t>
  </si>
  <si>
    <t>Scores
(8 Dimensions)</t>
  </si>
  <si>
    <t>score_HL, score_VR, score_REI_below, score_REI_above,
score_SCD, score_R2, score_White, score_JB</t>
  </si>
  <si>
    <t>float  [−100, +100]</t>
  </si>
  <si>
    <t>score_HL=−83.4, score_REI_below=+86.7,
score_SCD=+54.6</t>
  </si>
  <si>
    <t>Alert Flags
(8 Dimensions)</t>
  </si>
  <si>
    <t>flag_HL, flag_VR, flag_REI_below, flag_REI_above,
flag_SCD, flag_R2, flag_White, flag_JB</t>
  </si>
  <si>
    <t>bool  (True / False)</t>
  </si>
  <si>
    <t>flag_REI_below=True, flag_SCD=True,
flag_HL=False</t>
  </si>
  <si>
    <t>Composite</t>
  </si>
  <si>
    <t>composite_score, composite_interpretation</t>
  </si>
  <si>
    <t>float / string</t>
  </si>
  <si>
    <t>composite=+52.3,
"STRONG BREAKOUT SETUP"</t>
  </si>
  <si>
    <t>Threshold Reference</t>
  </si>
  <si>
    <t>thr_HL, thr_VR, thr_REI_below, thr_REI_above,
thr_SCD, thr_R2, thr_White, thr_JB</t>
  </si>
  <si>
    <t>float  (configurable)</t>
  </si>
  <si>
    <t>thr_REI_below=60, thr_SCD=50,
thr_R2=−50</t>
  </si>
  <si>
    <t xml:space="preserve">  9.  POC (Excel) vs Real-Time Python  —  Key Differences</t>
  </si>
  <si>
    <t>Aspect</t>
  </si>
  <si>
    <t>Excel POC (3 Fixed Intervals)</t>
  </si>
  <si>
    <t>Real-Time Python (Sliding Window)</t>
  </si>
  <si>
    <t>Signal frequency</t>
  </si>
  <si>
    <t>One score snapshot per interval (3 total in POC)</t>
  </si>
  <si>
    <t>One complete score set per bar — continuous, real-time</t>
  </si>
  <si>
    <t>Window approach</t>
  </si>
  <si>
    <t>3 fixed slow+fast pairs, defined manually</t>
  </si>
  <si>
    <t>Expanding slow + sliding fast, computed automatically every bar</t>
  </si>
  <si>
    <t>Responsiveness</t>
  </si>
  <si>
    <t>Cannot detect events between interval boundaries</t>
  </si>
  <si>
    <t>Detects signal changes as soon as they occur — bar by bar</t>
  </si>
  <si>
    <t>History depth</t>
  </si>
  <si>
    <t>Fixed slow window (1000 bars in POC)</t>
  </si>
  <si>
    <t>Slow window grows with every bar — increasingly stable baseline over time</t>
  </si>
  <si>
    <t>Computation</t>
  </si>
  <si>
    <t>Excel formulas (SUMPRODUCT, LINEST etc.) — slow for large N</t>
  </si>
  <si>
    <t>NumPy vectorized operations — milliseconds per bar even for large N</t>
  </si>
  <si>
    <t>Base_FL source</t>
  </si>
  <si>
    <t>Pre-computed from MQ5 indicator export</t>
  </si>
  <si>
    <t>Computed internally via OLS regression on slow window</t>
  </si>
  <si>
    <t>SCD computation</t>
  </si>
  <si>
    <t>AL/AM helper columns with carry-forward formulas in Excel</t>
  </si>
  <si>
    <t>State variable updated each bar in Python loop — cleaner and faster</t>
  </si>
  <si>
    <t>Alert flags</t>
  </si>
  <si>
    <t>Static threshold cells (col E) in Excel sheet</t>
  </si>
  <si>
    <t>Configurable threshold dict in Python — easily adjusted per regime</t>
  </si>
  <si>
    <t>Output format</t>
  </si>
  <si>
    <t>Excel rows in 4 separate sheets (Int1/2/3 + Comp)</t>
  </si>
  <si>
    <t>Pandas DataFrame — one row per bar, all fields in columns</t>
  </si>
  <si>
    <t>Scalability</t>
  </si>
  <si>
    <t>Limited by Excel row/formula limits</t>
  </si>
  <si>
    <t>Scales to any bar count — memory and compute linear in N</t>
  </si>
  <si>
    <t>Proof of concept — validate model logic and formulas</t>
  </si>
  <si>
    <t>Production model — live trading signal generation</t>
  </si>
  <si>
    <t>IMPLEMENTATION NOTE: The Excel workbook (Model_v2.xlsx) serves as the validated specification. All formulas, weights, thresholds, and signal logic defined in the MACD_H2 sheets and H2_Signal_Guide are the authoritative reference for the Python implementation. The Python model should reproduce identical scores to the Excel POC for the same input data before being considered production-ready.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</si>
</sst>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45" x14ac:knownFonts="1">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1"/>
      <color rgb="FFFF0000"/>
      <name val="Calibri"/>
      <family val="2"/>
      <scheme val="minor"/>
    </font>
    <font>
      <b/>
      <sz val="11"/>
      <color rgb="FFFFFFFF"/>
      <name val="Calibri"/>
    </font>
    <font>
      <b/>
      <sz val="11"/>
      <name val="Calibri"/>
    </font>
    <font>
      <b/>
      <sz val="11"/>
      <color rgb="FFFFFFFF"/>
      <name val="Calibri"/>
    </font>
    <font>
      <b/>
      <sz val="11"/>
      <color rgb="FFFFFFFF"/>
      <name val="Calibri"/>
    </font>
    <font>
      <b/>
      <sz val="10"/>
      <color rgb="FFFFFFFF"/>
      <name val="Calibri"/>
    </font>
    <font>
      <sz val="10"/>
      <color rgb="FF7F6000"/>
      <name val="Calibri"/>
    </font>
    <font>
      <sz val="10"/>
      <color rgb="FF000000"/>
      <name val="Calibri"/>
    </font>
    <font>
      <sz val="8"/>
      <color rgb="FF7030A0"/>
      <name val="Calibri"/>
    </font>
    <font>
      <b/>
      <sz val="10"/>
      <color rgb="FF000000"/>
      <name val="Calibri"/>
    </font>
    <font>
      <b/>
      <sz val="10"/>
      <color rgb="FF7F6000"/>
      <name val="Calibri"/>
    </font>
    <font>
      <sz val="9"/>
      <color rgb="FF1F3864"/>
      <name val="Calibri"/>
    </font>
    <font>
      <sz val="9"/>
      <color rgb="FF7030A0"/>
      <name val="Calibri"/>
    </font>
    <font>
      <b/>
      <sz val="12"/>
      <color rgb="FFFFFFFF"/>
      <name val="Calibri"/>
    </font>
    <font>
      <i/>
      <sz val="9"/>
      <color rgb="FF4B1A80"/>
      <name val="Calibri"/>
    </font>
    <font>
      <b/>
      <sz val="9"/>
      <color rgb="FF1F3864"/>
      <name val="Calibri"/>
    </font>
    <font>
      <b/>
      <sz val="9"/>
      <color rgb="FF375623"/>
      <name val="Calibri"/>
    </font>
    <font>
      <sz val="9"/>
      <color rgb="FF404040"/>
      <name val="Calibri"/>
    </font>
    <font>
      <sz val="9"/>
      <color rgb="FF1F4E79"/>
      <name val="Calibri"/>
    </font>
    <font>
      <b/>
      <sz val="9"/>
      <color rgb="FF1F4E79"/>
      <name val="Calibri"/>
    </font>
    <font>
      <sz val="9"/>
      <color rgb="FF000000"/>
      <name val="Calibri"/>
    </font>
    <font>
      <b/>
      <sz val="9"/>
      <color rgb="FF7030A0"/>
      <name val="Calibri"/>
    </font>
    <font>
      <b/>
      <sz val="9"/>
      <color rgb="FF404040"/>
      <name val="Calibri"/>
    </font>
    <font>
      <b/>
      <sz val="9"/>
      <color rgb="FFC55A11"/>
      <name val="Calibri"/>
    </font>
    <font>
      <b/>
      <sz val="9"/>
      <color rgb="FFFFFFFF"/>
      <name val="Calibri"/>
    </font>
    <font>
      <b/>
      <sz val="9"/>
      <color rgb="FF7F6000"/>
      <name val="Calibri"/>
    </font>
    <font>
      <b/>
      <sz val="9"/>
      <color rgb="FF276221"/>
      <name val="Calibri"/>
    </font>
    <font>
      <b/>
      <sz val="9"/>
      <color rgb="FF9C0006"/>
      <name val="Calibri"/>
    </font>
    <font>
      <b/>
      <sz val="9"/>
      <color rgb="FF595959"/>
      <name val="Calibri"/>
    </font>
    <font>
      <b/>
      <sz val="9"/>
      <color rgb="FF843C0C"/>
      <name val="Calibri"/>
    </font>
    <font>
      <sz val="9"/>
      <color rgb="FF7F6000"/>
      <name val="Calibri"/>
    </font>
    <font>
      <b/>
      <sz val="13"/>
      <color rgb="FFFFFFFF"/>
      <name val="Calibri"/>
    </font>
    <font>
      <sz val="10"/>
      <color rgb="FF1F4E79"/>
      <name val="Calibri"/>
    </font>
    <font>
      <i/>
      <sz val="9"/>
      <color rgb="FF595959"/>
      <name val="Calibri"/>
    </font>
    <font>
      <i/>
      <sz val="9"/>
      <color rgb="FF7F6000"/>
      <name val="Calibri"/>
    </font>
    <font>
      <sz val="9"/>
      <color rgb="FF375623"/>
      <name val="Calibri"/>
    </font>
    <font>
      <sz val="9"/>
      <color rgb="FF843C0C"/>
      <name val="Calibri"/>
    </font>
    <font>
      <i/>
      <sz val="9"/>
      <color rgb="FF7030A0"/>
      <name val="Calibri"/>
    </font>
    <font>
      <i/>
      <sz val="8"/>
      <color rgb="FF1F3864"/>
      <name val="Calibri"/>
    </font>
    <font>
      <i/>
      <sz val="9"/>
      <color rgb="FF375623"/>
      <name val="Calibri"/>
    </font>
    <font>
      <sz val="9"/>
      <color rgb="FF276221"/>
      <name val="Calibri"/>
    </font>
  </fonts>
  <fills count="4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2F2F2"/>
      </patternFill>
    </fill>
    <fill>
      <patternFill patternType="solid">
        <fgColor rgb="FFFF0000"/>
        <bgColor indexed="64"/>
      </patternFill>
    </fill>
    <fill>
      <patternFill patternType="solid">
        <fgColor rgb="FF00B050"/>
        <bgColor indexed="64"/>
      </patternFill>
    </fill>
    <fill>
      <patternFill patternType="solid">
        <fgColor rgb="FF7030A0"/>
        <bgColor indexed="64"/>
      </patternFill>
    </fill>
    <fill>
      <patternFill patternType="solid">
        <fgColor rgb="FF1F4E79"/>
      </patternFill>
    </fill>
    <fill>
      <patternFill patternType="solid">
        <fgColor rgb="FFFFF9E6"/>
      </patternFill>
    </fill>
    <fill>
      <patternFill patternType="solid">
        <fgColor rgb="FFD6E4F7"/>
      </patternFill>
    </fill>
    <fill>
      <patternFill patternType="solid">
        <fgColor rgb="FFEBF5FB"/>
      </patternFill>
    </fill>
    <fill>
      <patternFill patternType="solid">
        <fgColor rgb="FFFFF2CC"/>
      </patternFill>
    </fill>
    <fill>
      <patternFill patternType="solid">
        <fgColor rgb="FF2E75B6"/>
      </patternFill>
    </fill>
    <fill>
      <patternFill patternType="solid">
        <fgColor rgb="FF7030A0"/>
      </patternFill>
    </fill>
    <fill>
      <patternFill patternType="solid">
        <fgColor rgb="FF1F3864"/>
      </patternFill>
    </fill>
    <fill>
      <patternFill patternType="solid">
        <fgColor rgb="FF2E75B6"/>
      </patternFill>
    </fill>
    <fill>
      <patternFill patternType="solid">
        <fgColor rgb="FF5BA3C9"/>
      </patternFill>
    </fill>
    <fill>
      <patternFill patternType="solid">
        <fgColor rgb="FFFFF2CC"/>
      </patternFill>
    </fill>
    <fill>
      <patternFill patternType="solid">
        <fgColor rgb="FFD9D9D9"/>
      </patternFill>
    </fill>
    <fill>
      <patternFill patternType="solid">
        <fgColor rgb="FFFFFFFF"/>
      </patternFill>
    </fill>
    <fill>
      <patternFill patternType="solid">
        <fgColor rgb="FFEFE6F7"/>
      </patternFill>
    </fill>
    <fill>
      <patternFill patternType="solid">
        <fgColor rgb="FFF3EDF9"/>
      </patternFill>
    </fill>
    <fill>
      <patternFill patternType="solid">
        <fgColor rgb="FFED7D31"/>
      </patternFill>
    </fill>
    <fill>
      <patternFill patternType="solid">
        <fgColor rgb="FFF4B183"/>
      </patternFill>
    </fill>
    <fill>
      <patternFill patternType="solid">
        <fgColor rgb="FF374151"/>
      </patternFill>
    </fill>
    <fill>
      <patternFill patternType="solid">
        <fgColor rgb="FFEFF3FB"/>
      </patternFill>
    </fill>
    <fill>
      <patternFill patternType="solid">
        <fgColor rgb="FFF3E6F7"/>
      </patternFill>
    </fill>
    <fill>
      <patternFill patternType="solid">
        <fgColor rgb="FFD9D2E9"/>
      </patternFill>
    </fill>
    <fill>
      <patternFill patternType="solid">
        <fgColor rgb="FFE2EFDA"/>
      </patternFill>
    </fill>
    <fill>
      <patternFill patternType="solid">
        <fgColor rgb="FFFCE4D6"/>
      </patternFill>
    </fill>
    <fill>
      <patternFill patternType="solid">
        <fgColor rgb="FFD6E4F0"/>
      </patternFill>
    </fill>
    <fill>
      <patternFill patternType="solid">
        <fgColor rgb="FFDEEAF1"/>
      </patternFill>
    </fill>
    <fill>
      <patternFill patternType="solid">
        <fgColor rgb="FFFAFAFA"/>
      </patternFill>
    </fill>
    <fill>
      <patternFill patternType="solid">
        <fgColor rgb="FFF5F5F5"/>
      </patternFill>
    </fill>
    <fill>
      <patternFill patternType="solid">
        <fgColor rgb="FFC9C9C9"/>
      </patternFill>
    </fill>
    <fill>
      <patternFill patternType="solid">
        <fgColor rgb="FFDDEBF7"/>
      </patternFill>
    </fill>
    <fill>
      <patternFill patternType="solid">
        <fgColor rgb="FFFEFEFE"/>
      </patternFill>
    </fill>
    <fill>
      <patternFill patternType="solid">
        <fgColor rgb="FF70AD47"/>
      </patternFill>
    </fill>
    <fill>
      <patternFill patternType="solid">
        <fgColor rgb="FFC00000"/>
      </patternFill>
    </fill>
    <fill>
      <patternFill patternType="solid">
        <fgColor rgb="FFF0F7FF"/>
      </patternFill>
    </fill>
    <fill>
      <patternFill patternType="solid">
        <fgColor rgb="FFF0F0F0"/>
      </patternFill>
    </fill>
    <fill>
      <patternFill patternType="solid">
        <fgColor rgb="FF375623"/>
      </patternFill>
    </fill>
  </fills>
  <borders count="1">
    <border>
      <left/>
      <right/>
      <top/>
      <bottom/>
      <diagonal/>
    </border>
  </borders>
  <cellStyleXfs count="1">
    <xf numFmtId="0" fontId="0" fillId="0" borderId="0"/>
  </cellStyleXfs>
  <cellXfs count="156">
    <xf numFmtId="0" fontId="0" fillId="0" borderId="0" xfId="0"/>
    <xf numFmtId="0" fontId="2" fillId="0" borderId="0" xfId="0" applyFont="1"/>
    <xf numFmtId="0" fontId="1" fillId="6" borderId="0" xfId="0" applyFont="1" applyFill="1" applyAlignment="1">
      <alignment horizontal="center"/>
    </xf>
    <xf numFmtId="0" fontId="1" fillId="7" borderId="0" xfId="0" applyFont="1" applyFill="1" applyAlignment="1">
      <alignment horizontal="center"/>
    </xf>
    <xf numFmtId="0" fontId="1" fillId="7" borderId="0" xfId="0" applyFont="1" applyFill="1"/>
    <xf numFmtId="0" fontId="4" fillId="0" borderId="0" xfId="0" applyFont="1"/>
    <xf numFmtId="0" fontId="0" fillId="10" borderId="0" xfId="0" applyFill="1" applyAlignment="1">
      <alignment vertical="center" wrapText="1"/>
    </xf>
    <xf numFmtId="0" fontId="0" fillId="10" borderId="0" xfId="0" applyFill="1" applyAlignment="1">
      <alignment horizontal="right" vertical="center"/>
    </xf>
    <xf numFmtId="0" fontId="2" fillId="11" borderId="0" xfId="0" applyFont="1" applyFill="1" applyAlignment="1">
      <alignment vertical="center" wrapText="1"/>
    </xf>
    <xf numFmtId="0" fontId="2" fillId="12" borderId="0" xfId="0" applyFont="1" applyFill="1" applyAlignment="1">
      <alignment horizontal="right" vertical="center"/>
    </xf>
    <xf numFmtId="0" fontId="0" fillId="11" borderId="0" xfId="0" applyFill="1" applyAlignment="1">
      <alignment vertical="center" wrapText="1"/>
    </xf>
    <xf numFmtId="11" fontId="0" fillId="12" borderId="0" xfId="0" applyNumberFormat="1" applyFill="1" applyAlignment="1">
      <alignment horizontal="right" vertical="center"/>
    </xf>
    <xf numFmtId="0" fontId="0" fillId="12" borderId="0" xfId="0" applyFill="1" applyAlignment="1">
      <alignment horizontal="right" vertical="center"/>
    </xf>
    <xf numFmtId="0" fontId="1" fillId="11" borderId="0" xfId="0" applyFont="1" applyFill="1" applyAlignment="1">
      <alignment vertical="center" wrapText="1"/>
    </xf>
    <xf numFmtId="0" fontId="3" fillId="12" borderId="0" xfId="0" applyFont="1" applyFill="1" applyAlignment="1">
      <alignment horizontal="right" vertical="center"/>
    </xf>
    <xf numFmtId="0" fontId="7" fillId="15" borderId="0" xfId="0" applyFont="1" applyFill="1" applyAlignment="1">
      <alignment horizontal="center"/>
    </xf>
    <xf numFmtId="0" fontId="11" fillId="20" borderId="0" xfId="0" applyFont="1" applyFill="1" applyAlignment="1">
      <alignment horizontal="left" vertical="center"/>
    </xf>
    <xf numFmtId="0" fontId="9" fillId="16" borderId="0" xfId="0" applyFont="1" applyFill="1" applyAlignment="1">
      <alignment horizontal="left" vertical="center"/>
    </xf>
    <xf numFmtId="0" fontId="9" fillId="16" borderId="0" xfId="0" applyFont="1" applyFill="1" applyAlignment="1">
      <alignment horizontal="center" vertical="center"/>
    </xf>
    <xf numFmtId="0" fontId="9" fillId="17" borderId="0" xfId="0" applyFont="1" applyFill="1" applyAlignment="1">
      <alignment horizontal="center" vertical="center"/>
    </xf>
    <xf numFmtId="0" fontId="11" fillId="21" borderId="0" xfId="0" applyFont="1" applyFill="1" applyAlignment="1">
      <alignment horizontal="left" vertical="center"/>
    </xf>
    <xf numFmtId="1" fontId="11" fillId="21" borderId="0" xfId="0" applyNumberFormat="1" applyFont="1" applyFill="1" applyAlignment="1">
      <alignment horizontal="center" vertical="center"/>
    </xf>
    <xf numFmtId="164" fontId="11" fillId="21" borderId="0" xfId="0" applyNumberFormat="1" applyFont="1" applyFill="1" applyAlignment="1">
      <alignment horizontal="center" vertical="center"/>
    </xf>
    <xf numFmtId="2" fontId="11" fillId="21" borderId="0" xfId="0" applyNumberFormat="1" applyFont="1" applyFill="1" applyAlignment="1">
      <alignment horizontal="center" vertical="center"/>
    </xf>
    <xf numFmtId="0" fontId="11" fillId="5" borderId="0" xfId="0" applyFont="1" applyFill="1" applyAlignment="1">
      <alignment horizontal="left" vertical="center"/>
    </xf>
    <xf numFmtId="0" fontId="11" fillId="5" borderId="0" xfId="0" applyFont="1" applyFill="1" applyAlignment="1">
      <alignment horizontal="center" vertical="center"/>
    </xf>
    <xf numFmtId="0" fontId="11" fillId="22" borderId="0" xfId="0" applyFont="1" applyFill="1" applyAlignment="1">
      <alignment horizontal="left" vertical="center"/>
    </xf>
    <xf numFmtId="2" fontId="11" fillId="22" borderId="0" xfId="0" applyNumberFormat="1" applyFont="1" applyFill="1" applyAlignment="1">
      <alignment horizontal="center" vertical="center"/>
    </xf>
    <xf numFmtId="164" fontId="11" fillId="22" borderId="0" xfId="0" applyNumberFormat="1" applyFont="1" applyFill="1" applyAlignment="1">
      <alignment horizontal="center" vertical="center"/>
    </xf>
    <xf numFmtId="0" fontId="11" fillId="23" borderId="0" xfId="0" applyFont="1" applyFill="1" applyAlignment="1">
      <alignment horizontal="left" vertical="center"/>
    </xf>
    <xf numFmtId="2" fontId="11" fillId="23" borderId="0" xfId="0" applyNumberFormat="1" applyFont="1" applyFill="1" applyAlignment="1">
      <alignment horizontal="center" vertical="center"/>
    </xf>
    <xf numFmtId="1" fontId="11" fillId="22" borderId="0" xfId="0" applyNumberFormat="1" applyFont="1" applyFill="1" applyAlignment="1">
      <alignment horizontal="center" vertical="center"/>
    </xf>
    <xf numFmtId="0" fontId="12" fillId="22" borderId="0" xfId="0" applyFont="1" applyFill="1" applyAlignment="1">
      <alignment horizontal="left" vertical="center" wrapText="1"/>
    </xf>
    <xf numFmtId="0" fontId="13" fillId="25" borderId="0" xfId="0" applyFont="1" applyFill="1" applyAlignment="1">
      <alignment horizontal="left" vertical="center"/>
    </xf>
    <xf numFmtId="0" fontId="13" fillId="25" borderId="0" xfId="0" applyFont="1" applyFill="1" applyAlignment="1">
      <alignment horizontal="center" vertical="center"/>
    </xf>
    <xf numFmtId="0" fontId="11" fillId="19" borderId="0" xfId="0" applyFont="1" applyFill="1" applyAlignment="1">
      <alignment horizontal="left" vertical="center"/>
    </xf>
    <xf numFmtId="164" fontId="11" fillId="19" borderId="0" xfId="0" applyNumberFormat="1" applyFont="1" applyFill="1" applyAlignment="1">
      <alignment horizontal="center" vertical="center"/>
    </xf>
    <xf numFmtId="2" fontId="13" fillId="4" borderId="0" xfId="0" applyNumberFormat="1" applyFont="1" applyFill="1" applyAlignment="1">
      <alignment horizontal="center" vertical="center"/>
    </xf>
    <xf numFmtId="2" fontId="9" fillId="16" borderId="0" xfId="0" applyNumberFormat="1" applyFont="1" applyFill="1" applyAlignment="1">
      <alignment horizontal="center" vertical="center"/>
    </xf>
    <xf numFmtId="0" fontId="14" fillId="19" borderId="0" xfId="0" applyFont="1" applyFill="1" applyAlignment="1">
      <alignment horizontal="center" vertical="center" wrapText="1"/>
    </xf>
    <xf numFmtId="0" fontId="9" fillId="26" borderId="0" xfId="0" applyFont="1" applyFill="1" applyAlignment="1">
      <alignment horizontal="center" vertical="center"/>
    </xf>
    <xf numFmtId="0" fontId="9" fillId="18" borderId="0" xfId="0" applyFont="1" applyFill="1" applyAlignment="1">
      <alignment horizontal="center" vertical="center"/>
    </xf>
    <xf numFmtId="1" fontId="11" fillId="0" borderId="0" xfId="0" applyNumberFormat="1" applyFont="1" applyAlignment="1">
      <alignment horizontal="center" vertical="center"/>
    </xf>
    <xf numFmtId="2" fontId="11" fillId="0" borderId="0" xfId="0" applyNumberFormat="1" applyFont="1" applyAlignment="1">
      <alignment horizontal="center" vertical="center"/>
    </xf>
    <xf numFmtId="164" fontId="11" fillId="0" borderId="0" xfId="0" applyNumberFormat="1" applyFont="1" applyAlignment="1">
      <alignment horizontal="center" vertical="center"/>
    </xf>
    <xf numFmtId="0" fontId="11" fillId="4" borderId="0" xfId="0" applyFont="1" applyFill="1" applyAlignment="1">
      <alignment horizontal="left" vertical="center"/>
    </xf>
    <xf numFmtId="0" fontId="10" fillId="19" borderId="0" xfId="0" applyFont="1" applyFill="1" applyAlignment="1">
      <alignment horizontal="left" vertical="center"/>
    </xf>
    <xf numFmtId="0" fontId="11" fillId="29" borderId="0" xfId="0" applyFont="1" applyFill="1" applyAlignment="1">
      <alignment horizontal="left" vertical="center"/>
    </xf>
    <xf numFmtId="2" fontId="11" fillId="29" borderId="0" xfId="0" applyNumberFormat="1" applyFont="1" applyFill="1" applyAlignment="1">
      <alignment horizontal="center" vertical="center"/>
    </xf>
    <xf numFmtId="1" fontId="13" fillId="30" borderId="0" xfId="0" applyNumberFormat="1" applyFont="1" applyFill="1" applyAlignment="1">
      <alignment horizontal="center" vertical="center"/>
    </xf>
    <xf numFmtId="0" fontId="13" fillId="31" borderId="0" xfId="0" applyFont="1" applyFill="1" applyAlignment="1">
      <alignment horizontal="center" vertical="center"/>
    </xf>
    <xf numFmtId="0" fontId="9" fillId="26" borderId="0" xfId="0" applyFont="1" applyFill="1" applyAlignment="1">
      <alignment horizontal="center" vertical="top"/>
    </xf>
    <xf numFmtId="0" fontId="25" fillId="21" borderId="0" xfId="0" applyFont="1" applyFill="1" applyAlignment="1">
      <alignment horizontal="left" vertical="top" wrapText="1"/>
    </xf>
    <xf numFmtId="0" fontId="20" fillId="30" borderId="0" xfId="0" applyFont="1" applyFill="1" applyAlignment="1">
      <alignment horizontal="left" vertical="top" wrapText="1"/>
    </xf>
    <xf numFmtId="0" fontId="21" fillId="21" borderId="0" xfId="0" applyFont="1" applyFill="1" applyAlignment="1">
      <alignment horizontal="left" vertical="top" wrapText="1"/>
    </xf>
    <xf numFmtId="0" fontId="22" fillId="21" borderId="0" xfId="0" applyFont="1" applyFill="1" applyAlignment="1">
      <alignment horizontal="left" vertical="top" wrapText="1"/>
    </xf>
    <xf numFmtId="0" fontId="23" fillId="33" borderId="0" xfId="0" applyFont="1" applyFill="1" applyAlignment="1">
      <alignment horizontal="center" vertical="top" wrapText="1"/>
    </xf>
    <xf numFmtId="0" fontId="24" fillId="34" borderId="0" xfId="0" applyFont="1" applyFill="1" applyAlignment="1">
      <alignment horizontal="left" vertical="top" wrapText="1"/>
    </xf>
    <xf numFmtId="0" fontId="25" fillId="35" borderId="0" xfId="0" applyFont="1" applyFill="1" applyAlignment="1">
      <alignment horizontal="left" vertical="top" wrapText="1"/>
    </xf>
    <xf numFmtId="0" fontId="21" fillId="35" borderId="0" xfId="0" applyFont="1" applyFill="1" applyAlignment="1">
      <alignment horizontal="left" vertical="top" wrapText="1"/>
    </xf>
    <xf numFmtId="0" fontId="22" fillId="35" borderId="0" xfId="0" applyFont="1" applyFill="1" applyAlignment="1">
      <alignment horizontal="left" vertical="top" wrapText="1"/>
    </xf>
    <xf numFmtId="0" fontId="26" fillId="20" borderId="0" xfId="0" applyFont="1" applyFill="1" applyAlignment="1">
      <alignment horizontal="center" vertical="top" wrapText="1"/>
    </xf>
    <xf numFmtId="0" fontId="27" fillId="31" borderId="0" xfId="0" applyFont="1" applyFill="1" applyAlignment="1">
      <alignment horizontal="center" vertical="top" wrapText="1"/>
    </xf>
    <xf numFmtId="0" fontId="28" fillId="24" borderId="0" xfId="0" applyFont="1" applyFill="1" applyAlignment="1">
      <alignment horizontal="center" vertical="top" wrapText="1"/>
    </xf>
    <xf numFmtId="0" fontId="11" fillId="36" borderId="0" xfId="0" applyFont="1" applyFill="1" applyAlignment="1">
      <alignment horizontal="left" vertical="top" wrapText="1"/>
    </xf>
    <xf numFmtId="0" fontId="29" fillId="19" borderId="0" xfId="0" applyFont="1" applyFill="1" applyAlignment="1">
      <alignment horizontal="center" vertical="top" wrapText="1"/>
    </xf>
    <xf numFmtId="0" fontId="19" fillId="37" borderId="0" xfId="0" applyFont="1" applyFill="1" applyAlignment="1">
      <alignment horizontal="center" vertical="top" wrapText="1"/>
    </xf>
    <xf numFmtId="0" fontId="30" fillId="2" borderId="0" xfId="0" applyFont="1" applyFill="1" applyAlignment="1">
      <alignment horizontal="center" vertical="top" wrapText="1"/>
    </xf>
    <xf numFmtId="0" fontId="20" fillId="30" borderId="0" xfId="0" applyFont="1" applyFill="1" applyAlignment="1">
      <alignment horizontal="center" vertical="top" wrapText="1"/>
    </xf>
    <xf numFmtId="0" fontId="31" fillId="3" borderId="0" xfId="0" applyFont="1" applyFill="1" applyAlignment="1">
      <alignment horizontal="center" vertical="top" wrapText="1"/>
    </xf>
    <xf numFmtId="0" fontId="32" fillId="5" borderId="0" xfId="0" applyFont="1" applyFill="1" applyAlignment="1">
      <alignment horizontal="center" vertical="top" wrapText="1"/>
    </xf>
    <xf numFmtId="0" fontId="33" fillId="31" borderId="0" xfId="0" applyFont="1" applyFill="1" applyAlignment="1">
      <alignment horizontal="center" vertical="top" wrapText="1"/>
    </xf>
    <xf numFmtId="0" fontId="25" fillId="22" borderId="0" xfId="0" applyFont="1" applyFill="1" applyAlignment="1">
      <alignment horizontal="center" vertical="top" wrapText="1"/>
    </xf>
    <xf numFmtId="0" fontId="23" fillId="37" borderId="0" xfId="0" applyFont="1" applyFill="1" applyAlignment="1">
      <alignment horizontal="center" vertical="top" wrapText="1"/>
    </xf>
    <xf numFmtId="0" fontId="19" fillId="38" borderId="0" xfId="0" applyFont="1" applyFill="1" applyAlignment="1">
      <alignment horizontal="center" vertical="top" wrapText="1"/>
    </xf>
    <xf numFmtId="0" fontId="21" fillId="38" borderId="0" xfId="0" applyFont="1" applyFill="1" applyAlignment="1">
      <alignment horizontal="left" vertical="top" wrapText="1"/>
    </xf>
    <xf numFmtId="0" fontId="22" fillId="38" borderId="0" xfId="0" applyFont="1" applyFill="1" applyAlignment="1">
      <alignment horizontal="left" vertical="top" wrapText="1"/>
    </xf>
    <xf numFmtId="0" fontId="28" fillId="39" borderId="0" xfId="0" applyFont="1" applyFill="1" applyAlignment="1">
      <alignment horizontal="center" vertical="top" wrapText="1"/>
    </xf>
    <xf numFmtId="0" fontId="19" fillId="35" borderId="0" xfId="0" applyFont="1" applyFill="1" applyAlignment="1">
      <alignment horizontal="center" vertical="top" wrapText="1"/>
    </xf>
    <xf numFmtId="0" fontId="28" fillId="40" borderId="0" xfId="0" applyFont="1" applyFill="1" applyAlignment="1">
      <alignment horizontal="center" vertical="top" wrapText="1"/>
    </xf>
    <xf numFmtId="0" fontId="11" fillId="36" borderId="0" xfId="0" applyFont="1" applyFill="1" applyAlignment="1">
      <alignment horizontal="left" vertical="center" wrapText="1"/>
    </xf>
    <xf numFmtId="0" fontId="19" fillId="21" borderId="0" xfId="0" applyFont="1" applyFill="1" applyAlignment="1">
      <alignment horizontal="left" vertical="center" wrapText="1"/>
    </xf>
    <xf numFmtId="0" fontId="22" fillId="33" borderId="0" xfId="0" applyFont="1" applyFill="1" applyAlignment="1">
      <alignment horizontal="center" vertical="center" wrapText="1"/>
    </xf>
    <xf numFmtId="0" fontId="22" fillId="37" borderId="0" xfId="0" applyFont="1" applyFill="1" applyAlignment="1">
      <alignment horizontal="center" vertical="center" wrapText="1"/>
    </xf>
    <xf numFmtId="0" fontId="21" fillId="21" borderId="0" xfId="0" applyFont="1" applyFill="1" applyAlignment="1">
      <alignment horizontal="center" vertical="center" wrapText="1"/>
    </xf>
    <xf numFmtId="0" fontId="37" fillId="34" borderId="0" xfId="0" applyFont="1" applyFill="1" applyAlignment="1">
      <alignment horizontal="left" vertical="center" wrapText="1"/>
    </xf>
    <xf numFmtId="0" fontId="19" fillId="5" borderId="0" xfId="0" applyFont="1" applyFill="1" applyAlignment="1">
      <alignment horizontal="left" vertical="center" wrapText="1"/>
    </xf>
    <xf numFmtId="0" fontId="21" fillId="5" borderId="0" xfId="0" applyFont="1" applyFill="1" applyAlignment="1">
      <alignment horizontal="center" vertical="center" wrapText="1"/>
    </xf>
    <xf numFmtId="0" fontId="15" fillId="21" borderId="0" xfId="0" applyFont="1" applyFill="1" applyAlignment="1">
      <alignment horizontal="center" vertical="center" wrapText="1"/>
    </xf>
    <xf numFmtId="0" fontId="20" fillId="30" borderId="0" xfId="0" applyFont="1" applyFill="1" applyAlignment="1">
      <alignment horizontal="center" vertical="center" wrapText="1"/>
    </xf>
    <xf numFmtId="0" fontId="15" fillId="41" borderId="0" xfId="0" applyFont="1" applyFill="1" applyAlignment="1">
      <alignment horizontal="center" vertical="center" wrapText="1"/>
    </xf>
    <xf numFmtId="0" fontId="21" fillId="41" borderId="0" xfId="0" applyFont="1" applyFill="1" applyAlignment="1">
      <alignment horizontal="center" vertical="center" wrapText="1"/>
    </xf>
    <xf numFmtId="0" fontId="29" fillId="19" borderId="0" xfId="0" applyFont="1" applyFill="1" applyAlignment="1">
      <alignment horizontal="center" vertical="center" wrapText="1"/>
    </xf>
    <xf numFmtId="0" fontId="34" fillId="19" borderId="0" xfId="0" applyFont="1" applyFill="1" applyAlignment="1">
      <alignment horizontal="left" vertical="center" wrapText="1"/>
    </xf>
    <xf numFmtId="0" fontId="19" fillId="5" borderId="0" xfId="0" applyFont="1" applyFill="1" applyAlignment="1">
      <alignment horizontal="center" vertical="center" wrapText="1"/>
    </xf>
    <xf numFmtId="0" fontId="31" fillId="3" borderId="0" xfId="0" applyFont="1" applyFill="1" applyAlignment="1">
      <alignment horizontal="center" vertical="center" wrapText="1"/>
    </xf>
    <xf numFmtId="0" fontId="27" fillId="31" borderId="0" xfId="0" applyFont="1" applyFill="1" applyAlignment="1">
      <alignment horizontal="center" vertical="center" wrapText="1"/>
    </xf>
    <xf numFmtId="0" fontId="30" fillId="2" borderId="0" xfId="0" applyFont="1" applyFill="1" applyAlignment="1">
      <alignment horizontal="center" vertical="center" wrapText="1"/>
    </xf>
    <xf numFmtId="0" fontId="19" fillId="21" borderId="0" xfId="0" applyFont="1" applyFill="1" applyAlignment="1">
      <alignment horizontal="center" vertical="center" wrapText="1"/>
    </xf>
    <xf numFmtId="0" fontId="21" fillId="21" borderId="0" xfId="0" applyFont="1" applyFill="1" applyAlignment="1">
      <alignment horizontal="left" vertical="center" wrapText="1"/>
    </xf>
    <xf numFmtId="0" fontId="16" fillId="22" borderId="0" xfId="0" applyFont="1" applyFill="1" applyAlignment="1">
      <alignment horizontal="left" vertical="center" wrapText="1"/>
    </xf>
    <xf numFmtId="0" fontId="39" fillId="30" borderId="0" xfId="0" applyFont="1" applyFill="1" applyAlignment="1">
      <alignment horizontal="left" vertical="center" wrapText="1"/>
    </xf>
    <xf numFmtId="0" fontId="40" fillId="31" borderId="0" xfId="0" applyFont="1" applyFill="1" applyAlignment="1">
      <alignment horizontal="left" vertical="center" wrapText="1"/>
    </xf>
    <xf numFmtId="0" fontId="19" fillId="35" borderId="0" xfId="0" applyFont="1" applyFill="1" applyAlignment="1">
      <alignment horizontal="center" vertical="center" wrapText="1"/>
    </xf>
    <xf numFmtId="0" fontId="21" fillId="35" borderId="0" xfId="0" applyFont="1" applyFill="1" applyAlignment="1">
      <alignment horizontal="left" vertical="center" wrapText="1"/>
    </xf>
    <xf numFmtId="0" fontId="28" fillId="17" borderId="0" xfId="0" applyFont="1" applyFill="1" applyAlignment="1">
      <alignment horizontal="center" vertical="center" wrapText="1"/>
    </xf>
    <xf numFmtId="0" fontId="23" fillId="33" borderId="0" xfId="0" applyFont="1" applyFill="1" applyAlignment="1">
      <alignment horizontal="center" vertical="center" wrapText="1"/>
    </xf>
    <xf numFmtId="0" fontId="25" fillId="22" borderId="0" xfId="0" applyFont="1" applyFill="1" applyAlignment="1">
      <alignment horizontal="left" vertical="center" wrapText="1"/>
    </xf>
    <xf numFmtId="0" fontId="42" fillId="42" borderId="0" xfId="0" applyFont="1" applyFill="1" applyAlignment="1">
      <alignment horizontal="left" vertical="center" wrapText="1"/>
    </xf>
    <xf numFmtId="0" fontId="15" fillId="35" borderId="0" xfId="0" applyFont="1" applyFill="1" applyAlignment="1">
      <alignment horizontal="center" vertical="center" wrapText="1"/>
    </xf>
    <xf numFmtId="0" fontId="16" fillId="22" borderId="0" xfId="0" applyFont="1" applyFill="1" applyAlignment="1">
      <alignment horizontal="center" vertical="center" wrapText="1"/>
    </xf>
    <xf numFmtId="0" fontId="28" fillId="16" borderId="0" xfId="0" applyFont="1" applyFill="1" applyAlignment="1">
      <alignment horizontal="left" vertical="center" wrapText="1"/>
    </xf>
    <xf numFmtId="0" fontId="1" fillId="7" borderId="0" xfId="0" applyFont="1" applyFill="1" applyAlignment="1">
      <alignment horizontal="center"/>
    </xf>
    <xf numFmtId="0" fontId="0" fillId="0" borderId="0" xfId="0"/>
    <xf numFmtId="0" fontId="1" fillId="6" borderId="0" xfId="0" applyFont="1" applyFill="1" applyAlignment="1">
      <alignment horizontal="center"/>
    </xf>
    <xf numFmtId="0" fontId="3" fillId="7" borderId="0" xfId="0" applyFont="1" applyFill="1" applyAlignment="1">
      <alignment horizontal="center"/>
    </xf>
    <xf numFmtId="0" fontId="1" fillId="8" borderId="0" xfId="0" applyFont="1" applyFill="1" applyAlignment="1">
      <alignment horizontal="center"/>
    </xf>
    <xf numFmtId="0" fontId="6" fillId="13" borderId="0" xfId="0" applyFont="1" applyFill="1" applyAlignment="1">
      <alignment vertical="center" wrapText="1"/>
    </xf>
    <xf numFmtId="0" fontId="5" fillId="9" borderId="0" xfId="0" applyFont="1" applyFill="1" applyAlignment="1">
      <alignment vertical="center" wrapText="1"/>
    </xf>
    <xf numFmtId="0" fontId="5" fillId="14" borderId="0" xfId="0" applyFont="1" applyFill="1" applyAlignment="1">
      <alignment vertical="center" wrapText="1"/>
    </xf>
    <xf numFmtId="0" fontId="9" fillId="17" borderId="0" xfId="0" applyFont="1" applyFill="1" applyAlignment="1">
      <alignment horizontal="left" vertical="center"/>
    </xf>
    <xf numFmtId="0" fontId="9" fillId="16" borderId="0" xfId="0" applyFont="1" applyFill="1" applyAlignment="1">
      <alignment horizontal="center" vertical="center"/>
    </xf>
    <xf numFmtId="0" fontId="8" fillId="16" borderId="0" xfId="0" applyFont="1" applyFill="1" applyAlignment="1">
      <alignment horizontal="center" vertical="center"/>
    </xf>
    <xf numFmtId="0" fontId="14" fillId="19" borderId="0" xfId="0" applyFont="1" applyFill="1" applyAlignment="1">
      <alignment horizontal="left" vertical="center"/>
    </xf>
    <xf numFmtId="0" fontId="9" fillId="15" borderId="0" xfId="0" applyFont="1" applyFill="1" applyAlignment="1">
      <alignment horizontal="center" vertical="center"/>
    </xf>
    <xf numFmtId="0" fontId="10" fillId="19" borderId="0" xfId="0" applyFont="1" applyFill="1" applyAlignment="1">
      <alignment horizontal="left" vertical="center" wrapText="1"/>
    </xf>
    <xf numFmtId="0" fontId="9" fillId="24" borderId="0" xfId="0" applyFont="1" applyFill="1" applyAlignment="1">
      <alignment horizontal="center" vertical="center"/>
    </xf>
    <xf numFmtId="0" fontId="9" fillId="18" borderId="0" xfId="0" applyFont="1" applyFill="1" applyAlignment="1">
      <alignment horizontal="left" vertical="center"/>
    </xf>
    <xf numFmtId="0" fontId="9" fillId="17" borderId="0" xfId="0" applyFont="1" applyFill="1" applyAlignment="1">
      <alignment horizontal="center" vertical="center"/>
    </xf>
    <xf numFmtId="2" fontId="11" fillId="4" borderId="0" xfId="0" applyNumberFormat="1" applyFont="1" applyFill="1" applyAlignment="1">
      <alignment horizontal="center" vertical="center"/>
    </xf>
    <xf numFmtId="0" fontId="15" fillId="27" borderId="0" xfId="0" applyFont="1" applyFill="1" applyAlignment="1">
      <alignment horizontal="left" vertical="center" wrapText="1"/>
    </xf>
    <xf numFmtId="0" fontId="16" fillId="28" borderId="0" xfId="0" applyFont="1" applyFill="1" applyAlignment="1">
      <alignment horizontal="left" vertical="center" wrapText="1"/>
    </xf>
    <xf numFmtId="49" fontId="10" fillId="19" borderId="0" xfId="0" applyNumberFormat="1" applyFont="1" applyFill="1" applyAlignment="1">
      <alignment horizontal="center" vertical="center"/>
    </xf>
    <xf numFmtId="0" fontId="9" fillId="26" borderId="0" xfId="0" applyFont="1" applyFill="1" applyAlignment="1">
      <alignment horizontal="center" vertical="center"/>
    </xf>
    <xf numFmtId="2" fontId="9" fillId="16" borderId="0" xfId="0" applyNumberFormat="1" applyFont="1" applyFill="1" applyAlignment="1">
      <alignment horizontal="center" vertical="center"/>
    </xf>
    <xf numFmtId="0" fontId="18" fillId="22" borderId="0" xfId="0" applyFont="1" applyFill="1" applyAlignment="1">
      <alignment horizontal="left" vertical="top" wrapText="1"/>
    </xf>
    <xf numFmtId="0" fontId="8" fillId="15" borderId="0" xfId="0" applyFont="1" applyFill="1" applyAlignment="1">
      <alignment horizontal="left" vertical="top" wrapText="1"/>
    </xf>
    <xf numFmtId="0" fontId="15" fillId="32" borderId="0" xfId="0" applyFont="1" applyFill="1" applyAlignment="1">
      <alignment horizontal="center" vertical="top" wrapText="1"/>
    </xf>
    <xf numFmtId="0" fontId="17" fillId="16" borderId="0" xfId="0" applyFont="1" applyFill="1" applyAlignment="1">
      <alignment horizontal="center" vertical="top" wrapText="1"/>
    </xf>
    <xf numFmtId="0" fontId="34" fillId="19" borderId="0" xfId="0" applyFont="1" applyFill="1" applyAlignment="1">
      <alignment horizontal="center" vertical="top" wrapText="1"/>
    </xf>
    <xf numFmtId="0" fontId="8" fillId="16" borderId="0" xfId="0" applyFont="1" applyFill="1" applyAlignment="1">
      <alignment horizontal="center" vertical="top" wrapText="1"/>
    </xf>
    <xf numFmtId="0" fontId="37" fillId="34" borderId="0" xfId="0" applyFont="1" applyFill="1" applyAlignment="1">
      <alignment horizontal="left" vertical="center" wrapText="1"/>
    </xf>
    <xf numFmtId="0" fontId="22" fillId="21" borderId="0" xfId="0" applyFont="1" applyFill="1" applyAlignment="1">
      <alignment horizontal="left" vertical="center" wrapText="1"/>
    </xf>
    <xf numFmtId="0" fontId="43" fillId="30" borderId="0" xfId="0" applyFont="1" applyFill="1" applyAlignment="1">
      <alignment horizontal="left" vertical="center" wrapText="1"/>
    </xf>
    <xf numFmtId="0" fontId="21" fillId="34" borderId="0" xfId="0" applyFont="1" applyFill="1" applyAlignment="1">
      <alignment horizontal="left" vertical="center" wrapText="1"/>
    </xf>
    <xf numFmtId="0" fontId="41" fillId="22" borderId="0" xfId="0" applyFont="1" applyFill="1" applyAlignment="1">
      <alignment horizontal="left" vertical="center" wrapText="1"/>
    </xf>
    <xf numFmtId="0" fontId="40" fillId="31" borderId="0" xfId="0" applyFont="1" applyFill="1" applyAlignment="1">
      <alignment horizontal="left" vertical="center" wrapText="1"/>
    </xf>
    <xf numFmtId="0" fontId="36" fillId="21" borderId="0" xfId="0" applyFont="1" applyFill="1" applyAlignment="1">
      <alignment horizontal="left" vertical="center" wrapText="1"/>
    </xf>
    <xf numFmtId="0" fontId="15" fillId="35" borderId="0" xfId="0" applyFont="1" applyFill="1" applyAlignment="1">
      <alignment horizontal="left" vertical="center" wrapText="1"/>
    </xf>
    <xf numFmtId="0" fontId="15" fillId="21" borderId="0" xfId="0" applyFont="1" applyFill="1" applyAlignment="1">
      <alignment horizontal="left" vertical="center" wrapText="1"/>
    </xf>
    <xf numFmtId="0" fontId="44" fillId="30" borderId="0" xfId="0" applyFont="1" applyFill="1" applyAlignment="1">
      <alignment horizontal="left" vertical="center" wrapText="1"/>
    </xf>
    <xf numFmtId="0" fontId="8" fillId="16" borderId="0" xfId="0" applyFont="1" applyFill="1" applyAlignment="1">
      <alignment horizontal="left" vertical="center" wrapText="1"/>
    </xf>
    <xf numFmtId="0" fontId="15" fillId="32" borderId="0" xfId="0" applyFont="1" applyFill="1" applyAlignment="1">
      <alignment horizontal="left" vertical="center" wrapText="1"/>
    </xf>
    <xf numFmtId="0" fontId="38" fillId="19" borderId="0" xfId="0" applyFont="1" applyFill="1" applyAlignment="1">
      <alignment horizontal="left" vertical="center" wrapText="1"/>
    </xf>
    <xf numFmtId="0" fontId="35" fillId="16" borderId="0" xfId="0" applyFont="1" applyFill="1" applyAlignment="1">
      <alignment horizontal="center" vertical="center" wrapText="1"/>
    </xf>
    <xf numFmtId="0" fontId="9" fillId="43"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6"/>
  <sheetViews>
    <sheetView workbookViewId="0">
      <selection activeCell="A22" sqref="A22:A26"/>
    </sheetView>
  </sheetViews>
  <sheetFormatPr defaultRowHeight="14.4" x14ac:dyDescent="0.55000000000000004"/>
  <sheetData>
    <row r="1" spans="1:1" x14ac:dyDescent="0.55000000000000004">
      <c r="A1" t="s">
        <v>0</v>
      </c>
    </row>
    <row r="2" spans="1:1" x14ac:dyDescent="0.55000000000000004">
      <c r="A2" t="s">
        <v>1</v>
      </c>
    </row>
    <row r="3" spans="1:1" x14ac:dyDescent="0.55000000000000004">
      <c r="A3" t="s">
        <v>2</v>
      </c>
    </row>
    <row r="4" spans="1:1" x14ac:dyDescent="0.55000000000000004">
      <c r="A4" t="s">
        <v>3</v>
      </c>
    </row>
    <row r="5" spans="1:1" x14ac:dyDescent="0.55000000000000004">
      <c r="A5" t="s">
        <v>4</v>
      </c>
    </row>
    <row r="6" spans="1:1" x14ac:dyDescent="0.55000000000000004">
      <c r="A6" t="s">
        <v>5</v>
      </c>
    </row>
    <row r="7" spans="1:1" x14ac:dyDescent="0.55000000000000004">
      <c r="A7" t="s">
        <v>6</v>
      </c>
    </row>
    <row r="8" spans="1:1" x14ac:dyDescent="0.55000000000000004">
      <c r="A8" t="s">
        <v>7</v>
      </c>
    </row>
    <row r="9" spans="1:1" x14ac:dyDescent="0.55000000000000004">
      <c r="A9" t="s">
        <v>8</v>
      </c>
    </row>
    <row r="10" spans="1:1" x14ac:dyDescent="0.55000000000000004">
      <c r="A10" t="s">
        <v>9</v>
      </c>
    </row>
    <row r="12" spans="1:1" x14ac:dyDescent="0.55000000000000004">
      <c r="A12" t="s">
        <v>10</v>
      </c>
    </row>
    <row r="13" spans="1:1" x14ac:dyDescent="0.55000000000000004">
      <c r="A13" t="s">
        <v>11</v>
      </c>
    </row>
    <row r="14" spans="1:1" x14ac:dyDescent="0.55000000000000004">
      <c r="A14" t="s">
        <v>12</v>
      </c>
    </row>
    <row r="15" spans="1:1" x14ac:dyDescent="0.55000000000000004">
      <c r="A15" t="s">
        <v>13</v>
      </c>
    </row>
    <row r="16" spans="1:1" x14ac:dyDescent="0.55000000000000004">
      <c r="A16" t="s">
        <v>14</v>
      </c>
    </row>
    <row r="17" spans="1:1" x14ac:dyDescent="0.55000000000000004">
      <c r="A17" t="s">
        <v>15</v>
      </c>
    </row>
    <row r="18" spans="1:1" x14ac:dyDescent="0.55000000000000004">
      <c r="A18" t="s">
        <v>16</v>
      </c>
    </row>
    <row r="20" spans="1:1" x14ac:dyDescent="0.55000000000000004">
      <c r="A20" t="s">
        <v>17</v>
      </c>
    </row>
    <row r="21" spans="1:1" x14ac:dyDescent="0.55000000000000004">
      <c r="A21" t="s">
        <v>18</v>
      </c>
    </row>
    <row r="22" spans="1:1" x14ac:dyDescent="0.55000000000000004">
      <c r="A22" t="s">
        <v>19</v>
      </c>
    </row>
    <row r="23" spans="1:1" x14ac:dyDescent="0.55000000000000004">
      <c r="A23" t="s">
        <v>20</v>
      </c>
    </row>
    <row r="24" spans="1:1" x14ac:dyDescent="0.55000000000000004">
      <c r="A24" t="s">
        <v>21</v>
      </c>
    </row>
    <row r="25" spans="1:1" x14ac:dyDescent="0.55000000000000004">
      <c r="A25" t="s">
        <v>22</v>
      </c>
    </row>
    <row r="26" spans="1:1" x14ac:dyDescent="0.55000000000000004">
      <c r="A26" t="s">
        <v>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E1137"/>
  <sheetViews>
    <sheetView zoomScale="60" zoomScaleNormal="60" workbookViewId="0">
      <pane xSplit="4" ySplit="2" topLeftCell="AA3" activePane="bottomRight" state="frozen"/>
      <selection pane="topRight" activeCell="E1" sqref="E1"/>
      <selection pane="bottomLeft" activeCell="A2" sqref="A2"/>
      <selection pane="bottomRight" sqref="A1:AD1"/>
    </sheetView>
  </sheetViews>
  <sheetFormatPr defaultRowHeight="14.4" x14ac:dyDescent="0.55000000000000004"/>
  <cols>
    <col min="1" max="1" width="10.68359375" bestFit="1" customWidth="1"/>
    <col min="33" max="33" width="9.68359375" bestFit="1" customWidth="1"/>
    <col min="34" max="34" width="13.62890625" bestFit="1" customWidth="1"/>
    <col min="35" max="35" width="9.26171875" bestFit="1" customWidth="1"/>
    <col min="46" max="46" width="11.1015625" bestFit="1" customWidth="1"/>
    <col min="47" max="47" width="9.68359375" bestFit="1" customWidth="1"/>
    <col min="49" max="49" width="8.26171875" bestFit="1" customWidth="1"/>
    <col min="50" max="50" width="11.15625" bestFit="1" customWidth="1"/>
    <col min="52" max="52" width="11.1015625" bestFit="1" customWidth="1"/>
  </cols>
  <sheetData>
    <row r="1" spans="1:57" x14ac:dyDescent="0.55000000000000004">
      <c r="A1" s="112" t="s">
        <v>24</v>
      </c>
      <c r="B1" s="113"/>
      <c r="C1" s="113"/>
      <c r="D1" s="113"/>
      <c r="E1" s="113"/>
      <c r="F1" s="113"/>
      <c r="G1" s="113"/>
      <c r="H1" s="113"/>
      <c r="I1" s="113"/>
      <c r="J1" s="113"/>
      <c r="K1" s="113"/>
      <c r="L1" s="113"/>
      <c r="M1" s="113"/>
      <c r="N1" s="113"/>
      <c r="O1" s="113"/>
      <c r="P1" s="113"/>
      <c r="Q1" s="113"/>
      <c r="R1" s="113"/>
      <c r="S1" s="113"/>
      <c r="T1" s="113"/>
      <c r="U1" s="113"/>
      <c r="V1" s="113"/>
      <c r="W1" s="113"/>
      <c r="X1" s="113"/>
      <c r="Y1" s="113"/>
      <c r="Z1" s="113"/>
      <c r="AA1" s="113"/>
      <c r="AB1" s="113"/>
      <c r="AC1" s="113"/>
      <c r="AD1" s="113"/>
      <c r="AE1" s="114" t="s">
        <v>25</v>
      </c>
      <c r="AF1" s="113"/>
      <c r="AG1" s="113"/>
      <c r="AH1" s="113"/>
      <c r="AI1" s="113"/>
      <c r="AJ1" s="113"/>
      <c r="AK1" s="115" t="s">
        <v>26</v>
      </c>
      <c r="AL1" s="113"/>
      <c r="AM1" s="113"/>
      <c r="AN1" s="113"/>
      <c r="AO1" s="113"/>
      <c r="AP1" s="113"/>
      <c r="AQ1" s="113"/>
      <c r="AR1" s="113"/>
      <c r="AS1" s="114" t="s">
        <v>27</v>
      </c>
      <c r="AT1" s="113"/>
      <c r="AU1" s="113"/>
      <c r="AV1" s="113"/>
      <c r="AW1" s="113"/>
      <c r="AX1" s="113"/>
      <c r="AY1" s="112" t="s">
        <v>28</v>
      </c>
      <c r="AZ1" s="113"/>
      <c r="BA1" s="113"/>
      <c r="BB1" s="113"/>
      <c r="BC1" s="113"/>
      <c r="BD1" s="113"/>
      <c r="BE1" s="113"/>
    </row>
    <row r="2" spans="1:57" x14ac:dyDescent="0.55000000000000004">
      <c r="A2" s="4" t="s">
        <v>29</v>
      </c>
      <c r="B2" s="4" t="s">
        <v>30</v>
      </c>
      <c r="C2" s="4" t="s">
        <v>31</v>
      </c>
      <c r="D2" s="4" t="s">
        <v>32</v>
      </c>
      <c r="E2" s="4" t="s">
        <v>33</v>
      </c>
      <c r="F2" s="4" t="s">
        <v>34</v>
      </c>
      <c r="G2" s="4" t="s">
        <v>35</v>
      </c>
      <c r="H2" s="4" t="s">
        <v>36</v>
      </c>
      <c r="I2" s="4" t="s">
        <v>37</v>
      </c>
      <c r="J2" s="4" t="s">
        <v>38</v>
      </c>
      <c r="K2" s="4" t="s">
        <v>39</v>
      </c>
      <c r="L2" s="4" t="s">
        <v>40</v>
      </c>
      <c r="M2" s="4" t="s">
        <v>41</v>
      </c>
      <c r="N2" s="4" t="s">
        <v>42</v>
      </c>
      <c r="O2" s="4" t="s">
        <v>43</v>
      </c>
      <c r="P2" s="4" t="s">
        <v>44</v>
      </c>
      <c r="Q2" s="4" t="s">
        <v>45</v>
      </c>
      <c r="R2" s="4" t="s">
        <v>46</v>
      </c>
      <c r="S2" s="4" t="s">
        <v>47</v>
      </c>
      <c r="T2" s="4" t="s">
        <v>48</v>
      </c>
      <c r="U2" s="4" t="s">
        <v>49</v>
      </c>
      <c r="V2" s="4" t="s">
        <v>50</v>
      </c>
      <c r="W2" s="4" t="s">
        <v>51</v>
      </c>
      <c r="X2" s="4" t="s">
        <v>52</v>
      </c>
      <c r="Y2" s="4" t="s">
        <v>53</v>
      </c>
      <c r="Z2" s="4" t="s">
        <v>54</v>
      </c>
      <c r="AA2" s="4" t="s">
        <v>55</v>
      </c>
      <c r="AB2" s="4" t="s">
        <v>56</v>
      </c>
      <c r="AC2" s="4" t="s">
        <v>57</v>
      </c>
      <c r="AD2" s="4" t="s">
        <v>58</v>
      </c>
      <c r="AE2" s="2" t="s">
        <v>59</v>
      </c>
      <c r="AF2" s="2" t="s">
        <v>60</v>
      </c>
      <c r="AG2" s="2" t="s">
        <v>61</v>
      </c>
      <c r="AH2" s="2" t="s">
        <v>62</v>
      </c>
      <c r="AI2" s="2" t="s">
        <v>63</v>
      </c>
      <c r="AJ2" s="2" t="s">
        <v>64</v>
      </c>
      <c r="AK2" s="3" t="s">
        <v>59</v>
      </c>
      <c r="AL2" s="3" t="s">
        <v>60</v>
      </c>
      <c r="AM2" s="3" t="s">
        <v>65</v>
      </c>
      <c r="AN2" s="3" t="s">
        <v>62</v>
      </c>
      <c r="AO2" s="3" t="s">
        <v>66</v>
      </c>
      <c r="AP2" s="3" t="s">
        <v>64</v>
      </c>
      <c r="AQ2" s="3" t="s">
        <v>67</v>
      </c>
      <c r="AR2" s="3" t="s">
        <v>68</v>
      </c>
      <c r="AS2" s="2" t="s">
        <v>59</v>
      </c>
      <c r="AT2" s="2" t="s">
        <v>69</v>
      </c>
      <c r="AU2" s="2" t="s">
        <v>61</v>
      </c>
      <c r="AV2" s="2" t="s">
        <v>62</v>
      </c>
      <c r="AW2" s="2" t="s">
        <v>66</v>
      </c>
      <c r="AX2" s="2" t="s">
        <v>70</v>
      </c>
      <c r="AY2" s="3" t="s">
        <v>59</v>
      </c>
      <c r="AZ2" s="3" t="s">
        <v>69</v>
      </c>
      <c r="BA2" s="3" t="s">
        <v>65</v>
      </c>
      <c r="BB2" s="3" t="s">
        <v>62</v>
      </c>
      <c r="BC2" s="3" t="s">
        <v>66</v>
      </c>
      <c r="BD2" s="3" t="s">
        <v>64</v>
      </c>
      <c r="BE2" s="3" t="s">
        <v>71</v>
      </c>
    </row>
    <row r="3" spans="1:57" x14ac:dyDescent="0.55000000000000004">
      <c r="A3">
        <v>1776351602</v>
      </c>
      <c r="B3" t="s">
        <v>72</v>
      </c>
      <c r="C3" t="s">
        <v>73</v>
      </c>
      <c r="D3">
        <v>4806.71</v>
      </c>
      <c r="E3">
        <v>4518.5928199999998</v>
      </c>
      <c r="F3">
        <v>4596.0559499999999</v>
      </c>
      <c r="G3">
        <v>4755.40355</v>
      </c>
      <c r="H3">
        <v>4792.7697200000002</v>
      </c>
      <c r="Q3">
        <v>4817.3701300000002</v>
      </c>
      <c r="R3">
        <v>4846.7334300000002</v>
      </c>
      <c r="S3">
        <v>4873.3221999999996</v>
      </c>
      <c r="V3">
        <v>4782.4303600000003</v>
      </c>
      <c r="W3">
        <v>4748.8653599999998</v>
      </c>
      <c r="AB3">
        <v>4798.9749099999999</v>
      </c>
      <c r="AC3">
        <v>4798.2946400000001</v>
      </c>
      <c r="AD3">
        <v>1</v>
      </c>
      <c r="AE3">
        <v>1</v>
      </c>
      <c r="AF3">
        <v>0</v>
      </c>
      <c r="AG3">
        <v>4798.9749000000002</v>
      </c>
      <c r="AH3">
        <v>4817.3701000000001</v>
      </c>
      <c r="AI3">
        <v>-18.395199999999999</v>
      </c>
      <c r="AJ3">
        <v>338.38409999999999</v>
      </c>
      <c r="AK3">
        <v>1</v>
      </c>
      <c r="AL3">
        <v>0</v>
      </c>
      <c r="AM3">
        <v>4806.71</v>
      </c>
      <c r="AN3">
        <v>4817.3701000000001</v>
      </c>
      <c r="AO3">
        <v>-10.6601</v>
      </c>
      <c r="AP3">
        <v>113.6384</v>
      </c>
      <c r="AQ3">
        <v>-2.7868E-2</v>
      </c>
      <c r="AR3">
        <v>8.4489999999999999E-3</v>
      </c>
      <c r="AS3">
        <v>1</v>
      </c>
      <c r="AT3">
        <v>0</v>
      </c>
      <c r="AU3">
        <v>4798.9749000000002</v>
      </c>
      <c r="AV3">
        <v>4817.3701000000001</v>
      </c>
      <c r="AW3">
        <v>-18.395199999999999</v>
      </c>
      <c r="AX3">
        <v>338.38409999999999</v>
      </c>
      <c r="AY3">
        <v>1</v>
      </c>
      <c r="AZ3">
        <v>0</v>
      </c>
      <c r="BA3">
        <v>4806.71</v>
      </c>
      <c r="BB3">
        <v>4817.3701000000001</v>
      </c>
      <c r="BC3">
        <v>-10.6601</v>
      </c>
      <c r="BD3">
        <v>113.6384</v>
      </c>
      <c r="BE3">
        <v>0</v>
      </c>
    </row>
    <row r="4" spans="1:57" x14ac:dyDescent="0.55000000000000004">
      <c r="A4">
        <v>1776352502</v>
      </c>
      <c r="B4" t="s">
        <v>72</v>
      </c>
      <c r="C4" t="s">
        <v>73</v>
      </c>
      <c r="D4">
        <v>4802.1000000000004</v>
      </c>
      <c r="E4">
        <v>4518.5928199999998</v>
      </c>
      <c r="F4">
        <v>4596.0559499999999</v>
      </c>
      <c r="G4">
        <v>4755.40355</v>
      </c>
      <c r="H4">
        <v>4792.7697200000002</v>
      </c>
      <c r="Q4">
        <v>4817.1025200000004</v>
      </c>
      <c r="R4">
        <v>4846.4658200000003</v>
      </c>
      <c r="S4">
        <v>4873.0545899999997</v>
      </c>
      <c r="V4">
        <v>4782.1627500000004</v>
      </c>
      <c r="W4">
        <v>4748.5977599999997</v>
      </c>
      <c r="AB4">
        <v>4800.8624</v>
      </c>
      <c r="AC4">
        <v>4799.57852</v>
      </c>
      <c r="AD4">
        <v>0</v>
      </c>
      <c r="AE4">
        <v>2</v>
      </c>
      <c r="AF4">
        <v>4</v>
      </c>
      <c r="AG4">
        <v>4801.7586000000001</v>
      </c>
      <c r="AH4">
        <v>4816.2996999999996</v>
      </c>
      <c r="AI4">
        <v>-14.5411</v>
      </c>
      <c r="AJ4">
        <v>211.44479999999999</v>
      </c>
      <c r="AK4">
        <v>2</v>
      </c>
      <c r="AL4">
        <v>1</v>
      </c>
      <c r="AM4">
        <v>4802.1000000000004</v>
      </c>
      <c r="AN4">
        <v>4817.1025</v>
      </c>
      <c r="AO4">
        <v>-15.0025</v>
      </c>
      <c r="AP4">
        <v>225.07560000000001</v>
      </c>
      <c r="AQ4">
        <v>-7.7679999999999999E-2</v>
      </c>
      <c r="AR4">
        <v>3.3144E-2</v>
      </c>
      <c r="AS4">
        <v>2</v>
      </c>
      <c r="AT4">
        <v>4</v>
      </c>
      <c r="AU4">
        <v>4801.7586000000001</v>
      </c>
      <c r="AV4">
        <v>4816.2996999999996</v>
      </c>
      <c r="AW4">
        <v>-14.5411</v>
      </c>
      <c r="AX4">
        <v>211.44479999999999</v>
      </c>
      <c r="AY4">
        <v>2</v>
      </c>
      <c r="AZ4">
        <v>1</v>
      </c>
      <c r="BA4">
        <v>4802.1000000000004</v>
      </c>
      <c r="BB4">
        <v>4817.1025</v>
      </c>
      <c r="BC4">
        <v>-15.0025</v>
      </c>
      <c r="BD4">
        <v>225.07560000000001</v>
      </c>
      <c r="BE4">
        <v>1</v>
      </c>
    </row>
    <row r="5" spans="1:57" x14ac:dyDescent="0.55000000000000004">
      <c r="A5">
        <v>1776353402</v>
      </c>
      <c r="B5" t="s">
        <v>72</v>
      </c>
      <c r="C5" t="s">
        <v>73</v>
      </c>
      <c r="D5">
        <v>4802.9799999999996</v>
      </c>
      <c r="E5">
        <v>4518.5928199999998</v>
      </c>
      <c r="F5">
        <v>4596.0559499999999</v>
      </c>
      <c r="G5">
        <v>4755.40355</v>
      </c>
      <c r="H5">
        <v>4792.7697200000002</v>
      </c>
      <c r="Q5">
        <v>4816.8349200000002</v>
      </c>
      <c r="R5">
        <v>4846.1982200000002</v>
      </c>
      <c r="S5">
        <v>4872.7869899999996</v>
      </c>
      <c r="V5">
        <v>4781.8951500000003</v>
      </c>
      <c r="W5">
        <v>4748.3301499999998</v>
      </c>
      <c r="AB5">
        <v>4802.2649899999997</v>
      </c>
      <c r="AC5">
        <v>4800.9217600000002</v>
      </c>
      <c r="AD5">
        <v>0</v>
      </c>
      <c r="AE5">
        <v>3</v>
      </c>
      <c r="AF5">
        <v>13</v>
      </c>
      <c r="AG5">
        <v>4788.1799000000001</v>
      </c>
      <c r="AH5">
        <v>4813.8913000000002</v>
      </c>
      <c r="AI5">
        <v>-25.711400000000001</v>
      </c>
      <c r="AJ5">
        <v>661.0761</v>
      </c>
      <c r="AK5">
        <v>3</v>
      </c>
      <c r="AL5">
        <v>2</v>
      </c>
      <c r="AM5">
        <v>4802.9799999999996</v>
      </c>
      <c r="AN5">
        <v>4816.8348999999998</v>
      </c>
      <c r="AO5">
        <v>-13.854900000000001</v>
      </c>
      <c r="AP5">
        <v>191.9588</v>
      </c>
      <c r="AQ5">
        <v>-6.1183000000000001E-2</v>
      </c>
      <c r="AR5">
        <v>2.4108999999999998E-2</v>
      </c>
      <c r="AS5">
        <v>3</v>
      </c>
      <c r="AT5">
        <v>13</v>
      </c>
      <c r="AU5">
        <v>4788.1799000000001</v>
      </c>
      <c r="AV5">
        <v>4813.8913000000002</v>
      </c>
      <c r="AW5">
        <v>-25.711400000000001</v>
      </c>
      <c r="AX5">
        <v>661.0761</v>
      </c>
      <c r="AY5">
        <v>3</v>
      </c>
      <c r="AZ5">
        <v>2</v>
      </c>
      <c r="BA5">
        <v>4802.9799999999996</v>
      </c>
      <c r="BB5">
        <v>4816.8348999999998</v>
      </c>
      <c r="BC5">
        <v>-13.854900000000001</v>
      </c>
      <c r="BD5">
        <v>191.9588</v>
      </c>
      <c r="BE5">
        <v>4</v>
      </c>
    </row>
    <row r="6" spans="1:57" x14ac:dyDescent="0.55000000000000004">
      <c r="A6">
        <v>1776354302</v>
      </c>
      <c r="B6" t="s">
        <v>72</v>
      </c>
      <c r="C6" t="s">
        <v>73</v>
      </c>
      <c r="D6">
        <v>4807.09</v>
      </c>
      <c r="E6">
        <v>4518.5928199999998</v>
      </c>
      <c r="F6">
        <v>4596.0559499999999</v>
      </c>
      <c r="G6">
        <v>4755.40355</v>
      </c>
      <c r="H6">
        <v>4792.7697200000002</v>
      </c>
      <c r="Q6">
        <v>4816.5673100000004</v>
      </c>
      <c r="R6">
        <v>4845.9306100000003</v>
      </c>
      <c r="S6">
        <v>4872.5193799999997</v>
      </c>
      <c r="V6">
        <v>4781.6275400000004</v>
      </c>
      <c r="W6">
        <v>4748.0625499999996</v>
      </c>
      <c r="AB6">
        <v>4802.6890400000002</v>
      </c>
      <c r="AC6">
        <v>4801.8054000000002</v>
      </c>
      <c r="AD6">
        <v>0</v>
      </c>
      <c r="AE6">
        <v>4</v>
      </c>
      <c r="AF6">
        <v>20</v>
      </c>
      <c r="AG6">
        <v>4791.7371999999996</v>
      </c>
      <c r="AH6">
        <v>4812.018</v>
      </c>
      <c r="AI6">
        <v>-20.280899999999999</v>
      </c>
      <c r="AJ6">
        <v>411.31369999999998</v>
      </c>
      <c r="AK6">
        <v>4</v>
      </c>
      <c r="AL6">
        <v>3</v>
      </c>
      <c r="AM6">
        <v>4807.09</v>
      </c>
      <c r="AN6">
        <v>4816.5672999999997</v>
      </c>
      <c r="AO6">
        <v>-9.4772999999999996</v>
      </c>
      <c r="AP6">
        <v>89.819400000000002</v>
      </c>
      <c r="AQ6">
        <v>-1.9583E-2</v>
      </c>
      <c r="AR6">
        <v>5.2779999999999997E-3</v>
      </c>
      <c r="AS6">
        <v>4</v>
      </c>
      <c r="AT6">
        <v>20</v>
      </c>
      <c r="AU6">
        <v>4791.7371999999996</v>
      </c>
      <c r="AV6">
        <v>4812.018</v>
      </c>
      <c r="AW6">
        <v>-20.280899999999999</v>
      </c>
      <c r="AX6">
        <v>411.31369999999998</v>
      </c>
      <c r="AY6">
        <v>4</v>
      </c>
      <c r="AZ6">
        <v>3</v>
      </c>
      <c r="BA6">
        <v>4807.09</v>
      </c>
      <c r="BB6">
        <v>4816.5672999999997</v>
      </c>
      <c r="BC6">
        <v>-9.4772999999999996</v>
      </c>
      <c r="BD6">
        <v>89.819400000000002</v>
      </c>
      <c r="BE6">
        <v>9</v>
      </c>
    </row>
    <row r="7" spans="1:57" x14ac:dyDescent="0.55000000000000004">
      <c r="A7">
        <v>1776355202</v>
      </c>
      <c r="B7" t="s">
        <v>72</v>
      </c>
      <c r="C7" t="s">
        <v>73</v>
      </c>
      <c r="D7">
        <v>4805.0200000000004</v>
      </c>
      <c r="E7">
        <v>4518.5928199999998</v>
      </c>
      <c r="F7">
        <v>4596.0559499999999</v>
      </c>
      <c r="G7">
        <v>4755.40355</v>
      </c>
      <c r="H7">
        <v>4792.7697200000002</v>
      </c>
      <c r="Q7">
        <v>4816.2997100000002</v>
      </c>
      <c r="R7">
        <v>4845.6630100000002</v>
      </c>
      <c r="S7">
        <v>4872.2517799999996</v>
      </c>
      <c r="V7">
        <v>4781.3599400000003</v>
      </c>
      <c r="W7">
        <v>4747.7949399999998</v>
      </c>
      <c r="AB7">
        <v>4801.75857</v>
      </c>
      <c r="AC7">
        <v>4801.7819799999997</v>
      </c>
      <c r="AD7">
        <v>1</v>
      </c>
      <c r="AE7">
        <v>5</v>
      </c>
      <c r="AF7">
        <v>24</v>
      </c>
      <c r="AG7">
        <v>4791.9692999999997</v>
      </c>
      <c r="AH7">
        <v>4810.9476000000004</v>
      </c>
      <c r="AI7">
        <v>-18.978300000000001</v>
      </c>
      <c r="AJ7">
        <v>360.17660000000001</v>
      </c>
      <c r="AK7">
        <v>5</v>
      </c>
      <c r="AL7">
        <v>4</v>
      </c>
      <c r="AM7">
        <v>4805.0200000000004</v>
      </c>
      <c r="AN7">
        <v>4816.2996999999996</v>
      </c>
      <c r="AO7">
        <v>-11.2797</v>
      </c>
      <c r="AP7">
        <v>127.2319</v>
      </c>
      <c r="AQ7">
        <v>-3.3015000000000003E-2</v>
      </c>
      <c r="AR7">
        <v>1.0591E-2</v>
      </c>
      <c r="AS7">
        <v>5</v>
      </c>
      <c r="AT7">
        <v>24</v>
      </c>
      <c r="AU7">
        <v>4791.9692999999997</v>
      </c>
      <c r="AV7">
        <v>4810.9476000000004</v>
      </c>
      <c r="AW7">
        <v>-18.978300000000001</v>
      </c>
      <c r="AX7">
        <v>360.17660000000001</v>
      </c>
      <c r="AY7">
        <v>5</v>
      </c>
      <c r="AZ7">
        <v>4</v>
      </c>
      <c r="BA7">
        <v>4805.0200000000004</v>
      </c>
      <c r="BB7">
        <v>4816.2996999999996</v>
      </c>
      <c r="BC7">
        <v>-11.2797</v>
      </c>
      <c r="BD7">
        <v>127.2319</v>
      </c>
      <c r="BE7">
        <v>16</v>
      </c>
    </row>
    <row r="8" spans="1:57" x14ac:dyDescent="0.55000000000000004">
      <c r="A8">
        <v>1776356102</v>
      </c>
      <c r="B8" t="s">
        <v>72</v>
      </c>
      <c r="C8" t="s">
        <v>73</v>
      </c>
      <c r="D8">
        <v>4799.3100000000004</v>
      </c>
      <c r="E8">
        <v>4518.5928199999998</v>
      </c>
      <c r="F8">
        <v>4596.0559499999999</v>
      </c>
      <c r="G8">
        <v>4755.40355</v>
      </c>
      <c r="H8">
        <v>4792.7697200000002</v>
      </c>
      <c r="Q8">
        <v>4816.0321100000001</v>
      </c>
      <c r="R8">
        <v>4845.3954100000001</v>
      </c>
      <c r="S8">
        <v>4871.9841800000004</v>
      </c>
      <c r="V8">
        <v>4781.0923400000001</v>
      </c>
      <c r="W8">
        <v>4747.5273399999996</v>
      </c>
      <c r="AB8">
        <v>4799.5436600000003</v>
      </c>
      <c r="AC8">
        <v>4800.6628199999996</v>
      </c>
      <c r="AD8">
        <v>0</v>
      </c>
      <c r="AE8">
        <v>6</v>
      </c>
      <c r="AF8">
        <v>31</v>
      </c>
      <c r="AG8">
        <v>4794.6350000000002</v>
      </c>
      <c r="AH8">
        <v>4809.0744000000004</v>
      </c>
      <c r="AI8">
        <v>-14.439399999999999</v>
      </c>
      <c r="AJ8">
        <v>208.49629999999999</v>
      </c>
      <c r="AK8">
        <v>6</v>
      </c>
      <c r="AL8">
        <v>5</v>
      </c>
      <c r="AM8">
        <v>4799.3100000000004</v>
      </c>
      <c r="AN8">
        <v>4816.0321000000004</v>
      </c>
      <c r="AO8">
        <v>-16.722100000000001</v>
      </c>
      <c r="AP8">
        <v>279.62900000000002</v>
      </c>
      <c r="AQ8">
        <v>-0.107569</v>
      </c>
      <c r="AR8">
        <v>5.1159000000000003E-2</v>
      </c>
      <c r="AS8">
        <v>6</v>
      </c>
      <c r="AT8">
        <v>31</v>
      </c>
      <c r="AU8">
        <v>4794.6350000000002</v>
      </c>
      <c r="AV8">
        <v>4809.0744000000004</v>
      </c>
      <c r="AW8">
        <v>-14.439399999999999</v>
      </c>
      <c r="AX8">
        <v>208.49629999999999</v>
      </c>
      <c r="AY8">
        <v>6</v>
      </c>
      <c r="AZ8">
        <v>5</v>
      </c>
      <c r="BA8">
        <v>4799.3100000000004</v>
      </c>
      <c r="BB8">
        <v>4816.0321000000004</v>
      </c>
      <c r="BC8">
        <v>-16.722100000000001</v>
      </c>
      <c r="BD8">
        <v>279.62900000000002</v>
      </c>
      <c r="BE8">
        <v>25</v>
      </c>
    </row>
    <row r="9" spans="1:57" x14ac:dyDescent="0.55000000000000004">
      <c r="A9">
        <v>1776357002</v>
      </c>
      <c r="B9" t="s">
        <v>72</v>
      </c>
      <c r="C9" t="s">
        <v>73</v>
      </c>
      <c r="D9">
        <v>4790.1099999999997</v>
      </c>
      <c r="E9">
        <v>4518.5928199999998</v>
      </c>
      <c r="F9">
        <v>4596.0559499999999</v>
      </c>
      <c r="G9">
        <v>4755.40355</v>
      </c>
      <c r="H9">
        <v>4792.7697200000002</v>
      </c>
      <c r="Q9">
        <v>4815.7645000000002</v>
      </c>
      <c r="R9">
        <v>4845.1278000000002</v>
      </c>
      <c r="S9">
        <v>4871.7165699999996</v>
      </c>
      <c r="V9">
        <v>4780.8247300000003</v>
      </c>
      <c r="W9">
        <v>4747.2597400000004</v>
      </c>
      <c r="AB9">
        <v>4796.4861099999998</v>
      </c>
      <c r="AC9">
        <v>4798.5744599999998</v>
      </c>
      <c r="AD9">
        <v>0</v>
      </c>
      <c r="AE9">
        <v>7</v>
      </c>
      <c r="AF9">
        <v>39</v>
      </c>
      <c r="AG9">
        <v>4784.2444999999998</v>
      </c>
      <c r="AH9">
        <v>4806.9336000000003</v>
      </c>
      <c r="AI9">
        <v>-22.689</v>
      </c>
      <c r="AJ9">
        <v>514.79250000000002</v>
      </c>
      <c r="AK9">
        <v>7</v>
      </c>
      <c r="AL9">
        <v>6</v>
      </c>
      <c r="AM9">
        <v>4790.1099999999997</v>
      </c>
      <c r="AN9">
        <v>4815.7645000000002</v>
      </c>
      <c r="AO9">
        <v>-25.654499999999999</v>
      </c>
      <c r="AP9">
        <v>658.15340000000003</v>
      </c>
      <c r="AQ9">
        <v>-0.38842399999999999</v>
      </c>
      <c r="AR9">
        <v>0.28340599999999999</v>
      </c>
      <c r="AS9">
        <v>7</v>
      </c>
      <c r="AT9">
        <v>39</v>
      </c>
      <c r="AU9">
        <v>4784.2444999999998</v>
      </c>
      <c r="AV9">
        <v>4806.9336000000003</v>
      </c>
      <c r="AW9">
        <v>-22.689</v>
      </c>
      <c r="AX9">
        <v>514.79250000000002</v>
      </c>
      <c r="AY9">
        <v>7</v>
      </c>
      <c r="AZ9">
        <v>6</v>
      </c>
      <c r="BA9">
        <v>4790.1099999999997</v>
      </c>
      <c r="BB9">
        <v>4815.7645000000002</v>
      </c>
      <c r="BC9">
        <v>-25.654499999999999</v>
      </c>
      <c r="BD9">
        <v>658.15340000000003</v>
      </c>
      <c r="BE9">
        <v>36</v>
      </c>
    </row>
    <row r="10" spans="1:57" x14ac:dyDescent="0.55000000000000004">
      <c r="A10">
        <v>1776357902</v>
      </c>
      <c r="B10" t="s">
        <v>72</v>
      </c>
      <c r="C10" t="s">
        <v>73</v>
      </c>
      <c r="D10">
        <v>4791.99</v>
      </c>
      <c r="E10">
        <v>4518.5928199999998</v>
      </c>
      <c r="F10">
        <v>4596.0559499999999</v>
      </c>
      <c r="G10">
        <v>4755.40355</v>
      </c>
      <c r="H10">
        <v>4792.7697200000002</v>
      </c>
      <c r="Q10">
        <v>4815.4969000000001</v>
      </c>
      <c r="R10">
        <v>4844.8602000000001</v>
      </c>
      <c r="S10">
        <v>4871.4489700000004</v>
      </c>
      <c r="V10">
        <v>4780.5571300000001</v>
      </c>
      <c r="W10">
        <v>4746.9921299999996</v>
      </c>
      <c r="AB10">
        <v>4793.2913799999997</v>
      </c>
      <c r="AC10">
        <v>4795.9329200000002</v>
      </c>
      <c r="AD10">
        <v>0</v>
      </c>
      <c r="AE10">
        <v>8</v>
      </c>
      <c r="AF10">
        <v>53</v>
      </c>
      <c r="AG10">
        <v>4799.4912000000004</v>
      </c>
      <c r="AH10">
        <v>4803.1871000000001</v>
      </c>
      <c r="AI10">
        <v>-3.6960000000000002</v>
      </c>
      <c r="AJ10">
        <v>13.66</v>
      </c>
      <c r="AK10">
        <v>8</v>
      </c>
      <c r="AL10">
        <v>7</v>
      </c>
      <c r="AM10">
        <v>4791.99</v>
      </c>
      <c r="AN10">
        <v>4815.4969000000001</v>
      </c>
      <c r="AO10">
        <v>-23.506900000000002</v>
      </c>
      <c r="AP10">
        <v>552.57429999999999</v>
      </c>
      <c r="AQ10">
        <v>-0.29881400000000002</v>
      </c>
      <c r="AR10">
        <v>0.19977200000000001</v>
      </c>
      <c r="AS10">
        <v>8</v>
      </c>
      <c r="AT10">
        <v>53</v>
      </c>
      <c r="AU10">
        <v>4799.4912000000004</v>
      </c>
      <c r="AV10">
        <v>4803.1871000000001</v>
      </c>
      <c r="AW10">
        <v>-3.6960000000000002</v>
      </c>
      <c r="AX10">
        <v>13.66</v>
      </c>
      <c r="AY10">
        <v>8</v>
      </c>
      <c r="AZ10">
        <v>7</v>
      </c>
      <c r="BA10">
        <v>4791.99</v>
      </c>
      <c r="BB10">
        <v>4815.4969000000001</v>
      </c>
      <c r="BC10">
        <v>-23.506900000000002</v>
      </c>
      <c r="BD10">
        <v>552.57429999999999</v>
      </c>
      <c r="BE10">
        <v>49</v>
      </c>
    </row>
    <row r="11" spans="1:57" x14ac:dyDescent="0.55000000000000004">
      <c r="A11">
        <v>1776358802</v>
      </c>
      <c r="B11" t="s">
        <v>72</v>
      </c>
      <c r="C11" t="s">
        <v>73</v>
      </c>
      <c r="D11">
        <v>4791.41</v>
      </c>
      <c r="E11">
        <v>4518.5928199999998</v>
      </c>
      <c r="F11">
        <v>4596.0559499999999</v>
      </c>
      <c r="G11">
        <v>4755.40355</v>
      </c>
      <c r="H11">
        <v>4792.7697200000002</v>
      </c>
      <c r="Q11">
        <v>4815.2292900000002</v>
      </c>
      <c r="R11">
        <v>4844.5925900000002</v>
      </c>
      <c r="S11">
        <v>4871.1813599999996</v>
      </c>
      <c r="V11">
        <v>4780.2895200000003</v>
      </c>
      <c r="W11">
        <v>4746.7245300000004</v>
      </c>
      <c r="AB11">
        <v>4790.3715300000003</v>
      </c>
      <c r="AC11">
        <v>4793.1522299999997</v>
      </c>
      <c r="AD11">
        <v>0</v>
      </c>
      <c r="AE11">
        <v>9</v>
      </c>
      <c r="AF11">
        <v>62</v>
      </c>
      <c r="AG11">
        <v>4785.2155000000002</v>
      </c>
      <c r="AH11">
        <v>4800.7786999999998</v>
      </c>
      <c r="AI11">
        <v>-15.5631</v>
      </c>
      <c r="AJ11">
        <v>242.21100000000001</v>
      </c>
      <c r="AK11">
        <v>9</v>
      </c>
      <c r="AL11">
        <v>8</v>
      </c>
      <c r="AM11">
        <v>4791.41</v>
      </c>
      <c r="AN11">
        <v>4815.2293</v>
      </c>
      <c r="AO11">
        <v>-23.819299999999998</v>
      </c>
      <c r="AP11">
        <v>567.35860000000002</v>
      </c>
      <c r="AQ11">
        <v>-0.31088700000000002</v>
      </c>
      <c r="AR11">
        <v>0.21060499999999999</v>
      </c>
      <c r="AS11">
        <v>9</v>
      </c>
      <c r="AT11">
        <v>62</v>
      </c>
      <c r="AU11">
        <v>4785.2155000000002</v>
      </c>
      <c r="AV11">
        <v>4800.7786999999998</v>
      </c>
      <c r="AW11">
        <v>-15.5631</v>
      </c>
      <c r="AX11">
        <v>242.21100000000001</v>
      </c>
      <c r="AY11">
        <v>9</v>
      </c>
      <c r="AZ11">
        <v>8</v>
      </c>
      <c r="BA11">
        <v>4791.41</v>
      </c>
      <c r="BB11">
        <v>4815.2293</v>
      </c>
      <c r="BC11">
        <v>-23.819299999999998</v>
      </c>
      <c r="BD11">
        <v>567.35860000000002</v>
      </c>
      <c r="BE11">
        <v>64</v>
      </c>
    </row>
    <row r="12" spans="1:57" x14ac:dyDescent="0.55000000000000004">
      <c r="A12">
        <v>1776359702</v>
      </c>
      <c r="B12" t="s">
        <v>72</v>
      </c>
      <c r="C12" t="s">
        <v>73</v>
      </c>
      <c r="D12">
        <v>4785.04</v>
      </c>
      <c r="E12">
        <v>4518.5928199999998</v>
      </c>
      <c r="F12">
        <v>4596.0559499999999</v>
      </c>
      <c r="G12">
        <v>4755.40355</v>
      </c>
      <c r="H12">
        <v>4792.7697200000002</v>
      </c>
      <c r="Q12">
        <v>4814.9616900000001</v>
      </c>
      <c r="R12">
        <v>4844.3249900000001</v>
      </c>
      <c r="S12">
        <v>4870.9137600000004</v>
      </c>
      <c r="V12">
        <v>4780.0219200000001</v>
      </c>
      <c r="W12">
        <v>4746.4569199999996</v>
      </c>
      <c r="AB12">
        <v>4788.0806300000004</v>
      </c>
      <c r="AC12">
        <v>4790.61643</v>
      </c>
      <c r="AD12">
        <v>0</v>
      </c>
      <c r="AE12">
        <v>10</v>
      </c>
      <c r="AF12">
        <v>71</v>
      </c>
      <c r="AG12">
        <v>4792.9258</v>
      </c>
      <c r="AH12">
        <v>4798.3702000000003</v>
      </c>
      <c r="AI12">
        <v>-5.4443999999999999</v>
      </c>
      <c r="AJ12">
        <v>29.6418</v>
      </c>
      <c r="AK12">
        <v>10</v>
      </c>
      <c r="AL12">
        <v>9</v>
      </c>
      <c r="AM12">
        <v>4785.04</v>
      </c>
      <c r="AN12">
        <v>4814.9616999999998</v>
      </c>
      <c r="AO12">
        <v>-29.921700000000001</v>
      </c>
      <c r="AP12">
        <v>895.3075</v>
      </c>
      <c r="AQ12">
        <v>-0.61627399999999999</v>
      </c>
      <c r="AR12">
        <v>0.52444299999999999</v>
      </c>
      <c r="AS12">
        <v>10</v>
      </c>
      <c r="AT12">
        <v>71</v>
      </c>
      <c r="AU12">
        <v>4792.9258</v>
      </c>
      <c r="AV12">
        <v>4798.3702000000003</v>
      </c>
      <c r="AW12">
        <v>-5.4443999999999999</v>
      </c>
      <c r="AX12">
        <v>29.6418</v>
      </c>
      <c r="AY12">
        <v>10</v>
      </c>
      <c r="AZ12">
        <v>9</v>
      </c>
      <c r="BA12">
        <v>4785.04</v>
      </c>
      <c r="BB12">
        <v>4814.9616999999998</v>
      </c>
      <c r="BC12">
        <v>-29.921700000000001</v>
      </c>
      <c r="BD12">
        <v>895.3075</v>
      </c>
      <c r="BE12">
        <v>81</v>
      </c>
    </row>
    <row r="13" spans="1:57" x14ac:dyDescent="0.55000000000000004">
      <c r="A13">
        <v>1776360602</v>
      </c>
      <c r="B13" t="s">
        <v>72</v>
      </c>
      <c r="C13" t="s">
        <v>73</v>
      </c>
      <c r="D13">
        <v>4787.16</v>
      </c>
      <c r="E13">
        <v>4518.5928199999998</v>
      </c>
      <c r="F13">
        <v>4596.0559499999999</v>
      </c>
      <c r="G13">
        <v>4755.40355</v>
      </c>
      <c r="H13">
        <v>4792.7697200000002</v>
      </c>
      <c r="Q13">
        <v>4814.69409</v>
      </c>
      <c r="R13">
        <v>4844.0573800000002</v>
      </c>
      <c r="S13">
        <v>4870.6461600000002</v>
      </c>
      <c r="V13">
        <v>4779.75432</v>
      </c>
      <c r="W13">
        <v>4746.1893200000004</v>
      </c>
      <c r="AB13">
        <v>4786.7966200000001</v>
      </c>
      <c r="AC13">
        <v>4788.7065199999997</v>
      </c>
      <c r="AD13">
        <v>0</v>
      </c>
      <c r="AE13">
        <v>11</v>
      </c>
      <c r="AF13">
        <v>77</v>
      </c>
      <c r="AG13">
        <v>4789.1360000000004</v>
      </c>
      <c r="AH13">
        <v>4796.7646000000004</v>
      </c>
      <c r="AI13">
        <v>-7.6285999999999996</v>
      </c>
      <c r="AJ13">
        <v>58.195999999999998</v>
      </c>
      <c r="AK13">
        <v>11</v>
      </c>
      <c r="AL13">
        <v>10</v>
      </c>
      <c r="AM13">
        <v>4787.16</v>
      </c>
      <c r="AN13">
        <v>4814.6940999999997</v>
      </c>
      <c r="AO13">
        <v>-27.534099999999999</v>
      </c>
      <c r="AP13">
        <v>758.12609999999995</v>
      </c>
      <c r="AQ13">
        <v>-0.48020600000000002</v>
      </c>
      <c r="AR13">
        <v>0.37604300000000002</v>
      </c>
      <c r="AS13">
        <v>11</v>
      </c>
      <c r="AT13">
        <v>77</v>
      </c>
      <c r="AU13">
        <v>4789.1360000000004</v>
      </c>
      <c r="AV13">
        <v>4796.7646000000004</v>
      </c>
      <c r="AW13">
        <v>-7.6285999999999996</v>
      </c>
      <c r="AX13">
        <v>58.195999999999998</v>
      </c>
      <c r="AY13">
        <v>11</v>
      </c>
      <c r="AZ13">
        <v>10</v>
      </c>
      <c r="BA13">
        <v>4787.16</v>
      </c>
      <c r="BB13">
        <v>4814.6940999999997</v>
      </c>
      <c r="BC13">
        <v>-27.534099999999999</v>
      </c>
      <c r="BD13">
        <v>758.12609999999995</v>
      </c>
      <c r="BE13">
        <v>100</v>
      </c>
    </row>
    <row r="14" spans="1:57" x14ac:dyDescent="0.55000000000000004">
      <c r="A14">
        <v>1776361502</v>
      </c>
      <c r="B14" t="s">
        <v>72</v>
      </c>
      <c r="C14" t="s">
        <v>73</v>
      </c>
      <c r="D14">
        <v>4789.22</v>
      </c>
      <c r="E14">
        <v>4518.5928199999998</v>
      </c>
      <c r="F14">
        <v>4596.0559499999999</v>
      </c>
      <c r="G14">
        <v>4755.40355</v>
      </c>
      <c r="H14">
        <v>4792.7697200000002</v>
      </c>
      <c r="Q14">
        <v>4814.4264800000001</v>
      </c>
      <c r="R14">
        <v>4843.7897800000001</v>
      </c>
      <c r="S14">
        <v>4870.3785500000004</v>
      </c>
      <c r="V14">
        <v>4779.4867100000001</v>
      </c>
      <c r="W14">
        <v>4745.9217200000003</v>
      </c>
      <c r="AB14">
        <v>4786.5160599999999</v>
      </c>
      <c r="AC14">
        <v>4787.6112899999998</v>
      </c>
      <c r="AD14">
        <v>0</v>
      </c>
      <c r="AE14">
        <v>12</v>
      </c>
      <c r="AF14">
        <v>90</v>
      </c>
      <c r="AG14">
        <v>4872.1414000000004</v>
      </c>
      <c r="AH14">
        <v>4793.2857999999997</v>
      </c>
      <c r="AI14">
        <v>78.855699999999999</v>
      </c>
      <c r="AJ14">
        <v>6218.2183000000005</v>
      </c>
      <c r="AK14">
        <v>12</v>
      </c>
      <c r="AL14">
        <v>11</v>
      </c>
      <c r="AM14">
        <v>4789.22</v>
      </c>
      <c r="AN14">
        <v>4814.4264999999996</v>
      </c>
      <c r="AO14">
        <v>-25.206499999999998</v>
      </c>
      <c r="AP14">
        <v>635.36659999999995</v>
      </c>
      <c r="AQ14">
        <v>-0.36842799999999998</v>
      </c>
      <c r="AR14">
        <v>0.26412099999999999</v>
      </c>
      <c r="AS14">
        <v>12</v>
      </c>
      <c r="AT14">
        <v>90</v>
      </c>
      <c r="AU14">
        <v>4872.1414000000004</v>
      </c>
      <c r="AV14">
        <v>4793.2857999999997</v>
      </c>
      <c r="AW14">
        <v>78.855699999999999</v>
      </c>
      <c r="AX14">
        <v>6218.2183000000005</v>
      </c>
      <c r="AY14">
        <v>12</v>
      </c>
      <c r="AZ14">
        <v>11</v>
      </c>
      <c r="BA14">
        <v>4789.22</v>
      </c>
      <c r="BB14">
        <v>4814.4264999999996</v>
      </c>
      <c r="BC14">
        <v>-25.206499999999998</v>
      </c>
      <c r="BD14">
        <v>635.36659999999995</v>
      </c>
      <c r="BE14">
        <v>121</v>
      </c>
    </row>
    <row r="15" spans="1:57" x14ac:dyDescent="0.55000000000000004">
      <c r="A15">
        <v>1776362402</v>
      </c>
      <c r="B15" t="s">
        <v>72</v>
      </c>
      <c r="C15" t="s">
        <v>73</v>
      </c>
      <c r="D15">
        <v>4790.1000000000004</v>
      </c>
      <c r="E15">
        <v>4518.5928199999998</v>
      </c>
      <c r="F15">
        <v>4596.0559499999999</v>
      </c>
      <c r="G15">
        <v>4755.40355</v>
      </c>
      <c r="H15">
        <v>4792.7697200000002</v>
      </c>
      <c r="Q15">
        <v>4814.15888</v>
      </c>
      <c r="R15">
        <v>4843.5221799999999</v>
      </c>
      <c r="S15">
        <v>4870.1109500000002</v>
      </c>
      <c r="V15">
        <v>4779.21911</v>
      </c>
      <c r="W15">
        <v>4745.6541100000004</v>
      </c>
      <c r="AB15">
        <v>4787.0676100000001</v>
      </c>
      <c r="AC15">
        <v>4787.3394500000004</v>
      </c>
      <c r="AD15">
        <v>0</v>
      </c>
      <c r="AE15">
        <v>13</v>
      </c>
      <c r="AF15">
        <v>96</v>
      </c>
      <c r="AG15">
        <v>4866.7911000000004</v>
      </c>
      <c r="AH15">
        <v>4791.6800999999996</v>
      </c>
      <c r="AI15">
        <v>75.111000000000004</v>
      </c>
      <c r="AJ15">
        <v>5641.6562999999996</v>
      </c>
      <c r="AK15">
        <v>13</v>
      </c>
      <c r="AL15">
        <v>12</v>
      </c>
      <c r="AM15">
        <v>4790.1000000000004</v>
      </c>
      <c r="AN15">
        <v>4814.1589000000004</v>
      </c>
      <c r="AO15">
        <v>-24.058900000000001</v>
      </c>
      <c r="AP15">
        <v>578.8297</v>
      </c>
      <c r="AQ15">
        <v>-0.32036300000000001</v>
      </c>
      <c r="AR15">
        <v>0.21920799999999999</v>
      </c>
      <c r="AS15">
        <v>13</v>
      </c>
      <c r="AT15">
        <v>96</v>
      </c>
      <c r="AU15">
        <v>4866.7911000000004</v>
      </c>
      <c r="AV15">
        <v>4791.6800999999996</v>
      </c>
      <c r="AW15">
        <v>75.111000000000004</v>
      </c>
      <c r="AX15">
        <v>5641.6562999999996</v>
      </c>
      <c r="AY15">
        <v>13</v>
      </c>
      <c r="AZ15">
        <v>12</v>
      </c>
      <c r="BA15">
        <v>4790.1000000000004</v>
      </c>
      <c r="BB15">
        <v>4814.1589000000004</v>
      </c>
      <c r="BC15">
        <v>-24.058900000000001</v>
      </c>
      <c r="BD15">
        <v>578.8297</v>
      </c>
      <c r="BE15">
        <v>144</v>
      </c>
    </row>
    <row r="16" spans="1:57" x14ac:dyDescent="0.55000000000000004">
      <c r="A16">
        <v>1776363302</v>
      </c>
      <c r="B16" t="s">
        <v>72</v>
      </c>
      <c r="C16" t="s">
        <v>73</v>
      </c>
      <c r="D16">
        <v>4786.9799999999996</v>
      </c>
      <c r="E16">
        <v>4518.5928199999998</v>
      </c>
      <c r="F16">
        <v>4596.0559499999999</v>
      </c>
      <c r="G16">
        <v>4755.40355</v>
      </c>
      <c r="H16">
        <v>4792.7697200000002</v>
      </c>
      <c r="Q16">
        <v>4813.8912700000001</v>
      </c>
      <c r="R16">
        <v>4843.2545700000001</v>
      </c>
      <c r="S16">
        <v>4869.8433400000004</v>
      </c>
      <c r="V16">
        <v>4778.9515000000001</v>
      </c>
      <c r="W16">
        <v>4745.3865100000003</v>
      </c>
      <c r="AB16">
        <v>4788.1798699999999</v>
      </c>
      <c r="AC16">
        <v>4787.7596599999997</v>
      </c>
      <c r="AD16">
        <v>1</v>
      </c>
      <c r="AE16">
        <v>14</v>
      </c>
      <c r="AF16">
        <v>98</v>
      </c>
      <c r="AG16">
        <v>4866.6881999999996</v>
      </c>
      <c r="AH16">
        <v>4791.1449000000002</v>
      </c>
      <c r="AI16">
        <v>75.543300000000002</v>
      </c>
      <c r="AJ16">
        <v>5706.7887000000001</v>
      </c>
      <c r="AK16">
        <v>14</v>
      </c>
      <c r="AL16">
        <v>13</v>
      </c>
      <c r="AM16">
        <v>4786.9799999999996</v>
      </c>
      <c r="AN16">
        <v>4813.8913000000002</v>
      </c>
      <c r="AO16">
        <v>-26.911300000000001</v>
      </c>
      <c r="AP16">
        <v>724.2165</v>
      </c>
      <c r="AQ16">
        <v>-0.448351</v>
      </c>
      <c r="AR16">
        <v>0.34315499999999999</v>
      </c>
      <c r="AS16">
        <v>14</v>
      </c>
      <c r="AT16">
        <v>98</v>
      </c>
      <c r="AU16">
        <v>4866.6881999999996</v>
      </c>
      <c r="AV16">
        <v>4791.1449000000002</v>
      </c>
      <c r="AW16">
        <v>75.543300000000002</v>
      </c>
      <c r="AX16">
        <v>5706.7887000000001</v>
      </c>
      <c r="AY16">
        <v>14</v>
      </c>
      <c r="AZ16">
        <v>13</v>
      </c>
      <c r="BA16">
        <v>4786.9799999999996</v>
      </c>
      <c r="BB16">
        <v>4813.8913000000002</v>
      </c>
      <c r="BC16">
        <v>-26.911300000000001</v>
      </c>
      <c r="BD16">
        <v>724.2165</v>
      </c>
      <c r="BE16">
        <v>169</v>
      </c>
    </row>
    <row r="17" spans="1:57" x14ac:dyDescent="0.55000000000000004">
      <c r="A17">
        <v>1776364202</v>
      </c>
      <c r="B17" t="s">
        <v>72</v>
      </c>
      <c r="C17" t="s">
        <v>73</v>
      </c>
      <c r="D17">
        <v>4790.43</v>
      </c>
      <c r="E17">
        <v>4518.5928199999998</v>
      </c>
      <c r="F17">
        <v>4596.0559499999999</v>
      </c>
      <c r="G17">
        <v>4755.40355</v>
      </c>
      <c r="H17">
        <v>4792.7697200000002</v>
      </c>
      <c r="Q17">
        <v>4813.6236699999999</v>
      </c>
      <c r="R17">
        <v>4842.9869699999999</v>
      </c>
      <c r="S17">
        <v>4869.5757400000002</v>
      </c>
      <c r="V17">
        <v>4778.6839</v>
      </c>
      <c r="W17">
        <v>4745.1189000000004</v>
      </c>
      <c r="AB17">
        <v>4789.6286600000003</v>
      </c>
      <c r="AC17">
        <v>4788.69416</v>
      </c>
      <c r="AD17">
        <v>0</v>
      </c>
      <c r="AE17">
        <v>15</v>
      </c>
      <c r="AF17">
        <v>106</v>
      </c>
      <c r="AG17">
        <v>4859.3726999999999</v>
      </c>
      <c r="AH17">
        <v>4789.0041000000001</v>
      </c>
      <c r="AI17">
        <v>70.368600000000001</v>
      </c>
      <c r="AJ17">
        <v>4951.7440999999999</v>
      </c>
      <c r="AK17">
        <v>15</v>
      </c>
      <c r="AL17">
        <v>14</v>
      </c>
      <c r="AM17">
        <v>4790.43</v>
      </c>
      <c r="AN17">
        <v>4813.6237000000001</v>
      </c>
      <c r="AO17">
        <v>-23.1937</v>
      </c>
      <c r="AP17">
        <v>537.94629999999995</v>
      </c>
      <c r="AQ17">
        <v>-0.28702800000000001</v>
      </c>
      <c r="AR17">
        <v>0.189335</v>
      </c>
      <c r="AS17">
        <v>15</v>
      </c>
      <c r="AT17">
        <v>106</v>
      </c>
      <c r="AU17">
        <v>4859.3726999999999</v>
      </c>
      <c r="AV17">
        <v>4789.0041000000001</v>
      </c>
      <c r="AW17">
        <v>70.368600000000001</v>
      </c>
      <c r="AX17">
        <v>4951.7440999999999</v>
      </c>
      <c r="AY17">
        <v>15</v>
      </c>
      <c r="AZ17">
        <v>14</v>
      </c>
      <c r="BA17">
        <v>4790.43</v>
      </c>
      <c r="BB17">
        <v>4813.6237000000001</v>
      </c>
      <c r="BC17">
        <v>-23.1937</v>
      </c>
      <c r="BD17">
        <v>537.94629999999995</v>
      </c>
      <c r="BE17">
        <v>196</v>
      </c>
    </row>
    <row r="18" spans="1:57" x14ac:dyDescent="0.55000000000000004">
      <c r="A18">
        <v>1776365102</v>
      </c>
      <c r="B18" t="s">
        <v>72</v>
      </c>
      <c r="C18" t="s">
        <v>73</v>
      </c>
      <c r="D18">
        <v>4789.6400000000003</v>
      </c>
      <c r="E18">
        <v>4518.5928199999998</v>
      </c>
      <c r="F18">
        <v>4596.0559499999999</v>
      </c>
      <c r="G18">
        <v>4755.40355</v>
      </c>
      <c r="H18">
        <v>4792.7697200000002</v>
      </c>
      <c r="Q18">
        <v>4813.3560699999998</v>
      </c>
      <c r="R18">
        <v>4842.7193600000001</v>
      </c>
      <c r="S18">
        <v>4869.3081400000001</v>
      </c>
      <c r="V18">
        <v>4778.4162999999999</v>
      </c>
      <c r="W18">
        <v>4744.8513000000003</v>
      </c>
      <c r="AB18">
        <v>4790.9908599999999</v>
      </c>
      <c r="AC18">
        <v>4789.8425100000004</v>
      </c>
      <c r="AD18">
        <v>0</v>
      </c>
      <c r="AE18">
        <v>16</v>
      </c>
      <c r="AF18">
        <v>109</v>
      </c>
      <c r="AG18">
        <v>4859.6710000000003</v>
      </c>
      <c r="AH18">
        <v>4788.2012999999997</v>
      </c>
      <c r="AI18">
        <v>71.469800000000006</v>
      </c>
      <c r="AJ18">
        <v>5107.9265999999998</v>
      </c>
      <c r="AK18">
        <v>16</v>
      </c>
      <c r="AL18">
        <v>15</v>
      </c>
      <c r="AM18">
        <v>4789.6400000000003</v>
      </c>
      <c r="AN18">
        <v>4813.3561</v>
      </c>
      <c r="AO18">
        <v>-23.716100000000001</v>
      </c>
      <c r="AP18">
        <v>562.452</v>
      </c>
      <c r="AQ18">
        <v>-0.30686200000000002</v>
      </c>
      <c r="AR18">
        <v>0.206978</v>
      </c>
      <c r="AS18">
        <v>16</v>
      </c>
      <c r="AT18">
        <v>109</v>
      </c>
      <c r="AU18">
        <v>4859.6710000000003</v>
      </c>
      <c r="AV18">
        <v>4788.2012999999997</v>
      </c>
      <c r="AW18">
        <v>71.469800000000006</v>
      </c>
      <c r="AX18">
        <v>5107.9265999999998</v>
      </c>
      <c r="AY18">
        <v>16</v>
      </c>
      <c r="AZ18">
        <v>15</v>
      </c>
      <c r="BA18">
        <v>4789.6400000000003</v>
      </c>
      <c r="BB18">
        <v>4813.3561</v>
      </c>
      <c r="BC18">
        <v>-23.716100000000001</v>
      </c>
      <c r="BD18">
        <v>562.452</v>
      </c>
      <c r="BE18">
        <v>225</v>
      </c>
    </row>
    <row r="19" spans="1:57" x14ac:dyDescent="0.55000000000000004">
      <c r="A19">
        <v>1776366002</v>
      </c>
      <c r="B19" t="s">
        <v>72</v>
      </c>
      <c r="C19" t="s">
        <v>73</v>
      </c>
      <c r="D19">
        <v>4790.03</v>
      </c>
      <c r="E19">
        <v>4518.5928199999998</v>
      </c>
      <c r="F19">
        <v>4596.0559499999999</v>
      </c>
      <c r="G19">
        <v>4755.40355</v>
      </c>
      <c r="H19">
        <v>4792.7697200000002</v>
      </c>
      <c r="Q19">
        <v>4813.0884599999999</v>
      </c>
      <c r="R19">
        <v>4842.4517599999999</v>
      </c>
      <c r="S19">
        <v>4869.0405300000002</v>
      </c>
      <c r="V19">
        <v>4778.14869</v>
      </c>
      <c r="W19">
        <v>4744.5836900000004</v>
      </c>
      <c r="AB19">
        <v>4792.0531300000002</v>
      </c>
      <c r="AC19">
        <v>4790.9478200000003</v>
      </c>
      <c r="AD19">
        <v>0</v>
      </c>
      <c r="AE19">
        <v>17</v>
      </c>
      <c r="AF19">
        <v>125</v>
      </c>
      <c r="AG19">
        <v>4763.9121999999998</v>
      </c>
      <c r="AH19">
        <v>4783.9196000000002</v>
      </c>
      <c r="AI19">
        <v>-20.007400000000001</v>
      </c>
      <c r="AJ19">
        <v>400.29730000000001</v>
      </c>
      <c r="AK19">
        <v>17</v>
      </c>
      <c r="AL19">
        <v>16</v>
      </c>
      <c r="AM19">
        <v>4790.03</v>
      </c>
      <c r="AN19">
        <v>4813.0884999999998</v>
      </c>
      <c r="AO19">
        <v>-23.058499999999999</v>
      </c>
      <c r="AP19">
        <v>531.69259999999997</v>
      </c>
      <c r="AQ19">
        <v>-0.28203699999999998</v>
      </c>
      <c r="AR19">
        <v>0.18495900000000001</v>
      </c>
      <c r="AS19">
        <v>17</v>
      </c>
      <c r="AT19">
        <v>125</v>
      </c>
      <c r="AU19">
        <v>4763.9121999999998</v>
      </c>
      <c r="AV19">
        <v>4783.9196000000002</v>
      </c>
      <c r="AW19">
        <v>-20.007400000000001</v>
      </c>
      <c r="AX19">
        <v>400.29730000000001</v>
      </c>
      <c r="AY19">
        <v>17</v>
      </c>
      <c r="AZ19">
        <v>16</v>
      </c>
      <c r="BA19">
        <v>4790.03</v>
      </c>
      <c r="BB19">
        <v>4813.0884999999998</v>
      </c>
      <c r="BC19">
        <v>-23.058499999999999</v>
      </c>
      <c r="BD19">
        <v>531.69259999999997</v>
      </c>
      <c r="BE19">
        <v>256</v>
      </c>
    </row>
    <row r="20" spans="1:57" x14ac:dyDescent="0.55000000000000004">
      <c r="A20">
        <v>1776366902</v>
      </c>
      <c r="B20" t="s">
        <v>72</v>
      </c>
      <c r="C20" t="s">
        <v>73</v>
      </c>
      <c r="D20">
        <v>4790.76</v>
      </c>
      <c r="E20">
        <v>4518.5928199999998</v>
      </c>
      <c r="F20">
        <v>4596.0559499999999</v>
      </c>
      <c r="G20">
        <v>4755.40355</v>
      </c>
      <c r="H20">
        <v>4792.7697200000002</v>
      </c>
      <c r="Q20">
        <v>4812.8208599999998</v>
      </c>
      <c r="R20">
        <v>4842.1841599999998</v>
      </c>
      <c r="S20">
        <v>4868.7729300000001</v>
      </c>
      <c r="V20">
        <v>4777.8810899999999</v>
      </c>
      <c r="W20">
        <v>4744.3160900000003</v>
      </c>
      <c r="AB20">
        <v>4792.6697400000003</v>
      </c>
      <c r="AC20">
        <v>4791.8087800000003</v>
      </c>
      <c r="AD20">
        <v>0</v>
      </c>
      <c r="AE20">
        <v>18</v>
      </c>
      <c r="AF20">
        <v>134</v>
      </c>
      <c r="AG20">
        <v>4800.2767999999996</v>
      </c>
      <c r="AH20">
        <v>4781.5111999999999</v>
      </c>
      <c r="AI20">
        <v>18.765599999999999</v>
      </c>
      <c r="AJ20">
        <v>352.1474</v>
      </c>
      <c r="AK20">
        <v>18</v>
      </c>
      <c r="AL20">
        <v>17</v>
      </c>
      <c r="AM20">
        <v>4790.76</v>
      </c>
      <c r="AN20">
        <v>4812.8208999999997</v>
      </c>
      <c r="AO20">
        <v>-22.0609</v>
      </c>
      <c r="AP20">
        <v>486.68150000000003</v>
      </c>
      <c r="AQ20">
        <v>-0.24699199999999999</v>
      </c>
      <c r="AR20">
        <v>0.154969</v>
      </c>
      <c r="AS20">
        <v>18</v>
      </c>
      <c r="AT20">
        <v>134</v>
      </c>
      <c r="AU20">
        <v>4800.2767999999996</v>
      </c>
      <c r="AV20">
        <v>4781.5111999999999</v>
      </c>
      <c r="AW20">
        <v>18.765599999999999</v>
      </c>
      <c r="AX20">
        <v>352.1474</v>
      </c>
      <c r="AY20">
        <v>18</v>
      </c>
      <c r="AZ20">
        <v>17</v>
      </c>
      <c r="BA20">
        <v>4790.76</v>
      </c>
      <c r="BB20">
        <v>4812.8208999999997</v>
      </c>
      <c r="BC20">
        <v>-22.0609</v>
      </c>
      <c r="BD20">
        <v>486.68150000000003</v>
      </c>
      <c r="BE20">
        <v>289</v>
      </c>
    </row>
    <row r="21" spans="1:57" x14ac:dyDescent="0.55000000000000004">
      <c r="A21">
        <v>1776367802</v>
      </c>
      <c r="B21" t="s">
        <v>72</v>
      </c>
      <c r="C21" t="s">
        <v>73</v>
      </c>
      <c r="D21">
        <v>4797.59</v>
      </c>
      <c r="E21">
        <v>4518.5928199999998</v>
      </c>
      <c r="F21">
        <v>4596.0559499999999</v>
      </c>
      <c r="G21">
        <v>4755.40355</v>
      </c>
      <c r="H21">
        <v>4792.7697200000002</v>
      </c>
      <c r="Q21">
        <v>4812.5532499999999</v>
      </c>
      <c r="R21">
        <v>4841.9165499999999</v>
      </c>
      <c r="S21">
        <v>4868.5053200000002</v>
      </c>
      <c r="V21">
        <v>4777.61348</v>
      </c>
      <c r="W21">
        <v>4744.0484900000001</v>
      </c>
      <c r="AB21">
        <v>4792.8039099999996</v>
      </c>
      <c r="AC21">
        <v>4792.3063400000001</v>
      </c>
      <c r="AD21">
        <v>0</v>
      </c>
      <c r="AE21">
        <v>19</v>
      </c>
      <c r="AF21">
        <v>148</v>
      </c>
      <c r="AG21">
        <v>4788.4818999999998</v>
      </c>
      <c r="AH21">
        <v>4777.7646999999997</v>
      </c>
      <c r="AI21">
        <v>10.7172</v>
      </c>
      <c r="AJ21">
        <v>114.8575</v>
      </c>
      <c r="AK21">
        <v>19</v>
      </c>
      <c r="AL21">
        <v>18</v>
      </c>
      <c r="AM21">
        <v>4797.59</v>
      </c>
      <c r="AN21">
        <v>4812.5532000000003</v>
      </c>
      <c r="AO21">
        <v>-14.963200000000001</v>
      </c>
      <c r="AP21">
        <v>223.8989</v>
      </c>
      <c r="AQ21">
        <v>-7.7071000000000001E-2</v>
      </c>
      <c r="AR21">
        <v>3.2799000000000002E-2</v>
      </c>
      <c r="AS21">
        <v>19</v>
      </c>
      <c r="AT21">
        <v>148</v>
      </c>
      <c r="AU21">
        <v>4788.4818999999998</v>
      </c>
      <c r="AV21">
        <v>4777.7646999999997</v>
      </c>
      <c r="AW21">
        <v>10.7172</v>
      </c>
      <c r="AX21">
        <v>114.8575</v>
      </c>
      <c r="AY21">
        <v>19</v>
      </c>
      <c r="AZ21">
        <v>18</v>
      </c>
      <c r="BA21">
        <v>4797.59</v>
      </c>
      <c r="BB21">
        <v>4812.5532000000003</v>
      </c>
      <c r="BC21">
        <v>-14.963200000000001</v>
      </c>
      <c r="BD21">
        <v>223.8989</v>
      </c>
      <c r="BE21">
        <v>324</v>
      </c>
    </row>
    <row r="22" spans="1:57" x14ac:dyDescent="0.55000000000000004">
      <c r="A22">
        <v>1776368702</v>
      </c>
      <c r="B22" t="s">
        <v>72</v>
      </c>
      <c r="C22" t="s">
        <v>73</v>
      </c>
      <c r="D22">
        <v>4793.5200000000004</v>
      </c>
      <c r="E22">
        <v>4518.5928199999998</v>
      </c>
      <c r="F22">
        <v>4596.0559499999999</v>
      </c>
      <c r="G22">
        <v>4755.40355</v>
      </c>
      <c r="H22">
        <v>4792.7697200000002</v>
      </c>
      <c r="Q22">
        <v>4812.2856499999998</v>
      </c>
      <c r="R22">
        <v>4841.6489499999998</v>
      </c>
      <c r="S22">
        <v>4868.2377200000001</v>
      </c>
      <c r="V22">
        <v>4777.3458799999999</v>
      </c>
      <c r="W22">
        <v>4743.7808800000003</v>
      </c>
      <c r="AB22">
        <v>4792.3835200000003</v>
      </c>
      <c r="AC22">
        <v>4792.3449300000002</v>
      </c>
      <c r="AD22">
        <v>0</v>
      </c>
      <c r="AE22">
        <v>20</v>
      </c>
      <c r="AF22">
        <v>155</v>
      </c>
      <c r="AG22">
        <v>4794.2745999999997</v>
      </c>
      <c r="AH22">
        <v>4775.8914999999997</v>
      </c>
      <c r="AI22">
        <v>18.383099999999999</v>
      </c>
      <c r="AJ22">
        <v>337.9391</v>
      </c>
      <c r="AK22">
        <v>20</v>
      </c>
      <c r="AL22">
        <v>19</v>
      </c>
      <c r="AM22">
        <v>4793.5200000000004</v>
      </c>
      <c r="AN22">
        <v>4812.2856000000002</v>
      </c>
      <c r="AO22">
        <v>-18.765599999999999</v>
      </c>
      <c r="AP22">
        <v>352.14960000000002</v>
      </c>
      <c r="AQ22">
        <v>-0.15202199999999999</v>
      </c>
      <c r="AR22">
        <v>8.1134999999999999E-2</v>
      </c>
      <c r="AS22">
        <v>20</v>
      </c>
      <c r="AT22">
        <v>155</v>
      </c>
      <c r="AU22">
        <v>4794.2745999999997</v>
      </c>
      <c r="AV22">
        <v>4775.8914999999997</v>
      </c>
      <c r="AW22">
        <v>18.383099999999999</v>
      </c>
      <c r="AX22">
        <v>337.9391</v>
      </c>
      <c r="AY22">
        <v>20</v>
      </c>
      <c r="AZ22">
        <v>19</v>
      </c>
      <c r="BA22">
        <v>4793.5200000000004</v>
      </c>
      <c r="BB22">
        <v>4812.2856000000002</v>
      </c>
      <c r="BC22">
        <v>-18.765599999999999</v>
      </c>
      <c r="BD22">
        <v>352.14960000000002</v>
      </c>
      <c r="BE22">
        <v>361</v>
      </c>
    </row>
    <row r="23" spans="1:57" x14ac:dyDescent="0.55000000000000004">
      <c r="A23">
        <v>1776369602</v>
      </c>
      <c r="B23" t="s">
        <v>72</v>
      </c>
      <c r="C23" t="s">
        <v>73</v>
      </c>
      <c r="D23">
        <v>4790.59</v>
      </c>
      <c r="E23">
        <v>4518.5928199999998</v>
      </c>
      <c r="F23">
        <v>4596.0559499999999</v>
      </c>
      <c r="G23">
        <v>4755.40355</v>
      </c>
      <c r="H23">
        <v>4792.7697200000002</v>
      </c>
      <c r="Q23">
        <v>4812.0180399999999</v>
      </c>
      <c r="R23">
        <v>4841.3813399999999</v>
      </c>
      <c r="S23">
        <v>4867.9701100000002</v>
      </c>
      <c r="V23">
        <v>4777.07827</v>
      </c>
      <c r="W23">
        <v>4743.5132800000001</v>
      </c>
      <c r="AB23">
        <v>4791.7371700000003</v>
      </c>
      <c r="AC23">
        <v>4792.0410499999998</v>
      </c>
      <c r="AD23">
        <v>1</v>
      </c>
      <c r="AE23">
        <v>21</v>
      </c>
      <c r="AF23">
        <v>160</v>
      </c>
      <c r="AG23">
        <v>4793.1611000000003</v>
      </c>
      <c r="AH23">
        <v>4774.5535</v>
      </c>
      <c r="AI23">
        <v>18.607600000000001</v>
      </c>
      <c r="AJ23">
        <v>346.24430000000001</v>
      </c>
      <c r="AK23">
        <v>21</v>
      </c>
      <c r="AL23">
        <v>20</v>
      </c>
      <c r="AM23">
        <v>4790.59</v>
      </c>
      <c r="AN23">
        <v>4812.018</v>
      </c>
      <c r="AO23">
        <v>-21.428000000000001</v>
      </c>
      <c r="AP23">
        <v>459.16090000000003</v>
      </c>
      <c r="AQ23">
        <v>-0.22634099999999999</v>
      </c>
      <c r="AR23">
        <v>0.13793800000000001</v>
      </c>
      <c r="AS23">
        <v>21</v>
      </c>
      <c r="AT23">
        <v>160</v>
      </c>
      <c r="AU23">
        <v>4793.1611000000003</v>
      </c>
      <c r="AV23">
        <v>4774.5535</v>
      </c>
      <c r="AW23">
        <v>18.607600000000001</v>
      </c>
      <c r="AX23">
        <v>346.24430000000001</v>
      </c>
      <c r="AY23">
        <v>21</v>
      </c>
      <c r="AZ23">
        <v>20</v>
      </c>
      <c r="BA23">
        <v>4790.59</v>
      </c>
      <c r="BB23">
        <v>4812.018</v>
      </c>
      <c r="BC23">
        <v>-21.428000000000001</v>
      </c>
      <c r="BD23">
        <v>459.16090000000003</v>
      </c>
      <c r="BE23">
        <v>400</v>
      </c>
    </row>
    <row r="24" spans="1:57" x14ac:dyDescent="0.55000000000000004">
      <c r="A24">
        <v>1776370502</v>
      </c>
      <c r="B24" t="s">
        <v>72</v>
      </c>
      <c r="C24" t="s">
        <v>73</v>
      </c>
      <c r="D24">
        <v>4789.04</v>
      </c>
      <c r="E24">
        <v>4518.5928199999998</v>
      </c>
      <c r="F24">
        <v>4596.0559499999999</v>
      </c>
      <c r="G24">
        <v>4755.40355</v>
      </c>
      <c r="H24">
        <v>4792.7697200000002</v>
      </c>
      <c r="Q24">
        <v>4811.7504399999998</v>
      </c>
      <c r="R24">
        <v>4841.1137399999998</v>
      </c>
      <c r="S24">
        <v>4867.7025100000001</v>
      </c>
      <c r="V24">
        <v>4776.8106699999998</v>
      </c>
      <c r="W24">
        <v>4743.2456700000002</v>
      </c>
      <c r="AB24">
        <v>4791.1858499999998</v>
      </c>
      <c r="AC24">
        <v>4791.6134499999998</v>
      </c>
      <c r="AD24">
        <v>0</v>
      </c>
      <c r="AE24">
        <v>22</v>
      </c>
      <c r="AF24">
        <v>180</v>
      </c>
      <c r="AG24">
        <v>4818.5416999999998</v>
      </c>
      <c r="AH24">
        <v>4769.2013999999999</v>
      </c>
      <c r="AI24">
        <v>49.340299999999999</v>
      </c>
      <c r="AJ24">
        <v>2434.4681999999998</v>
      </c>
      <c r="AK24">
        <v>22</v>
      </c>
      <c r="AL24">
        <v>21</v>
      </c>
      <c r="AM24">
        <v>4789.04</v>
      </c>
      <c r="AN24">
        <v>4811.7503999999999</v>
      </c>
      <c r="AO24">
        <v>-22.7104</v>
      </c>
      <c r="AP24">
        <v>515.76409999999998</v>
      </c>
      <c r="AQ24">
        <v>-0.269459</v>
      </c>
      <c r="AR24">
        <v>0.174043</v>
      </c>
      <c r="AS24">
        <v>22</v>
      </c>
      <c r="AT24">
        <v>180</v>
      </c>
      <c r="AU24">
        <v>4818.5416999999998</v>
      </c>
      <c r="AV24">
        <v>4769.2013999999999</v>
      </c>
      <c r="AW24">
        <v>49.340299999999999</v>
      </c>
      <c r="AX24">
        <v>2434.4681999999998</v>
      </c>
      <c r="AY24">
        <v>22</v>
      </c>
      <c r="AZ24">
        <v>21</v>
      </c>
      <c r="BA24">
        <v>4789.04</v>
      </c>
      <c r="BB24">
        <v>4811.7503999999999</v>
      </c>
      <c r="BC24">
        <v>-22.7104</v>
      </c>
      <c r="BD24">
        <v>515.76409999999998</v>
      </c>
      <c r="BE24">
        <v>441</v>
      </c>
    </row>
    <row r="25" spans="1:57" x14ac:dyDescent="0.55000000000000004">
      <c r="A25">
        <v>1776371402</v>
      </c>
      <c r="B25" t="s">
        <v>72</v>
      </c>
      <c r="C25" t="s">
        <v>73</v>
      </c>
      <c r="D25">
        <v>4788.68</v>
      </c>
      <c r="E25">
        <v>4518.5928199999998</v>
      </c>
      <c r="F25">
        <v>4596.0559499999999</v>
      </c>
      <c r="G25">
        <v>4755.40355</v>
      </c>
      <c r="H25">
        <v>4792.7697200000002</v>
      </c>
      <c r="Q25">
        <v>4811.4828399999997</v>
      </c>
      <c r="R25">
        <v>4840.8461399999997</v>
      </c>
      <c r="S25">
        <v>4867.4349099999999</v>
      </c>
      <c r="V25">
        <v>4776.5430699999997</v>
      </c>
      <c r="W25">
        <v>4742.9780700000001</v>
      </c>
      <c r="AB25">
        <v>4790.9850999999999</v>
      </c>
      <c r="AC25">
        <v>4791.2992700000004</v>
      </c>
      <c r="AD25">
        <v>0</v>
      </c>
      <c r="AE25">
        <v>23</v>
      </c>
      <c r="AF25">
        <v>190</v>
      </c>
      <c r="AG25">
        <v>4802.2071999999998</v>
      </c>
      <c r="AH25">
        <v>4766.5253000000002</v>
      </c>
      <c r="AI25">
        <v>35.681899999999999</v>
      </c>
      <c r="AJ25">
        <v>1273.1966</v>
      </c>
      <c r="AK25">
        <v>23</v>
      </c>
      <c r="AL25">
        <v>22</v>
      </c>
      <c r="AM25">
        <v>4788.68</v>
      </c>
      <c r="AN25">
        <v>4811.4827999999998</v>
      </c>
      <c r="AO25">
        <v>-22.802800000000001</v>
      </c>
      <c r="AP25">
        <v>519.96950000000004</v>
      </c>
      <c r="AQ25">
        <v>-0.27276099999999998</v>
      </c>
      <c r="AR25">
        <v>0.17689299999999999</v>
      </c>
      <c r="AS25">
        <v>23</v>
      </c>
      <c r="AT25">
        <v>190</v>
      </c>
      <c r="AU25">
        <v>4802.2071999999998</v>
      </c>
      <c r="AV25">
        <v>4766.5253000000002</v>
      </c>
      <c r="AW25">
        <v>35.681899999999999</v>
      </c>
      <c r="AX25">
        <v>1273.1966</v>
      </c>
      <c r="AY25">
        <v>23</v>
      </c>
      <c r="AZ25">
        <v>22</v>
      </c>
      <c r="BA25">
        <v>4788.68</v>
      </c>
      <c r="BB25">
        <v>4811.4827999999998</v>
      </c>
      <c r="BC25">
        <v>-22.802800000000001</v>
      </c>
      <c r="BD25">
        <v>519.96950000000004</v>
      </c>
      <c r="BE25">
        <v>484</v>
      </c>
    </row>
    <row r="26" spans="1:57" x14ac:dyDescent="0.55000000000000004">
      <c r="A26">
        <v>1776372302</v>
      </c>
      <c r="B26" t="s">
        <v>72</v>
      </c>
      <c r="C26" t="s">
        <v>73</v>
      </c>
      <c r="D26">
        <v>4790.84</v>
      </c>
      <c r="E26">
        <v>4518.5928199999998</v>
      </c>
      <c r="F26">
        <v>4596.0559499999999</v>
      </c>
      <c r="G26">
        <v>4755.40355</v>
      </c>
      <c r="H26">
        <v>4792.7697200000002</v>
      </c>
      <c r="Q26">
        <v>4811.2152299999998</v>
      </c>
      <c r="R26">
        <v>4840.5785299999998</v>
      </c>
      <c r="S26">
        <v>4867.1673000000001</v>
      </c>
      <c r="V26">
        <v>4776.2754599999998</v>
      </c>
      <c r="W26">
        <v>4742.71047</v>
      </c>
      <c r="AB26">
        <v>4791.2623000000003</v>
      </c>
      <c r="AC26">
        <v>4791.2807899999998</v>
      </c>
      <c r="AD26">
        <v>0</v>
      </c>
      <c r="AE26">
        <v>24</v>
      </c>
      <c r="AF26">
        <v>201</v>
      </c>
      <c r="AG26">
        <v>4814.3639999999996</v>
      </c>
      <c r="AH26">
        <v>4763.5816999999997</v>
      </c>
      <c r="AI26">
        <v>50.782299999999999</v>
      </c>
      <c r="AJ26">
        <v>2578.8420000000001</v>
      </c>
      <c r="AK26">
        <v>24</v>
      </c>
      <c r="AL26">
        <v>23</v>
      </c>
      <c r="AM26">
        <v>4790.84</v>
      </c>
      <c r="AN26">
        <v>4811.2151999999996</v>
      </c>
      <c r="AO26">
        <v>-20.3752</v>
      </c>
      <c r="AP26">
        <v>415.15</v>
      </c>
      <c r="AQ26">
        <v>-0.19459099999999999</v>
      </c>
      <c r="AR26">
        <v>0.112762</v>
      </c>
      <c r="AS26">
        <v>24</v>
      </c>
      <c r="AT26">
        <v>201</v>
      </c>
      <c r="AU26">
        <v>4814.3639999999996</v>
      </c>
      <c r="AV26">
        <v>4763.5816999999997</v>
      </c>
      <c r="AW26">
        <v>50.782299999999999</v>
      </c>
      <c r="AX26">
        <v>2578.8420000000001</v>
      </c>
      <c r="AY26">
        <v>24</v>
      </c>
      <c r="AZ26">
        <v>23</v>
      </c>
      <c r="BA26">
        <v>4790.84</v>
      </c>
      <c r="BB26">
        <v>4811.2151999999996</v>
      </c>
      <c r="BC26">
        <v>-20.3752</v>
      </c>
      <c r="BD26">
        <v>415.15</v>
      </c>
      <c r="BE26">
        <v>529</v>
      </c>
    </row>
    <row r="27" spans="1:57" x14ac:dyDescent="0.55000000000000004">
      <c r="A27">
        <v>1776376802</v>
      </c>
      <c r="B27" t="s">
        <v>72</v>
      </c>
      <c r="C27" t="s">
        <v>73</v>
      </c>
      <c r="D27">
        <v>4795.24</v>
      </c>
      <c r="E27">
        <v>4518.5928199999998</v>
      </c>
      <c r="F27">
        <v>4596.0559499999999</v>
      </c>
      <c r="G27">
        <v>4755.40355</v>
      </c>
      <c r="H27">
        <v>4792.7697200000002</v>
      </c>
      <c r="Q27">
        <v>4810.9476299999997</v>
      </c>
      <c r="R27">
        <v>4840.3109299999996</v>
      </c>
      <c r="S27">
        <v>4866.8996999999999</v>
      </c>
      <c r="V27">
        <v>4776.0078599999997</v>
      </c>
      <c r="W27">
        <v>4742.4428600000001</v>
      </c>
      <c r="AB27">
        <v>4791.9693100000004</v>
      </c>
      <c r="AC27">
        <v>4791.6250499999996</v>
      </c>
      <c r="AD27">
        <v>1</v>
      </c>
      <c r="AE27">
        <v>25</v>
      </c>
      <c r="AF27">
        <v>203</v>
      </c>
      <c r="AG27">
        <v>4814.6370999999999</v>
      </c>
      <c r="AH27">
        <v>4763.0465000000004</v>
      </c>
      <c r="AI27">
        <v>51.590600000000002</v>
      </c>
      <c r="AJ27">
        <v>2661.5868999999998</v>
      </c>
      <c r="AK27">
        <v>25</v>
      </c>
      <c r="AL27">
        <v>24</v>
      </c>
      <c r="AM27">
        <v>4795.24</v>
      </c>
      <c r="AN27">
        <v>4810.9476000000004</v>
      </c>
      <c r="AO27">
        <v>-15.707599999999999</v>
      </c>
      <c r="AP27">
        <v>246.7296</v>
      </c>
      <c r="AQ27">
        <v>-8.9154999999999998E-2</v>
      </c>
      <c r="AR27">
        <v>3.9829000000000003E-2</v>
      </c>
      <c r="AS27">
        <v>25</v>
      </c>
      <c r="AT27">
        <v>203</v>
      </c>
      <c r="AU27">
        <v>4814.6370999999999</v>
      </c>
      <c r="AV27">
        <v>4763.0465000000004</v>
      </c>
      <c r="AW27">
        <v>51.590600000000002</v>
      </c>
      <c r="AX27">
        <v>2661.5868999999998</v>
      </c>
      <c r="AY27">
        <v>25</v>
      </c>
      <c r="AZ27">
        <v>24</v>
      </c>
      <c r="BA27">
        <v>4795.24</v>
      </c>
      <c r="BB27">
        <v>4810.9476000000004</v>
      </c>
      <c r="BC27">
        <v>-15.707599999999999</v>
      </c>
      <c r="BD27">
        <v>246.7296</v>
      </c>
      <c r="BE27">
        <v>576</v>
      </c>
    </row>
    <row r="28" spans="1:57" x14ac:dyDescent="0.55000000000000004">
      <c r="A28">
        <v>1776377702</v>
      </c>
      <c r="B28" t="s">
        <v>72</v>
      </c>
      <c r="C28" t="s">
        <v>73</v>
      </c>
      <c r="D28">
        <v>4794</v>
      </c>
      <c r="E28">
        <v>4518.5928199999998</v>
      </c>
      <c r="F28">
        <v>4596.0559499999999</v>
      </c>
      <c r="G28">
        <v>4755.40355</v>
      </c>
      <c r="H28">
        <v>4792.7697200000002</v>
      </c>
      <c r="Q28">
        <v>4810.6800199999998</v>
      </c>
      <c r="R28">
        <v>4840.0433199999998</v>
      </c>
      <c r="S28">
        <v>4866.6320900000001</v>
      </c>
      <c r="V28">
        <v>4775.7402499999998</v>
      </c>
      <c r="W28">
        <v>4742.17526</v>
      </c>
      <c r="AB28">
        <v>4792.9004999999997</v>
      </c>
      <c r="AC28">
        <v>4792.2627700000003</v>
      </c>
      <c r="AD28">
        <v>0</v>
      </c>
      <c r="AE28">
        <v>26</v>
      </c>
      <c r="AF28">
        <v>213</v>
      </c>
      <c r="AG28">
        <v>4827.0748999999996</v>
      </c>
      <c r="AH28">
        <v>4760.3705</v>
      </c>
      <c r="AI28">
        <v>66.704499999999996</v>
      </c>
      <c r="AJ28">
        <v>4449.4835999999996</v>
      </c>
      <c r="AK28">
        <v>26</v>
      </c>
      <c r="AL28">
        <v>25</v>
      </c>
      <c r="AM28">
        <v>4794</v>
      </c>
      <c r="AN28">
        <v>4810.68</v>
      </c>
      <c r="AO28">
        <v>-16.68</v>
      </c>
      <c r="AP28">
        <v>278.22309999999999</v>
      </c>
      <c r="AQ28">
        <v>-0.10675900000000001</v>
      </c>
      <c r="AR28">
        <v>5.0645000000000003E-2</v>
      </c>
      <c r="AS28">
        <v>26</v>
      </c>
      <c r="AT28">
        <v>213</v>
      </c>
      <c r="AU28">
        <v>4827.0748999999996</v>
      </c>
      <c r="AV28">
        <v>4760.3705</v>
      </c>
      <c r="AW28">
        <v>66.704499999999996</v>
      </c>
      <c r="AX28">
        <v>4449.4835999999996</v>
      </c>
      <c r="AY28">
        <v>26</v>
      </c>
      <c r="AZ28">
        <v>25</v>
      </c>
      <c r="BA28">
        <v>4794</v>
      </c>
      <c r="BB28">
        <v>4810.68</v>
      </c>
      <c r="BC28">
        <v>-16.68</v>
      </c>
      <c r="BD28">
        <v>278.22309999999999</v>
      </c>
      <c r="BE28">
        <v>625</v>
      </c>
    </row>
    <row r="29" spans="1:57" x14ac:dyDescent="0.55000000000000004">
      <c r="A29">
        <v>1776378602</v>
      </c>
      <c r="B29" t="s">
        <v>72</v>
      </c>
      <c r="C29" t="s">
        <v>73</v>
      </c>
      <c r="D29">
        <v>4795.5</v>
      </c>
      <c r="E29">
        <v>4518.5928199999998</v>
      </c>
      <c r="F29">
        <v>4596.0559499999999</v>
      </c>
      <c r="G29">
        <v>4755.40355</v>
      </c>
      <c r="H29">
        <v>4792.7697200000002</v>
      </c>
      <c r="Q29">
        <v>4810.4124199999997</v>
      </c>
      <c r="R29">
        <v>4839.7757199999996</v>
      </c>
      <c r="S29">
        <v>4866.3644899999999</v>
      </c>
      <c r="V29">
        <v>4775.4726499999997</v>
      </c>
      <c r="W29">
        <v>4741.9076500000001</v>
      </c>
      <c r="AB29">
        <v>4793.9703600000003</v>
      </c>
      <c r="AC29">
        <v>4793.1165700000001</v>
      </c>
      <c r="AD29">
        <v>0</v>
      </c>
      <c r="AE29">
        <v>27</v>
      </c>
      <c r="AF29">
        <v>245</v>
      </c>
      <c r="AG29">
        <v>4782.0762999999997</v>
      </c>
      <c r="AH29">
        <v>4751.8071</v>
      </c>
      <c r="AI29">
        <v>30.269200000000001</v>
      </c>
      <c r="AJ29">
        <v>916.22389999999996</v>
      </c>
      <c r="AK29">
        <v>27</v>
      </c>
      <c r="AL29">
        <v>26</v>
      </c>
      <c r="AM29">
        <v>4795.5</v>
      </c>
      <c r="AN29">
        <v>4810.4124000000002</v>
      </c>
      <c r="AO29">
        <v>-14.9124</v>
      </c>
      <c r="AP29">
        <v>222.38030000000001</v>
      </c>
      <c r="AQ29">
        <v>-7.6288999999999996E-2</v>
      </c>
      <c r="AR29">
        <v>3.2355000000000002E-2</v>
      </c>
      <c r="AS29">
        <v>27</v>
      </c>
      <c r="AT29">
        <v>245</v>
      </c>
      <c r="AU29">
        <v>4782.0762999999997</v>
      </c>
      <c r="AV29">
        <v>4751.8071</v>
      </c>
      <c r="AW29">
        <v>30.269200000000001</v>
      </c>
      <c r="AX29">
        <v>916.22389999999996</v>
      </c>
      <c r="AY29">
        <v>27</v>
      </c>
      <c r="AZ29">
        <v>26</v>
      </c>
      <c r="BA29">
        <v>4795.5</v>
      </c>
      <c r="BB29">
        <v>4810.4124000000002</v>
      </c>
      <c r="BC29">
        <v>-14.9124</v>
      </c>
      <c r="BD29">
        <v>222.38030000000001</v>
      </c>
      <c r="BE29">
        <v>676</v>
      </c>
    </row>
    <row r="30" spans="1:57" x14ac:dyDescent="0.55000000000000004">
      <c r="A30">
        <v>1776379502</v>
      </c>
      <c r="B30" t="s">
        <v>72</v>
      </c>
      <c r="C30" t="s">
        <v>73</v>
      </c>
      <c r="D30">
        <v>4795.41</v>
      </c>
      <c r="E30">
        <v>4518.5928199999998</v>
      </c>
      <c r="F30">
        <v>4596.0559499999999</v>
      </c>
      <c r="G30">
        <v>4755.40355</v>
      </c>
      <c r="H30">
        <v>4792.7697200000002</v>
      </c>
      <c r="Q30">
        <v>4810.1448200000004</v>
      </c>
      <c r="R30">
        <v>4839.5081200000004</v>
      </c>
      <c r="S30">
        <v>4866.0968899999998</v>
      </c>
      <c r="V30">
        <v>4775.2050499999996</v>
      </c>
      <c r="W30">
        <v>4741.64005</v>
      </c>
      <c r="AB30">
        <v>4794.94128</v>
      </c>
      <c r="AC30">
        <v>4794.0289199999997</v>
      </c>
      <c r="AD30">
        <v>0</v>
      </c>
      <c r="AE30">
        <v>28</v>
      </c>
      <c r="AF30">
        <v>252</v>
      </c>
      <c r="AG30">
        <v>4785.1929</v>
      </c>
      <c r="AH30">
        <v>4749.9339</v>
      </c>
      <c r="AI30">
        <v>35.259</v>
      </c>
      <c r="AJ30">
        <v>1243.1943000000001</v>
      </c>
      <c r="AK30">
        <v>28</v>
      </c>
      <c r="AL30">
        <v>27</v>
      </c>
      <c r="AM30">
        <v>4795.41</v>
      </c>
      <c r="AN30">
        <v>4810.1448</v>
      </c>
      <c r="AO30">
        <v>-14.7348</v>
      </c>
      <c r="AP30">
        <v>217.11490000000001</v>
      </c>
      <c r="AQ30">
        <v>-7.3594999999999994E-2</v>
      </c>
      <c r="AR30">
        <v>3.0841E-2</v>
      </c>
      <c r="AS30">
        <v>28</v>
      </c>
      <c r="AT30">
        <v>252</v>
      </c>
      <c r="AU30">
        <v>4785.1929</v>
      </c>
      <c r="AV30">
        <v>4749.9339</v>
      </c>
      <c r="AW30">
        <v>35.259</v>
      </c>
      <c r="AX30">
        <v>1243.1943000000001</v>
      </c>
      <c r="AY30">
        <v>28</v>
      </c>
      <c r="AZ30">
        <v>27</v>
      </c>
      <c r="BA30">
        <v>4795.41</v>
      </c>
      <c r="BB30">
        <v>4810.1448</v>
      </c>
      <c r="BC30">
        <v>-14.7348</v>
      </c>
      <c r="BD30">
        <v>217.11490000000001</v>
      </c>
      <c r="BE30">
        <v>729</v>
      </c>
    </row>
    <row r="31" spans="1:57" x14ac:dyDescent="0.55000000000000004">
      <c r="A31">
        <v>1776380402</v>
      </c>
      <c r="B31" t="s">
        <v>72</v>
      </c>
      <c r="C31" t="s">
        <v>73</v>
      </c>
      <c r="D31">
        <v>4793.16</v>
      </c>
      <c r="E31">
        <v>4518.5928199999998</v>
      </c>
      <c r="F31">
        <v>4596.0559499999999</v>
      </c>
      <c r="G31">
        <v>4755.40355</v>
      </c>
      <c r="H31">
        <v>4792.7697200000002</v>
      </c>
      <c r="Q31">
        <v>4809.8772099999996</v>
      </c>
      <c r="R31">
        <v>4839.2405099999996</v>
      </c>
      <c r="S31">
        <v>4865.8292799999999</v>
      </c>
      <c r="V31">
        <v>4774.9374399999997</v>
      </c>
      <c r="W31">
        <v>4741.3724499999998</v>
      </c>
      <c r="AB31">
        <v>4795.6188199999997</v>
      </c>
      <c r="AC31">
        <v>4794.8238700000002</v>
      </c>
      <c r="AD31">
        <v>0</v>
      </c>
      <c r="AE31">
        <v>29</v>
      </c>
      <c r="AF31">
        <v>257</v>
      </c>
      <c r="AG31">
        <v>4784.8373000000001</v>
      </c>
      <c r="AH31">
        <v>4748.5959000000003</v>
      </c>
      <c r="AI31">
        <v>36.241399999999999</v>
      </c>
      <c r="AJ31">
        <v>1313.442</v>
      </c>
      <c r="AK31">
        <v>29</v>
      </c>
      <c r="AL31">
        <v>28</v>
      </c>
      <c r="AM31">
        <v>4793.16</v>
      </c>
      <c r="AN31">
        <v>4809.8771999999999</v>
      </c>
      <c r="AO31">
        <v>-16.717199999999998</v>
      </c>
      <c r="AP31">
        <v>279.46510000000001</v>
      </c>
      <c r="AQ31">
        <v>-0.107475</v>
      </c>
      <c r="AR31">
        <v>5.1098999999999999E-2</v>
      </c>
      <c r="AS31">
        <v>29</v>
      </c>
      <c r="AT31">
        <v>257</v>
      </c>
      <c r="AU31">
        <v>4784.8373000000001</v>
      </c>
      <c r="AV31">
        <v>4748.5959000000003</v>
      </c>
      <c r="AW31">
        <v>36.241399999999999</v>
      </c>
      <c r="AX31">
        <v>1313.442</v>
      </c>
      <c r="AY31">
        <v>29</v>
      </c>
      <c r="AZ31">
        <v>28</v>
      </c>
      <c r="BA31">
        <v>4793.16</v>
      </c>
      <c r="BB31">
        <v>4809.8771999999999</v>
      </c>
      <c r="BC31">
        <v>-16.717199999999998</v>
      </c>
      <c r="BD31">
        <v>279.46510000000001</v>
      </c>
      <c r="BE31">
        <v>784</v>
      </c>
    </row>
    <row r="32" spans="1:57" x14ac:dyDescent="0.55000000000000004">
      <c r="A32">
        <v>1776381302</v>
      </c>
      <c r="B32" t="s">
        <v>72</v>
      </c>
      <c r="C32" t="s">
        <v>73</v>
      </c>
      <c r="D32">
        <v>4794.46</v>
      </c>
      <c r="E32">
        <v>4518.5928199999998</v>
      </c>
      <c r="F32">
        <v>4596.0559499999999</v>
      </c>
      <c r="G32">
        <v>4755.40355</v>
      </c>
      <c r="H32">
        <v>4792.7697200000002</v>
      </c>
      <c r="Q32">
        <v>4809.6096100000004</v>
      </c>
      <c r="R32">
        <v>4838.9729100000004</v>
      </c>
      <c r="S32">
        <v>4865.5616799999998</v>
      </c>
      <c r="V32">
        <v>4774.6698399999996</v>
      </c>
      <c r="W32">
        <v>4741.10484</v>
      </c>
      <c r="AB32">
        <v>4795.90128</v>
      </c>
      <c r="AC32">
        <v>4795.36258</v>
      </c>
      <c r="AD32">
        <v>0</v>
      </c>
      <c r="AE32">
        <v>30</v>
      </c>
      <c r="AF32">
        <v>263</v>
      </c>
      <c r="AG32">
        <v>4787.2111999999997</v>
      </c>
      <c r="AH32">
        <v>4746.9902000000002</v>
      </c>
      <c r="AI32">
        <v>40.220999999999997</v>
      </c>
      <c r="AJ32">
        <v>1617.7280000000001</v>
      </c>
      <c r="AK32">
        <v>30</v>
      </c>
      <c r="AL32">
        <v>29</v>
      </c>
      <c r="AM32">
        <v>4794.46</v>
      </c>
      <c r="AN32">
        <v>4809.6095999999998</v>
      </c>
      <c r="AO32">
        <v>-15.1496</v>
      </c>
      <c r="AP32">
        <v>229.51070000000001</v>
      </c>
      <c r="AQ32">
        <v>-7.9987000000000003E-2</v>
      </c>
      <c r="AR32">
        <v>3.4464000000000002E-2</v>
      </c>
      <c r="AS32">
        <v>30</v>
      </c>
      <c r="AT32">
        <v>263</v>
      </c>
      <c r="AU32">
        <v>4787.2111999999997</v>
      </c>
      <c r="AV32">
        <v>4746.9902000000002</v>
      </c>
      <c r="AW32">
        <v>40.220999999999997</v>
      </c>
      <c r="AX32">
        <v>1617.7280000000001</v>
      </c>
      <c r="AY32">
        <v>30</v>
      </c>
      <c r="AZ32">
        <v>29</v>
      </c>
      <c r="BA32">
        <v>4794.46</v>
      </c>
      <c r="BB32">
        <v>4809.6095999999998</v>
      </c>
      <c r="BC32">
        <v>-15.1496</v>
      </c>
      <c r="BD32">
        <v>229.51070000000001</v>
      </c>
      <c r="BE32">
        <v>841</v>
      </c>
    </row>
    <row r="33" spans="1:57" x14ac:dyDescent="0.55000000000000004">
      <c r="A33">
        <v>1776382202</v>
      </c>
      <c r="B33" t="s">
        <v>72</v>
      </c>
      <c r="C33" t="s">
        <v>73</v>
      </c>
      <c r="D33">
        <v>4795.82</v>
      </c>
      <c r="E33">
        <v>4518.5928199999998</v>
      </c>
      <c r="F33">
        <v>4596.0559499999999</v>
      </c>
      <c r="G33">
        <v>4755.40355</v>
      </c>
      <c r="H33">
        <v>4792.7697200000002</v>
      </c>
      <c r="Q33">
        <v>4809.3419999999996</v>
      </c>
      <c r="R33">
        <v>4838.7052999999996</v>
      </c>
      <c r="S33">
        <v>4865.2940699999999</v>
      </c>
      <c r="V33">
        <v>4774.4022299999997</v>
      </c>
      <c r="W33">
        <v>4740.8372399999998</v>
      </c>
      <c r="AB33">
        <v>4795.6181500000002</v>
      </c>
      <c r="AC33">
        <v>4795.4903599999998</v>
      </c>
      <c r="AD33">
        <v>0</v>
      </c>
      <c r="AE33">
        <v>31</v>
      </c>
      <c r="AF33">
        <v>296</v>
      </c>
      <c r="AG33">
        <v>4697.7102000000004</v>
      </c>
      <c r="AH33">
        <v>4738.1593000000003</v>
      </c>
      <c r="AI33">
        <v>-40.449100000000001</v>
      </c>
      <c r="AJ33">
        <v>1636.1288999999999</v>
      </c>
      <c r="AK33">
        <v>31</v>
      </c>
      <c r="AL33">
        <v>30</v>
      </c>
      <c r="AM33">
        <v>4795.82</v>
      </c>
      <c r="AN33">
        <v>4809.3419999999996</v>
      </c>
      <c r="AO33">
        <v>-13.522</v>
      </c>
      <c r="AP33">
        <v>182.84450000000001</v>
      </c>
      <c r="AQ33">
        <v>-5.6876999999999997E-2</v>
      </c>
      <c r="AR33">
        <v>2.1873E-2</v>
      </c>
      <c r="AS33">
        <v>31</v>
      </c>
      <c r="AT33">
        <v>296</v>
      </c>
      <c r="AU33">
        <v>4697.7102000000004</v>
      </c>
      <c r="AV33">
        <v>4738.1593000000003</v>
      </c>
      <c r="AW33">
        <v>-40.449100000000001</v>
      </c>
      <c r="AX33">
        <v>1636.1288999999999</v>
      </c>
      <c r="AY33">
        <v>31</v>
      </c>
      <c r="AZ33">
        <v>30</v>
      </c>
      <c r="BA33">
        <v>4795.82</v>
      </c>
      <c r="BB33">
        <v>4809.3419999999996</v>
      </c>
      <c r="BC33">
        <v>-13.522</v>
      </c>
      <c r="BD33">
        <v>182.84450000000001</v>
      </c>
      <c r="BE33">
        <v>900</v>
      </c>
    </row>
    <row r="34" spans="1:57" x14ac:dyDescent="0.55000000000000004">
      <c r="A34">
        <v>1776383102</v>
      </c>
      <c r="B34" t="s">
        <v>72</v>
      </c>
      <c r="C34" t="s">
        <v>73</v>
      </c>
      <c r="D34">
        <v>4792.13</v>
      </c>
      <c r="E34">
        <v>4518.5928199999998</v>
      </c>
      <c r="F34">
        <v>4596.0559499999999</v>
      </c>
      <c r="G34">
        <v>4755.40355</v>
      </c>
      <c r="H34">
        <v>4792.7697200000002</v>
      </c>
      <c r="Q34">
        <v>4809.0744000000004</v>
      </c>
      <c r="R34">
        <v>4838.4377000000004</v>
      </c>
      <c r="S34">
        <v>4865.0264699999998</v>
      </c>
      <c r="V34">
        <v>4774.1346299999996</v>
      </c>
      <c r="W34">
        <v>4740.56963</v>
      </c>
      <c r="AB34">
        <v>4794.6350000000002</v>
      </c>
      <c r="AC34">
        <v>4795.06268</v>
      </c>
      <c r="AD34">
        <v>1</v>
      </c>
      <c r="AE34">
        <v>32</v>
      </c>
      <c r="AF34">
        <v>323</v>
      </c>
      <c r="AG34">
        <v>4757.8092999999999</v>
      </c>
      <c r="AH34">
        <v>4730.9340000000002</v>
      </c>
      <c r="AI34">
        <v>26.875299999999999</v>
      </c>
      <c r="AJ34">
        <v>722.27909999999997</v>
      </c>
      <c r="AK34">
        <v>32</v>
      </c>
      <c r="AL34">
        <v>31</v>
      </c>
      <c r="AM34">
        <v>4792.13</v>
      </c>
      <c r="AN34">
        <v>4809.0744000000004</v>
      </c>
      <c r="AO34">
        <v>-16.944400000000002</v>
      </c>
      <c r="AP34">
        <v>287.11270000000002</v>
      </c>
      <c r="AQ34">
        <v>-0.111917</v>
      </c>
      <c r="AR34">
        <v>5.3934000000000003E-2</v>
      </c>
      <c r="AS34">
        <v>32</v>
      </c>
      <c r="AT34">
        <v>323</v>
      </c>
      <c r="AU34">
        <v>4757.8092999999999</v>
      </c>
      <c r="AV34">
        <v>4730.9340000000002</v>
      </c>
      <c r="AW34">
        <v>26.875299999999999</v>
      </c>
      <c r="AX34">
        <v>722.27909999999997</v>
      </c>
      <c r="AY34">
        <v>32</v>
      </c>
      <c r="AZ34">
        <v>31</v>
      </c>
      <c r="BA34">
        <v>4792.13</v>
      </c>
      <c r="BB34">
        <v>4809.0744000000004</v>
      </c>
      <c r="BC34">
        <v>-16.944400000000002</v>
      </c>
      <c r="BD34">
        <v>287.11270000000002</v>
      </c>
      <c r="BE34">
        <v>961</v>
      </c>
    </row>
    <row r="35" spans="1:57" x14ac:dyDescent="0.55000000000000004">
      <c r="A35">
        <v>1776384002</v>
      </c>
      <c r="B35" t="s">
        <v>72</v>
      </c>
      <c r="C35" t="s">
        <v>73</v>
      </c>
      <c r="D35">
        <v>4790.3999999999996</v>
      </c>
      <c r="E35">
        <v>4518.5928199999998</v>
      </c>
      <c r="F35">
        <v>4596.0559499999999</v>
      </c>
      <c r="G35">
        <v>4755.40355</v>
      </c>
      <c r="H35">
        <v>4792.7697200000002</v>
      </c>
      <c r="Q35">
        <v>4808.8068000000003</v>
      </c>
      <c r="R35">
        <v>4838.1700899999996</v>
      </c>
      <c r="S35">
        <v>4864.7588699999997</v>
      </c>
      <c r="V35">
        <v>4773.8670300000003</v>
      </c>
      <c r="W35">
        <v>4740.3020299999998</v>
      </c>
      <c r="AB35">
        <v>4793.0890099999997</v>
      </c>
      <c r="AC35">
        <v>4794.0758400000004</v>
      </c>
      <c r="AD35">
        <v>0</v>
      </c>
      <c r="AE35">
        <v>33</v>
      </c>
      <c r="AF35">
        <v>327</v>
      </c>
      <c r="AG35">
        <v>4758.0105999999996</v>
      </c>
      <c r="AH35">
        <v>4729.8635999999997</v>
      </c>
      <c r="AI35">
        <v>28.146999999999998</v>
      </c>
      <c r="AJ35">
        <v>792.25469999999996</v>
      </c>
      <c r="AK35">
        <v>33</v>
      </c>
      <c r="AL35">
        <v>32</v>
      </c>
      <c r="AM35">
        <v>4790.3999999999996</v>
      </c>
      <c r="AN35">
        <v>4808.8068000000003</v>
      </c>
      <c r="AO35">
        <v>-18.4068</v>
      </c>
      <c r="AP35">
        <v>338.81029999999998</v>
      </c>
      <c r="AQ35">
        <v>-0.14346600000000001</v>
      </c>
      <c r="AR35">
        <v>7.5105000000000005E-2</v>
      </c>
      <c r="AS35">
        <v>33</v>
      </c>
      <c r="AT35">
        <v>327</v>
      </c>
      <c r="AU35">
        <v>4758.0105999999996</v>
      </c>
      <c r="AV35">
        <v>4729.8635999999997</v>
      </c>
      <c r="AW35">
        <v>28.146999999999998</v>
      </c>
      <c r="AX35">
        <v>792.25469999999996</v>
      </c>
      <c r="AY35">
        <v>33</v>
      </c>
      <c r="AZ35">
        <v>32</v>
      </c>
      <c r="BA35">
        <v>4790.3999999999996</v>
      </c>
      <c r="BB35">
        <v>4808.8068000000003</v>
      </c>
      <c r="BC35">
        <v>-18.4068</v>
      </c>
      <c r="BD35">
        <v>338.81029999999998</v>
      </c>
      <c r="BE35">
        <v>1024</v>
      </c>
    </row>
    <row r="36" spans="1:57" x14ac:dyDescent="0.55000000000000004">
      <c r="A36">
        <v>1776384902</v>
      </c>
      <c r="B36" t="s">
        <v>72</v>
      </c>
      <c r="C36" t="s">
        <v>73</v>
      </c>
      <c r="D36">
        <v>4792.8599999999997</v>
      </c>
      <c r="E36">
        <v>4518.5928199999998</v>
      </c>
      <c r="F36">
        <v>4596.0559499999999</v>
      </c>
      <c r="G36">
        <v>4755.40355</v>
      </c>
      <c r="H36">
        <v>4792.7697200000002</v>
      </c>
      <c r="Q36">
        <v>4808.5391900000004</v>
      </c>
      <c r="R36">
        <v>4837.9024900000004</v>
      </c>
      <c r="S36">
        <v>4864.4912599999998</v>
      </c>
      <c r="V36">
        <v>4773.5994199999996</v>
      </c>
      <c r="W36">
        <v>4740.0344299999997</v>
      </c>
      <c r="AB36">
        <v>4791.1593599999997</v>
      </c>
      <c r="AC36">
        <v>4792.6175999999996</v>
      </c>
      <c r="AD36">
        <v>0</v>
      </c>
      <c r="AE36">
        <v>34</v>
      </c>
      <c r="AF36">
        <v>335</v>
      </c>
      <c r="AG36">
        <v>4766.5311000000002</v>
      </c>
      <c r="AH36">
        <v>4727.7227999999996</v>
      </c>
      <c r="AI36">
        <v>38.808399999999999</v>
      </c>
      <c r="AJ36">
        <v>1506.0888</v>
      </c>
      <c r="AK36">
        <v>34</v>
      </c>
      <c r="AL36">
        <v>33</v>
      </c>
      <c r="AM36">
        <v>4792.8599999999997</v>
      </c>
      <c r="AN36">
        <v>4808.5392000000002</v>
      </c>
      <c r="AO36">
        <v>-15.6792</v>
      </c>
      <c r="AP36">
        <v>245.83699999999999</v>
      </c>
      <c r="AQ36">
        <v>-8.8672000000000001E-2</v>
      </c>
      <c r="AR36">
        <v>3.9541E-2</v>
      </c>
      <c r="AS36">
        <v>34</v>
      </c>
      <c r="AT36">
        <v>335</v>
      </c>
      <c r="AU36">
        <v>4766.5311000000002</v>
      </c>
      <c r="AV36">
        <v>4727.7227999999996</v>
      </c>
      <c r="AW36">
        <v>38.808399999999999</v>
      </c>
      <c r="AX36">
        <v>1506.0888</v>
      </c>
      <c r="AY36">
        <v>34</v>
      </c>
      <c r="AZ36">
        <v>33</v>
      </c>
      <c r="BA36">
        <v>4792.8599999999997</v>
      </c>
      <c r="BB36">
        <v>4808.5392000000002</v>
      </c>
      <c r="BC36">
        <v>-15.6792</v>
      </c>
      <c r="BD36">
        <v>245.83699999999999</v>
      </c>
      <c r="BE36">
        <v>1089</v>
      </c>
    </row>
    <row r="37" spans="1:57" x14ac:dyDescent="0.55000000000000004">
      <c r="A37">
        <v>1776385802</v>
      </c>
      <c r="B37" t="s">
        <v>72</v>
      </c>
      <c r="C37" t="s">
        <v>73</v>
      </c>
      <c r="D37">
        <v>4798.3999999999996</v>
      </c>
      <c r="E37">
        <v>4518.5928199999998</v>
      </c>
      <c r="F37">
        <v>4596.0559499999999</v>
      </c>
      <c r="G37">
        <v>4755.40355</v>
      </c>
      <c r="H37">
        <v>4792.7697200000002</v>
      </c>
      <c r="Q37">
        <v>4808.2715900000003</v>
      </c>
      <c r="R37">
        <v>4837.6348900000003</v>
      </c>
      <c r="S37">
        <v>4864.2236599999997</v>
      </c>
      <c r="V37">
        <v>4773.3318200000003</v>
      </c>
      <c r="W37">
        <v>4739.7668199999998</v>
      </c>
      <c r="AB37">
        <v>4788.9594500000003</v>
      </c>
      <c r="AC37">
        <v>4790.7885200000001</v>
      </c>
      <c r="AD37">
        <v>0</v>
      </c>
      <c r="AE37">
        <v>35</v>
      </c>
      <c r="AF37">
        <v>349</v>
      </c>
      <c r="AG37">
        <v>4756.1253999999999</v>
      </c>
      <c r="AH37">
        <v>4723.9763000000003</v>
      </c>
      <c r="AI37">
        <v>32.149099999999997</v>
      </c>
      <c r="AJ37">
        <v>1033.5666000000001</v>
      </c>
      <c r="AK37">
        <v>35</v>
      </c>
      <c r="AL37">
        <v>34</v>
      </c>
      <c r="AM37">
        <v>4798.3999999999996</v>
      </c>
      <c r="AN37">
        <v>4808.2716</v>
      </c>
      <c r="AO37">
        <v>-9.8716000000000008</v>
      </c>
      <c r="AP37">
        <v>97.448300000000003</v>
      </c>
      <c r="AQ37">
        <v>-2.213E-2</v>
      </c>
      <c r="AR37">
        <v>6.2129999999999998E-3</v>
      </c>
      <c r="AS37">
        <v>35</v>
      </c>
      <c r="AT37">
        <v>349</v>
      </c>
      <c r="AU37">
        <v>4756.1253999999999</v>
      </c>
      <c r="AV37">
        <v>4723.9763000000003</v>
      </c>
      <c r="AW37">
        <v>32.149099999999997</v>
      </c>
      <c r="AX37">
        <v>1033.5666000000001</v>
      </c>
      <c r="AY37">
        <v>35</v>
      </c>
      <c r="AZ37">
        <v>34</v>
      </c>
      <c r="BA37">
        <v>4798.3999999999996</v>
      </c>
      <c r="BB37">
        <v>4808.2716</v>
      </c>
      <c r="BC37">
        <v>-9.8716000000000008</v>
      </c>
      <c r="BD37">
        <v>97.448300000000003</v>
      </c>
      <c r="BE37">
        <v>1156</v>
      </c>
    </row>
    <row r="38" spans="1:57" x14ac:dyDescent="0.55000000000000004">
      <c r="A38">
        <v>1776386702</v>
      </c>
      <c r="B38" t="s">
        <v>72</v>
      </c>
      <c r="C38" t="s">
        <v>73</v>
      </c>
      <c r="D38">
        <v>4794.8999999999996</v>
      </c>
      <c r="E38">
        <v>4518.5928199999998</v>
      </c>
      <c r="F38">
        <v>4596.0559499999999</v>
      </c>
      <c r="G38">
        <v>4755.40355</v>
      </c>
      <c r="H38">
        <v>4792.7697200000002</v>
      </c>
      <c r="Q38">
        <v>4808.0039800000004</v>
      </c>
      <c r="R38">
        <v>4837.3672800000004</v>
      </c>
      <c r="S38">
        <v>4863.9560499999998</v>
      </c>
      <c r="V38">
        <v>4773.0642099999995</v>
      </c>
      <c r="W38">
        <v>4739.4992199999997</v>
      </c>
      <c r="AB38">
        <v>4786.5853500000003</v>
      </c>
      <c r="AC38">
        <v>4788.6869399999996</v>
      </c>
      <c r="AD38">
        <v>0</v>
      </c>
      <c r="AE38">
        <v>36</v>
      </c>
      <c r="AF38">
        <v>351</v>
      </c>
      <c r="AG38">
        <v>4756.0877</v>
      </c>
      <c r="AH38">
        <v>4723.4411</v>
      </c>
      <c r="AI38">
        <v>32.646700000000003</v>
      </c>
      <c r="AJ38">
        <v>1065.8044</v>
      </c>
      <c r="AK38">
        <v>36</v>
      </c>
      <c r="AL38">
        <v>35</v>
      </c>
      <c r="AM38">
        <v>4794.8999999999996</v>
      </c>
      <c r="AN38">
        <v>4808.0039999999999</v>
      </c>
      <c r="AO38">
        <v>-13.103999999999999</v>
      </c>
      <c r="AP38">
        <v>171.71430000000001</v>
      </c>
      <c r="AQ38">
        <v>-5.1763999999999998E-2</v>
      </c>
      <c r="AR38">
        <v>1.9292E-2</v>
      </c>
      <c r="AS38">
        <v>36</v>
      </c>
      <c r="AT38">
        <v>351</v>
      </c>
      <c r="AU38">
        <v>4756.0877</v>
      </c>
      <c r="AV38">
        <v>4723.4411</v>
      </c>
      <c r="AW38">
        <v>32.646700000000003</v>
      </c>
      <c r="AX38">
        <v>1065.8044</v>
      </c>
      <c r="AY38">
        <v>36</v>
      </c>
      <c r="AZ38">
        <v>35</v>
      </c>
      <c r="BA38">
        <v>4794.8999999999996</v>
      </c>
      <c r="BB38">
        <v>4808.0039999999999</v>
      </c>
      <c r="BC38">
        <v>-13.103999999999999</v>
      </c>
      <c r="BD38">
        <v>171.71430000000001</v>
      </c>
      <c r="BE38">
        <v>1225</v>
      </c>
    </row>
    <row r="39" spans="1:57" x14ac:dyDescent="0.55000000000000004">
      <c r="A39">
        <v>1776387602</v>
      </c>
      <c r="B39" t="s">
        <v>72</v>
      </c>
      <c r="C39" t="s">
        <v>73</v>
      </c>
      <c r="D39">
        <v>4779.32</v>
      </c>
      <c r="E39">
        <v>4518.5928199999998</v>
      </c>
      <c r="F39">
        <v>4596.0559499999999</v>
      </c>
      <c r="G39">
        <v>4755.40355</v>
      </c>
      <c r="H39">
        <v>4792.7697200000002</v>
      </c>
      <c r="Q39">
        <v>4807.7363800000003</v>
      </c>
      <c r="R39">
        <v>4837.0996800000003</v>
      </c>
      <c r="S39">
        <v>4863.6884499999996</v>
      </c>
      <c r="V39">
        <v>4772.7966100000003</v>
      </c>
      <c r="W39">
        <v>4739.2316099999998</v>
      </c>
      <c r="AB39">
        <v>4784.4296000000004</v>
      </c>
      <c r="AC39">
        <v>4786.5582700000004</v>
      </c>
      <c r="AD39">
        <v>0</v>
      </c>
      <c r="AE39">
        <v>37</v>
      </c>
      <c r="AF39">
        <v>361</v>
      </c>
      <c r="AG39">
        <v>4748.9847</v>
      </c>
      <c r="AH39">
        <v>4720.7650000000003</v>
      </c>
      <c r="AI39">
        <v>28.2197</v>
      </c>
      <c r="AJ39">
        <v>796.34860000000003</v>
      </c>
      <c r="AK39">
        <v>37</v>
      </c>
      <c r="AL39">
        <v>36</v>
      </c>
      <c r="AM39">
        <v>4779.32</v>
      </c>
      <c r="AN39">
        <v>4807.7363999999998</v>
      </c>
      <c r="AO39">
        <v>-28.416399999999999</v>
      </c>
      <c r="AP39">
        <v>807.49069999999995</v>
      </c>
      <c r="AQ39">
        <v>-0.527864</v>
      </c>
      <c r="AR39">
        <v>0.42660799999999999</v>
      </c>
      <c r="AS39">
        <v>37</v>
      </c>
      <c r="AT39">
        <v>361</v>
      </c>
      <c r="AU39">
        <v>4748.9847</v>
      </c>
      <c r="AV39">
        <v>4720.7650000000003</v>
      </c>
      <c r="AW39">
        <v>28.2197</v>
      </c>
      <c r="AX39">
        <v>796.34860000000003</v>
      </c>
      <c r="AY39">
        <v>37</v>
      </c>
      <c r="AZ39">
        <v>36</v>
      </c>
      <c r="BA39">
        <v>4779.32</v>
      </c>
      <c r="BB39">
        <v>4807.7363999999998</v>
      </c>
      <c r="BC39">
        <v>-28.416399999999999</v>
      </c>
      <c r="BD39">
        <v>807.49069999999995</v>
      </c>
      <c r="BE39">
        <v>1296</v>
      </c>
    </row>
    <row r="40" spans="1:57" x14ac:dyDescent="0.55000000000000004">
      <c r="A40">
        <v>1776388502</v>
      </c>
      <c r="B40" t="s">
        <v>72</v>
      </c>
      <c r="C40" t="s">
        <v>73</v>
      </c>
      <c r="D40">
        <v>4769.01</v>
      </c>
      <c r="E40">
        <v>4518.5928199999998</v>
      </c>
      <c r="F40">
        <v>4596.0559499999999</v>
      </c>
      <c r="G40">
        <v>4755.40355</v>
      </c>
      <c r="H40">
        <v>4792.7697200000002</v>
      </c>
      <c r="Q40">
        <v>4807.4687800000002</v>
      </c>
      <c r="R40">
        <v>4836.8320700000004</v>
      </c>
      <c r="S40">
        <v>4863.4208500000004</v>
      </c>
      <c r="V40">
        <v>4772.5290100000002</v>
      </c>
      <c r="W40">
        <v>4738.9640099999997</v>
      </c>
      <c r="AB40">
        <v>4783.1760400000003</v>
      </c>
      <c r="AC40">
        <v>4784.86715</v>
      </c>
      <c r="AD40">
        <v>0</v>
      </c>
      <c r="AE40">
        <v>38</v>
      </c>
      <c r="AF40">
        <v>363</v>
      </c>
      <c r="AG40">
        <v>4748.0625</v>
      </c>
      <c r="AH40">
        <v>4720.2298000000001</v>
      </c>
      <c r="AI40">
        <v>27.832699999999999</v>
      </c>
      <c r="AJ40">
        <v>774.65809999999999</v>
      </c>
      <c r="AK40">
        <v>38</v>
      </c>
      <c r="AL40">
        <v>37</v>
      </c>
      <c r="AM40">
        <v>4769.01</v>
      </c>
      <c r="AN40">
        <v>4807.4687999999996</v>
      </c>
      <c r="AO40">
        <v>-38.458799999999997</v>
      </c>
      <c r="AP40">
        <v>1479.0778</v>
      </c>
      <c r="AQ40">
        <v>-1.3085850000000001</v>
      </c>
      <c r="AR40">
        <v>1.4313180000000001</v>
      </c>
      <c r="AS40">
        <v>38</v>
      </c>
      <c r="AT40">
        <v>363</v>
      </c>
      <c r="AU40">
        <v>4748.0625</v>
      </c>
      <c r="AV40">
        <v>4720.2298000000001</v>
      </c>
      <c r="AW40">
        <v>27.832699999999999</v>
      </c>
      <c r="AX40">
        <v>774.65809999999999</v>
      </c>
      <c r="AY40">
        <v>38</v>
      </c>
      <c r="AZ40">
        <v>37</v>
      </c>
      <c r="BA40">
        <v>4769.01</v>
      </c>
      <c r="BB40">
        <v>4807.4687999999996</v>
      </c>
      <c r="BC40">
        <v>-38.458799999999997</v>
      </c>
      <c r="BD40">
        <v>1479.0778</v>
      </c>
      <c r="BE40">
        <v>1369</v>
      </c>
    </row>
    <row r="41" spans="1:57" x14ac:dyDescent="0.55000000000000004">
      <c r="A41">
        <v>1776389402</v>
      </c>
      <c r="B41" t="s">
        <v>72</v>
      </c>
      <c r="C41" t="s">
        <v>73</v>
      </c>
      <c r="D41">
        <v>4777.87</v>
      </c>
      <c r="E41">
        <v>4518.5928199999998</v>
      </c>
      <c r="F41">
        <v>4596.0559499999999</v>
      </c>
      <c r="G41">
        <v>4755.40355</v>
      </c>
      <c r="H41">
        <v>4792.7697200000002</v>
      </c>
      <c r="Q41">
        <v>4807.2011700000003</v>
      </c>
      <c r="R41">
        <v>4836.5644700000003</v>
      </c>
      <c r="S41">
        <v>4863.1532399999996</v>
      </c>
      <c r="V41">
        <v>4772.2614000000003</v>
      </c>
      <c r="W41">
        <v>4738.6963999999998</v>
      </c>
      <c r="AA41">
        <v>4768.07</v>
      </c>
      <c r="AB41">
        <v>4783.2232000000004</v>
      </c>
      <c r="AC41">
        <v>4784.0451800000001</v>
      </c>
      <c r="AD41">
        <v>0</v>
      </c>
      <c r="AE41">
        <v>39</v>
      </c>
      <c r="AF41">
        <v>374</v>
      </c>
      <c r="AG41">
        <v>4729.4164000000001</v>
      </c>
      <c r="AH41">
        <v>4717.2861999999996</v>
      </c>
      <c r="AI41">
        <v>12.1302</v>
      </c>
      <c r="AJ41">
        <v>147.14150000000001</v>
      </c>
      <c r="AK41">
        <v>39</v>
      </c>
      <c r="AL41">
        <v>38</v>
      </c>
      <c r="AM41">
        <v>4777.87</v>
      </c>
      <c r="AN41">
        <v>4807.2012000000004</v>
      </c>
      <c r="AO41">
        <v>-29.331199999999999</v>
      </c>
      <c r="AP41">
        <v>860.3175</v>
      </c>
      <c r="AQ41">
        <v>-0.58050199999999996</v>
      </c>
      <c r="AR41">
        <v>0.48425200000000002</v>
      </c>
      <c r="AS41">
        <v>39</v>
      </c>
      <c r="AT41">
        <v>374</v>
      </c>
      <c r="AU41">
        <v>4729.4164000000001</v>
      </c>
      <c r="AV41">
        <v>4717.2861999999996</v>
      </c>
      <c r="AW41">
        <v>12.1302</v>
      </c>
      <c r="AX41">
        <v>147.14150000000001</v>
      </c>
      <c r="AY41">
        <v>39</v>
      </c>
      <c r="AZ41">
        <v>38</v>
      </c>
      <c r="BA41">
        <v>4777.87</v>
      </c>
      <c r="BB41">
        <v>4807.2012000000004</v>
      </c>
      <c r="BC41">
        <v>-29.331199999999999</v>
      </c>
      <c r="BD41">
        <v>860.3175</v>
      </c>
      <c r="BE41">
        <v>1444</v>
      </c>
    </row>
    <row r="42" spans="1:57" x14ac:dyDescent="0.55000000000000004">
      <c r="A42">
        <v>1776390302</v>
      </c>
      <c r="B42" t="s">
        <v>72</v>
      </c>
      <c r="C42" t="s">
        <v>73</v>
      </c>
      <c r="D42">
        <v>4789.4799999999996</v>
      </c>
      <c r="E42">
        <v>4518.5928199999998</v>
      </c>
      <c r="F42">
        <v>4596.0559499999999</v>
      </c>
      <c r="G42">
        <v>4755.40355</v>
      </c>
      <c r="H42">
        <v>4792.7697200000002</v>
      </c>
      <c r="Q42">
        <v>4806.9335700000001</v>
      </c>
      <c r="R42">
        <v>4836.2968700000001</v>
      </c>
      <c r="S42">
        <v>4862.8856400000004</v>
      </c>
      <c r="V42">
        <v>4771.9938000000002</v>
      </c>
      <c r="W42">
        <v>4738.4287999999997</v>
      </c>
      <c r="AB42">
        <v>4784.2445299999999</v>
      </c>
      <c r="AC42">
        <v>4784.1448600000003</v>
      </c>
      <c r="AD42">
        <v>1</v>
      </c>
      <c r="AE42">
        <v>40</v>
      </c>
      <c r="AF42">
        <v>390</v>
      </c>
      <c r="AG42">
        <v>4739.1687000000002</v>
      </c>
      <c r="AH42">
        <v>4713.0045</v>
      </c>
      <c r="AI42">
        <v>26.164200000000001</v>
      </c>
      <c r="AJ42">
        <v>684.5643</v>
      </c>
      <c r="AK42">
        <v>40</v>
      </c>
      <c r="AL42">
        <v>39</v>
      </c>
      <c r="AM42">
        <v>4789.4799999999996</v>
      </c>
      <c r="AN42">
        <v>4806.9336000000003</v>
      </c>
      <c r="AO42">
        <v>-17.453600000000002</v>
      </c>
      <c r="AP42">
        <v>304.62709999999998</v>
      </c>
      <c r="AQ42">
        <v>-0.122312</v>
      </c>
      <c r="AR42">
        <v>6.0713999999999997E-2</v>
      </c>
      <c r="AS42">
        <v>40</v>
      </c>
      <c r="AT42">
        <v>390</v>
      </c>
      <c r="AU42">
        <v>4739.1687000000002</v>
      </c>
      <c r="AV42">
        <v>4713.0045</v>
      </c>
      <c r="AW42">
        <v>26.164200000000001</v>
      </c>
      <c r="AX42">
        <v>684.5643</v>
      </c>
      <c r="AY42">
        <v>40</v>
      </c>
      <c r="AZ42">
        <v>39</v>
      </c>
      <c r="BA42">
        <v>4789.4799999999996</v>
      </c>
      <c r="BB42">
        <v>4806.9336000000003</v>
      </c>
      <c r="BC42">
        <v>-17.453600000000002</v>
      </c>
      <c r="BD42">
        <v>304.62709999999998</v>
      </c>
      <c r="BE42">
        <v>1521</v>
      </c>
    </row>
    <row r="43" spans="1:57" x14ac:dyDescent="0.55000000000000004">
      <c r="A43">
        <v>1776391202</v>
      </c>
      <c r="B43" t="s">
        <v>72</v>
      </c>
      <c r="C43" t="s">
        <v>73</v>
      </c>
      <c r="D43">
        <v>4791.3500000000004</v>
      </c>
      <c r="E43">
        <v>4518.5928199999998</v>
      </c>
      <c r="F43">
        <v>4596.0559499999999</v>
      </c>
      <c r="G43">
        <v>4755.40355</v>
      </c>
      <c r="H43">
        <v>4792.7697200000002</v>
      </c>
      <c r="Q43">
        <v>4806.6659600000003</v>
      </c>
      <c r="R43">
        <v>4836.0292600000002</v>
      </c>
      <c r="S43">
        <v>4862.6180299999996</v>
      </c>
      <c r="V43">
        <v>4771.7261900000003</v>
      </c>
      <c r="W43">
        <v>4738.1611999999996</v>
      </c>
      <c r="AB43">
        <v>4785.6992499999997</v>
      </c>
      <c r="AC43">
        <v>4784.9220599999999</v>
      </c>
      <c r="AD43">
        <v>0</v>
      </c>
      <c r="AE43">
        <v>41</v>
      </c>
      <c r="AF43">
        <v>399</v>
      </c>
      <c r="AG43">
        <v>4725.8976000000002</v>
      </c>
      <c r="AH43">
        <v>4710.5960999999998</v>
      </c>
      <c r="AI43">
        <v>15.301500000000001</v>
      </c>
      <c r="AJ43">
        <v>234.13499999999999</v>
      </c>
      <c r="AK43">
        <v>41</v>
      </c>
      <c r="AL43">
        <v>40</v>
      </c>
      <c r="AM43">
        <v>4791.3500000000004</v>
      </c>
      <c r="AN43">
        <v>4806.6660000000002</v>
      </c>
      <c r="AO43">
        <v>-15.316000000000001</v>
      </c>
      <c r="AP43">
        <v>234.57859999999999</v>
      </c>
      <c r="AQ43">
        <v>-8.2651000000000002E-2</v>
      </c>
      <c r="AR43">
        <v>3.6001999999999999E-2</v>
      </c>
      <c r="AS43">
        <v>41</v>
      </c>
      <c r="AT43">
        <v>399</v>
      </c>
      <c r="AU43">
        <v>4725.8976000000002</v>
      </c>
      <c r="AV43">
        <v>4710.5960999999998</v>
      </c>
      <c r="AW43">
        <v>15.301500000000001</v>
      </c>
      <c r="AX43">
        <v>234.13499999999999</v>
      </c>
      <c r="AY43">
        <v>41</v>
      </c>
      <c r="AZ43">
        <v>40</v>
      </c>
      <c r="BA43">
        <v>4791.3500000000004</v>
      </c>
      <c r="BB43">
        <v>4806.6660000000002</v>
      </c>
      <c r="BC43">
        <v>-15.316000000000001</v>
      </c>
      <c r="BD43">
        <v>234.57859999999999</v>
      </c>
      <c r="BE43">
        <v>1600</v>
      </c>
    </row>
    <row r="44" spans="1:57" x14ac:dyDescent="0.55000000000000004">
      <c r="A44">
        <v>1776392102</v>
      </c>
      <c r="B44" t="s">
        <v>72</v>
      </c>
      <c r="C44" t="s">
        <v>73</v>
      </c>
      <c r="D44">
        <v>4788.8599999999997</v>
      </c>
      <c r="E44">
        <v>4518.5928199999998</v>
      </c>
      <c r="F44">
        <v>4596.0559499999999</v>
      </c>
      <c r="G44">
        <v>4755.40355</v>
      </c>
      <c r="H44">
        <v>4792.7697200000002</v>
      </c>
      <c r="Q44">
        <v>4806.3983600000001</v>
      </c>
      <c r="R44">
        <v>4835.7616600000001</v>
      </c>
      <c r="S44">
        <v>4862.3504300000004</v>
      </c>
      <c r="V44">
        <v>4771.4585900000002</v>
      </c>
      <c r="W44">
        <v>4737.8935899999997</v>
      </c>
      <c r="AB44">
        <v>4787.2893800000002</v>
      </c>
      <c r="AC44">
        <v>4786.1057199999996</v>
      </c>
      <c r="AD44">
        <v>0</v>
      </c>
      <c r="AE44">
        <v>42</v>
      </c>
      <c r="AF44">
        <v>405</v>
      </c>
      <c r="AG44">
        <v>4733.9721</v>
      </c>
      <c r="AH44">
        <v>4708.9904999999999</v>
      </c>
      <c r="AI44">
        <v>24.9816</v>
      </c>
      <c r="AJ44">
        <v>624.08230000000003</v>
      </c>
      <c r="AK44">
        <v>42</v>
      </c>
      <c r="AL44">
        <v>41</v>
      </c>
      <c r="AM44">
        <v>4788.8599999999997</v>
      </c>
      <c r="AN44">
        <v>4806.3984</v>
      </c>
      <c r="AO44">
        <v>-17.538399999999999</v>
      </c>
      <c r="AP44">
        <v>307.59410000000003</v>
      </c>
      <c r="AQ44">
        <v>-0.124103</v>
      </c>
      <c r="AR44">
        <v>6.1903E-2</v>
      </c>
      <c r="AS44">
        <v>42</v>
      </c>
      <c r="AT44">
        <v>405</v>
      </c>
      <c r="AU44">
        <v>4733.9721</v>
      </c>
      <c r="AV44">
        <v>4708.9904999999999</v>
      </c>
      <c r="AW44">
        <v>24.9816</v>
      </c>
      <c r="AX44">
        <v>624.08230000000003</v>
      </c>
      <c r="AY44">
        <v>42</v>
      </c>
      <c r="AZ44">
        <v>41</v>
      </c>
      <c r="BA44">
        <v>4788.8599999999997</v>
      </c>
      <c r="BB44">
        <v>4806.3984</v>
      </c>
      <c r="BC44">
        <v>-17.538399999999999</v>
      </c>
      <c r="BD44">
        <v>307.59410000000003</v>
      </c>
      <c r="BE44">
        <v>1681</v>
      </c>
    </row>
    <row r="45" spans="1:57" x14ac:dyDescent="0.55000000000000004">
      <c r="A45">
        <v>1776393002</v>
      </c>
      <c r="B45" t="s">
        <v>72</v>
      </c>
      <c r="C45" t="s">
        <v>73</v>
      </c>
      <c r="D45">
        <v>4791.57</v>
      </c>
      <c r="E45">
        <v>4518.5928199999998</v>
      </c>
      <c r="F45">
        <v>4596.0559499999999</v>
      </c>
      <c r="G45">
        <v>4755.40355</v>
      </c>
      <c r="H45">
        <v>4792.7697200000002</v>
      </c>
      <c r="Q45">
        <v>4806.1307500000003</v>
      </c>
      <c r="R45">
        <v>4835.4940500000002</v>
      </c>
      <c r="S45">
        <v>4862.0828199999996</v>
      </c>
      <c r="V45">
        <v>4771.1909800000003</v>
      </c>
      <c r="W45">
        <v>4737.6259899999995</v>
      </c>
      <c r="AB45">
        <v>4788.9024200000003</v>
      </c>
      <c r="AC45">
        <v>4787.50407</v>
      </c>
      <c r="AD45">
        <v>0</v>
      </c>
      <c r="AE45">
        <v>43</v>
      </c>
      <c r="AF45">
        <v>415</v>
      </c>
      <c r="AG45">
        <v>4703.2629999999999</v>
      </c>
      <c r="AH45">
        <v>4706.3144000000002</v>
      </c>
      <c r="AI45">
        <v>-3.0514000000000001</v>
      </c>
      <c r="AJ45">
        <v>9.3112999999999992</v>
      </c>
      <c r="AK45">
        <v>43</v>
      </c>
      <c r="AL45">
        <v>42</v>
      </c>
      <c r="AM45">
        <v>4791.57</v>
      </c>
      <c r="AN45">
        <v>4806.1307999999999</v>
      </c>
      <c r="AO45">
        <v>-14.5608</v>
      </c>
      <c r="AP45">
        <v>212.0154</v>
      </c>
      <c r="AQ45">
        <v>-7.1017999999999998E-2</v>
      </c>
      <c r="AR45">
        <v>2.9409999999999999E-2</v>
      </c>
      <c r="AS45">
        <v>43</v>
      </c>
      <c r="AT45">
        <v>415</v>
      </c>
      <c r="AU45">
        <v>4703.2629999999999</v>
      </c>
      <c r="AV45">
        <v>4706.3144000000002</v>
      </c>
      <c r="AW45">
        <v>-3.0514000000000001</v>
      </c>
      <c r="AX45">
        <v>9.3112999999999992</v>
      </c>
      <c r="AY45">
        <v>43</v>
      </c>
      <c r="AZ45">
        <v>42</v>
      </c>
      <c r="BA45">
        <v>4791.57</v>
      </c>
      <c r="BB45">
        <v>4806.1307999999999</v>
      </c>
      <c r="BC45">
        <v>-14.5608</v>
      </c>
      <c r="BD45">
        <v>212.0154</v>
      </c>
      <c r="BE45">
        <v>1764</v>
      </c>
    </row>
    <row r="46" spans="1:57" x14ac:dyDescent="0.55000000000000004">
      <c r="A46">
        <v>1776393902</v>
      </c>
      <c r="B46" t="s">
        <v>72</v>
      </c>
      <c r="C46" t="s">
        <v>73</v>
      </c>
      <c r="D46">
        <v>4784.8100000000004</v>
      </c>
      <c r="E46">
        <v>4518.5928199999998</v>
      </c>
      <c r="F46">
        <v>4596.0559499999999</v>
      </c>
      <c r="G46">
        <v>4755.40355</v>
      </c>
      <c r="H46">
        <v>4792.7697200000002</v>
      </c>
      <c r="Q46">
        <v>4805.8631500000001</v>
      </c>
      <c r="R46">
        <v>4835.2264500000001</v>
      </c>
      <c r="S46">
        <v>4861.8152200000004</v>
      </c>
      <c r="V46">
        <v>4770.9233800000002</v>
      </c>
      <c r="W46">
        <v>4737.3583799999997</v>
      </c>
      <c r="AB46">
        <v>4790.3726800000004</v>
      </c>
      <c r="AC46">
        <v>4788.9383699999998</v>
      </c>
      <c r="AD46">
        <v>0</v>
      </c>
      <c r="AE46">
        <v>44</v>
      </c>
      <c r="AF46">
        <v>432</v>
      </c>
      <c r="AG46">
        <v>4713.1716999999999</v>
      </c>
      <c r="AH46">
        <v>4701.7651999999998</v>
      </c>
      <c r="AI46">
        <v>11.406599999999999</v>
      </c>
      <c r="AJ46">
        <v>130.1096</v>
      </c>
      <c r="AK46">
        <v>44</v>
      </c>
      <c r="AL46">
        <v>43</v>
      </c>
      <c r="AM46">
        <v>4784.8100000000004</v>
      </c>
      <c r="AN46">
        <v>4805.8631999999998</v>
      </c>
      <c r="AO46">
        <v>-21.053100000000001</v>
      </c>
      <c r="AP46">
        <v>443.23509999999999</v>
      </c>
      <c r="AQ46">
        <v>-0.214668</v>
      </c>
      <c r="AR46">
        <v>0.12853500000000001</v>
      </c>
      <c r="AS46">
        <v>44</v>
      </c>
      <c r="AT46">
        <v>432</v>
      </c>
      <c r="AU46">
        <v>4713.1716999999999</v>
      </c>
      <c r="AV46">
        <v>4701.7651999999998</v>
      </c>
      <c r="AW46">
        <v>11.406599999999999</v>
      </c>
      <c r="AX46">
        <v>130.1096</v>
      </c>
      <c r="AY46">
        <v>44</v>
      </c>
      <c r="AZ46">
        <v>43</v>
      </c>
      <c r="BA46">
        <v>4784.8100000000004</v>
      </c>
      <c r="BB46">
        <v>4805.8631999999998</v>
      </c>
      <c r="BC46">
        <v>-21.053100000000001</v>
      </c>
      <c r="BD46">
        <v>443.23509999999999</v>
      </c>
      <c r="BE46">
        <v>1849</v>
      </c>
    </row>
    <row r="47" spans="1:57" x14ac:dyDescent="0.55000000000000004">
      <c r="A47">
        <v>1776394802</v>
      </c>
      <c r="B47" t="s">
        <v>72</v>
      </c>
      <c r="C47" t="s">
        <v>73</v>
      </c>
      <c r="D47">
        <v>4795.8599999999997</v>
      </c>
      <c r="E47">
        <v>4518.5928199999998</v>
      </c>
      <c r="F47">
        <v>4596.0559499999999</v>
      </c>
      <c r="G47">
        <v>4755.40355</v>
      </c>
      <c r="H47">
        <v>4792.7697200000002</v>
      </c>
      <c r="Q47">
        <v>4805.59555</v>
      </c>
      <c r="R47">
        <v>4834.95885</v>
      </c>
      <c r="S47">
        <v>4861.5476200000003</v>
      </c>
      <c r="V47">
        <v>4770.65578</v>
      </c>
      <c r="W47">
        <v>4737.0907800000004</v>
      </c>
      <c r="AB47">
        <v>4791.8981100000001</v>
      </c>
      <c r="AC47">
        <v>4790.41824</v>
      </c>
      <c r="AD47">
        <v>0</v>
      </c>
      <c r="AE47">
        <v>45</v>
      </c>
      <c r="AF47">
        <v>443</v>
      </c>
      <c r="AG47">
        <v>4693.4593000000004</v>
      </c>
      <c r="AH47">
        <v>4698.8215</v>
      </c>
      <c r="AI47">
        <v>-5.3623000000000003</v>
      </c>
      <c r="AJ47">
        <v>28.753699999999998</v>
      </c>
      <c r="AK47">
        <v>45</v>
      </c>
      <c r="AL47">
        <v>44</v>
      </c>
      <c r="AM47">
        <v>4795.8599999999997</v>
      </c>
      <c r="AN47">
        <v>4805.5955999999996</v>
      </c>
      <c r="AO47">
        <v>-9.7355999999999998</v>
      </c>
      <c r="AP47">
        <v>94.780900000000003</v>
      </c>
      <c r="AQ47">
        <v>-2.1226999999999999E-2</v>
      </c>
      <c r="AR47">
        <v>5.8780000000000004E-3</v>
      </c>
      <c r="AS47">
        <v>45</v>
      </c>
      <c r="AT47">
        <v>443</v>
      </c>
      <c r="AU47">
        <v>4693.4593000000004</v>
      </c>
      <c r="AV47">
        <v>4698.8215</v>
      </c>
      <c r="AW47">
        <v>-5.3623000000000003</v>
      </c>
      <c r="AX47">
        <v>28.753699999999998</v>
      </c>
      <c r="AY47">
        <v>45</v>
      </c>
      <c r="AZ47">
        <v>44</v>
      </c>
      <c r="BA47">
        <v>4795.8599999999997</v>
      </c>
      <c r="BB47">
        <v>4805.5955999999996</v>
      </c>
      <c r="BC47">
        <v>-9.7355999999999998</v>
      </c>
      <c r="BD47">
        <v>94.780900000000003</v>
      </c>
      <c r="BE47">
        <v>1936</v>
      </c>
    </row>
    <row r="48" spans="1:57" x14ac:dyDescent="0.55000000000000004">
      <c r="A48">
        <v>1776395702</v>
      </c>
      <c r="B48" t="s">
        <v>72</v>
      </c>
      <c r="C48" t="s">
        <v>73</v>
      </c>
      <c r="D48">
        <v>4793.93</v>
      </c>
      <c r="E48">
        <v>4518.5928199999998</v>
      </c>
      <c r="F48">
        <v>4596.0559499999999</v>
      </c>
      <c r="G48">
        <v>4755.40355</v>
      </c>
      <c r="H48">
        <v>4792.7697200000002</v>
      </c>
      <c r="Q48">
        <v>4805.3279400000001</v>
      </c>
      <c r="R48">
        <v>4834.6912400000001</v>
      </c>
      <c r="S48">
        <v>4861.2800100000004</v>
      </c>
      <c r="V48">
        <v>4770.3881700000002</v>
      </c>
      <c r="W48">
        <v>4736.8231800000003</v>
      </c>
      <c r="AB48">
        <v>4793.2450399999998</v>
      </c>
      <c r="AC48">
        <v>4791.8316400000003</v>
      </c>
      <c r="AD48">
        <v>0</v>
      </c>
      <c r="AE48">
        <v>46</v>
      </c>
      <c r="AF48">
        <v>453</v>
      </c>
      <c r="AG48">
        <v>4732.4202999999998</v>
      </c>
      <c r="AH48">
        <v>4696.1454999999996</v>
      </c>
      <c r="AI48">
        <v>36.274799999999999</v>
      </c>
      <c r="AJ48">
        <v>1315.8625999999999</v>
      </c>
      <c r="AK48">
        <v>46</v>
      </c>
      <c r="AL48">
        <v>45</v>
      </c>
      <c r="AM48">
        <v>4793.93</v>
      </c>
      <c r="AN48">
        <v>4805.3279000000002</v>
      </c>
      <c r="AO48">
        <v>-11.3979</v>
      </c>
      <c r="AP48">
        <v>129.91300000000001</v>
      </c>
      <c r="AQ48">
        <v>-3.4063999999999997E-2</v>
      </c>
      <c r="AR48">
        <v>1.1042E-2</v>
      </c>
      <c r="AS48">
        <v>46</v>
      </c>
      <c r="AT48">
        <v>453</v>
      </c>
      <c r="AU48">
        <v>4732.4202999999998</v>
      </c>
      <c r="AV48">
        <v>4696.1454999999996</v>
      </c>
      <c r="AW48">
        <v>36.274799999999999</v>
      </c>
      <c r="AX48">
        <v>1315.8625999999999</v>
      </c>
      <c r="AY48">
        <v>46</v>
      </c>
      <c r="AZ48">
        <v>45</v>
      </c>
      <c r="BA48">
        <v>4793.93</v>
      </c>
      <c r="BB48">
        <v>4805.3279000000002</v>
      </c>
      <c r="BC48">
        <v>-11.3979</v>
      </c>
      <c r="BD48">
        <v>129.91300000000001</v>
      </c>
      <c r="BE48">
        <v>2025</v>
      </c>
    </row>
    <row r="49" spans="1:57" x14ac:dyDescent="0.55000000000000004">
      <c r="A49">
        <v>1776396602</v>
      </c>
      <c r="B49" t="s">
        <v>72</v>
      </c>
      <c r="C49" t="s">
        <v>73</v>
      </c>
      <c r="D49">
        <v>4794.26</v>
      </c>
      <c r="E49">
        <v>4518.5928199999998</v>
      </c>
      <c r="F49">
        <v>4596.0559499999999</v>
      </c>
      <c r="G49">
        <v>4755.40355</v>
      </c>
      <c r="H49">
        <v>4792.7697200000002</v>
      </c>
      <c r="Q49">
        <v>4805.06034</v>
      </c>
      <c r="R49">
        <v>4834.42364</v>
      </c>
      <c r="S49">
        <v>4861.0124100000003</v>
      </c>
      <c r="V49">
        <v>4770.12057</v>
      </c>
      <c r="W49">
        <v>4736.5555700000004</v>
      </c>
      <c r="AB49">
        <v>4794.5676999999996</v>
      </c>
      <c r="AC49">
        <v>4793.19967</v>
      </c>
      <c r="AD49">
        <v>0</v>
      </c>
      <c r="AE49">
        <v>47</v>
      </c>
      <c r="AF49">
        <v>458</v>
      </c>
      <c r="AG49">
        <v>4728.4898000000003</v>
      </c>
      <c r="AH49">
        <v>4694.8074999999999</v>
      </c>
      <c r="AI49">
        <v>33.682299999999998</v>
      </c>
      <c r="AJ49">
        <v>1134.4987000000001</v>
      </c>
      <c r="AK49">
        <v>47</v>
      </c>
      <c r="AL49">
        <v>46</v>
      </c>
      <c r="AM49">
        <v>4794.26</v>
      </c>
      <c r="AN49">
        <v>4805.0603000000001</v>
      </c>
      <c r="AO49">
        <v>-10.8003</v>
      </c>
      <c r="AP49">
        <v>116.6473</v>
      </c>
      <c r="AQ49">
        <v>-2.8982000000000001E-2</v>
      </c>
      <c r="AR49">
        <v>8.9020000000000002E-3</v>
      </c>
      <c r="AS49">
        <v>47</v>
      </c>
      <c r="AT49">
        <v>458</v>
      </c>
      <c r="AU49">
        <v>4728.4898000000003</v>
      </c>
      <c r="AV49">
        <v>4694.8074999999999</v>
      </c>
      <c r="AW49">
        <v>33.682299999999998</v>
      </c>
      <c r="AX49">
        <v>1134.4987000000001</v>
      </c>
      <c r="AY49">
        <v>47</v>
      </c>
      <c r="AZ49">
        <v>46</v>
      </c>
      <c r="BA49">
        <v>4794.26</v>
      </c>
      <c r="BB49">
        <v>4805.0603000000001</v>
      </c>
      <c r="BC49">
        <v>-10.8003</v>
      </c>
      <c r="BD49">
        <v>116.6473</v>
      </c>
      <c r="BE49">
        <v>2116</v>
      </c>
    </row>
    <row r="50" spans="1:57" x14ac:dyDescent="0.55000000000000004">
      <c r="A50">
        <v>1776397502</v>
      </c>
      <c r="B50" t="s">
        <v>72</v>
      </c>
      <c r="C50" t="s">
        <v>73</v>
      </c>
      <c r="D50">
        <v>4793.09</v>
      </c>
      <c r="E50">
        <v>4518.5928199999998</v>
      </c>
      <c r="F50">
        <v>4596.0559499999999</v>
      </c>
      <c r="G50">
        <v>4755.40355</v>
      </c>
      <c r="H50">
        <v>4792.7697200000002</v>
      </c>
      <c r="Q50">
        <v>4804.7927300000001</v>
      </c>
      <c r="R50">
        <v>4834.1560300000001</v>
      </c>
      <c r="S50">
        <v>4860.7448000000004</v>
      </c>
      <c r="V50">
        <v>4769.8529600000002</v>
      </c>
      <c r="W50">
        <v>4736.2879700000003</v>
      </c>
      <c r="AB50">
        <v>4795.9550200000003</v>
      </c>
      <c r="AC50">
        <v>4794.5773399999998</v>
      </c>
      <c r="AD50">
        <v>0</v>
      </c>
      <c r="AE50">
        <v>48</v>
      </c>
      <c r="AF50">
        <v>463</v>
      </c>
      <c r="AG50">
        <v>4729.1198000000004</v>
      </c>
      <c r="AH50">
        <v>4693.4694</v>
      </c>
      <c r="AI50">
        <v>35.650399999999998</v>
      </c>
      <c r="AJ50">
        <v>1270.9517000000001</v>
      </c>
      <c r="AK50">
        <v>48</v>
      </c>
      <c r="AL50">
        <v>47</v>
      </c>
      <c r="AM50">
        <v>4793.09</v>
      </c>
      <c r="AN50">
        <v>4804.7927</v>
      </c>
      <c r="AO50">
        <v>-11.7027</v>
      </c>
      <c r="AP50">
        <v>136.9539</v>
      </c>
      <c r="AQ50">
        <v>-3.687E-2</v>
      </c>
      <c r="AR50">
        <v>1.2272E-2</v>
      </c>
      <c r="AS50">
        <v>48</v>
      </c>
      <c r="AT50">
        <v>463</v>
      </c>
      <c r="AU50">
        <v>4729.1198000000004</v>
      </c>
      <c r="AV50">
        <v>4693.4694</v>
      </c>
      <c r="AW50">
        <v>35.650399999999998</v>
      </c>
      <c r="AX50">
        <v>1270.9517000000001</v>
      </c>
      <c r="AY50">
        <v>48</v>
      </c>
      <c r="AZ50">
        <v>47</v>
      </c>
      <c r="BA50">
        <v>4793.09</v>
      </c>
      <c r="BB50">
        <v>4804.7927</v>
      </c>
      <c r="BC50">
        <v>-11.7027</v>
      </c>
      <c r="BD50">
        <v>136.9539</v>
      </c>
      <c r="BE50">
        <v>2209</v>
      </c>
    </row>
    <row r="51" spans="1:57" x14ac:dyDescent="0.55000000000000004">
      <c r="A51">
        <v>1776398402</v>
      </c>
      <c r="B51" t="s">
        <v>72</v>
      </c>
      <c r="C51" t="s">
        <v>73</v>
      </c>
      <c r="D51">
        <v>4795.16</v>
      </c>
      <c r="E51">
        <v>4518.5928199999998</v>
      </c>
      <c r="F51">
        <v>4596.0559499999999</v>
      </c>
      <c r="G51">
        <v>4755.40355</v>
      </c>
      <c r="H51">
        <v>4792.7697200000002</v>
      </c>
      <c r="Q51">
        <v>4804.52513</v>
      </c>
      <c r="R51">
        <v>4833.88843</v>
      </c>
      <c r="S51">
        <v>4860.4772000000003</v>
      </c>
      <c r="V51">
        <v>4769.58536</v>
      </c>
      <c r="W51">
        <v>4736.0203600000004</v>
      </c>
      <c r="AB51">
        <v>4797.4544500000002</v>
      </c>
      <c r="AC51">
        <v>4796.0159000000003</v>
      </c>
      <c r="AD51">
        <v>0</v>
      </c>
      <c r="AE51">
        <v>49</v>
      </c>
      <c r="AF51">
        <v>485</v>
      </c>
      <c r="AG51">
        <v>4692.6567999999997</v>
      </c>
      <c r="AH51">
        <v>4687.5820999999996</v>
      </c>
      <c r="AI51">
        <v>5.0747</v>
      </c>
      <c r="AJ51">
        <v>25.752300000000002</v>
      </c>
      <c r="AK51">
        <v>49</v>
      </c>
      <c r="AL51">
        <v>48</v>
      </c>
      <c r="AM51">
        <v>4795.16</v>
      </c>
      <c r="AN51">
        <v>4804.5250999999998</v>
      </c>
      <c r="AO51">
        <v>-9.3651</v>
      </c>
      <c r="AP51">
        <v>87.705699999999993</v>
      </c>
      <c r="AQ51">
        <v>-1.8894999999999999E-2</v>
      </c>
      <c r="AR51">
        <v>5.0330000000000001E-3</v>
      </c>
      <c r="AS51">
        <v>49</v>
      </c>
      <c r="AT51">
        <v>485</v>
      </c>
      <c r="AU51">
        <v>4692.6567999999997</v>
      </c>
      <c r="AV51">
        <v>4687.5820999999996</v>
      </c>
      <c r="AW51">
        <v>5.0747</v>
      </c>
      <c r="AX51">
        <v>25.752300000000002</v>
      </c>
      <c r="AY51">
        <v>49</v>
      </c>
      <c r="AZ51">
        <v>48</v>
      </c>
      <c r="BA51">
        <v>4795.16</v>
      </c>
      <c r="BB51">
        <v>4804.5250999999998</v>
      </c>
      <c r="BC51">
        <v>-9.3651</v>
      </c>
      <c r="BD51">
        <v>87.705699999999993</v>
      </c>
      <c r="BE51">
        <v>2304</v>
      </c>
    </row>
    <row r="52" spans="1:57" x14ac:dyDescent="0.55000000000000004">
      <c r="A52">
        <v>1776399302</v>
      </c>
      <c r="B52" t="s">
        <v>72</v>
      </c>
      <c r="C52" t="s">
        <v>73</v>
      </c>
      <c r="D52">
        <v>4795.87</v>
      </c>
      <c r="E52">
        <v>4518.5928199999998</v>
      </c>
      <c r="F52">
        <v>4596.0559499999999</v>
      </c>
      <c r="G52">
        <v>4755.40355</v>
      </c>
      <c r="H52">
        <v>4792.7697200000002</v>
      </c>
      <c r="Q52">
        <v>4804.2575299999999</v>
      </c>
      <c r="R52">
        <v>4833.6208299999998</v>
      </c>
      <c r="S52">
        <v>4860.2096000000001</v>
      </c>
      <c r="V52">
        <v>4769.3177599999999</v>
      </c>
      <c r="W52">
        <v>4735.7527600000003</v>
      </c>
      <c r="AB52">
        <v>4798.9171900000001</v>
      </c>
      <c r="AC52">
        <v>4797.4665400000004</v>
      </c>
      <c r="AD52">
        <v>0</v>
      </c>
      <c r="AE52">
        <v>50</v>
      </c>
      <c r="AF52">
        <v>497</v>
      </c>
      <c r="AG52">
        <v>4701.3644000000004</v>
      </c>
      <c r="AH52">
        <v>4684.3708999999999</v>
      </c>
      <c r="AI52">
        <v>16.993500000000001</v>
      </c>
      <c r="AJ52">
        <v>288.77940000000001</v>
      </c>
      <c r="AK52">
        <v>50</v>
      </c>
      <c r="AL52">
        <v>49</v>
      </c>
      <c r="AM52">
        <v>4795.87</v>
      </c>
      <c r="AN52">
        <v>4804.2574999999997</v>
      </c>
      <c r="AO52">
        <v>-8.3874999999999993</v>
      </c>
      <c r="AP52">
        <v>70.350700000000003</v>
      </c>
      <c r="AQ52">
        <v>-1.3573999999999999E-2</v>
      </c>
      <c r="AR52">
        <v>3.238E-3</v>
      </c>
      <c r="AS52">
        <v>50</v>
      </c>
      <c r="AT52">
        <v>497</v>
      </c>
      <c r="AU52">
        <v>4701.3644000000004</v>
      </c>
      <c r="AV52">
        <v>4684.3708999999999</v>
      </c>
      <c r="AW52">
        <v>16.993500000000001</v>
      </c>
      <c r="AX52">
        <v>288.77940000000001</v>
      </c>
      <c r="AY52">
        <v>50</v>
      </c>
      <c r="AZ52">
        <v>49</v>
      </c>
      <c r="BA52">
        <v>4795.87</v>
      </c>
      <c r="BB52">
        <v>4804.2574999999997</v>
      </c>
      <c r="BC52">
        <v>-8.3874999999999993</v>
      </c>
      <c r="BD52">
        <v>70.350700000000003</v>
      </c>
      <c r="BE52">
        <v>2401</v>
      </c>
    </row>
    <row r="53" spans="1:57" x14ac:dyDescent="0.55000000000000004">
      <c r="A53">
        <v>1776400202</v>
      </c>
      <c r="B53" t="s">
        <v>72</v>
      </c>
      <c r="C53" t="s">
        <v>73</v>
      </c>
      <c r="D53">
        <v>4801.05</v>
      </c>
      <c r="E53">
        <v>4518.5928199999998</v>
      </c>
      <c r="F53">
        <v>4596.0559499999999</v>
      </c>
      <c r="G53">
        <v>4755.40355</v>
      </c>
      <c r="H53">
        <v>4792.7697200000002</v>
      </c>
      <c r="Q53">
        <v>4803.98992</v>
      </c>
      <c r="R53">
        <v>4833.35322</v>
      </c>
      <c r="S53">
        <v>4859.9419900000003</v>
      </c>
      <c r="V53">
        <v>4769.05015</v>
      </c>
      <c r="W53">
        <v>4735.4851600000002</v>
      </c>
      <c r="AB53">
        <v>4800.1665300000004</v>
      </c>
      <c r="AC53">
        <v>4798.8165399999998</v>
      </c>
      <c r="AD53">
        <v>0</v>
      </c>
      <c r="AE53">
        <v>51</v>
      </c>
      <c r="AF53">
        <v>510</v>
      </c>
      <c r="AG53">
        <v>4671.0084999999999</v>
      </c>
      <c r="AH53">
        <v>4680.8919999999998</v>
      </c>
      <c r="AI53">
        <v>-9.8834999999999997</v>
      </c>
      <c r="AJ53">
        <v>97.683999999999997</v>
      </c>
      <c r="AK53">
        <v>51</v>
      </c>
      <c r="AL53">
        <v>50</v>
      </c>
      <c r="AM53">
        <v>4801.05</v>
      </c>
      <c r="AN53">
        <v>4803.9898999999996</v>
      </c>
      <c r="AO53">
        <v>-2.9399000000000002</v>
      </c>
      <c r="AP53">
        <v>8.6431000000000004</v>
      </c>
      <c r="AQ53">
        <v>-5.8500000000000002E-4</v>
      </c>
      <c r="AR53">
        <v>4.8999999999999998E-5</v>
      </c>
      <c r="AS53">
        <v>51</v>
      </c>
      <c r="AT53">
        <v>510</v>
      </c>
      <c r="AU53">
        <v>4671.0084999999999</v>
      </c>
      <c r="AV53">
        <v>4680.8919999999998</v>
      </c>
      <c r="AW53">
        <v>-9.8834999999999997</v>
      </c>
      <c r="AX53">
        <v>97.683999999999997</v>
      </c>
      <c r="AY53">
        <v>51</v>
      </c>
      <c r="AZ53">
        <v>50</v>
      </c>
      <c r="BA53">
        <v>4801.05</v>
      </c>
      <c r="BB53">
        <v>4803.9898999999996</v>
      </c>
      <c r="BC53">
        <v>-2.9399000000000002</v>
      </c>
      <c r="BD53">
        <v>8.6431000000000004</v>
      </c>
      <c r="BE53">
        <v>2500</v>
      </c>
    </row>
    <row r="54" spans="1:57" x14ac:dyDescent="0.55000000000000004">
      <c r="A54">
        <v>1776401102</v>
      </c>
      <c r="B54" t="s">
        <v>72</v>
      </c>
      <c r="C54" t="s">
        <v>73</v>
      </c>
      <c r="D54">
        <v>4803.04</v>
      </c>
      <c r="E54">
        <v>4518.5928199999998</v>
      </c>
      <c r="F54">
        <v>4596.0559499999999</v>
      </c>
      <c r="G54">
        <v>4755.40355</v>
      </c>
      <c r="H54">
        <v>4792.7697200000002</v>
      </c>
      <c r="Q54">
        <v>4803.7223199999999</v>
      </c>
      <c r="R54">
        <v>4833.0856199999998</v>
      </c>
      <c r="S54">
        <v>4859.6743900000001</v>
      </c>
      <c r="V54">
        <v>4768.7825499999999</v>
      </c>
      <c r="W54">
        <v>4735.2175500000003</v>
      </c>
      <c r="AB54">
        <v>4800.8418499999998</v>
      </c>
      <c r="AC54">
        <v>4799.8291900000004</v>
      </c>
      <c r="AD54">
        <v>0</v>
      </c>
      <c r="AE54">
        <v>52</v>
      </c>
      <c r="AF54">
        <v>517</v>
      </c>
      <c r="AG54">
        <v>4677.5968000000003</v>
      </c>
      <c r="AH54">
        <v>4679.0187999999998</v>
      </c>
      <c r="AI54">
        <v>-1.4219999999999999</v>
      </c>
      <c r="AJ54">
        <v>2.0221</v>
      </c>
      <c r="AK54">
        <v>52</v>
      </c>
      <c r="AL54">
        <v>51</v>
      </c>
      <c r="AM54">
        <v>4803.04</v>
      </c>
      <c r="AN54">
        <v>4803.7223000000004</v>
      </c>
      <c r="AO54">
        <v>-0.68230000000000002</v>
      </c>
      <c r="AP54">
        <v>0.46560000000000001</v>
      </c>
      <c r="AQ54">
        <v>-6.9999999999999999E-6</v>
      </c>
      <c r="AR54">
        <v>0</v>
      </c>
      <c r="AS54">
        <v>52</v>
      </c>
      <c r="AT54">
        <v>517</v>
      </c>
      <c r="AU54">
        <v>4677.5968000000003</v>
      </c>
      <c r="AV54">
        <v>4679.0187999999998</v>
      </c>
      <c r="AW54">
        <v>-1.4219999999999999</v>
      </c>
      <c r="AX54">
        <v>2.0221</v>
      </c>
      <c r="AY54">
        <v>52</v>
      </c>
      <c r="AZ54">
        <v>51</v>
      </c>
      <c r="BA54">
        <v>4803.04</v>
      </c>
      <c r="BB54">
        <v>4803.7223000000004</v>
      </c>
      <c r="BC54">
        <v>-0.68230000000000002</v>
      </c>
      <c r="BD54">
        <v>0.46560000000000001</v>
      </c>
      <c r="BE54">
        <v>2601</v>
      </c>
    </row>
    <row r="55" spans="1:57" x14ac:dyDescent="0.55000000000000004">
      <c r="A55">
        <v>1776402002</v>
      </c>
      <c r="B55" t="s">
        <v>72</v>
      </c>
      <c r="C55" t="s">
        <v>73</v>
      </c>
      <c r="D55">
        <v>4804.78</v>
      </c>
      <c r="E55">
        <v>4518.5928199999998</v>
      </c>
      <c r="F55">
        <v>4596.0559499999999</v>
      </c>
      <c r="G55">
        <v>4755.40355</v>
      </c>
      <c r="H55">
        <v>4792.7697200000002</v>
      </c>
      <c r="Q55">
        <v>4803.45471</v>
      </c>
      <c r="R55">
        <v>4832.81801</v>
      </c>
      <c r="S55">
        <v>4859.4067800000003</v>
      </c>
      <c r="V55">
        <v>4768.51494</v>
      </c>
      <c r="W55">
        <v>4734.9499500000002</v>
      </c>
      <c r="Z55">
        <v>4805.97</v>
      </c>
      <c r="AB55">
        <v>4800.6717699999999</v>
      </c>
      <c r="AC55">
        <v>4800.2504799999997</v>
      </c>
      <c r="AD55">
        <v>0</v>
      </c>
      <c r="AE55">
        <v>53</v>
      </c>
      <c r="AF55">
        <v>519</v>
      </c>
      <c r="AG55">
        <v>4677.6687000000002</v>
      </c>
      <c r="AH55">
        <v>4678.4835999999996</v>
      </c>
      <c r="AI55">
        <v>-0.81489999999999996</v>
      </c>
      <c r="AJ55">
        <v>0.66400000000000003</v>
      </c>
      <c r="AK55">
        <v>53</v>
      </c>
      <c r="AL55">
        <v>52</v>
      </c>
      <c r="AM55">
        <v>4804.78</v>
      </c>
      <c r="AN55">
        <v>4803.4547000000002</v>
      </c>
      <c r="AO55">
        <v>1.3252999999999999</v>
      </c>
      <c r="AP55">
        <v>1.7564</v>
      </c>
      <c r="AQ55">
        <v>5.3999999999999998E-5</v>
      </c>
      <c r="AR55">
        <v>1.9999999999999999E-6</v>
      </c>
      <c r="AS55">
        <v>53</v>
      </c>
      <c r="AT55">
        <v>519</v>
      </c>
      <c r="AU55">
        <v>4677.6687000000002</v>
      </c>
      <c r="AV55">
        <v>4678.4835999999996</v>
      </c>
      <c r="AW55">
        <v>-0.81489999999999996</v>
      </c>
      <c r="AX55">
        <v>0.66400000000000003</v>
      </c>
      <c r="AY55">
        <v>53</v>
      </c>
      <c r="AZ55">
        <v>52</v>
      </c>
      <c r="BA55">
        <v>4804.78</v>
      </c>
      <c r="BB55">
        <v>4803.4547000000002</v>
      </c>
      <c r="BC55">
        <v>1.3252999999999999</v>
      </c>
      <c r="BD55">
        <v>1.7564</v>
      </c>
      <c r="BE55">
        <v>2704</v>
      </c>
    </row>
    <row r="56" spans="1:57" x14ac:dyDescent="0.55000000000000004">
      <c r="A56">
        <v>1776402902</v>
      </c>
      <c r="B56" t="s">
        <v>72</v>
      </c>
      <c r="C56" t="s">
        <v>73</v>
      </c>
      <c r="D56">
        <v>4803.25</v>
      </c>
      <c r="E56">
        <v>4518.5928199999998</v>
      </c>
      <c r="F56">
        <v>4596.0559499999999</v>
      </c>
      <c r="G56">
        <v>4755.40355</v>
      </c>
      <c r="H56">
        <v>4792.7697200000002</v>
      </c>
      <c r="Q56">
        <v>4803.1871099999998</v>
      </c>
      <c r="R56">
        <v>4832.5504099999998</v>
      </c>
      <c r="S56">
        <v>4859.1391800000001</v>
      </c>
      <c r="V56">
        <v>4768.2473399999999</v>
      </c>
      <c r="W56">
        <v>4734.6823400000003</v>
      </c>
      <c r="AB56">
        <v>4799.4911599999996</v>
      </c>
      <c r="AC56">
        <v>4799.8708200000001</v>
      </c>
      <c r="AD56">
        <v>1</v>
      </c>
      <c r="AE56">
        <v>54</v>
      </c>
      <c r="AF56">
        <v>528</v>
      </c>
      <c r="AG56">
        <v>4688.6921000000002</v>
      </c>
      <c r="AH56">
        <v>4676.0752000000002</v>
      </c>
      <c r="AI56">
        <v>12.617000000000001</v>
      </c>
      <c r="AJ56">
        <v>159.18819999999999</v>
      </c>
      <c r="AK56">
        <v>54</v>
      </c>
      <c r="AL56">
        <v>53</v>
      </c>
      <c r="AM56">
        <v>4803.25</v>
      </c>
      <c r="AN56">
        <v>4803.1871000000001</v>
      </c>
      <c r="AO56">
        <v>6.2899999999999998E-2</v>
      </c>
      <c r="AP56">
        <v>4.0000000000000001E-3</v>
      </c>
      <c r="AQ56">
        <v>0</v>
      </c>
      <c r="AR56">
        <v>0</v>
      </c>
      <c r="AS56">
        <v>54</v>
      </c>
      <c r="AT56">
        <v>528</v>
      </c>
      <c r="AU56">
        <v>4688.6921000000002</v>
      </c>
      <c r="AV56">
        <v>4676.0752000000002</v>
      </c>
      <c r="AW56">
        <v>12.617000000000001</v>
      </c>
      <c r="AX56">
        <v>159.18819999999999</v>
      </c>
      <c r="AY56">
        <v>54</v>
      </c>
      <c r="AZ56">
        <v>53</v>
      </c>
      <c r="BA56">
        <v>4803.25</v>
      </c>
      <c r="BB56">
        <v>4803.1871000000001</v>
      </c>
      <c r="BC56">
        <v>6.2899999999999998E-2</v>
      </c>
      <c r="BD56">
        <v>4.0000000000000001E-3</v>
      </c>
      <c r="BE56">
        <v>2809</v>
      </c>
    </row>
    <row r="57" spans="1:57" x14ac:dyDescent="0.55000000000000004">
      <c r="A57">
        <v>1776403802</v>
      </c>
      <c r="B57" t="s">
        <v>72</v>
      </c>
      <c r="C57" t="s">
        <v>73</v>
      </c>
      <c r="D57">
        <v>4796.4799999999996</v>
      </c>
      <c r="E57">
        <v>4518.5928199999998</v>
      </c>
      <c r="F57">
        <v>4596.0559499999999</v>
      </c>
      <c r="G57">
        <v>4755.40355</v>
      </c>
      <c r="H57">
        <v>4792.7697200000002</v>
      </c>
      <c r="Q57">
        <v>4802.9195099999997</v>
      </c>
      <c r="R57">
        <v>4832.2828</v>
      </c>
      <c r="S57">
        <v>4858.87158</v>
      </c>
      <c r="V57">
        <v>4767.9797399999998</v>
      </c>
      <c r="W57">
        <v>4734.4147400000002</v>
      </c>
      <c r="AB57">
        <v>4797.3362399999996</v>
      </c>
      <c r="AC57">
        <v>4798.6035300000003</v>
      </c>
      <c r="AD57">
        <v>0</v>
      </c>
      <c r="AE57">
        <v>55</v>
      </c>
      <c r="AF57">
        <v>533</v>
      </c>
      <c r="AG57">
        <v>4682.0740999999998</v>
      </c>
      <c r="AH57">
        <v>4674.7371000000003</v>
      </c>
      <c r="AI57">
        <v>7.3369999999999997</v>
      </c>
      <c r="AJ57">
        <v>53.831099999999999</v>
      </c>
      <c r="AK57">
        <v>55</v>
      </c>
      <c r="AL57">
        <v>54</v>
      </c>
      <c r="AM57">
        <v>4796.4799999999996</v>
      </c>
      <c r="AN57">
        <v>4802.9195</v>
      </c>
      <c r="AO57">
        <v>-6.4394999999999998</v>
      </c>
      <c r="AP57">
        <v>41.467300000000002</v>
      </c>
      <c r="AQ57">
        <v>-6.143E-3</v>
      </c>
      <c r="AR57">
        <v>1.1249999999999999E-3</v>
      </c>
      <c r="AS57">
        <v>55</v>
      </c>
      <c r="AT57">
        <v>533</v>
      </c>
      <c r="AU57">
        <v>4682.0740999999998</v>
      </c>
      <c r="AV57">
        <v>4674.7371000000003</v>
      </c>
      <c r="AW57">
        <v>7.3369999999999997</v>
      </c>
      <c r="AX57">
        <v>53.831099999999999</v>
      </c>
      <c r="AY57">
        <v>55</v>
      </c>
      <c r="AZ57">
        <v>54</v>
      </c>
      <c r="BA57">
        <v>4796.4799999999996</v>
      </c>
      <c r="BB57">
        <v>4802.9195</v>
      </c>
      <c r="BC57">
        <v>-6.4394999999999998</v>
      </c>
      <c r="BD57">
        <v>41.467300000000002</v>
      </c>
      <c r="BE57">
        <v>2916</v>
      </c>
    </row>
    <row r="58" spans="1:57" x14ac:dyDescent="0.55000000000000004">
      <c r="A58">
        <v>1776404702</v>
      </c>
      <c r="B58" t="s">
        <v>72</v>
      </c>
      <c r="C58" t="s">
        <v>73</v>
      </c>
      <c r="D58">
        <v>4794.41</v>
      </c>
      <c r="E58">
        <v>4518.5928199999998</v>
      </c>
      <c r="F58">
        <v>4596.0559499999999</v>
      </c>
      <c r="G58">
        <v>4755.40355</v>
      </c>
      <c r="H58">
        <v>4792.7697200000002</v>
      </c>
      <c r="Q58">
        <v>4802.6518999999998</v>
      </c>
      <c r="R58">
        <v>4832.0151999999998</v>
      </c>
      <c r="S58">
        <v>4858.6039700000001</v>
      </c>
      <c r="V58">
        <v>4767.7121299999999</v>
      </c>
      <c r="W58">
        <v>4734.14714</v>
      </c>
      <c r="AB58">
        <v>4794.5246500000003</v>
      </c>
      <c r="AC58">
        <v>4796.5640899999999</v>
      </c>
      <c r="AD58">
        <v>0</v>
      </c>
      <c r="AE58">
        <v>56</v>
      </c>
      <c r="AF58">
        <v>542</v>
      </c>
      <c r="AG58">
        <v>4703.9862000000003</v>
      </c>
      <c r="AH58">
        <v>4672.3287</v>
      </c>
      <c r="AI58">
        <v>31.657499999999999</v>
      </c>
      <c r="AJ58">
        <v>1002.1979</v>
      </c>
      <c r="AK58">
        <v>56</v>
      </c>
      <c r="AL58">
        <v>55</v>
      </c>
      <c r="AM58">
        <v>4794.41</v>
      </c>
      <c r="AN58">
        <v>4802.6518999999998</v>
      </c>
      <c r="AO58">
        <v>-8.2418999999999993</v>
      </c>
      <c r="AP58">
        <v>67.928899999999999</v>
      </c>
      <c r="AQ58">
        <v>-1.2879E-2</v>
      </c>
      <c r="AR58">
        <v>3.019E-3</v>
      </c>
      <c r="AS58">
        <v>56</v>
      </c>
      <c r="AT58">
        <v>542</v>
      </c>
      <c r="AU58">
        <v>4703.9862000000003</v>
      </c>
      <c r="AV58">
        <v>4672.3287</v>
      </c>
      <c r="AW58">
        <v>31.657499999999999</v>
      </c>
      <c r="AX58">
        <v>1002.1979</v>
      </c>
      <c r="AY58">
        <v>56</v>
      </c>
      <c r="AZ58">
        <v>55</v>
      </c>
      <c r="BA58">
        <v>4794.41</v>
      </c>
      <c r="BB58">
        <v>4802.6518999999998</v>
      </c>
      <c r="BC58">
        <v>-8.2418999999999993</v>
      </c>
      <c r="BD58">
        <v>67.928899999999999</v>
      </c>
      <c r="BE58">
        <v>3025</v>
      </c>
    </row>
    <row r="59" spans="1:57" x14ac:dyDescent="0.55000000000000004">
      <c r="A59">
        <v>1776405602</v>
      </c>
      <c r="B59" t="s">
        <v>72</v>
      </c>
      <c r="C59" t="s">
        <v>73</v>
      </c>
      <c r="D59">
        <v>4787.7299999999996</v>
      </c>
      <c r="E59">
        <v>4518.5928199999998</v>
      </c>
      <c r="F59">
        <v>4596.0559499999999</v>
      </c>
      <c r="G59">
        <v>4755.40355</v>
      </c>
      <c r="H59">
        <v>4792.7697200000002</v>
      </c>
      <c r="Q59">
        <v>4802.3842999999997</v>
      </c>
      <c r="R59">
        <v>4831.7475999999997</v>
      </c>
      <c r="S59">
        <v>4858.33637</v>
      </c>
      <c r="V59">
        <v>4767.4445299999998</v>
      </c>
      <c r="W59">
        <v>4733.8795300000002</v>
      </c>
      <c r="AB59">
        <v>4791.4825000000001</v>
      </c>
      <c r="AC59">
        <v>4794.0232999999998</v>
      </c>
      <c r="AD59">
        <v>0</v>
      </c>
      <c r="AE59">
        <v>57</v>
      </c>
      <c r="AF59">
        <v>545</v>
      </c>
      <c r="AG59">
        <v>4705.4759999999997</v>
      </c>
      <c r="AH59">
        <v>4671.5258999999996</v>
      </c>
      <c r="AI59">
        <v>33.950099999999999</v>
      </c>
      <c r="AJ59">
        <v>1152.6093000000001</v>
      </c>
      <c r="AK59">
        <v>57</v>
      </c>
      <c r="AL59">
        <v>56</v>
      </c>
      <c r="AM59">
        <v>4787.7299999999996</v>
      </c>
      <c r="AN59">
        <v>4802.3842999999997</v>
      </c>
      <c r="AO59">
        <v>-14.654299999999999</v>
      </c>
      <c r="AP59">
        <v>214.74850000000001</v>
      </c>
      <c r="AQ59">
        <v>-7.2395000000000001E-2</v>
      </c>
      <c r="AR59">
        <v>3.0172999999999998E-2</v>
      </c>
      <c r="AS59">
        <v>57</v>
      </c>
      <c r="AT59">
        <v>545</v>
      </c>
      <c r="AU59">
        <v>4705.4759999999997</v>
      </c>
      <c r="AV59">
        <v>4671.5258999999996</v>
      </c>
      <c r="AW59">
        <v>33.950099999999999</v>
      </c>
      <c r="AX59">
        <v>1152.6093000000001</v>
      </c>
      <c r="AY59">
        <v>57</v>
      </c>
      <c r="AZ59">
        <v>56</v>
      </c>
      <c r="BA59">
        <v>4787.7299999999996</v>
      </c>
      <c r="BB59">
        <v>4802.3842999999997</v>
      </c>
      <c r="BC59">
        <v>-14.654299999999999</v>
      </c>
      <c r="BD59">
        <v>214.74850000000001</v>
      </c>
      <c r="BE59">
        <v>3136</v>
      </c>
    </row>
    <row r="60" spans="1:57" x14ac:dyDescent="0.55000000000000004">
      <c r="A60">
        <v>1776406502</v>
      </c>
      <c r="B60" t="s">
        <v>72</v>
      </c>
      <c r="C60" t="s">
        <v>73</v>
      </c>
      <c r="D60">
        <v>4783.78</v>
      </c>
      <c r="E60">
        <v>4518.5928199999998</v>
      </c>
      <c r="F60">
        <v>4596.0559499999999</v>
      </c>
      <c r="G60">
        <v>4755.40355</v>
      </c>
      <c r="H60">
        <v>4792.7697200000002</v>
      </c>
      <c r="Q60">
        <v>4802.1166899999998</v>
      </c>
      <c r="R60">
        <v>4831.4799899999998</v>
      </c>
      <c r="S60">
        <v>4858.0687600000001</v>
      </c>
      <c r="V60">
        <v>4767.1769199999999</v>
      </c>
      <c r="W60">
        <v>4733.61193</v>
      </c>
      <c r="AB60">
        <v>4788.6996499999996</v>
      </c>
      <c r="AC60">
        <v>4791.3614699999998</v>
      </c>
      <c r="AD60">
        <v>0</v>
      </c>
      <c r="AE60">
        <v>58</v>
      </c>
      <c r="AF60">
        <v>554</v>
      </c>
      <c r="AG60">
        <v>4725.9997000000003</v>
      </c>
      <c r="AH60">
        <v>4669.1175000000003</v>
      </c>
      <c r="AI60">
        <v>56.882300000000001</v>
      </c>
      <c r="AJ60">
        <v>3235.5938000000001</v>
      </c>
      <c r="AK60">
        <v>58</v>
      </c>
      <c r="AL60">
        <v>57</v>
      </c>
      <c r="AM60">
        <v>4783.78</v>
      </c>
      <c r="AN60">
        <v>4802.1166999999996</v>
      </c>
      <c r="AO60">
        <v>-18.3367</v>
      </c>
      <c r="AP60">
        <v>336.23419999999999</v>
      </c>
      <c r="AQ60">
        <v>-0.14183299999999999</v>
      </c>
      <c r="AR60">
        <v>7.3967000000000005E-2</v>
      </c>
      <c r="AS60">
        <v>58</v>
      </c>
      <c r="AT60">
        <v>554</v>
      </c>
      <c r="AU60">
        <v>4725.9997000000003</v>
      </c>
      <c r="AV60">
        <v>4669.1175000000003</v>
      </c>
      <c r="AW60">
        <v>56.882300000000001</v>
      </c>
      <c r="AX60">
        <v>3235.5938000000001</v>
      </c>
      <c r="AY60">
        <v>58</v>
      </c>
      <c r="AZ60">
        <v>57</v>
      </c>
      <c r="BA60">
        <v>4783.78</v>
      </c>
      <c r="BB60">
        <v>4802.1166999999996</v>
      </c>
      <c r="BC60">
        <v>-18.3367</v>
      </c>
      <c r="BD60">
        <v>336.23419999999999</v>
      </c>
      <c r="BE60">
        <v>3249</v>
      </c>
    </row>
    <row r="61" spans="1:57" x14ac:dyDescent="0.55000000000000004">
      <c r="A61">
        <v>1776407402</v>
      </c>
      <c r="B61" t="s">
        <v>72</v>
      </c>
      <c r="C61" t="s">
        <v>73</v>
      </c>
      <c r="D61">
        <v>4785.67</v>
      </c>
      <c r="E61">
        <v>4518.5928199999998</v>
      </c>
      <c r="F61">
        <v>4596.0559499999999</v>
      </c>
      <c r="G61">
        <v>4755.40355</v>
      </c>
      <c r="H61">
        <v>4792.7697200000002</v>
      </c>
      <c r="Q61">
        <v>4801.8490899999997</v>
      </c>
      <c r="R61">
        <v>4831.2123899999997</v>
      </c>
      <c r="S61">
        <v>4857.80116</v>
      </c>
      <c r="V61">
        <v>4766.9093199999998</v>
      </c>
      <c r="W61">
        <v>4733.3443200000002</v>
      </c>
      <c r="AB61">
        <v>4786.5307400000002</v>
      </c>
      <c r="AC61">
        <v>4788.9461099999999</v>
      </c>
      <c r="AD61">
        <v>0</v>
      </c>
      <c r="AE61">
        <v>59</v>
      </c>
      <c r="AF61">
        <v>559</v>
      </c>
      <c r="AG61">
        <v>4723.6962999999996</v>
      </c>
      <c r="AH61">
        <v>4667.7794000000004</v>
      </c>
      <c r="AI61">
        <v>55.916800000000002</v>
      </c>
      <c r="AJ61">
        <v>3126.6907999999999</v>
      </c>
      <c r="AK61">
        <v>59</v>
      </c>
      <c r="AL61">
        <v>58</v>
      </c>
      <c r="AM61">
        <v>4785.67</v>
      </c>
      <c r="AN61">
        <v>4801.8491000000004</v>
      </c>
      <c r="AO61">
        <v>-16.179099999999998</v>
      </c>
      <c r="AP61">
        <v>261.76299999999998</v>
      </c>
      <c r="AQ61">
        <v>-9.7427E-2</v>
      </c>
      <c r="AR61">
        <v>4.4830000000000002E-2</v>
      </c>
      <c r="AS61">
        <v>59</v>
      </c>
      <c r="AT61">
        <v>559</v>
      </c>
      <c r="AU61">
        <v>4723.6962999999996</v>
      </c>
      <c r="AV61">
        <v>4667.7794000000004</v>
      </c>
      <c r="AW61">
        <v>55.916800000000002</v>
      </c>
      <c r="AX61">
        <v>3126.6907999999999</v>
      </c>
      <c r="AY61">
        <v>59</v>
      </c>
      <c r="AZ61">
        <v>58</v>
      </c>
      <c r="BA61">
        <v>4785.67</v>
      </c>
      <c r="BB61">
        <v>4801.8491000000004</v>
      </c>
      <c r="BC61">
        <v>-16.179099999999998</v>
      </c>
      <c r="BD61">
        <v>261.76299999999998</v>
      </c>
      <c r="BE61">
        <v>3364</v>
      </c>
    </row>
    <row r="62" spans="1:57" x14ac:dyDescent="0.55000000000000004">
      <c r="A62">
        <v>1776408302</v>
      </c>
      <c r="B62" t="s">
        <v>72</v>
      </c>
      <c r="C62" t="s">
        <v>73</v>
      </c>
      <c r="D62">
        <v>4785.07</v>
      </c>
      <c r="E62">
        <v>4518.5928199999998</v>
      </c>
      <c r="F62">
        <v>4596.0559499999999</v>
      </c>
      <c r="G62">
        <v>4755.40355</v>
      </c>
      <c r="H62">
        <v>4792.7697200000002</v>
      </c>
      <c r="Q62">
        <v>4801.5814899999996</v>
      </c>
      <c r="R62">
        <v>4830.9447799999998</v>
      </c>
      <c r="S62">
        <v>4857.5335599999999</v>
      </c>
      <c r="V62">
        <v>4766.6417199999996</v>
      </c>
      <c r="W62">
        <v>4733.07672</v>
      </c>
      <c r="AB62">
        <v>4785.1178</v>
      </c>
      <c r="AC62">
        <v>4787.0319600000003</v>
      </c>
      <c r="AD62">
        <v>0</v>
      </c>
      <c r="AE62">
        <v>60</v>
      </c>
      <c r="AF62">
        <v>562</v>
      </c>
      <c r="AG62">
        <v>4723.8594999999996</v>
      </c>
      <c r="AH62">
        <v>4666.9766</v>
      </c>
      <c r="AI62">
        <v>56.882899999999999</v>
      </c>
      <c r="AJ62">
        <v>3235.6655000000001</v>
      </c>
      <c r="AK62">
        <v>60</v>
      </c>
      <c r="AL62">
        <v>59</v>
      </c>
      <c r="AM62">
        <v>4785.07</v>
      </c>
      <c r="AN62">
        <v>4801.5815000000002</v>
      </c>
      <c r="AO62">
        <v>-16.511500000000002</v>
      </c>
      <c r="AP62">
        <v>272.6293</v>
      </c>
      <c r="AQ62">
        <v>-0.103556</v>
      </c>
      <c r="AR62">
        <v>4.8628999999999999E-2</v>
      </c>
      <c r="AS62">
        <v>60</v>
      </c>
      <c r="AT62">
        <v>562</v>
      </c>
      <c r="AU62">
        <v>4723.8594999999996</v>
      </c>
      <c r="AV62">
        <v>4666.9766</v>
      </c>
      <c r="AW62">
        <v>56.882899999999999</v>
      </c>
      <c r="AX62">
        <v>3235.6655000000001</v>
      </c>
      <c r="AY62">
        <v>60</v>
      </c>
      <c r="AZ62">
        <v>59</v>
      </c>
      <c r="BA62">
        <v>4785.07</v>
      </c>
      <c r="BB62">
        <v>4801.5815000000002</v>
      </c>
      <c r="BC62">
        <v>-16.511500000000002</v>
      </c>
      <c r="BD62">
        <v>272.6293</v>
      </c>
      <c r="BE62">
        <v>3481</v>
      </c>
    </row>
    <row r="63" spans="1:57" x14ac:dyDescent="0.55000000000000004">
      <c r="A63">
        <v>1776409202</v>
      </c>
      <c r="B63" t="s">
        <v>72</v>
      </c>
      <c r="C63" t="s">
        <v>73</v>
      </c>
      <c r="D63">
        <v>4787.12</v>
      </c>
      <c r="E63">
        <v>4518.5928199999998</v>
      </c>
      <c r="F63">
        <v>4596.0559499999999</v>
      </c>
      <c r="G63">
        <v>4755.40355</v>
      </c>
      <c r="H63">
        <v>4792.7697200000002</v>
      </c>
      <c r="Q63">
        <v>4801.3138799999997</v>
      </c>
      <c r="R63">
        <v>4830.6771799999997</v>
      </c>
      <c r="S63">
        <v>4857.26595</v>
      </c>
      <c r="V63">
        <v>4766.3741099999997</v>
      </c>
      <c r="W63">
        <v>4732.8091100000001</v>
      </c>
      <c r="AB63">
        <v>4784.5163199999997</v>
      </c>
      <c r="AC63">
        <v>4785.7741400000004</v>
      </c>
      <c r="AD63">
        <v>0</v>
      </c>
      <c r="AE63">
        <v>61</v>
      </c>
      <c r="AF63">
        <v>584</v>
      </c>
      <c r="AG63">
        <v>4680.7626</v>
      </c>
      <c r="AH63">
        <v>4661.0892999999996</v>
      </c>
      <c r="AI63">
        <v>19.673300000000001</v>
      </c>
      <c r="AJ63">
        <v>387.03789999999998</v>
      </c>
      <c r="AK63">
        <v>61</v>
      </c>
      <c r="AL63">
        <v>60</v>
      </c>
      <c r="AM63">
        <v>4787.12</v>
      </c>
      <c r="AN63">
        <v>4801.3139000000001</v>
      </c>
      <c r="AO63">
        <v>-14.193899999999999</v>
      </c>
      <c r="AP63">
        <v>201.46619999999999</v>
      </c>
      <c r="AQ63">
        <v>-6.5783999999999995E-2</v>
      </c>
      <c r="AR63">
        <v>2.6556E-2</v>
      </c>
      <c r="AS63">
        <v>61</v>
      </c>
      <c r="AT63">
        <v>584</v>
      </c>
      <c r="AU63">
        <v>4680.7626</v>
      </c>
      <c r="AV63">
        <v>4661.0892999999996</v>
      </c>
      <c r="AW63">
        <v>19.673300000000001</v>
      </c>
      <c r="AX63">
        <v>387.03789999999998</v>
      </c>
      <c r="AY63">
        <v>61</v>
      </c>
      <c r="AZ63">
        <v>60</v>
      </c>
      <c r="BA63">
        <v>4787.12</v>
      </c>
      <c r="BB63">
        <v>4801.3139000000001</v>
      </c>
      <c r="BC63">
        <v>-14.193899999999999</v>
      </c>
      <c r="BD63">
        <v>201.46619999999999</v>
      </c>
      <c r="BE63">
        <v>3600</v>
      </c>
    </row>
    <row r="64" spans="1:57" x14ac:dyDescent="0.55000000000000004">
      <c r="A64">
        <v>1776410102</v>
      </c>
      <c r="B64" t="s">
        <v>72</v>
      </c>
      <c r="C64" t="s">
        <v>73</v>
      </c>
      <c r="D64">
        <v>4791.72</v>
      </c>
      <c r="E64">
        <v>4518.5928199999998</v>
      </c>
      <c r="F64">
        <v>4596.0559499999999</v>
      </c>
      <c r="G64">
        <v>4755.40355</v>
      </c>
      <c r="H64">
        <v>4792.7697200000002</v>
      </c>
      <c r="Q64">
        <v>4801.0462799999996</v>
      </c>
      <c r="R64">
        <v>4830.4095799999996</v>
      </c>
      <c r="S64">
        <v>4856.9983499999998</v>
      </c>
      <c r="V64">
        <v>4766.1065099999996</v>
      </c>
      <c r="W64">
        <v>4732.54151</v>
      </c>
      <c r="AB64">
        <v>4784.6154299999998</v>
      </c>
      <c r="AC64">
        <v>4785.1947799999998</v>
      </c>
      <c r="AD64">
        <v>0</v>
      </c>
      <c r="AE64">
        <v>62</v>
      </c>
      <c r="AF64">
        <v>602</v>
      </c>
      <c r="AG64">
        <v>4725.1237000000001</v>
      </c>
      <c r="AH64">
        <v>4656.2725</v>
      </c>
      <c r="AI64">
        <v>68.851299999999995</v>
      </c>
      <c r="AJ64">
        <v>4740.4974000000002</v>
      </c>
      <c r="AK64">
        <v>62</v>
      </c>
      <c r="AL64">
        <v>61</v>
      </c>
      <c r="AM64">
        <v>4791.72</v>
      </c>
      <c r="AN64">
        <v>4801.0463</v>
      </c>
      <c r="AO64">
        <v>-9.3262999999999998</v>
      </c>
      <c r="AP64">
        <v>86.979500000000002</v>
      </c>
      <c r="AQ64">
        <v>-1.8661000000000001E-2</v>
      </c>
      <c r="AR64">
        <v>4.9500000000000004E-3</v>
      </c>
      <c r="AS64">
        <v>62</v>
      </c>
      <c r="AT64">
        <v>602</v>
      </c>
      <c r="AU64">
        <v>4725.1237000000001</v>
      </c>
      <c r="AV64">
        <v>4656.2725</v>
      </c>
      <c r="AW64">
        <v>68.851299999999995</v>
      </c>
      <c r="AX64">
        <v>4740.4974000000002</v>
      </c>
      <c r="AY64">
        <v>62</v>
      </c>
      <c r="AZ64">
        <v>61</v>
      </c>
      <c r="BA64">
        <v>4791.72</v>
      </c>
      <c r="BB64">
        <v>4801.0463</v>
      </c>
      <c r="BC64">
        <v>-9.3262999999999998</v>
      </c>
      <c r="BD64">
        <v>86.979500000000002</v>
      </c>
      <c r="BE64">
        <v>3721</v>
      </c>
    </row>
    <row r="65" spans="1:57" x14ac:dyDescent="0.55000000000000004">
      <c r="A65">
        <v>1776411002</v>
      </c>
      <c r="B65" t="s">
        <v>72</v>
      </c>
      <c r="C65" t="s">
        <v>73</v>
      </c>
      <c r="D65">
        <v>4785.87</v>
      </c>
      <c r="E65">
        <v>4518.5928199999998</v>
      </c>
      <c r="F65">
        <v>4596.0559499999999</v>
      </c>
      <c r="G65">
        <v>4755.40355</v>
      </c>
      <c r="H65">
        <v>4792.7697200000002</v>
      </c>
      <c r="Q65">
        <v>4800.7786699999997</v>
      </c>
      <c r="R65">
        <v>4830.1419699999997</v>
      </c>
      <c r="S65">
        <v>4856.73074</v>
      </c>
      <c r="V65">
        <v>4765.8388999999997</v>
      </c>
      <c r="W65">
        <v>4732.2739099999999</v>
      </c>
      <c r="AB65">
        <v>4785.2155400000001</v>
      </c>
      <c r="AC65">
        <v>4785.2051600000004</v>
      </c>
      <c r="AD65">
        <v>1</v>
      </c>
      <c r="AE65">
        <v>63</v>
      </c>
      <c r="AF65">
        <v>611</v>
      </c>
      <c r="AG65">
        <v>4713.8471</v>
      </c>
      <c r="AH65">
        <v>4653.8639999999996</v>
      </c>
      <c r="AI65">
        <v>59.982999999999997</v>
      </c>
      <c r="AJ65">
        <v>3597.9650999999999</v>
      </c>
      <c r="AK65">
        <v>63</v>
      </c>
      <c r="AL65">
        <v>62</v>
      </c>
      <c r="AM65">
        <v>4785.87</v>
      </c>
      <c r="AN65">
        <v>4800.7786999999998</v>
      </c>
      <c r="AO65">
        <v>-14.9087</v>
      </c>
      <c r="AP65">
        <v>222.26840000000001</v>
      </c>
      <c r="AQ65">
        <v>-7.6230999999999993E-2</v>
      </c>
      <c r="AR65">
        <v>3.2322999999999998E-2</v>
      </c>
      <c r="AS65">
        <v>63</v>
      </c>
      <c r="AT65">
        <v>611</v>
      </c>
      <c r="AU65">
        <v>4713.8471</v>
      </c>
      <c r="AV65">
        <v>4653.8639999999996</v>
      </c>
      <c r="AW65">
        <v>59.982999999999997</v>
      </c>
      <c r="AX65">
        <v>3597.9650999999999</v>
      </c>
      <c r="AY65">
        <v>63</v>
      </c>
      <c r="AZ65">
        <v>62</v>
      </c>
      <c r="BA65">
        <v>4785.87</v>
      </c>
      <c r="BB65">
        <v>4800.7786999999998</v>
      </c>
      <c r="BC65">
        <v>-14.9087</v>
      </c>
      <c r="BD65">
        <v>222.26840000000001</v>
      </c>
      <c r="BE65">
        <v>3844</v>
      </c>
    </row>
    <row r="66" spans="1:57" x14ac:dyDescent="0.55000000000000004">
      <c r="A66">
        <v>1776411902</v>
      </c>
      <c r="B66" t="s">
        <v>72</v>
      </c>
      <c r="C66" t="s">
        <v>73</v>
      </c>
      <c r="D66">
        <v>4784.38</v>
      </c>
      <c r="E66">
        <v>4518.5928199999998</v>
      </c>
      <c r="F66">
        <v>4596.0559499999999</v>
      </c>
      <c r="G66">
        <v>4755.40355</v>
      </c>
      <c r="H66">
        <v>4792.7697200000002</v>
      </c>
      <c r="Q66">
        <v>4800.5110699999996</v>
      </c>
      <c r="R66">
        <v>4829.8743700000005</v>
      </c>
      <c r="S66">
        <v>4856.4631399999998</v>
      </c>
      <c r="V66">
        <v>4765.5712999999996</v>
      </c>
      <c r="W66">
        <v>4732.0063</v>
      </c>
      <c r="AA66">
        <v>4778.83</v>
      </c>
      <c r="AB66">
        <v>4786.3804300000002</v>
      </c>
      <c r="AC66">
        <v>4785.7928000000002</v>
      </c>
      <c r="AD66">
        <v>0</v>
      </c>
      <c r="AE66">
        <v>64</v>
      </c>
      <c r="AF66">
        <v>615</v>
      </c>
      <c r="AG66">
        <v>4714.2374</v>
      </c>
      <c r="AH66">
        <v>4652.7936</v>
      </c>
      <c r="AI66">
        <v>61.443800000000003</v>
      </c>
      <c r="AJ66">
        <v>3775.3429999999998</v>
      </c>
      <c r="AK66">
        <v>64</v>
      </c>
      <c r="AL66">
        <v>63</v>
      </c>
      <c r="AM66">
        <v>4784.38</v>
      </c>
      <c r="AN66">
        <v>4800.5110999999997</v>
      </c>
      <c r="AO66">
        <v>-16.1311</v>
      </c>
      <c r="AP66">
        <v>260.21140000000003</v>
      </c>
      <c r="AQ66">
        <v>-9.6561999999999995E-2</v>
      </c>
      <c r="AR66">
        <v>4.4299999999999999E-2</v>
      </c>
      <c r="AS66">
        <v>64</v>
      </c>
      <c r="AT66">
        <v>615</v>
      </c>
      <c r="AU66">
        <v>4714.2374</v>
      </c>
      <c r="AV66">
        <v>4652.7936</v>
      </c>
      <c r="AW66">
        <v>61.443800000000003</v>
      </c>
      <c r="AX66">
        <v>3775.3429999999998</v>
      </c>
      <c r="AY66">
        <v>64</v>
      </c>
      <c r="AZ66">
        <v>63</v>
      </c>
      <c r="BA66">
        <v>4784.38</v>
      </c>
      <c r="BB66">
        <v>4800.5110999999997</v>
      </c>
      <c r="BC66">
        <v>-16.1311</v>
      </c>
      <c r="BD66">
        <v>260.21140000000003</v>
      </c>
      <c r="BE66">
        <v>3969</v>
      </c>
    </row>
    <row r="67" spans="1:57" x14ac:dyDescent="0.55000000000000004">
      <c r="A67">
        <v>1776412802</v>
      </c>
      <c r="B67" t="s">
        <v>72</v>
      </c>
      <c r="C67" t="s">
        <v>73</v>
      </c>
      <c r="D67">
        <v>4783.7</v>
      </c>
      <c r="E67">
        <v>4518.5928199999998</v>
      </c>
      <c r="F67">
        <v>4596.0559499999999</v>
      </c>
      <c r="G67">
        <v>4755.40355</v>
      </c>
      <c r="H67">
        <v>4792.7697200000002</v>
      </c>
      <c r="Q67">
        <v>4800.2434700000003</v>
      </c>
      <c r="R67">
        <v>4829.6067599999997</v>
      </c>
      <c r="S67">
        <v>4856.19553</v>
      </c>
      <c r="V67">
        <v>4765.3036899999997</v>
      </c>
      <c r="W67">
        <v>4731.7386999999999</v>
      </c>
      <c r="AB67">
        <v>4788.01037</v>
      </c>
      <c r="AC67">
        <v>4786.9015799999997</v>
      </c>
      <c r="AD67">
        <v>0</v>
      </c>
      <c r="AE67">
        <v>65</v>
      </c>
      <c r="AF67">
        <v>624</v>
      </c>
      <c r="AG67">
        <v>4704.1656000000003</v>
      </c>
      <c r="AH67">
        <v>4650.3851999999997</v>
      </c>
      <c r="AI67">
        <v>53.7804</v>
      </c>
      <c r="AJ67">
        <v>2892.3346999999999</v>
      </c>
      <c r="AK67">
        <v>65</v>
      </c>
      <c r="AL67">
        <v>64</v>
      </c>
      <c r="AM67">
        <v>4783.7</v>
      </c>
      <c r="AN67">
        <v>4800.2434999999996</v>
      </c>
      <c r="AO67">
        <v>-16.543500000000002</v>
      </c>
      <c r="AP67">
        <v>273.68639999999999</v>
      </c>
      <c r="AQ67">
        <v>-0.104159</v>
      </c>
      <c r="AR67">
        <v>4.9007000000000002E-2</v>
      </c>
      <c r="AS67">
        <v>65</v>
      </c>
      <c r="AT67">
        <v>624</v>
      </c>
      <c r="AU67">
        <v>4704.1656000000003</v>
      </c>
      <c r="AV67">
        <v>4650.3851999999997</v>
      </c>
      <c r="AW67">
        <v>53.7804</v>
      </c>
      <c r="AX67">
        <v>2892.3346999999999</v>
      </c>
      <c r="AY67">
        <v>65</v>
      </c>
      <c r="AZ67">
        <v>64</v>
      </c>
      <c r="BA67">
        <v>4783.7</v>
      </c>
      <c r="BB67">
        <v>4800.2434999999996</v>
      </c>
      <c r="BC67">
        <v>-16.543500000000002</v>
      </c>
      <c r="BD67">
        <v>273.68639999999999</v>
      </c>
      <c r="BE67">
        <v>4096</v>
      </c>
    </row>
    <row r="68" spans="1:57" x14ac:dyDescent="0.55000000000000004">
      <c r="A68">
        <v>1776413702</v>
      </c>
      <c r="B68" t="s">
        <v>72</v>
      </c>
      <c r="C68" t="s">
        <v>73</v>
      </c>
      <c r="D68">
        <v>4784.58</v>
      </c>
      <c r="E68">
        <v>4518.5928199999998</v>
      </c>
      <c r="F68">
        <v>4596.0559499999999</v>
      </c>
      <c r="G68">
        <v>4755.40355</v>
      </c>
      <c r="H68">
        <v>4792.7697200000002</v>
      </c>
      <c r="Q68">
        <v>4799.9758599999996</v>
      </c>
      <c r="R68">
        <v>4829.3391600000004</v>
      </c>
      <c r="S68">
        <v>4855.9279299999998</v>
      </c>
      <c r="V68">
        <v>4765.0360899999996</v>
      </c>
      <c r="W68">
        <v>4731.47109</v>
      </c>
      <c r="AB68">
        <v>4789.9465099999998</v>
      </c>
      <c r="AC68">
        <v>4788.4240499999996</v>
      </c>
      <c r="AD68">
        <v>0</v>
      </c>
      <c r="AE68">
        <v>66</v>
      </c>
      <c r="AF68">
        <v>630</v>
      </c>
      <c r="AG68">
        <v>4705.9930000000004</v>
      </c>
      <c r="AH68">
        <v>4648.7795999999998</v>
      </c>
      <c r="AI68">
        <v>57.213500000000003</v>
      </c>
      <c r="AJ68">
        <v>3273.3834000000002</v>
      </c>
      <c r="AK68">
        <v>66</v>
      </c>
      <c r="AL68">
        <v>65</v>
      </c>
      <c r="AM68">
        <v>4784.58</v>
      </c>
      <c r="AN68">
        <v>4799.9759000000004</v>
      </c>
      <c r="AO68">
        <v>-15.395899999999999</v>
      </c>
      <c r="AP68">
        <v>237.0325</v>
      </c>
      <c r="AQ68">
        <v>-8.3950999999999998E-2</v>
      </c>
      <c r="AR68">
        <v>3.6760000000000001E-2</v>
      </c>
      <c r="AS68">
        <v>66</v>
      </c>
      <c r="AT68">
        <v>630</v>
      </c>
      <c r="AU68">
        <v>4705.9930000000004</v>
      </c>
      <c r="AV68">
        <v>4648.7795999999998</v>
      </c>
      <c r="AW68">
        <v>57.213500000000003</v>
      </c>
      <c r="AX68">
        <v>3273.3834000000002</v>
      </c>
      <c r="AY68">
        <v>66</v>
      </c>
      <c r="AZ68">
        <v>65</v>
      </c>
      <c r="BA68">
        <v>4784.58</v>
      </c>
      <c r="BB68">
        <v>4799.9759000000004</v>
      </c>
      <c r="BC68">
        <v>-15.395899999999999</v>
      </c>
      <c r="BD68">
        <v>237.0325</v>
      </c>
      <c r="BE68">
        <v>4225</v>
      </c>
    </row>
    <row r="69" spans="1:57" x14ac:dyDescent="0.55000000000000004">
      <c r="A69">
        <v>1776414602</v>
      </c>
      <c r="B69" t="s">
        <v>72</v>
      </c>
      <c r="C69" t="s">
        <v>73</v>
      </c>
      <c r="D69">
        <v>4797.03</v>
      </c>
      <c r="E69">
        <v>4518.5928199999998</v>
      </c>
      <c r="F69">
        <v>4596.0559499999999</v>
      </c>
      <c r="G69">
        <v>4755.40355</v>
      </c>
      <c r="H69">
        <v>4792.7697200000002</v>
      </c>
      <c r="Q69">
        <v>4799.7082600000003</v>
      </c>
      <c r="R69">
        <v>4829.0715600000003</v>
      </c>
      <c r="S69">
        <v>4855.6603299999997</v>
      </c>
      <c r="V69">
        <v>4764.7684900000004</v>
      </c>
      <c r="W69">
        <v>4731.2034899999999</v>
      </c>
      <c r="AB69">
        <v>4791.9410200000002</v>
      </c>
      <c r="AC69">
        <v>4790.18253</v>
      </c>
      <c r="AD69">
        <v>0</v>
      </c>
      <c r="AE69">
        <v>67</v>
      </c>
      <c r="AF69">
        <v>650</v>
      </c>
      <c r="AG69">
        <v>4674.7766000000001</v>
      </c>
      <c r="AH69">
        <v>4643.4274999999998</v>
      </c>
      <c r="AI69">
        <v>31.3491</v>
      </c>
      <c r="AJ69">
        <v>982.76670000000001</v>
      </c>
      <c r="AK69">
        <v>67</v>
      </c>
      <c r="AL69">
        <v>66</v>
      </c>
      <c r="AM69">
        <v>4797.03</v>
      </c>
      <c r="AN69">
        <v>4799.7083000000002</v>
      </c>
      <c r="AO69">
        <v>-2.6783000000000001</v>
      </c>
      <c r="AP69">
        <v>7.1730999999999998</v>
      </c>
      <c r="AQ69">
        <v>-4.4200000000000001E-4</v>
      </c>
      <c r="AR69">
        <v>3.4E-5</v>
      </c>
      <c r="AS69">
        <v>67</v>
      </c>
      <c r="AT69">
        <v>650</v>
      </c>
      <c r="AU69">
        <v>4674.7766000000001</v>
      </c>
      <c r="AV69">
        <v>4643.4274999999998</v>
      </c>
      <c r="AW69">
        <v>31.3491</v>
      </c>
      <c r="AX69">
        <v>982.76670000000001</v>
      </c>
      <c r="AY69">
        <v>67</v>
      </c>
      <c r="AZ69">
        <v>66</v>
      </c>
      <c r="BA69">
        <v>4797.03</v>
      </c>
      <c r="BB69">
        <v>4799.7083000000002</v>
      </c>
      <c r="BC69">
        <v>-2.6783000000000001</v>
      </c>
      <c r="BD69">
        <v>7.1730999999999998</v>
      </c>
      <c r="BE69">
        <v>4356</v>
      </c>
    </row>
    <row r="70" spans="1:57" x14ac:dyDescent="0.55000000000000004">
      <c r="A70">
        <v>1776415502</v>
      </c>
      <c r="B70" t="s">
        <v>72</v>
      </c>
      <c r="C70" t="s">
        <v>73</v>
      </c>
      <c r="D70">
        <v>4796.09</v>
      </c>
      <c r="E70">
        <v>4518.5928199999998</v>
      </c>
      <c r="F70">
        <v>4596.0559499999999</v>
      </c>
      <c r="G70">
        <v>4755.40355</v>
      </c>
      <c r="H70">
        <v>4792.7697200000002</v>
      </c>
      <c r="Q70">
        <v>4799.4406499999996</v>
      </c>
      <c r="R70">
        <v>4828.8039500000004</v>
      </c>
      <c r="S70">
        <v>4855.3927199999998</v>
      </c>
      <c r="V70">
        <v>4764.5008799999996</v>
      </c>
      <c r="W70">
        <v>4730.9358899999997</v>
      </c>
      <c r="AB70">
        <v>4793.4619400000001</v>
      </c>
      <c r="AC70">
        <v>4791.8222400000004</v>
      </c>
      <c r="AD70">
        <v>0</v>
      </c>
      <c r="AE70">
        <v>68</v>
      </c>
      <c r="AF70">
        <v>659</v>
      </c>
      <c r="AG70">
        <v>4681.7925999999998</v>
      </c>
      <c r="AH70">
        <v>4641.0190000000002</v>
      </c>
      <c r="AI70">
        <v>40.773499999999999</v>
      </c>
      <c r="AJ70">
        <v>1662.4816000000001</v>
      </c>
      <c r="AK70">
        <v>68</v>
      </c>
      <c r="AL70">
        <v>67</v>
      </c>
      <c r="AM70">
        <v>4796.09</v>
      </c>
      <c r="AN70">
        <v>4799.4405999999999</v>
      </c>
      <c r="AO70">
        <v>-3.3506</v>
      </c>
      <c r="AP70">
        <v>11.226900000000001</v>
      </c>
      <c r="AQ70">
        <v>-8.6499999999999999E-4</v>
      </c>
      <c r="AR70">
        <v>8.2000000000000001E-5</v>
      </c>
      <c r="AS70">
        <v>68</v>
      </c>
      <c r="AT70">
        <v>659</v>
      </c>
      <c r="AU70">
        <v>4681.7925999999998</v>
      </c>
      <c r="AV70">
        <v>4641.0190000000002</v>
      </c>
      <c r="AW70">
        <v>40.773499999999999</v>
      </c>
      <c r="AX70">
        <v>1662.4816000000001</v>
      </c>
      <c r="AY70">
        <v>68</v>
      </c>
      <c r="AZ70">
        <v>67</v>
      </c>
      <c r="BA70">
        <v>4796.09</v>
      </c>
      <c r="BB70">
        <v>4799.4405999999999</v>
      </c>
      <c r="BC70">
        <v>-3.3506</v>
      </c>
      <c r="BD70">
        <v>11.226900000000001</v>
      </c>
      <c r="BE70">
        <v>4489</v>
      </c>
    </row>
    <row r="71" spans="1:57" x14ac:dyDescent="0.55000000000000004">
      <c r="A71">
        <v>1776416402</v>
      </c>
      <c r="B71" t="s">
        <v>72</v>
      </c>
      <c r="C71" t="s">
        <v>73</v>
      </c>
      <c r="D71">
        <v>4793.1000000000004</v>
      </c>
      <c r="E71">
        <v>4518.5928199999998</v>
      </c>
      <c r="F71">
        <v>4596.0559499999999</v>
      </c>
      <c r="G71">
        <v>4755.40355</v>
      </c>
      <c r="H71">
        <v>4792.7697200000002</v>
      </c>
      <c r="Q71">
        <v>4799.1730500000003</v>
      </c>
      <c r="R71">
        <v>4828.5363500000003</v>
      </c>
      <c r="S71">
        <v>4855.1251199999997</v>
      </c>
      <c r="V71">
        <v>4764.2332800000004</v>
      </c>
      <c r="W71">
        <v>4730.6682799999999</v>
      </c>
      <c r="AB71">
        <v>4794.3959199999999</v>
      </c>
      <c r="AC71">
        <v>4793.1090800000002</v>
      </c>
      <c r="AD71">
        <v>0</v>
      </c>
      <c r="AE71">
        <v>69</v>
      </c>
      <c r="AF71">
        <v>664</v>
      </c>
      <c r="AG71">
        <v>4680.2318999999998</v>
      </c>
      <c r="AH71">
        <v>4639.6809999999996</v>
      </c>
      <c r="AI71">
        <v>40.550899999999999</v>
      </c>
      <c r="AJ71">
        <v>1644.3731</v>
      </c>
      <c r="AK71">
        <v>69</v>
      </c>
      <c r="AL71">
        <v>68</v>
      </c>
      <c r="AM71">
        <v>4793.1000000000004</v>
      </c>
      <c r="AN71">
        <v>4799.1731</v>
      </c>
      <c r="AO71">
        <v>-6.0730000000000004</v>
      </c>
      <c r="AP71">
        <v>36.881900000000002</v>
      </c>
      <c r="AQ71">
        <v>-5.1529999999999996E-3</v>
      </c>
      <c r="AR71">
        <v>8.8999999999999995E-4</v>
      </c>
      <c r="AS71">
        <v>69</v>
      </c>
      <c r="AT71">
        <v>664</v>
      </c>
      <c r="AU71">
        <v>4680.2318999999998</v>
      </c>
      <c r="AV71">
        <v>4639.6809999999996</v>
      </c>
      <c r="AW71">
        <v>40.550899999999999</v>
      </c>
      <c r="AX71">
        <v>1644.3731</v>
      </c>
      <c r="AY71">
        <v>69</v>
      </c>
      <c r="AZ71">
        <v>68</v>
      </c>
      <c r="BA71">
        <v>4793.1000000000004</v>
      </c>
      <c r="BB71">
        <v>4799.1731</v>
      </c>
      <c r="BC71">
        <v>-6.0730000000000004</v>
      </c>
      <c r="BD71">
        <v>36.881900000000002</v>
      </c>
      <c r="BE71">
        <v>4624</v>
      </c>
    </row>
    <row r="72" spans="1:57" x14ac:dyDescent="0.55000000000000004">
      <c r="A72">
        <v>1776417302</v>
      </c>
      <c r="B72" t="s">
        <v>72</v>
      </c>
      <c r="C72" t="s">
        <v>73</v>
      </c>
      <c r="D72">
        <v>4795.93</v>
      </c>
      <c r="E72">
        <v>4518.5928199999998</v>
      </c>
      <c r="F72">
        <v>4596.0559499999999</v>
      </c>
      <c r="G72">
        <v>4755.40355</v>
      </c>
      <c r="H72">
        <v>4792.7697200000002</v>
      </c>
      <c r="Q72">
        <v>4798.9054400000005</v>
      </c>
      <c r="R72">
        <v>4828.2687400000004</v>
      </c>
      <c r="S72">
        <v>4854.8575099999998</v>
      </c>
      <c r="V72">
        <v>4763.9656699999996</v>
      </c>
      <c r="W72">
        <v>4730.4006799999997</v>
      </c>
      <c r="AB72">
        <v>4794.6895800000002</v>
      </c>
      <c r="AC72">
        <v>4793.8993300000002</v>
      </c>
      <c r="AD72">
        <v>0</v>
      </c>
      <c r="AE72">
        <v>70</v>
      </c>
      <c r="AF72">
        <v>678</v>
      </c>
      <c r="AG72">
        <v>4693.6994000000004</v>
      </c>
      <c r="AH72">
        <v>4635.9345000000003</v>
      </c>
      <c r="AI72">
        <v>57.764800000000001</v>
      </c>
      <c r="AJ72">
        <v>3336.7755999999999</v>
      </c>
      <c r="AK72">
        <v>70</v>
      </c>
      <c r="AL72">
        <v>69</v>
      </c>
      <c r="AM72">
        <v>4795.93</v>
      </c>
      <c r="AN72">
        <v>4798.9053999999996</v>
      </c>
      <c r="AO72">
        <v>-2.9754</v>
      </c>
      <c r="AP72">
        <v>8.8531999999999993</v>
      </c>
      <c r="AQ72">
        <v>-6.0599999999999998E-4</v>
      </c>
      <c r="AR72">
        <v>5.1E-5</v>
      </c>
      <c r="AS72">
        <v>70</v>
      </c>
      <c r="AT72">
        <v>678</v>
      </c>
      <c r="AU72">
        <v>4693.6994000000004</v>
      </c>
      <c r="AV72">
        <v>4635.9345000000003</v>
      </c>
      <c r="AW72">
        <v>57.764800000000001</v>
      </c>
      <c r="AX72">
        <v>3336.7755999999999</v>
      </c>
      <c r="AY72">
        <v>70</v>
      </c>
      <c r="AZ72">
        <v>69</v>
      </c>
      <c r="BA72">
        <v>4795.93</v>
      </c>
      <c r="BB72">
        <v>4798.9053999999996</v>
      </c>
      <c r="BC72">
        <v>-2.9754</v>
      </c>
      <c r="BD72">
        <v>8.8531999999999993</v>
      </c>
      <c r="BE72">
        <v>4761</v>
      </c>
    </row>
    <row r="73" spans="1:57" x14ac:dyDescent="0.55000000000000004">
      <c r="A73">
        <v>1776418202</v>
      </c>
      <c r="B73" t="s">
        <v>72</v>
      </c>
      <c r="C73" t="s">
        <v>73</v>
      </c>
      <c r="D73">
        <v>4794.67</v>
      </c>
      <c r="E73">
        <v>4518.5928199999998</v>
      </c>
      <c r="F73">
        <v>4596.0559499999999</v>
      </c>
      <c r="G73">
        <v>4755.40355</v>
      </c>
      <c r="H73">
        <v>4792.7697200000002</v>
      </c>
      <c r="Q73">
        <v>4798.6378400000003</v>
      </c>
      <c r="R73">
        <v>4828.0011400000003</v>
      </c>
      <c r="S73">
        <v>4854.5899099999997</v>
      </c>
      <c r="V73">
        <v>4763.6980700000004</v>
      </c>
      <c r="W73">
        <v>4730.1330699999999</v>
      </c>
      <c r="AB73">
        <v>4794.1798200000003</v>
      </c>
      <c r="AC73">
        <v>4794.0395799999997</v>
      </c>
      <c r="AD73">
        <v>0</v>
      </c>
      <c r="AE73">
        <v>71</v>
      </c>
      <c r="AF73">
        <v>689</v>
      </c>
      <c r="AG73">
        <v>4672.4742999999999</v>
      </c>
      <c r="AH73">
        <v>4632.9908999999998</v>
      </c>
      <c r="AI73">
        <v>39.483400000000003</v>
      </c>
      <c r="AJ73">
        <v>1558.9396999999999</v>
      </c>
      <c r="AK73">
        <v>71</v>
      </c>
      <c r="AL73">
        <v>70</v>
      </c>
      <c r="AM73">
        <v>4794.67</v>
      </c>
      <c r="AN73">
        <v>4798.6378000000004</v>
      </c>
      <c r="AO73">
        <v>-3.9678</v>
      </c>
      <c r="AP73">
        <v>15.7438</v>
      </c>
      <c r="AQ73">
        <v>-1.4369999999999999E-3</v>
      </c>
      <c r="AR73">
        <v>1.6200000000000001E-4</v>
      </c>
      <c r="AS73">
        <v>71</v>
      </c>
      <c r="AT73">
        <v>689</v>
      </c>
      <c r="AU73">
        <v>4672.4742999999999</v>
      </c>
      <c r="AV73">
        <v>4632.9908999999998</v>
      </c>
      <c r="AW73">
        <v>39.483400000000003</v>
      </c>
      <c r="AX73">
        <v>1558.9396999999999</v>
      </c>
      <c r="AY73">
        <v>71</v>
      </c>
      <c r="AZ73">
        <v>70</v>
      </c>
      <c r="BA73">
        <v>4794.67</v>
      </c>
      <c r="BB73">
        <v>4798.6378000000004</v>
      </c>
      <c r="BC73">
        <v>-3.9678</v>
      </c>
      <c r="BD73">
        <v>15.7438</v>
      </c>
      <c r="BE73">
        <v>4900</v>
      </c>
    </row>
    <row r="74" spans="1:57" x14ac:dyDescent="0.55000000000000004">
      <c r="A74">
        <v>1776419102</v>
      </c>
      <c r="B74" t="s">
        <v>72</v>
      </c>
      <c r="C74" t="s">
        <v>73</v>
      </c>
      <c r="D74">
        <v>4790.3900000000003</v>
      </c>
      <c r="E74">
        <v>4518.5928199999998</v>
      </c>
      <c r="F74">
        <v>4596.0559499999999</v>
      </c>
      <c r="G74">
        <v>4755.40355</v>
      </c>
      <c r="H74">
        <v>4792.7697200000002</v>
      </c>
      <c r="Q74">
        <v>4798.3702400000002</v>
      </c>
      <c r="R74">
        <v>4827.7335400000002</v>
      </c>
      <c r="S74">
        <v>4854.3223099999996</v>
      </c>
      <c r="V74">
        <v>4763.4304700000002</v>
      </c>
      <c r="W74">
        <v>4729.8654699999997</v>
      </c>
      <c r="AB74">
        <v>4792.9258099999997</v>
      </c>
      <c r="AC74">
        <v>4793.4826899999998</v>
      </c>
      <c r="AD74">
        <v>1</v>
      </c>
      <c r="AE74">
        <v>72</v>
      </c>
      <c r="AF74">
        <v>692</v>
      </c>
      <c r="AG74">
        <v>4672.1329999999998</v>
      </c>
      <c r="AH74">
        <v>4632.1881000000003</v>
      </c>
      <c r="AI74">
        <v>39.944899999999997</v>
      </c>
      <c r="AJ74">
        <v>1595.5934</v>
      </c>
      <c r="AK74">
        <v>72</v>
      </c>
      <c r="AL74">
        <v>71</v>
      </c>
      <c r="AM74">
        <v>4790.3900000000003</v>
      </c>
      <c r="AN74">
        <v>4798.3702000000003</v>
      </c>
      <c r="AO74">
        <v>-7.9802</v>
      </c>
      <c r="AP74">
        <v>63.684199999999997</v>
      </c>
      <c r="AQ74">
        <v>-1.1691E-2</v>
      </c>
      <c r="AR74">
        <v>2.653E-3</v>
      </c>
      <c r="AS74">
        <v>72</v>
      </c>
      <c r="AT74">
        <v>692</v>
      </c>
      <c r="AU74">
        <v>4672.1329999999998</v>
      </c>
      <c r="AV74">
        <v>4632.1881000000003</v>
      </c>
      <c r="AW74">
        <v>39.944899999999997</v>
      </c>
      <c r="AX74">
        <v>1595.5934</v>
      </c>
      <c r="AY74">
        <v>72</v>
      </c>
      <c r="AZ74">
        <v>71</v>
      </c>
      <c r="BA74">
        <v>4790.3900000000003</v>
      </c>
      <c r="BB74">
        <v>4798.3702000000003</v>
      </c>
      <c r="BC74">
        <v>-7.9802</v>
      </c>
      <c r="BD74">
        <v>63.684199999999997</v>
      </c>
      <c r="BE74">
        <v>5041</v>
      </c>
    </row>
    <row r="75" spans="1:57" x14ac:dyDescent="0.55000000000000004">
      <c r="A75">
        <v>1776420002</v>
      </c>
      <c r="B75" t="s">
        <v>72</v>
      </c>
      <c r="C75" t="s">
        <v>73</v>
      </c>
      <c r="D75">
        <v>4791.33</v>
      </c>
      <c r="E75">
        <v>4518.5928199999998</v>
      </c>
      <c r="F75">
        <v>4596.0559499999999</v>
      </c>
      <c r="G75">
        <v>4755.40355</v>
      </c>
      <c r="H75">
        <v>4792.7697200000002</v>
      </c>
      <c r="Q75">
        <v>4798.1026300000003</v>
      </c>
      <c r="R75">
        <v>4827.4659300000003</v>
      </c>
      <c r="S75">
        <v>4854.0546999999997</v>
      </c>
      <c r="V75">
        <v>4763.1628600000004</v>
      </c>
      <c r="W75">
        <v>4729.5978699999996</v>
      </c>
      <c r="AB75">
        <v>4791.1914399999996</v>
      </c>
      <c r="AC75">
        <v>4792.3370599999998</v>
      </c>
      <c r="AD75">
        <v>0</v>
      </c>
      <c r="AE75">
        <v>73</v>
      </c>
      <c r="AF75">
        <v>727</v>
      </c>
      <c r="AG75">
        <v>4582.2172</v>
      </c>
      <c r="AH75">
        <v>4622.8218999999999</v>
      </c>
      <c r="AI75">
        <v>-40.604700000000001</v>
      </c>
      <c r="AJ75">
        <v>1648.7433000000001</v>
      </c>
      <c r="AK75">
        <v>73</v>
      </c>
      <c r="AL75">
        <v>72</v>
      </c>
      <c r="AM75">
        <v>4791.33</v>
      </c>
      <c r="AN75">
        <v>4798.1026000000002</v>
      </c>
      <c r="AO75">
        <v>-6.7725999999999997</v>
      </c>
      <c r="AP75">
        <v>45.868499999999997</v>
      </c>
      <c r="AQ75">
        <v>-7.1459999999999996E-3</v>
      </c>
      <c r="AR75">
        <v>1.377E-3</v>
      </c>
      <c r="AS75">
        <v>73</v>
      </c>
      <c r="AT75">
        <v>727</v>
      </c>
      <c r="AU75">
        <v>4582.2172</v>
      </c>
      <c r="AV75">
        <v>4622.8218999999999</v>
      </c>
      <c r="AW75">
        <v>-40.604700000000001</v>
      </c>
      <c r="AX75">
        <v>1648.7433000000001</v>
      </c>
      <c r="AY75">
        <v>73</v>
      </c>
      <c r="AZ75">
        <v>72</v>
      </c>
      <c r="BA75">
        <v>4791.33</v>
      </c>
      <c r="BB75">
        <v>4798.1026000000002</v>
      </c>
      <c r="BC75">
        <v>-6.7725999999999997</v>
      </c>
      <c r="BD75">
        <v>45.868499999999997</v>
      </c>
      <c r="BE75">
        <v>5184</v>
      </c>
    </row>
    <row r="76" spans="1:57" x14ac:dyDescent="0.55000000000000004">
      <c r="A76">
        <v>1776420902</v>
      </c>
      <c r="B76" t="s">
        <v>72</v>
      </c>
      <c r="C76" t="s">
        <v>73</v>
      </c>
      <c r="D76">
        <v>4789.59</v>
      </c>
      <c r="E76">
        <v>4518.5928199999998</v>
      </c>
      <c r="F76">
        <v>4596.0559499999999</v>
      </c>
      <c r="G76">
        <v>4755.40355</v>
      </c>
      <c r="H76">
        <v>4792.7697200000002</v>
      </c>
      <c r="Q76">
        <v>4797.8350300000002</v>
      </c>
      <c r="R76">
        <v>4827.1983300000002</v>
      </c>
      <c r="S76">
        <v>4853.7870999999996</v>
      </c>
      <c r="V76">
        <v>4762.8952600000002</v>
      </c>
      <c r="W76">
        <v>4729.3302599999997</v>
      </c>
      <c r="AB76">
        <v>4789.2110599999996</v>
      </c>
      <c r="AC76">
        <v>4790.7740599999997</v>
      </c>
      <c r="AD76">
        <v>0</v>
      </c>
      <c r="AE76">
        <v>74</v>
      </c>
      <c r="AF76">
        <v>729</v>
      </c>
      <c r="AG76">
        <v>4581.4012000000002</v>
      </c>
      <c r="AH76">
        <v>4622.2867999999999</v>
      </c>
      <c r="AI76">
        <v>-40.8855</v>
      </c>
      <c r="AJ76">
        <v>1671.6241</v>
      </c>
      <c r="AK76">
        <v>74</v>
      </c>
      <c r="AL76">
        <v>73</v>
      </c>
      <c r="AM76">
        <v>4789.59</v>
      </c>
      <c r="AN76">
        <v>4797.835</v>
      </c>
      <c r="AO76">
        <v>-8.2449999999999992</v>
      </c>
      <c r="AP76">
        <v>67.980500000000006</v>
      </c>
      <c r="AQ76">
        <v>-1.2893999999999999E-2</v>
      </c>
      <c r="AR76">
        <v>3.0240000000000002E-3</v>
      </c>
      <c r="AS76">
        <v>74</v>
      </c>
      <c r="AT76">
        <v>729</v>
      </c>
      <c r="AU76">
        <v>4581.4012000000002</v>
      </c>
      <c r="AV76">
        <v>4622.2867999999999</v>
      </c>
      <c r="AW76">
        <v>-40.8855</v>
      </c>
      <c r="AX76">
        <v>1671.6241</v>
      </c>
      <c r="AY76">
        <v>74</v>
      </c>
      <c r="AZ76">
        <v>73</v>
      </c>
      <c r="BA76">
        <v>4789.59</v>
      </c>
      <c r="BB76">
        <v>4797.835</v>
      </c>
      <c r="BC76">
        <v>-8.2449999999999992</v>
      </c>
      <c r="BD76">
        <v>67.980500000000006</v>
      </c>
      <c r="BE76">
        <v>5329</v>
      </c>
    </row>
    <row r="77" spans="1:57" x14ac:dyDescent="0.55000000000000004">
      <c r="A77">
        <v>1776421802</v>
      </c>
      <c r="B77" t="s">
        <v>72</v>
      </c>
      <c r="C77" t="s">
        <v>73</v>
      </c>
      <c r="D77">
        <v>4784.95</v>
      </c>
      <c r="E77">
        <v>4518.5928199999998</v>
      </c>
      <c r="F77">
        <v>4596.0559499999999</v>
      </c>
      <c r="G77">
        <v>4755.40355</v>
      </c>
      <c r="H77">
        <v>4792.7697200000002</v>
      </c>
      <c r="Q77">
        <v>4797.5674200000003</v>
      </c>
      <c r="R77">
        <v>4826.9307200000003</v>
      </c>
      <c r="S77">
        <v>4853.5194899999997</v>
      </c>
      <c r="V77">
        <v>4762.6276500000004</v>
      </c>
      <c r="W77">
        <v>4729.0626599999996</v>
      </c>
      <c r="AB77">
        <v>4787.4276900000004</v>
      </c>
      <c r="AC77">
        <v>4789.10088</v>
      </c>
      <c r="AD77">
        <v>0</v>
      </c>
      <c r="AE77">
        <v>75</v>
      </c>
      <c r="AF77">
        <v>736</v>
      </c>
      <c r="AG77">
        <v>4572.3874999999998</v>
      </c>
      <c r="AH77">
        <v>4620.4134999999997</v>
      </c>
      <c r="AI77">
        <v>-48.026000000000003</v>
      </c>
      <c r="AJ77">
        <v>2306.4996000000001</v>
      </c>
      <c r="AK77">
        <v>75</v>
      </c>
      <c r="AL77">
        <v>74</v>
      </c>
      <c r="AM77">
        <v>4784.95</v>
      </c>
      <c r="AN77">
        <v>4797.5673999999999</v>
      </c>
      <c r="AO77">
        <v>-12.6174</v>
      </c>
      <c r="AP77">
        <v>159.19929999999999</v>
      </c>
      <c r="AQ77">
        <v>-4.6209E-2</v>
      </c>
      <c r="AR77">
        <v>1.6582E-2</v>
      </c>
      <c r="AS77">
        <v>75</v>
      </c>
      <c r="AT77">
        <v>736</v>
      </c>
      <c r="AU77">
        <v>4572.3874999999998</v>
      </c>
      <c r="AV77">
        <v>4620.4134999999997</v>
      </c>
      <c r="AW77">
        <v>-48.026000000000003</v>
      </c>
      <c r="AX77">
        <v>2306.4996000000001</v>
      </c>
      <c r="AY77">
        <v>75</v>
      </c>
      <c r="AZ77">
        <v>74</v>
      </c>
      <c r="BA77">
        <v>4784.95</v>
      </c>
      <c r="BB77">
        <v>4797.5673999999999</v>
      </c>
      <c r="BC77">
        <v>-12.6174</v>
      </c>
      <c r="BD77">
        <v>159.19929999999999</v>
      </c>
      <c r="BE77">
        <v>5476</v>
      </c>
    </row>
    <row r="78" spans="1:57" x14ac:dyDescent="0.55000000000000004">
      <c r="A78">
        <v>1776422702</v>
      </c>
      <c r="B78" t="s">
        <v>72</v>
      </c>
      <c r="C78" t="s">
        <v>73</v>
      </c>
      <c r="D78">
        <v>4787.41</v>
      </c>
      <c r="E78">
        <v>4518.5928199999998</v>
      </c>
      <c r="F78">
        <v>4596.0559499999999</v>
      </c>
      <c r="G78">
        <v>4755.40355</v>
      </c>
      <c r="H78">
        <v>4792.7697200000002</v>
      </c>
      <c r="Q78">
        <v>4797.2998200000002</v>
      </c>
      <c r="R78">
        <v>4826.6631200000002</v>
      </c>
      <c r="S78">
        <v>4853.2518899999995</v>
      </c>
      <c r="V78">
        <v>4762.3600500000002</v>
      </c>
      <c r="W78">
        <v>4728.7950499999997</v>
      </c>
      <c r="AB78">
        <v>4786.4672899999996</v>
      </c>
      <c r="AC78">
        <v>4787.7840800000004</v>
      </c>
      <c r="AD78">
        <v>0</v>
      </c>
      <c r="AE78">
        <v>76</v>
      </c>
      <c r="AF78">
        <v>755</v>
      </c>
      <c r="AG78">
        <v>4596.5933999999997</v>
      </c>
      <c r="AH78">
        <v>4615.3289999999997</v>
      </c>
      <c r="AI78">
        <v>-18.735600000000002</v>
      </c>
      <c r="AJ78">
        <v>351.02460000000002</v>
      </c>
      <c r="AK78">
        <v>76</v>
      </c>
      <c r="AL78">
        <v>75</v>
      </c>
      <c r="AM78">
        <v>4787.41</v>
      </c>
      <c r="AN78">
        <v>4797.2997999999998</v>
      </c>
      <c r="AO78">
        <v>-9.8897999999999993</v>
      </c>
      <c r="AP78">
        <v>97.808499999999995</v>
      </c>
      <c r="AQ78">
        <v>-2.2252999999999998E-2</v>
      </c>
      <c r="AR78">
        <v>6.2589999999999998E-3</v>
      </c>
      <c r="AS78">
        <v>76</v>
      </c>
      <c r="AT78">
        <v>755</v>
      </c>
      <c r="AU78">
        <v>4596.5933999999997</v>
      </c>
      <c r="AV78">
        <v>4615.3289999999997</v>
      </c>
      <c r="AW78">
        <v>-18.735600000000002</v>
      </c>
      <c r="AX78">
        <v>351.02460000000002</v>
      </c>
      <c r="AY78">
        <v>76</v>
      </c>
      <c r="AZ78">
        <v>75</v>
      </c>
      <c r="BA78">
        <v>4787.41</v>
      </c>
      <c r="BB78">
        <v>4797.2997999999998</v>
      </c>
      <c r="BC78">
        <v>-9.8897999999999993</v>
      </c>
      <c r="BD78">
        <v>97.808499999999995</v>
      </c>
      <c r="BE78">
        <v>5625</v>
      </c>
    </row>
    <row r="79" spans="1:57" x14ac:dyDescent="0.55000000000000004">
      <c r="A79">
        <v>1776423602</v>
      </c>
      <c r="B79" t="s">
        <v>72</v>
      </c>
      <c r="C79" t="s">
        <v>73</v>
      </c>
      <c r="D79">
        <v>4786.45</v>
      </c>
      <c r="E79">
        <v>4518.5928199999998</v>
      </c>
      <c r="F79">
        <v>4596.0559499999999</v>
      </c>
      <c r="G79">
        <v>4755.40355</v>
      </c>
      <c r="H79">
        <v>4792.7697200000002</v>
      </c>
      <c r="Q79">
        <v>4797.0322200000001</v>
      </c>
      <c r="R79">
        <v>4826.3955100000003</v>
      </c>
      <c r="S79">
        <v>4852.9842900000003</v>
      </c>
      <c r="V79">
        <v>4762.0924500000001</v>
      </c>
      <c r="W79">
        <v>4728.5274499999996</v>
      </c>
      <c r="AB79">
        <v>4786.8401299999996</v>
      </c>
      <c r="AC79">
        <v>4787.3121000000001</v>
      </c>
      <c r="AD79">
        <v>0</v>
      </c>
      <c r="AE79">
        <v>77</v>
      </c>
      <c r="AF79">
        <v>764</v>
      </c>
      <c r="AG79">
        <v>4594.1764999999996</v>
      </c>
      <c r="AH79">
        <v>4612.9206000000004</v>
      </c>
      <c r="AI79">
        <v>-18.7441</v>
      </c>
      <c r="AJ79">
        <v>351.34019999999998</v>
      </c>
      <c r="AK79">
        <v>77</v>
      </c>
      <c r="AL79">
        <v>76</v>
      </c>
      <c r="AM79">
        <v>4786.45</v>
      </c>
      <c r="AN79">
        <v>4797.0321999999996</v>
      </c>
      <c r="AO79">
        <v>-10.5822</v>
      </c>
      <c r="AP79">
        <v>111.9834</v>
      </c>
      <c r="AQ79">
        <v>-2.7261000000000001E-2</v>
      </c>
      <c r="AR79">
        <v>8.2050000000000005E-3</v>
      </c>
      <c r="AS79">
        <v>77</v>
      </c>
      <c r="AT79">
        <v>764</v>
      </c>
      <c r="AU79">
        <v>4594.1764999999996</v>
      </c>
      <c r="AV79">
        <v>4612.9206000000004</v>
      </c>
      <c r="AW79">
        <v>-18.7441</v>
      </c>
      <c r="AX79">
        <v>351.34019999999998</v>
      </c>
      <c r="AY79">
        <v>77</v>
      </c>
      <c r="AZ79">
        <v>76</v>
      </c>
      <c r="BA79">
        <v>4786.45</v>
      </c>
      <c r="BB79">
        <v>4797.0321999999996</v>
      </c>
      <c r="BC79">
        <v>-10.5822</v>
      </c>
      <c r="BD79">
        <v>111.9834</v>
      </c>
      <c r="BE79">
        <v>5776</v>
      </c>
    </row>
    <row r="80" spans="1:57" x14ac:dyDescent="0.55000000000000004">
      <c r="A80">
        <v>1776424502</v>
      </c>
      <c r="B80" t="s">
        <v>72</v>
      </c>
      <c r="C80" t="s">
        <v>73</v>
      </c>
      <c r="D80">
        <v>4793.07</v>
      </c>
      <c r="E80">
        <v>4518.5928199999998</v>
      </c>
      <c r="F80">
        <v>4596.0559499999999</v>
      </c>
      <c r="G80">
        <v>4755.40355</v>
      </c>
      <c r="H80">
        <v>4792.7697200000002</v>
      </c>
      <c r="Q80">
        <v>4796.7646100000002</v>
      </c>
      <c r="R80">
        <v>4826.1279100000002</v>
      </c>
      <c r="S80">
        <v>4852.7166800000005</v>
      </c>
      <c r="V80">
        <v>4761.8248400000002</v>
      </c>
      <c r="W80">
        <v>4728.2598500000004</v>
      </c>
      <c r="AB80">
        <v>4789.13598</v>
      </c>
      <c r="AC80">
        <v>4788.2240400000001</v>
      </c>
      <c r="AD80">
        <v>1</v>
      </c>
      <c r="AE80">
        <v>78</v>
      </c>
      <c r="AF80">
        <v>770</v>
      </c>
      <c r="AG80">
        <v>4596.4323999999997</v>
      </c>
      <c r="AH80">
        <v>4611.3149999999996</v>
      </c>
      <c r="AI80">
        <v>-14.8826</v>
      </c>
      <c r="AJ80">
        <v>221.49090000000001</v>
      </c>
      <c r="AK80">
        <v>78</v>
      </c>
      <c r="AL80">
        <v>77</v>
      </c>
      <c r="AM80">
        <v>4793.07</v>
      </c>
      <c r="AN80">
        <v>4796.7646000000004</v>
      </c>
      <c r="AO80">
        <v>-3.6945999999999999</v>
      </c>
      <c r="AP80">
        <v>13.6501</v>
      </c>
      <c r="AQ80">
        <v>-1.16E-3</v>
      </c>
      <c r="AR80">
        <v>1.22E-4</v>
      </c>
      <c r="AS80">
        <v>78</v>
      </c>
      <c r="AT80">
        <v>770</v>
      </c>
      <c r="AU80">
        <v>4596.4323999999997</v>
      </c>
      <c r="AV80">
        <v>4611.3149999999996</v>
      </c>
      <c r="AW80">
        <v>-14.8826</v>
      </c>
      <c r="AX80">
        <v>221.49090000000001</v>
      </c>
      <c r="AY80">
        <v>78</v>
      </c>
      <c r="AZ80">
        <v>77</v>
      </c>
      <c r="BA80">
        <v>4793.07</v>
      </c>
      <c r="BB80">
        <v>4796.7646000000004</v>
      </c>
      <c r="BC80">
        <v>-3.6945999999999999</v>
      </c>
      <c r="BD80">
        <v>13.6501</v>
      </c>
      <c r="BE80">
        <v>5929</v>
      </c>
    </row>
    <row r="81" spans="1:57" x14ac:dyDescent="0.55000000000000004">
      <c r="A81">
        <v>1776425402</v>
      </c>
      <c r="B81" t="s">
        <v>72</v>
      </c>
      <c r="C81" t="s">
        <v>73</v>
      </c>
      <c r="D81">
        <v>4798.6400000000003</v>
      </c>
      <c r="E81">
        <v>4518.5928199999998</v>
      </c>
      <c r="F81">
        <v>4596.0559499999999</v>
      </c>
      <c r="G81">
        <v>4755.40355</v>
      </c>
      <c r="H81">
        <v>4792.7697200000002</v>
      </c>
      <c r="Q81">
        <v>4796.49701</v>
      </c>
      <c r="R81">
        <v>4825.86031</v>
      </c>
      <c r="S81">
        <v>4852.4490800000003</v>
      </c>
      <c r="V81">
        <v>4761.5572400000001</v>
      </c>
      <c r="W81">
        <v>4727.9922399999996</v>
      </c>
      <c r="AB81">
        <v>4793.6466300000002</v>
      </c>
      <c r="AC81">
        <v>4790.93534</v>
      </c>
      <c r="AD81">
        <v>0</v>
      </c>
      <c r="AE81">
        <v>79</v>
      </c>
      <c r="AF81">
        <v>776</v>
      </c>
      <c r="AG81">
        <v>4592.2322999999997</v>
      </c>
      <c r="AH81">
        <v>4609.7093999999997</v>
      </c>
      <c r="AI81">
        <v>-17.4771</v>
      </c>
      <c r="AJ81">
        <v>305.44830000000002</v>
      </c>
      <c r="AK81">
        <v>79</v>
      </c>
      <c r="AL81">
        <v>78</v>
      </c>
      <c r="AM81">
        <v>4798.6400000000003</v>
      </c>
      <c r="AN81">
        <v>4796.4970000000003</v>
      </c>
      <c r="AO81">
        <v>2.1429999999999998</v>
      </c>
      <c r="AP81">
        <v>4.5923999999999996</v>
      </c>
      <c r="AQ81">
        <v>2.2599999999999999E-4</v>
      </c>
      <c r="AR81">
        <v>1.4E-5</v>
      </c>
      <c r="AS81">
        <v>79</v>
      </c>
      <c r="AT81">
        <v>776</v>
      </c>
      <c r="AU81">
        <v>4592.2322999999997</v>
      </c>
      <c r="AV81">
        <v>4609.7093999999997</v>
      </c>
      <c r="AW81">
        <v>-17.4771</v>
      </c>
      <c r="AX81">
        <v>305.44830000000002</v>
      </c>
      <c r="AY81">
        <v>79</v>
      </c>
      <c r="AZ81">
        <v>78</v>
      </c>
      <c r="BA81">
        <v>4798.6400000000003</v>
      </c>
      <c r="BB81">
        <v>4796.4970000000003</v>
      </c>
      <c r="BC81">
        <v>2.1429999999999998</v>
      </c>
      <c r="BD81">
        <v>4.5923999999999996</v>
      </c>
      <c r="BE81">
        <v>6084</v>
      </c>
    </row>
    <row r="82" spans="1:57" x14ac:dyDescent="0.55000000000000004">
      <c r="A82">
        <v>1776426302</v>
      </c>
      <c r="B82" t="s">
        <v>72</v>
      </c>
      <c r="C82" t="s">
        <v>73</v>
      </c>
      <c r="D82">
        <v>4799.1899999999996</v>
      </c>
      <c r="E82">
        <v>4518.5928199999998</v>
      </c>
      <c r="F82">
        <v>4596.0559499999999</v>
      </c>
      <c r="G82">
        <v>4755.40355</v>
      </c>
      <c r="H82">
        <v>4792.7697200000002</v>
      </c>
      <c r="Q82">
        <v>4796.2294000000002</v>
      </c>
      <c r="R82">
        <v>4825.5927000000001</v>
      </c>
      <c r="S82">
        <v>4852.1814700000004</v>
      </c>
      <c r="V82">
        <v>4761.2896300000002</v>
      </c>
      <c r="W82">
        <v>4727.7246400000004</v>
      </c>
      <c r="AB82">
        <v>4800.4957899999999</v>
      </c>
      <c r="AC82">
        <v>4795.7155700000003</v>
      </c>
      <c r="AD82">
        <v>0</v>
      </c>
      <c r="AE82">
        <v>80</v>
      </c>
      <c r="AF82">
        <v>788</v>
      </c>
      <c r="AG82">
        <v>4600.8451999999997</v>
      </c>
      <c r="AH82">
        <v>4606.4980999999998</v>
      </c>
      <c r="AI82">
        <v>-5.6528999999999998</v>
      </c>
      <c r="AJ82">
        <v>31.9557</v>
      </c>
      <c r="AK82">
        <v>80</v>
      </c>
      <c r="AL82">
        <v>79</v>
      </c>
      <c r="AM82">
        <v>4799.1899999999996</v>
      </c>
      <c r="AN82">
        <v>4796.2294000000002</v>
      </c>
      <c r="AO82">
        <v>2.9605999999999999</v>
      </c>
      <c r="AP82">
        <v>8.7652000000000001</v>
      </c>
      <c r="AQ82">
        <v>5.9699999999999998E-4</v>
      </c>
      <c r="AR82">
        <v>5.0000000000000002E-5</v>
      </c>
      <c r="AS82">
        <v>80</v>
      </c>
      <c r="AT82">
        <v>788</v>
      </c>
      <c r="AU82">
        <v>4600.8451999999997</v>
      </c>
      <c r="AV82">
        <v>4606.4980999999998</v>
      </c>
      <c r="AW82">
        <v>-5.6528999999999998</v>
      </c>
      <c r="AX82">
        <v>31.9557</v>
      </c>
      <c r="AY82">
        <v>80</v>
      </c>
      <c r="AZ82">
        <v>79</v>
      </c>
      <c r="BA82">
        <v>4799.1899999999996</v>
      </c>
      <c r="BB82">
        <v>4796.2294000000002</v>
      </c>
      <c r="BC82">
        <v>2.9605999999999999</v>
      </c>
      <c r="BD82">
        <v>8.7652000000000001</v>
      </c>
      <c r="BE82">
        <v>6241</v>
      </c>
    </row>
    <row r="83" spans="1:57" x14ac:dyDescent="0.55000000000000004">
      <c r="A83">
        <v>1776427202</v>
      </c>
      <c r="B83" t="s">
        <v>72</v>
      </c>
      <c r="C83" t="s">
        <v>73</v>
      </c>
      <c r="D83">
        <v>4803.8599999999997</v>
      </c>
      <c r="E83">
        <v>4518.5928199999998</v>
      </c>
      <c r="F83">
        <v>4596.0559499999999</v>
      </c>
      <c r="G83">
        <v>4755.40355</v>
      </c>
      <c r="H83">
        <v>4792.7697200000002</v>
      </c>
      <c r="Q83">
        <v>4795.9618</v>
      </c>
      <c r="R83">
        <v>4825.3251</v>
      </c>
      <c r="S83">
        <v>4851.9138700000003</v>
      </c>
      <c r="V83">
        <v>4761.0220300000001</v>
      </c>
      <c r="W83">
        <v>4727.4570299999996</v>
      </c>
      <c r="AB83">
        <v>4809.6918999999998</v>
      </c>
      <c r="AC83">
        <v>4802.7037300000002</v>
      </c>
      <c r="AD83">
        <v>0</v>
      </c>
      <c r="AE83">
        <v>81</v>
      </c>
      <c r="AF83">
        <v>809</v>
      </c>
      <c r="AG83">
        <v>4565.6079</v>
      </c>
      <c r="AH83">
        <v>4600.8783999999996</v>
      </c>
      <c r="AI83">
        <v>-35.270499999999998</v>
      </c>
      <c r="AJ83">
        <v>1244.0102999999999</v>
      </c>
      <c r="AK83">
        <v>81</v>
      </c>
      <c r="AL83">
        <v>80</v>
      </c>
      <c r="AM83">
        <v>4803.8599999999997</v>
      </c>
      <c r="AN83">
        <v>4795.9618</v>
      </c>
      <c r="AO83">
        <v>7.8982000000000001</v>
      </c>
      <c r="AP83">
        <v>62.381599999999999</v>
      </c>
      <c r="AQ83">
        <v>1.1334E-2</v>
      </c>
      <c r="AR83">
        <v>2.5460000000000001E-3</v>
      </c>
      <c r="AS83">
        <v>81</v>
      </c>
      <c r="AT83">
        <v>809</v>
      </c>
      <c r="AU83">
        <v>4565.6079</v>
      </c>
      <c r="AV83">
        <v>4600.8783999999996</v>
      </c>
      <c r="AW83">
        <v>-35.270499999999998</v>
      </c>
      <c r="AX83">
        <v>1244.0102999999999</v>
      </c>
      <c r="AY83">
        <v>81</v>
      </c>
      <c r="AZ83">
        <v>80</v>
      </c>
      <c r="BA83">
        <v>4803.8599999999997</v>
      </c>
      <c r="BB83">
        <v>4795.9618</v>
      </c>
      <c r="BC83">
        <v>7.8982000000000001</v>
      </c>
      <c r="BD83">
        <v>62.381599999999999</v>
      </c>
      <c r="BE83">
        <v>6400</v>
      </c>
    </row>
    <row r="84" spans="1:57" x14ac:dyDescent="0.55000000000000004">
      <c r="A84">
        <v>1776428102</v>
      </c>
      <c r="B84" t="s">
        <v>72</v>
      </c>
      <c r="C84" t="s">
        <v>73</v>
      </c>
      <c r="D84">
        <v>4816.87</v>
      </c>
      <c r="E84">
        <v>4518.5928199999998</v>
      </c>
      <c r="F84">
        <v>4596.0559499999999</v>
      </c>
      <c r="G84">
        <v>4755.40355</v>
      </c>
      <c r="H84">
        <v>4792.7697200000002</v>
      </c>
      <c r="Q84">
        <v>4795.6941999999999</v>
      </c>
      <c r="R84">
        <v>4825.0574900000001</v>
      </c>
      <c r="S84">
        <v>4851.6462700000002</v>
      </c>
      <c r="V84">
        <v>4760.75443</v>
      </c>
      <c r="W84">
        <v>4727.1894300000004</v>
      </c>
      <c r="AB84">
        <v>4820.8124799999996</v>
      </c>
      <c r="AC84">
        <v>4811.7581099999998</v>
      </c>
      <c r="AD84">
        <v>0</v>
      </c>
      <c r="AE84">
        <v>82</v>
      </c>
      <c r="AF84">
        <v>815</v>
      </c>
      <c r="AG84">
        <v>4566.1014999999998</v>
      </c>
      <c r="AH84">
        <v>4599.2727999999997</v>
      </c>
      <c r="AI84">
        <v>-33.171300000000002</v>
      </c>
      <c r="AJ84">
        <v>1100.3378</v>
      </c>
      <c r="AK84">
        <v>82</v>
      </c>
      <c r="AL84">
        <v>81</v>
      </c>
      <c r="AM84">
        <v>4816.87</v>
      </c>
      <c r="AN84">
        <v>4795.6941999999999</v>
      </c>
      <c r="AO84">
        <v>21.175799999999999</v>
      </c>
      <c r="AP84">
        <v>448.41449999999998</v>
      </c>
      <c r="AQ84">
        <v>0.218441</v>
      </c>
      <c r="AR84">
        <v>0.13155700000000001</v>
      </c>
      <c r="AS84">
        <v>82</v>
      </c>
      <c r="AT84">
        <v>815</v>
      </c>
      <c r="AU84">
        <v>4566.1014999999998</v>
      </c>
      <c r="AV84">
        <v>4599.2727999999997</v>
      </c>
      <c r="AW84">
        <v>-33.171300000000002</v>
      </c>
      <c r="AX84">
        <v>1100.3378</v>
      </c>
      <c r="AY84">
        <v>82</v>
      </c>
      <c r="AZ84">
        <v>81</v>
      </c>
      <c r="BA84">
        <v>4816.87</v>
      </c>
      <c r="BB84">
        <v>4795.6941999999999</v>
      </c>
      <c r="BC84">
        <v>21.175799999999999</v>
      </c>
      <c r="BD84">
        <v>448.41449999999998</v>
      </c>
      <c r="BE84">
        <v>6561</v>
      </c>
    </row>
    <row r="85" spans="1:57" x14ac:dyDescent="0.55000000000000004">
      <c r="A85">
        <v>1776429002</v>
      </c>
      <c r="B85" t="s">
        <v>72</v>
      </c>
      <c r="C85" t="s">
        <v>73</v>
      </c>
      <c r="D85">
        <v>4823.45</v>
      </c>
      <c r="E85">
        <v>4518.5928199999998</v>
      </c>
      <c r="F85">
        <v>4596.0559499999999</v>
      </c>
      <c r="G85">
        <v>4755.40355</v>
      </c>
      <c r="H85">
        <v>4792.7697200000002</v>
      </c>
      <c r="Q85">
        <v>4795.42659</v>
      </c>
      <c r="R85">
        <v>4824.78989</v>
      </c>
      <c r="S85">
        <v>4851.3786600000003</v>
      </c>
      <c r="V85">
        <v>4760.4868200000001</v>
      </c>
      <c r="W85">
        <v>4726.9218199999996</v>
      </c>
      <c r="AB85">
        <v>4832.94049</v>
      </c>
      <c r="AC85">
        <v>4822.3492999999999</v>
      </c>
      <c r="AD85">
        <v>0</v>
      </c>
      <c r="AE85">
        <v>83</v>
      </c>
      <c r="AF85">
        <v>826</v>
      </c>
      <c r="AG85">
        <v>4532.0677999999998</v>
      </c>
      <c r="AH85">
        <v>4596.3290999999999</v>
      </c>
      <c r="AI85">
        <v>-64.261399999999995</v>
      </c>
      <c r="AJ85">
        <v>4129.5262000000002</v>
      </c>
      <c r="AK85">
        <v>83</v>
      </c>
      <c r="AL85">
        <v>82</v>
      </c>
      <c r="AM85">
        <v>4823.45</v>
      </c>
      <c r="AN85">
        <v>4795.4265999999998</v>
      </c>
      <c r="AO85">
        <v>28.023399999999999</v>
      </c>
      <c r="AP85">
        <v>785.31150000000002</v>
      </c>
      <c r="AQ85">
        <v>0.50626599999999999</v>
      </c>
      <c r="AR85">
        <v>0.40349499999999999</v>
      </c>
      <c r="AS85">
        <v>83</v>
      </c>
      <c r="AT85">
        <v>826</v>
      </c>
      <c r="AU85">
        <v>4532.0677999999998</v>
      </c>
      <c r="AV85">
        <v>4596.3290999999999</v>
      </c>
      <c r="AW85">
        <v>-64.261399999999995</v>
      </c>
      <c r="AX85">
        <v>4129.5262000000002</v>
      </c>
      <c r="AY85">
        <v>83</v>
      </c>
      <c r="AZ85">
        <v>82</v>
      </c>
      <c r="BA85">
        <v>4823.45</v>
      </c>
      <c r="BB85">
        <v>4795.4265999999998</v>
      </c>
      <c r="BC85">
        <v>28.023399999999999</v>
      </c>
      <c r="BD85">
        <v>785.31150000000002</v>
      </c>
      <c r="BE85">
        <v>6724</v>
      </c>
    </row>
    <row r="86" spans="1:57" x14ac:dyDescent="0.55000000000000004">
      <c r="A86">
        <v>1776429902</v>
      </c>
      <c r="B86" t="s">
        <v>72</v>
      </c>
      <c r="C86" t="s">
        <v>73</v>
      </c>
      <c r="D86">
        <v>4846.75</v>
      </c>
      <c r="E86">
        <v>4518.5928199999998</v>
      </c>
      <c r="F86">
        <v>4596.0559499999999</v>
      </c>
      <c r="G86">
        <v>4755.40355</v>
      </c>
      <c r="H86">
        <v>4792.7697200000002</v>
      </c>
      <c r="Q86">
        <v>4795.1589899999999</v>
      </c>
      <c r="R86">
        <v>4824.5222899999999</v>
      </c>
      <c r="S86">
        <v>4851.1110600000002</v>
      </c>
      <c r="V86">
        <v>4760.21922</v>
      </c>
      <c r="W86">
        <v>4726.6542200000004</v>
      </c>
      <c r="AB86">
        <v>4845.1534300000003</v>
      </c>
      <c r="AC86">
        <v>4833.7513600000002</v>
      </c>
      <c r="AD86">
        <v>0</v>
      </c>
      <c r="AE86">
        <v>84</v>
      </c>
      <c r="AF86">
        <v>835</v>
      </c>
      <c r="AG86">
        <v>4551.6611000000003</v>
      </c>
      <c r="AH86">
        <v>4593.9206999999997</v>
      </c>
      <c r="AI86">
        <v>-42.259599999999999</v>
      </c>
      <c r="AJ86">
        <v>1785.8746000000001</v>
      </c>
      <c r="AK86">
        <v>84</v>
      </c>
      <c r="AL86">
        <v>83</v>
      </c>
      <c r="AM86">
        <v>4846.75</v>
      </c>
      <c r="AN86">
        <v>4795.1589999999997</v>
      </c>
      <c r="AO86">
        <v>51.591000000000001</v>
      </c>
      <c r="AP86">
        <v>2661.6323000000002</v>
      </c>
      <c r="AQ86">
        <v>3.1589130000000001</v>
      </c>
      <c r="AR86">
        <v>4.6350049999999996</v>
      </c>
      <c r="AS86">
        <v>84</v>
      </c>
      <c r="AT86">
        <v>835</v>
      </c>
      <c r="AU86">
        <v>4551.6611000000003</v>
      </c>
      <c r="AV86">
        <v>4593.9206999999997</v>
      </c>
      <c r="AW86">
        <v>-42.259599999999999</v>
      </c>
      <c r="AX86">
        <v>1785.8746000000001</v>
      </c>
      <c r="AY86">
        <v>84</v>
      </c>
      <c r="AZ86">
        <v>83</v>
      </c>
      <c r="BA86">
        <v>4846.75</v>
      </c>
      <c r="BB86">
        <v>4795.1589999999997</v>
      </c>
      <c r="BC86">
        <v>51.591000000000001</v>
      </c>
      <c r="BD86">
        <v>2661.6323000000002</v>
      </c>
      <c r="BE86">
        <v>6889</v>
      </c>
    </row>
    <row r="87" spans="1:57" x14ac:dyDescent="0.55000000000000004">
      <c r="A87">
        <v>1776430802</v>
      </c>
      <c r="B87" t="s">
        <v>72</v>
      </c>
      <c r="C87" t="s">
        <v>73</v>
      </c>
      <c r="D87">
        <v>4883.6000000000004</v>
      </c>
      <c r="E87">
        <v>4518.5928199999998</v>
      </c>
      <c r="F87">
        <v>4596.0559499999999</v>
      </c>
      <c r="G87">
        <v>4755.40355</v>
      </c>
      <c r="H87">
        <v>4792.7697200000002</v>
      </c>
      <c r="Q87">
        <v>4794.89138</v>
      </c>
      <c r="R87">
        <v>4824.25468</v>
      </c>
      <c r="S87">
        <v>4850.8434500000003</v>
      </c>
      <c r="V87">
        <v>4759.9516100000001</v>
      </c>
      <c r="W87">
        <v>4726.3866200000002</v>
      </c>
      <c r="Z87">
        <v>4889.21</v>
      </c>
      <c r="AB87">
        <v>4856.0310099999997</v>
      </c>
      <c r="AC87">
        <v>4844.8911900000003</v>
      </c>
      <c r="AD87">
        <v>0</v>
      </c>
      <c r="AE87">
        <v>85</v>
      </c>
      <c r="AF87">
        <v>843</v>
      </c>
      <c r="AG87">
        <v>4535.9611000000004</v>
      </c>
      <c r="AH87">
        <v>4591.7799000000005</v>
      </c>
      <c r="AI87">
        <v>-55.818800000000003</v>
      </c>
      <c r="AJ87">
        <v>3115.7329</v>
      </c>
      <c r="AK87">
        <v>85</v>
      </c>
      <c r="AL87">
        <v>84</v>
      </c>
      <c r="AM87">
        <v>4883.6000000000004</v>
      </c>
      <c r="AN87">
        <v>4794.8914000000004</v>
      </c>
      <c r="AO87">
        <v>88.708600000000004</v>
      </c>
      <c r="AP87">
        <v>7869.2192999999997</v>
      </c>
      <c r="AQ87">
        <v>16.058799</v>
      </c>
      <c r="AR87">
        <v>40.515146000000001</v>
      </c>
      <c r="AS87">
        <v>85</v>
      </c>
      <c r="AT87">
        <v>843</v>
      </c>
      <c r="AU87">
        <v>4535.9611000000004</v>
      </c>
      <c r="AV87">
        <v>4591.7799000000005</v>
      </c>
      <c r="AW87">
        <v>-55.818800000000003</v>
      </c>
      <c r="AX87">
        <v>3115.7329</v>
      </c>
      <c r="AY87">
        <v>85</v>
      </c>
      <c r="AZ87">
        <v>84</v>
      </c>
      <c r="BA87">
        <v>4883.6000000000004</v>
      </c>
      <c r="BB87">
        <v>4794.8914000000004</v>
      </c>
      <c r="BC87">
        <v>88.708600000000004</v>
      </c>
      <c r="BD87">
        <v>7869.2192999999997</v>
      </c>
      <c r="BE87">
        <v>7056</v>
      </c>
    </row>
    <row r="88" spans="1:57" x14ac:dyDescent="0.55000000000000004">
      <c r="A88">
        <v>1776431702</v>
      </c>
      <c r="B88" t="s">
        <v>72</v>
      </c>
      <c r="C88" t="s">
        <v>73</v>
      </c>
      <c r="D88">
        <v>4851.59</v>
      </c>
      <c r="E88">
        <v>4518.5928199999998</v>
      </c>
      <c r="F88">
        <v>4596.0559499999999</v>
      </c>
      <c r="G88">
        <v>4755.40355</v>
      </c>
      <c r="H88">
        <v>4792.7697200000002</v>
      </c>
      <c r="Q88">
        <v>4794.6237799999999</v>
      </c>
      <c r="R88">
        <v>4823.9870799999999</v>
      </c>
      <c r="S88">
        <v>4850.5758500000002</v>
      </c>
      <c r="V88">
        <v>4759.6840099999999</v>
      </c>
      <c r="W88">
        <v>4726.1190100000003</v>
      </c>
      <c r="AB88">
        <v>4864.0205599999999</v>
      </c>
      <c r="AC88">
        <v>4854.4558699999998</v>
      </c>
      <c r="AD88">
        <v>0</v>
      </c>
      <c r="AE88">
        <v>86</v>
      </c>
      <c r="AF88">
        <v>869</v>
      </c>
      <c r="AG88">
        <v>4573.7037</v>
      </c>
      <c r="AH88">
        <v>4584.8221999999996</v>
      </c>
      <c r="AI88">
        <v>-11.118399999999999</v>
      </c>
      <c r="AJ88">
        <v>123.6199</v>
      </c>
      <c r="AK88">
        <v>86</v>
      </c>
      <c r="AL88">
        <v>85</v>
      </c>
      <c r="AM88">
        <v>4851.59</v>
      </c>
      <c r="AN88">
        <v>4794.6238000000003</v>
      </c>
      <c r="AO88">
        <v>56.966200000000001</v>
      </c>
      <c r="AP88">
        <v>3245.1502</v>
      </c>
      <c r="AQ88">
        <v>4.2527299999999997</v>
      </c>
      <c r="AR88">
        <v>6.8900709999999998</v>
      </c>
      <c r="AS88">
        <v>86</v>
      </c>
      <c r="AT88">
        <v>869</v>
      </c>
      <c r="AU88">
        <v>4573.7037</v>
      </c>
      <c r="AV88">
        <v>4584.8221999999996</v>
      </c>
      <c r="AW88">
        <v>-11.118399999999999</v>
      </c>
      <c r="AX88">
        <v>123.6199</v>
      </c>
      <c r="AY88">
        <v>86</v>
      </c>
      <c r="AZ88">
        <v>85</v>
      </c>
      <c r="BA88">
        <v>4851.59</v>
      </c>
      <c r="BB88">
        <v>4794.6238000000003</v>
      </c>
      <c r="BC88">
        <v>56.966200000000001</v>
      </c>
      <c r="BD88">
        <v>3245.1502</v>
      </c>
      <c r="BE88">
        <v>7225</v>
      </c>
    </row>
    <row r="89" spans="1:57" x14ac:dyDescent="0.55000000000000004">
      <c r="A89">
        <v>1776432602</v>
      </c>
      <c r="B89" t="s">
        <v>72</v>
      </c>
      <c r="C89" t="s">
        <v>73</v>
      </c>
      <c r="D89">
        <v>4864.42</v>
      </c>
      <c r="E89">
        <v>4518.5928199999998</v>
      </c>
      <c r="F89">
        <v>4596.0559499999999</v>
      </c>
      <c r="G89">
        <v>4755.40355</v>
      </c>
      <c r="H89">
        <v>4792.7697200000002</v>
      </c>
      <c r="Q89">
        <v>4794.3561799999998</v>
      </c>
      <c r="R89">
        <v>4823.71947</v>
      </c>
      <c r="S89">
        <v>4850.3082400000003</v>
      </c>
      <c r="V89">
        <v>4759.4164000000001</v>
      </c>
      <c r="W89">
        <v>4725.8514100000002</v>
      </c>
      <c r="AB89">
        <v>4869.80746</v>
      </c>
      <c r="AC89">
        <v>4862.1316699999998</v>
      </c>
      <c r="AD89">
        <v>0</v>
      </c>
      <c r="AE89">
        <v>87</v>
      </c>
      <c r="AF89">
        <v>880</v>
      </c>
      <c r="AG89">
        <v>4551.2340999999997</v>
      </c>
      <c r="AH89">
        <v>4581.8784999999998</v>
      </c>
      <c r="AI89">
        <v>-30.644400000000001</v>
      </c>
      <c r="AJ89">
        <v>939.08050000000003</v>
      </c>
      <c r="AK89">
        <v>87</v>
      </c>
      <c r="AL89">
        <v>86</v>
      </c>
      <c r="AM89">
        <v>4864.42</v>
      </c>
      <c r="AN89">
        <v>4794.3562000000002</v>
      </c>
      <c r="AO89">
        <v>70.063800000000001</v>
      </c>
      <c r="AP89">
        <v>4908.9389000000001</v>
      </c>
      <c r="AQ89">
        <v>7.9121959999999998</v>
      </c>
      <c r="AR89">
        <v>15.766285</v>
      </c>
      <c r="AS89">
        <v>87</v>
      </c>
      <c r="AT89">
        <v>880</v>
      </c>
      <c r="AU89">
        <v>4551.2340999999997</v>
      </c>
      <c r="AV89">
        <v>4581.8784999999998</v>
      </c>
      <c r="AW89">
        <v>-30.644400000000001</v>
      </c>
      <c r="AX89">
        <v>939.08050000000003</v>
      </c>
      <c r="AY89">
        <v>87</v>
      </c>
      <c r="AZ89">
        <v>86</v>
      </c>
      <c r="BA89">
        <v>4864.42</v>
      </c>
      <c r="BB89">
        <v>4794.3562000000002</v>
      </c>
      <c r="BC89">
        <v>70.063800000000001</v>
      </c>
      <c r="BD89">
        <v>4908.9389000000001</v>
      </c>
      <c r="BE89">
        <v>7396</v>
      </c>
    </row>
    <row r="90" spans="1:57" x14ac:dyDescent="0.55000000000000004">
      <c r="A90">
        <v>1776433502</v>
      </c>
      <c r="B90" t="s">
        <v>72</v>
      </c>
      <c r="C90" t="s">
        <v>73</v>
      </c>
      <c r="D90">
        <v>4880.26</v>
      </c>
      <c r="E90">
        <v>4518.5928199999998</v>
      </c>
      <c r="F90">
        <v>4596.0559499999999</v>
      </c>
      <c r="G90">
        <v>4755.40355</v>
      </c>
      <c r="H90">
        <v>4792.7697200000002</v>
      </c>
      <c r="Q90">
        <v>4794.0885699999999</v>
      </c>
      <c r="R90">
        <v>4823.4518699999999</v>
      </c>
      <c r="S90">
        <v>4850.0406400000002</v>
      </c>
      <c r="V90">
        <v>4759.1487999999999</v>
      </c>
      <c r="W90">
        <v>4725.5838000000003</v>
      </c>
      <c r="AB90">
        <v>4873.2327100000002</v>
      </c>
      <c r="AC90">
        <v>4867.6821900000004</v>
      </c>
      <c r="AD90">
        <v>0</v>
      </c>
      <c r="AE90">
        <v>88</v>
      </c>
      <c r="AF90">
        <v>906</v>
      </c>
      <c r="AG90">
        <v>4635.2304000000004</v>
      </c>
      <c r="AH90">
        <v>4574.9207999999999</v>
      </c>
      <c r="AI90">
        <v>60.309600000000003</v>
      </c>
      <c r="AJ90">
        <v>3637.2442000000001</v>
      </c>
      <c r="AK90">
        <v>88</v>
      </c>
      <c r="AL90">
        <v>87</v>
      </c>
      <c r="AM90">
        <v>4880.26</v>
      </c>
      <c r="AN90">
        <v>4794.0886</v>
      </c>
      <c r="AO90">
        <v>86.171400000000006</v>
      </c>
      <c r="AP90">
        <v>7425.5153</v>
      </c>
      <c r="AQ90">
        <v>14.719920999999999</v>
      </c>
      <c r="AR90">
        <v>36.075080999999997</v>
      </c>
      <c r="AS90">
        <v>88</v>
      </c>
      <c r="AT90">
        <v>906</v>
      </c>
      <c r="AU90">
        <v>4635.2304000000004</v>
      </c>
      <c r="AV90">
        <v>4574.9207999999999</v>
      </c>
      <c r="AW90">
        <v>60.309600000000003</v>
      </c>
      <c r="AX90">
        <v>3637.2442000000001</v>
      </c>
      <c r="AY90">
        <v>88</v>
      </c>
      <c r="AZ90">
        <v>87</v>
      </c>
      <c r="BA90">
        <v>4880.26</v>
      </c>
      <c r="BB90">
        <v>4794.0886</v>
      </c>
      <c r="BC90">
        <v>86.171400000000006</v>
      </c>
      <c r="BD90">
        <v>7425.5153</v>
      </c>
      <c r="BE90">
        <v>7569</v>
      </c>
    </row>
    <row r="91" spans="1:57" x14ac:dyDescent="0.55000000000000004">
      <c r="A91">
        <v>1776434402</v>
      </c>
      <c r="B91" t="s">
        <v>72</v>
      </c>
      <c r="C91" t="s">
        <v>73</v>
      </c>
      <c r="D91">
        <v>4867.03</v>
      </c>
      <c r="E91">
        <v>4518.5928199999998</v>
      </c>
      <c r="F91">
        <v>4596.0559499999999</v>
      </c>
      <c r="G91">
        <v>4755.40355</v>
      </c>
      <c r="H91">
        <v>4792.7697200000002</v>
      </c>
      <c r="Q91">
        <v>4793.8209699999998</v>
      </c>
      <c r="R91">
        <v>4823.1842699999997</v>
      </c>
      <c r="S91">
        <v>4849.77304</v>
      </c>
      <c r="V91">
        <v>4758.8811999999998</v>
      </c>
      <c r="W91">
        <v>4725.3162000000002</v>
      </c>
      <c r="AB91">
        <v>4874.2234200000003</v>
      </c>
      <c r="AC91">
        <v>4870.9528099999998</v>
      </c>
      <c r="AD91">
        <v>0</v>
      </c>
      <c r="AE91">
        <v>89</v>
      </c>
      <c r="AF91">
        <v>928</v>
      </c>
      <c r="AG91">
        <v>4612.4703</v>
      </c>
      <c r="AH91">
        <v>4569.0334999999995</v>
      </c>
      <c r="AI91">
        <v>43.436700000000002</v>
      </c>
      <c r="AJ91">
        <v>1886.7494999999999</v>
      </c>
      <c r="AK91">
        <v>89</v>
      </c>
      <c r="AL91">
        <v>88</v>
      </c>
      <c r="AM91">
        <v>4867.03</v>
      </c>
      <c r="AN91">
        <v>4793.8209999999999</v>
      </c>
      <c r="AO91">
        <v>73.209000000000003</v>
      </c>
      <c r="AP91">
        <v>5359.5621000000001</v>
      </c>
      <c r="AQ91">
        <v>9.0262949999999993</v>
      </c>
      <c r="AR91">
        <v>18.793718999999999</v>
      </c>
      <c r="AS91">
        <v>89</v>
      </c>
      <c r="AT91">
        <v>928</v>
      </c>
      <c r="AU91">
        <v>4612.4703</v>
      </c>
      <c r="AV91">
        <v>4569.0334999999995</v>
      </c>
      <c r="AW91">
        <v>43.436700000000002</v>
      </c>
      <c r="AX91">
        <v>1886.7494999999999</v>
      </c>
      <c r="AY91">
        <v>89</v>
      </c>
      <c r="AZ91">
        <v>88</v>
      </c>
      <c r="BA91">
        <v>4867.03</v>
      </c>
      <c r="BB91">
        <v>4793.8209999999999</v>
      </c>
      <c r="BC91">
        <v>73.209000000000003</v>
      </c>
      <c r="BD91">
        <v>5359.5621000000001</v>
      </c>
      <c r="BE91">
        <v>7744</v>
      </c>
    </row>
    <row r="92" spans="1:57" x14ac:dyDescent="0.55000000000000004">
      <c r="A92">
        <v>1776435302</v>
      </c>
      <c r="B92" t="s">
        <v>72</v>
      </c>
      <c r="C92" t="s">
        <v>73</v>
      </c>
      <c r="D92">
        <v>4871.43</v>
      </c>
      <c r="E92">
        <v>4518.5928199999998</v>
      </c>
      <c r="F92">
        <v>4596.0559499999999</v>
      </c>
      <c r="G92">
        <v>4755.40355</v>
      </c>
      <c r="H92">
        <v>4792.7697200000002</v>
      </c>
      <c r="Q92">
        <v>4793.5533599999999</v>
      </c>
      <c r="R92">
        <v>4822.9166599999999</v>
      </c>
      <c r="S92">
        <v>4849.5054300000002</v>
      </c>
      <c r="V92">
        <v>4758.6135899999999</v>
      </c>
      <c r="W92">
        <v>4725.0486000000001</v>
      </c>
      <c r="AB92">
        <v>4873.6899000000003</v>
      </c>
      <c r="AC92">
        <v>4872.3213500000002</v>
      </c>
      <c r="AD92">
        <v>0</v>
      </c>
      <c r="AE92">
        <v>90</v>
      </c>
      <c r="AF92">
        <v>936</v>
      </c>
      <c r="AG92">
        <v>4621.3179</v>
      </c>
      <c r="AH92">
        <v>4566.8927000000003</v>
      </c>
      <c r="AI92">
        <v>54.425199999999997</v>
      </c>
      <c r="AJ92">
        <v>2962.1024000000002</v>
      </c>
      <c r="AK92">
        <v>90</v>
      </c>
      <c r="AL92">
        <v>89</v>
      </c>
      <c r="AM92">
        <v>4871.43</v>
      </c>
      <c r="AN92">
        <v>4793.5533999999998</v>
      </c>
      <c r="AO92">
        <v>77.876599999999996</v>
      </c>
      <c r="AP92">
        <v>6064.7710999999999</v>
      </c>
      <c r="AQ92">
        <v>10.865187000000001</v>
      </c>
      <c r="AR92">
        <v>24.064838000000002</v>
      </c>
      <c r="AS92">
        <v>90</v>
      </c>
      <c r="AT92">
        <v>936</v>
      </c>
      <c r="AU92">
        <v>4621.3179</v>
      </c>
      <c r="AV92">
        <v>4566.8927000000003</v>
      </c>
      <c r="AW92">
        <v>54.425199999999997</v>
      </c>
      <c r="AX92">
        <v>2962.1024000000002</v>
      </c>
      <c r="AY92">
        <v>90</v>
      </c>
      <c r="AZ92">
        <v>89</v>
      </c>
      <c r="BA92">
        <v>4871.43</v>
      </c>
      <c r="BB92">
        <v>4793.5533999999998</v>
      </c>
      <c r="BC92">
        <v>77.876599999999996</v>
      </c>
      <c r="BD92">
        <v>6064.7710999999999</v>
      </c>
      <c r="BE92">
        <v>7921</v>
      </c>
    </row>
    <row r="93" spans="1:57" x14ac:dyDescent="0.55000000000000004">
      <c r="A93">
        <v>1776436202</v>
      </c>
      <c r="B93" t="s">
        <v>72</v>
      </c>
      <c r="C93" t="s">
        <v>73</v>
      </c>
      <c r="D93">
        <v>4877.3100000000004</v>
      </c>
      <c r="E93">
        <v>4518.5928199999998</v>
      </c>
      <c r="F93">
        <v>4596.0559499999999</v>
      </c>
      <c r="G93">
        <v>4755.40355</v>
      </c>
      <c r="H93">
        <v>4792.7697200000002</v>
      </c>
      <c r="Q93">
        <v>4793.2857599999998</v>
      </c>
      <c r="R93">
        <v>4822.6490599999997</v>
      </c>
      <c r="S93">
        <v>4849.23783</v>
      </c>
      <c r="V93">
        <v>4758.3459899999998</v>
      </c>
      <c r="W93">
        <v>4724.7809900000002</v>
      </c>
      <c r="AB93">
        <v>4872.1414400000003</v>
      </c>
      <c r="AC93">
        <v>4872.2313999999997</v>
      </c>
      <c r="AD93">
        <v>1</v>
      </c>
      <c r="AE93">
        <v>91</v>
      </c>
      <c r="AF93">
        <v>941</v>
      </c>
      <c r="AG93">
        <v>4618.4206999999997</v>
      </c>
      <c r="AH93">
        <v>4565.5546999999997</v>
      </c>
      <c r="AI93">
        <v>52.866</v>
      </c>
      <c r="AJ93">
        <v>2794.8117999999999</v>
      </c>
      <c r="AK93">
        <v>91</v>
      </c>
      <c r="AL93">
        <v>90</v>
      </c>
      <c r="AM93">
        <v>4877.3100000000004</v>
      </c>
      <c r="AN93">
        <v>4793.2857999999997</v>
      </c>
      <c r="AO93">
        <v>84.024199999999993</v>
      </c>
      <c r="AP93">
        <v>7060.0729000000001</v>
      </c>
      <c r="AQ93">
        <v>13.646754</v>
      </c>
      <c r="AR93">
        <v>32.611628000000003</v>
      </c>
      <c r="AS93">
        <v>91</v>
      </c>
      <c r="AT93">
        <v>941</v>
      </c>
      <c r="AU93">
        <v>4618.4206999999997</v>
      </c>
      <c r="AV93">
        <v>4565.5546999999997</v>
      </c>
      <c r="AW93">
        <v>52.866</v>
      </c>
      <c r="AX93">
        <v>2794.8117999999999</v>
      </c>
      <c r="AY93">
        <v>91</v>
      </c>
      <c r="AZ93">
        <v>90</v>
      </c>
      <c r="BA93">
        <v>4877.3100000000004</v>
      </c>
      <c r="BB93">
        <v>4793.2857999999997</v>
      </c>
      <c r="BC93">
        <v>84.024199999999993</v>
      </c>
      <c r="BD93">
        <v>7060.0729000000001</v>
      </c>
      <c r="BE93">
        <v>8100</v>
      </c>
    </row>
    <row r="94" spans="1:57" x14ac:dyDescent="0.55000000000000004">
      <c r="A94">
        <v>1776437102</v>
      </c>
      <c r="B94" t="s">
        <v>72</v>
      </c>
      <c r="C94" t="s">
        <v>73</v>
      </c>
      <c r="D94">
        <v>4873.1499999999996</v>
      </c>
      <c r="E94">
        <v>4518.5928199999998</v>
      </c>
      <c r="F94">
        <v>4596.0559499999999</v>
      </c>
      <c r="G94">
        <v>4755.40355</v>
      </c>
      <c r="H94">
        <v>4792.7697200000002</v>
      </c>
      <c r="Q94">
        <v>4793.0181499999999</v>
      </c>
      <c r="R94">
        <v>4822.3814499999999</v>
      </c>
      <c r="S94">
        <v>4848.9702200000002</v>
      </c>
      <c r="V94">
        <v>4758.0783799999999</v>
      </c>
      <c r="W94">
        <v>4724.5133900000001</v>
      </c>
      <c r="AB94">
        <v>4870.0354600000001</v>
      </c>
      <c r="AC94">
        <v>4871.1334299999999</v>
      </c>
      <c r="AD94">
        <v>0</v>
      </c>
      <c r="AE94">
        <v>92</v>
      </c>
      <c r="AF94">
        <v>949</v>
      </c>
      <c r="AG94">
        <v>4631.1862000000001</v>
      </c>
      <c r="AH94">
        <v>4563.4138000000003</v>
      </c>
      <c r="AI94">
        <v>67.772400000000005</v>
      </c>
      <c r="AJ94">
        <v>4593.0955000000004</v>
      </c>
      <c r="AK94">
        <v>92</v>
      </c>
      <c r="AL94">
        <v>91</v>
      </c>
      <c r="AM94">
        <v>4873.1499999999996</v>
      </c>
      <c r="AN94">
        <v>4793.0181000000002</v>
      </c>
      <c r="AO94">
        <v>80.131799999999998</v>
      </c>
      <c r="AP94">
        <v>6421.1134000000002</v>
      </c>
      <c r="AQ94">
        <v>11.836712</v>
      </c>
      <c r="AR94">
        <v>26.975828</v>
      </c>
      <c r="AS94">
        <v>92</v>
      </c>
      <c r="AT94">
        <v>949</v>
      </c>
      <c r="AU94">
        <v>4631.1862000000001</v>
      </c>
      <c r="AV94">
        <v>4563.4138000000003</v>
      </c>
      <c r="AW94">
        <v>67.772400000000005</v>
      </c>
      <c r="AX94">
        <v>4593.0955000000004</v>
      </c>
      <c r="AY94">
        <v>92</v>
      </c>
      <c r="AZ94">
        <v>91</v>
      </c>
      <c r="BA94">
        <v>4873.1499999999996</v>
      </c>
      <c r="BB94">
        <v>4793.0181000000002</v>
      </c>
      <c r="BC94">
        <v>80.131799999999998</v>
      </c>
      <c r="BD94">
        <v>6421.1134000000002</v>
      </c>
      <c r="BE94">
        <v>8281</v>
      </c>
    </row>
    <row r="95" spans="1:57" x14ac:dyDescent="0.55000000000000004">
      <c r="A95">
        <v>1776438002</v>
      </c>
      <c r="B95" t="s">
        <v>72</v>
      </c>
      <c r="C95" t="s">
        <v>73</v>
      </c>
      <c r="D95">
        <v>4867.01</v>
      </c>
      <c r="E95">
        <v>4518.5928199999998</v>
      </c>
      <c r="F95">
        <v>4596.0559499999999</v>
      </c>
      <c r="G95">
        <v>4755.40355</v>
      </c>
      <c r="H95">
        <v>4792.7697200000002</v>
      </c>
      <c r="Q95">
        <v>4792.7505499999997</v>
      </c>
      <c r="R95">
        <v>4822.1138499999997</v>
      </c>
      <c r="S95">
        <v>4848.70262</v>
      </c>
      <c r="V95">
        <v>4757.8107799999998</v>
      </c>
      <c r="W95">
        <v>4724.2457800000002</v>
      </c>
      <c r="AB95">
        <v>4868.0127300000004</v>
      </c>
      <c r="AC95">
        <v>4869.5730800000001</v>
      </c>
      <c r="AD95">
        <v>0</v>
      </c>
      <c r="AE95">
        <v>93</v>
      </c>
      <c r="AF95">
        <v>958</v>
      </c>
      <c r="AG95">
        <v>4621.1765999999998</v>
      </c>
      <c r="AH95">
        <v>4561.0054</v>
      </c>
      <c r="AI95">
        <v>60.171199999999999</v>
      </c>
      <c r="AJ95">
        <v>3620.5769</v>
      </c>
      <c r="AK95">
        <v>93</v>
      </c>
      <c r="AL95">
        <v>92</v>
      </c>
      <c r="AM95">
        <v>4867.01</v>
      </c>
      <c r="AN95">
        <v>4792.7505000000001</v>
      </c>
      <c r="AO95">
        <v>74.259500000000003</v>
      </c>
      <c r="AP95">
        <v>5514.4659000000001</v>
      </c>
      <c r="AQ95">
        <v>9.4204310000000007</v>
      </c>
      <c r="AR95">
        <v>19.895783000000002</v>
      </c>
      <c r="AS95">
        <v>93</v>
      </c>
      <c r="AT95">
        <v>958</v>
      </c>
      <c r="AU95">
        <v>4621.1765999999998</v>
      </c>
      <c r="AV95">
        <v>4561.0054</v>
      </c>
      <c r="AW95">
        <v>60.171199999999999</v>
      </c>
      <c r="AX95">
        <v>3620.5769</v>
      </c>
      <c r="AY95">
        <v>93</v>
      </c>
      <c r="AZ95">
        <v>92</v>
      </c>
      <c r="BA95">
        <v>4867.01</v>
      </c>
      <c r="BB95">
        <v>4792.7505000000001</v>
      </c>
      <c r="BC95">
        <v>74.259500000000003</v>
      </c>
      <c r="BD95">
        <v>5514.4659000000001</v>
      </c>
      <c r="BE95">
        <v>8464</v>
      </c>
    </row>
    <row r="96" spans="1:57" x14ac:dyDescent="0.55000000000000004">
      <c r="A96">
        <v>1776438902</v>
      </c>
      <c r="B96" t="s">
        <v>72</v>
      </c>
      <c r="C96" t="s">
        <v>73</v>
      </c>
      <c r="D96">
        <v>4865.8599999999997</v>
      </c>
      <c r="E96">
        <v>4518.5928199999998</v>
      </c>
      <c r="F96">
        <v>4596.0559499999999</v>
      </c>
      <c r="G96">
        <v>4755.40355</v>
      </c>
      <c r="H96">
        <v>4792.7697200000002</v>
      </c>
      <c r="Q96">
        <v>4792.4829499999996</v>
      </c>
      <c r="R96">
        <v>4821.8462499999996</v>
      </c>
      <c r="S96">
        <v>4848.4350199999999</v>
      </c>
      <c r="V96">
        <v>4757.5431799999997</v>
      </c>
      <c r="W96">
        <v>4723.9781800000001</v>
      </c>
      <c r="AB96">
        <v>4866.6348699999999</v>
      </c>
      <c r="AC96">
        <v>4868.1039799999999</v>
      </c>
      <c r="AD96">
        <v>0</v>
      </c>
      <c r="AE96">
        <v>94</v>
      </c>
      <c r="AF96">
        <v>965</v>
      </c>
      <c r="AG96">
        <v>4624.7019</v>
      </c>
      <c r="AH96">
        <v>4559.1322</v>
      </c>
      <c r="AI96">
        <v>65.569699999999997</v>
      </c>
      <c r="AJ96">
        <v>4299.3842000000004</v>
      </c>
      <c r="AK96">
        <v>94</v>
      </c>
      <c r="AL96">
        <v>93</v>
      </c>
      <c r="AM96">
        <v>4865.8599999999997</v>
      </c>
      <c r="AN96">
        <v>4792.4829</v>
      </c>
      <c r="AO96">
        <v>73.377099999999999</v>
      </c>
      <c r="AP96">
        <v>5384.1914999999999</v>
      </c>
      <c r="AQ96">
        <v>9.0885859999999994</v>
      </c>
      <c r="AR96">
        <v>18.966844999999999</v>
      </c>
      <c r="AS96">
        <v>94</v>
      </c>
      <c r="AT96">
        <v>965</v>
      </c>
      <c r="AU96">
        <v>4624.7019</v>
      </c>
      <c r="AV96">
        <v>4559.1322</v>
      </c>
      <c r="AW96">
        <v>65.569699999999997</v>
      </c>
      <c r="AX96">
        <v>4299.3842000000004</v>
      </c>
      <c r="AY96">
        <v>94</v>
      </c>
      <c r="AZ96">
        <v>93</v>
      </c>
      <c r="BA96">
        <v>4865.8599999999997</v>
      </c>
      <c r="BB96">
        <v>4792.4829</v>
      </c>
      <c r="BC96">
        <v>73.377099999999999</v>
      </c>
      <c r="BD96">
        <v>5384.1914999999999</v>
      </c>
      <c r="BE96">
        <v>8649</v>
      </c>
    </row>
    <row r="97" spans="1:57" x14ac:dyDescent="0.55000000000000004">
      <c r="A97">
        <v>1776439802</v>
      </c>
      <c r="B97" t="s">
        <v>72</v>
      </c>
      <c r="C97" t="s">
        <v>73</v>
      </c>
      <c r="D97">
        <v>4858.58</v>
      </c>
      <c r="E97">
        <v>4518.5928199999998</v>
      </c>
      <c r="F97">
        <v>4596.0559499999999</v>
      </c>
      <c r="G97">
        <v>4755.40355</v>
      </c>
      <c r="H97">
        <v>4792.7697200000002</v>
      </c>
      <c r="Q97">
        <v>4792.2153399999997</v>
      </c>
      <c r="R97">
        <v>4821.5786399999997</v>
      </c>
      <c r="S97">
        <v>4848.16741</v>
      </c>
      <c r="V97">
        <v>4757.2755699999998</v>
      </c>
      <c r="W97">
        <v>4723.7105799999999</v>
      </c>
      <c r="AB97">
        <v>4866.0423799999999</v>
      </c>
      <c r="AC97">
        <v>4867.0731800000003</v>
      </c>
      <c r="AD97">
        <v>0</v>
      </c>
      <c r="AE97">
        <v>95</v>
      </c>
      <c r="AF97">
        <v>992</v>
      </c>
      <c r="AG97">
        <v>4566.9336000000003</v>
      </c>
      <c r="AH97">
        <v>4551.9069</v>
      </c>
      <c r="AI97">
        <v>15.0268</v>
      </c>
      <c r="AJ97">
        <v>225.80350000000001</v>
      </c>
      <c r="AK97">
        <v>95</v>
      </c>
      <c r="AL97">
        <v>94</v>
      </c>
      <c r="AM97">
        <v>4858.58</v>
      </c>
      <c r="AN97">
        <v>4792.2152999999998</v>
      </c>
      <c r="AO97">
        <v>66.364699999999999</v>
      </c>
      <c r="AP97">
        <v>4404.2681000000002</v>
      </c>
      <c r="AQ97">
        <v>6.7239769999999996</v>
      </c>
      <c r="AR97">
        <v>12.691167999999999</v>
      </c>
      <c r="AS97">
        <v>95</v>
      </c>
      <c r="AT97">
        <v>992</v>
      </c>
      <c r="AU97">
        <v>4566.9336000000003</v>
      </c>
      <c r="AV97">
        <v>4551.9069</v>
      </c>
      <c r="AW97">
        <v>15.0268</v>
      </c>
      <c r="AX97">
        <v>225.80350000000001</v>
      </c>
      <c r="AY97">
        <v>95</v>
      </c>
      <c r="AZ97">
        <v>94</v>
      </c>
      <c r="BA97">
        <v>4858.58</v>
      </c>
      <c r="BB97">
        <v>4792.2152999999998</v>
      </c>
      <c r="BC97">
        <v>66.364699999999999</v>
      </c>
      <c r="BD97">
        <v>4404.2681000000002</v>
      </c>
      <c r="BE97">
        <v>8836</v>
      </c>
    </row>
    <row r="98" spans="1:57" x14ac:dyDescent="0.55000000000000004">
      <c r="A98">
        <v>1776440702</v>
      </c>
      <c r="B98" t="s">
        <v>72</v>
      </c>
      <c r="C98" t="s">
        <v>73</v>
      </c>
      <c r="D98">
        <v>4867.57</v>
      </c>
      <c r="E98">
        <v>4518.5928199999998</v>
      </c>
      <c r="F98">
        <v>4596.0559499999999</v>
      </c>
      <c r="G98">
        <v>4755.40355</v>
      </c>
      <c r="H98">
        <v>4792.7697200000002</v>
      </c>
      <c r="Q98">
        <v>4791.9477399999996</v>
      </c>
      <c r="R98">
        <v>4821.3110399999996</v>
      </c>
      <c r="S98">
        <v>4847.8998099999999</v>
      </c>
      <c r="V98">
        <v>4757.0079699999997</v>
      </c>
      <c r="W98">
        <v>4723.4429700000001</v>
      </c>
      <c r="AB98">
        <v>4866.2983400000003</v>
      </c>
      <c r="AC98">
        <v>4866.6857600000003</v>
      </c>
      <c r="AD98">
        <v>0</v>
      </c>
      <c r="AE98">
        <v>96</v>
      </c>
      <c r="AF98">
        <v>1016</v>
      </c>
      <c r="AG98">
        <v>4640.4134999999997</v>
      </c>
      <c r="AH98">
        <v>4545.4844000000003</v>
      </c>
      <c r="AI98">
        <v>94.929100000000005</v>
      </c>
      <c r="AJ98">
        <v>9011.5321000000004</v>
      </c>
      <c r="AK98">
        <v>96</v>
      </c>
      <c r="AL98">
        <v>95</v>
      </c>
      <c r="AM98">
        <v>4867.57</v>
      </c>
      <c r="AN98">
        <v>4791.9476999999997</v>
      </c>
      <c r="AO98">
        <v>75.622299999999996</v>
      </c>
      <c r="AP98">
        <v>5718.7262000000001</v>
      </c>
      <c r="AQ98">
        <v>9.9486589999999993</v>
      </c>
      <c r="AR98">
        <v>21.396992000000001</v>
      </c>
      <c r="AS98">
        <v>96</v>
      </c>
      <c r="AT98">
        <v>1016</v>
      </c>
      <c r="AU98">
        <v>4640.4134999999997</v>
      </c>
      <c r="AV98">
        <v>4545.4844000000003</v>
      </c>
      <c r="AW98">
        <v>94.929100000000005</v>
      </c>
      <c r="AX98">
        <v>9011.5321000000004</v>
      </c>
      <c r="AY98">
        <v>96</v>
      </c>
      <c r="AZ98">
        <v>95</v>
      </c>
      <c r="BA98">
        <v>4867.57</v>
      </c>
      <c r="BB98">
        <v>4791.9476999999997</v>
      </c>
      <c r="BC98">
        <v>75.622299999999996</v>
      </c>
      <c r="BD98">
        <v>5718.7262000000001</v>
      </c>
      <c r="BE98">
        <v>9025</v>
      </c>
    </row>
    <row r="99" spans="1:57" x14ac:dyDescent="0.55000000000000004">
      <c r="A99">
        <v>1776441602</v>
      </c>
      <c r="B99" t="s">
        <v>72</v>
      </c>
      <c r="C99" t="s">
        <v>73</v>
      </c>
      <c r="D99">
        <v>4871.66</v>
      </c>
      <c r="E99">
        <v>4518.5928199999998</v>
      </c>
      <c r="F99">
        <v>4596.0559499999999</v>
      </c>
      <c r="G99">
        <v>4755.40355</v>
      </c>
      <c r="H99">
        <v>4792.7697200000002</v>
      </c>
      <c r="Q99">
        <v>4791.6801299999997</v>
      </c>
      <c r="R99">
        <v>4821.0434299999997</v>
      </c>
      <c r="S99">
        <v>4847.6322</v>
      </c>
      <c r="V99">
        <v>4756.7403599999998</v>
      </c>
      <c r="W99">
        <v>4723.1753699999999</v>
      </c>
      <c r="AB99">
        <v>4866.7910899999997</v>
      </c>
      <c r="AC99">
        <v>4866.7384199999997</v>
      </c>
      <c r="AD99">
        <v>1</v>
      </c>
      <c r="AE99">
        <v>97</v>
      </c>
      <c r="AF99">
        <v>1034</v>
      </c>
      <c r="AG99">
        <v>4615.1934000000001</v>
      </c>
      <c r="AH99">
        <v>4540.6674999999996</v>
      </c>
      <c r="AI99">
        <v>74.525899999999993</v>
      </c>
      <c r="AJ99">
        <v>5554.1142</v>
      </c>
      <c r="AK99">
        <v>97</v>
      </c>
      <c r="AL99">
        <v>96</v>
      </c>
      <c r="AM99">
        <v>4871.66</v>
      </c>
      <c r="AN99">
        <v>4791.6800999999996</v>
      </c>
      <c r="AO99">
        <v>79.979900000000001</v>
      </c>
      <c r="AP99">
        <v>6396.7795999999998</v>
      </c>
      <c r="AQ99">
        <v>11.769491</v>
      </c>
      <c r="AR99">
        <v>26.771757999999998</v>
      </c>
      <c r="AS99">
        <v>97</v>
      </c>
      <c r="AT99">
        <v>1034</v>
      </c>
      <c r="AU99">
        <v>4615.1934000000001</v>
      </c>
      <c r="AV99">
        <v>4540.6674999999996</v>
      </c>
      <c r="AW99">
        <v>74.525899999999993</v>
      </c>
      <c r="AX99">
        <v>5554.1142</v>
      </c>
      <c r="AY99">
        <v>97</v>
      </c>
      <c r="AZ99">
        <v>96</v>
      </c>
      <c r="BA99">
        <v>4871.66</v>
      </c>
      <c r="BB99">
        <v>4791.6800999999996</v>
      </c>
      <c r="BC99">
        <v>79.979900000000001</v>
      </c>
      <c r="BD99">
        <v>6396.7795999999998</v>
      </c>
      <c r="BE99">
        <v>9216</v>
      </c>
    </row>
    <row r="100" spans="1:57" x14ac:dyDescent="0.55000000000000004">
      <c r="A100">
        <v>1776442502</v>
      </c>
      <c r="B100" t="s">
        <v>72</v>
      </c>
      <c r="C100" t="s">
        <v>73</v>
      </c>
      <c r="D100">
        <v>4867.71</v>
      </c>
      <c r="E100">
        <v>4518.5928199999998</v>
      </c>
      <c r="F100">
        <v>4596.0559499999999</v>
      </c>
      <c r="G100">
        <v>4755.40355</v>
      </c>
      <c r="H100">
        <v>4792.7697200000002</v>
      </c>
      <c r="Q100">
        <v>4791.4125299999996</v>
      </c>
      <c r="R100">
        <v>4820.7758299999996</v>
      </c>
      <c r="S100">
        <v>4847.3645999999999</v>
      </c>
      <c r="V100">
        <v>4756.4727599999997</v>
      </c>
      <c r="W100">
        <v>4722.9077600000001</v>
      </c>
      <c r="AB100">
        <v>4866.9934199999998</v>
      </c>
      <c r="AC100">
        <v>4866.8659200000002</v>
      </c>
      <c r="AD100">
        <v>0</v>
      </c>
      <c r="AE100">
        <v>98</v>
      </c>
      <c r="AF100">
        <v>1040</v>
      </c>
      <c r="AG100">
        <v>4619.5298000000003</v>
      </c>
      <c r="AH100">
        <v>4539.0618999999997</v>
      </c>
      <c r="AI100">
        <v>80.468000000000004</v>
      </c>
      <c r="AJ100">
        <v>6475.0925999999999</v>
      </c>
      <c r="AK100">
        <v>98</v>
      </c>
      <c r="AL100">
        <v>97</v>
      </c>
      <c r="AM100">
        <v>4867.71</v>
      </c>
      <c r="AN100">
        <v>4791.4125000000004</v>
      </c>
      <c r="AO100">
        <v>76.297499999999999</v>
      </c>
      <c r="AP100">
        <v>5821.3038999999999</v>
      </c>
      <c r="AQ100">
        <v>10.217532</v>
      </c>
      <c r="AR100">
        <v>22.171479000000001</v>
      </c>
      <c r="AS100">
        <v>98</v>
      </c>
      <c r="AT100">
        <v>1040</v>
      </c>
      <c r="AU100">
        <v>4619.5298000000003</v>
      </c>
      <c r="AV100">
        <v>4539.0618999999997</v>
      </c>
      <c r="AW100">
        <v>80.468000000000004</v>
      </c>
      <c r="AX100">
        <v>6475.0925999999999</v>
      </c>
      <c r="AY100">
        <v>98</v>
      </c>
      <c r="AZ100">
        <v>97</v>
      </c>
      <c r="BA100">
        <v>4867.71</v>
      </c>
      <c r="BB100">
        <v>4791.4125000000004</v>
      </c>
      <c r="BC100">
        <v>76.297499999999999</v>
      </c>
      <c r="BD100">
        <v>5821.3038999999999</v>
      </c>
      <c r="BE100">
        <v>9409</v>
      </c>
    </row>
    <row r="101" spans="1:57" x14ac:dyDescent="0.55000000000000004">
      <c r="A101">
        <v>1776443402</v>
      </c>
      <c r="B101" t="s">
        <v>72</v>
      </c>
      <c r="C101" t="s">
        <v>73</v>
      </c>
      <c r="D101">
        <v>4868.37</v>
      </c>
      <c r="E101">
        <v>4518.5928199999998</v>
      </c>
      <c r="F101">
        <v>4596.0559499999999</v>
      </c>
      <c r="G101">
        <v>4755.40355</v>
      </c>
      <c r="H101">
        <v>4792.7697200000002</v>
      </c>
      <c r="Q101">
        <v>4791.1449300000004</v>
      </c>
      <c r="R101">
        <v>4820.5082199999997</v>
      </c>
      <c r="S101">
        <v>4847.0969999999998</v>
      </c>
      <c r="V101">
        <v>4756.2051600000004</v>
      </c>
      <c r="W101">
        <v>4722.6401599999999</v>
      </c>
      <c r="AB101">
        <v>4866.68822</v>
      </c>
      <c r="AC101">
        <v>4866.7770700000001</v>
      </c>
      <c r="AD101">
        <v>1</v>
      </c>
      <c r="AE101">
        <v>99</v>
      </c>
      <c r="AF101">
        <v>1053</v>
      </c>
      <c r="AG101">
        <v>4603.4630999999999</v>
      </c>
      <c r="AH101">
        <v>4535.5829999999996</v>
      </c>
      <c r="AI101">
        <v>67.880099999999999</v>
      </c>
      <c r="AJ101">
        <v>4607.7093000000004</v>
      </c>
      <c r="AK101">
        <v>99</v>
      </c>
      <c r="AL101">
        <v>98</v>
      </c>
      <c r="AM101">
        <v>4868.37</v>
      </c>
      <c r="AN101">
        <v>4791.1449000000002</v>
      </c>
      <c r="AO101">
        <v>77.225099999999998</v>
      </c>
      <c r="AP101">
        <v>5963.7114000000001</v>
      </c>
      <c r="AQ101">
        <v>10.594745</v>
      </c>
      <c r="AR101">
        <v>23.269515999999999</v>
      </c>
      <c r="AS101">
        <v>99</v>
      </c>
      <c r="AT101">
        <v>1053</v>
      </c>
      <c r="AU101">
        <v>4603.4630999999999</v>
      </c>
      <c r="AV101">
        <v>4535.5829999999996</v>
      </c>
      <c r="AW101">
        <v>67.880099999999999</v>
      </c>
      <c r="AX101">
        <v>4607.7093000000004</v>
      </c>
      <c r="AY101">
        <v>99</v>
      </c>
      <c r="AZ101">
        <v>98</v>
      </c>
      <c r="BA101">
        <v>4868.37</v>
      </c>
      <c r="BB101">
        <v>4791.1449000000002</v>
      </c>
      <c r="BC101">
        <v>77.225099999999998</v>
      </c>
      <c r="BD101">
        <v>5963.7114000000001</v>
      </c>
      <c r="BE101">
        <v>9604</v>
      </c>
    </row>
    <row r="102" spans="1:57" x14ac:dyDescent="0.55000000000000004">
      <c r="A102">
        <v>1776444302</v>
      </c>
      <c r="B102" t="s">
        <v>72</v>
      </c>
      <c r="C102" t="s">
        <v>73</v>
      </c>
      <c r="D102">
        <v>4867.12</v>
      </c>
      <c r="E102">
        <v>4518.5928199999998</v>
      </c>
      <c r="F102">
        <v>4596.0559499999999</v>
      </c>
      <c r="G102">
        <v>4755.40355</v>
      </c>
      <c r="H102">
        <v>4792.7697200000002</v>
      </c>
      <c r="Q102">
        <v>4790.8773199999996</v>
      </c>
      <c r="R102">
        <v>4820.2406199999996</v>
      </c>
      <c r="S102">
        <v>4846.8293899999999</v>
      </c>
      <c r="V102">
        <v>4755.9375499999996</v>
      </c>
      <c r="W102">
        <v>4722.3725599999998</v>
      </c>
      <c r="AB102">
        <v>4865.6871199999996</v>
      </c>
      <c r="AC102">
        <v>4866.2320900000004</v>
      </c>
      <c r="AD102">
        <v>0</v>
      </c>
      <c r="AE102">
        <v>100</v>
      </c>
      <c r="AF102">
        <v>1061</v>
      </c>
      <c r="AG102">
        <v>4609.1787000000004</v>
      </c>
      <c r="AH102">
        <v>4533.4422000000004</v>
      </c>
      <c r="AI102">
        <v>75.736500000000007</v>
      </c>
      <c r="AJ102">
        <v>5736.0173999999997</v>
      </c>
      <c r="AK102">
        <v>100</v>
      </c>
      <c r="AL102">
        <v>99</v>
      </c>
      <c r="AM102">
        <v>4867.12</v>
      </c>
      <c r="AN102">
        <v>4790.8773000000001</v>
      </c>
      <c r="AO102">
        <v>76.242699999999999</v>
      </c>
      <c r="AP102">
        <v>5812.9462999999996</v>
      </c>
      <c r="AQ102">
        <v>10.195536000000001</v>
      </c>
      <c r="AR102">
        <v>22.107861</v>
      </c>
      <c r="AS102">
        <v>100</v>
      </c>
      <c r="AT102">
        <v>1061</v>
      </c>
      <c r="AU102">
        <v>4609.1787000000004</v>
      </c>
      <c r="AV102">
        <v>4533.4422000000004</v>
      </c>
      <c r="AW102">
        <v>75.736500000000007</v>
      </c>
      <c r="AX102">
        <v>5736.0173999999997</v>
      </c>
      <c r="AY102">
        <v>100</v>
      </c>
      <c r="AZ102">
        <v>99</v>
      </c>
      <c r="BA102">
        <v>4867.12</v>
      </c>
      <c r="BB102">
        <v>4790.8773000000001</v>
      </c>
      <c r="BC102">
        <v>76.242699999999999</v>
      </c>
      <c r="BD102">
        <v>5812.9462999999996</v>
      </c>
      <c r="BE102">
        <v>9801</v>
      </c>
    </row>
    <row r="103" spans="1:57" x14ac:dyDescent="0.55000000000000004">
      <c r="A103">
        <v>1776445202</v>
      </c>
      <c r="B103" t="s">
        <v>72</v>
      </c>
      <c r="C103" t="s">
        <v>73</v>
      </c>
      <c r="D103">
        <v>4862.8900000000003</v>
      </c>
      <c r="E103">
        <v>4518.5928199999998</v>
      </c>
      <c r="F103">
        <v>4596.0559499999999</v>
      </c>
      <c r="G103">
        <v>4755.40355</v>
      </c>
      <c r="H103">
        <v>4792.7697200000002</v>
      </c>
      <c r="Q103">
        <v>4790.6097200000004</v>
      </c>
      <c r="R103">
        <v>4819.9730200000004</v>
      </c>
      <c r="S103">
        <v>4846.5617899999997</v>
      </c>
      <c r="V103">
        <v>4755.6699500000004</v>
      </c>
      <c r="W103">
        <v>4722.1049499999999</v>
      </c>
      <c r="AB103">
        <v>4864.0722100000003</v>
      </c>
      <c r="AC103">
        <v>4865.1521499999999</v>
      </c>
      <c r="AD103">
        <v>0</v>
      </c>
      <c r="AE103">
        <v>101</v>
      </c>
      <c r="AF103">
        <v>1089</v>
      </c>
      <c r="AG103">
        <v>4559.2623999999996</v>
      </c>
      <c r="AH103">
        <v>4525.9493000000002</v>
      </c>
      <c r="AI103">
        <v>33.313099999999999</v>
      </c>
      <c r="AJ103">
        <v>1109.7626</v>
      </c>
      <c r="AK103">
        <v>101</v>
      </c>
      <c r="AL103">
        <v>100</v>
      </c>
      <c r="AM103">
        <v>4862.8900000000003</v>
      </c>
      <c r="AN103">
        <v>4790.6097</v>
      </c>
      <c r="AO103">
        <v>72.280299999999997</v>
      </c>
      <c r="AP103">
        <v>5224.4389000000001</v>
      </c>
      <c r="AQ103">
        <v>8.6871050000000007</v>
      </c>
      <c r="AR103">
        <v>17.858025000000001</v>
      </c>
      <c r="AS103">
        <v>101</v>
      </c>
      <c r="AT103">
        <v>1089</v>
      </c>
      <c r="AU103">
        <v>4559.2623999999996</v>
      </c>
      <c r="AV103">
        <v>4525.9493000000002</v>
      </c>
      <c r="AW103">
        <v>33.313099999999999</v>
      </c>
      <c r="AX103">
        <v>1109.7626</v>
      </c>
      <c r="AY103">
        <v>101</v>
      </c>
      <c r="AZ103">
        <v>100</v>
      </c>
      <c r="BA103">
        <v>4862.8900000000003</v>
      </c>
      <c r="BB103">
        <v>4790.6097</v>
      </c>
      <c r="BC103">
        <v>72.280299999999997</v>
      </c>
      <c r="BD103">
        <v>5224.4389000000001</v>
      </c>
      <c r="BE103">
        <v>10000</v>
      </c>
    </row>
    <row r="104" spans="1:57" x14ac:dyDescent="0.55000000000000004">
      <c r="A104">
        <v>1776446102</v>
      </c>
      <c r="B104" t="s">
        <v>72</v>
      </c>
      <c r="C104" t="s">
        <v>73</v>
      </c>
      <c r="D104">
        <v>4858.63</v>
      </c>
      <c r="E104">
        <v>4518.5928199999998</v>
      </c>
      <c r="F104">
        <v>4596.0559499999999</v>
      </c>
      <c r="G104">
        <v>4755.40355</v>
      </c>
      <c r="H104">
        <v>4792.7697200000002</v>
      </c>
      <c r="Q104">
        <v>4790.3421099999996</v>
      </c>
      <c r="R104">
        <v>4819.7054099999996</v>
      </c>
      <c r="S104">
        <v>4846.2941799999999</v>
      </c>
      <c r="V104">
        <v>4755.4023399999996</v>
      </c>
      <c r="W104">
        <v>4721.8373499999998</v>
      </c>
      <c r="AB104">
        <v>4862.1992399999999</v>
      </c>
      <c r="AC104">
        <v>4863.67569</v>
      </c>
      <c r="AD104">
        <v>0</v>
      </c>
      <c r="AE104">
        <v>102</v>
      </c>
      <c r="AF104">
        <v>1101</v>
      </c>
      <c r="AG104">
        <v>4566.5537000000004</v>
      </c>
      <c r="AH104">
        <v>4522.7380000000003</v>
      </c>
      <c r="AI104">
        <v>43.8157</v>
      </c>
      <c r="AJ104">
        <v>1919.8155999999999</v>
      </c>
      <c r="AK104">
        <v>102</v>
      </c>
      <c r="AL104">
        <v>101</v>
      </c>
      <c r="AM104">
        <v>4858.63</v>
      </c>
      <c r="AN104">
        <v>4790.3420999999998</v>
      </c>
      <c r="AO104">
        <v>68.287899999999993</v>
      </c>
      <c r="AP104">
        <v>4663.2358999999997</v>
      </c>
      <c r="AQ104">
        <v>7.3256579999999998</v>
      </c>
      <c r="AR104">
        <v>14.227510000000001</v>
      </c>
      <c r="AS104">
        <v>102</v>
      </c>
      <c r="AT104">
        <v>1101</v>
      </c>
      <c r="AU104">
        <v>4566.5537000000004</v>
      </c>
      <c r="AV104">
        <v>4522.7380000000003</v>
      </c>
      <c r="AW104">
        <v>43.8157</v>
      </c>
      <c r="AX104">
        <v>1919.8155999999999</v>
      </c>
      <c r="AY104">
        <v>102</v>
      </c>
      <c r="AZ104">
        <v>101</v>
      </c>
      <c r="BA104">
        <v>4858.63</v>
      </c>
      <c r="BB104">
        <v>4790.3420999999998</v>
      </c>
      <c r="BC104">
        <v>68.287899999999993</v>
      </c>
      <c r="BD104">
        <v>4663.2358999999997</v>
      </c>
      <c r="BE104">
        <v>10201</v>
      </c>
    </row>
    <row r="105" spans="1:57" x14ac:dyDescent="0.55000000000000004">
      <c r="A105">
        <v>1776447002</v>
      </c>
      <c r="B105" t="s">
        <v>72</v>
      </c>
      <c r="C105" t="s">
        <v>73</v>
      </c>
      <c r="D105">
        <v>4855.01</v>
      </c>
      <c r="E105">
        <v>4518.5928199999998</v>
      </c>
      <c r="F105">
        <v>4596.0559499999999</v>
      </c>
      <c r="G105">
        <v>4755.40355</v>
      </c>
      <c r="H105">
        <v>4792.7697200000002</v>
      </c>
      <c r="Q105">
        <v>4790.0745100000004</v>
      </c>
      <c r="R105">
        <v>4819.4378100000004</v>
      </c>
      <c r="S105">
        <v>4846.0265799999997</v>
      </c>
      <c r="V105">
        <v>4755.1347400000004</v>
      </c>
      <c r="W105">
        <v>4721.5697399999999</v>
      </c>
      <c r="AB105">
        <v>4860.5183999999999</v>
      </c>
      <c r="AC105">
        <v>4862.0970500000003</v>
      </c>
      <c r="AD105">
        <v>0</v>
      </c>
      <c r="AE105">
        <v>103</v>
      </c>
      <c r="AF105">
        <v>1112</v>
      </c>
      <c r="AG105">
        <v>4516.7968000000001</v>
      </c>
      <c r="AH105">
        <v>4519.7943999999998</v>
      </c>
      <c r="AI105">
        <v>-2.9975999999999998</v>
      </c>
      <c r="AJ105">
        <v>8.9855</v>
      </c>
      <c r="AK105">
        <v>103</v>
      </c>
      <c r="AL105">
        <v>102</v>
      </c>
      <c r="AM105">
        <v>4855.01</v>
      </c>
      <c r="AN105">
        <v>4790.0744999999997</v>
      </c>
      <c r="AO105">
        <v>64.935500000000005</v>
      </c>
      <c r="AP105">
        <v>4216.6179000000002</v>
      </c>
      <c r="AQ105">
        <v>6.2988600000000003</v>
      </c>
      <c r="AR105">
        <v>11.632756000000001</v>
      </c>
      <c r="AS105">
        <v>103</v>
      </c>
      <c r="AT105">
        <v>1112</v>
      </c>
      <c r="AU105">
        <v>4516.7968000000001</v>
      </c>
      <c r="AV105">
        <v>4519.7943999999998</v>
      </c>
      <c r="AW105">
        <v>-2.9975999999999998</v>
      </c>
      <c r="AX105">
        <v>8.9855</v>
      </c>
      <c r="AY105">
        <v>103</v>
      </c>
      <c r="AZ105">
        <v>102</v>
      </c>
      <c r="BA105">
        <v>4855.01</v>
      </c>
      <c r="BB105">
        <v>4790.0744999999997</v>
      </c>
      <c r="BC105">
        <v>64.935500000000005</v>
      </c>
      <c r="BD105">
        <v>4216.6179000000002</v>
      </c>
      <c r="BE105">
        <v>10404</v>
      </c>
    </row>
    <row r="106" spans="1:57" x14ac:dyDescent="0.55000000000000004">
      <c r="A106">
        <v>1776447902</v>
      </c>
      <c r="B106" t="s">
        <v>72</v>
      </c>
      <c r="C106" t="s">
        <v>73</v>
      </c>
      <c r="D106">
        <v>4862.6000000000004</v>
      </c>
      <c r="E106">
        <v>4518.5928199999998</v>
      </c>
      <c r="F106">
        <v>4596.0559499999999</v>
      </c>
      <c r="G106">
        <v>4755.40355</v>
      </c>
      <c r="H106">
        <v>4792.7697200000002</v>
      </c>
      <c r="Q106">
        <v>4789.8069100000002</v>
      </c>
      <c r="R106">
        <v>4819.1701999999996</v>
      </c>
      <c r="S106">
        <v>4845.7589799999996</v>
      </c>
      <c r="V106">
        <v>4754.8671400000003</v>
      </c>
      <c r="W106">
        <v>4721.3021399999998</v>
      </c>
      <c r="AB106">
        <v>4859.4254300000002</v>
      </c>
      <c r="AC106">
        <v>4860.7612399999998</v>
      </c>
      <c r="AD106">
        <v>0</v>
      </c>
      <c r="AE106">
        <v>104</v>
      </c>
      <c r="AF106">
        <v>1117</v>
      </c>
      <c r="AG106">
        <v>4519.7938000000004</v>
      </c>
      <c r="AH106">
        <v>4518.4564</v>
      </c>
      <c r="AI106">
        <v>1.3373999999999999</v>
      </c>
      <c r="AJ106">
        <v>1.7887999999999999</v>
      </c>
      <c r="AK106">
        <v>104</v>
      </c>
      <c r="AL106">
        <v>103</v>
      </c>
      <c r="AM106">
        <v>4862.6000000000004</v>
      </c>
      <c r="AN106">
        <v>4789.8068999999996</v>
      </c>
      <c r="AO106">
        <v>72.793099999999995</v>
      </c>
      <c r="AP106">
        <v>5298.8339999999998</v>
      </c>
      <c r="AQ106">
        <v>8.8733179999999994</v>
      </c>
      <c r="AR106">
        <v>18.370235999999998</v>
      </c>
      <c r="AS106">
        <v>104</v>
      </c>
      <c r="AT106">
        <v>1117</v>
      </c>
      <c r="AU106">
        <v>4519.7938000000004</v>
      </c>
      <c r="AV106">
        <v>4518.4564</v>
      </c>
      <c r="AW106">
        <v>1.3373999999999999</v>
      </c>
      <c r="AX106">
        <v>1.7887999999999999</v>
      </c>
      <c r="AY106">
        <v>104</v>
      </c>
      <c r="AZ106">
        <v>103</v>
      </c>
      <c r="BA106">
        <v>4862.6000000000004</v>
      </c>
      <c r="BB106">
        <v>4789.8068999999996</v>
      </c>
      <c r="BC106">
        <v>72.793099999999995</v>
      </c>
      <c r="BD106">
        <v>5298.8339999999998</v>
      </c>
      <c r="BE106">
        <v>10609</v>
      </c>
    </row>
    <row r="107" spans="1:57" x14ac:dyDescent="0.55000000000000004">
      <c r="A107">
        <v>1776448802</v>
      </c>
      <c r="B107" t="s">
        <v>72</v>
      </c>
      <c r="C107" t="s">
        <v>73</v>
      </c>
      <c r="D107">
        <v>4861.17</v>
      </c>
      <c r="E107">
        <v>4518.5928199999998</v>
      </c>
      <c r="F107">
        <v>4596.0559499999999</v>
      </c>
      <c r="G107">
        <v>4755.40355</v>
      </c>
      <c r="H107">
        <v>4792.7697200000002</v>
      </c>
      <c r="Q107">
        <v>4789.5393000000004</v>
      </c>
      <c r="R107">
        <v>4818.9026000000003</v>
      </c>
      <c r="S107">
        <v>4845.4913699999997</v>
      </c>
      <c r="V107">
        <v>4754.5995300000004</v>
      </c>
      <c r="W107">
        <v>4721.0345399999997</v>
      </c>
      <c r="AB107">
        <v>4858.8739400000004</v>
      </c>
      <c r="AC107">
        <v>4859.8175899999997</v>
      </c>
      <c r="AD107">
        <v>0</v>
      </c>
      <c r="AE107">
        <v>105</v>
      </c>
      <c r="AF107">
        <v>1123</v>
      </c>
      <c r="AG107">
        <v>4517.1665000000003</v>
      </c>
      <c r="AH107">
        <v>4516.8507</v>
      </c>
      <c r="AI107">
        <v>0.31580000000000003</v>
      </c>
      <c r="AJ107">
        <v>9.9699999999999997E-2</v>
      </c>
      <c r="AK107">
        <v>105</v>
      </c>
      <c r="AL107">
        <v>104</v>
      </c>
      <c r="AM107">
        <v>4861.17</v>
      </c>
      <c r="AN107">
        <v>4789.5393000000004</v>
      </c>
      <c r="AO107">
        <v>71.630700000000004</v>
      </c>
      <c r="AP107">
        <v>5130.9571999999998</v>
      </c>
      <c r="AQ107">
        <v>8.4549909999999997</v>
      </c>
      <c r="AR107">
        <v>17.224668999999999</v>
      </c>
      <c r="AS107">
        <v>105</v>
      </c>
      <c r="AT107">
        <v>1123</v>
      </c>
      <c r="AU107">
        <v>4517.1665000000003</v>
      </c>
      <c r="AV107">
        <v>4516.8507</v>
      </c>
      <c r="AW107">
        <v>0.31580000000000003</v>
      </c>
      <c r="AX107">
        <v>9.9699999999999997E-2</v>
      </c>
      <c r="AY107">
        <v>105</v>
      </c>
      <c r="AZ107">
        <v>104</v>
      </c>
      <c r="BA107">
        <v>4861.17</v>
      </c>
      <c r="BB107">
        <v>4789.5393000000004</v>
      </c>
      <c r="BC107">
        <v>71.630700000000004</v>
      </c>
      <c r="BD107">
        <v>5130.9571999999998</v>
      </c>
      <c r="BE107">
        <v>10816</v>
      </c>
    </row>
    <row r="108" spans="1:57" x14ac:dyDescent="0.55000000000000004">
      <c r="A108">
        <v>1776449702</v>
      </c>
      <c r="B108" t="s">
        <v>72</v>
      </c>
      <c r="C108" t="s">
        <v>73</v>
      </c>
      <c r="D108">
        <v>4860.87</v>
      </c>
      <c r="E108">
        <v>4518.5928199999998</v>
      </c>
      <c r="F108">
        <v>4596.0559499999999</v>
      </c>
      <c r="G108">
        <v>4755.40355</v>
      </c>
      <c r="H108">
        <v>4792.7697200000002</v>
      </c>
      <c r="Q108">
        <v>4789.2717000000002</v>
      </c>
      <c r="R108">
        <v>4818.6350000000002</v>
      </c>
      <c r="S108">
        <v>4845.2237699999996</v>
      </c>
      <c r="V108">
        <v>4754.3319300000003</v>
      </c>
      <c r="W108">
        <v>4720.7669299999998</v>
      </c>
      <c r="AB108">
        <v>4858.9131799999996</v>
      </c>
      <c r="AC108">
        <v>4859.3653800000002</v>
      </c>
      <c r="AD108">
        <v>0</v>
      </c>
      <c r="AE108">
        <v>106</v>
      </c>
      <c r="AF108">
        <v>1130</v>
      </c>
      <c r="AG108">
        <v>4519.7573000000002</v>
      </c>
      <c r="AH108">
        <v>4514.9775</v>
      </c>
      <c r="AI108">
        <v>4.7797999999999998</v>
      </c>
      <c r="AJ108">
        <v>22.846399999999999</v>
      </c>
      <c r="AK108">
        <v>106</v>
      </c>
      <c r="AL108">
        <v>105</v>
      </c>
      <c r="AM108">
        <v>4860.87</v>
      </c>
      <c r="AN108">
        <v>4789.2717000000002</v>
      </c>
      <c r="AO108">
        <v>71.598299999999995</v>
      </c>
      <c r="AP108">
        <v>5126.3166000000001</v>
      </c>
      <c r="AQ108">
        <v>8.443524</v>
      </c>
      <c r="AR108">
        <v>17.193525999999999</v>
      </c>
      <c r="AS108">
        <v>106</v>
      </c>
      <c r="AT108">
        <v>1130</v>
      </c>
      <c r="AU108">
        <v>4519.7573000000002</v>
      </c>
      <c r="AV108">
        <v>4514.9775</v>
      </c>
      <c r="AW108">
        <v>4.7797999999999998</v>
      </c>
      <c r="AX108">
        <v>22.846399999999999</v>
      </c>
      <c r="AY108">
        <v>106</v>
      </c>
      <c r="AZ108">
        <v>105</v>
      </c>
      <c r="BA108">
        <v>4860.87</v>
      </c>
      <c r="BB108">
        <v>4789.2717000000002</v>
      </c>
      <c r="BC108">
        <v>71.598299999999995</v>
      </c>
      <c r="BD108">
        <v>5126.3166000000001</v>
      </c>
      <c r="BE108">
        <v>11025</v>
      </c>
    </row>
    <row r="109" spans="1:57" x14ac:dyDescent="0.55000000000000004">
      <c r="A109">
        <v>1776450602</v>
      </c>
      <c r="B109" t="s">
        <v>72</v>
      </c>
      <c r="C109" t="s">
        <v>73</v>
      </c>
      <c r="D109">
        <v>4862.3999999999996</v>
      </c>
      <c r="E109">
        <v>4518.5928199999998</v>
      </c>
      <c r="F109">
        <v>4596.0559499999999</v>
      </c>
      <c r="G109">
        <v>4755.40355</v>
      </c>
      <c r="H109">
        <v>4792.7697200000002</v>
      </c>
      <c r="Q109">
        <v>4789.0040900000004</v>
      </c>
      <c r="R109">
        <v>4818.3673900000003</v>
      </c>
      <c r="S109">
        <v>4844.9561599999997</v>
      </c>
      <c r="V109">
        <v>4754.0643200000004</v>
      </c>
      <c r="W109">
        <v>4720.4993299999996</v>
      </c>
      <c r="AB109">
        <v>4859.3727200000003</v>
      </c>
      <c r="AC109">
        <v>4859.3690500000002</v>
      </c>
      <c r="AD109">
        <v>1</v>
      </c>
      <c r="AE109">
        <v>107</v>
      </c>
      <c r="AF109">
        <v>1134</v>
      </c>
      <c r="AG109">
        <v>4519.4497000000001</v>
      </c>
      <c r="AH109">
        <v>4513.9071000000004</v>
      </c>
      <c r="AI109">
        <v>5.5426000000000002</v>
      </c>
      <c r="AJ109">
        <v>30.720099999999999</v>
      </c>
      <c r="AK109">
        <v>107</v>
      </c>
      <c r="AL109">
        <v>106</v>
      </c>
      <c r="AM109">
        <v>4862.3999999999996</v>
      </c>
      <c r="AN109">
        <v>4789.0041000000001</v>
      </c>
      <c r="AO109">
        <v>73.395899999999997</v>
      </c>
      <c r="AP109">
        <v>5386.9596000000001</v>
      </c>
      <c r="AQ109">
        <v>9.0955960000000005</v>
      </c>
      <c r="AR109">
        <v>18.986353000000001</v>
      </c>
      <c r="AS109">
        <v>107</v>
      </c>
      <c r="AT109">
        <v>1134</v>
      </c>
      <c r="AU109">
        <v>4519.4497000000001</v>
      </c>
      <c r="AV109">
        <v>4513.9071000000004</v>
      </c>
      <c r="AW109">
        <v>5.5426000000000002</v>
      </c>
      <c r="AX109">
        <v>30.720099999999999</v>
      </c>
      <c r="AY109">
        <v>107</v>
      </c>
      <c r="AZ109">
        <v>106</v>
      </c>
      <c r="BA109">
        <v>4862.3999999999996</v>
      </c>
      <c r="BB109">
        <v>4789.0041000000001</v>
      </c>
      <c r="BC109">
        <v>73.395899999999997</v>
      </c>
      <c r="BD109">
        <v>5386.9596000000001</v>
      </c>
      <c r="BE109">
        <v>11236</v>
      </c>
    </row>
    <row r="110" spans="1:57" x14ac:dyDescent="0.55000000000000004">
      <c r="A110">
        <v>1776451502</v>
      </c>
      <c r="B110" t="s">
        <v>72</v>
      </c>
      <c r="C110" t="s">
        <v>73</v>
      </c>
      <c r="D110">
        <v>4858.16</v>
      </c>
      <c r="E110">
        <v>4518.5928199999998</v>
      </c>
      <c r="F110">
        <v>4596.0559499999999</v>
      </c>
      <c r="G110">
        <v>4755.40355</v>
      </c>
      <c r="H110">
        <v>4792.7697200000002</v>
      </c>
      <c r="Q110">
        <v>4788.7364900000002</v>
      </c>
      <c r="R110">
        <v>4818.0997900000002</v>
      </c>
      <c r="S110">
        <v>4844.6885599999996</v>
      </c>
      <c r="V110">
        <v>4753.7967200000003</v>
      </c>
      <c r="W110">
        <v>4720.2317199999998</v>
      </c>
      <c r="AB110">
        <v>4859.8985700000003</v>
      </c>
      <c r="AC110">
        <v>4859.6338100000003</v>
      </c>
      <c r="AD110">
        <v>0</v>
      </c>
      <c r="AK110">
        <v>108</v>
      </c>
      <c r="AL110">
        <v>107</v>
      </c>
      <c r="AM110">
        <v>4858.16</v>
      </c>
      <c r="AN110">
        <v>4788.7365</v>
      </c>
      <c r="AO110">
        <v>69.423500000000004</v>
      </c>
      <c r="AP110">
        <v>4819.6237000000001</v>
      </c>
      <c r="AQ110">
        <v>7.6972449999999997</v>
      </c>
      <c r="AR110">
        <v>15.197787999999999</v>
      </c>
      <c r="AY110">
        <v>108</v>
      </c>
      <c r="AZ110">
        <v>107</v>
      </c>
      <c r="BA110">
        <v>4858.16</v>
      </c>
      <c r="BB110">
        <v>4788.7365</v>
      </c>
      <c r="BC110">
        <v>69.423500000000004</v>
      </c>
      <c r="BD110">
        <v>4819.6237000000001</v>
      </c>
      <c r="BE110">
        <v>11449</v>
      </c>
    </row>
    <row r="111" spans="1:57" x14ac:dyDescent="0.55000000000000004">
      <c r="A111">
        <v>1776452402</v>
      </c>
      <c r="B111" t="s">
        <v>72</v>
      </c>
      <c r="C111" t="s">
        <v>73</v>
      </c>
      <c r="D111">
        <v>4856.59</v>
      </c>
      <c r="E111">
        <v>4518.5928199999998</v>
      </c>
      <c r="F111">
        <v>4596.0559499999999</v>
      </c>
      <c r="G111">
        <v>4755.40355</v>
      </c>
      <c r="H111">
        <v>4792.7697200000002</v>
      </c>
      <c r="Q111">
        <v>4788.4688900000001</v>
      </c>
      <c r="R111">
        <v>4817.8321800000003</v>
      </c>
      <c r="S111">
        <v>4844.4209499999997</v>
      </c>
      <c r="V111">
        <v>4753.5291100000004</v>
      </c>
      <c r="W111">
        <v>4719.9641199999996</v>
      </c>
      <c r="AB111">
        <v>4860.1541100000004</v>
      </c>
      <c r="AC111">
        <v>4859.8939600000003</v>
      </c>
      <c r="AD111">
        <v>0</v>
      </c>
      <c r="AK111">
        <v>109</v>
      </c>
      <c r="AL111">
        <v>108</v>
      </c>
      <c r="AM111">
        <v>4856.59</v>
      </c>
      <c r="AN111">
        <v>4788.4688999999998</v>
      </c>
      <c r="AO111">
        <v>68.121099999999998</v>
      </c>
      <c r="AP111">
        <v>4640.4856</v>
      </c>
      <c r="AQ111">
        <v>7.2721150000000003</v>
      </c>
      <c r="AR111">
        <v>14.089026</v>
      </c>
      <c r="AY111">
        <v>109</v>
      </c>
      <c r="AZ111">
        <v>108</v>
      </c>
      <c r="BA111">
        <v>4856.59</v>
      </c>
      <c r="BB111">
        <v>4788.4688999999998</v>
      </c>
      <c r="BC111">
        <v>68.121099999999998</v>
      </c>
      <c r="BD111">
        <v>4640.4856</v>
      </c>
      <c r="BE111">
        <v>11664</v>
      </c>
    </row>
    <row r="112" spans="1:57" x14ac:dyDescent="0.55000000000000004">
      <c r="A112">
        <v>1776453302</v>
      </c>
      <c r="B112" t="s">
        <v>72</v>
      </c>
      <c r="C112" t="s">
        <v>73</v>
      </c>
      <c r="D112">
        <v>4856.91</v>
      </c>
      <c r="E112">
        <v>4518.5928199999998</v>
      </c>
      <c r="F112">
        <v>4596.0559499999999</v>
      </c>
      <c r="G112">
        <v>4755.40355</v>
      </c>
      <c r="H112">
        <v>4792.7697200000002</v>
      </c>
      <c r="Q112">
        <v>4788.2012800000002</v>
      </c>
      <c r="R112">
        <v>4817.5645800000002</v>
      </c>
      <c r="S112">
        <v>4844.1533499999996</v>
      </c>
      <c r="V112">
        <v>4753.2615100000003</v>
      </c>
      <c r="W112">
        <v>4719.6965099999998</v>
      </c>
      <c r="AB112">
        <v>4859.6710400000002</v>
      </c>
      <c r="AC112">
        <v>4859.7825000000003</v>
      </c>
      <c r="AD112">
        <v>1</v>
      </c>
      <c r="AK112">
        <v>110</v>
      </c>
      <c r="AL112">
        <v>109</v>
      </c>
      <c r="AM112">
        <v>4856.91</v>
      </c>
      <c r="AN112">
        <v>4788.2012999999997</v>
      </c>
      <c r="AO112">
        <v>68.708699999999993</v>
      </c>
      <c r="AP112">
        <v>4720.8882000000003</v>
      </c>
      <c r="AQ112">
        <v>7.4619299999999997</v>
      </c>
      <c r="AR112">
        <v>14.581478000000001</v>
      </c>
      <c r="AY112">
        <v>110</v>
      </c>
      <c r="AZ112">
        <v>109</v>
      </c>
      <c r="BA112">
        <v>4856.91</v>
      </c>
      <c r="BB112">
        <v>4788.2012999999997</v>
      </c>
      <c r="BC112">
        <v>68.708699999999993</v>
      </c>
      <c r="BD112">
        <v>4720.8882000000003</v>
      </c>
      <c r="BE112">
        <v>11881</v>
      </c>
    </row>
    <row r="113" spans="1:57" x14ac:dyDescent="0.55000000000000004">
      <c r="A113">
        <v>1776454202</v>
      </c>
      <c r="B113" t="s">
        <v>72</v>
      </c>
      <c r="C113" t="s">
        <v>73</v>
      </c>
      <c r="D113">
        <v>4860.34</v>
      </c>
      <c r="E113">
        <v>4518.5928199999998</v>
      </c>
      <c r="F113">
        <v>4596.0559499999999</v>
      </c>
      <c r="G113">
        <v>4755.40355</v>
      </c>
      <c r="H113">
        <v>4792.7697200000002</v>
      </c>
      <c r="Q113">
        <v>4787.9336800000001</v>
      </c>
      <c r="R113">
        <v>4817.2969800000001</v>
      </c>
      <c r="S113">
        <v>4843.8857500000004</v>
      </c>
      <c r="V113">
        <v>4752.9939100000001</v>
      </c>
      <c r="W113">
        <v>4719.4289099999996</v>
      </c>
      <c r="AB113">
        <v>4857.9269000000004</v>
      </c>
      <c r="AC113">
        <v>4858.8546999999999</v>
      </c>
      <c r="AD113">
        <v>0</v>
      </c>
      <c r="AK113">
        <v>111</v>
      </c>
      <c r="AL113">
        <v>110</v>
      </c>
      <c r="AM113">
        <v>4860.34</v>
      </c>
      <c r="AN113">
        <v>4787.9336999999996</v>
      </c>
      <c r="AO113">
        <v>72.406300000000002</v>
      </c>
      <c r="AP113">
        <v>5242.6751999999997</v>
      </c>
      <c r="AQ113">
        <v>8.7326289999999993</v>
      </c>
      <c r="AR113">
        <v>17.982911999999999</v>
      </c>
      <c r="AY113">
        <v>111</v>
      </c>
      <c r="AZ113">
        <v>110</v>
      </c>
      <c r="BA113">
        <v>4860.34</v>
      </c>
      <c r="BB113">
        <v>4787.9336999999996</v>
      </c>
      <c r="BC113">
        <v>72.406300000000002</v>
      </c>
      <c r="BD113">
        <v>5242.6751999999997</v>
      </c>
      <c r="BE113">
        <v>12100</v>
      </c>
    </row>
    <row r="114" spans="1:57" x14ac:dyDescent="0.55000000000000004">
      <c r="A114">
        <v>1776455102</v>
      </c>
      <c r="B114" t="s">
        <v>72</v>
      </c>
      <c r="C114" t="s">
        <v>73</v>
      </c>
      <c r="D114">
        <v>4854.7299999999996</v>
      </c>
      <c r="E114">
        <v>4518.5928199999998</v>
      </c>
      <c r="F114">
        <v>4596.0559499999999</v>
      </c>
      <c r="G114">
        <v>4755.40355</v>
      </c>
      <c r="H114">
        <v>4792.7697200000002</v>
      </c>
      <c r="Q114">
        <v>4787.6660700000002</v>
      </c>
      <c r="R114">
        <v>4817.0293700000002</v>
      </c>
      <c r="S114">
        <v>4843.6181399999996</v>
      </c>
      <c r="V114">
        <v>4752.7263000000003</v>
      </c>
      <c r="W114">
        <v>4719.1613100000004</v>
      </c>
      <c r="AB114">
        <v>4854.3575799999999</v>
      </c>
      <c r="AC114">
        <v>4856.6061399999999</v>
      </c>
      <c r="AD114">
        <v>0</v>
      </c>
      <c r="AK114">
        <v>112</v>
      </c>
      <c r="AL114">
        <v>111</v>
      </c>
      <c r="AM114">
        <v>4854.7299999999996</v>
      </c>
      <c r="AN114">
        <v>4787.6661000000004</v>
      </c>
      <c r="AO114">
        <v>67.063900000000004</v>
      </c>
      <c r="AP114">
        <v>4497.5707000000002</v>
      </c>
      <c r="AQ114">
        <v>6.938771</v>
      </c>
      <c r="AR114">
        <v>13.234578000000001</v>
      </c>
      <c r="AY114">
        <v>112</v>
      </c>
      <c r="AZ114">
        <v>111</v>
      </c>
      <c r="BA114">
        <v>4854.7299999999996</v>
      </c>
      <c r="BB114">
        <v>4787.6661000000004</v>
      </c>
      <c r="BC114">
        <v>67.063900000000004</v>
      </c>
      <c r="BD114">
        <v>4497.5707000000002</v>
      </c>
      <c r="BE114">
        <v>12321</v>
      </c>
    </row>
    <row r="115" spans="1:57" x14ac:dyDescent="0.55000000000000004">
      <c r="A115">
        <v>1776456002</v>
      </c>
      <c r="B115" t="s">
        <v>72</v>
      </c>
      <c r="C115" t="s">
        <v>73</v>
      </c>
      <c r="D115">
        <v>4845.91</v>
      </c>
      <c r="E115">
        <v>4518.5928199999998</v>
      </c>
      <c r="F115">
        <v>4596.0559499999999</v>
      </c>
      <c r="G115">
        <v>4755.40355</v>
      </c>
      <c r="H115">
        <v>4792.7697200000002</v>
      </c>
      <c r="Q115">
        <v>4787.3984700000001</v>
      </c>
      <c r="R115">
        <v>4816.7617700000001</v>
      </c>
      <c r="S115">
        <v>4843.3505400000004</v>
      </c>
      <c r="V115">
        <v>4752.4587000000001</v>
      </c>
      <c r="W115">
        <v>4718.8936999999996</v>
      </c>
      <c r="AB115">
        <v>4848.7512900000002</v>
      </c>
      <c r="AC115">
        <v>4852.6787199999999</v>
      </c>
      <c r="AD115">
        <v>0</v>
      </c>
      <c r="AK115">
        <v>113</v>
      </c>
      <c r="AL115">
        <v>112</v>
      </c>
      <c r="AM115">
        <v>4845.91</v>
      </c>
      <c r="AN115">
        <v>4787.3985000000002</v>
      </c>
      <c r="AO115">
        <v>58.511499999999998</v>
      </c>
      <c r="AP115">
        <v>3423.5990999999999</v>
      </c>
      <c r="AQ115">
        <v>4.6082919999999996</v>
      </c>
      <c r="AR115">
        <v>7.6686680000000003</v>
      </c>
      <c r="AY115">
        <v>113</v>
      </c>
      <c r="AZ115">
        <v>112</v>
      </c>
      <c r="BA115">
        <v>4845.91</v>
      </c>
      <c r="BB115">
        <v>4787.3985000000002</v>
      </c>
      <c r="BC115">
        <v>58.511499999999998</v>
      </c>
      <c r="BD115">
        <v>3423.5990999999999</v>
      </c>
      <c r="BE115">
        <v>12544</v>
      </c>
    </row>
    <row r="116" spans="1:57" x14ac:dyDescent="0.55000000000000004">
      <c r="A116">
        <v>1776456902</v>
      </c>
      <c r="B116" t="s">
        <v>72</v>
      </c>
      <c r="C116" t="s">
        <v>73</v>
      </c>
      <c r="D116">
        <v>4845.96</v>
      </c>
      <c r="E116">
        <v>4518.5928199999998</v>
      </c>
      <c r="F116">
        <v>4596.0559499999999</v>
      </c>
      <c r="G116">
        <v>4755.40355</v>
      </c>
      <c r="H116">
        <v>4792.7697200000002</v>
      </c>
      <c r="Q116">
        <v>4787.1308600000002</v>
      </c>
      <c r="R116">
        <v>4816.4941600000002</v>
      </c>
      <c r="S116">
        <v>4843.0829299999996</v>
      </c>
      <c r="V116">
        <v>4752.1910900000003</v>
      </c>
      <c r="W116">
        <v>4718.6261000000004</v>
      </c>
      <c r="AB116">
        <v>4841.1542099999997</v>
      </c>
      <c r="AC116">
        <v>4846.9164600000004</v>
      </c>
      <c r="AD116">
        <v>0</v>
      </c>
      <c r="AK116">
        <v>114</v>
      </c>
      <c r="AL116">
        <v>113</v>
      </c>
      <c r="AM116">
        <v>4845.96</v>
      </c>
      <c r="AN116">
        <v>4787.1309000000001</v>
      </c>
      <c r="AO116">
        <v>58.829099999999997</v>
      </c>
      <c r="AP116">
        <v>3460.8676999999998</v>
      </c>
      <c r="AQ116">
        <v>4.6837429999999998</v>
      </c>
      <c r="AR116">
        <v>7.8365359999999997</v>
      </c>
      <c r="AY116">
        <v>114</v>
      </c>
      <c r="AZ116">
        <v>113</v>
      </c>
      <c r="BA116">
        <v>4845.96</v>
      </c>
      <c r="BB116">
        <v>4787.1309000000001</v>
      </c>
      <c r="BC116">
        <v>58.829099999999997</v>
      </c>
      <c r="BD116">
        <v>3460.8676999999998</v>
      </c>
      <c r="BE116">
        <v>12769</v>
      </c>
    </row>
    <row r="117" spans="1:57" x14ac:dyDescent="0.55000000000000004">
      <c r="A117">
        <v>1776457802</v>
      </c>
      <c r="B117" t="s">
        <v>72</v>
      </c>
      <c r="C117" t="s">
        <v>73</v>
      </c>
      <c r="D117">
        <v>4835.8100000000004</v>
      </c>
      <c r="E117">
        <v>4518.5928199999998</v>
      </c>
      <c r="F117">
        <v>4596.0559499999999</v>
      </c>
      <c r="G117">
        <v>4755.40355</v>
      </c>
      <c r="H117">
        <v>4792.7697200000002</v>
      </c>
      <c r="Q117">
        <v>4786.8632600000001</v>
      </c>
      <c r="R117">
        <v>4816.2265600000001</v>
      </c>
      <c r="S117">
        <v>4842.8153300000004</v>
      </c>
      <c r="V117">
        <v>4751.9234900000001</v>
      </c>
      <c r="W117">
        <v>4718.3584899999996</v>
      </c>
      <c r="AB117">
        <v>4831.4754599999997</v>
      </c>
      <c r="AC117">
        <v>4839.19596</v>
      </c>
      <c r="AD117">
        <v>0</v>
      </c>
      <c r="AK117">
        <v>115</v>
      </c>
      <c r="AL117">
        <v>114</v>
      </c>
      <c r="AM117">
        <v>4835.8100000000004</v>
      </c>
      <c r="AN117">
        <v>4786.8633</v>
      </c>
      <c r="AO117">
        <v>48.9467</v>
      </c>
      <c r="AP117">
        <v>2395.7833999999998</v>
      </c>
      <c r="AQ117">
        <v>2.6976580000000001</v>
      </c>
      <c r="AR117">
        <v>3.7553390000000002</v>
      </c>
      <c r="AY117">
        <v>115</v>
      </c>
      <c r="AZ117">
        <v>114</v>
      </c>
      <c r="BA117">
        <v>4835.8100000000004</v>
      </c>
      <c r="BB117">
        <v>4786.8633</v>
      </c>
      <c r="BC117">
        <v>48.9467</v>
      </c>
      <c r="BD117">
        <v>2395.7833999999998</v>
      </c>
      <c r="BE117">
        <v>12996</v>
      </c>
    </row>
    <row r="118" spans="1:57" x14ac:dyDescent="0.55000000000000004">
      <c r="A118">
        <v>1776458702</v>
      </c>
      <c r="B118" t="s">
        <v>72</v>
      </c>
      <c r="C118" t="s">
        <v>73</v>
      </c>
      <c r="D118">
        <v>4833.0200000000004</v>
      </c>
      <c r="E118">
        <v>4518.5928199999998</v>
      </c>
      <c r="F118">
        <v>4596.0559499999999</v>
      </c>
      <c r="G118">
        <v>4755.40355</v>
      </c>
      <c r="H118">
        <v>4792.7697200000002</v>
      </c>
      <c r="Q118">
        <v>4786.59566</v>
      </c>
      <c r="R118">
        <v>4815.9589599999999</v>
      </c>
      <c r="S118">
        <v>4842.5477300000002</v>
      </c>
      <c r="V118">
        <v>4751.65589</v>
      </c>
      <c r="W118">
        <v>4718.0908900000004</v>
      </c>
      <c r="AB118">
        <v>4820.0658199999998</v>
      </c>
      <c r="AC118">
        <v>4829.6308900000004</v>
      </c>
      <c r="AD118">
        <v>0</v>
      </c>
      <c r="AK118">
        <v>116</v>
      </c>
      <c r="AL118">
        <v>115</v>
      </c>
      <c r="AM118">
        <v>4833.0200000000004</v>
      </c>
      <c r="AN118">
        <v>4786.5956999999999</v>
      </c>
      <c r="AO118">
        <v>46.424300000000002</v>
      </c>
      <c r="AP118">
        <v>2155.2193000000002</v>
      </c>
      <c r="AQ118">
        <v>2.3017219999999998</v>
      </c>
      <c r="AR118">
        <v>3.0390450000000002</v>
      </c>
      <c r="AY118">
        <v>116</v>
      </c>
      <c r="AZ118">
        <v>115</v>
      </c>
      <c r="BA118">
        <v>4833.0200000000004</v>
      </c>
      <c r="BB118">
        <v>4786.5956999999999</v>
      </c>
      <c r="BC118">
        <v>46.424300000000002</v>
      </c>
      <c r="BD118">
        <v>2155.2193000000002</v>
      </c>
      <c r="BE118">
        <v>13225</v>
      </c>
    </row>
    <row r="119" spans="1:57" x14ac:dyDescent="0.55000000000000004">
      <c r="A119">
        <v>1776636002</v>
      </c>
      <c r="B119" t="s">
        <v>72</v>
      </c>
      <c r="C119" t="s">
        <v>73</v>
      </c>
      <c r="D119">
        <v>4790.21</v>
      </c>
      <c r="E119">
        <v>4518.5928199999998</v>
      </c>
      <c r="F119">
        <v>4596.0559499999999</v>
      </c>
      <c r="G119">
        <v>4755.40355</v>
      </c>
      <c r="H119">
        <v>4792.7697200000002</v>
      </c>
      <c r="Q119">
        <v>4786.3280500000001</v>
      </c>
      <c r="R119">
        <v>4815.6913500000001</v>
      </c>
      <c r="S119">
        <v>4842.2801200000004</v>
      </c>
      <c r="V119">
        <v>4751.3882800000001</v>
      </c>
      <c r="W119">
        <v>4717.8232900000003</v>
      </c>
      <c r="AB119">
        <v>4807.3938500000004</v>
      </c>
      <c r="AC119">
        <v>4818.5123700000004</v>
      </c>
      <c r="AD119">
        <v>0</v>
      </c>
      <c r="AK119">
        <v>117</v>
      </c>
      <c r="AL119">
        <v>116</v>
      </c>
      <c r="AM119">
        <v>4790.21</v>
      </c>
      <c r="AN119">
        <v>4786.3280999999997</v>
      </c>
      <c r="AO119">
        <v>3.8818999999999999</v>
      </c>
      <c r="AP119">
        <v>15.0695</v>
      </c>
      <c r="AQ119">
        <v>1.346E-3</v>
      </c>
      <c r="AR119">
        <v>1.4899999999999999E-4</v>
      </c>
      <c r="AY119">
        <v>117</v>
      </c>
      <c r="AZ119">
        <v>116</v>
      </c>
      <c r="BA119">
        <v>4790.21</v>
      </c>
      <c r="BB119">
        <v>4786.3280999999997</v>
      </c>
      <c r="BC119">
        <v>3.8818999999999999</v>
      </c>
      <c r="BD119">
        <v>15.0695</v>
      </c>
      <c r="BE119">
        <v>13456</v>
      </c>
    </row>
    <row r="120" spans="1:57" x14ac:dyDescent="0.55000000000000004">
      <c r="A120">
        <v>1776636902</v>
      </c>
      <c r="B120" t="s">
        <v>72</v>
      </c>
      <c r="C120" t="s">
        <v>73</v>
      </c>
      <c r="D120">
        <v>4784.84</v>
      </c>
      <c r="E120">
        <v>4518.5928199999998</v>
      </c>
      <c r="F120">
        <v>4596.0559499999999</v>
      </c>
      <c r="G120">
        <v>4755.40355</v>
      </c>
      <c r="H120">
        <v>4792.7697200000002</v>
      </c>
      <c r="Q120">
        <v>4786.0604499999999</v>
      </c>
      <c r="R120">
        <v>4815.4237499999999</v>
      </c>
      <c r="S120">
        <v>4842.0125200000002</v>
      </c>
      <c r="V120">
        <v>4751.12068</v>
      </c>
      <c r="W120">
        <v>4717.5556800000004</v>
      </c>
      <c r="AB120">
        <v>4795.0861500000001</v>
      </c>
      <c r="AC120">
        <v>4806.7992599999998</v>
      </c>
      <c r="AD120">
        <v>0</v>
      </c>
      <c r="AK120">
        <v>118</v>
      </c>
      <c r="AL120">
        <v>117</v>
      </c>
      <c r="AM120">
        <v>4784.84</v>
      </c>
      <c r="AN120">
        <v>4786.0604000000003</v>
      </c>
      <c r="AO120">
        <v>-1.2203999999999999</v>
      </c>
      <c r="AP120">
        <v>1.4895</v>
      </c>
      <c r="AQ120">
        <v>-4.1999999999999998E-5</v>
      </c>
      <c r="AR120">
        <v>9.9999999999999995E-7</v>
      </c>
      <c r="AY120">
        <v>118</v>
      </c>
      <c r="AZ120">
        <v>117</v>
      </c>
      <c r="BA120">
        <v>4784.84</v>
      </c>
      <c r="BB120">
        <v>4786.0604000000003</v>
      </c>
      <c r="BC120">
        <v>-1.2203999999999999</v>
      </c>
      <c r="BD120">
        <v>1.4895</v>
      </c>
      <c r="BE120">
        <v>13689</v>
      </c>
    </row>
    <row r="121" spans="1:57" x14ac:dyDescent="0.55000000000000004">
      <c r="A121">
        <v>1776637802</v>
      </c>
      <c r="B121" t="s">
        <v>72</v>
      </c>
      <c r="C121" t="s">
        <v>73</v>
      </c>
      <c r="D121">
        <v>4780.29</v>
      </c>
      <c r="E121">
        <v>4518.5928199999998</v>
      </c>
      <c r="F121">
        <v>4596.0559499999999</v>
      </c>
      <c r="G121">
        <v>4755.40355</v>
      </c>
      <c r="H121">
        <v>4792.7697200000002</v>
      </c>
      <c r="Q121">
        <v>4785.7928400000001</v>
      </c>
      <c r="R121">
        <v>4815.1561400000001</v>
      </c>
      <c r="S121">
        <v>4841.7449100000003</v>
      </c>
      <c r="V121">
        <v>4750.8530700000001</v>
      </c>
      <c r="W121">
        <v>4717.2880800000003</v>
      </c>
      <c r="AB121">
        <v>4783.6801699999996</v>
      </c>
      <c r="AC121">
        <v>4795.2397199999996</v>
      </c>
      <c r="AD121">
        <v>0</v>
      </c>
      <c r="AK121">
        <v>119</v>
      </c>
      <c r="AL121">
        <v>118</v>
      </c>
      <c r="AM121">
        <v>4780.29</v>
      </c>
      <c r="AN121">
        <v>4785.7928000000002</v>
      </c>
      <c r="AO121">
        <v>-5.5027999999999997</v>
      </c>
      <c r="AP121">
        <v>30.281199999999998</v>
      </c>
      <c r="AQ121">
        <v>-3.833E-3</v>
      </c>
      <c r="AR121">
        <v>5.9999999999999995E-4</v>
      </c>
      <c r="AY121">
        <v>119</v>
      </c>
      <c r="AZ121">
        <v>118</v>
      </c>
      <c r="BA121">
        <v>4780.29</v>
      </c>
      <c r="BB121">
        <v>4785.7928000000002</v>
      </c>
      <c r="BC121">
        <v>-5.5027999999999997</v>
      </c>
      <c r="BD121">
        <v>30.281199999999998</v>
      </c>
      <c r="BE121">
        <v>13924</v>
      </c>
    </row>
    <row r="122" spans="1:57" x14ac:dyDescent="0.55000000000000004">
      <c r="A122">
        <v>1776638702</v>
      </c>
      <c r="B122" t="s">
        <v>72</v>
      </c>
      <c r="C122" t="s">
        <v>73</v>
      </c>
      <c r="D122">
        <v>4779.2299999999996</v>
      </c>
      <c r="E122">
        <v>4518.5928199999998</v>
      </c>
      <c r="F122">
        <v>4596.0559499999999</v>
      </c>
      <c r="G122">
        <v>4755.40355</v>
      </c>
      <c r="H122">
        <v>4792.7697200000002</v>
      </c>
      <c r="Q122">
        <v>4785.5252399999999</v>
      </c>
      <c r="R122">
        <v>4814.8885399999999</v>
      </c>
      <c r="S122">
        <v>4841.4773100000002</v>
      </c>
      <c r="V122">
        <v>4750.58547</v>
      </c>
      <c r="W122">
        <v>4717.0204700000004</v>
      </c>
      <c r="AB122">
        <v>4773.6805999999997</v>
      </c>
      <c r="AC122">
        <v>4784.4601599999996</v>
      </c>
      <c r="AD122">
        <v>0</v>
      </c>
      <c r="AK122">
        <v>120</v>
      </c>
      <c r="AL122">
        <v>119</v>
      </c>
      <c r="AM122">
        <v>4779.2299999999996</v>
      </c>
      <c r="AN122">
        <v>4785.5252</v>
      </c>
      <c r="AO122">
        <v>-6.2952000000000004</v>
      </c>
      <c r="AP122">
        <v>39.630000000000003</v>
      </c>
      <c r="AQ122">
        <v>-5.7390000000000002E-3</v>
      </c>
      <c r="AR122">
        <v>1.0280000000000001E-3</v>
      </c>
      <c r="AY122">
        <v>120</v>
      </c>
      <c r="AZ122">
        <v>119</v>
      </c>
      <c r="BA122">
        <v>4779.2299999999996</v>
      </c>
      <c r="BB122">
        <v>4785.5252</v>
      </c>
      <c r="BC122">
        <v>-6.2952000000000004</v>
      </c>
      <c r="BD122">
        <v>39.630000000000003</v>
      </c>
      <c r="BE122">
        <v>14161</v>
      </c>
    </row>
    <row r="123" spans="1:57" x14ac:dyDescent="0.55000000000000004">
      <c r="A123">
        <v>1776639602</v>
      </c>
      <c r="B123" t="s">
        <v>72</v>
      </c>
      <c r="C123" t="s">
        <v>73</v>
      </c>
      <c r="D123">
        <v>4772.6499999999996</v>
      </c>
      <c r="E123">
        <v>4518.5928199999998</v>
      </c>
      <c r="F123">
        <v>4596.0559499999999</v>
      </c>
      <c r="G123">
        <v>4755.40355</v>
      </c>
      <c r="H123">
        <v>4792.7697200000002</v>
      </c>
      <c r="Q123">
        <v>4785.2576399999998</v>
      </c>
      <c r="R123">
        <v>4814.62093</v>
      </c>
      <c r="S123">
        <v>4841.2097100000001</v>
      </c>
      <c r="V123">
        <v>4750.3178699999999</v>
      </c>
      <c r="W123">
        <v>4716.7528700000003</v>
      </c>
      <c r="AB123">
        <v>4765.4237700000003</v>
      </c>
      <c r="AC123">
        <v>4774.9419600000001</v>
      </c>
      <c r="AD123">
        <v>0</v>
      </c>
      <c r="AK123">
        <v>121</v>
      </c>
      <c r="AL123">
        <v>120</v>
      </c>
      <c r="AM123">
        <v>4772.6499999999996</v>
      </c>
      <c r="AN123">
        <v>4785.2575999999999</v>
      </c>
      <c r="AO123">
        <v>-12.6076</v>
      </c>
      <c r="AP123">
        <v>158.95259999999999</v>
      </c>
      <c r="AQ123">
        <v>-4.6101999999999997E-2</v>
      </c>
      <c r="AR123">
        <v>1.6531000000000001E-2</v>
      </c>
      <c r="AY123">
        <v>121</v>
      </c>
      <c r="AZ123">
        <v>120</v>
      </c>
      <c r="BA123">
        <v>4772.6499999999996</v>
      </c>
      <c r="BB123">
        <v>4785.2575999999999</v>
      </c>
      <c r="BC123">
        <v>-12.6076</v>
      </c>
      <c r="BD123">
        <v>158.95259999999999</v>
      </c>
      <c r="BE123">
        <v>14400</v>
      </c>
    </row>
    <row r="124" spans="1:57" x14ac:dyDescent="0.55000000000000004">
      <c r="A124">
        <v>1776640502</v>
      </c>
      <c r="B124" t="s">
        <v>72</v>
      </c>
      <c r="C124" t="s">
        <v>73</v>
      </c>
      <c r="D124">
        <v>4769.43</v>
      </c>
      <c r="E124">
        <v>4518.5928199999998</v>
      </c>
      <c r="F124">
        <v>4596.0559499999999</v>
      </c>
      <c r="G124">
        <v>4755.40355</v>
      </c>
      <c r="H124">
        <v>4792.7697200000002</v>
      </c>
      <c r="Q124">
        <v>4784.9900299999999</v>
      </c>
      <c r="R124">
        <v>4814.3533299999999</v>
      </c>
      <c r="S124">
        <v>4840.9421000000002</v>
      </c>
      <c r="V124">
        <v>4750.05026</v>
      </c>
      <c r="W124">
        <v>4716.4852700000001</v>
      </c>
      <c r="AB124">
        <v>4759.3575000000001</v>
      </c>
      <c r="AC124">
        <v>4767.1497300000001</v>
      </c>
      <c r="AD124">
        <v>0</v>
      </c>
      <c r="AK124">
        <v>122</v>
      </c>
      <c r="AL124">
        <v>121</v>
      </c>
      <c r="AM124">
        <v>4769.43</v>
      </c>
      <c r="AN124">
        <v>4784.99</v>
      </c>
      <c r="AO124">
        <v>-15.56</v>
      </c>
      <c r="AP124">
        <v>242.11449999999999</v>
      </c>
      <c r="AQ124">
        <v>-8.6666000000000007E-2</v>
      </c>
      <c r="AR124">
        <v>3.8352999999999998E-2</v>
      </c>
      <c r="AY124">
        <v>122</v>
      </c>
      <c r="AZ124">
        <v>121</v>
      </c>
      <c r="BA124">
        <v>4769.43</v>
      </c>
      <c r="BB124">
        <v>4784.99</v>
      </c>
      <c r="BC124">
        <v>-15.56</v>
      </c>
      <c r="BD124">
        <v>242.11449999999999</v>
      </c>
      <c r="BE124">
        <v>14641</v>
      </c>
    </row>
    <row r="125" spans="1:57" x14ac:dyDescent="0.55000000000000004">
      <c r="A125">
        <v>1776641402</v>
      </c>
      <c r="B125" t="s">
        <v>72</v>
      </c>
      <c r="C125" t="s">
        <v>73</v>
      </c>
      <c r="D125">
        <v>4752.0600000000004</v>
      </c>
      <c r="E125">
        <v>4518.5928199999998</v>
      </c>
      <c r="F125">
        <v>4596.0559499999999</v>
      </c>
      <c r="G125">
        <v>4755.40355</v>
      </c>
      <c r="H125">
        <v>4792.7697200000002</v>
      </c>
      <c r="Q125">
        <v>4784.7224299999998</v>
      </c>
      <c r="R125">
        <v>4814.0857299999998</v>
      </c>
      <c r="S125">
        <v>4840.6745000000001</v>
      </c>
      <c r="V125">
        <v>4749.7826599999999</v>
      </c>
      <c r="W125">
        <v>4716.2176600000003</v>
      </c>
      <c r="AB125">
        <v>4755.8321599999999</v>
      </c>
      <c r="AC125">
        <v>4761.4909399999997</v>
      </c>
      <c r="AD125">
        <v>0</v>
      </c>
      <c r="AK125">
        <v>123</v>
      </c>
      <c r="AL125">
        <v>122</v>
      </c>
      <c r="AM125">
        <v>4752.0600000000004</v>
      </c>
      <c r="AN125">
        <v>4784.7223999999997</v>
      </c>
      <c r="AO125">
        <v>-32.662399999999998</v>
      </c>
      <c r="AP125">
        <v>1066.8343</v>
      </c>
      <c r="AQ125">
        <v>-0.80160600000000004</v>
      </c>
      <c r="AR125">
        <v>0.74464300000000005</v>
      </c>
      <c r="AY125">
        <v>123</v>
      </c>
      <c r="AZ125">
        <v>122</v>
      </c>
      <c r="BA125">
        <v>4752.0600000000004</v>
      </c>
      <c r="BB125">
        <v>4784.7223999999997</v>
      </c>
      <c r="BC125">
        <v>-32.662399999999998</v>
      </c>
      <c r="BD125">
        <v>1066.8343</v>
      </c>
      <c r="BE125">
        <v>14884</v>
      </c>
    </row>
    <row r="126" spans="1:57" x14ac:dyDescent="0.55000000000000004">
      <c r="A126">
        <v>1776642302</v>
      </c>
      <c r="B126" t="s">
        <v>72</v>
      </c>
      <c r="C126" t="s">
        <v>73</v>
      </c>
      <c r="D126">
        <v>4755.07</v>
      </c>
      <c r="E126">
        <v>4518.5928199999998</v>
      </c>
      <c r="F126">
        <v>4596.0559499999999</v>
      </c>
      <c r="G126">
        <v>4755.40355</v>
      </c>
      <c r="H126">
        <v>4792.7697200000002</v>
      </c>
      <c r="Q126">
        <v>4784.4548199999999</v>
      </c>
      <c r="R126">
        <v>4813.8181199999999</v>
      </c>
      <c r="S126">
        <v>4840.4068900000002</v>
      </c>
      <c r="V126">
        <v>4749.51505</v>
      </c>
      <c r="W126">
        <v>4715.9500600000001</v>
      </c>
      <c r="AA126">
        <v>4736.96</v>
      </c>
      <c r="AB126">
        <v>4755.5053500000004</v>
      </c>
      <c r="AC126">
        <v>4758.4981500000004</v>
      </c>
      <c r="AD126">
        <v>0</v>
      </c>
      <c r="AK126">
        <v>124</v>
      </c>
      <c r="AL126">
        <v>123</v>
      </c>
      <c r="AM126">
        <v>4755.07</v>
      </c>
      <c r="AN126">
        <v>4784.4548000000004</v>
      </c>
      <c r="AO126">
        <v>-29.384799999999998</v>
      </c>
      <c r="AP126">
        <v>863.46759999999995</v>
      </c>
      <c r="AQ126">
        <v>-0.58369300000000002</v>
      </c>
      <c r="AR126">
        <v>0.48780499999999999</v>
      </c>
      <c r="AY126">
        <v>124</v>
      </c>
      <c r="AZ126">
        <v>123</v>
      </c>
      <c r="BA126">
        <v>4755.07</v>
      </c>
      <c r="BB126">
        <v>4784.4548000000004</v>
      </c>
      <c r="BC126">
        <v>-29.384799999999998</v>
      </c>
      <c r="BD126">
        <v>863.46759999999995</v>
      </c>
      <c r="BE126">
        <v>15129</v>
      </c>
    </row>
    <row r="127" spans="1:57" x14ac:dyDescent="0.55000000000000004">
      <c r="A127">
        <v>1776643202</v>
      </c>
      <c r="B127" t="s">
        <v>72</v>
      </c>
      <c r="C127" t="s">
        <v>73</v>
      </c>
      <c r="D127">
        <v>4752.17</v>
      </c>
      <c r="E127">
        <v>4518.5928199999998</v>
      </c>
      <c r="F127">
        <v>4596.0559499999999</v>
      </c>
      <c r="G127">
        <v>4755.40355</v>
      </c>
      <c r="H127">
        <v>4792.7697200000002</v>
      </c>
      <c r="Q127">
        <v>4784.1872199999998</v>
      </c>
      <c r="R127">
        <v>4813.5505199999998</v>
      </c>
      <c r="S127">
        <v>4840.1392900000001</v>
      </c>
      <c r="V127">
        <v>4749.2474499999998</v>
      </c>
      <c r="W127">
        <v>4715.6824500000002</v>
      </c>
      <c r="AB127">
        <v>4758.2688799999996</v>
      </c>
      <c r="AC127">
        <v>4758.3835099999997</v>
      </c>
      <c r="AD127">
        <v>0</v>
      </c>
      <c r="AK127">
        <v>125</v>
      </c>
      <c r="AL127">
        <v>124</v>
      </c>
      <c r="AM127">
        <v>4752.17</v>
      </c>
      <c r="AN127">
        <v>4784.1872000000003</v>
      </c>
      <c r="AO127">
        <v>-32.017200000000003</v>
      </c>
      <c r="AP127">
        <v>1025.1024</v>
      </c>
      <c r="AQ127">
        <v>-0.75503399999999998</v>
      </c>
      <c r="AR127">
        <v>0.68752500000000005</v>
      </c>
      <c r="AY127">
        <v>125</v>
      </c>
      <c r="AZ127">
        <v>124</v>
      </c>
      <c r="BA127">
        <v>4752.17</v>
      </c>
      <c r="BB127">
        <v>4784.1872000000003</v>
      </c>
      <c r="BC127">
        <v>-32.017200000000003</v>
      </c>
      <c r="BD127">
        <v>1025.1024</v>
      </c>
      <c r="BE127">
        <v>15376</v>
      </c>
    </row>
    <row r="128" spans="1:57" x14ac:dyDescent="0.55000000000000004">
      <c r="A128">
        <v>1776644102</v>
      </c>
      <c r="B128" t="s">
        <v>72</v>
      </c>
      <c r="C128" t="s">
        <v>73</v>
      </c>
      <c r="D128">
        <v>4765.66</v>
      </c>
      <c r="E128">
        <v>4518.5928199999998</v>
      </c>
      <c r="F128">
        <v>4596.0559499999999</v>
      </c>
      <c r="G128">
        <v>4755.40355</v>
      </c>
      <c r="H128">
        <v>4792.7697200000002</v>
      </c>
      <c r="Q128">
        <v>4783.9196199999997</v>
      </c>
      <c r="R128">
        <v>4813.2829099999999</v>
      </c>
      <c r="S128">
        <v>4839.8716899999999</v>
      </c>
      <c r="V128">
        <v>4748.9798499999997</v>
      </c>
      <c r="W128">
        <v>4715.4148500000001</v>
      </c>
      <c r="AB128">
        <v>4763.91219</v>
      </c>
      <c r="AC128">
        <v>4761.1478500000003</v>
      </c>
      <c r="AD128">
        <v>1</v>
      </c>
      <c r="AK128">
        <v>126</v>
      </c>
      <c r="AL128">
        <v>125</v>
      </c>
      <c r="AM128">
        <v>4765.66</v>
      </c>
      <c r="AN128">
        <v>4783.9196000000002</v>
      </c>
      <c r="AO128">
        <v>-18.259599999999999</v>
      </c>
      <c r="AP128">
        <v>333.41370000000001</v>
      </c>
      <c r="AQ128">
        <v>-0.14005200000000001</v>
      </c>
      <c r="AR128">
        <v>7.2731000000000004E-2</v>
      </c>
      <c r="AY128">
        <v>126</v>
      </c>
      <c r="AZ128">
        <v>125</v>
      </c>
      <c r="BA128">
        <v>4765.66</v>
      </c>
      <c r="BB128">
        <v>4783.9196000000002</v>
      </c>
      <c r="BC128">
        <v>-18.259599999999999</v>
      </c>
      <c r="BD128">
        <v>333.41370000000001</v>
      </c>
      <c r="BE128">
        <v>15625</v>
      </c>
    </row>
    <row r="129" spans="1:57" x14ac:dyDescent="0.55000000000000004">
      <c r="A129">
        <v>1776645002</v>
      </c>
      <c r="B129" t="s">
        <v>72</v>
      </c>
      <c r="C129" t="s">
        <v>73</v>
      </c>
      <c r="D129">
        <v>4764.3</v>
      </c>
      <c r="E129">
        <v>4518.5928199999998</v>
      </c>
      <c r="F129">
        <v>4596.0559499999999</v>
      </c>
      <c r="G129">
        <v>4755.40355</v>
      </c>
      <c r="H129">
        <v>4792.7697200000002</v>
      </c>
      <c r="Q129">
        <v>4783.6520099999998</v>
      </c>
      <c r="R129">
        <v>4813.0153099999998</v>
      </c>
      <c r="S129">
        <v>4839.6040800000001</v>
      </c>
      <c r="V129">
        <v>4748.7122399999998</v>
      </c>
      <c r="W129">
        <v>4715.14725</v>
      </c>
      <c r="AB129">
        <v>4771.4810900000002</v>
      </c>
      <c r="AC129">
        <v>4766.3144700000003</v>
      </c>
      <c r="AD129">
        <v>0</v>
      </c>
      <c r="AK129">
        <v>127</v>
      </c>
      <c r="AL129">
        <v>126</v>
      </c>
      <c r="AM129">
        <v>4764.3</v>
      </c>
      <c r="AN129">
        <v>4783.652</v>
      </c>
      <c r="AO129">
        <v>-19.352</v>
      </c>
      <c r="AP129">
        <v>374.50029999999998</v>
      </c>
      <c r="AQ129">
        <v>-0.16672200000000001</v>
      </c>
      <c r="AR129">
        <v>9.1760999999999995E-2</v>
      </c>
      <c r="AY129">
        <v>127</v>
      </c>
      <c r="AZ129">
        <v>126</v>
      </c>
      <c r="BA129">
        <v>4764.3</v>
      </c>
      <c r="BB129">
        <v>4783.652</v>
      </c>
      <c r="BC129">
        <v>-19.352</v>
      </c>
      <c r="BD129">
        <v>374.50029999999998</v>
      </c>
      <c r="BE129">
        <v>15876</v>
      </c>
    </row>
    <row r="130" spans="1:57" x14ac:dyDescent="0.55000000000000004">
      <c r="A130">
        <v>1776645902</v>
      </c>
      <c r="B130" t="s">
        <v>72</v>
      </c>
      <c r="C130" t="s">
        <v>73</v>
      </c>
      <c r="D130">
        <v>4772.93</v>
      </c>
      <c r="E130">
        <v>4518.5928199999998</v>
      </c>
      <c r="F130">
        <v>4596.0559499999999</v>
      </c>
      <c r="G130">
        <v>4755.40355</v>
      </c>
      <c r="H130">
        <v>4792.7697200000002</v>
      </c>
      <c r="Q130">
        <v>4783.3844099999997</v>
      </c>
      <c r="R130">
        <v>4812.7477099999996</v>
      </c>
      <c r="S130">
        <v>4839.3364799999999</v>
      </c>
      <c r="V130">
        <v>4748.4446399999997</v>
      </c>
      <c r="W130">
        <v>4714.8796400000001</v>
      </c>
      <c r="AB130">
        <v>4780.2050399999998</v>
      </c>
      <c r="AC130">
        <v>4773.2597599999999</v>
      </c>
      <c r="AD130">
        <v>0</v>
      </c>
      <c r="AK130">
        <v>128</v>
      </c>
      <c r="AL130">
        <v>127</v>
      </c>
      <c r="AM130">
        <v>4772.93</v>
      </c>
      <c r="AN130">
        <v>4783.3843999999999</v>
      </c>
      <c r="AO130">
        <v>-10.4544</v>
      </c>
      <c r="AP130">
        <v>109.29470000000001</v>
      </c>
      <c r="AQ130">
        <v>-2.6284999999999999E-2</v>
      </c>
      <c r="AR130">
        <v>7.8150000000000008E-3</v>
      </c>
      <c r="AY130">
        <v>128</v>
      </c>
      <c r="AZ130">
        <v>127</v>
      </c>
      <c r="BA130">
        <v>4772.93</v>
      </c>
      <c r="BB130">
        <v>4783.3843999999999</v>
      </c>
      <c r="BC130">
        <v>-10.4544</v>
      </c>
      <c r="BD130">
        <v>109.29470000000001</v>
      </c>
      <c r="BE130">
        <v>16129</v>
      </c>
    </row>
    <row r="131" spans="1:57" x14ac:dyDescent="0.55000000000000004">
      <c r="A131">
        <v>1776646802</v>
      </c>
      <c r="B131" t="s">
        <v>72</v>
      </c>
      <c r="C131" t="s">
        <v>73</v>
      </c>
      <c r="D131">
        <v>4793.92</v>
      </c>
      <c r="E131">
        <v>4518.5928199999998</v>
      </c>
      <c r="F131">
        <v>4596.0559499999999</v>
      </c>
      <c r="G131">
        <v>4755.40355</v>
      </c>
      <c r="H131">
        <v>4792.7697200000002</v>
      </c>
      <c r="Q131">
        <v>4783.1167999999998</v>
      </c>
      <c r="R131">
        <v>4812.4800999999998</v>
      </c>
      <c r="S131">
        <v>4839.0688700000001</v>
      </c>
      <c r="V131">
        <v>4748.1770299999998</v>
      </c>
      <c r="W131">
        <v>4714.61204</v>
      </c>
      <c r="AB131">
        <v>4788.9433300000001</v>
      </c>
      <c r="AC131">
        <v>4781.1015399999997</v>
      </c>
      <c r="AD131">
        <v>0</v>
      </c>
      <c r="AK131">
        <v>129</v>
      </c>
      <c r="AL131">
        <v>128</v>
      </c>
      <c r="AM131">
        <v>4793.92</v>
      </c>
      <c r="AN131">
        <v>4783.1167999999998</v>
      </c>
      <c r="AO131">
        <v>10.8032</v>
      </c>
      <c r="AP131">
        <v>116.70910000000001</v>
      </c>
      <c r="AQ131">
        <v>2.9005E-2</v>
      </c>
      <c r="AR131">
        <v>8.9119999999999998E-3</v>
      </c>
      <c r="AY131">
        <v>129</v>
      </c>
      <c r="AZ131">
        <v>128</v>
      </c>
      <c r="BA131">
        <v>4793.92</v>
      </c>
      <c r="BB131">
        <v>4783.1167999999998</v>
      </c>
      <c r="BC131">
        <v>10.8032</v>
      </c>
      <c r="BD131">
        <v>116.70910000000001</v>
      </c>
      <c r="BE131">
        <v>16384</v>
      </c>
    </row>
    <row r="132" spans="1:57" x14ac:dyDescent="0.55000000000000004">
      <c r="A132">
        <v>1776647702</v>
      </c>
      <c r="B132" t="s">
        <v>72</v>
      </c>
      <c r="C132" t="s">
        <v>73</v>
      </c>
      <c r="D132">
        <v>4802.6899999999996</v>
      </c>
      <c r="E132">
        <v>4518.5928199999998</v>
      </c>
      <c r="F132">
        <v>4596.0559499999999</v>
      </c>
      <c r="G132">
        <v>4755.40355</v>
      </c>
      <c r="H132">
        <v>4792.7697200000002</v>
      </c>
      <c r="Q132">
        <v>4782.8491999999997</v>
      </c>
      <c r="R132">
        <v>4812.2124999999996</v>
      </c>
      <c r="S132">
        <v>4838.8012699999999</v>
      </c>
      <c r="V132">
        <v>4747.9094299999997</v>
      </c>
      <c r="W132">
        <v>4714.3444300000001</v>
      </c>
      <c r="AB132">
        <v>4796.2725700000001</v>
      </c>
      <c r="AC132">
        <v>4788.6870600000002</v>
      </c>
      <c r="AD132">
        <v>0</v>
      </c>
      <c r="AK132">
        <v>130</v>
      </c>
      <c r="AL132">
        <v>129</v>
      </c>
      <c r="AM132">
        <v>4802.6899999999996</v>
      </c>
      <c r="AN132">
        <v>4782.8491999999997</v>
      </c>
      <c r="AO132">
        <v>19.840800000000002</v>
      </c>
      <c r="AP132">
        <v>393.65730000000002</v>
      </c>
      <c r="AQ132">
        <v>0.179677</v>
      </c>
      <c r="AR132">
        <v>0.10138900000000001</v>
      </c>
      <c r="AY132">
        <v>130</v>
      </c>
      <c r="AZ132">
        <v>129</v>
      </c>
      <c r="BA132">
        <v>4802.6899999999996</v>
      </c>
      <c r="BB132">
        <v>4782.8491999999997</v>
      </c>
      <c r="BC132">
        <v>19.840800000000002</v>
      </c>
      <c r="BD132">
        <v>393.65730000000002</v>
      </c>
      <c r="BE132">
        <v>16641</v>
      </c>
    </row>
    <row r="133" spans="1:57" x14ac:dyDescent="0.55000000000000004">
      <c r="A133">
        <v>1776648602</v>
      </c>
      <c r="B133" t="s">
        <v>72</v>
      </c>
      <c r="C133" t="s">
        <v>73</v>
      </c>
      <c r="D133">
        <v>4807.2</v>
      </c>
      <c r="E133">
        <v>4518.5928199999998</v>
      </c>
      <c r="F133">
        <v>4596.0559499999999</v>
      </c>
      <c r="G133">
        <v>4755.40355</v>
      </c>
      <c r="H133">
        <v>4792.7697200000002</v>
      </c>
      <c r="Q133">
        <v>4782.5816000000004</v>
      </c>
      <c r="R133">
        <v>4811.9448899999998</v>
      </c>
      <c r="S133">
        <v>4838.5336600000001</v>
      </c>
      <c r="V133">
        <v>4747.6418199999998</v>
      </c>
      <c r="W133">
        <v>4714.07683</v>
      </c>
      <c r="AB133">
        <v>4801.36294</v>
      </c>
      <c r="AC133">
        <v>4795.0249999999996</v>
      </c>
      <c r="AD133">
        <v>0</v>
      </c>
      <c r="AK133">
        <v>131</v>
      </c>
      <c r="AL133">
        <v>130</v>
      </c>
      <c r="AM133">
        <v>4807.2</v>
      </c>
      <c r="AN133">
        <v>4782.5816000000004</v>
      </c>
      <c r="AO133">
        <v>24.618400000000001</v>
      </c>
      <c r="AP133">
        <v>606.06560000000002</v>
      </c>
      <c r="AQ133">
        <v>0.34323799999999999</v>
      </c>
      <c r="AR133">
        <v>0.24032200000000001</v>
      </c>
      <c r="AY133">
        <v>131</v>
      </c>
      <c r="AZ133">
        <v>130</v>
      </c>
      <c r="BA133">
        <v>4807.2</v>
      </c>
      <c r="BB133">
        <v>4782.5816000000004</v>
      </c>
      <c r="BC133">
        <v>24.618400000000001</v>
      </c>
      <c r="BD133">
        <v>606.06560000000002</v>
      </c>
      <c r="BE133">
        <v>16900</v>
      </c>
    </row>
    <row r="134" spans="1:57" x14ac:dyDescent="0.55000000000000004">
      <c r="A134">
        <v>1776649502</v>
      </c>
      <c r="B134" t="s">
        <v>72</v>
      </c>
      <c r="C134" t="s">
        <v>73</v>
      </c>
      <c r="D134">
        <v>4807.6000000000004</v>
      </c>
      <c r="E134">
        <v>4518.5928199999998</v>
      </c>
      <c r="F134">
        <v>4596.0559499999999</v>
      </c>
      <c r="G134">
        <v>4755.40355</v>
      </c>
      <c r="H134">
        <v>4792.7697200000002</v>
      </c>
      <c r="Q134">
        <v>4782.3139899999996</v>
      </c>
      <c r="R134">
        <v>4811.6772899999996</v>
      </c>
      <c r="S134">
        <v>4838.2660599999999</v>
      </c>
      <c r="V134">
        <v>4747.3742199999997</v>
      </c>
      <c r="W134">
        <v>4713.8092200000001</v>
      </c>
      <c r="AB134">
        <v>4803.90859</v>
      </c>
      <c r="AC134">
        <v>4799.4668000000001</v>
      </c>
      <c r="AD134">
        <v>0</v>
      </c>
      <c r="AK134">
        <v>132</v>
      </c>
      <c r="AL134">
        <v>131</v>
      </c>
      <c r="AM134">
        <v>4807.6000000000004</v>
      </c>
      <c r="AN134">
        <v>4782.3140000000003</v>
      </c>
      <c r="AO134">
        <v>25.286000000000001</v>
      </c>
      <c r="AP134">
        <v>639.38229999999999</v>
      </c>
      <c r="AQ134">
        <v>0.37192599999999998</v>
      </c>
      <c r="AR134">
        <v>0.26746999999999999</v>
      </c>
      <c r="AY134">
        <v>132</v>
      </c>
      <c r="AZ134">
        <v>131</v>
      </c>
      <c r="BA134">
        <v>4807.6000000000004</v>
      </c>
      <c r="BB134">
        <v>4782.3140000000003</v>
      </c>
      <c r="BC134">
        <v>25.286000000000001</v>
      </c>
      <c r="BD134">
        <v>639.38229999999999</v>
      </c>
      <c r="BE134">
        <v>17161</v>
      </c>
    </row>
    <row r="135" spans="1:57" x14ac:dyDescent="0.55000000000000004">
      <c r="A135">
        <v>1776650402</v>
      </c>
      <c r="B135" t="s">
        <v>72</v>
      </c>
      <c r="C135" t="s">
        <v>73</v>
      </c>
      <c r="D135">
        <v>4800.99</v>
      </c>
      <c r="E135">
        <v>4518.5928199999998</v>
      </c>
      <c r="F135">
        <v>4596.0559499999999</v>
      </c>
      <c r="G135">
        <v>4755.40355</v>
      </c>
      <c r="H135">
        <v>4792.7697200000002</v>
      </c>
      <c r="Q135">
        <v>4782.0463900000004</v>
      </c>
      <c r="R135">
        <v>4811.4096900000004</v>
      </c>
      <c r="S135">
        <v>4837.9984599999998</v>
      </c>
      <c r="V135">
        <v>4747.1066199999996</v>
      </c>
      <c r="W135">
        <v>4713.54162</v>
      </c>
      <c r="AB135">
        <v>4804.1204699999998</v>
      </c>
      <c r="AC135">
        <v>4801.7936300000001</v>
      </c>
      <c r="AD135">
        <v>0</v>
      </c>
      <c r="AK135">
        <v>133</v>
      </c>
      <c r="AL135">
        <v>132</v>
      </c>
      <c r="AM135">
        <v>4800.99</v>
      </c>
      <c r="AN135">
        <v>4782.0464000000002</v>
      </c>
      <c r="AO135">
        <v>18.9436</v>
      </c>
      <c r="AP135">
        <v>358.86040000000003</v>
      </c>
      <c r="AQ135">
        <v>0.156388</v>
      </c>
      <c r="AR135">
        <v>8.4256999999999999E-2</v>
      </c>
      <c r="AY135">
        <v>133</v>
      </c>
      <c r="AZ135">
        <v>132</v>
      </c>
      <c r="BA135">
        <v>4800.99</v>
      </c>
      <c r="BB135">
        <v>4782.0464000000002</v>
      </c>
      <c r="BC135">
        <v>18.9436</v>
      </c>
      <c r="BD135">
        <v>358.86040000000003</v>
      </c>
      <c r="BE135">
        <v>17424</v>
      </c>
    </row>
    <row r="136" spans="1:57" x14ac:dyDescent="0.55000000000000004">
      <c r="A136">
        <v>1776651302</v>
      </c>
      <c r="B136" t="s">
        <v>72</v>
      </c>
      <c r="C136" t="s">
        <v>73</v>
      </c>
      <c r="D136">
        <v>4800.46</v>
      </c>
      <c r="E136">
        <v>4518.5928199999998</v>
      </c>
      <c r="F136">
        <v>4596.0559499999999</v>
      </c>
      <c r="G136">
        <v>4755.40355</v>
      </c>
      <c r="H136">
        <v>4792.7697200000002</v>
      </c>
      <c r="Q136">
        <v>4781.7787799999996</v>
      </c>
      <c r="R136">
        <v>4811.1420799999996</v>
      </c>
      <c r="S136">
        <v>4837.7308499999999</v>
      </c>
      <c r="V136">
        <v>4746.8390099999997</v>
      </c>
      <c r="W136">
        <v>4713.2740199999998</v>
      </c>
      <c r="AB136">
        <v>4802.6938600000003</v>
      </c>
      <c r="AC136">
        <v>4802.2437499999996</v>
      </c>
      <c r="AD136">
        <v>0</v>
      </c>
      <c r="AK136">
        <v>134</v>
      </c>
      <c r="AL136">
        <v>133</v>
      </c>
      <c r="AM136">
        <v>4800.46</v>
      </c>
      <c r="AN136">
        <v>4781.7788</v>
      </c>
      <c r="AO136">
        <v>18.6812</v>
      </c>
      <c r="AP136">
        <v>348.988</v>
      </c>
      <c r="AQ136">
        <v>0.149979</v>
      </c>
      <c r="AR136">
        <v>7.9685000000000006E-2</v>
      </c>
      <c r="AY136">
        <v>134</v>
      </c>
      <c r="AZ136">
        <v>133</v>
      </c>
      <c r="BA136">
        <v>4800.46</v>
      </c>
      <c r="BB136">
        <v>4781.7788</v>
      </c>
      <c r="BC136">
        <v>18.6812</v>
      </c>
      <c r="BD136">
        <v>348.988</v>
      </c>
      <c r="BE136">
        <v>17689</v>
      </c>
    </row>
    <row r="137" spans="1:57" x14ac:dyDescent="0.55000000000000004">
      <c r="A137">
        <v>1776652202</v>
      </c>
      <c r="B137" t="s">
        <v>72</v>
      </c>
      <c r="C137" t="s">
        <v>73</v>
      </c>
      <c r="D137">
        <v>4796.33</v>
      </c>
      <c r="E137">
        <v>4518.5928199999998</v>
      </c>
      <c r="F137">
        <v>4596.0559499999999</v>
      </c>
      <c r="G137">
        <v>4755.40355</v>
      </c>
      <c r="H137">
        <v>4792.7697200000002</v>
      </c>
      <c r="Q137">
        <v>4781.5111800000004</v>
      </c>
      <c r="R137">
        <v>4810.8744800000004</v>
      </c>
      <c r="S137">
        <v>4837.4632499999998</v>
      </c>
      <c r="V137">
        <v>4746.5714099999996</v>
      </c>
      <c r="W137">
        <v>4713.00641</v>
      </c>
      <c r="AB137">
        <v>4800.2767700000004</v>
      </c>
      <c r="AC137">
        <v>4801.26026</v>
      </c>
      <c r="AD137">
        <v>1</v>
      </c>
      <c r="AK137">
        <v>135</v>
      </c>
      <c r="AL137">
        <v>134</v>
      </c>
      <c r="AM137">
        <v>4796.33</v>
      </c>
      <c r="AN137">
        <v>4781.5111999999999</v>
      </c>
      <c r="AO137">
        <v>14.8188</v>
      </c>
      <c r="AP137">
        <v>219.59739999999999</v>
      </c>
      <c r="AQ137">
        <v>7.4860999999999997E-2</v>
      </c>
      <c r="AR137">
        <v>3.1551000000000003E-2</v>
      </c>
      <c r="AY137">
        <v>135</v>
      </c>
      <c r="AZ137">
        <v>134</v>
      </c>
      <c r="BA137">
        <v>4796.33</v>
      </c>
      <c r="BB137">
        <v>4781.5111999999999</v>
      </c>
      <c r="BC137">
        <v>14.8188</v>
      </c>
      <c r="BD137">
        <v>219.59739999999999</v>
      </c>
      <c r="BE137">
        <v>17956</v>
      </c>
    </row>
    <row r="138" spans="1:57" x14ac:dyDescent="0.55000000000000004">
      <c r="A138">
        <v>1776653102</v>
      </c>
      <c r="B138" t="s">
        <v>72</v>
      </c>
      <c r="C138" t="s">
        <v>73</v>
      </c>
      <c r="D138">
        <v>4797.41</v>
      </c>
      <c r="E138">
        <v>4518.5928199999998</v>
      </c>
      <c r="F138">
        <v>4596.0559499999999</v>
      </c>
      <c r="G138">
        <v>4755.40355</v>
      </c>
      <c r="H138">
        <v>4792.7697200000002</v>
      </c>
      <c r="Q138">
        <v>4781.2435699999996</v>
      </c>
      <c r="R138">
        <v>4810.6068699999996</v>
      </c>
      <c r="S138">
        <v>4837.1956399999999</v>
      </c>
      <c r="V138">
        <v>4746.3037999999997</v>
      </c>
      <c r="W138">
        <v>4712.7388099999998</v>
      </c>
      <c r="AB138">
        <v>4797.6085300000004</v>
      </c>
      <c r="AC138">
        <v>4799.4343900000003</v>
      </c>
      <c r="AD138">
        <v>0</v>
      </c>
      <c r="AK138">
        <v>136</v>
      </c>
      <c r="AL138">
        <v>135</v>
      </c>
      <c r="AM138">
        <v>4797.41</v>
      </c>
      <c r="AN138">
        <v>4781.2435999999998</v>
      </c>
      <c r="AO138">
        <v>16.166399999999999</v>
      </c>
      <c r="AP138">
        <v>261.3535</v>
      </c>
      <c r="AQ138">
        <v>9.7198000000000007E-2</v>
      </c>
      <c r="AR138">
        <v>4.4690000000000001E-2</v>
      </c>
      <c r="AY138">
        <v>136</v>
      </c>
      <c r="AZ138">
        <v>135</v>
      </c>
      <c r="BA138">
        <v>4797.41</v>
      </c>
      <c r="BB138">
        <v>4781.2435999999998</v>
      </c>
      <c r="BC138">
        <v>16.166399999999999</v>
      </c>
      <c r="BD138">
        <v>261.3535</v>
      </c>
      <c r="BE138">
        <v>18225</v>
      </c>
    </row>
    <row r="139" spans="1:57" x14ac:dyDescent="0.55000000000000004">
      <c r="A139">
        <v>1776654002</v>
      </c>
      <c r="B139" t="s">
        <v>72</v>
      </c>
      <c r="C139" t="s">
        <v>73</v>
      </c>
      <c r="D139">
        <v>4791.47</v>
      </c>
      <c r="E139">
        <v>4518.5928199999998</v>
      </c>
      <c r="F139">
        <v>4596.0559499999999</v>
      </c>
      <c r="G139">
        <v>4755.40355</v>
      </c>
      <c r="H139">
        <v>4792.7697200000002</v>
      </c>
      <c r="Q139">
        <v>4780.9759700000004</v>
      </c>
      <c r="R139">
        <v>4810.3392700000004</v>
      </c>
      <c r="S139">
        <v>4836.9280399999998</v>
      </c>
      <c r="V139">
        <v>4746.0361999999996</v>
      </c>
      <c r="W139">
        <v>4712.4712</v>
      </c>
      <c r="AB139">
        <v>4795.1506399999998</v>
      </c>
      <c r="AC139">
        <v>4797.29252</v>
      </c>
      <c r="AD139">
        <v>0</v>
      </c>
      <c r="AK139">
        <v>137</v>
      </c>
      <c r="AL139">
        <v>136</v>
      </c>
      <c r="AM139">
        <v>4791.47</v>
      </c>
      <c r="AN139">
        <v>4780.9759999999997</v>
      </c>
      <c r="AO139">
        <v>10.494</v>
      </c>
      <c r="AP139">
        <v>110.1247</v>
      </c>
      <c r="AQ139">
        <v>2.6585000000000001E-2</v>
      </c>
      <c r="AR139">
        <v>7.9349999999999993E-3</v>
      </c>
      <c r="AY139">
        <v>137</v>
      </c>
      <c r="AZ139">
        <v>136</v>
      </c>
      <c r="BA139">
        <v>4791.47</v>
      </c>
      <c r="BB139">
        <v>4780.9759999999997</v>
      </c>
      <c r="BC139">
        <v>10.494</v>
      </c>
      <c r="BD139">
        <v>110.1247</v>
      </c>
      <c r="BE139">
        <v>18496</v>
      </c>
    </row>
    <row r="140" spans="1:57" x14ac:dyDescent="0.55000000000000004">
      <c r="A140">
        <v>1776654902</v>
      </c>
      <c r="B140" t="s">
        <v>72</v>
      </c>
      <c r="C140" t="s">
        <v>73</v>
      </c>
      <c r="D140">
        <v>4795.1000000000004</v>
      </c>
      <c r="E140">
        <v>4518.5928199999998</v>
      </c>
      <c r="F140">
        <v>4596.0559499999999</v>
      </c>
      <c r="G140">
        <v>4755.40355</v>
      </c>
      <c r="H140">
        <v>4792.7697200000002</v>
      </c>
      <c r="Q140">
        <v>4780.7083700000003</v>
      </c>
      <c r="R140">
        <v>4810.0716700000003</v>
      </c>
      <c r="S140">
        <v>4836.6604399999997</v>
      </c>
      <c r="V140">
        <v>4745.7686000000003</v>
      </c>
      <c r="W140">
        <v>4712.2035999999998</v>
      </c>
      <c r="AB140">
        <v>4793.3458300000002</v>
      </c>
      <c r="AC140">
        <v>4795.3191699999998</v>
      </c>
      <c r="AD140">
        <v>0</v>
      </c>
      <c r="AK140">
        <v>138</v>
      </c>
      <c r="AL140">
        <v>137</v>
      </c>
      <c r="AM140">
        <v>4795.1000000000004</v>
      </c>
      <c r="AN140">
        <v>4780.7084000000004</v>
      </c>
      <c r="AO140">
        <v>14.3916</v>
      </c>
      <c r="AP140">
        <v>207.119</v>
      </c>
      <c r="AQ140">
        <v>6.8571999999999994E-2</v>
      </c>
      <c r="AR140">
        <v>2.8067000000000002E-2</v>
      </c>
      <c r="AY140">
        <v>138</v>
      </c>
      <c r="AZ140">
        <v>137</v>
      </c>
      <c r="BA140">
        <v>4795.1000000000004</v>
      </c>
      <c r="BB140">
        <v>4780.7084000000004</v>
      </c>
      <c r="BC140">
        <v>14.3916</v>
      </c>
      <c r="BD140">
        <v>207.119</v>
      </c>
      <c r="BE140">
        <v>18769</v>
      </c>
    </row>
    <row r="141" spans="1:57" x14ac:dyDescent="0.55000000000000004">
      <c r="A141">
        <v>1776655802</v>
      </c>
      <c r="B141" t="s">
        <v>72</v>
      </c>
      <c r="C141" t="s">
        <v>73</v>
      </c>
      <c r="D141">
        <v>4793.76</v>
      </c>
      <c r="E141">
        <v>4518.5928199999998</v>
      </c>
      <c r="F141">
        <v>4596.0559499999999</v>
      </c>
      <c r="G141">
        <v>4755.40355</v>
      </c>
      <c r="H141">
        <v>4792.7697200000002</v>
      </c>
      <c r="Q141">
        <v>4780.4407600000004</v>
      </c>
      <c r="R141">
        <v>4809.8040600000004</v>
      </c>
      <c r="S141">
        <v>4836.3928299999998</v>
      </c>
      <c r="V141">
        <v>4745.5009899999995</v>
      </c>
      <c r="W141">
        <v>4711.9359999999997</v>
      </c>
      <c r="AB141">
        <v>4792.1382100000001</v>
      </c>
      <c r="AC141">
        <v>4793.7286899999999</v>
      </c>
      <c r="AD141">
        <v>0</v>
      </c>
      <c r="AK141">
        <v>139</v>
      </c>
      <c r="AL141">
        <v>138</v>
      </c>
      <c r="AM141">
        <v>4793.76</v>
      </c>
      <c r="AN141">
        <v>4780.4408000000003</v>
      </c>
      <c r="AO141">
        <v>13.3192</v>
      </c>
      <c r="AP141">
        <v>177.40219999999999</v>
      </c>
      <c r="AQ141">
        <v>5.4357000000000003E-2</v>
      </c>
      <c r="AR141">
        <v>2.0591000000000002E-2</v>
      </c>
      <c r="AY141">
        <v>139</v>
      </c>
      <c r="AZ141">
        <v>138</v>
      </c>
      <c r="BA141">
        <v>4793.76</v>
      </c>
      <c r="BB141">
        <v>4780.4408000000003</v>
      </c>
      <c r="BC141">
        <v>13.3192</v>
      </c>
      <c r="BD141">
        <v>177.40219999999999</v>
      </c>
      <c r="BE141">
        <v>19044</v>
      </c>
    </row>
    <row r="142" spans="1:57" x14ac:dyDescent="0.55000000000000004">
      <c r="A142">
        <v>1776656702</v>
      </c>
      <c r="B142" t="s">
        <v>72</v>
      </c>
      <c r="C142" t="s">
        <v>73</v>
      </c>
      <c r="D142">
        <v>4790.91</v>
      </c>
      <c r="E142">
        <v>4518.5928199999998</v>
      </c>
      <c r="F142">
        <v>4596.0559499999999</v>
      </c>
      <c r="G142">
        <v>4755.40355</v>
      </c>
      <c r="H142">
        <v>4792.7697200000002</v>
      </c>
      <c r="Q142">
        <v>4780.1731600000003</v>
      </c>
      <c r="R142">
        <v>4809.5364600000003</v>
      </c>
      <c r="S142">
        <v>4836.1252299999996</v>
      </c>
      <c r="V142">
        <v>4745.2333900000003</v>
      </c>
      <c r="W142">
        <v>4711.6683899999998</v>
      </c>
      <c r="AB142">
        <v>4791.4216299999998</v>
      </c>
      <c r="AC142">
        <v>4792.5751600000003</v>
      </c>
      <c r="AD142">
        <v>0</v>
      </c>
      <c r="AK142">
        <v>140</v>
      </c>
      <c r="AL142">
        <v>139</v>
      </c>
      <c r="AM142">
        <v>4790.91</v>
      </c>
      <c r="AN142">
        <v>4780.1732000000002</v>
      </c>
      <c r="AO142">
        <v>10.736800000000001</v>
      </c>
      <c r="AP142">
        <v>115.27970000000001</v>
      </c>
      <c r="AQ142">
        <v>2.8473999999999999E-2</v>
      </c>
      <c r="AR142">
        <v>8.6949999999999996E-3</v>
      </c>
      <c r="AY142">
        <v>140</v>
      </c>
      <c r="AZ142">
        <v>139</v>
      </c>
      <c r="BA142">
        <v>4790.91</v>
      </c>
      <c r="BB142">
        <v>4780.1732000000002</v>
      </c>
      <c r="BC142">
        <v>10.736800000000001</v>
      </c>
      <c r="BD142">
        <v>115.27970000000001</v>
      </c>
      <c r="BE142">
        <v>19321</v>
      </c>
    </row>
    <row r="143" spans="1:57" x14ac:dyDescent="0.55000000000000004">
      <c r="A143">
        <v>1776657602</v>
      </c>
      <c r="B143" t="s">
        <v>72</v>
      </c>
      <c r="C143" t="s">
        <v>73</v>
      </c>
      <c r="D143">
        <v>4793.12</v>
      </c>
      <c r="E143">
        <v>4518.5928199999998</v>
      </c>
      <c r="F143">
        <v>4596.0559499999999</v>
      </c>
      <c r="G143">
        <v>4755.40355</v>
      </c>
      <c r="H143">
        <v>4792.7697200000002</v>
      </c>
      <c r="Q143">
        <v>4779.9055500000004</v>
      </c>
      <c r="R143">
        <v>4809.2688500000004</v>
      </c>
      <c r="S143">
        <v>4835.8576199999998</v>
      </c>
      <c r="V143">
        <v>4744.9657800000004</v>
      </c>
      <c r="W143">
        <v>4711.4007899999997</v>
      </c>
      <c r="AB143">
        <v>4791.0043400000004</v>
      </c>
      <c r="AC143">
        <v>4791.7897499999999</v>
      </c>
      <c r="AD143">
        <v>0</v>
      </c>
      <c r="AK143">
        <v>141</v>
      </c>
      <c r="AL143">
        <v>140</v>
      </c>
      <c r="AM143">
        <v>4793.12</v>
      </c>
      <c r="AN143">
        <v>4779.9056</v>
      </c>
      <c r="AO143">
        <v>13.214399999999999</v>
      </c>
      <c r="AP143">
        <v>174.6217</v>
      </c>
      <c r="AQ143">
        <v>5.3083999999999999E-2</v>
      </c>
      <c r="AR143">
        <v>1.9949999999999999E-2</v>
      </c>
      <c r="AY143">
        <v>141</v>
      </c>
      <c r="AZ143">
        <v>140</v>
      </c>
      <c r="BA143">
        <v>4793.12</v>
      </c>
      <c r="BB143">
        <v>4779.9056</v>
      </c>
      <c r="BC143">
        <v>13.214399999999999</v>
      </c>
      <c r="BD143">
        <v>174.6217</v>
      </c>
      <c r="BE143">
        <v>19600</v>
      </c>
    </row>
    <row r="144" spans="1:57" x14ac:dyDescent="0.55000000000000004">
      <c r="A144">
        <v>1776658502</v>
      </c>
      <c r="B144" t="s">
        <v>72</v>
      </c>
      <c r="C144" t="s">
        <v>73</v>
      </c>
      <c r="D144">
        <v>4794.79</v>
      </c>
      <c r="E144">
        <v>4518.5928199999998</v>
      </c>
      <c r="F144">
        <v>4596.0559499999999</v>
      </c>
      <c r="G144">
        <v>4755.40355</v>
      </c>
      <c r="H144">
        <v>4792.7697200000002</v>
      </c>
      <c r="Q144">
        <v>4779.6379500000003</v>
      </c>
      <c r="R144">
        <v>4809.0012500000003</v>
      </c>
      <c r="S144">
        <v>4835.5900199999996</v>
      </c>
      <c r="V144">
        <v>4744.6981800000003</v>
      </c>
      <c r="W144">
        <v>4711.1331799999998</v>
      </c>
      <c r="AB144">
        <v>4790.5272599999998</v>
      </c>
      <c r="AC144">
        <v>4791.1585100000002</v>
      </c>
      <c r="AD144">
        <v>0</v>
      </c>
      <c r="AK144">
        <v>142</v>
      </c>
      <c r="AL144">
        <v>141</v>
      </c>
      <c r="AM144">
        <v>4794.79</v>
      </c>
      <c r="AN144">
        <v>4779.6379999999999</v>
      </c>
      <c r="AO144">
        <v>15.151999999999999</v>
      </c>
      <c r="AP144">
        <v>229.58459999999999</v>
      </c>
      <c r="AQ144">
        <v>8.0026E-2</v>
      </c>
      <c r="AR144">
        <v>3.4486000000000003E-2</v>
      </c>
      <c r="AY144">
        <v>142</v>
      </c>
      <c r="AZ144">
        <v>141</v>
      </c>
      <c r="BA144">
        <v>4794.79</v>
      </c>
      <c r="BB144">
        <v>4779.6379999999999</v>
      </c>
      <c r="BC144">
        <v>15.151999999999999</v>
      </c>
      <c r="BD144">
        <v>229.58459999999999</v>
      </c>
      <c r="BE144">
        <v>19881</v>
      </c>
    </row>
    <row r="145" spans="1:57" x14ac:dyDescent="0.55000000000000004">
      <c r="A145">
        <v>1776659402</v>
      </c>
      <c r="B145" t="s">
        <v>72</v>
      </c>
      <c r="C145" t="s">
        <v>73</v>
      </c>
      <c r="D145">
        <v>4787.34</v>
      </c>
      <c r="E145">
        <v>4518.5928199999998</v>
      </c>
      <c r="F145">
        <v>4596.0559499999999</v>
      </c>
      <c r="G145">
        <v>4755.40355</v>
      </c>
      <c r="H145">
        <v>4792.7697200000002</v>
      </c>
      <c r="Q145">
        <v>4779.3703500000001</v>
      </c>
      <c r="R145">
        <v>4808.7336400000004</v>
      </c>
      <c r="S145">
        <v>4835.3224200000004</v>
      </c>
      <c r="V145">
        <v>4744.4305800000002</v>
      </c>
      <c r="W145">
        <v>4710.8655799999997</v>
      </c>
      <c r="AB145">
        <v>4789.7432699999999</v>
      </c>
      <c r="AC145">
        <v>4790.4508900000001</v>
      </c>
      <c r="AD145">
        <v>0</v>
      </c>
      <c r="AK145">
        <v>143</v>
      </c>
      <c r="AL145">
        <v>142</v>
      </c>
      <c r="AM145">
        <v>4787.34</v>
      </c>
      <c r="AN145">
        <v>4779.3703999999998</v>
      </c>
      <c r="AO145">
        <v>7.9696999999999996</v>
      </c>
      <c r="AP145">
        <v>63.515300000000003</v>
      </c>
      <c r="AQ145">
        <v>1.1645000000000001E-2</v>
      </c>
      <c r="AR145">
        <v>2.6389999999999999E-3</v>
      </c>
      <c r="AY145">
        <v>143</v>
      </c>
      <c r="AZ145">
        <v>142</v>
      </c>
      <c r="BA145">
        <v>4787.34</v>
      </c>
      <c r="BB145">
        <v>4779.3703999999998</v>
      </c>
      <c r="BC145">
        <v>7.9696999999999996</v>
      </c>
      <c r="BD145">
        <v>63.515300000000003</v>
      </c>
      <c r="BE145">
        <v>20164</v>
      </c>
    </row>
    <row r="146" spans="1:57" x14ac:dyDescent="0.55000000000000004">
      <c r="A146">
        <v>1776660302</v>
      </c>
      <c r="B146" t="s">
        <v>72</v>
      </c>
      <c r="C146" t="s">
        <v>73</v>
      </c>
      <c r="D146">
        <v>4789.0200000000004</v>
      </c>
      <c r="E146">
        <v>4518.5928199999998</v>
      </c>
      <c r="F146">
        <v>4596.0559499999999</v>
      </c>
      <c r="G146">
        <v>4755.40355</v>
      </c>
      <c r="H146">
        <v>4792.7697200000002</v>
      </c>
      <c r="Q146">
        <v>4779.1027400000003</v>
      </c>
      <c r="R146">
        <v>4808.4660400000002</v>
      </c>
      <c r="S146">
        <v>4835.0548099999996</v>
      </c>
      <c r="V146">
        <v>4744.1629700000003</v>
      </c>
      <c r="W146">
        <v>4710.5979799999996</v>
      </c>
      <c r="AB146">
        <v>4788.8450899999998</v>
      </c>
      <c r="AC146">
        <v>4789.6479900000004</v>
      </c>
      <c r="AD146">
        <v>0</v>
      </c>
      <c r="AK146">
        <v>144</v>
      </c>
      <c r="AL146">
        <v>143</v>
      </c>
      <c r="AM146">
        <v>4789.0200000000004</v>
      </c>
      <c r="AN146">
        <v>4779.1027000000004</v>
      </c>
      <c r="AO146">
        <v>9.9172999999999991</v>
      </c>
      <c r="AP146">
        <v>98.352000000000004</v>
      </c>
      <c r="AQ146">
        <v>2.2438E-2</v>
      </c>
      <c r="AR146">
        <v>6.3290000000000004E-3</v>
      </c>
      <c r="AY146">
        <v>144</v>
      </c>
      <c r="AZ146">
        <v>143</v>
      </c>
      <c r="BA146">
        <v>4789.0200000000004</v>
      </c>
      <c r="BB146">
        <v>4779.1027000000004</v>
      </c>
      <c r="BC146">
        <v>9.9172999999999991</v>
      </c>
      <c r="BD146">
        <v>98.352000000000004</v>
      </c>
      <c r="BE146">
        <v>20449</v>
      </c>
    </row>
    <row r="147" spans="1:57" x14ac:dyDescent="0.55000000000000004">
      <c r="A147">
        <v>1776661202</v>
      </c>
      <c r="B147" t="s">
        <v>72</v>
      </c>
      <c r="C147" t="s">
        <v>73</v>
      </c>
      <c r="D147">
        <v>4786.62</v>
      </c>
      <c r="E147">
        <v>4518.5928199999998</v>
      </c>
      <c r="F147">
        <v>4596.0559499999999</v>
      </c>
      <c r="G147">
        <v>4755.40355</v>
      </c>
      <c r="H147">
        <v>4792.7697200000002</v>
      </c>
      <c r="Q147">
        <v>4778.8351400000001</v>
      </c>
      <c r="R147">
        <v>4808.1984400000001</v>
      </c>
      <c r="S147">
        <v>4834.7872100000004</v>
      </c>
      <c r="V147">
        <v>4743.8953700000002</v>
      </c>
      <c r="W147">
        <v>4710.3303699999997</v>
      </c>
      <c r="AB147">
        <v>4787.9080599999998</v>
      </c>
      <c r="AC147">
        <v>4788.7780199999997</v>
      </c>
      <c r="AD147">
        <v>0</v>
      </c>
      <c r="AK147">
        <v>145</v>
      </c>
      <c r="AL147">
        <v>144</v>
      </c>
      <c r="AM147">
        <v>4786.62</v>
      </c>
      <c r="AN147">
        <v>4778.8351000000002</v>
      </c>
      <c r="AO147">
        <v>7.7849000000000004</v>
      </c>
      <c r="AP147">
        <v>60.603999999999999</v>
      </c>
      <c r="AQ147">
        <v>1.0853E-2</v>
      </c>
      <c r="AR147">
        <v>2.4030000000000002E-3</v>
      </c>
      <c r="AY147">
        <v>145</v>
      </c>
      <c r="AZ147">
        <v>144</v>
      </c>
      <c r="BA147">
        <v>4786.62</v>
      </c>
      <c r="BB147">
        <v>4778.8351000000002</v>
      </c>
      <c r="BC147">
        <v>7.7849000000000004</v>
      </c>
      <c r="BD147">
        <v>60.603999999999999</v>
      </c>
      <c r="BE147">
        <v>20736</v>
      </c>
    </row>
    <row r="148" spans="1:57" x14ac:dyDescent="0.55000000000000004">
      <c r="A148">
        <v>1776662102</v>
      </c>
      <c r="B148" t="s">
        <v>72</v>
      </c>
      <c r="C148" t="s">
        <v>73</v>
      </c>
      <c r="D148">
        <v>4788.05</v>
      </c>
      <c r="E148">
        <v>4518.5928199999998</v>
      </c>
      <c r="F148">
        <v>4596.0559499999999</v>
      </c>
      <c r="G148">
        <v>4755.40355</v>
      </c>
      <c r="H148">
        <v>4792.7697200000002</v>
      </c>
      <c r="Q148">
        <v>4778.5675300000003</v>
      </c>
      <c r="R148">
        <v>4807.9308300000002</v>
      </c>
      <c r="S148">
        <v>4834.5195999999996</v>
      </c>
      <c r="V148">
        <v>4743.6277600000003</v>
      </c>
      <c r="W148">
        <v>4710.0627699999995</v>
      </c>
      <c r="AB148">
        <v>4787.2074400000001</v>
      </c>
      <c r="AC148">
        <v>4787.9927299999999</v>
      </c>
      <c r="AD148">
        <v>0</v>
      </c>
      <c r="AK148">
        <v>146</v>
      </c>
      <c r="AL148">
        <v>145</v>
      </c>
      <c r="AM148">
        <v>4788.05</v>
      </c>
      <c r="AN148">
        <v>4778.5675000000001</v>
      </c>
      <c r="AO148">
        <v>9.4824999999999999</v>
      </c>
      <c r="AP148">
        <v>89.917199999999994</v>
      </c>
      <c r="AQ148">
        <v>1.9615E-2</v>
      </c>
      <c r="AR148">
        <v>5.2900000000000004E-3</v>
      </c>
      <c r="AY148">
        <v>146</v>
      </c>
      <c r="AZ148">
        <v>145</v>
      </c>
      <c r="BA148">
        <v>4788.05</v>
      </c>
      <c r="BB148">
        <v>4778.5675000000001</v>
      </c>
      <c r="BC148">
        <v>9.4824999999999999</v>
      </c>
      <c r="BD148">
        <v>89.917199999999994</v>
      </c>
      <c r="BE148">
        <v>21025</v>
      </c>
    </row>
    <row r="149" spans="1:57" x14ac:dyDescent="0.55000000000000004">
      <c r="A149">
        <v>1776663002</v>
      </c>
      <c r="B149" t="s">
        <v>72</v>
      </c>
      <c r="C149" t="s">
        <v>73</v>
      </c>
      <c r="D149">
        <v>4780.97</v>
      </c>
      <c r="E149">
        <v>4518.5928199999998</v>
      </c>
      <c r="F149">
        <v>4596.0559499999999</v>
      </c>
      <c r="G149">
        <v>4755.40355</v>
      </c>
      <c r="H149">
        <v>4792.7697200000002</v>
      </c>
      <c r="Q149">
        <v>4778.2999300000001</v>
      </c>
      <c r="R149">
        <v>4807.6632300000001</v>
      </c>
      <c r="S149">
        <v>4834.2520000000004</v>
      </c>
      <c r="V149">
        <v>4743.3601600000002</v>
      </c>
      <c r="W149">
        <v>4709.7951599999997</v>
      </c>
      <c r="AA149">
        <v>4779.8</v>
      </c>
      <c r="AB149">
        <v>4786.9206100000001</v>
      </c>
      <c r="AC149">
        <v>4787.4566699999996</v>
      </c>
      <c r="AD149">
        <v>0</v>
      </c>
      <c r="AK149">
        <v>147</v>
      </c>
      <c r="AL149">
        <v>146</v>
      </c>
      <c r="AM149">
        <v>4780.97</v>
      </c>
      <c r="AN149">
        <v>4778.2999</v>
      </c>
      <c r="AO149">
        <v>2.6701000000000001</v>
      </c>
      <c r="AP149">
        <v>7.1292999999999997</v>
      </c>
      <c r="AQ149">
        <v>4.3800000000000002E-4</v>
      </c>
      <c r="AR149">
        <v>3.3000000000000003E-5</v>
      </c>
      <c r="AY149">
        <v>147</v>
      </c>
      <c r="AZ149">
        <v>146</v>
      </c>
      <c r="BA149">
        <v>4780.97</v>
      </c>
      <c r="BB149">
        <v>4778.2999</v>
      </c>
      <c r="BC149">
        <v>2.6701000000000001</v>
      </c>
      <c r="BD149">
        <v>7.1292999999999997</v>
      </c>
      <c r="BE149">
        <v>21316</v>
      </c>
    </row>
    <row r="150" spans="1:57" x14ac:dyDescent="0.55000000000000004">
      <c r="A150">
        <v>1776663902</v>
      </c>
      <c r="B150" t="s">
        <v>72</v>
      </c>
      <c r="C150" t="s">
        <v>73</v>
      </c>
      <c r="D150">
        <v>4790.87</v>
      </c>
      <c r="E150">
        <v>4518.5928199999998</v>
      </c>
      <c r="F150">
        <v>4596.0559499999999</v>
      </c>
      <c r="G150">
        <v>4755.40355</v>
      </c>
      <c r="H150">
        <v>4792.7697200000002</v>
      </c>
      <c r="Q150">
        <v>4778.03233</v>
      </c>
      <c r="R150">
        <v>4807.3956200000002</v>
      </c>
      <c r="S150">
        <v>4833.9844000000003</v>
      </c>
      <c r="V150">
        <v>4743.09256</v>
      </c>
      <c r="W150">
        <v>4709.5275600000004</v>
      </c>
      <c r="AB150">
        <v>4787.43444</v>
      </c>
      <c r="AC150">
        <v>4787.4455600000001</v>
      </c>
      <c r="AD150">
        <v>0</v>
      </c>
      <c r="AK150">
        <v>148</v>
      </c>
      <c r="AL150">
        <v>147</v>
      </c>
      <c r="AM150">
        <v>4790.87</v>
      </c>
      <c r="AN150">
        <v>4778.0322999999999</v>
      </c>
      <c r="AO150">
        <v>12.8377</v>
      </c>
      <c r="AP150">
        <v>164.8058</v>
      </c>
      <c r="AQ150">
        <v>4.8670999999999999E-2</v>
      </c>
      <c r="AR150">
        <v>1.7770000000000001E-2</v>
      </c>
      <c r="AY150">
        <v>148</v>
      </c>
      <c r="AZ150">
        <v>147</v>
      </c>
      <c r="BA150">
        <v>4790.87</v>
      </c>
      <c r="BB150">
        <v>4778.0322999999999</v>
      </c>
      <c r="BC150">
        <v>12.8377</v>
      </c>
      <c r="BD150">
        <v>164.8058</v>
      </c>
      <c r="BE150">
        <v>21609</v>
      </c>
    </row>
    <row r="151" spans="1:57" x14ac:dyDescent="0.55000000000000004">
      <c r="A151">
        <v>1776664802</v>
      </c>
      <c r="B151" t="s">
        <v>72</v>
      </c>
      <c r="C151" t="s">
        <v>73</v>
      </c>
      <c r="D151">
        <v>4790.5600000000004</v>
      </c>
      <c r="E151">
        <v>4518.5928199999998</v>
      </c>
      <c r="F151">
        <v>4596.0559499999999</v>
      </c>
      <c r="G151">
        <v>4755.40355</v>
      </c>
      <c r="H151">
        <v>4792.7697200000002</v>
      </c>
      <c r="Q151">
        <v>4777.7647200000001</v>
      </c>
      <c r="R151">
        <v>4807.1280200000001</v>
      </c>
      <c r="S151">
        <v>4833.7167900000004</v>
      </c>
      <c r="V151">
        <v>4742.8249500000002</v>
      </c>
      <c r="W151">
        <v>4709.2599600000003</v>
      </c>
      <c r="AB151">
        <v>4788.4818800000003</v>
      </c>
      <c r="AC151">
        <v>4787.9637199999997</v>
      </c>
      <c r="AD151">
        <v>1</v>
      </c>
      <c r="AK151">
        <v>149</v>
      </c>
      <c r="AL151">
        <v>148</v>
      </c>
      <c r="AM151">
        <v>4790.5600000000004</v>
      </c>
      <c r="AN151">
        <v>4777.7646999999997</v>
      </c>
      <c r="AO151">
        <v>12.795299999999999</v>
      </c>
      <c r="AP151">
        <v>163.7192</v>
      </c>
      <c r="AQ151">
        <v>4.8190999999999998E-2</v>
      </c>
      <c r="AR151">
        <v>1.7537000000000001E-2</v>
      </c>
      <c r="AY151">
        <v>149</v>
      </c>
      <c r="AZ151">
        <v>148</v>
      </c>
      <c r="BA151">
        <v>4790.5600000000004</v>
      </c>
      <c r="BB151">
        <v>4777.7646999999997</v>
      </c>
      <c r="BC151">
        <v>12.795299999999999</v>
      </c>
      <c r="BD151">
        <v>163.7192</v>
      </c>
      <c r="BE151">
        <v>21904</v>
      </c>
    </row>
    <row r="152" spans="1:57" x14ac:dyDescent="0.55000000000000004">
      <c r="A152">
        <v>1776665702</v>
      </c>
      <c r="B152" t="s">
        <v>72</v>
      </c>
      <c r="C152" t="s">
        <v>73</v>
      </c>
      <c r="D152">
        <v>4786.12</v>
      </c>
      <c r="E152">
        <v>4518.5928199999998</v>
      </c>
      <c r="F152">
        <v>4596.0559499999999</v>
      </c>
      <c r="G152">
        <v>4755.40355</v>
      </c>
      <c r="H152">
        <v>4792.7697200000002</v>
      </c>
      <c r="Q152">
        <v>4777.49712</v>
      </c>
      <c r="R152">
        <v>4806.86042</v>
      </c>
      <c r="S152">
        <v>4833.4491900000003</v>
      </c>
      <c r="V152">
        <v>4742.55735</v>
      </c>
      <c r="W152">
        <v>4708.9923500000004</v>
      </c>
      <c r="AB152">
        <v>4789.9533899999997</v>
      </c>
      <c r="AC152">
        <v>4788.9585500000003</v>
      </c>
      <c r="AD152">
        <v>0</v>
      </c>
      <c r="AK152">
        <v>150</v>
      </c>
      <c r="AL152">
        <v>149</v>
      </c>
      <c r="AM152">
        <v>4786.12</v>
      </c>
      <c r="AN152">
        <v>4777.4970999999996</v>
      </c>
      <c r="AO152">
        <v>8.6228999999999996</v>
      </c>
      <c r="AP152">
        <v>74.354100000000003</v>
      </c>
      <c r="AQ152">
        <v>1.4749E-2</v>
      </c>
      <c r="AR152">
        <v>3.617E-3</v>
      </c>
      <c r="AY152">
        <v>150</v>
      </c>
      <c r="AZ152">
        <v>149</v>
      </c>
      <c r="BA152">
        <v>4786.12</v>
      </c>
      <c r="BB152">
        <v>4777.4970999999996</v>
      </c>
      <c r="BC152">
        <v>8.6228999999999996</v>
      </c>
      <c r="BD152">
        <v>74.354100000000003</v>
      </c>
      <c r="BE152">
        <v>22201</v>
      </c>
    </row>
    <row r="153" spans="1:57" x14ac:dyDescent="0.55000000000000004">
      <c r="A153">
        <v>1776666602</v>
      </c>
      <c r="B153" t="s">
        <v>72</v>
      </c>
      <c r="C153" t="s">
        <v>73</v>
      </c>
      <c r="D153">
        <v>4790.24</v>
      </c>
      <c r="E153">
        <v>4518.5928199999998</v>
      </c>
      <c r="F153">
        <v>4596.0559499999999</v>
      </c>
      <c r="G153">
        <v>4755.40355</v>
      </c>
      <c r="H153">
        <v>4792.7697200000002</v>
      </c>
      <c r="Q153">
        <v>4777.2295100000001</v>
      </c>
      <c r="R153">
        <v>4806.5928100000001</v>
      </c>
      <c r="S153">
        <v>4833.1815800000004</v>
      </c>
      <c r="V153">
        <v>4742.2897400000002</v>
      </c>
      <c r="W153">
        <v>4708.7247500000003</v>
      </c>
      <c r="AB153">
        <v>4791.7388600000004</v>
      </c>
      <c r="AC153">
        <v>4790.3487100000002</v>
      </c>
      <c r="AD153">
        <v>0</v>
      </c>
      <c r="AK153">
        <v>151</v>
      </c>
      <c r="AL153">
        <v>150</v>
      </c>
      <c r="AM153">
        <v>4790.24</v>
      </c>
      <c r="AN153">
        <v>4777.2295000000004</v>
      </c>
      <c r="AO153">
        <v>13.0105</v>
      </c>
      <c r="AP153">
        <v>169.27289999999999</v>
      </c>
      <c r="AQ153">
        <v>5.0664000000000001E-2</v>
      </c>
      <c r="AR153">
        <v>1.8747E-2</v>
      </c>
      <c r="AY153">
        <v>151</v>
      </c>
      <c r="AZ153">
        <v>150</v>
      </c>
      <c r="BA153">
        <v>4790.24</v>
      </c>
      <c r="BB153">
        <v>4777.2295000000004</v>
      </c>
      <c r="BC153">
        <v>13.0105</v>
      </c>
      <c r="BD153">
        <v>169.27289999999999</v>
      </c>
      <c r="BE153">
        <v>22500</v>
      </c>
    </row>
    <row r="154" spans="1:57" x14ac:dyDescent="0.55000000000000004">
      <c r="A154">
        <v>1776667502</v>
      </c>
      <c r="B154" t="s">
        <v>72</v>
      </c>
      <c r="C154" t="s">
        <v>73</v>
      </c>
      <c r="D154">
        <v>4795.46</v>
      </c>
      <c r="E154">
        <v>4518.5928199999998</v>
      </c>
      <c r="F154">
        <v>4596.0559499999999</v>
      </c>
      <c r="G154">
        <v>4755.40355</v>
      </c>
      <c r="H154">
        <v>4792.7697200000002</v>
      </c>
      <c r="Q154">
        <v>4776.96191</v>
      </c>
      <c r="R154">
        <v>4806.32521</v>
      </c>
      <c r="S154">
        <v>4832.9139800000003</v>
      </c>
      <c r="V154">
        <v>4742.02214</v>
      </c>
      <c r="W154">
        <v>4708.4571400000004</v>
      </c>
      <c r="AB154">
        <v>4793.4334099999996</v>
      </c>
      <c r="AC154">
        <v>4791.8910599999999</v>
      </c>
      <c r="AD154">
        <v>0</v>
      </c>
      <c r="AK154">
        <v>152</v>
      </c>
      <c r="AL154">
        <v>151</v>
      </c>
      <c r="AM154">
        <v>4795.46</v>
      </c>
      <c r="AN154">
        <v>4776.9619000000002</v>
      </c>
      <c r="AO154">
        <v>18.498100000000001</v>
      </c>
      <c r="AP154">
        <v>342.17930000000001</v>
      </c>
      <c r="AQ154">
        <v>0.14561199999999999</v>
      </c>
      <c r="AR154">
        <v>7.6605999999999994E-2</v>
      </c>
      <c r="AY154">
        <v>152</v>
      </c>
      <c r="AZ154">
        <v>151</v>
      </c>
      <c r="BA154">
        <v>4795.46</v>
      </c>
      <c r="BB154">
        <v>4776.9619000000002</v>
      </c>
      <c r="BC154">
        <v>18.498100000000001</v>
      </c>
      <c r="BD154">
        <v>342.17930000000001</v>
      </c>
      <c r="BE154">
        <v>22801</v>
      </c>
    </row>
    <row r="155" spans="1:57" x14ac:dyDescent="0.55000000000000004">
      <c r="A155">
        <v>1776668402</v>
      </c>
      <c r="B155" t="s">
        <v>72</v>
      </c>
      <c r="C155" t="s">
        <v>73</v>
      </c>
      <c r="D155">
        <v>4797.47</v>
      </c>
      <c r="E155">
        <v>4518.5928199999998</v>
      </c>
      <c r="F155">
        <v>4596.0559499999999</v>
      </c>
      <c r="G155">
        <v>4755.40355</v>
      </c>
      <c r="H155">
        <v>4792.7697200000002</v>
      </c>
      <c r="Q155">
        <v>4776.6943099999999</v>
      </c>
      <c r="R155">
        <v>4806.0576000000001</v>
      </c>
      <c r="S155">
        <v>4832.6463700000004</v>
      </c>
      <c r="V155">
        <v>4741.7545399999999</v>
      </c>
      <c r="W155">
        <v>4708.1895400000003</v>
      </c>
      <c r="AB155">
        <v>4794.6108199999999</v>
      </c>
      <c r="AC155">
        <v>4793.2509399999999</v>
      </c>
      <c r="AD155">
        <v>0</v>
      </c>
      <c r="AK155">
        <v>153</v>
      </c>
      <c r="AL155">
        <v>152</v>
      </c>
      <c r="AM155">
        <v>4797.47</v>
      </c>
      <c r="AN155">
        <v>4776.6943000000001</v>
      </c>
      <c r="AO155">
        <v>20.775700000000001</v>
      </c>
      <c r="AP155">
        <v>431.6293</v>
      </c>
      <c r="AQ155">
        <v>0.206292</v>
      </c>
      <c r="AR155">
        <v>0.121892</v>
      </c>
      <c r="AY155">
        <v>153</v>
      </c>
      <c r="AZ155">
        <v>152</v>
      </c>
      <c r="BA155">
        <v>4797.47</v>
      </c>
      <c r="BB155">
        <v>4776.6943000000001</v>
      </c>
      <c r="BC155">
        <v>20.775700000000001</v>
      </c>
      <c r="BD155">
        <v>431.6293</v>
      </c>
      <c r="BE155">
        <v>23104</v>
      </c>
    </row>
    <row r="156" spans="1:57" x14ac:dyDescent="0.55000000000000004">
      <c r="A156">
        <v>1776669302</v>
      </c>
      <c r="B156" t="s">
        <v>72</v>
      </c>
      <c r="C156" t="s">
        <v>73</v>
      </c>
      <c r="D156">
        <v>4797.92</v>
      </c>
      <c r="E156">
        <v>4518.5928199999998</v>
      </c>
      <c r="F156">
        <v>4596.0559499999999</v>
      </c>
      <c r="G156">
        <v>4755.40355</v>
      </c>
      <c r="H156">
        <v>4792.7697200000002</v>
      </c>
      <c r="Q156">
        <v>4776.4267</v>
      </c>
      <c r="R156">
        <v>4805.79</v>
      </c>
      <c r="S156">
        <v>4832.3787700000003</v>
      </c>
      <c r="V156">
        <v>4741.48693</v>
      </c>
      <c r="W156">
        <v>4707.9219300000004</v>
      </c>
      <c r="Z156">
        <v>4805.79</v>
      </c>
      <c r="AB156">
        <v>4795.1085999999996</v>
      </c>
      <c r="AC156">
        <v>4794.1797699999997</v>
      </c>
      <c r="AD156">
        <v>0</v>
      </c>
      <c r="AK156">
        <v>154</v>
      </c>
      <c r="AL156">
        <v>153</v>
      </c>
      <c r="AM156">
        <v>4797.92</v>
      </c>
      <c r="AN156">
        <v>4776.4267</v>
      </c>
      <c r="AO156">
        <v>21.493300000000001</v>
      </c>
      <c r="AP156">
        <v>461.96190000000001</v>
      </c>
      <c r="AQ156">
        <v>0.22841500000000001</v>
      </c>
      <c r="AR156">
        <v>0.139626</v>
      </c>
      <c r="AY156">
        <v>154</v>
      </c>
      <c r="AZ156">
        <v>153</v>
      </c>
      <c r="BA156">
        <v>4797.92</v>
      </c>
      <c r="BB156">
        <v>4776.4267</v>
      </c>
      <c r="BC156">
        <v>21.493300000000001</v>
      </c>
      <c r="BD156">
        <v>461.96190000000001</v>
      </c>
      <c r="BE156">
        <v>23409</v>
      </c>
    </row>
    <row r="157" spans="1:57" x14ac:dyDescent="0.55000000000000004">
      <c r="A157">
        <v>1776670202</v>
      </c>
      <c r="B157" t="s">
        <v>72</v>
      </c>
      <c r="C157" t="s">
        <v>73</v>
      </c>
      <c r="D157">
        <v>4797.6899999999996</v>
      </c>
      <c r="E157">
        <v>4518.5928199999998</v>
      </c>
      <c r="F157">
        <v>4596.0559499999999</v>
      </c>
      <c r="G157">
        <v>4755.40355</v>
      </c>
      <c r="H157">
        <v>4792.7697200000002</v>
      </c>
      <c r="Q157">
        <v>4776.1590999999999</v>
      </c>
      <c r="R157">
        <v>4805.5223999999998</v>
      </c>
      <c r="S157">
        <v>4832.1111700000001</v>
      </c>
      <c r="V157">
        <v>4741.2193299999999</v>
      </c>
      <c r="W157">
        <v>4707.6543300000003</v>
      </c>
      <c r="AB157">
        <v>4794.9353499999997</v>
      </c>
      <c r="AC157">
        <v>4794.5575600000002</v>
      </c>
      <c r="AD157">
        <v>0</v>
      </c>
      <c r="AK157">
        <v>155</v>
      </c>
      <c r="AL157">
        <v>154</v>
      </c>
      <c r="AM157">
        <v>4797.6899999999996</v>
      </c>
      <c r="AN157">
        <v>4776.1590999999999</v>
      </c>
      <c r="AO157">
        <v>21.530899999999999</v>
      </c>
      <c r="AP157">
        <v>463.5797</v>
      </c>
      <c r="AQ157">
        <v>0.22961599999999999</v>
      </c>
      <c r="AR157">
        <v>0.14060600000000001</v>
      </c>
      <c r="AY157">
        <v>155</v>
      </c>
      <c r="AZ157">
        <v>154</v>
      </c>
      <c r="BA157">
        <v>4797.6899999999996</v>
      </c>
      <c r="BB157">
        <v>4776.1590999999999</v>
      </c>
      <c r="BC157">
        <v>21.530899999999999</v>
      </c>
      <c r="BD157">
        <v>463.5797</v>
      </c>
      <c r="BE157">
        <v>23716</v>
      </c>
    </row>
    <row r="158" spans="1:57" x14ac:dyDescent="0.55000000000000004">
      <c r="A158">
        <v>1776671102</v>
      </c>
      <c r="B158" t="s">
        <v>72</v>
      </c>
      <c r="C158" t="s">
        <v>73</v>
      </c>
      <c r="D158">
        <v>4789.7</v>
      </c>
      <c r="E158">
        <v>4518.5928199999998</v>
      </c>
      <c r="F158">
        <v>4596.0559499999999</v>
      </c>
      <c r="G158">
        <v>4755.40355</v>
      </c>
      <c r="H158">
        <v>4792.7697200000002</v>
      </c>
      <c r="Q158">
        <v>4775.89149</v>
      </c>
      <c r="R158">
        <v>4805.25479</v>
      </c>
      <c r="S158">
        <v>4831.8435600000003</v>
      </c>
      <c r="V158">
        <v>4740.95172</v>
      </c>
      <c r="W158">
        <v>4707.3867300000002</v>
      </c>
      <c r="AB158">
        <v>4794.2746100000004</v>
      </c>
      <c r="AC158">
        <v>4794.41608</v>
      </c>
      <c r="AD158">
        <v>1</v>
      </c>
      <c r="AK158">
        <v>156</v>
      </c>
      <c r="AL158">
        <v>155</v>
      </c>
      <c r="AM158">
        <v>4789.7</v>
      </c>
      <c r="AN158">
        <v>4775.8914999999997</v>
      </c>
      <c r="AO158">
        <v>13.8085</v>
      </c>
      <c r="AP158">
        <v>190.67490000000001</v>
      </c>
      <c r="AQ158">
        <v>6.0569999999999999E-2</v>
      </c>
      <c r="AR158">
        <v>2.3786999999999999E-2</v>
      </c>
      <c r="AY158">
        <v>156</v>
      </c>
      <c r="AZ158">
        <v>155</v>
      </c>
      <c r="BA158">
        <v>4789.7</v>
      </c>
      <c r="BB158">
        <v>4775.8914999999997</v>
      </c>
      <c r="BC158">
        <v>13.8085</v>
      </c>
      <c r="BD158">
        <v>190.67490000000001</v>
      </c>
      <c r="BE158">
        <v>24025</v>
      </c>
    </row>
    <row r="159" spans="1:57" x14ac:dyDescent="0.55000000000000004">
      <c r="A159">
        <v>1776672002</v>
      </c>
      <c r="B159" t="s">
        <v>72</v>
      </c>
      <c r="C159" t="s">
        <v>73</v>
      </c>
      <c r="D159">
        <v>4789.4799999999996</v>
      </c>
      <c r="E159">
        <v>4518.5928199999998</v>
      </c>
      <c r="F159">
        <v>4596.0559499999999</v>
      </c>
      <c r="G159">
        <v>4755.40355</v>
      </c>
      <c r="H159">
        <v>4792.7697200000002</v>
      </c>
      <c r="Q159">
        <v>4775.6238899999998</v>
      </c>
      <c r="R159">
        <v>4804.9871899999998</v>
      </c>
      <c r="S159">
        <v>4831.5759600000001</v>
      </c>
      <c r="V159">
        <v>4740.6841199999999</v>
      </c>
      <c r="W159">
        <v>4707.1191200000003</v>
      </c>
      <c r="AB159">
        <v>4793.5539699999999</v>
      </c>
      <c r="AC159">
        <v>4793.9850299999998</v>
      </c>
      <c r="AD159">
        <v>0</v>
      </c>
      <c r="AK159">
        <v>157</v>
      </c>
      <c r="AL159">
        <v>156</v>
      </c>
      <c r="AM159">
        <v>4789.4799999999996</v>
      </c>
      <c r="AN159">
        <v>4775.6238999999996</v>
      </c>
      <c r="AO159">
        <v>13.8561</v>
      </c>
      <c r="AP159">
        <v>191.99180000000001</v>
      </c>
      <c r="AQ159">
        <v>6.1198000000000002E-2</v>
      </c>
      <c r="AR159">
        <v>2.4117E-2</v>
      </c>
      <c r="AY159">
        <v>157</v>
      </c>
      <c r="AZ159">
        <v>156</v>
      </c>
      <c r="BA159">
        <v>4789.4799999999996</v>
      </c>
      <c r="BB159">
        <v>4775.6238999999996</v>
      </c>
      <c r="BC159">
        <v>13.8561</v>
      </c>
      <c r="BD159">
        <v>191.99180000000001</v>
      </c>
      <c r="BE159">
        <v>24336</v>
      </c>
    </row>
    <row r="160" spans="1:57" x14ac:dyDescent="0.55000000000000004">
      <c r="A160">
        <v>1776672902</v>
      </c>
      <c r="B160" t="s">
        <v>72</v>
      </c>
      <c r="C160" t="s">
        <v>73</v>
      </c>
      <c r="D160">
        <v>4792.1099999999997</v>
      </c>
      <c r="E160">
        <v>4518.5928199999998</v>
      </c>
      <c r="F160">
        <v>4596.0559499999999</v>
      </c>
      <c r="G160">
        <v>4755.40355</v>
      </c>
      <c r="H160">
        <v>4792.7697200000002</v>
      </c>
      <c r="Q160">
        <v>4775.35628</v>
      </c>
      <c r="R160">
        <v>4804.71958</v>
      </c>
      <c r="S160">
        <v>4831.3083500000002</v>
      </c>
      <c r="V160">
        <v>4740.41651</v>
      </c>
      <c r="W160">
        <v>4706.8515200000002</v>
      </c>
      <c r="AB160">
        <v>4793.0428599999996</v>
      </c>
      <c r="AC160">
        <v>4793.5139499999996</v>
      </c>
      <c r="AD160">
        <v>0</v>
      </c>
      <c r="AK160">
        <v>158</v>
      </c>
      <c r="AL160">
        <v>157</v>
      </c>
      <c r="AM160">
        <v>4792.1099999999997</v>
      </c>
      <c r="AN160">
        <v>4775.3563000000004</v>
      </c>
      <c r="AO160">
        <v>16.753699999999998</v>
      </c>
      <c r="AP160">
        <v>280.68709999999999</v>
      </c>
      <c r="AQ160">
        <v>0.108181</v>
      </c>
      <c r="AR160">
        <v>5.1546000000000002E-2</v>
      </c>
      <c r="AY160">
        <v>158</v>
      </c>
      <c r="AZ160">
        <v>157</v>
      </c>
      <c r="BA160">
        <v>4792.1099999999997</v>
      </c>
      <c r="BB160">
        <v>4775.3563000000004</v>
      </c>
      <c r="BC160">
        <v>16.753699999999998</v>
      </c>
      <c r="BD160">
        <v>280.68709999999999</v>
      </c>
      <c r="BE160">
        <v>24649</v>
      </c>
    </row>
    <row r="161" spans="1:57" x14ac:dyDescent="0.55000000000000004">
      <c r="A161">
        <v>1776673802</v>
      </c>
      <c r="B161" t="s">
        <v>72</v>
      </c>
      <c r="C161" t="s">
        <v>73</v>
      </c>
      <c r="D161">
        <v>4792.4799999999996</v>
      </c>
      <c r="E161">
        <v>4518.5928199999998</v>
      </c>
      <c r="F161">
        <v>4596.0559499999999</v>
      </c>
      <c r="G161">
        <v>4755.40355</v>
      </c>
      <c r="H161">
        <v>4792.7697200000002</v>
      </c>
      <c r="Q161">
        <v>4775.0886799999998</v>
      </c>
      <c r="R161">
        <v>4804.4519799999998</v>
      </c>
      <c r="S161">
        <v>4831.0407500000001</v>
      </c>
      <c r="V161">
        <v>4740.1489099999999</v>
      </c>
      <c r="W161">
        <v>4706.5839100000003</v>
      </c>
      <c r="AB161">
        <v>4792.8256600000004</v>
      </c>
      <c r="AC161">
        <v>4793.1697999999997</v>
      </c>
      <c r="AD161">
        <v>0</v>
      </c>
      <c r="AK161">
        <v>159</v>
      </c>
      <c r="AL161">
        <v>158</v>
      </c>
      <c r="AM161">
        <v>4792.4799999999996</v>
      </c>
      <c r="AN161">
        <v>4775.0887000000002</v>
      </c>
      <c r="AO161">
        <v>17.391300000000001</v>
      </c>
      <c r="AP161">
        <v>302.45800000000003</v>
      </c>
      <c r="AQ161">
        <v>0.121008</v>
      </c>
      <c r="AR161">
        <v>5.9853000000000003E-2</v>
      </c>
      <c r="AY161">
        <v>159</v>
      </c>
      <c r="AZ161">
        <v>158</v>
      </c>
      <c r="BA161">
        <v>4792.4799999999996</v>
      </c>
      <c r="BB161">
        <v>4775.0887000000002</v>
      </c>
      <c r="BC161">
        <v>17.391300000000001</v>
      </c>
      <c r="BD161">
        <v>302.45800000000003</v>
      </c>
      <c r="BE161">
        <v>24964</v>
      </c>
    </row>
    <row r="162" spans="1:57" x14ac:dyDescent="0.55000000000000004">
      <c r="A162">
        <v>1776674702</v>
      </c>
      <c r="B162" t="s">
        <v>72</v>
      </c>
      <c r="C162" t="s">
        <v>73</v>
      </c>
      <c r="D162">
        <v>4796.1899999999996</v>
      </c>
      <c r="E162">
        <v>4518.5928199999998</v>
      </c>
      <c r="F162">
        <v>4596.0559499999999</v>
      </c>
      <c r="G162">
        <v>4755.40355</v>
      </c>
      <c r="H162">
        <v>4792.7697200000002</v>
      </c>
      <c r="Q162">
        <v>4774.8210799999997</v>
      </c>
      <c r="R162">
        <v>4804.1843799999997</v>
      </c>
      <c r="S162">
        <v>4830.77315</v>
      </c>
      <c r="V162">
        <v>4739.8813099999998</v>
      </c>
      <c r="W162">
        <v>4706.3163100000002</v>
      </c>
      <c r="AB162">
        <v>4792.9179899999999</v>
      </c>
      <c r="AC162">
        <v>4793.0438999999997</v>
      </c>
      <c r="AD162">
        <v>0</v>
      </c>
      <c r="AK162">
        <v>160</v>
      </c>
      <c r="AL162">
        <v>159</v>
      </c>
      <c r="AM162">
        <v>4796.1899999999996</v>
      </c>
      <c r="AN162">
        <v>4774.8211000000001</v>
      </c>
      <c r="AO162">
        <v>21.3689</v>
      </c>
      <c r="AP162">
        <v>456.63069999999999</v>
      </c>
      <c r="AQ162">
        <v>0.22447300000000001</v>
      </c>
      <c r="AR162">
        <v>0.13642199999999999</v>
      </c>
      <c r="AY162">
        <v>160</v>
      </c>
      <c r="AZ162">
        <v>159</v>
      </c>
      <c r="BA162">
        <v>4796.1899999999996</v>
      </c>
      <c r="BB162">
        <v>4774.8211000000001</v>
      </c>
      <c r="BC162">
        <v>21.3689</v>
      </c>
      <c r="BD162">
        <v>456.63069999999999</v>
      </c>
      <c r="BE162">
        <v>25281</v>
      </c>
    </row>
    <row r="163" spans="1:57" x14ac:dyDescent="0.55000000000000004">
      <c r="A163">
        <v>1776675602</v>
      </c>
      <c r="B163" t="s">
        <v>72</v>
      </c>
      <c r="C163" t="s">
        <v>73</v>
      </c>
      <c r="D163">
        <v>4796.07</v>
      </c>
      <c r="E163">
        <v>4518.5928199999998</v>
      </c>
      <c r="F163">
        <v>4596.0559499999999</v>
      </c>
      <c r="G163">
        <v>4755.40355</v>
      </c>
      <c r="H163">
        <v>4792.7697200000002</v>
      </c>
      <c r="Q163">
        <v>4774.5534699999998</v>
      </c>
      <c r="R163">
        <v>4803.9167699999998</v>
      </c>
      <c r="S163">
        <v>4830.5055400000001</v>
      </c>
      <c r="V163">
        <v>4739.6136999999999</v>
      </c>
      <c r="W163">
        <v>4706.04871</v>
      </c>
      <c r="AB163">
        <v>4793.16111</v>
      </c>
      <c r="AC163">
        <v>4793.1025</v>
      </c>
      <c r="AD163">
        <v>1</v>
      </c>
      <c r="AK163">
        <v>161</v>
      </c>
      <c r="AL163">
        <v>160</v>
      </c>
      <c r="AM163">
        <v>4796.07</v>
      </c>
      <c r="AN163">
        <v>4774.5535</v>
      </c>
      <c r="AO163">
        <v>21.516500000000001</v>
      </c>
      <c r="AP163">
        <v>462.96109999999999</v>
      </c>
      <c r="AQ163">
        <v>0.229157</v>
      </c>
      <c r="AR163">
        <v>0.14023099999999999</v>
      </c>
      <c r="AY163">
        <v>161</v>
      </c>
      <c r="AZ163">
        <v>160</v>
      </c>
      <c r="BA163">
        <v>4796.07</v>
      </c>
      <c r="BB163">
        <v>4774.5535</v>
      </c>
      <c r="BC163">
        <v>21.516500000000001</v>
      </c>
      <c r="BD163">
        <v>462.96109999999999</v>
      </c>
      <c r="BE163">
        <v>25600</v>
      </c>
    </row>
    <row r="164" spans="1:57" x14ac:dyDescent="0.55000000000000004">
      <c r="A164">
        <v>1776676502</v>
      </c>
      <c r="B164" t="s">
        <v>72</v>
      </c>
      <c r="C164" t="s">
        <v>73</v>
      </c>
      <c r="D164">
        <v>4792.33</v>
      </c>
      <c r="E164">
        <v>4518.5928199999998</v>
      </c>
      <c r="F164">
        <v>4596.0559499999999</v>
      </c>
      <c r="G164">
        <v>4755.40355</v>
      </c>
      <c r="H164">
        <v>4792.7697200000002</v>
      </c>
      <c r="Q164">
        <v>4774.2858699999997</v>
      </c>
      <c r="R164">
        <v>4803.6491699999997</v>
      </c>
      <c r="S164">
        <v>4830.23794</v>
      </c>
      <c r="V164">
        <v>4739.3460999999998</v>
      </c>
      <c r="W164">
        <v>4705.7811000000002</v>
      </c>
      <c r="AB164">
        <v>4793.4598599999999</v>
      </c>
      <c r="AC164">
        <v>4793.2811799999999</v>
      </c>
      <c r="AD164">
        <v>0</v>
      </c>
      <c r="AK164">
        <v>162</v>
      </c>
      <c r="AL164">
        <v>161</v>
      </c>
      <c r="AM164">
        <v>4792.33</v>
      </c>
      <c r="AN164">
        <v>4774.2858999999999</v>
      </c>
      <c r="AO164">
        <v>18.0441</v>
      </c>
      <c r="AP164">
        <v>325.59059999999999</v>
      </c>
      <c r="AQ164">
        <v>0.13515199999999999</v>
      </c>
      <c r="AR164">
        <v>6.9358000000000003E-2</v>
      </c>
      <c r="AY164">
        <v>162</v>
      </c>
      <c r="AZ164">
        <v>161</v>
      </c>
      <c r="BA164">
        <v>4792.33</v>
      </c>
      <c r="BB164">
        <v>4774.2858999999999</v>
      </c>
      <c r="BC164">
        <v>18.0441</v>
      </c>
      <c r="BD164">
        <v>325.59059999999999</v>
      </c>
      <c r="BE164">
        <v>25921</v>
      </c>
    </row>
    <row r="165" spans="1:57" x14ac:dyDescent="0.55000000000000004">
      <c r="A165">
        <v>1776677402</v>
      </c>
      <c r="B165" t="s">
        <v>72</v>
      </c>
      <c r="C165" t="s">
        <v>73</v>
      </c>
      <c r="D165">
        <v>4791.96</v>
      </c>
      <c r="E165">
        <v>4518.5928199999998</v>
      </c>
      <c r="F165">
        <v>4596.0559499999999</v>
      </c>
      <c r="G165">
        <v>4755.40355</v>
      </c>
      <c r="H165">
        <v>4792.7697200000002</v>
      </c>
      <c r="Q165">
        <v>4774.0182599999998</v>
      </c>
      <c r="R165">
        <v>4803.3815599999998</v>
      </c>
      <c r="S165">
        <v>4829.9703300000001</v>
      </c>
      <c r="V165">
        <v>4739.0784899999999</v>
      </c>
      <c r="W165">
        <v>4705.5135</v>
      </c>
      <c r="AB165">
        <v>4793.8041999999996</v>
      </c>
      <c r="AC165">
        <v>4793.5426900000002</v>
      </c>
      <c r="AD165">
        <v>0</v>
      </c>
      <c r="AK165">
        <v>163</v>
      </c>
      <c r="AL165">
        <v>162</v>
      </c>
      <c r="AM165">
        <v>4791.96</v>
      </c>
      <c r="AN165">
        <v>4774.0182999999997</v>
      </c>
      <c r="AO165">
        <v>17.941700000000001</v>
      </c>
      <c r="AP165">
        <v>321.90600000000001</v>
      </c>
      <c r="AQ165">
        <v>0.13286500000000001</v>
      </c>
      <c r="AR165">
        <v>6.7796999999999996E-2</v>
      </c>
      <c r="AY165">
        <v>163</v>
      </c>
      <c r="AZ165">
        <v>162</v>
      </c>
      <c r="BA165">
        <v>4791.96</v>
      </c>
      <c r="BB165">
        <v>4774.0182999999997</v>
      </c>
      <c r="BC165">
        <v>17.941700000000001</v>
      </c>
      <c r="BD165">
        <v>321.90600000000001</v>
      </c>
      <c r="BE165">
        <v>26244</v>
      </c>
    </row>
    <row r="166" spans="1:57" x14ac:dyDescent="0.55000000000000004">
      <c r="A166">
        <v>1776678302</v>
      </c>
      <c r="B166" t="s">
        <v>72</v>
      </c>
      <c r="C166" t="s">
        <v>73</v>
      </c>
      <c r="D166">
        <v>4791.6000000000004</v>
      </c>
      <c r="E166">
        <v>4518.5928199999998</v>
      </c>
      <c r="F166">
        <v>4596.0559499999999</v>
      </c>
      <c r="G166">
        <v>4755.40355</v>
      </c>
      <c r="H166">
        <v>4792.7697200000002</v>
      </c>
      <c r="Q166">
        <v>4773.7506599999997</v>
      </c>
      <c r="R166">
        <v>4803.1139599999997</v>
      </c>
      <c r="S166">
        <v>4829.70273</v>
      </c>
      <c r="V166">
        <v>4738.8108899999997</v>
      </c>
      <c r="W166">
        <v>4705.2458900000001</v>
      </c>
      <c r="AB166">
        <v>4794.1157400000002</v>
      </c>
      <c r="AC166">
        <v>4793.8292199999996</v>
      </c>
      <c r="AD166">
        <v>0</v>
      </c>
      <c r="AK166">
        <v>164</v>
      </c>
      <c r="AL166">
        <v>163</v>
      </c>
      <c r="AM166">
        <v>4791.6000000000004</v>
      </c>
      <c r="AN166">
        <v>4773.7506999999996</v>
      </c>
      <c r="AO166">
        <v>17.849299999999999</v>
      </c>
      <c r="AP166">
        <v>318.59890000000001</v>
      </c>
      <c r="AQ166">
        <v>0.13082199999999999</v>
      </c>
      <c r="AR166">
        <v>6.6410999999999998E-2</v>
      </c>
      <c r="AY166">
        <v>164</v>
      </c>
      <c r="AZ166">
        <v>163</v>
      </c>
      <c r="BA166">
        <v>4791.6000000000004</v>
      </c>
      <c r="BB166">
        <v>4773.7506999999996</v>
      </c>
      <c r="BC166">
        <v>17.849299999999999</v>
      </c>
      <c r="BD166">
        <v>318.59890000000001</v>
      </c>
      <c r="BE166">
        <v>26569</v>
      </c>
    </row>
    <row r="167" spans="1:57" x14ac:dyDescent="0.55000000000000004">
      <c r="A167">
        <v>1776679202</v>
      </c>
      <c r="B167" t="s">
        <v>72</v>
      </c>
      <c r="C167" t="s">
        <v>73</v>
      </c>
      <c r="D167">
        <v>4795.76</v>
      </c>
      <c r="E167">
        <v>4518.5928199999998</v>
      </c>
      <c r="F167">
        <v>4596.0559499999999</v>
      </c>
      <c r="G167">
        <v>4755.40355</v>
      </c>
      <c r="H167">
        <v>4792.7697200000002</v>
      </c>
      <c r="Q167">
        <v>4773.4830599999996</v>
      </c>
      <c r="R167">
        <v>4802.8463599999995</v>
      </c>
      <c r="S167">
        <v>4829.4351299999998</v>
      </c>
      <c r="V167">
        <v>4738.5432899999996</v>
      </c>
      <c r="W167">
        <v>4704.97829</v>
      </c>
      <c r="AB167">
        <v>4794.3449899999996</v>
      </c>
      <c r="AC167">
        <v>4794.0871100000004</v>
      </c>
      <c r="AD167">
        <v>0</v>
      </c>
      <c r="AK167">
        <v>165</v>
      </c>
      <c r="AL167">
        <v>164</v>
      </c>
      <c r="AM167">
        <v>4795.76</v>
      </c>
      <c r="AN167">
        <v>4773.4831000000004</v>
      </c>
      <c r="AO167">
        <v>22.276900000000001</v>
      </c>
      <c r="AP167">
        <v>496.26209999999998</v>
      </c>
      <c r="AQ167">
        <v>0.25432100000000002</v>
      </c>
      <c r="AR167">
        <v>0.16113</v>
      </c>
      <c r="AY167">
        <v>165</v>
      </c>
      <c r="AZ167">
        <v>164</v>
      </c>
      <c r="BA167">
        <v>4795.76</v>
      </c>
      <c r="BB167">
        <v>4773.4831000000004</v>
      </c>
      <c r="BC167">
        <v>22.276900000000001</v>
      </c>
      <c r="BD167">
        <v>496.26209999999998</v>
      </c>
      <c r="BE167">
        <v>26896</v>
      </c>
    </row>
    <row r="168" spans="1:57" x14ac:dyDescent="0.55000000000000004">
      <c r="A168">
        <v>1776680102</v>
      </c>
      <c r="B168" t="s">
        <v>72</v>
      </c>
      <c r="C168" t="s">
        <v>73</v>
      </c>
      <c r="D168">
        <v>4798.24</v>
      </c>
      <c r="E168">
        <v>4518.5928199999998</v>
      </c>
      <c r="F168">
        <v>4596.0559499999999</v>
      </c>
      <c r="G168">
        <v>4755.40355</v>
      </c>
      <c r="H168">
        <v>4792.7697200000002</v>
      </c>
      <c r="Q168">
        <v>4773.2154499999997</v>
      </c>
      <c r="R168">
        <v>4802.5787499999997</v>
      </c>
      <c r="S168">
        <v>4829.16752</v>
      </c>
      <c r="V168">
        <v>4738.2756799999997</v>
      </c>
      <c r="W168">
        <v>4704.7106899999999</v>
      </c>
      <c r="AB168">
        <v>4794.3912200000004</v>
      </c>
      <c r="AC168">
        <v>4794.2391699999998</v>
      </c>
      <c r="AD168">
        <v>0</v>
      </c>
      <c r="AK168">
        <v>166</v>
      </c>
      <c r="AL168">
        <v>165</v>
      </c>
      <c r="AM168">
        <v>4798.24</v>
      </c>
      <c r="AN168">
        <v>4773.2154</v>
      </c>
      <c r="AO168">
        <v>25.0246</v>
      </c>
      <c r="AP168">
        <v>626.22810000000004</v>
      </c>
      <c r="AQ168">
        <v>0.360508</v>
      </c>
      <c r="AR168">
        <v>0.25657799999999997</v>
      </c>
      <c r="AY168">
        <v>166</v>
      </c>
      <c r="AZ168">
        <v>165</v>
      </c>
      <c r="BA168">
        <v>4798.24</v>
      </c>
      <c r="BB168">
        <v>4773.2154</v>
      </c>
      <c r="BC168">
        <v>25.0246</v>
      </c>
      <c r="BD168">
        <v>626.22810000000004</v>
      </c>
      <c r="BE168">
        <v>27225</v>
      </c>
    </row>
    <row r="169" spans="1:57" x14ac:dyDescent="0.55000000000000004">
      <c r="A169">
        <v>1776681002</v>
      </c>
      <c r="B169" t="s">
        <v>72</v>
      </c>
      <c r="C169" t="s">
        <v>73</v>
      </c>
      <c r="D169">
        <v>4795.08</v>
      </c>
      <c r="E169">
        <v>4518.5928199999998</v>
      </c>
      <c r="F169">
        <v>4596.0559499999999</v>
      </c>
      <c r="G169">
        <v>4755.40355</v>
      </c>
      <c r="H169">
        <v>4792.7697200000002</v>
      </c>
      <c r="Q169">
        <v>4772.9478499999996</v>
      </c>
      <c r="R169">
        <v>4802.3111500000005</v>
      </c>
      <c r="S169">
        <v>4828.8999199999998</v>
      </c>
      <c r="V169">
        <v>4738.0080799999996</v>
      </c>
      <c r="W169">
        <v>4704.44308</v>
      </c>
      <c r="AB169">
        <v>4794.2788700000001</v>
      </c>
      <c r="AC169">
        <v>4794.2590200000004</v>
      </c>
      <c r="AD169">
        <v>0</v>
      </c>
      <c r="AK169">
        <v>167</v>
      </c>
      <c r="AL169">
        <v>166</v>
      </c>
      <c r="AM169">
        <v>4795.08</v>
      </c>
      <c r="AN169">
        <v>4772.9477999999999</v>
      </c>
      <c r="AO169">
        <v>22.132200000000001</v>
      </c>
      <c r="AP169">
        <v>489.83210000000003</v>
      </c>
      <c r="AQ169">
        <v>0.249394</v>
      </c>
      <c r="AR169">
        <v>0.15698200000000001</v>
      </c>
      <c r="AY169">
        <v>167</v>
      </c>
      <c r="AZ169">
        <v>166</v>
      </c>
      <c r="BA169">
        <v>4795.08</v>
      </c>
      <c r="BB169">
        <v>4772.9477999999999</v>
      </c>
      <c r="BC169">
        <v>22.132200000000001</v>
      </c>
      <c r="BD169">
        <v>489.83210000000003</v>
      </c>
      <c r="BE169">
        <v>27556</v>
      </c>
    </row>
    <row r="170" spans="1:57" x14ac:dyDescent="0.55000000000000004">
      <c r="A170">
        <v>1776681902</v>
      </c>
      <c r="B170" t="s">
        <v>72</v>
      </c>
      <c r="C170" t="s">
        <v>73</v>
      </c>
      <c r="D170">
        <v>4795.91</v>
      </c>
      <c r="E170">
        <v>4518.5928199999998</v>
      </c>
      <c r="F170">
        <v>4596.0559499999999</v>
      </c>
      <c r="G170">
        <v>4755.40355</v>
      </c>
      <c r="H170">
        <v>4792.7697200000002</v>
      </c>
      <c r="Q170">
        <v>4772.6802399999997</v>
      </c>
      <c r="R170">
        <v>4802.0435399999997</v>
      </c>
      <c r="S170">
        <v>4828.63231</v>
      </c>
      <c r="V170">
        <v>4737.7404699999997</v>
      </c>
      <c r="W170">
        <v>4704.1754799999999</v>
      </c>
      <c r="AB170">
        <v>4794.2687299999998</v>
      </c>
      <c r="AC170">
        <v>4794.2638699999998</v>
      </c>
      <c r="AD170">
        <v>0</v>
      </c>
      <c r="AK170">
        <v>168</v>
      </c>
      <c r="AL170">
        <v>167</v>
      </c>
      <c r="AM170">
        <v>4795.91</v>
      </c>
      <c r="AN170">
        <v>4772.6801999999998</v>
      </c>
      <c r="AO170">
        <v>23.229800000000001</v>
      </c>
      <c r="AP170">
        <v>539.62170000000003</v>
      </c>
      <c r="AQ170">
        <v>0.28837000000000002</v>
      </c>
      <c r="AR170">
        <v>0.19051699999999999</v>
      </c>
      <c r="AY170">
        <v>168</v>
      </c>
      <c r="AZ170">
        <v>167</v>
      </c>
      <c r="BA170">
        <v>4795.91</v>
      </c>
      <c r="BB170">
        <v>4772.6801999999998</v>
      </c>
      <c r="BC170">
        <v>23.229800000000001</v>
      </c>
      <c r="BD170">
        <v>539.62170000000003</v>
      </c>
      <c r="BE170">
        <v>27889</v>
      </c>
    </row>
    <row r="171" spans="1:57" x14ac:dyDescent="0.55000000000000004">
      <c r="A171">
        <v>1776682802</v>
      </c>
      <c r="B171" t="s">
        <v>72</v>
      </c>
      <c r="C171" t="s">
        <v>73</v>
      </c>
      <c r="D171">
        <v>4789.7700000000004</v>
      </c>
      <c r="E171">
        <v>4518.5928199999998</v>
      </c>
      <c r="F171">
        <v>4596.0559499999999</v>
      </c>
      <c r="G171">
        <v>4755.40355</v>
      </c>
      <c r="H171">
        <v>4792.7697200000002</v>
      </c>
      <c r="Q171">
        <v>4772.4126399999996</v>
      </c>
      <c r="R171">
        <v>4801.7759400000004</v>
      </c>
      <c r="S171">
        <v>4828.3647099999998</v>
      </c>
      <c r="V171">
        <v>4737.4728699999996</v>
      </c>
      <c r="W171">
        <v>4703.90787</v>
      </c>
      <c r="AB171">
        <v>4794.5692900000004</v>
      </c>
      <c r="AC171">
        <v>4794.4165800000001</v>
      </c>
      <c r="AD171">
        <v>0</v>
      </c>
      <c r="AK171">
        <v>169</v>
      </c>
      <c r="AL171">
        <v>168</v>
      </c>
      <c r="AM171">
        <v>4789.7700000000004</v>
      </c>
      <c r="AN171">
        <v>4772.4125999999997</v>
      </c>
      <c r="AO171">
        <v>17.357399999999998</v>
      </c>
      <c r="AP171">
        <v>301.27789999999999</v>
      </c>
      <c r="AQ171">
        <v>0.1203</v>
      </c>
      <c r="AR171">
        <v>5.9387000000000002E-2</v>
      </c>
      <c r="AY171">
        <v>169</v>
      </c>
      <c r="AZ171">
        <v>168</v>
      </c>
      <c r="BA171">
        <v>4789.7700000000004</v>
      </c>
      <c r="BB171">
        <v>4772.4125999999997</v>
      </c>
      <c r="BC171">
        <v>17.357399999999998</v>
      </c>
      <c r="BD171">
        <v>301.27789999999999</v>
      </c>
      <c r="BE171">
        <v>28224</v>
      </c>
    </row>
    <row r="172" spans="1:57" x14ac:dyDescent="0.55000000000000004">
      <c r="A172">
        <v>1776683702</v>
      </c>
      <c r="B172" t="s">
        <v>72</v>
      </c>
      <c r="C172" t="s">
        <v>73</v>
      </c>
      <c r="D172">
        <v>4788.34</v>
      </c>
      <c r="E172">
        <v>4518.5928199999998</v>
      </c>
      <c r="F172">
        <v>4596.0559499999999</v>
      </c>
      <c r="G172">
        <v>4755.40355</v>
      </c>
      <c r="H172">
        <v>4792.7697200000002</v>
      </c>
      <c r="Q172">
        <v>4772.1450400000003</v>
      </c>
      <c r="R172">
        <v>4801.5083299999997</v>
      </c>
      <c r="S172">
        <v>4828.0971099999997</v>
      </c>
      <c r="V172">
        <v>4737.2052700000004</v>
      </c>
      <c r="W172">
        <v>4703.6402699999999</v>
      </c>
      <c r="AB172">
        <v>4795.5786600000001</v>
      </c>
      <c r="AC172">
        <v>4794.9976200000001</v>
      </c>
      <c r="AD172">
        <v>0</v>
      </c>
      <c r="AK172">
        <v>170</v>
      </c>
      <c r="AL172">
        <v>169</v>
      </c>
      <c r="AM172">
        <v>4788.34</v>
      </c>
      <c r="AN172">
        <v>4772.1450000000004</v>
      </c>
      <c r="AO172">
        <v>16.195</v>
      </c>
      <c r="AP172">
        <v>262.27670000000001</v>
      </c>
      <c r="AQ172">
        <v>9.7713999999999995E-2</v>
      </c>
      <c r="AR172">
        <v>4.5005999999999997E-2</v>
      </c>
      <c r="AY172">
        <v>170</v>
      </c>
      <c r="AZ172">
        <v>169</v>
      </c>
      <c r="BA172">
        <v>4788.34</v>
      </c>
      <c r="BB172">
        <v>4772.1450000000004</v>
      </c>
      <c r="BC172">
        <v>16.195</v>
      </c>
      <c r="BD172">
        <v>262.27670000000001</v>
      </c>
      <c r="BE172">
        <v>28561</v>
      </c>
    </row>
    <row r="173" spans="1:57" x14ac:dyDescent="0.55000000000000004">
      <c r="A173">
        <v>1776684602</v>
      </c>
      <c r="B173" t="s">
        <v>72</v>
      </c>
      <c r="C173" t="s">
        <v>73</v>
      </c>
      <c r="D173">
        <v>4794.3599999999997</v>
      </c>
      <c r="E173">
        <v>4518.5928199999998</v>
      </c>
      <c r="F173">
        <v>4596.0559499999999</v>
      </c>
      <c r="G173">
        <v>4755.40355</v>
      </c>
      <c r="H173">
        <v>4792.7697200000002</v>
      </c>
      <c r="Q173">
        <v>4771.8774299999995</v>
      </c>
      <c r="R173">
        <v>4801.2407300000004</v>
      </c>
      <c r="S173">
        <v>4827.8294999999998</v>
      </c>
      <c r="V173">
        <v>4736.9376599999996</v>
      </c>
      <c r="W173">
        <v>4703.3726699999997</v>
      </c>
      <c r="AB173">
        <v>4797.4928</v>
      </c>
      <c r="AC173">
        <v>4796.24521</v>
      </c>
      <c r="AD173">
        <v>0</v>
      </c>
      <c r="AK173">
        <v>171</v>
      </c>
      <c r="AL173">
        <v>170</v>
      </c>
      <c r="AM173">
        <v>4794.3599999999997</v>
      </c>
      <c r="AN173">
        <v>4771.8774000000003</v>
      </c>
      <c r="AO173">
        <v>22.482600000000001</v>
      </c>
      <c r="AP173">
        <v>505.46600000000001</v>
      </c>
      <c r="AQ173">
        <v>0.26142900000000002</v>
      </c>
      <c r="AR173">
        <v>0.16716200000000001</v>
      </c>
      <c r="AY173">
        <v>171</v>
      </c>
      <c r="AZ173">
        <v>170</v>
      </c>
      <c r="BA173">
        <v>4794.3599999999997</v>
      </c>
      <c r="BB173">
        <v>4771.8774000000003</v>
      </c>
      <c r="BC173">
        <v>22.482600000000001</v>
      </c>
      <c r="BD173">
        <v>505.46600000000001</v>
      </c>
      <c r="BE173">
        <v>28900</v>
      </c>
    </row>
    <row r="174" spans="1:57" x14ac:dyDescent="0.55000000000000004">
      <c r="A174">
        <v>1776685502</v>
      </c>
      <c r="B174" t="s">
        <v>72</v>
      </c>
      <c r="C174" t="s">
        <v>73</v>
      </c>
      <c r="D174">
        <v>4810.4399999999996</v>
      </c>
      <c r="E174">
        <v>4518.5928199999998</v>
      </c>
      <c r="F174">
        <v>4596.0559499999999</v>
      </c>
      <c r="G174">
        <v>4755.40355</v>
      </c>
      <c r="H174">
        <v>4792.7697200000002</v>
      </c>
      <c r="Q174">
        <v>4771.6098300000003</v>
      </c>
      <c r="R174">
        <v>4800.9731300000003</v>
      </c>
      <c r="S174">
        <v>4827.5618999999997</v>
      </c>
      <c r="V174">
        <v>4736.6700600000004</v>
      </c>
      <c r="W174">
        <v>4703.1050599999999</v>
      </c>
      <c r="AB174">
        <v>4800.1639400000004</v>
      </c>
      <c r="AC174">
        <v>4798.2045699999999</v>
      </c>
      <c r="AD174">
        <v>0</v>
      </c>
      <c r="AK174">
        <v>172</v>
      </c>
      <c r="AL174">
        <v>171</v>
      </c>
      <c r="AM174">
        <v>4810.4399999999996</v>
      </c>
      <c r="AN174">
        <v>4771.6098000000002</v>
      </c>
      <c r="AO174">
        <v>38.830199999999998</v>
      </c>
      <c r="AP174">
        <v>1507.7820999999999</v>
      </c>
      <c r="AQ174">
        <v>1.3468629999999999</v>
      </c>
      <c r="AR174">
        <v>1.487412</v>
      </c>
      <c r="AY174">
        <v>172</v>
      </c>
      <c r="AZ174">
        <v>171</v>
      </c>
      <c r="BA174">
        <v>4810.4399999999996</v>
      </c>
      <c r="BB174">
        <v>4771.6098000000002</v>
      </c>
      <c r="BC174">
        <v>38.830199999999998</v>
      </c>
      <c r="BD174">
        <v>1507.7820999999999</v>
      </c>
      <c r="BE174">
        <v>29241</v>
      </c>
    </row>
    <row r="175" spans="1:57" x14ac:dyDescent="0.55000000000000004">
      <c r="A175">
        <v>1776686402</v>
      </c>
      <c r="B175" t="s">
        <v>72</v>
      </c>
      <c r="C175" t="s">
        <v>73</v>
      </c>
      <c r="D175">
        <v>4811.0600000000004</v>
      </c>
      <c r="E175">
        <v>4518.5928199999998</v>
      </c>
      <c r="F175">
        <v>4596.0559499999999</v>
      </c>
      <c r="G175">
        <v>4755.40355</v>
      </c>
      <c r="H175">
        <v>4792.7697200000002</v>
      </c>
      <c r="Q175">
        <v>4771.3422200000005</v>
      </c>
      <c r="R175">
        <v>4800.7055200000004</v>
      </c>
      <c r="S175">
        <v>4827.2942899999998</v>
      </c>
      <c r="V175">
        <v>4736.4024499999996</v>
      </c>
      <c r="W175">
        <v>4702.8374599999997</v>
      </c>
      <c r="AB175">
        <v>4803.0973899999999</v>
      </c>
      <c r="AC175">
        <v>4800.6509800000003</v>
      </c>
      <c r="AD175">
        <v>0</v>
      </c>
      <c r="AK175">
        <v>173</v>
      </c>
      <c r="AL175">
        <v>172</v>
      </c>
      <c r="AM175">
        <v>4811.0600000000004</v>
      </c>
      <c r="AN175">
        <v>4771.3422</v>
      </c>
      <c r="AO175">
        <v>39.717799999999997</v>
      </c>
      <c r="AP175">
        <v>1577.502</v>
      </c>
      <c r="AQ175">
        <v>1.4413530000000001</v>
      </c>
      <c r="AR175">
        <v>1.6281479999999999</v>
      </c>
      <c r="AY175">
        <v>173</v>
      </c>
      <c r="AZ175">
        <v>172</v>
      </c>
      <c r="BA175">
        <v>4811.0600000000004</v>
      </c>
      <c r="BB175">
        <v>4771.3422</v>
      </c>
      <c r="BC175">
        <v>39.717799999999997</v>
      </c>
      <c r="BD175">
        <v>1577.502</v>
      </c>
      <c r="BE175">
        <v>29584</v>
      </c>
    </row>
    <row r="176" spans="1:57" x14ac:dyDescent="0.55000000000000004">
      <c r="A176">
        <v>1776687302</v>
      </c>
      <c r="B176" t="s">
        <v>72</v>
      </c>
      <c r="C176" t="s">
        <v>73</v>
      </c>
      <c r="D176">
        <v>4805.51</v>
      </c>
      <c r="E176">
        <v>4518.5928199999998</v>
      </c>
      <c r="F176">
        <v>4596.0559499999999</v>
      </c>
      <c r="G176">
        <v>4755.40355</v>
      </c>
      <c r="H176">
        <v>4792.7697200000002</v>
      </c>
      <c r="Q176">
        <v>4771.0746200000003</v>
      </c>
      <c r="R176">
        <v>4800.4379200000003</v>
      </c>
      <c r="S176">
        <v>4827.0266899999997</v>
      </c>
      <c r="V176">
        <v>4736.1348500000004</v>
      </c>
      <c r="W176">
        <v>4702.5698499999999</v>
      </c>
      <c r="AB176">
        <v>4806.2152500000002</v>
      </c>
      <c r="AC176">
        <v>4803.4331099999999</v>
      </c>
      <c r="AD176">
        <v>0</v>
      </c>
      <c r="AK176">
        <v>174</v>
      </c>
      <c r="AL176">
        <v>173</v>
      </c>
      <c r="AM176">
        <v>4805.51</v>
      </c>
      <c r="AN176">
        <v>4771.0745999999999</v>
      </c>
      <c r="AO176">
        <v>34.435400000000001</v>
      </c>
      <c r="AP176">
        <v>1185.7954</v>
      </c>
      <c r="AQ176">
        <v>0.93935599999999997</v>
      </c>
      <c r="AR176">
        <v>0.91996999999999995</v>
      </c>
      <c r="AY176">
        <v>174</v>
      </c>
      <c r="AZ176">
        <v>173</v>
      </c>
      <c r="BA176">
        <v>4805.51</v>
      </c>
      <c r="BB176">
        <v>4771.0745999999999</v>
      </c>
      <c r="BC176">
        <v>34.435400000000001</v>
      </c>
      <c r="BD176">
        <v>1185.7954</v>
      </c>
      <c r="BE176">
        <v>29929</v>
      </c>
    </row>
    <row r="177" spans="1:57" x14ac:dyDescent="0.55000000000000004">
      <c r="A177">
        <v>1776688202</v>
      </c>
      <c r="B177" t="s">
        <v>72</v>
      </c>
      <c r="C177" t="s">
        <v>73</v>
      </c>
      <c r="D177">
        <v>4806.1099999999997</v>
      </c>
      <c r="E177">
        <v>4518.5928199999998</v>
      </c>
      <c r="F177">
        <v>4596.0559499999999</v>
      </c>
      <c r="G177">
        <v>4755.40355</v>
      </c>
      <c r="H177">
        <v>4792.7697200000002</v>
      </c>
      <c r="Q177">
        <v>4770.8070200000002</v>
      </c>
      <c r="R177">
        <v>4800.1703100000004</v>
      </c>
      <c r="S177">
        <v>4826.7590799999998</v>
      </c>
      <c r="V177">
        <v>4735.8672500000002</v>
      </c>
      <c r="W177">
        <v>4702.3022499999997</v>
      </c>
      <c r="AB177">
        <v>4809.5567899999996</v>
      </c>
      <c r="AC177">
        <v>4806.4949500000002</v>
      </c>
      <c r="AD177">
        <v>0</v>
      </c>
      <c r="AK177">
        <v>175</v>
      </c>
      <c r="AL177">
        <v>174</v>
      </c>
      <c r="AM177">
        <v>4806.1099999999997</v>
      </c>
      <c r="AN177">
        <v>4770.8069999999998</v>
      </c>
      <c r="AO177">
        <v>35.302999999999997</v>
      </c>
      <c r="AP177">
        <v>1246.3004000000001</v>
      </c>
      <c r="AQ177">
        <v>1.0121610000000001</v>
      </c>
      <c r="AR177">
        <v>1.016248</v>
      </c>
      <c r="AY177">
        <v>175</v>
      </c>
      <c r="AZ177">
        <v>174</v>
      </c>
      <c r="BA177">
        <v>4806.1099999999997</v>
      </c>
      <c r="BB177">
        <v>4770.8069999999998</v>
      </c>
      <c r="BC177">
        <v>35.302999999999997</v>
      </c>
      <c r="BD177">
        <v>1246.3004000000001</v>
      </c>
      <c r="BE177">
        <v>30276</v>
      </c>
    </row>
    <row r="178" spans="1:57" x14ac:dyDescent="0.55000000000000004">
      <c r="A178">
        <v>1776689102</v>
      </c>
      <c r="B178" t="s">
        <v>72</v>
      </c>
      <c r="C178" t="s">
        <v>73</v>
      </c>
      <c r="D178">
        <v>4803.49</v>
      </c>
      <c r="E178">
        <v>4518.5928199999998</v>
      </c>
      <c r="F178">
        <v>4596.0559499999999</v>
      </c>
      <c r="G178">
        <v>4755.40355</v>
      </c>
      <c r="H178">
        <v>4792.7697200000002</v>
      </c>
      <c r="Q178">
        <v>4770.5394100000003</v>
      </c>
      <c r="R178">
        <v>4799.9027100000003</v>
      </c>
      <c r="S178">
        <v>4826.4914799999997</v>
      </c>
      <c r="V178">
        <v>4735.5996400000004</v>
      </c>
      <c r="W178">
        <v>4702.0346399999999</v>
      </c>
      <c r="AB178">
        <v>4812.9460099999997</v>
      </c>
      <c r="AC178">
        <v>4809.72048</v>
      </c>
      <c r="AD178">
        <v>0</v>
      </c>
      <c r="AK178">
        <v>176</v>
      </c>
      <c r="AL178">
        <v>175</v>
      </c>
      <c r="AM178">
        <v>4803.49</v>
      </c>
      <c r="AN178">
        <v>4770.5393999999997</v>
      </c>
      <c r="AO178">
        <v>32.950600000000001</v>
      </c>
      <c r="AP178">
        <v>1085.7414000000001</v>
      </c>
      <c r="AQ178">
        <v>0.82301000000000002</v>
      </c>
      <c r="AR178">
        <v>0.77127100000000004</v>
      </c>
      <c r="AY178">
        <v>176</v>
      </c>
      <c r="AZ178">
        <v>175</v>
      </c>
      <c r="BA178">
        <v>4803.49</v>
      </c>
      <c r="BB178">
        <v>4770.5393999999997</v>
      </c>
      <c r="BC178">
        <v>32.950600000000001</v>
      </c>
      <c r="BD178">
        <v>1085.7414000000001</v>
      </c>
      <c r="BE178">
        <v>30625</v>
      </c>
    </row>
    <row r="179" spans="1:57" x14ac:dyDescent="0.55000000000000004">
      <c r="A179">
        <v>1776690002</v>
      </c>
      <c r="B179" t="s">
        <v>72</v>
      </c>
      <c r="C179" t="s">
        <v>73</v>
      </c>
      <c r="D179">
        <v>4815.51</v>
      </c>
      <c r="E179">
        <v>4518.5928199999998</v>
      </c>
      <c r="F179">
        <v>4596.0559499999999</v>
      </c>
      <c r="G179">
        <v>4755.40355</v>
      </c>
      <c r="H179">
        <v>4792.7697200000002</v>
      </c>
      <c r="Q179">
        <v>4770.2718100000002</v>
      </c>
      <c r="R179">
        <v>4799.6351100000002</v>
      </c>
      <c r="S179">
        <v>4826.2238799999996</v>
      </c>
      <c r="V179">
        <v>4735.3320400000002</v>
      </c>
      <c r="W179">
        <v>4701.7670399999997</v>
      </c>
      <c r="AB179">
        <v>4816.2047499999999</v>
      </c>
      <c r="AC179">
        <v>4812.9626099999996</v>
      </c>
      <c r="AD179">
        <v>0</v>
      </c>
      <c r="AK179">
        <v>177</v>
      </c>
      <c r="AL179">
        <v>176</v>
      </c>
      <c r="AM179">
        <v>4815.51</v>
      </c>
      <c r="AN179">
        <v>4770.2718000000004</v>
      </c>
      <c r="AO179">
        <v>45.238199999999999</v>
      </c>
      <c r="AP179">
        <v>2046.4938</v>
      </c>
      <c r="AQ179">
        <v>2.1297630000000001</v>
      </c>
      <c r="AR179">
        <v>2.740154</v>
      </c>
      <c r="AY179">
        <v>177</v>
      </c>
      <c r="AZ179">
        <v>176</v>
      </c>
      <c r="BA179">
        <v>4815.51</v>
      </c>
      <c r="BB179">
        <v>4770.2718000000004</v>
      </c>
      <c r="BC179">
        <v>45.238199999999999</v>
      </c>
      <c r="BD179">
        <v>2046.4938</v>
      </c>
      <c r="BE179">
        <v>30976</v>
      </c>
    </row>
    <row r="180" spans="1:57" x14ac:dyDescent="0.55000000000000004">
      <c r="A180">
        <v>1776690902</v>
      </c>
      <c r="B180" t="s">
        <v>72</v>
      </c>
      <c r="C180" t="s">
        <v>73</v>
      </c>
      <c r="D180">
        <v>4824.1899999999996</v>
      </c>
      <c r="E180">
        <v>4518.5928199999998</v>
      </c>
      <c r="F180">
        <v>4596.0559499999999</v>
      </c>
      <c r="G180">
        <v>4755.40355</v>
      </c>
      <c r="H180">
        <v>4792.7697200000002</v>
      </c>
      <c r="Q180">
        <v>4770.0042000000003</v>
      </c>
      <c r="R180">
        <v>4799.3675000000003</v>
      </c>
      <c r="S180">
        <v>4825.9562699999997</v>
      </c>
      <c r="V180">
        <v>4735.0644300000004</v>
      </c>
      <c r="W180">
        <v>4701.4994399999996</v>
      </c>
      <c r="AB180">
        <v>4818.7192400000004</v>
      </c>
      <c r="AC180">
        <v>4815.8409300000003</v>
      </c>
      <c r="AD180">
        <v>0</v>
      </c>
      <c r="AK180">
        <v>178</v>
      </c>
      <c r="AL180">
        <v>177</v>
      </c>
      <c r="AM180">
        <v>4824.1899999999996</v>
      </c>
      <c r="AN180">
        <v>4770.0042000000003</v>
      </c>
      <c r="AO180">
        <v>54.1858</v>
      </c>
      <c r="AP180">
        <v>2936.1008999999999</v>
      </c>
      <c r="AQ180">
        <v>3.6599240000000002</v>
      </c>
      <c r="AR180">
        <v>5.6402200000000002</v>
      </c>
      <c r="AY180">
        <v>178</v>
      </c>
      <c r="AZ180">
        <v>177</v>
      </c>
      <c r="BA180">
        <v>4824.1899999999996</v>
      </c>
      <c r="BB180">
        <v>4770.0042000000003</v>
      </c>
      <c r="BC180">
        <v>54.1858</v>
      </c>
      <c r="BD180">
        <v>2936.1008999999999</v>
      </c>
      <c r="BE180">
        <v>31329</v>
      </c>
    </row>
    <row r="181" spans="1:57" x14ac:dyDescent="0.55000000000000004">
      <c r="A181">
        <v>1776691802</v>
      </c>
      <c r="B181" t="s">
        <v>72</v>
      </c>
      <c r="C181" t="s">
        <v>73</v>
      </c>
      <c r="D181">
        <v>4822.18</v>
      </c>
      <c r="E181">
        <v>4518.5928199999998</v>
      </c>
      <c r="F181">
        <v>4596.0559499999999</v>
      </c>
      <c r="G181">
        <v>4755.40355</v>
      </c>
      <c r="H181">
        <v>4792.7697200000002</v>
      </c>
      <c r="Q181">
        <v>4769.7366000000002</v>
      </c>
      <c r="R181">
        <v>4799.0999000000002</v>
      </c>
      <c r="S181">
        <v>4825.6886699999995</v>
      </c>
      <c r="V181">
        <v>4734.7968300000002</v>
      </c>
      <c r="W181">
        <v>4701.2318299999997</v>
      </c>
      <c r="AB181">
        <v>4819.9690499999997</v>
      </c>
      <c r="AC181">
        <v>4817.90499</v>
      </c>
      <c r="AD181">
        <v>0</v>
      </c>
      <c r="AK181">
        <v>179</v>
      </c>
      <c r="AL181">
        <v>178</v>
      </c>
      <c r="AM181">
        <v>4822.18</v>
      </c>
      <c r="AN181">
        <v>4769.7366000000002</v>
      </c>
      <c r="AO181">
        <v>52.443399999999997</v>
      </c>
      <c r="AP181">
        <v>2750.3101999999999</v>
      </c>
      <c r="AQ181">
        <v>3.3180900000000002</v>
      </c>
      <c r="AR181">
        <v>4.9489999999999998</v>
      </c>
      <c r="AY181">
        <v>179</v>
      </c>
      <c r="AZ181">
        <v>178</v>
      </c>
      <c r="BA181">
        <v>4822.18</v>
      </c>
      <c r="BB181">
        <v>4769.7366000000002</v>
      </c>
      <c r="BC181">
        <v>52.443399999999997</v>
      </c>
      <c r="BD181">
        <v>2750.3101999999999</v>
      </c>
      <c r="BE181">
        <v>31684</v>
      </c>
    </row>
    <row r="182" spans="1:57" x14ac:dyDescent="0.55000000000000004">
      <c r="A182">
        <v>1776692702</v>
      </c>
      <c r="B182" t="s">
        <v>72</v>
      </c>
      <c r="C182" t="s">
        <v>73</v>
      </c>
      <c r="D182">
        <v>4817.8999999999996</v>
      </c>
      <c r="E182">
        <v>4518.5928199999998</v>
      </c>
      <c r="F182">
        <v>4596.0559499999999</v>
      </c>
      <c r="G182">
        <v>4755.40355</v>
      </c>
      <c r="H182">
        <v>4792.7697200000002</v>
      </c>
      <c r="Q182">
        <v>4769.4689900000003</v>
      </c>
      <c r="R182">
        <v>4798.8322900000003</v>
      </c>
      <c r="S182">
        <v>4825.4210599999997</v>
      </c>
      <c r="V182">
        <v>4734.5292200000004</v>
      </c>
      <c r="W182">
        <v>4700.9642299999996</v>
      </c>
      <c r="AB182">
        <v>4819.8618999999999</v>
      </c>
      <c r="AC182">
        <v>4818.8834399999996</v>
      </c>
      <c r="AD182">
        <v>0</v>
      </c>
      <c r="AK182">
        <v>180</v>
      </c>
      <c r="AL182">
        <v>179</v>
      </c>
      <c r="AM182">
        <v>4817.8999999999996</v>
      </c>
      <c r="AN182">
        <v>4769.4690000000001</v>
      </c>
      <c r="AO182">
        <v>48.430999999999997</v>
      </c>
      <c r="AP182">
        <v>2345.5626999999999</v>
      </c>
      <c r="AQ182">
        <v>2.6132810000000002</v>
      </c>
      <c r="AR182">
        <v>3.5995499999999998</v>
      </c>
      <c r="AY182">
        <v>180</v>
      </c>
      <c r="AZ182">
        <v>179</v>
      </c>
      <c r="BA182">
        <v>4817.8999999999996</v>
      </c>
      <c r="BB182">
        <v>4769.4690000000001</v>
      </c>
      <c r="BC182">
        <v>48.430999999999997</v>
      </c>
      <c r="BD182">
        <v>2345.5626999999999</v>
      </c>
      <c r="BE182">
        <v>32041</v>
      </c>
    </row>
    <row r="183" spans="1:57" x14ac:dyDescent="0.55000000000000004">
      <c r="A183">
        <v>1776693602</v>
      </c>
      <c r="B183" t="s">
        <v>72</v>
      </c>
      <c r="C183" t="s">
        <v>73</v>
      </c>
      <c r="D183">
        <v>4816.3900000000003</v>
      </c>
      <c r="E183">
        <v>4518.5928199999998</v>
      </c>
      <c r="F183">
        <v>4596.0559499999999</v>
      </c>
      <c r="G183">
        <v>4755.40355</v>
      </c>
      <c r="H183">
        <v>4792.7697200000002</v>
      </c>
      <c r="Q183">
        <v>4769.2013900000002</v>
      </c>
      <c r="R183">
        <v>4798.5646900000002</v>
      </c>
      <c r="S183">
        <v>4825.1534600000005</v>
      </c>
      <c r="V183">
        <v>4734.2616200000002</v>
      </c>
      <c r="W183">
        <v>4700.6966199999997</v>
      </c>
      <c r="AB183">
        <v>4818.5417200000002</v>
      </c>
      <c r="AC183">
        <v>4818.7125800000003</v>
      </c>
      <c r="AD183">
        <v>1</v>
      </c>
      <c r="AK183">
        <v>181</v>
      </c>
      <c r="AL183">
        <v>180</v>
      </c>
      <c r="AM183">
        <v>4816.3900000000003</v>
      </c>
      <c r="AN183">
        <v>4769.2013999999999</v>
      </c>
      <c r="AO183">
        <v>47.188600000000001</v>
      </c>
      <c r="AP183">
        <v>2226.7649000000001</v>
      </c>
      <c r="AQ183">
        <v>2.417281</v>
      </c>
      <c r="AR183">
        <v>3.244164</v>
      </c>
      <c r="AY183">
        <v>181</v>
      </c>
      <c r="AZ183">
        <v>180</v>
      </c>
      <c r="BA183">
        <v>4816.3900000000003</v>
      </c>
      <c r="BB183">
        <v>4769.2013999999999</v>
      </c>
      <c r="BC183">
        <v>47.188600000000001</v>
      </c>
      <c r="BD183">
        <v>2226.7649000000001</v>
      </c>
      <c r="BE183">
        <v>32400</v>
      </c>
    </row>
    <row r="184" spans="1:57" x14ac:dyDescent="0.55000000000000004">
      <c r="A184">
        <v>1776694502</v>
      </c>
      <c r="B184" t="s">
        <v>72</v>
      </c>
      <c r="C184" t="s">
        <v>73</v>
      </c>
      <c r="D184">
        <v>4823.3999999999996</v>
      </c>
      <c r="E184">
        <v>4518.5928199999998</v>
      </c>
      <c r="F184">
        <v>4596.0559499999999</v>
      </c>
      <c r="G184">
        <v>4755.40355</v>
      </c>
      <c r="H184">
        <v>4792.7697200000002</v>
      </c>
      <c r="Q184">
        <v>4768.93379</v>
      </c>
      <c r="R184">
        <v>4798.29709</v>
      </c>
      <c r="S184">
        <v>4824.8858600000003</v>
      </c>
      <c r="V184">
        <v>4733.9940200000001</v>
      </c>
      <c r="W184">
        <v>4700.4290199999996</v>
      </c>
      <c r="AB184">
        <v>4816.1832100000001</v>
      </c>
      <c r="AC184">
        <v>4817.4478900000004</v>
      </c>
      <c r="AD184">
        <v>0</v>
      </c>
      <c r="AK184">
        <v>182</v>
      </c>
      <c r="AL184">
        <v>181</v>
      </c>
      <c r="AM184">
        <v>4823.3999999999996</v>
      </c>
      <c r="AN184">
        <v>4768.9337999999998</v>
      </c>
      <c r="AO184">
        <v>54.466200000000001</v>
      </c>
      <c r="AP184">
        <v>2966.5680000000002</v>
      </c>
      <c r="AQ184">
        <v>3.7170380000000001</v>
      </c>
      <c r="AR184">
        <v>5.7578820000000004</v>
      </c>
      <c r="AY184">
        <v>182</v>
      </c>
      <c r="AZ184">
        <v>181</v>
      </c>
      <c r="BA184">
        <v>4823.3999999999996</v>
      </c>
      <c r="BB184">
        <v>4768.9337999999998</v>
      </c>
      <c r="BC184">
        <v>54.466200000000001</v>
      </c>
      <c r="BD184">
        <v>2966.5680000000002</v>
      </c>
      <c r="BE184">
        <v>32761</v>
      </c>
    </row>
    <row r="185" spans="1:57" x14ac:dyDescent="0.55000000000000004">
      <c r="A185">
        <v>1776695402</v>
      </c>
      <c r="B185" t="s">
        <v>72</v>
      </c>
      <c r="C185" t="s">
        <v>73</v>
      </c>
      <c r="D185">
        <v>4814.18</v>
      </c>
      <c r="E185">
        <v>4518.5928199999998</v>
      </c>
      <c r="F185">
        <v>4596.0559499999999</v>
      </c>
      <c r="G185">
        <v>4755.40355</v>
      </c>
      <c r="H185">
        <v>4792.7697200000002</v>
      </c>
      <c r="Q185">
        <v>4768.6661800000002</v>
      </c>
      <c r="R185">
        <v>4798.0294800000001</v>
      </c>
      <c r="S185">
        <v>4824.6182500000004</v>
      </c>
      <c r="V185">
        <v>4733.7264100000002</v>
      </c>
      <c r="W185">
        <v>4700.1614200000004</v>
      </c>
      <c r="Z185">
        <v>4827.74</v>
      </c>
      <c r="AB185">
        <v>4812.8439099999996</v>
      </c>
      <c r="AC185">
        <v>4815.1459000000004</v>
      </c>
      <c r="AD185">
        <v>0</v>
      </c>
      <c r="AK185">
        <v>183</v>
      </c>
      <c r="AL185">
        <v>182</v>
      </c>
      <c r="AM185">
        <v>4814.18</v>
      </c>
      <c r="AN185">
        <v>4768.6661999999997</v>
      </c>
      <c r="AO185">
        <v>45.513800000000003</v>
      </c>
      <c r="AP185">
        <v>2071.5077999999999</v>
      </c>
      <c r="AQ185">
        <v>2.16893</v>
      </c>
      <c r="AR185">
        <v>2.8075480000000002</v>
      </c>
      <c r="AY185">
        <v>183</v>
      </c>
      <c r="AZ185">
        <v>182</v>
      </c>
      <c r="BA185">
        <v>4814.18</v>
      </c>
      <c r="BB185">
        <v>4768.6661999999997</v>
      </c>
      <c r="BC185">
        <v>45.513800000000003</v>
      </c>
      <c r="BD185">
        <v>2071.5077999999999</v>
      </c>
      <c r="BE185">
        <v>33124</v>
      </c>
    </row>
    <row r="186" spans="1:57" x14ac:dyDescent="0.55000000000000004">
      <c r="A186">
        <v>1776696302</v>
      </c>
      <c r="B186" t="s">
        <v>72</v>
      </c>
      <c r="C186" t="s">
        <v>73</v>
      </c>
      <c r="D186">
        <v>4805.3100000000004</v>
      </c>
      <c r="E186">
        <v>4518.5928199999998</v>
      </c>
      <c r="F186">
        <v>4596.0559499999999</v>
      </c>
      <c r="G186">
        <v>4755.40355</v>
      </c>
      <c r="H186">
        <v>4792.7697200000002</v>
      </c>
      <c r="Q186">
        <v>4768.39858</v>
      </c>
      <c r="R186">
        <v>4797.76188</v>
      </c>
      <c r="S186">
        <v>4824.3506500000003</v>
      </c>
      <c r="V186">
        <v>4733.4588100000001</v>
      </c>
      <c r="W186">
        <v>4699.8938099999996</v>
      </c>
      <c r="AB186">
        <v>4809.1227900000004</v>
      </c>
      <c r="AC186">
        <v>4812.1343500000003</v>
      </c>
      <c r="AD186">
        <v>0</v>
      </c>
      <c r="AK186">
        <v>184</v>
      </c>
      <c r="AL186">
        <v>183</v>
      </c>
      <c r="AM186">
        <v>4805.3100000000004</v>
      </c>
      <c r="AN186">
        <v>4768.3986000000004</v>
      </c>
      <c r="AO186">
        <v>36.9114</v>
      </c>
      <c r="AP186">
        <v>1362.4529</v>
      </c>
      <c r="AQ186">
        <v>1.1569050000000001</v>
      </c>
      <c r="AR186">
        <v>1.214499</v>
      </c>
      <c r="AY186">
        <v>184</v>
      </c>
      <c r="AZ186">
        <v>183</v>
      </c>
      <c r="BA186">
        <v>4805.3100000000004</v>
      </c>
      <c r="BB186">
        <v>4768.3986000000004</v>
      </c>
      <c r="BC186">
        <v>36.9114</v>
      </c>
      <c r="BD186">
        <v>1362.4529</v>
      </c>
      <c r="BE186">
        <v>33489</v>
      </c>
    </row>
    <row r="187" spans="1:57" x14ac:dyDescent="0.55000000000000004">
      <c r="A187">
        <v>1776697202</v>
      </c>
      <c r="B187" t="s">
        <v>72</v>
      </c>
      <c r="C187" t="s">
        <v>73</v>
      </c>
      <c r="D187">
        <v>4798.2</v>
      </c>
      <c r="E187">
        <v>4518.5928199999998</v>
      </c>
      <c r="F187">
        <v>4596.0559499999999</v>
      </c>
      <c r="G187">
        <v>4755.40355</v>
      </c>
      <c r="H187">
        <v>4792.7697200000002</v>
      </c>
      <c r="Q187">
        <v>4768.1309700000002</v>
      </c>
      <c r="R187">
        <v>4797.4942700000001</v>
      </c>
      <c r="S187">
        <v>4824.0830400000004</v>
      </c>
      <c r="V187">
        <v>4733.1912000000002</v>
      </c>
      <c r="W187">
        <v>4699.6262100000004</v>
      </c>
      <c r="AB187">
        <v>4805.6364299999996</v>
      </c>
      <c r="AC187">
        <v>4808.8853900000004</v>
      </c>
      <c r="AD187">
        <v>0</v>
      </c>
      <c r="AK187">
        <v>185</v>
      </c>
      <c r="AL187">
        <v>184</v>
      </c>
      <c r="AM187">
        <v>4798.2</v>
      </c>
      <c r="AN187">
        <v>4768.1310000000003</v>
      </c>
      <c r="AO187">
        <v>30.068999999999999</v>
      </c>
      <c r="AP187">
        <v>904.14660000000003</v>
      </c>
      <c r="AQ187">
        <v>0.62542299999999995</v>
      </c>
      <c r="AR187">
        <v>0.53485000000000005</v>
      </c>
      <c r="AY187">
        <v>185</v>
      </c>
      <c r="AZ187">
        <v>184</v>
      </c>
      <c r="BA187">
        <v>4798.2</v>
      </c>
      <c r="BB187">
        <v>4768.1310000000003</v>
      </c>
      <c r="BC187">
        <v>30.068999999999999</v>
      </c>
      <c r="BD187">
        <v>904.14660000000003</v>
      </c>
      <c r="BE187">
        <v>33856</v>
      </c>
    </row>
    <row r="188" spans="1:57" x14ac:dyDescent="0.55000000000000004">
      <c r="A188">
        <v>1776698102</v>
      </c>
      <c r="B188" t="s">
        <v>72</v>
      </c>
      <c r="C188" t="s">
        <v>73</v>
      </c>
      <c r="D188">
        <v>4808.6400000000003</v>
      </c>
      <c r="E188">
        <v>4518.5928199999998</v>
      </c>
      <c r="F188">
        <v>4596.0559499999999</v>
      </c>
      <c r="G188">
        <v>4755.40355</v>
      </c>
      <c r="H188">
        <v>4792.7697200000002</v>
      </c>
      <c r="Q188">
        <v>4767.86337</v>
      </c>
      <c r="R188">
        <v>4797.22667</v>
      </c>
      <c r="S188">
        <v>4823.8154400000003</v>
      </c>
      <c r="V188">
        <v>4732.9236000000001</v>
      </c>
      <c r="W188">
        <v>4699.3585999999996</v>
      </c>
      <c r="AB188">
        <v>4802.8918899999999</v>
      </c>
      <c r="AC188">
        <v>4805.8886400000001</v>
      </c>
      <c r="AD188">
        <v>0</v>
      </c>
      <c r="AK188">
        <v>186</v>
      </c>
      <c r="AL188">
        <v>185</v>
      </c>
      <c r="AM188">
        <v>4808.6400000000003</v>
      </c>
      <c r="AN188">
        <v>4767.8634000000002</v>
      </c>
      <c r="AO188">
        <v>40.776600000000002</v>
      </c>
      <c r="AP188">
        <v>1662.7336</v>
      </c>
      <c r="AQ188">
        <v>1.559731</v>
      </c>
      <c r="AR188">
        <v>1.808837</v>
      </c>
      <c r="AY188">
        <v>186</v>
      </c>
      <c r="AZ188">
        <v>185</v>
      </c>
      <c r="BA188">
        <v>4808.6400000000003</v>
      </c>
      <c r="BB188">
        <v>4767.8634000000002</v>
      </c>
      <c r="BC188">
        <v>40.776600000000002</v>
      </c>
      <c r="BD188">
        <v>1662.7336</v>
      </c>
      <c r="BE188">
        <v>34225</v>
      </c>
    </row>
    <row r="189" spans="1:57" x14ac:dyDescent="0.55000000000000004">
      <c r="A189">
        <v>1776699002</v>
      </c>
      <c r="B189" t="s">
        <v>72</v>
      </c>
      <c r="C189" t="s">
        <v>73</v>
      </c>
      <c r="D189">
        <v>4800.3599999999997</v>
      </c>
      <c r="E189">
        <v>4518.5928199999998</v>
      </c>
      <c r="F189">
        <v>4596.0559499999999</v>
      </c>
      <c r="G189">
        <v>4755.40355</v>
      </c>
      <c r="H189">
        <v>4792.7697200000002</v>
      </c>
      <c r="Q189">
        <v>4767.5957699999999</v>
      </c>
      <c r="R189">
        <v>4796.9590699999999</v>
      </c>
      <c r="S189">
        <v>4823.5478400000002</v>
      </c>
      <c r="V189">
        <v>4732.6559999999999</v>
      </c>
      <c r="W189">
        <v>4699.0910000000003</v>
      </c>
      <c r="AB189">
        <v>4800.8218100000004</v>
      </c>
      <c r="AC189">
        <v>4803.3552200000004</v>
      </c>
      <c r="AD189">
        <v>0</v>
      </c>
      <c r="AK189">
        <v>187</v>
      </c>
      <c r="AL189">
        <v>186</v>
      </c>
      <c r="AM189">
        <v>4800.3599999999997</v>
      </c>
      <c r="AN189">
        <v>4767.5958000000001</v>
      </c>
      <c r="AO189">
        <v>32.764200000000002</v>
      </c>
      <c r="AP189">
        <v>1073.4947999999999</v>
      </c>
      <c r="AQ189">
        <v>0.80912499999999998</v>
      </c>
      <c r="AR189">
        <v>0.75397000000000003</v>
      </c>
      <c r="AY189">
        <v>187</v>
      </c>
      <c r="AZ189">
        <v>186</v>
      </c>
      <c r="BA189">
        <v>4800.3599999999997</v>
      </c>
      <c r="BB189">
        <v>4767.5958000000001</v>
      </c>
      <c r="BC189">
        <v>32.764200000000002</v>
      </c>
      <c r="BD189">
        <v>1073.4947999999999</v>
      </c>
      <c r="BE189">
        <v>34596</v>
      </c>
    </row>
    <row r="190" spans="1:57" x14ac:dyDescent="0.55000000000000004">
      <c r="A190">
        <v>1776699902</v>
      </c>
      <c r="B190" t="s">
        <v>72</v>
      </c>
      <c r="C190" t="s">
        <v>73</v>
      </c>
      <c r="D190">
        <v>4799.8</v>
      </c>
      <c r="E190">
        <v>4518.5928199999998</v>
      </c>
      <c r="F190">
        <v>4596.0559499999999</v>
      </c>
      <c r="G190">
        <v>4755.40355</v>
      </c>
      <c r="H190">
        <v>4792.7697200000002</v>
      </c>
      <c r="Q190">
        <v>4767.32816</v>
      </c>
      <c r="R190">
        <v>4796.69146</v>
      </c>
      <c r="S190">
        <v>4823.2802300000003</v>
      </c>
      <c r="V190">
        <v>4732.3883900000001</v>
      </c>
      <c r="W190">
        <v>4698.8234000000002</v>
      </c>
      <c r="AB190">
        <v>4799.7456300000003</v>
      </c>
      <c r="AC190">
        <v>4801.5504300000002</v>
      </c>
      <c r="AD190">
        <v>0</v>
      </c>
      <c r="AK190">
        <v>188</v>
      </c>
      <c r="AL190">
        <v>187</v>
      </c>
      <c r="AM190">
        <v>4799.8</v>
      </c>
      <c r="AN190">
        <v>4767.3281999999999</v>
      </c>
      <c r="AO190">
        <v>32.471800000000002</v>
      </c>
      <c r="AP190">
        <v>1054.4204</v>
      </c>
      <c r="AQ190">
        <v>0.78765499999999999</v>
      </c>
      <c r="AR190">
        <v>0.72741400000000001</v>
      </c>
      <c r="AY190">
        <v>188</v>
      </c>
      <c r="AZ190">
        <v>187</v>
      </c>
      <c r="BA190">
        <v>4799.8</v>
      </c>
      <c r="BB190">
        <v>4767.3281999999999</v>
      </c>
      <c r="BC190">
        <v>32.471800000000002</v>
      </c>
      <c r="BD190">
        <v>1054.4204</v>
      </c>
      <c r="BE190">
        <v>34969</v>
      </c>
    </row>
    <row r="191" spans="1:57" x14ac:dyDescent="0.55000000000000004">
      <c r="A191">
        <v>1776700802</v>
      </c>
      <c r="B191" t="s">
        <v>72</v>
      </c>
      <c r="C191" t="s">
        <v>73</v>
      </c>
      <c r="D191">
        <v>4798.42</v>
      </c>
      <c r="E191">
        <v>4518.5928199999998</v>
      </c>
      <c r="F191">
        <v>4596.0559499999999</v>
      </c>
      <c r="G191">
        <v>4755.40355</v>
      </c>
      <c r="H191">
        <v>4792.7697200000002</v>
      </c>
      <c r="Q191">
        <v>4767.0605599999999</v>
      </c>
      <c r="R191">
        <v>4796.4238599999999</v>
      </c>
      <c r="S191">
        <v>4823.0126300000002</v>
      </c>
      <c r="V191">
        <v>4732.1207899999999</v>
      </c>
      <c r="W191">
        <v>4698.5557900000003</v>
      </c>
      <c r="AB191">
        <v>4799.6927400000004</v>
      </c>
      <c r="AC191">
        <v>4800.62158</v>
      </c>
      <c r="AD191">
        <v>0</v>
      </c>
      <c r="AK191">
        <v>189</v>
      </c>
      <c r="AL191">
        <v>188</v>
      </c>
      <c r="AM191">
        <v>4798.42</v>
      </c>
      <c r="AN191">
        <v>4767.0605999999998</v>
      </c>
      <c r="AO191">
        <v>31.359400000000001</v>
      </c>
      <c r="AP191">
        <v>983.41449999999998</v>
      </c>
      <c r="AQ191">
        <v>0.70944799999999997</v>
      </c>
      <c r="AR191">
        <v>0.63274300000000006</v>
      </c>
      <c r="AY191">
        <v>189</v>
      </c>
      <c r="AZ191">
        <v>188</v>
      </c>
      <c r="BA191">
        <v>4798.42</v>
      </c>
      <c r="BB191">
        <v>4767.0605999999998</v>
      </c>
      <c r="BC191">
        <v>31.359400000000001</v>
      </c>
      <c r="BD191">
        <v>983.41449999999998</v>
      </c>
      <c r="BE191">
        <v>35344</v>
      </c>
    </row>
    <row r="192" spans="1:57" x14ac:dyDescent="0.55000000000000004">
      <c r="A192">
        <v>1776701702</v>
      </c>
      <c r="B192" t="s">
        <v>72</v>
      </c>
      <c r="C192" t="s">
        <v>73</v>
      </c>
      <c r="D192">
        <v>4801.22</v>
      </c>
      <c r="E192">
        <v>4518.5928199999998</v>
      </c>
      <c r="F192">
        <v>4596.0559499999999</v>
      </c>
      <c r="G192">
        <v>4755.40355</v>
      </c>
      <c r="H192">
        <v>4792.7697200000002</v>
      </c>
      <c r="Q192">
        <v>4766.79295</v>
      </c>
      <c r="R192">
        <v>4796.15625</v>
      </c>
      <c r="S192">
        <v>4822.7450200000003</v>
      </c>
      <c r="V192">
        <v>4731.8531800000001</v>
      </c>
      <c r="W192">
        <v>4698.2881900000002</v>
      </c>
      <c r="AB192">
        <v>4800.59872</v>
      </c>
      <c r="AC192">
        <v>4800.6101500000004</v>
      </c>
      <c r="AD192">
        <v>0</v>
      </c>
      <c r="AK192">
        <v>190</v>
      </c>
      <c r="AL192">
        <v>189</v>
      </c>
      <c r="AM192">
        <v>4801.22</v>
      </c>
      <c r="AN192">
        <v>4766.7929999999997</v>
      </c>
      <c r="AO192">
        <v>34.427100000000003</v>
      </c>
      <c r="AP192">
        <v>1185.2218</v>
      </c>
      <c r="AQ192">
        <v>0.93867400000000001</v>
      </c>
      <c r="AR192">
        <v>0.91908000000000001</v>
      </c>
      <c r="AY192">
        <v>190</v>
      </c>
      <c r="AZ192">
        <v>189</v>
      </c>
      <c r="BA192">
        <v>4801.22</v>
      </c>
      <c r="BB192">
        <v>4766.7929999999997</v>
      </c>
      <c r="BC192">
        <v>34.427100000000003</v>
      </c>
      <c r="BD192">
        <v>1185.2218</v>
      </c>
      <c r="BE192">
        <v>35721</v>
      </c>
    </row>
    <row r="193" spans="1:57" x14ac:dyDescent="0.55000000000000004">
      <c r="A193">
        <v>1776702602</v>
      </c>
      <c r="B193" t="s">
        <v>72</v>
      </c>
      <c r="C193" t="s">
        <v>73</v>
      </c>
      <c r="D193">
        <v>4801.79</v>
      </c>
      <c r="E193">
        <v>4518.5928199999998</v>
      </c>
      <c r="F193">
        <v>4596.0559499999999</v>
      </c>
      <c r="G193">
        <v>4755.40355</v>
      </c>
      <c r="H193">
        <v>4792.7697200000002</v>
      </c>
      <c r="Q193">
        <v>4766.5253499999999</v>
      </c>
      <c r="R193">
        <v>4795.8886499999999</v>
      </c>
      <c r="S193">
        <v>4822.4774200000002</v>
      </c>
      <c r="V193">
        <v>4731.5855799999999</v>
      </c>
      <c r="W193">
        <v>4698.0205800000003</v>
      </c>
      <c r="AB193">
        <v>4802.20723</v>
      </c>
      <c r="AC193">
        <v>4801.4086900000002</v>
      </c>
      <c r="AD193">
        <v>1</v>
      </c>
      <c r="AK193">
        <v>191</v>
      </c>
      <c r="AL193">
        <v>190</v>
      </c>
      <c r="AM193">
        <v>4801.79</v>
      </c>
      <c r="AN193">
        <v>4766.5253000000002</v>
      </c>
      <c r="AO193">
        <v>35.264699999999998</v>
      </c>
      <c r="AP193">
        <v>1243.5954999999999</v>
      </c>
      <c r="AQ193">
        <v>1.0088680000000001</v>
      </c>
      <c r="AR193">
        <v>1.011841</v>
      </c>
      <c r="AY193">
        <v>191</v>
      </c>
      <c r="AZ193">
        <v>190</v>
      </c>
      <c r="BA193">
        <v>4801.79</v>
      </c>
      <c r="BB193">
        <v>4766.5253000000002</v>
      </c>
      <c r="BC193">
        <v>35.264699999999998</v>
      </c>
      <c r="BD193">
        <v>1243.5954999999999</v>
      </c>
      <c r="BE193">
        <v>36100</v>
      </c>
    </row>
    <row r="194" spans="1:57" x14ac:dyDescent="0.55000000000000004">
      <c r="A194">
        <v>1776703502</v>
      </c>
      <c r="B194" t="s">
        <v>72</v>
      </c>
      <c r="C194" t="s">
        <v>73</v>
      </c>
      <c r="D194">
        <v>4805.59</v>
      </c>
      <c r="E194">
        <v>4518.5928199999998</v>
      </c>
      <c r="F194">
        <v>4596.0559499999999</v>
      </c>
      <c r="G194">
        <v>4755.40355</v>
      </c>
      <c r="H194">
        <v>4792.7697200000002</v>
      </c>
      <c r="Q194">
        <v>4766.2577499999998</v>
      </c>
      <c r="R194">
        <v>4795.62104</v>
      </c>
      <c r="S194">
        <v>4822.20982</v>
      </c>
      <c r="V194">
        <v>4731.3179799999998</v>
      </c>
      <c r="W194">
        <v>4697.7529800000002</v>
      </c>
      <c r="AB194">
        <v>4804.3084200000003</v>
      </c>
      <c r="AC194">
        <v>4802.8585499999999</v>
      </c>
      <c r="AD194">
        <v>0</v>
      </c>
      <c r="AK194">
        <v>192</v>
      </c>
      <c r="AL194">
        <v>191</v>
      </c>
      <c r="AM194">
        <v>4805.59</v>
      </c>
      <c r="AN194">
        <v>4766.2577000000001</v>
      </c>
      <c r="AO194">
        <v>39.332299999999996</v>
      </c>
      <c r="AP194">
        <v>1547.0259000000001</v>
      </c>
      <c r="AQ194">
        <v>1.3997869999999999</v>
      </c>
      <c r="AR194">
        <v>1.565847</v>
      </c>
      <c r="AY194">
        <v>192</v>
      </c>
      <c r="AZ194">
        <v>191</v>
      </c>
      <c r="BA194">
        <v>4805.59</v>
      </c>
      <c r="BB194">
        <v>4766.2577000000001</v>
      </c>
      <c r="BC194">
        <v>39.332299999999996</v>
      </c>
      <c r="BD194">
        <v>1547.0259000000001</v>
      </c>
      <c r="BE194">
        <v>36481</v>
      </c>
    </row>
    <row r="195" spans="1:57" x14ac:dyDescent="0.55000000000000004">
      <c r="A195">
        <v>1776704402</v>
      </c>
      <c r="B195" t="s">
        <v>72</v>
      </c>
      <c r="C195" t="s">
        <v>73</v>
      </c>
      <c r="D195">
        <v>4808.8599999999997</v>
      </c>
      <c r="E195">
        <v>4518.5928199999998</v>
      </c>
      <c r="F195">
        <v>4596.0559499999999</v>
      </c>
      <c r="G195">
        <v>4755.40355</v>
      </c>
      <c r="H195">
        <v>4792.7697200000002</v>
      </c>
      <c r="Q195">
        <v>4765.9901399999999</v>
      </c>
      <c r="R195">
        <v>4795.3534399999999</v>
      </c>
      <c r="S195">
        <v>4821.9422100000002</v>
      </c>
      <c r="V195">
        <v>4731.0503699999999</v>
      </c>
      <c r="W195">
        <v>4697.4853800000001</v>
      </c>
      <c r="AB195">
        <v>4806.5860599999996</v>
      </c>
      <c r="AC195">
        <v>4804.7223100000001</v>
      </c>
      <c r="AD195">
        <v>0</v>
      </c>
      <c r="AK195">
        <v>193</v>
      </c>
      <c r="AL195">
        <v>192</v>
      </c>
      <c r="AM195">
        <v>4808.8599999999997</v>
      </c>
      <c r="AN195">
        <v>4765.9901</v>
      </c>
      <c r="AO195">
        <v>42.869900000000001</v>
      </c>
      <c r="AP195">
        <v>1837.8249000000001</v>
      </c>
      <c r="AQ195">
        <v>1.8124739999999999</v>
      </c>
      <c r="AR195">
        <v>2.209848</v>
      </c>
      <c r="AY195">
        <v>193</v>
      </c>
      <c r="AZ195">
        <v>192</v>
      </c>
      <c r="BA195">
        <v>4808.8599999999997</v>
      </c>
      <c r="BB195">
        <v>4765.9901</v>
      </c>
      <c r="BC195">
        <v>42.869900000000001</v>
      </c>
      <c r="BD195">
        <v>1837.8249000000001</v>
      </c>
      <c r="BE195">
        <v>36864</v>
      </c>
    </row>
    <row r="196" spans="1:57" x14ac:dyDescent="0.55000000000000004">
      <c r="A196">
        <v>1776705302</v>
      </c>
      <c r="B196" t="s">
        <v>72</v>
      </c>
      <c r="C196" t="s">
        <v>73</v>
      </c>
      <c r="D196">
        <v>4810.07</v>
      </c>
      <c r="E196">
        <v>4518.5928199999998</v>
      </c>
      <c r="F196">
        <v>4596.0559499999999</v>
      </c>
      <c r="G196">
        <v>4755.40355</v>
      </c>
      <c r="H196">
        <v>4792.7697200000002</v>
      </c>
      <c r="Q196">
        <v>4765.7225399999998</v>
      </c>
      <c r="R196">
        <v>4795.0858399999997</v>
      </c>
      <c r="S196">
        <v>4821.67461</v>
      </c>
      <c r="V196">
        <v>4730.7827699999998</v>
      </c>
      <c r="W196">
        <v>4697.2177700000002</v>
      </c>
      <c r="AB196">
        <v>4808.77747</v>
      </c>
      <c r="AC196">
        <v>4806.7498900000001</v>
      </c>
      <c r="AD196">
        <v>0</v>
      </c>
      <c r="AK196">
        <v>194</v>
      </c>
      <c r="AL196">
        <v>193</v>
      </c>
      <c r="AM196">
        <v>4810.07</v>
      </c>
      <c r="AN196">
        <v>4765.7224999999999</v>
      </c>
      <c r="AO196">
        <v>44.347499999999997</v>
      </c>
      <c r="AP196">
        <v>1966.6972000000001</v>
      </c>
      <c r="AQ196">
        <v>2.0064199999999999</v>
      </c>
      <c r="AR196">
        <v>2.5306329999999999</v>
      </c>
      <c r="AY196">
        <v>194</v>
      </c>
      <c r="AZ196">
        <v>193</v>
      </c>
      <c r="BA196">
        <v>4810.07</v>
      </c>
      <c r="BB196">
        <v>4765.7224999999999</v>
      </c>
      <c r="BC196">
        <v>44.347499999999997</v>
      </c>
      <c r="BD196">
        <v>1966.6972000000001</v>
      </c>
      <c r="BE196">
        <v>37249</v>
      </c>
    </row>
    <row r="197" spans="1:57" x14ac:dyDescent="0.55000000000000004">
      <c r="A197">
        <v>1776706202</v>
      </c>
      <c r="B197" t="s">
        <v>72</v>
      </c>
      <c r="C197" t="s">
        <v>73</v>
      </c>
      <c r="D197">
        <v>4809.55</v>
      </c>
      <c r="E197">
        <v>4518.5928199999998</v>
      </c>
      <c r="F197">
        <v>4596.0559499999999</v>
      </c>
      <c r="G197">
        <v>4755.40355</v>
      </c>
      <c r="H197">
        <v>4792.7697200000002</v>
      </c>
      <c r="Q197">
        <v>4765.4549299999999</v>
      </c>
      <c r="R197">
        <v>4794.8182299999999</v>
      </c>
      <c r="S197">
        <v>4821.4070000000002</v>
      </c>
      <c r="V197">
        <v>4730.5151599999999</v>
      </c>
      <c r="W197">
        <v>4696.9501700000001</v>
      </c>
      <c r="AB197">
        <v>4810.7212099999997</v>
      </c>
      <c r="AC197">
        <v>4808.7355500000003</v>
      </c>
      <c r="AD197">
        <v>0</v>
      </c>
      <c r="AK197">
        <v>195</v>
      </c>
      <c r="AL197">
        <v>194</v>
      </c>
      <c r="AM197">
        <v>4809.55</v>
      </c>
      <c r="AN197">
        <v>4765.4548999999997</v>
      </c>
      <c r="AO197">
        <v>44.095100000000002</v>
      </c>
      <c r="AP197">
        <v>1944.3751999999999</v>
      </c>
      <c r="AQ197">
        <v>1.9723580000000001</v>
      </c>
      <c r="AR197">
        <v>2.4735130000000001</v>
      </c>
      <c r="AY197">
        <v>195</v>
      </c>
      <c r="AZ197">
        <v>194</v>
      </c>
      <c r="BA197">
        <v>4809.55</v>
      </c>
      <c r="BB197">
        <v>4765.4548999999997</v>
      </c>
      <c r="BC197">
        <v>44.095100000000002</v>
      </c>
      <c r="BD197">
        <v>1944.3751999999999</v>
      </c>
      <c r="BE197">
        <v>37636</v>
      </c>
    </row>
    <row r="198" spans="1:57" x14ac:dyDescent="0.55000000000000004">
      <c r="A198">
        <v>1776707102</v>
      </c>
      <c r="B198" t="s">
        <v>72</v>
      </c>
      <c r="C198" t="s">
        <v>73</v>
      </c>
      <c r="D198">
        <v>4806.62</v>
      </c>
      <c r="E198">
        <v>4518.5928199999998</v>
      </c>
      <c r="F198">
        <v>4596.0559499999999</v>
      </c>
      <c r="G198">
        <v>4755.40355</v>
      </c>
      <c r="H198">
        <v>4792.7697200000002</v>
      </c>
      <c r="Q198">
        <v>4765.1873299999997</v>
      </c>
      <c r="R198">
        <v>4794.5506299999997</v>
      </c>
      <c r="S198">
        <v>4821.1394</v>
      </c>
      <c r="V198">
        <v>4730.2475599999998</v>
      </c>
      <c r="W198">
        <v>4696.6825600000002</v>
      </c>
      <c r="AB198">
        <v>4812.3390499999996</v>
      </c>
      <c r="AC198">
        <v>4810.5373</v>
      </c>
      <c r="AD198">
        <v>0</v>
      </c>
      <c r="AK198">
        <v>196</v>
      </c>
      <c r="AL198">
        <v>195</v>
      </c>
      <c r="AM198">
        <v>4806.62</v>
      </c>
      <c r="AN198">
        <v>4765.1872999999996</v>
      </c>
      <c r="AO198">
        <v>41.432699999999997</v>
      </c>
      <c r="AP198">
        <v>1716.6660999999999</v>
      </c>
      <c r="AQ198">
        <v>1.6362300000000001</v>
      </c>
      <c r="AR198">
        <v>1.928083</v>
      </c>
      <c r="AY198">
        <v>196</v>
      </c>
      <c r="AZ198">
        <v>195</v>
      </c>
      <c r="BA198">
        <v>4806.62</v>
      </c>
      <c r="BB198">
        <v>4765.1872999999996</v>
      </c>
      <c r="BC198">
        <v>41.432699999999997</v>
      </c>
      <c r="BD198">
        <v>1716.6660999999999</v>
      </c>
      <c r="BE198">
        <v>38025</v>
      </c>
    </row>
    <row r="199" spans="1:57" x14ac:dyDescent="0.55000000000000004">
      <c r="A199">
        <v>1776708002</v>
      </c>
      <c r="B199" t="s">
        <v>72</v>
      </c>
      <c r="C199" t="s">
        <v>73</v>
      </c>
      <c r="D199">
        <v>4815.51</v>
      </c>
      <c r="E199">
        <v>4518.5928199999998</v>
      </c>
      <c r="F199">
        <v>4596.0559499999999</v>
      </c>
      <c r="G199">
        <v>4755.40355</v>
      </c>
      <c r="H199">
        <v>4792.7697200000002</v>
      </c>
      <c r="Q199">
        <v>4764.9197299999996</v>
      </c>
      <c r="R199">
        <v>4794.2830199999999</v>
      </c>
      <c r="S199">
        <v>4820.8717999999999</v>
      </c>
      <c r="V199">
        <v>4729.9799599999997</v>
      </c>
      <c r="W199">
        <v>4696.4149600000001</v>
      </c>
      <c r="AB199">
        <v>4813.6543899999997</v>
      </c>
      <c r="AC199">
        <v>4812.09584</v>
      </c>
      <c r="AD199">
        <v>0</v>
      </c>
      <c r="AK199">
        <v>197</v>
      </c>
      <c r="AL199">
        <v>196</v>
      </c>
      <c r="AM199">
        <v>4815.51</v>
      </c>
      <c r="AN199">
        <v>4764.9197000000004</v>
      </c>
      <c r="AO199">
        <v>50.590299999999999</v>
      </c>
      <c r="AP199">
        <v>2559.3753999999999</v>
      </c>
      <c r="AQ199">
        <v>2.9786299999999999</v>
      </c>
      <c r="AR199">
        <v>4.2857029999999998</v>
      </c>
      <c r="AY199">
        <v>197</v>
      </c>
      <c r="AZ199">
        <v>196</v>
      </c>
      <c r="BA199">
        <v>4815.51</v>
      </c>
      <c r="BB199">
        <v>4764.9197000000004</v>
      </c>
      <c r="BC199">
        <v>50.590299999999999</v>
      </c>
      <c r="BD199">
        <v>2559.3753999999999</v>
      </c>
      <c r="BE199">
        <v>38416</v>
      </c>
    </row>
    <row r="200" spans="1:57" x14ac:dyDescent="0.55000000000000004">
      <c r="A200">
        <v>1776708902</v>
      </c>
      <c r="B200" t="s">
        <v>72</v>
      </c>
      <c r="C200" t="s">
        <v>73</v>
      </c>
      <c r="D200">
        <v>4813.5</v>
      </c>
      <c r="E200">
        <v>4518.5928199999998</v>
      </c>
      <c r="F200">
        <v>4596.0559499999999</v>
      </c>
      <c r="G200">
        <v>4755.40355</v>
      </c>
      <c r="H200">
        <v>4792.7697200000002</v>
      </c>
      <c r="Q200">
        <v>4764.6521199999997</v>
      </c>
      <c r="R200">
        <v>4794.0154199999997</v>
      </c>
      <c r="S200">
        <v>4820.60419</v>
      </c>
      <c r="V200">
        <v>4729.7123499999998</v>
      </c>
      <c r="W200">
        <v>4696.1473500000002</v>
      </c>
      <c r="AB200">
        <v>4814.4222499999996</v>
      </c>
      <c r="AC200">
        <v>4813.2590499999997</v>
      </c>
      <c r="AD200">
        <v>0</v>
      </c>
      <c r="AK200">
        <v>198</v>
      </c>
      <c r="AL200">
        <v>197</v>
      </c>
      <c r="AM200">
        <v>4813.5</v>
      </c>
      <c r="AN200">
        <v>4764.6521000000002</v>
      </c>
      <c r="AO200">
        <v>48.847900000000003</v>
      </c>
      <c r="AP200">
        <v>2386.1154000000001</v>
      </c>
      <c r="AQ200">
        <v>2.6813449999999999</v>
      </c>
      <c r="AR200">
        <v>3.7250920000000001</v>
      </c>
      <c r="AY200">
        <v>198</v>
      </c>
      <c r="AZ200">
        <v>197</v>
      </c>
      <c r="BA200">
        <v>4813.5</v>
      </c>
      <c r="BB200">
        <v>4764.6521000000002</v>
      </c>
      <c r="BC200">
        <v>48.847900000000003</v>
      </c>
      <c r="BD200">
        <v>2386.1154000000001</v>
      </c>
      <c r="BE200">
        <v>38809</v>
      </c>
    </row>
    <row r="201" spans="1:57" x14ac:dyDescent="0.55000000000000004">
      <c r="A201">
        <v>1776709802</v>
      </c>
      <c r="B201" t="s">
        <v>72</v>
      </c>
      <c r="C201" t="s">
        <v>73</v>
      </c>
      <c r="D201">
        <v>4814.4399999999996</v>
      </c>
      <c r="E201">
        <v>4518.5928199999998</v>
      </c>
      <c r="F201">
        <v>4596.0559499999999</v>
      </c>
      <c r="G201">
        <v>4755.40355</v>
      </c>
      <c r="H201">
        <v>4792.7697200000002</v>
      </c>
      <c r="Q201">
        <v>4764.3845199999996</v>
      </c>
      <c r="R201">
        <v>4793.7478199999996</v>
      </c>
      <c r="S201">
        <v>4820.3365899999999</v>
      </c>
      <c r="V201">
        <v>4729.4447499999997</v>
      </c>
      <c r="W201">
        <v>4695.8797500000001</v>
      </c>
      <c r="AB201">
        <v>4814.7520699999995</v>
      </c>
      <c r="AC201">
        <v>4814.0055599999996</v>
      </c>
      <c r="AD201">
        <v>0</v>
      </c>
      <c r="AK201">
        <v>199</v>
      </c>
      <c r="AL201">
        <v>198</v>
      </c>
      <c r="AM201">
        <v>4814.4399999999996</v>
      </c>
      <c r="AN201">
        <v>4764.3845000000001</v>
      </c>
      <c r="AO201">
        <v>50.055500000000002</v>
      </c>
      <c r="AP201">
        <v>2505.5511000000001</v>
      </c>
      <c r="AQ201">
        <v>2.8851640000000001</v>
      </c>
      <c r="AR201">
        <v>4.1073399999999998</v>
      </c>
      <c r="AY201">
        <v>199</v>
      </c>
      <c r="AZ201">
        <v>198</v>
      </c>
      <c r="BA201">
        <v>4814.4399999999996</v>
      </c>
      <c r="BB201">
        <v>4764.3845000000001</v>
      </c>
      <c r="BC201">
        <v>50.055500000000002</v>
      </c>
      <c r="BD201">
        <v>2505.5511000000001</v>
      </c>
      <c r="BE201">
        <v>39204</v>
      </c>
    </row>
    <row r="202" spans="1:57" x14ac:dyDescent="0.55000000000000004">
      <c r="A202">
        <v>1776710702</v>
      </c>
      <c r="B202" t="s">
        <v>72</v>
      </c>
      <c r="C202" t="s">
        <v>73</v>
      </c>
      <c r="D202">
        <v>4814.05</v>
      </c>
      <c r="E202">
        <v>4518.5928199999998</v>
      </c>
      <c r="F202">
        <v>4596.0559499999999</v>
      </c>
      <c r="G202">
        <v>4755.40355</v>
      </c>
      <c r="H202">
        <v>4792.7697200000002</v>
      </c>
      <c r="Q202">
        <v>4764.1169099999997</v>
      </c>
      <c r="R202">
        <v>4793.4802099999997</v>
      </c>
      <c r="S202">
        <v>4820.06898</v>
      </c>
      <c r="V202">
        <v>4729.1771399999998</v>
      </c>
      <c r="W202">
        <v>4695.6121499999999</v>
      </c>
      <c r="AB202">
        <v>4814.76</v>
      </c>
      <c r="AC202">
        <v>4814.3827799999999</v>
      </c>
      <c r="AD202">
        <v>0</v>
      </c>
      <c r="AK202">
        <v>200</v>
      </c>
      <c r="AL202">
        <v>199</v>
      </c>
      <c r="AM202">
        <v>4814.05</v>
      </c>
      <c r="AN202">
        <v>4764.1169</v>
      </c>
      <c r="AO202">
        <v>49.933100000000003</v>
      </c>
      <c r="AP202">
        <v>2493.3135000000002</v>
      </c>
      <c r="AQ202">
        <v>2.864052</v>
      </c>
      <c r="AR202">
        <v>4.0673159999999999</v>
      </c>
      <c r="AY202">
        <v>200</v>
      </c>
      <c r="AZ202">
        <v>199</v>
      </c>
      <c r="BA202">
        <v>4814.05</v>
      </c>
      <c r="BB202">
        <v>4764.1169</v>
      </c>
      <c r="BC202">
        <v>49.933100000000003</v>
      </c>
      <c r="BD202">
        <v>2493.3135000000002</v>
      </c>
      <c r="BE202">
        <v>39601</v>
      </c>
    </row>
    <row r="203" spans="1:57" x14ac:dyDescent="0.55000000000000004">
      <c r="A203">
        <v>1776711602</v>
      </c>
      <c r="B203" t="s">
        <v>72</v>
      </c>
      <c r="C203" t="s">
        <v>73</v>
      </c>
      <c r="D203">
        <v>4820.26</v>
      </c>
      <c r="E203">
        <v>4518.5928199999998</v>
      </c>
      <c r="F203">
        <v>4596.0559499999999</v>
      </c>
      <c r="G203">
        <v>4755.40355</v>
      </c>
      <c r="H203">
        <v>4792.7697200000002</v>
      </c>
      <c r="Q203">
        <v>4763.8493099999996</v>
      </c>
      <c r="R203">
        <v>4793.2126099999996</v>
      </c>
      <c r="S203">
        <v>4819.8013799999999</v>
      </c>
      <c r="V203">
        <v>4728.9095399999997</v>
      </c>
      <c r="W203">
        <v>4695.3445400000001</v>
      </c>
      <c r="AB203">
        <v>4814.6248699999996</v>
      </c>
      <c r="AC203">
        <v>4814.5038199999999</v>
      </c>
      <c r="AD203">
        <v>0</v>
      </c>
      <c r="AK203">
        <v>201</v>
      </c>
      <c r="AL203">
        <v>200</v>
      </c>
      <c r="AM203">
        <v>4820.26</v>
      </c>
      <c r="AN203">
        <v>4763.8492999999999</v>
      </c>
      <c r="AO203">
        <v>56.410699999999999</v>
      </c>
      <c r="AP203">
        <v>3182.1659</v>
      </c>
      <c r="AQ203">
        <v>4.1295219999999997</v>
      </c>
      <c r="AR203">
        <v>6.6252120000000003</v>
      </c>
      <c r="AY203">
        <v>201</v>
      </c>
      <c r="AZ203">
        <v>200</v>
      </c>
      <c r="BA203">
        <v>4820.26</v>
      </c>
      <c r="BB203">
        <v>4763.8492999999999</v>
      </c>
      <c r="BC203">
        <v>56.410699999999999</v>
      </c>
      <c r="BD203">
        <v>3182.1659</v>
      </c>
      <c r="BE203">
        <v>40000</v>
      </c>
    </row>
    <row r="204" spans="1:57" x14ac:dyDescent="0.55000000000000004">
      <c r="A204">
        <v>1776712502</v>
      </c>
      <c r="B204" t="s">
        <v>72</v>
      </c>
      <c r="C204" t="s">
        <v>73</v>
      </c>
      <c r="D204">
        <v>4817.26</v>
      </c>
      <c r="E204">
        <v>4518.5928199999998</v>
      </c>
      <c r="F204">
        <v>4596.0559499999999</v>
      </c>
      <c r="G204">
        <v>4755.40355</v>
      </c>
      <c r="H204">
        <v>4792.7697200000002</v>
      </c>
      <c r="Q204">
        <v>4763.5816999999997</v>
      </c>
      <c r="R204">
        <v>4792.9449999999997</v>
      </c>
      <c r="S204">
        <v>4819.53377</v>
      </c>
      <c r="V204">
        <v>4728.6419299999998</v>
      </c>
      <c r="W204">
        <v>4695.0769399999999</v>
      </c>
      <c r="AB204">
        <v>4814.3639999999996</v>
      </c>
      <c r="AC204">
        <v>4814.4339099999997</v>
      </c>
      <c r="AD204">
        <v>1</v>
      </c>
      <c r="AK204">
        <v>202</v>
      </c>
      <c r="AL204">
        <v>201</v>
      </c>
      <c r="AM204">
        <v>4817.26</v>
      </c>
      <c r="AN204">
        <v>4763.5816999999997</v>
      </c>
      <c r="AO204">
        <v>53.6783</v>
      </c>
      <c r="AP204">
        <v>2881.3598999999999</v>
      </c>
      <c r="AQ204">
        <v>3.5580479999999999</v>
      </c>
      <c r="AR204">
        <v>5.4318669999999996</v>
      </c>
      <c r="AY204">
        <v>202</v>
      </c>
      <c r="AZ204">
        <v>201</v>
      </c>
      <c r="BA204">
        <v>4817.26</v>
      </c>
      <c r="BB204">
        <v>4763.5816999999997</v>
      </c>
      <c r="BC204">
        <v>53.6783</v>
      </c>
      <c r="BD204">
        <v>2881.3598999999999</v>
      </c>
      <c r="BE204">
        <v>40401</v>
      </c>
    </row>
    <row r="205" spans="1:57" x14ac:dyDescent="0.55000000000000004">
      <c r="A205">
        <v>1776713402</v>
      </c>
      <c r="B205" t="s">
        <v>72</v>
      </c>
      <c r="C205" t="s">
        <v>73</v>
      </c>
      <c r="D205">
        <v>4811.66</v>
      </c>
      <c r="E205">
        <v>4518.5928199999998</v>
      </c>
      <c r="F205">
        <v>4596.0559499999999</v>
      </c>
      <c r="G205">
        <v>4755.40355</v>
      </c>
      <c r="H205">
        <v>4792.7697200000002</v>
      </c>
      <c r="Q205">
        <v>4763.3140999999996</v>
      </c>
      <c r="R205">
        <v>4792.6773999999996</v>
      </c>
      <c r="S205">
        <v>4819.2661699999999</v>
      </c>
      <c r="V205">
        <v>4728.3743299999996</v>
      </c>
      <c r="W205">
        <v>4694.80933</v>
      </c>
      <c r="AB205">
        <v>4814.2450799999997</v>
      </c>
      <c r="AC205">
        <v>4814.3395</v>
      </c>
      <c r="AD205">
        <v>0</v>
      </c>
      <c r="AK205">
        <v>203</v>
      </c>
      <c r="AL205">
        <v>202</v>
      </c>
      <c r="AM205">
        <v>4811.66</v>
      </c>
      <c r="AN205">
        <v>4763.3140999999996</v>
      </c>
      <c r="AO205">
        <v>48.3459</v>
      </c>
      <c r="AP205">
        <v>2337.326</v>
      </c>
      <c r="AQ205">
        <v>2.5995279999999998</v>
      </c>
      <c r="AR205">
        <v>3.5743140000000002</v>
      </c>
      <c r="AY205">
        <v>203</v>
      </c>
      <c r="AZ205">
        <v>202</v>
      </c>
      <c r="BA205">
        <v>4811.66</v>
      </c>
      <c r="BB205">
        <v>4763.3140999999996</v>
      </c>
      <c r="BC205">
        <v>48.3459</v>
      </c>
      <c r="BD205">
        <v>2337.326</v>
      </c>
      <c r="BE205">
        <v>40804</v>
      </c>
    </row>
    <row r="206" spans="1:57" x14ac:dyDescent="0.55000000000000004">
      <c r="A206">
        <v>1776714302</v>
      </c>
      <c r="B206" t="s">
        <v>72</v>
      </c>
      <c r="C206" t="s">
        <v>73</v>
      </c>
      <c r="D206">
        <v>4814.24</v>
      </c>
      <c r="E206">
        <v>4518.5928199999998</v>
      </c>
      <c r="F206">
        <v>4596.0559499999999</v>
      </c>
      <c r="G206">
        <v>4755.40355</v>
      </c>
      <c r="H206">
        <v>4792.7697200000002</v>
      </c>
      <c r="Q206">
        <v>4763.0465000000004</v>
      </c>
      <c r="R206">
        <v>4792.4098000000004</v>
      </c>
      <c r="S206">
        <v>4818.9985699999997</v>
      </c>
      <c r="V206">
        <v>4728.1067300000004</v>
      </c>
      <c r="W206">
        <v>4694.5417299999999</v>
      </c>
      <c r="AB206">
        <v>4814.6370699999998</v>
      </c>
      <c r="AC206">
        <v>4814.4882799999996</v>
      </c>
      <c r="AD206">
        <v>1</v>
      </c>
      <c r="AK206">
        <v>204</v>
      </c>
      <c r="AL206">
        <v>203</v>
      </c>
      <c r="AM206">
        <v>4814.24</v>
      </c>
      <c r="AN206">
        <v>4763.0465000000004</v>
      </c>
      <c r="AO206">
        <v>51.1935</v>
      </c>
      <c r="AP206">
        <v>2620.7743999999998</v>
      </c>
      <c r="AQ206">
        <v>3.0864560000000001</v>
      </c>
      <c r="AR206">
        <v>4.4937969999999998</v>
      </c>
      <c r="AY206">
        <v>204</v>
      </c>
      <c r="AZ206">
        <v>203</v>
      </c>
      <c r="BA206">
        <v>4814.24</v>
      </c>
      <c r="BB206">
        <v>4763.0465000000004</v>
      </c>
      <c r="BC206">
        <v>51.1935</v>
      </c>
      <c r="BD206">
        <v>2620.7743999999998</v>
      </c>
      <c r="BE206">
        <v>41209</v>
      </c>
    </row>
    <row r="207" spans="1:57" x14ac:dyDescent="0.55000000000000004">
      <c r="A207">
        <v>1776715202</v>
      </c>
      <c r="B207" t="s">
        <v>72</v>
      </c>
      <c r="C207" t="s">
        <v>73</v>
      </c>
      <c r="D207">
        <v>4813.42</v>
      </c>
      <c r="E207">
        <v>4518.5928199999998</v>
      </c>
      <c r="F207">
        <v>4596.0559499999999</v>
      </c>
      <c r="G207">
        <v>4755.40355</v>
      </c>
      <c r="H207">
        <v>4792.7697200000002</v>
      </c>
      <c r="Q207">
        <v>4762.7788899999996</v>
      </c>
      <c r="R207">
        <v>4792.1421899999996</v>
      </c>
      <c r="S207">
        <v>4818.7309599999999</v>
      </c>
      <c r="V207">
        <v>4727.8391199999996</v>
      </c>
      <c r="W207">
        <v>4694.2741299999998</v>
      </c>
      <c r="AB207">
        <v>4815.6331799999998</v>
      </c>
      <c r="AC207">
        <v>4815.0607300000001</v>
      </c>
      <c r="AD207">
        <v>0</v>
      </c>
      <c r="AK207">
        <v>205</v>
      </c>
      <c r="AL207">
        <v>204</v>
      </c>
      <c r="AM207">
        <v>4813.42</v>
      </c>
      <c r="AN207">
        <v>4762.7789000000002</v>
      </c>
      <c r="AO207">
        <v>50.641100000000002</v>
      </c>
      <c r="AP207">
        <v>2564.5219999999999</v>
      </c>
      <c r="AQ207">
        <v>2.987619</v>
      </c>
      <c r="AR207">
        <v>4.3029570000000001</v>
      </c>
      <c r="AY207">
        <v>205</v>
      </c>
      <c r="AZ207">
        <v>204</v>
      </c>
      <c r="BA207">
        <v>4813.42</v>
      </c>
      <c r="BB207">
        <v>4762.7789000000002</v>
      </c>
      <c r="BC207">
        <v>50.641100000000002</v>
      </c>
      <c r="BD207">
        <v>2564.5219999999999</v>
      </c>
      <c r="BE207">
        <v>41616</v>
      </c>
    </row>
    <row r="208" spans="1:57" x14ac:dyDescent="0.55000000000000004">
      <c r="A208">
        <v>1776716102</v>
      </c>
      <c r="B208" t="s">
        <v>72</v>
      </c>
      <c r="C208" t="s">
        <v>73</v>
      </c>
      <c r="D208">
        <v>4815.8500000000004</v>
      </c>
      <c r="E208">
        <v>4518.5928199999998</v>
      </c>
      <c r="F208">
        <v>4596.0559499999999</v>
      </c>
      <c r="G208">
        <v>4755.40355</v>
      </c>
      <c r="H208">
        <v>4792.7697200000002</v>
      </c>
      <c r="Q208">
        <v>4762.5112900000004</v>
      </c>
      <c r="R208">
        <v>4791.8745900000004</v>
      </c>
      <c r="S208">
        <v>4818.4633599999997</v>
      </c>
      <c r="V208">
        <v>4727.5715200000004</v>
      </c>
      <c r="W208">
        <v>4694.0065199999999</v>
      </c>
      <c r="AB208">
        <v>4817.3057399999998</v>
      </c>
      <c r="AC208">
        <v>4816.1832299999996</v>
      </c>
      <c r="AD208">
        <v>0</v>
      </c>
      <c r="AK208">
        <v>206</v>
      </c>
      <c r="AL208">
        <v>205</v>
      </c>
      <c r="AM208">
        <v>4815.8500000000004</v>
      </c>
      <c r="AN208">
        <v>4762.5113000000001</v>
      </c>
      <c r="AO208">
        <v>53.338700000000003</v>
      </c>
      <c r="AP208">
        <v>2845.018</v>
      </c>
      <c r="AQ208">
        <v>3.4909460000000001</v>
      </c>
      <c r="AR208">
        <v>5.2957090000000004</v>
      </c>
      <c r="AY208">
        <v>206</v>
      </c>
      <c r="AZ208">
        <v>205</v>
      </c>
      <c r="BA208">
        <v>4815.8500000000004</v>
      </c>
      <c r="BB208">
        <v>4762.5113000000001</v>
      </c>
      <c r="BC208">
        <v>53.338700000000003</v>
      </c>
      <c r="BD208">
        <v>2845.018</v>
      </c>
      <c r="BE208">
        <v>42025</v>
      </c>
    </row>
    <row r="209" spans="1:57" x14ac:dyDescent="0.55000000000000004">
      <c r="A209">
        <v>1776717002</v>
      </c>
      <c r="B209" t="s">
        <v>72</v>
      </c>
      <c r="C209" t="s">
        <v>73</v>
      </c>
      <c r="D209">
        <v>4816.71</v>
      </c>
      <c r="E209">
        <v>4518.5928199999998</v>
      </c>
      <c r="F209">
        <v>4596.0559499999999</v>
      </c>
      <c r="G209">
        <v>4755.40355</v>
      </c>
      <c r="H209">
        <v>4792.7697200000002</v>
      </c>
      <c r="Q209">
        <v>4762.2436799999996</v>
      </c>
      <c r="R209">
        <v>4791.6069799999996</v>
      </c>
      <c r="S209">
        <v>4818.1957499999999</v>
      </c>
      <c r="V209">
        <v>4727.3039099999996</v>
      </c>
      <c r="W209">
        <v>4693.7389199999998</v>
      </c>
      <c r="AB209">
        <v>4819.5233799999996</v>
      </c>
      <c r="AC209">
        <v>4817.8533100000004</v>
      </c>
      <c r="AD209">
        <v>0</v>
      </c>
      <c r="AK209">
        <v>207</v>
      </c>
      <c r="AL209">
        <v>206</v>
      </c>
      <c r="AM209">
        <v>4816.71</v>
      </c>
      <c r="AN209">
        <v>4762.2437</v>
      </c>
      <c r="AO209">
        <v>54.466299999999997</v>
      </c>
      <c r="AP209">
        <v>2966.58</v>
      </c>
      <c r="AQ209">
        <v>3.7170610000000002</v>
      </c>
      <c r="AR209">
        <v>5.7579279999999997</v>
      </c>
      <c r="AY209">
        <v>207</v>
      </c>
      <c r="AZ209">
        <v>206</v>
      </c>
      <c r="BA209">
        <v>4816.71</v>
      </c>
      <c r="BB209">
        <v>4762.2437</v>
      </c>
      <c r="BC209">
        <v>54.466299999999997</v>
      </c>
      <c r="BD209">
        <v>2966.58</v>
      </c>
      <c r="BE209">
        <v>42436</v>
      </c>
    </row>
    <row r="210" spans="1:57" x14ac:dyDescent="0.55000000000000004">
      <c r="A210">
        <v>1776717902</v>
      </c>
      <c r="B210" t="s">
        <v>72</v>
      </c>
      <c r="C210" t="s">
        <v>73</v>
      </c>
      <c r="D210">
        <v>4820.8100000000004</v>
      </c>
      <c r="E210">
        <v>4518.5928199999998</v>
      </c>
      <c r="F210">
        <v>4596.0559499999999</v>
      </c>
      <c r="G210">
        <v>4755.40355</v>
      </c>
      <c r="H210">
        <v>4792.7697200000002</v>
      </c>
      <c r="Q210">
        <v>4761.9760800000004</v>
      </c>
      <c r="R210">
        <v>4791.3393800000003</v>
      </c>
      <c r="S210">
        <v>4817.9281499999997</v>
      </c>
      <c r="V210">
        <v>4727.0363100000004</v>
      </c>
      <c r="W210">
        <v>4693.4713099999999</v>
      </c>
      <c r="AB210">
        <v>4822.0534200000002</v>
      </c>
      <c r="AC210">
        <v>4819.9533600000004</v>
      </c>
      <c r="AD210">
        <v>0</v>
      </c>
      <c r="AK210">
        <v>208</v>
      </c>
      <c r="AL210">
        <v>207</v>
      </c>
      <c r="AM210">
        <v>4820.8100000000004</v>
      </c>
      <c r="AN210">
        <v>4761.9760999999999</v>
      </c>
      <c r="AO210">
        <v>58.8339</v>
      </c>
      <c r="AP210">
        <v>3461.4301</v>
      </c>
      <c r="AQ210">
        <v>4.6848850000000004</v>
      </c>
      <c r="AR210">
        <v>7.8390829999999996</v>
      </c>
      <c r="AY210">
        <v>208</v>
      </c>
      <c r="AZ210">
        <v>207</v>
      </c>
      <c r="BA210">
        <v>4820.8100000000004</v>
      </c>
      <c r="BB210">
        <v>4761.9760999999999</v>
      </c>
      <c r="BC210">
        <v>58.8339</v>
      </c>
      <c r="BD210">
        <v>3461.4301</v>
      </c>
      <c r="BE210">
        <v>42849</v>
      </c>
    </row>
    <row r="211" spans="1:57" x14ac:dyDescent="0.55000000000000004">
      <c r="A211">
        <v>1776722402</v>
      </c>
      <c r="B211" t="s">
        <v>72</v>
      </c>
      <c r="C211" t="s">
        <v>73</v>
      </c>
      <c r="D211">
        <v>4829.1400000000003</v>
      </c>
      <c r="E211">
        <v>4518.5928199999998</v>
      </c>
      <c r="F211">
        <v>4596.0559499999999</v>
      </c>
      <c r="G211">
        <v>4755.40355</v>
      </c>
      <c r="H211">
        <v>4792.7697200000002</v>
      </c>
      <c r="Q211">
        <v>4761.7084800000002</v>
      </c>
      <c r="R211">
        <v>4791.0717800000002</v>
      </c>
      <c r="S211">
        <v>4817.6605499999996</v>
      </c>
      <c r="V211">
        <v>4726.7687100000003</v>
      </c>
      <c r="W211">
        <v>4693.2037099999998</v>
      </c>
      <c r="AB211">
        <v>4824.5102200000001</v>
      </c>
      <c r="AC211">
        <v>4822.2317899999998</v>
      </c>
      <c r="AD211">
        <v>0</v>
      </c>
      <c r="AK211">
        <v>209</v>
      </c>
      <c r="AL211">
        <v>208</v>
      </c>
      <c r="AM211">
        <v>4829.1400000000003</v>
      </c>
      <c r="AN211">
        <v>4761.7084999999997</v>
      </c>
      <c r="AO211">
        <v>67.4315</v>
      </c>
      <c r="AP211">
        <v>4547.0099</v>
      </c>
      <c r="AQ211">
        <v>7.053496</v>
      </c>
      <c r="AR211">
        <v>13.527138000000001</v>
      </c>
      <c r="AY211">
        <v>209</v>
      </c>
      <c r="AZ211">
        <v>208</v>
      </c>
      <c r="BA211">
        <v>4829.1400000000003</v>
      </c>
      <c r="BB211">
        <v>4761.7084999999997</v>
      </c>
      <c r="BC211">
        <v>67.4315</v>
      </c>
      <c r="BD211">
        <v>4547.0099</v>
      </c>
      <c r="BE211">
        <v>43264</v>
      </c>
    </row>
    <row r="212" spans="1:57" x14ac:dyDescent="0.55000000000000004">
      <c r="A212">
        <v>1776723302</v>
      </c>
      <c r="B212" t="s">
        <v>72</v>
      </c>
      <c r="C212" t="s">
        <v>73</v>
      </c>
      <c r="D212">
        <v>4828.53</v>
      </c>
      <c r="E212">
        <v>4518.5928199999998</v>
      </c>
      <c r="F212">
        <v>4596.0559499999999</v>
      </c>
      <c r="G212">
        <v>4755.40355</v>
      </c>
      <c r="H212">
        <v>4792.7697200000002</v>
      </c>
      <c r="Q212">
        <v>4761.4408700000004</v>
      </c>
      <c r="R212">
        <v>4790.8041700000003</v>
      </c>
      <c r="S212">
        <v>4817.3929399999997</v>
      </c>
      <c r="V212">
        <v>4726.5011000000004</v>
      </c>
      <c r="W212">
        <v>4692.9361099999996</v>
      </c>
      <c r="Z212">
        <v>4833.25</v>
      </c>
      <c r="AB212">
        <v>4826.4047399999999</v>
      </c>
      <c r="AC212">
        <v>4824.3182699999998</v>
      </c>
      <c r="AD212">
        <v>0</v>
      </c>
      <c r="AK212">
        <v>210</v>
      </c>
      <c r="AL212">
        <v>209</v>
      </c>
      <c r="AM212">
        <v>4828.53</v>
      </c>
      <c r="AN212">
        <v>4761.4408999999996</v>
      </c>
      <c r="AO212">
        <v>67.089100000000002</v>
      </c>
      <c r="AP212">
        <v>4500.9513999999999</v>
      </c>
      <c r="AQ212">
        <v>6.9465960000000004</v>
      </c>
      <c r="AR212">
        <v>13.254481999999999</v>
      </c>
      <c r="AY212">
        <v>210</v>
      </c>
      <c r="AZ212">
        <v>209</v>
      </c>
      <c r="BA212">
        <v>4828.53</v>
      </c>
      <c r="BB212">
        <v>4761.4408999999996</v>
      </c>
      <c r="BC212">
        <v>67.089100000000002</v>
      </c>
      <c r="BD212">
        <v>4500.9513999999999</v>
      </c>
      <c r="BE212">
        <v>43681</v>
      </c>
    </row>
    <row r="213" spans="1:57" x14ac:dyDescent="0.55000000000000004">
      <c r="A213">
        <v>1776724202</v>
      </c>
      <c r="B213" t="s">
        <v>72</v>
      </c>
      <c r="C213" t="s">
        <v>73</v>
      </c>
      <c r="D213">
        <v>4830.4399999999996</v>
      </c>
      <c r="E213">
        <v>4518.5928199999998</v>
      </c>
      <c r="F213">
        <v>4596.0559499999999</v>
      </c>
      <c r="G213">
        <v>4755.40355</v>
      </c>
      <c r="H213">
        <v>4792.7697200000002</v>
      </c>
      <c r="Q213">
        <v>4761.1732700000002</v>
      </c>
      <c r="R213">
        <v>4790.5365700000002</v>
      </c>
      <c r="S213">
        <v>4817.1253399999996</v>
      </c>
      <c r="V213">
        <v>4726.2335000000003</v>
      </c>
      <c r="W213">
        <v>4692.6684999999998</v>
      </c>
      <c r="AB213">
        <v>4827.6159500000003</v>
      </c>
      <c r="AC213">
        <v>4825.9671099999996</v>
      </c>
      <c r="AD213">
        <v>0</v>
      </c>
      <c r="AK213">
        <v>211</v>
      </c>
      <c r="AL213">
        <v>210</v>
      </c>
      <c r="AM213">
        <v>4830.4399999999996</v>
      </c>
      <c r="AN213">
        <v>4761.1733000000004</v>
      </c>
      <c r="AO213">
        <v>69.2667</v>
      </c>
      <c r="AP213">
        <v>4797.8798999999999</v>
      </c>
      <c r="AQ213">
        <v>7.6452140000000002</v>
      </c>
      <c r="AR213">
        <v>15.060967</v>
      </c>
      <c r="AY213">
        <v>211</v>
      </c>
      <c r="AZ213">
        <v>210</v>
      </c>
      <c r="BA213">
        <v>4830.4399999999996</v>
      </c>
      <c r="BB213">
        <v>4761.1733000000004</v>
      </c>
      <c r="BC213">
        <v>69.2667</v>
      </c>
      <c r="BD213">
        <v>4797.8798999999999</v>
      </c>
      <c r="BE213">
        <v>44100</v>
      </c>
    </row>
    <row r="214" spans="1:57" x14ac:dyDescent="0.55000000000000004">
      <c r="A214">
        <v>1776725102</v>
      </c>
      <c r="B214" t="s">
        <v>72</v>
      </c>
      <c r="C214" t="s">
        <v>73</v>
      </c>
      <c r="D214">
        <v>4827.62</v>
      </c>
      <c r="E214">
        <v>4518.5928199999998</v>
      </c>
      <c r="F214">
        <v>4596.0559499999999</v>
      </c>
      <c r="G214">
        <v>4755.40355</v>
      </c>
      <c r="H214">
        <v>4792.7697200000002</v>
      </c>
      <c r="Q214">
        <v>4760.9056600000004</v>
      </c>
      <c r="R214">
        <v>4790.2689600000003</v>
      </c>
      <c r="S214">
        <v>4816.8577299999997</v>
      </c>
      <c r="V214">
        <v>4725.9658900000004</v>
      </c>
      <c r="W214">
        <v>4692.4008999999996</v>
      </c>
      <c r="AB214">
        <v>4828.0382099999997</v>
      </c>
      <c r="AC214">
        <v>4827.0026600000001</v>
      </c>
      <c r="AD214">
        <v>0</v>
      </c>
      <c r="AK214">
        <v>212</v>
      </c>
      <c r="AL214">
        <v>211</v>
      </c>
      <c r="AM214">
        <v>4827.62</v>
      </c>
      <c r="AN214">
        <v>4760.9057000000003</v>
      </c>
      <c r="AO214">
        <v>66.714299999999994</v>
      </c>
      <c r="AP214">
        <v>4450.8032000000003</v>
      </c>
      <c r="AQ214">
        <v>6.8308249999999999</v>
      </c>
      <c r="AR214">
        <v>12.960773</v>
      </c>
      <c r="AY214">
        <v>212</v>
      </c>
      <c r="AZ214">
        <v>211</v>
      </c>
      <c r="BA214">
        <v>4827.62</v>
      </c>
      <c r="BB214">
        <v>4760.9057000000003</v>
      </c>
      <c r="BC214">
        <v>66.714299999999994</v>
      </c>
      <c r="BD214">
        <v>4450.8032000000003</v>
      </c>
      <c r="BE214">
        <v>44521</v>
      </c>
    </row>
    <row r="215" spans="1:57" x14ac:dyDescent="0.55000000000000004">
      <c r="A215">
        <v>1776726002</v>
      </c>
      <c r="B215" t="s">
        <v>72</v>
      </c>
      <c r="C215" t="s">
        <v>73</v>
      </c>
      <c r="D215">
        <v>4825.7700000000004</v>
      </c>
      <c r="E215">
        <v>4518.5928199999998</v>
      </c>
      <c r="F215">
        <v>4596.0559499999999</v>
      </c>
      <c r="G215">
        <v>4755.40355</v>
      </c>
      <c r="H215">
        <v>4792.7697200000002</v>
      </c>
      <c r="Q215">
        <v>4760.6380600000002</v>
      </c>
      <c r="R215">
        <v>4790.0013600000002</v>
      </c>
      <c r="S215">
        <v>4816.5901299999996</v>
      </c>
      <c r="V215">
        <v>4725.6982900000003</v>
      </c>
      <c r="W215">
        <v>4692.1332899999998</v>
      </c>
      <c r="AB215">
        <v>4827.7962100000004</v>
      </c>
      <c r="AC215">
        <v>4827.3994400000001</v>
      </c>
      <c r="AD215">
        <v>0</v>
      </c>
      <c r="AK215">
        <v>213</v>
      </c>
      <c r="AL215">
        <v>212</v>
      </c>
      <c r="AM215">
        <v>4825.7700000000004</v>
      </c>
      <c r="AN215">
        <v>4760.6381000000001</v>
      </c>
      <c r="AO215">
        <v>65.131900000000002</v>
      </c>
      <c r="AP215">
        <v>4242.1696000000002</v>
      </c>
      <c r="AQ215">
        <v>6.3562010000000004</v>
      </c>
      <c r="AR215">
        <v>11.774165999999999</v>
      </c>
      <c r="AY215">
        <v>213</v>
      </c>
      <c r="AZ215">
        <v>212</v>
      </c>
      <c r="BA215">
        <v>4825.7700000000004</v>
      </c>
      <c r="BB215">
        <v>4760.6381000000001</v>
      </c>
      <c r="BC215">
        <v>65.131900000000002</v>
      </c>
      <c r="BD215">
        <v>4242.1696000000002</v>
      </c>
      <c r="BE215">
        <v>44944</v>
      </c>
    </row>
    <row r="216" spans="1:57" x14ac:dyDescent="0.55000000000000004">
      <c r="A216">
        <v>1776726902</v>
      </c>
      <c r="B216" t="s">
        <v>72</v>
      </c>
      <c r="C216" t="s">
        <v>73</v>
      </c>
      <c r="D216">
        <v>4825.84</v>
      </c>
      <c r="E216">
        <v>4518.5928199999998</v>
      </c>
      <c r="F216">
        <v>4596.0559499999999</v>
      </c>
      <c r="G216">
        <v>4755.40355</v>
      </c>
      <c r="H216">
        <v>4792.7697200000002</v>
      </c>
      <c r="Q216">
        <v>4760.3704600000001</v>
      </c>
      <c r="R216">
        <v>4789.7337500000003</v>
      </c>
      <c r="S216">
        <v>4816.3225300000004</v>
      </c>
      <c r="V216">
        <v>4725.4306900000001</v>
      </c>
      <c r="W216">
        <v>4691.8656899999996</v>
      </c>
      <c r="AB216">
        <v>4827.0749100000003</v>
      </c>
      <c r="AC216">
        <v>4827.2371700000003</v>
      </c>
      <c r="AD216">
        <v>1</v>
      </c>
      <c r="AK216">
        <v>214</v>
      </c>
      <c r="AL216">
        <v>213</v>
      </c>
      <c r="AM216">
        <v>4825.84</v>
      </c>
      <c r="AN216">
        <v>4760.3705</v>
      </c>
      <c r="AO216">
        <v>65.469499999999996</v>
      </c>
      <c r="AP216">
        <v>4286.2606999999998</v>
      </c>
      <c r="AQ216">
        <v>6.4555530000000001</v>
      </c>
      <c r="AR216">
        <v>12.020187999999999</v>
      </c>
      <c r="AY216">
        <v>214</v>
      </c>
      <c r="AZ216">
        <v>213</v>
      </c>
      <c r="BA216">
        <v>4825.84</v>
      </c>
      <c r="BB216">
        <v>4760.3705</v>
      </c>
      <c r="BC216">
        <v>65.469499999999996</v>
      </c>
      <c r="BD216">
        <v>4286.2606999999998</v>
      </c>
      <c r="BE216">
        <v>45369</v>
      </c>
    </row>
    <row r="217" spans="1:57" x14ac:dyDescent="0.55000000000000004">
      <c r="A217">
        <v>1776727802</v>
      </c>
      <c r="B217" t="s">
        <v>72</v>
      </c>
      <c r="C217" t="s">
        <v>73</v>
      </c>
      <c r="D217">
        <v>4824.16</v>
      </c>
      <c r="E217">
        <v>4518.5928199999998</v>
      </c>
      <c r="F217">
        <v>4596.0559499999999</v>
      </c>
      <c r="G217">
        <v>4755.40355</v>
      </c>
      <c r="H217">
        <v>4792.7697200000002</v>
      </c>
      <c r="Q217">
        <v>4760.1028500000002</v>
      </c>
      <c r="R217">
        <v>4789.4661500000002</v>
      </c>
      <c r="S217">
        <v>4816.0549199999996</v>
      </c>
      <c r="V217">
        <v>4725.1630800000003</v>
      </c>
      <c r="W217">
        <v>4691.5980900000004</v>
      </c>
      <c r="AB217">
        <v>4826.0393999999997</v>
      </c>
      <c r="AC217">
        <v>4826.6382899999999</v>
      </c>
      <c r="AD217">
        <v>0</v>
      </c>
      <c r="AK217">
        <v>215</v>
      </c>
      <c r="AL217">
        <v>214</v>
      </c>
      <c r="AM217">
        <v>4824.16</v>
      </c>
      <c r="AN217">
        <v>4760.1028999999999</v>
      </c>
      <c r="AO217">
        <v>64.057100000000005</v>
      </c>
      <c r="AP217">
        <v>4103.3185000000003</v>
      </c>
      <c r="AQ217">
        <v>6.0467000000000004</v>
      </c>
      <c r="AR217">
        <v>11.016016</v>
      </c>
      <c r="AY217">
        <v>215</v>
      </c>
      <c r="AZ217">
        <v>214</v>
      </c>
      <c r="BA217">
        <v>4824.16</v>
      </c>
      <c r="BB217">
        <v>4760.1028999999999</v>
      </c>
      <c r="BC217">
        <v>64.057100000000005</v>
      </c>
      <c r="BD217">
        <v>4103.3185000000003</v>
      </c>
      <c r="BE217">
        <v>45796</v>
      </c>
    </row>
    <row r="218" spans="1:57" x14ac:dyDescent="0.55000000000000004">
      <c r="A218">
        <v>1776728702</v>
      </c>
      <c r="B218" t="s">
        <v>72</v>
      </c>
      <c r="C218" t="s">
        <v>73</v>
      </c>
      <c r="D218">
        <v>4821.76</v>
      </c>
      <c r="E218">
        <v>4518.5928199999998</v>
      </c>
      <c r="F218">
        <v>4596.0559499999999</v>
      </c>
      <c r="G218">
        <v>4755.40355</v>
      </c>
      <c r="H218">
        <v>4792.7697200000002</v>
      </c>
      <c r="Q218">
        <v>4759.8352500000001</v>
      </c>
      <c r="R218">
        <v>4789.1985500000001</v>
      </c>
      <c r="S218">
        <v>4815.7873200000004</v>
      </c>
      <c r="V218">
        <v>4724.8954800000001</v>
      </c>
      <c r="W218">
        <v>4691.3304799999996</v>
      </c>
      <c r="AB218">
        <v>4824.8706000000002</v>
      </c>
      <c r="AC218">
        <v>4825.7544399999997</v>
      </c>
      <c r="AD218">
        <v>0</v>
      </c>
      <c r="AK218">
        <v>216</v>
      </c>
      <c r="AL218">
        <v>215</v>
      </c>
      <c r="AM218">
        <v>4821.76</v>
      </c>
      <c r="AN218">
        <v>4759.8352999999997</v>
      </c>
      <c r="AO218">
        <v>61.924799999999998</v>
      </c>
      <c r="AP218">
        <v>3834.6747</v>
      </c>
      <c r="AQ218">
        <v>5.4627129999999999</v>
      </c>
      <c r="AR218">
        <v>9.6207989999999999</v>
      </c>
      <c r="AY218">
        <v>216</v>
      </c>
      <c r="AZ218">
        <v>215</v>
      </c>
      <c r="BA218">
        <v>4821.76</v>
      </c>
      <c r="BB218">
        <v>4759.8352999999997</v>
      </c>
      <c r="BC218">
        <v>61.924799999999998</v>
      </c>
      <c r="BD218">
        <v>3834.6747</v>
      </c>
      <c r="BE218">
        <v>46225</v>
      </c>
    </row>
    <row r="219" spans="1:57" x14ac:dyDescent="0.55000000000000004">
      <c r="A219">
        <v>1776729602</v>
      </c>
      <c r="B219" t="s">
        <v>72</v>
      </c>
      <c r="C219" t="s">
        <v>73</v>
      </c>
      <c r="D219">
        <v>4828.53</v>
      </c>
      <c r="E219">
        <v>4518.5928199999998</v>
      </c>
      <c r="F219">
        <v>4596.0559499999999</v>
      </c>
      <c r="G219">
        <v>4755.40355</v>
      </c>
      <c r="H219">
        <v>4792.7697200000002</v>
      </c>
      <c r="Q219">
        <v>4759.5676400000002</v>
      </c>
      <c r="R219">
        <v>4788.9309400000002</v>
      </c>
      <c r="S219">
        <v>4815.5197099999996</v>
      </c>
      <c r="V219">
        <v>4724.6278700000003</v>
      </c>
      <c r="W219">
        <v>4691.0628800000004</v>
      </c>
      <c r="AB219">
        <v>4823.6896800000004</v>
      </c>
      <c r="AC219">
        <v>4824.7220600000001</v>
      </c>
      <c r="AD219">
        <v>0</v>
      </c>
      <c r="AK219">
        <v>217</v>
      </c>
      <c r="AL219">
        <v>216</v>
      </c>
      <c r="AM219">
        <v>4828.53</v>
      </c>
      <c r="AN219">
        <v>4759.5676000000003</v>
      </c>
      <c r="AO219">
        <v>68.962400000000002</v>
      </c>
      <c r="AP219">
        <v>4755.8071</v>
      </c>
      <c r="AQ219">
        <v>7.5448729999999999</v>
      </c>
      <c r="AR219">
        <v>14.797985000000001</v>
      </c>
      <c r="AY219">
        <v>217</v>
      </c>
      <c r="AZ219">
        <v>216</v>
      </c>
      <c r="BA219">
        <v>4828.53</v>
      </c>
      <c r="BB219">
        <v>4759.5676000000003</v>
      </c>
      <c r="BC219">
        <v>68.962400000000002</v>
      </c>
      <c r="BD219">
        <v>4755.8071</v>
      </c>
      <c r="BE219">
        <v>46656</v>
      </c>
    </row>
    <row r="220" spans="1:57" x14ac:dyDescent="0.55000000000000004">
      <c r="A220">
        <v>1776730502</v>
      </c>
      <c r="B220" t="s">
        <v>72</v>
      </c>
      <c r="C220" t="s">
        <v>73</v>
      </c>
      <c r="D220">
        <v>4819.92</v>
      </c>
      <c r="E220">
        <v>4518.5928199999998</v>
      </c>
      <c r="F220">
        <v>4596.0559499999999</v>
      </c>
      <c r="G220">
        <v>4755.40355</v>
      </c>
      <c r="H220">
        <v>4792.7697200000002</v>
      </c>
      <c r="Q220">
        <v>4759.3000400000001</v>
      </c>
      <c r="R220">
        <v>4788.6633400000001</v>
      </c>
      <c r="S220">
        <v>4815.2521100000004</v>
      </c>
      <c r="V220">
        <v>4724.3602700000001</v>
      </c>
      <c r="W220">
        <v>4690.7952699999996</v>
      </c>
      <c r="AB220">
        <v>4822.33583</v>
      </c>
      <c r="AC220">
        <v>4823.5289499999999</v>
      </c>
      <c r="AD220">
        <v>0</v>
      </c>
      <c r="AK220">
        <v>218</v>
      </c>
      <c r="AL220">
        <v>217</v>
      </c>
      <c r="AM220">
        <v>4819.92</v>
      </c>
      <c r="AN220">
        <v>4759.3</v>
      </c>
      <c r="AO220">
        <v>60.62</v>
      </c>
      <c r="AP220">
        <v>3674.7795999999998</v>
      </c>
      <c r="AQ220">
        <v>5.1246299999999998</v>
      </c>
      <c r="AR220">
        <v>8.8352059999999994</v>
      </c>
      <c r="AY220">
        <v>218</v>
      </c>
      <c r="AZ220">
        <v>217</v>
      </c>
      <c r="BA220">
        <v>4819.92</v>
      </c>
      <c r="BB220">
        <v>4759.3</v>
      </c>
      <c r="BC220">
        <v>60.62</v>
      </c>
      <c r="BD220">
        <v>3674.7795999999998</v>
      </c>
      <c r="BE220">
        <v>47089</v>
      </c>
    </row>
    <row r="221" spans="1:57" x14ac:dyDescent="0.55000000000000004">
      <c r="A221">
        <v>1776731402</v>
      </c>
      <c r="B221" t="s">
        <v>72</v>
      </c>
      <c r="C221" t="s">
        <v>73</v>
      </c>
      <c r="D221">
        <v>4822.66</v>
      </c>
      <c r="E221">
        <v>4518.5928199999998</v>
      </c>
      <c r="F221">
        <v>4596.0559499999999</v>
      </c>
      <c r="G221">
        <v>4755.40355</v>
      </c>
      <c r="H221">
        <v>4792.7697200000002</v>
      </c>
      <c r="Q221">
        <v>4759.03244</v>
      </c>
      <c r="R221">
        <v>4788.3957300000002</v>
      </c>
      <c r="S221">
        <v>4814.9845100000002</v>
      </c>
      <c r="V221">
        <v>4724.09267</v>
      </c>
      <c r="W221">
        <v>4690.5276700000004</v>
      </c>
      <c r="AB221">
        <v>4821.0222700000004</v>
      </c>
      <c r="AC221">
        <v>4822.2756099999997</v>
      </c>
      <c r="AD221">
        <v>0</v>
      </c>
      <c r="AK221">
        <v>219</v>
      </c>
      <c r="AL221">
        <v>218</v>
      </c>
      <c r="AM221">
        <v>4822.66</v>
      </c>
      <c r="AN221">
        <v>4759.0324000000001</v>
      </c>
      <c r="AO221">
        <v>63.627600000000001</v>
      </c>
      <c r="AP221">
        <v>4048.4663999999998</v>
      </c>
      <c r="AQ221">
        <v>5.9258600000000001</v>
      </c>
      <c r="AR221">
        <v>10.723466</v>
      </c>
      <c r="AY221">
        <v>219</v>
      </c>
      <c r="AZ221">
        <v>218</v>
      </c>
      <c r="BA221">
        <v>4822.66</v>
      </c>
      <c r="BB221">
        <v>4759.0324000000001</v>
      </c>
      <c r="BC221">
        <v>63.627600000000001</v>
      </c>
      <c r="BD221">
        <v>4048.4663999999998</v>
      </c>
      <c r="BE221">
        <v>47524</v>
      </c>
    </row>
    <row r="222" spans="1:57" x14ac:dyDescent="0.55000000000000004">
      <c r="A222">
        <v>1776732302</v>
      </c>
      <c r="B222" t="s">
        <v>72</v>
      </c>
      <c r="C222" t="s">
        <v>73</v>
      </c>
      <c r="D222">
        <v>4823.76</v>
      </c>
      <c r="E222">
        <v>4518.5928199999998</v>
      </c>
      <c r="F222">
        <v>4596.0559499999999</v>
      </c>
      <c r="G222">
        <v>4755.40355</v>
      </c>
      <c r="H222">
        <v>4792.7697200000002</v>
      </c>
      <c r="Q222">
        <v>4758.7648300000001</v>
      </c>
      <c r="R222">
        <v>4788.1281300000001</v>
      </c>
      <c r="S222">
        <v>4814.7169000000004</v>
      </c>
      <c r="V222">
        <v>4723.8250600000001</v>
      </c>
      <c r="W222">
        <v>4690.2600599999996</v>
      </c>
      <c r="AB222">
        <v>4819.6217900000001</v>
      </c>
      <c r="AC222">
        <v>4820.9486999999999</v>
      </c>
      <c r="AD222">
        <v>0</v>
      </c>
      <c r="AK222">
        <v>220</v>
      </c>
      <c r="AL222">
        <v>219</v>
      </c>
      <c r="AM222">
        <v>4823.76</v>
      </c>
      <c r="AN222">
        <v>4758.7647999999999</v>
      </c>
      <c r="AO222">
        <v>64.995199999999997</v>
      </c>
      <c r="AP222">
        <v>4224.3720999999996</v>
      </c>
      <c r="AQ222">
        <v>6.3162430000000001</v>
      </c>
      <c r="AR222">
        <v>11.67558</v>
      </c>
      <c r="AY222">
        <v>220</v>
      </c>
      <c r="AZ222">
        <v>219</v>
      </c>
      <c r="BA222">
        <v>4823.76</v>
      </c>
      <c r="BB222">
        <v>4758.7647999999999</v>
      </c>
      <c r="BC222">
        <v>64.995199999999997</v>
      </c>
      <c r="BD222">
        <v>4224.3720999999996</v>
      </c>
      <c r="BE222">
        <v>47961</v>
      </c>
    </row>
    <row r="223" spans="1:57" x14ac:dyDescent="0.55000000000000004">
      <c r="A223">
        <v>1776733202</v>
      </c>
      <c r="B223" t="s">
        <v>72</v>
      </c>
      <c r="C223" t="s">
        <v>73</v>
      </c>
      <c r="D223">
        <v>4814.78</v>
      </c>
      <c r="E223">
        <v>4518.5928199999998</v>
      </c>
      <c r="F223">
        <v>4596.0559499999999</v>
      </c>
      <c r="G223">
        <v>4755.40355</v>
      </c>
      <c r="H223">
        <v>4792.7697200000002</v>
      </c>
      <c r="Q223">
        <v>4758.4972299999999</v>
      </c>
      <c r="R223">
        <v>4787.8605299999999</v>
      </c>
      <c r="S223">
        <v>4814.4493000000002</v>
      </c>
      <c r="V223">
        <v>4723.55746</v>
      </c>
      <c r="W223">
        <v>4689.9924600000004</v>
      </c>
      <c r="AB223">
        <v>4817.9875300000003</v>
      </c>
      <c r="AC223">
        <v>4819.4681099999998</v>
      </c>
      <c r="AD223">
        <v>0</v>
      </c>
      <c r="AK223">
        <v>221</v>
      </c>
      <c r="AL223">
        <v>220</v>
      </c>
      <c r="AM223">
        <v>4814.78</v>
      </c>
      <c r="AN223">
        <v>4758.4971999999998</v>
      </c>
      <c r="AO223">
        <v>56.282800000000002</v>
      </c>
      <c r="AP223">
        <v>3167.7501999999999</v>
      </c>
      <c r="AQ223">
        <v>4.1014929999999996</v>
      </c>
      <c r="AR223">
        <v>6.565321</v>
      </c>
      <c r="AY223">
        <v>221</v>
      </c>
      <c r="AZ223">
        <v>220</v>
      </c>
      <c r="BA223">
        <v>4814.78</v>
      </c>
      <c r="BB223">
        <v>4758.4971999999998</v>
      </c>
      <c r="BC223">
        <v>56.282800000000002</v>
      </c>
      <c r="BD223">
        <v>3167.7501999999999</v>
      </c>
      <c r="BE223">
        <v>48400</v>
      </c>
    </row>
    <row r="224" spans="1:57" x14ac:dyDescent="0.55000000000000004">
      <c r="A224">
        <v>1776734102</v>
      </c>
      <c r="B224" t="s">
        <v>72</v>
      </c>
      <c r="C224" t="s">
        <v>73</v>
      </c>
      <c r="D224">
        <v>4818.7</v>
      </c>
      <c r="E224">
        <v>4518.5928199999998</v>
      </c>
      <c r="F224">
        <v>4596.0559499999999</v>
      </c>
      <c r="G224">
        <v>4755.40355</v>
      </c>
      <c r="H224">
        <v>4792.7697200000002</v>
      </c>
      <c r="Q224">
        <v>4758.2296200000001</v>
      </c>
      <c r="R224">
        <v>4787.59292</v>
      </c>
      <c r="S224">
        <v>4814.1816900000003</v>
      </c>
      <c r="V224">
        <v>4723.2898500000001</v>
      </c>
      <c r="W224">
        <v>4689.7248600000003</v>
      </c>
      <c r="AB224">
        <v>4816.2736299999997</v>
      </c>
      <c r="AC224">
        <v>4817.8708699999997</v>
      </c>
      <c r="AD224">
        <v>0</v>
      </c>
      <c r="AK224">
        <v>222</v>
      </c>
      <c r="AL224">
        <v>221</v>
      </c>
      <c r="AM224">
        <v>4818.7</v>
      </c>
      <c r="AN224">
        <v>4758.2295999999997</v>
      </c>
      <c r="AO224">
        <v>60.470399999999998</v>
      </c>
      <c r="AP224">
        <v>3656.6669000000002</v>
      </c>
      <c r="AQ224">
        <v>5.0867880000000003</v>
      </c>
      <c r="AR224">
        <v>8.7483249999999995</v>
      </c>
      <c r="AY224">
        <v>222</v>
      </c>
      <c r="AZ224">
        <v>221</v>
      </c>
      <c r="BA224">
        <v>4818.7</v>
      </c>
      <c r="BB224">
        <v>4758.2295999999997</v>
      </c>
      <c r="BC224">
        <v>60.470399999999998</v>
      </c>
      <c r="BD224">
        <v>3656.6669000000002</v>
      </c>
      <c r="BE224">
        <v>48841</v>
      </c>
    </row>
    <row r="225" spans="1:57" x14ac:dyDescent="0.55000000000000004">
      <c r="A225">
        <v>1776735002</v>
      </c>
      <c r="B225" t="s">
        <v>72</v>
      </c>
      <c r="C225" t="s">
        <v>73</v>
      </c>
      <c r="D225">
        <v>4813.59</v>
      </c>
      <c r="E225">
        <v>4518.5928199999998</v>
      </c>
      <c r="F225">
        <v>4596.0559499999999</v>
      </c>
      <c r="G225">
        <v>4755.40355</v>
      </c>
      <c r="H225">
        <v>4792.7697200000002</v>
      </c>
      <c r="Q225">
        <v>4757.9620199999999</v>
      </c>
      <c r="R225">
        <v>4787.3253199999999</v>
      </c>
      <c r="S225">
        <v>4813.9140900000002</v>
      </c>
      <c r="V225">
        <v>4723.02225</v>
      </c>
      <c r="W225">
        <v>4689.4572500000004</v>
      </c>
      <c r="AB225">
        <v>4814.3099400000001</v>
      </c>
      <c r="AC225">
        <v>4816.0904</v>
      </c>
      <c r="AD225">
        <v>0</v>
      </c>
      <c r="AK225">
        <v>223</v>
      </c>
      <c r="AL225">
        <v>222</v>
      </c>
      <c r="AM225">
        <v>4813.59</v>
      </c>
      <c r="AN225">
        <v>4757.9620000000004</v>
      </c>
      <c r="AO225">
        <v>55.628</v>
      </c>
      <c r="AP225">
        <v>3094.4722000000002</v>
      </c>
      <c r="AQ225">
        <v>3.9600019999999998</v>
      </c>
      <c r="AR225">
        <v>6.2650889999999997</v>
      </c>
      <c r="AY225">
        <v>223</v>
      </c>
      <c r="AZ225">
        <v>222</v>
      </c>
      <c r="BA225">
        <v>4813.59</v>
      </c>
      <c r="BB225">
        <v>4757.9620000000004</v>
      </c>
      <c r="BC225">
        <v>55.628</v>
      </c>
      <c r="BD225">
        <v>3094.4722000000002</v>
      </c>
      <c r="BE225">
        <v>49284</v>
      </c>
    </row>
    <row r="226" spans="1:57" x14ac:dyDescent="0.55000000000000004">
      <c r="A226">
        <v>1776735902</v>
      </c>
      <c r="B226" t="s">
        <v>72</v>
      </c>
      <c r="C226" t="s">
        <v>73</v>
      </c>
      <c r="D226">
        <v>4810.0600000000004</v>
      </c>
      <c r="E226">
        <v>4518.5928199999998</v>
      </c>
      <c r="F226">
        <v>4596.0559499999999</v>
      </c>
      <c r="G226">
        <v>4755.40355</v>
      </c>
      <c r="H226">
        <v>4792.7697200000002</v>
      </c>
      <c r="Q226">
        <v>4757.6944100000001</v>
      </c>
      <c r="R226">
        <v>4787.05771</v>
      </c>
      <c r="S226">
        <v>4813.6464800000003</v>
      </c>
      <c r="V226">
        <v>4722.7546400000001</v>
      </c>
      <c r="W226">
        <v>4689.1896500000003</v>
      </c>
      <c r="AB226">
        <v>4812.1907799999999</v>
      </c>
      <c r="AC226">
        <v>4814.14059</v>
      </c>
      <c r="AD226">
        <v>0</v>
      </c>
      <c r="AK226">
        <v>224</v>
      </c>
      <c r="AL226">
        <v>223</v>
      </c>
      <c r="AM226">
        <v>4810.0600000000004</v>
      </c>
      <c r="AN226">
        <v>4757.6944000000003</v>
      </c>
      <c r="AO226">
        <v>52.365600000000001</v>
      </c>
      <c r="AP226">
        <v>2742.1550000000002</v>
      </c>
      <c r="AQ226">
        <v>3.3033419999999998</v>
      </c>
      <c r="AR226">
        <v>4.9196939999999998</v>
      </c>
      <c r="AY226">
        <v>224</v>
      </c>
      <c r="AZ226">
        <v>223</v>
      </c>
      <c r="BA226">
        <v>4810.0600000000004</v>
      </c>
      <c r="BB226">
        <v>4757.6944000000003</v>
      </c>
      <c r="BC226">
        <v>52.365600000000001</v>
      </c>
      <c r="BD226">
        <v>2742.1550000000002</v>
      </c>
      <c r="BE226">
        <v>49729</v>
      </c>
    </row>
    <row r="227" spans="1:57" x14ac:dyDescent="0.55000000000000004">
      <c r="A227">
        <v>1776736802</v>
      </c>
      <c r="B227" t="s">
        <v>72</v>
      </c>
      <c r="C227" t="s">
        <v>73</v>
      </c>
      <c r="D227">
        <v>4807.3</v>
      </c>
      <c r="E227">
        <v>4518.5928199999998</v>
      </c>
      <c r="F227">
        <v>4596.0559499999999</v>
      </c>
      <c r="G227">
        <v>4755.40355</v>
      </c>
      <c r="H227">
        <v>4792.7697200000002</v>
      </c>
      <c r="Q227">
        <v>4757.4268099999999</v>
      </c>
      <c r="R227">
        <v>4786.7901099999999</v>
      </c>
      <c r="S227">
        <v>4813.3788800000002</v>
      </c>
      <c r="V227">
        <v>4722.48704</v>
      </c>
      <c r="W227">
        <v>4688.9220400000004</v>
      </c>
      <c r="AB227">
        <v>4809.9954799999996</v>
      </c>
      <c r="AC227">
        <v>4812.0680300000004</v>
      </c>
      <c r="AD227">
        <v>0</v>
      </c>
      <c r="AK227">
        <v>225</v>
      </c>
      <c r="AL227">
        <v>224</v>
      </c>
      <c r="AM227">
        <v>4807.3</v>
      </c>
      <c r="AN227">
        <v>4757.4268000000002</v>
      </c>
      <c r="AO227">
        <v>49.873199999999997</v>
      </c>
      <c r="AP227">
        <v>2487.3350999999998</v>
      </c>
      <c r="AQ227">
        <v>2.8537569999999999</v>
      </c>
      <c r="AR227">
        <v>4.0478339999999999</v>
      </c>
      <c r="AY227">
        <v>225</v>
      </c>
      <c r="AZ227">
        <v>224</v>
      </c>
      <c r="BA227">
        <v>4807.3</v>
      </c>
      <c r="BB227">
        <v>4757.4268000000002</v>
      </c>
      <c r="BC227">
        <v>49.873199999999997</v>
      </c>
      <c r="BD227">
        <v>2487.3350999999998</v>
      </c>
      <c r="BE227">
        <v>50176</v>
      </c>
    </row>
    <row r="228" spans="1:57" x14ac:dyDescent="0.55000000000000004">
      <c r="A228">
        <v>1776737702</v>
      </c>
      <c r="B228" t="s">
        <v>72</v>
      </c>
      <c r="C228" t="s">
        <v>73</v>
      </c>
      <c r="D228">
        <v>4807.7299999999996</v>
      </c>
      <c r="E228">
        <v>4518.5928199999998</v>
      </c>
      <c r="F228">
        <v>4596.0559499999999</v>
      </c>
      <c r="G228">
        <v>4755.40355</v>
      </c>
      <c r="H228">
        <v>4792.7697200000002</v>
      </c>
      <c r="Q228">
        <v>4757.1592099999998</v>
      </c>
      <c r="R228">
        <v>4786.5225099999998</v>
      </c>
      <c r="S228">
        <v>4813.1112800000001</v>
      </c>
      <c r="V228">
        <v>4722.2194399999998</v>
      </c>
      <c r="W228">
        <v>4688.6544400000002</v>
      </c>
      <c r="AB228">
        <v>4807.7812000000004</v>
      </c>
      <c r="AC228">
        <v>4809.9246199999998</v>
      </c>
      <c r="AD228">
        <v>0</v>
      </c>
      <c r="AK228">
        <v>226</v>
      </c>
      <c r="AL228">
        <v>225</v>
      </c>
      <c r="AM228">
        <v>4807.7299999999996</v>
      </c>
      <c r="AN228">
        <v>4757.1592000000001</v>
      </c>
      <c r="AO228">
        <v>50.570799999999998</v>
      </c>
      <c r="AP228">
        <v>2557.4047999999998</v>
      </c>
      <c r="AQ228">
        <v>2.9751910000000001</v>
      </c>
      <c r="AR228">
        <v>4.2791059999999996</v>
      </c>
      <c r="AY228">
        <v>226</v>
      </c>
      <c r="AZ228">
        <v>225</v>
      </c>
      <c r="BA228">
        <v>4807.7299999999996</v>
      </c>
      <c r="BB228">
        <v>4757.1592000000001</v>
      </c>
      <c r="BC228">
        <v>50.570799999999998</v>
      </c>
      <c r="BD228">
        <v>2557.4047999999998</v>
      </c>
      <c r="BE228">
        <v>50625</v>
      </c>
    </row>
    <row r="229" spans="1:57" x14ac:dyDescent="0.55000000000000004">
      <c r="A229">
        <v>1776738602</v>
      </c>
      <c r="B229" t="s">
        <v>72</v>
      </c>
      <c r="C229" t="s">
        <v>73</v>
      </c>
      <c r="D229">
        <v>4806.6099999999997</v>
      </c>
      <c r="E229">
        <v>4518.5928199999998</v>
      </c>
      <c r="F229">
        <v>4596.0559499999999</v>
      </c>
      <c r="G229">
        <v>4755.40355</v>
      </c>
      <c r="H229">
        <v>4792.7697200000002</v>
      </c>
      <c r="Q229">
        <v>4756.8915999999999</v>
      </c>
      <c r="R229">
        <v>4786.2548999999999</v>
      </c>
      <c r="S229">
        <v>4812.8436700000002</v>
      </c>
      <c r="V229">
        <v>4721.95183</v>
      </c>
      <c r="W229">
        <v>4688.3868400000001</v>
      </c>
      <c r="AB229">
        <v>4805.5404799999997</v>
      </c>
      <c r="AC229">
        <v>4807.7325499999997</v>
      </c>
      <c r="AD229">
        <v>0</v>
      </c>
      <c r="AK229">
        <v>227</v>
      </c>
      <c r="AL229">
        <v>226</v>
      </c>
      <c r="AM229">
        <v>4806.6099999999997</v>
      </c>
      <c r="AN229">
        <v>4756.8915999999999</v>
      </c>
      <c r="AO229">
        <v>49.718400000000003</v>
      </c>
      <c r="AP229">
        <v>2471.9193</v>
      </c>
      <c r="AQ229">
        <v>2.8272680000000001</v>
      </c>
      <c r="AR229">
        <v>3.9978150000000001</v>
      </c>
      <c r="AY229">
        <v>227</v>
      </c>
      <c r="AZ229">
        <v>226</v>
      </c>
      <c r="BA229">
        <v>4806.6099999999997</v>
      </c>
      <c r="BB229">
        <v>4756.8915999999999</v>
      </c>
      <c r="BC229">
        <v>49.718400000000003</v>
      </c>
      <c r="BD229">
        <v>2471.9193</v>
      </c>
      <c r="BE229">
        <v>51076</v>
      </c>
    </row>
    <row r="230" spans="1:57" x14ac:dyDescent="0.55000000000000004">
      <c r="A230">
        <v>1776739502</v>
      </c>
      <c r="B230" t="s">
        <v>72</v>
      </c>
      <c r="C230" t="s">
        <v>73</v>
      </c>
      <c r="D230">
        <v>4806.8999999999996</v>
      </c>
      <c r="E230">
        <v>4518.5928199999998</v>
      </c>
      <c r="F230">
        <v>4596.0559499999999</v>
      </c>
      <c r="G230">
        <v>4755.40355</v>
      </c>
      <c r="H230">
        <v>4792.7697200000002</v>
      </c>
      <c r="Q230">
        <v>4756.6239999999998</v>
      </c>
      <c r="R230">
        <v>4785.9872999999998</v>
      </c>
      <c r="S230">
        <v>4812.5760700000001</v>
      </c>
      <c r="V230">
        <v>4721.6842299999998</v>
      </c>
      <c r="W230">
        <v>4688.1192300000002</v>
      </c>
      <c r="AB230">
        <v>4803.2892700000002</v>
      </c>
      <c r="AC230">
        <v>4805.51091</v>
      </c>
      <c r="AD230">
        <v>0</v>
      </c>
      <c r="AK230">
        <v>228</v>
      </c>
      <c r="AL230">
        <v>227</v>
      </c>
      <c r="AM230">
        <v>4806.8999999999996</v>
      </c>
      <c r="AN230">
        <v>4756.6239999999998</v>
      </c>
      <c r="AO230">
        <v>50.276000000000003</v>
      </c>
      <c r="AP230">
        <v>2527.6761999999999</v>
      </c>
      <c r="AQ230">
        <v>2.9234640000000001</v>
      </c>
      <c r="AR230">
        <v>4.180199</v>
      </c>
      <c r="AY230">
        <v>228</v>
      </c>
      <c r="AZ230">
        <v>227</v>
      </c>
      <c r="BA230">
        <v>4806.8999999999996</v>
      </c>
      <c r="BB230">
        <v>4756.6239999999998</v>
      </c>
      <c r="BC230">
        <v>50.276000000000003</v>
      </c>
      <c r="BD230">
        <v>2527.6761999999999</v>
      </c>
      <c r="BE230">
        <v>51529</v>
      </c>
    </row>
    <row r="231" spans="1:57" x14ac:dyDescent="0.55000000000000004">
      <c r="A231">
        <v>1776740402</v>
      </c>
      <c r="B231" t="s">
        <v>72</v>
      </c>
      <c r="C231" t="s">
        <v>73</v>
      </c>
      <c r="D231">
        <v>4800.74</v>
      </c>
      <c r="E231">
        <v>4518.5928199999998</v>
      </c>
      <c r="F231">
        <v>4596.0559499999999</v>
      </c>
      <c r="G231">
        <v>4755.40355</v>
      </c>
      <c r="H231">
        <v>4792.7697200000002</v>
      </c>
      <c r="Q231">
        <v>4756.3563899999999</v>
      </c>
      <c r="R231">
        <v>4785.7196899999999</v>
      </c>
      <c r="S231">
        <v>4812.3084600000002</v>
      </c>
      <c r="V231">
        <v>4721.41662</v>
      </c>
      <c r="W231">
        <v>4687.8516300000001</v>
      </c>
      <c r="AB231">
        <v>4801.0339700000004</v>
      </c>
      <c r="AC231">
        <v>4803.2724399999997</v>
      </c>
      <c r="AD231">
        <v>0</v>
      </c>
      <c r="AK231">
        <v>229</v>
      </c>
      <c r="AL231">
        <v>228</v>
      </c>
      <c r="AM231">
        <v>4800.74</v>
      </c>
      <c r="AN231">
        <v>4756.3563999999997</v>
      </c>
      <c r="AO231">
        <v>44.383600000000001</v>
      </c>
      <c r="AP231">
        <v>1969.9048</v>
      </c>
      <c r="AQ231">
        <v>2.0113310000000002</v>
      </c>
      <c r="AR231">
        <v>2.538894</v>
      </c>
      <c r="AY231">
        <v>229</v>
      </c>
      <c r="AZ231">
        <v>228</v>
      </c>
      <c r="BA231">
        <v>4800.74</v>
      </c>
      <c r="BB231">
        <v>4756.3563999999997</v>
      </c>
      <c r="BC231">
        <v>44.383600000000001</v>
      </c>
      <c r="BD231">
        <v>1969.9048</v>
      </c>
      <c r="BE231">
        <v>51984</v>
      </c>
    </row>
    <row r="232" spans="1:57" x14ac:dyDescent="0.55000000000000004">
      <c r="A232">
        <v>1776741302</v>
      </c>
      <c r="B232" t="s">
        <v>72</v>
      </c>
      <c r="C232" t="s">
        <v>73</v>
      </c>
      <c r="D232">
        <v>4798.75</v>
      </c>
      <c r="E232">
        <v>4518.5928199999998</v>
      </c>
      <c r="F232">
        <v>4596.0559499999999</v>
      </c>
      <c r="G232">
        <v>4755.40355</v>
      </c>
      <c r="H232">
        <v>4792.7697200000002</v>
      </c>
      <c r="Q232">
        <v>4756.0887899999998</v>
      </c>
      <c r="R232">
        <v>4785.4520899999998</v>
      </c>
      <c r="S232">
        <v>4812.0408600000001</v>
      </c>
      <c r="V232">
        <v>4721.1490199999998</v>
      </c>
      <c r="W232">
        <v>4687.5840200000002</v>
      </c>
      <c r="AB232">
        <v>4798.9589999999998</v>
      </c>
      <c r="AC232">
        <v>4801.1157199999998</v>
      </c>
      <c r="AD232">
        <v>0</v>
      </c>
      <c r="AK232">
        <v>230</v>
      </c>
      <c r="AL232">
        <v>229</v>
      </c>
      <c r="AM232">
        <v>4798.75</v>
      </c>
      <c r="AN232">
        <v>4756.0888000000004</v>
      </c>
      <c r="AO232">
        <v>42.661200000000001</v>
      </c>
      <c r="AP232">
        <v>1819.9788000000001</v>
      </c>
      <c r="AQ232">
        <v>1.786138</v>
      </c>
      <c r="AR232">
        <v>2.1671390000000001</v>
      </c>
      <c r="AY232">
        <v>230</v>
      </c>
      <c r="AZ232">
        <v>229</v>
      </c>
      <c r="BA232">
        <v>4798.75</v>
      </c>
      <c r="BB232">
        <v>4756.0888000000004</v>
      </c>
      <c r="BC232">
        <v>42.661200000000001</v>
      </c>
      <c r="BD232">
        <v>1819.9788000000001</v>
      </c>
      <c r="BE232">
        <v>52441</v>
      </c>
    </row>
    <row r="233" spans="1:57" x14ac:dyDescent="0.55000000000000004">
      <c r="A233">
        <v>1776742202</v>
      </c>
      <c r="B233" t="s">
        <v>72</v>
      </c>
      <c r="C233" t="s">
        <v>73</v>
      </c>
      <c r="D233">
        <v>4795.2</v>
      </c>
      <c r="E233">
        <v>4518.5928199999998</v>
      </c>
      <c r="F233">
        <v>4596.0559499999999</v>
      </c>
      <c r="G233">
        <v>4755.40355</v>
      </c>
      <c r="H233">
        <v>4792.7697200000002</v>
      </c>
      <c r="Q233">
        <v>4755.8211899999997</v>
      </c>
      <c r="R233">
        <v>4785.1844899999996</v>
      </c>
      <c r="S233">
        <v>4811.7732599999999</v>
      </c>
      <c r="V233">
        <v>4720.8814199999997</v>
      </c>
      <c r="W233">
        <v>4687.3164200000001</v>
      </c>
      <c r="AB233">
        <v>4797.12518</v>
      </c>
      <c r="AC233">
        <v>4799.1204500000003</v>
      </c>
      <c r="AD233">
        <v>0</v>
      </c>
      <c r="AK233">
        <v>231</v>
      </c>
      <c r="AL233">
        <v>230</v>
      </c>
      <c r="AM233">
        <v>4795.2</v>
      </c>
      <c r="AN233">
        <v>4755.8212000000003</v>
      </c>
      <c r="AO233">
        <v>39.378799999999998</v>
      </c>
      <c r="AP233">
        <v>1550.6907000000001</v>
      </c>
      <c r="AQ233">
        <v>1.4047639999999999</v>
      </c>
      <c r="AR233">
        <v>1.5732740000000001</v>
      </c>
      <c r="AY233">
        <v>231</v>
      </c>
      <c r="AZ233">
        <v>230</v>
      </c>
      <c r="BA233">
        <v>4795.2</v>
      </c>
      <c r="BB233">
        <v>4755.8212000000003</v>
      </c>
      <c r="BC233">
        <v>39.378799999999998</v>
      </c>
      <c r="BD233">
        <v>1550.6907000000001</v>
      </c>
      <c r="BE233">
        <v>52900</v>
      </c>
    </row>
    <row r="234" spans="1:57" x14ac:dyDescent="0.55000000000000004">
      <c r="A234">
        <v>1776743102</v>
      </c>
      <c r="B234" t="s">
        <v>72</v>
      </c>
      <c r="C234" t="s">
        <v>73</v>
      </c>
      <c r="D234">
        <v>4797.3599999999997</v>
      </c>
      <c r="E234">
        <v>4518.5928199999998</v>
      </c>
      <c r="F234">
        <v>4596.0559499999999</v>
      </c>
      <c r="G234">
        <v>4755.40355</v>
      </c>
      <c r="H234">
        <v>4792.7697200000002</v>
      </c>
      <c r="Q234">
        <v>4755.5535799999998</v>
      </c>
      <c r="R234">
        <v>4784.9168799999998</v>
      </c>
      <c r="S234">
        <v>4811.5056500000001</v>
      </c>
      <c r="V234">
        <v>4720.6138099999998</v>
      </c>
      <c r="W234">
        <v>4687.04882</v>
      </c>
      <c r="AB234">
        <v>4795.6085800000001</v>
      </c>
      <c r="AC234">
        <v>4797.3645100000003</v>
      </c>
      <c r="AD234">
        <v>0</v>
      </c>
      <c r="AK234">
        <v>232</v>
      </c>
      <c r="AL234">
        <v>231</v>
      </c>
      <c r="AM234">
        <v>4797.3599999999997</v>
      </c>
      <c r="AN234">
        <v>4755.5536000000002</v>
      </c>
      <c r="AO234">
        <v>41.806399999999996</v>
      </c>
      <c r="AP234">
        <v>1747.7768000000001</v>
      </c>
      <c r="AQ234">
        <v>1.6809099999999999</v>
      </c>
      <c r="AR234">
        <v>1.9986010000000001</v>
      </c>
      <c r="AY234">
        <v>232</v>
      </c>
      <c r="AZ234">
        <v>231</v>
      </c>
      <c r="BA234">
        <v>4797.3599999999997</v>
      </c>
      <c r="BB234">
        <v>4755.5536000000002</v>
      </c>
      <c r="BC234">
        <v>41.806399999999996</v>
      </c>
      <c r="BD234">
        <v>1747.7768000000001</v>
      </c>
      <c r="BE234">
        <v>53361</v>
      </c>
    </row>
    <row r="235" spans="1:57" x14ac:dyDescent="0.55000000000000004">
      <c r="A235">
        <v>1776744002</v>
      </c>
      <c r="B235" t="s">
        <v>72</v>
      </c>
      <c r="C235" t="s">
        <v>73</v>
      </c>
      <c r="D235">
        <v>4794.24</v>
      </c>
      <c r="E235">
        <v>4518.5928199999998</v>
      </c>
      <c r="F235">
        <v>4596.0559499999999</v>
      </c>
      <c r="G235">
        <v>4755.40355</v>
      </c>
      <c r="H235">
        <v>4792.7697200000002</v>
      </c>
      <c r="Q235">
        <v>4755.2859799999997</v>
      </c>
      <c r="R235">
        <v>4784.6492799999996</v>
      </c>
      <c r="S235">
        <v>4811.2380499999999</v>
      </c>
      <c r="V235">
        <v>4720.3462099999997</v>
      </c>
      <c r="W235">
        <v>4686.7812100000001</v>
      </c>
      <c r="AB235">
        <v>4794.2878499999997</v>
      </c>
      <c r="AC235">
        <v>4795.82618</v>
      </c>
      <c r="AD235">
        <v>0</v>
      </c>
      <c r="AK235">
        <v>233</v>
      </c>
      <c r="AL235">
        <v>232</v>
      </c>
      <c r="AM235">
        <v>4794.24</v>
      </c>
      <c r="AN235">
        <v>4755.2860000000001</v>
      </c>
      <c r="AO235">
        <v>38.954000000000001</v>
      </c>
      <c r="AP235">
        <v>1517.4157</v>
      </c>
      <c r="AQ235">
        <v>1.3597919999999999</v>
      </c>
      <c r="AR235">
        <v>1.50648</v>
      </c>
      <c r="AY235">
        <v>233</v>
      </c>
      <c r="AZ235">
        <v>232</v>
      </c>
      <c r="BA235">
        <v>4794.24</v>
      </c>
      <c r="BB235">
        <v>4755.2860000000001</v>
      </c>
      <c r="BC235">
        <v>38.954000000000001</v>
      </c>
      <c r="BD235">
        <v>1517.4157</v>
      </c>
      <c r="BE235">
        <v>53824</v>
      </c>
    </row>
    <row r="236" spans="1:57" x14ac:dyDescent="0.55000000000000004">
      <c r="A236">
        <v>1776744902</v>
      </c>
      <c r="B236" t="s">
        <v>72</v>
      </c>
      <c r="C236" t="s">
        <v>73</v>
      </c>
      <c r="D236">
        <v>4792.33</v>
      </c>
      <c r="E236">
        <v>4518.5928199999998</v>
      </c>
      <c r="F236">
        <v>4596.0559499999999</v>
      </c>
      <c r="G236">
        <v>4755.40355</v>
      </c>
      <c r="H236">
        <v>4792.7697200000002</v>
      </c>
      <c r="Q236">
        <v>4755.0183699999998</v>
      </c>
      <c r="R236">
        <v>4784.3816699999998</v>
      </c>
      <c r="S236">
        <v>4810.9704400000001</v>
      </c>
      <c r="V236">
        <v>4720.0785999999998</v>
      </c>
      <c r="W236">
        <v>4686.51361</v>
      </c>
      <c r="AB236">
        <v>4793.1513100000002</v>
      </c>
      <c r="AC236">
        <v>4794.4887399999998</v>
      </c>
      <c r="AD236">
        <v>0</v>
      </c>
      <c r="AK236">
        <v>234</v>
      </c>
      <c r="AL236">
        <v>233</v>
      </c>
      <c r="AM236">
        <v>4792.33</v>
      </c>
      <c r="AN236">
        <v>4755.0183999999999</v>
      </c>
      <c r="AO236">
        <v>37.311599999999999</v>
      </c>
      <c r="AP236">
        <v>1392.1577</v>
      </c>
      <c r="AQ236">
        <v>1.1949460000000001</v>
      </c>
      <c r="AR236">
        <v>1.2680340000000001</v>
      </c>
      <c r="AY236">
        <v>234</v>
      </c>
      <c r="AZ236">
        <v>233</v>
      </c>
      <c r="BA236">
        <v>4792.33</v>
      </c>
      <c r="BB236">
        <v>4755.0183999999999</v>
      </c>
      <c r="BC236">
        <v>37.311599999999999</v>
      </c>
      <c r="BD236">
        <v>1392.1577</v>
      </c>
      <c r="BE236">
        <v>54289</v>
      </c>
    </row>
    <row r="237" spans="1:57" x14ac:dyDescent="0.55000000000000004">
      <c r="A237">
        <v>1776745802</v>
      </c>
      <c r="B237" t="s">
        <v>72</v>
      </c>
      <c r="C237" t="s">
        <v>73</v>
      </c>
      <c r="D237">
        <v>4791.74</v>
      </c>
      <c r="E237">
        <v>4518.5928199999998</v>
      </c>
      <c r="F237">
        <v>4596.0559499999999</v>
      </c>
      <c r="G237">
        <v>4755.40355</v>
      </c>
      <c r="H237">
        <v>4792.7697200000002</v>
      </c>
      <c r="Q237">
        <v>4754.7507699999996</v>
      </c>
      <c r="R237">
        <v>4784.1140699999996</v>
      </c>
      <c r="S237">
        <v>4810.7028399999999</v>
      </c>
      <c r="V237">
        <v>4719.8109999999997</v>
      </c>
      <c r="W237">
        <v>4686.2460000000001</v>
      </c>
      <c r="AB237">
        <v>4792.1385600000003</v>
      </c>
      <c r="AC237">
        <v>4793.3136500000001</v>
      </c>
      <c r="AD237">
        <v>0</v>
      </c>
      <c r="AK237">
        <v>235</v>
      </c>
      <c r="AL237">
        <v>234</v>
      </c>
      <c r="AM237">
        <v>4791.74</v>
      </c>
      <c r="AN237">
        <v>4754.7507999999998</v>
      </c>
      <c r="AO237">
        <v>36.989199999999997</v>
      </c>
      <c r="AP237">
        <v>1368.2030999999999</v>
      </c>
      <c r="AQ237">
        <v>1.164237</v>
      </c>
      <c r="AR237">
        <v>1.224772</v>
      </c>
      <c r="AY237">
        <v>235</v>
      </c>
      <c r="AZ237">
        <v>234</v>
      </c>
      <c r="BA237">
        <v>4791.74</v>
      </c>
      <c r="BB237">
        <v>4754.7507999999998</v>
      </c>
      <c r="BC237">
        <v>36.989199999999997</v>
      </c>
      <c r="BD237">
        <v>1368.2030999999999</v>
      </c>
      <c r="BE237">
        <v>54756</v>
      </c>
    </row>
    <row r="238" spans="1:57" x14ac:dyDescent="0.55000000000000004">
      <c r="A238">
        <v>1776746702</v>
      </c>
      <c r="B238" t="s">
        <v>72</v>
      </c>
      <c r="C238" t="s">
        <v>73</v>
      </c>
      <c r="D238">
        <v>4789.16</v>
      </c>
      <c r="E238">
        <v>4518.5928199999998</v>
      </c>
      <c r="F238">
        <v>4596.0559499999999</v>
      </c>
      <c r="G238">
        <v>4755.40355</v>
      </c>
      <c r="H238">
        <v>4792.7697200000002</v>
      </c>
      <c r="Q238">
        <v>4754.4831700000004</v>
      </c>
      <c r="R238">
        <v>4783.8464599999998</v>
      </c>
      <c r="S238">
        <v>4810.4352399999998</v>
      </c>
      <c r="V238">
        <v>4719.5433999999996</v>
      </c>
      <c r="W238">
        <v>4685.9784</v>
      </c>
      <c r="AB238">
        <v>4791.1540699999996</v>
      </c>
      <c r="AC238">
        <v>4792.2338600000003</v>
      </c>
      <c r="AD238">
        <v>0</v>
      </c>
      <c r="AK238">
        <v>236</v>
      </c>
      <c r="AL238">
        <v>235</v>
      </c>
      <c r="AM238">
        <v>4789.16</v>
      </c>
      <c r="AN238">
        <v>4754.4831999999997</v>
      </c>
      <c r="AO238">
        <v>34.6768</v>
      </c>
      <c r="AP238">
        <v>1202.4825000000001</v>
      </c>
      <c r="AQ238">
        <v>0.95925400000000005</v>
      </c>
      <c r="AR238">
        <v>0.94604500000000002</v>
      </c>
      <c r="AY238">
        <v>236</v>
      </c>
      <c r="AZ238">
        <v>235</v>
      </c>
      <c r="BA238">
        <v>4789.16</v>
      </c>
      <c r="BB238">
        <v>4754.4831999999997</v>
      </c>
      <c r="BC238">
        <v>34.6768</v>
      </c>
      <c r="BD238">
        <v>1202.4825000000001</v>
      </c>
      <c r="BE238">
        <v>55225</v>
      </c>
    </row>
    <row r="239" spans="1:57" x14ac:dyDescent="0.55000000000000004">
      <c r="A239">
        <v>1776747602</v>
      </c>
      <c r="B239" t="s">
        <v>72</v>
      </c>
      <c r="C239" t="s">
        <v>73</v>
      </c>
      <c r="D239">
        <v>4789.51</v>
      </c>
      <c r="E239">
        <v>4518.5928199999998</v>
      </c>
      <c r="F239">
        <v>4596.0559499999999</v>
      </c>
      <c r="G239">
        <v>4755.40355</v>
      </c>
      <c r="H239">
        <v>4792.7697200000002</v>
      </c>
      <c r="Q239">
        <v>4754.2155599999996</v>
      </c>
      <c r="R239">
        <v>4783.5788599999996</v>
      </c>
      <c r="S239">
        <v>4810.1676299999999</v>
      </c>
      <c r="V239">
        <v>4719.2757899999997</v>
      </c>
      <c r="W239">
        <v>4685.7107999999998</v>
      </c>
      <c r="AB239">
        <v>4790.15661</v>
      </c>
      <c r="AC239">
        <v>4791.19524</v>
      </c>
      <c r="AD239">
        <v>0</v>
      </c>
      <c r="AK239">
        <v>237</v>
      </c>
      <c r="AL239">
        <v>236</v>
      </c>
      <c r="AM239">
        <v>4789.51</v>
      </c>
      <c r="AN239">
        <v>4754.2156000000004</v>
      </c>
      <c r="AO239">
        <v>35.294400000000003</v>
      </c>
      <c r="AP239">
        <v>1245.6975</v>
      </c>
      <c r="AQ239">
        <v>1.0114270000000001</v>
      </c>
      <c r="AR239">
        <v>1.0152650000000001</v>
      </c>
      <c r="AY239">
        <v>237</v>
      </c>
      <c r="AZ239">
        <v>236</v>
      </c>
      <c r="BA239">
        <v>4789.51</v>
      </c>
      <c r="BB239">
        <v>4754.2156000000004</v>
      </c>
      <c r="BC239">
        <v>35.294400000000003</v>
      </c>
      <c r="BD239">
        <v>1245.6975</v>
      </c>
      <c r="BE239">
        <v>55696</v>
      </c>
    </row>
    <row r="240" spans="1:57" x14ac:dyDescent="0.55000000000000004">
      <c r="A240">
        <v>1776748502</v>
      </c>
      <c r="B240" t="s">
        <v>72</v>
      </c>
      <c r="C240" t="s">
        <v>73</v>
      </c>
      <c r="D240">
        <v>4787.58</v>
      </c>
      <c r="E240">
        <v>4518.5928199999998</v>
      </c>
      <c r="F240">
        <v>4596.0559499999999</v>
      </c>
      <c r="G240">
        <v>4755.40355</v>
      </c>
      <c r="H240">
        <v>4792.7697200000002</v>
      </c>
      <c r="Q240">
        <v>4753.9479600000004</v>
      </c>
      <c r="R240">
        <v>4783.3112600000004</v>
      </c>
      <c r="S240">
        <v>4809.9000299999998</v>
      </c>
      <c r="V240">
        <v>4719.0081899999996</v>
      </c>
      <c r="W240">
        <v>4685.44319</v>
      </c>
      <c r="AB240">
        <v>4789.02178</v>
      </c>
      <c r="AC240">
        <v>4790.10851</v>
      </c>
      <c r="AD240">
        <v>0</v>
      </c>
      <c r="AK240">
        <v>238</v>
      </c>
      <c r="AL240">
        <v>237</v>
      </c>
      <c r="AM240">
        <v>4787.58</v>
      </c>
      <c r="AN240">
        <v>4753.9480000000003</v>
      </c>
      <c r="AO240">
        <v>33.631999999999998</v>
      </c>
      <c r="AP240">
        <v>1131.1141</v>
      </c>
      <c r="AQ240">
        <v>0.875135</v>
      </c>
      <c r="AR240">
        <v>0.83708000000000005</v>
      </c>
      <c r="AY240">
        <v>238</v>
      </c>
      <c r="AZ240">
        <v>237</v>
      </c>
      <c r="BA240">
        <v>4787.58</v>
      </c>
      <c r="BB240">
        <v>4753.9480000000003</v>
      </c>
      <c r="BC240">
        <v>33.631999999999998</v>
      </c>
      <c r="BD240">
        <v>1131.1141</v>
      </c>
      <c r="BE240">
        <v>56169</v>
      </c>
    </row>
    <row r="241" spans="1:57" x14ac:dyDescent="0.55000000000000004">
      <c r="A241">
        <v>1776749402</v>
      </c>
      <c r="B241" t="s">
        <v>72</v>
      </c>
      <c r="C241" t="s">
        <v>73</v>
      </c>
      <c r="D241">
        <v>4796.37</v>
      </c>
      <c r="E241">
        <v>4518.5928199999998</v>
      </c>
      <c r="F241">
        <v>4596.0559499999999</v>
      </c>
      <c r="G241">
        <v>4755.40355</v>
      </c>
      <c r="H241">
        <v>4792.7697200000002</v>
      </c>
      <c r="Q241">
        <v>4753.6803499999996</v>
      </c>
      <c r="R241">
        <v>4783.0436499999996</v>
      </c>
      <c r="S241">
        <v>4809.6324199999999</v>
      </c>
      <c r="V241">
        <v>4718.7405799999997</v>
      </c>
      <c r="W241">
        <v>4685.1755899999998</v>
      </c>
      <c r="AB241">
        <v>4787.7137199999997</v>
      </c>
      <c r="AC241">
        <v>4788.9111199999998</v>
      </c>
      <c r="AD241">
        <v>0</v>
      </c>
      <c r="AK241">
        <v>239</v>
      </c>
      <c r="AL241">
        <v>238</v>
      </c>
      <c r="AM241">
        <v>4796.37</v>
      </c>
      <c r="AN241">
        <v>4753.6803</v>
      </c>
      <c r="AO241">
        <v>42.689700000000002</v>
      </c>
      <c r="AP241">
        <v>1822.4061999999999</v>
      </c>
      <c r="AQ241">
        <v>1.7897130000000001</v>
      </c>
      <c r="AR241">
        <v>2.1729240000000001</v>
      </c>
      <c r="AY241">
        <v>239</v>
      </c>
      <c r="AZ241">
        <v>238</v>
      </c>
      <c r="BA241">
        <v>4796.37</v>
      </c>
      <c r="BB241">
        <v>4753.6803</v>
      </c>
      <c r="BC241">
        <v>42.689700000000002</v>
      </c>
      <c r="BD241">
        <v>1822.4061999999999</v>
      </c>
      <c r="BE241">
        <v>56644</v>
      </c>
    </row>
    <row r="242" spans="1:57" x14ac:dyDescent="0.55000000000000004">
      <c r="A242">
        <v>1776750302</v>
      </c>
      <c r="B242" t="s">
        <v>72</v>
      </c>
      <c r="C242" t="s">
        <v>73</v>
      </c>
      <c r="D242">
        <v>4784.33</v>
      </c>
      <c r="E242">
        <v>4518.5928199999998</v>
      </c>
      <c r="F242">
        <v>4596.0559499999999</v>
      </c>
      <c r="G242">
        <v>4755.40355</v>
      </c>
      <c r="H242">
        <v>4792.7697200000002</v>
      </c>
      <c r="Q242">
        <v>4753.4127500000004</v>
      </c>
      <c r="R242">
        <v>4782.7760500000004</v>
      </c>
      <c r="S242">
        <v>4809.3648199999998</v>
      </c>
      <c r="V242">
        <v>4718.4729799999996</v>
      </c>
      <c r="W242">
        <v>4684.90798</v>
      </c>
      <c r="AB242">
        <v>4785.9914699999999</v>
      </c>
      <c r="AC242">
        <v>4787.45129</v>
      </c>
      <c r="AD242">
        <v>0</v>
      </c>
      <c r="AK242">
        <v>240</v>
      </c>
      <c r="AL242">
        <v>239</v>
      </c>
      <c r="AM242">
        <v>4784.33</v>
      </c>
      <c r="AN242">
        <v>4753.4128000000001</v>
      </c>
      <c r="AO242">
        <v>30.917200000000001</v>
      </c>
      <c r="AP242">
        <v>955.87630000000001</v>
      </c>
      <c r="AQ242">
        <v>0.67985799999999996</v>
      </c>
      <c r="AR242">
        <v>0.59780199999999994</v>
      </c>
      <c r="AY242">
        <v>240</v>
      </c>
      <c r="AZ242">
        <v>239</v>
      </c>
      <c r="BA242">
        <v>4784.33</v>
      </c>
      <c r="BB242">
        <v>4753.4128000000001</v>
      </c>
      <c r="BC242">
        <v>30.917200000000001</v>
      </c>
      <c r="BD242">
        <v>955.87630000000001</v>
      </c>
      <c r="BE242">
        <v>57121</v>
      </c>
    </row>
    <row r="243" spans="1:57" x14ac:dyDescent="0.55000000000000004">
      <c r="A243">
        <v>1776751202</v>
      </c>
      <c r="B243" t="s">
        <v>72</v>
      </c>
      <c r="C243" t="s">
        <v>73</v>
      </c>
      <c r="D243">
        <v>4785.01</v>
      </c>
      <c r="E243">
        <v>4518.5928199999998</v>
      </c>
      <c r="F243">
        <v>4596.0559499999999</v>
      </c>
      <c r="G243">
        <v>4755.40355</v>
      </c>
      <c r="H243">
        <v>4792.7697200000002</v>
      </c>
      <c r="Q243">
        <v>4753.1451500000003</v>
      </c>
      <c r="R243">
        <v>4782.5084399999996</v>
      </c>
      <c r="S243">
        <v>4809.0972199999997</v>
      </c>
      <c r="V243">
        <v>4718.2053800000003</v>
      </c>
      <c r="W243">
        <v>4684.6403799999998</v>
      </c>
      <c r="AB243">
        <v>4784.2611900000002</v>
      </c>
      <c r="AC243">
        <v>4785.8562400000001</v>
      </c>
      <c r="AD243">
        <v>0</v>
      </c>
      <c r="AK243">
        <v>241</v>
      </c>
      <c r="AL243">
        <v>240</v>
      </c>
      <c r="AM243">
        <v>4785.01</v>
      </c>
      <c r="AN243">
        <v>4753.1451999999999</v>
      </c>
      <c r="AO243">
        <v>31.864799999999999</v>
      </c>
      <c r="AP243">
        <v>1015.3687</v>
      </c>
      <c r="AQ243">
        <v>0.74430499999999999</v>
      </c>
      <c r="AR243">
        <v>0.67453099999999999</v>
      </c>
      <c r="AY243">
        <v>241</v>
      </c>
      <c r="AZ243">
        <v>240</v>
      </c>
      <c r="BA243">
        <v>4785.01</v>
      </c>
      <c r="BB243">
        <v>4753.1451999999999</v>
      </c>
      <c r="BC243">
        <v>31.864799999999999</v>
      </c>
      <c r="BD243">
        <v>1015.3687</v>
      </c>
      <c r="BE243">
        <v>57600</v>
      </c>
    </row>
    <row r="244" spans="1:57" x14ac:dyDescent="0.55000000000000004">
      <c r="A244">
        <v>1776752102</v>
      </c>
      <c r="B244" t="s">
        <v>72</v>
      </c>
      <c r="C244" t="s">
        <v>73</v>
      </c>
      <c r="D244">
        <v>4778.93</v>
      </c>
      <c r="E244">
        <v>4518.5928199999998</v>
      </c>
      <c r="F244">
        <v>4596.0559499999999</v>
      </c>
      <c r="G244">
        <v>4755.40355</v>
      </c>
      <c r="H244">
        <v>4792.7697200000002</v>
      </c>
      <c r="Q244">
        <v>4752.8775400000004</v>
      </c>
      <c r="R244">
        <v>4782.2408400000004</v>
      </c>
      <c r="S244">
        <v>4808.8296099999998</v>
      </c>
      <c r="V244">
        <v>4717.9377699999995</v>
      </c>
      <c r="W244">
        <v>4684.3727699999999</v>
      </c>
      <c r="AB244">
        <v>4782.6491599999999</v>
      </c>
      <c r="AC244">
        <v>4784.2527</v>
      </c>
      <c r="AD244">
        <v>0</v>
      </c>
      <c r="AK244">
        <v>242</v>
      </c>
      <c r="AL244">
        <v>241</v>
      </c>
      <c r="AM244">
        <v>4778.93</v>
      </c>
      <c r="AN244">
        <v>4752.8774999999996</v>
      </c>
      <c r="AO244">
        <v>26.052499999999998</v>
      </c>
      <c r="AP244">
        <v>678.73069999999996</v>
      </c>
      <c r="AQ244">
        <v>0.40678199999999998</v>
      </c>
      <c r="AR244">
        <v>0.30140400000000001</v>
      </c>
      <c r="AY244">
        <v>242</v>
      </c>
      <c r="AZ244">
        <v>241</v>
      </c>
      <c r="BA244">
        <v>4778.93</v>
      </c>
      <c r="BB244">
        <v>4752.8774999999996</v>
      </c>
      <c r="BC244">
        <v>26.052499999999998</v>
      </c>
      <c r="BD244">
        <v>678.73069999999996</v>
      </c>
      <c r="BE244">
        <v>58081</v>
      </c>
    </row>
    <row r="245" spans="1:57" x14ac:dyDescent="0.55000000000000004">
      <c r="A245">
        <v>1776753002</v>
      </c>
      <c r="B245" t="s">
        <v>72</v>
      </c>
      <c r="C245" t="s">
        <v>73</v>
      </c>
      <c r="D245">
        <v>4780.6000000000004</v>
      </c>
      <c r="E245">
        <v>4518.5928199999998</v>
      </c>
      <c r="F245">
        <v>4596.0559499999999</v>
      </c>
      <c r="G245">
        <v>4755.40355</v>
      </c>
      <c r="H245">
        <v>4792.7697200000002</v>
      </c>
      <c r="Q245">
        <v>4752.6099400000003</v>
      </c>
      <c r="R245">
        <v>4781.9732400000003</v>
      </c>
      <c r="S245">
        <v>4808.5620099999996</v>
      </c>
      <c r="V245">
        <v>4717.6701700000003</v>
      </c>
      <c r="W245">
        <v>4684.1051699999998</v>
      </c>
      <c r="AB245">
        <v>4781.5401400000001</v>
      </c>
      <c r="AC245">
        <v>4782.89642</v>
      </c>
      <c r="AD245">
        <v>0</v>
      </c>
      <c r="AK245">
        <v>243</v>
      </c>
      <c r="AL245">
        <v>242</v>
      </c>
      <c r="AM245">
        <v>4780.6000000000004</v>
      </c>
      <c r="AN245">
        <v>4752.6099000000004</v>
      </c>
      <c r="AO245">
        <v>27.990100000000002</v>
      </c>
      <c r="AP245">
        <v>783.44349999999997</v>
      </c>
      <c r="AQ245">
        <v>0.50446000000000002</v>
      </c>
      <c r="AR245">
        <v>0.40157799999999999</v>
      </c>
      <c r="AY245">
        <v>243</v>
      </c>
      <c r="AZ245">
        <v>242</v>
      </c>
      <c r="BA245">
        <v>4780.6000000000004</v>
      </c>
      <c r="BB245">
        <v>4752.6099000000004</v>
      </c>
      <c r="BC245">
        <v>27.990100000000002</v>
      </c>
      <c r="BD245">
        <v>783.44349999999997</v>
      </c>
      <c r="BE245">
        <v>58564</v>
      </c>
    </row>
    <row r="246" spans="1:57" x14ac:dyDescent="0.55000000000000004">
      <c r="A246">
        <v>1776753902</v>
      </c>
      <c r="B246" t="s">
        <v>72</v>
      </c>
      <c r="C246" t="s">
        <v>73</v>
      </c>
      <c r="D246">
        <v>4778.7299999999996</v>
      </c>
      <c r="E246">
        <v>4518.5928199999998</v>
      </c>
      <c r="F246">
        <v>4596.0559499999999</v>
      </c>
      <c r="G246">
        <v>4755.40355</v>
      </c>
      <c r="H246">
        <v>4792.7697200000002</v>
      </c>
      <c r="Q246">
        <v>4752.3423300000004</v>
      </c>
      <c r="R246">
        <v>4781.7056300000004</v>
      </c>
      <c r="S246">
        <v>4808.2943999999998</v>
      </c>
      <c r="V246">
        <v>4717.4025600000004</v>
      </c>
      <c r="W246">
        <v>4683.8375699999997</v>
      </c>
      <c r="AB246">
        <v>4781.0447899999999</v>
      </c>
      <c r="AC246">
        <v>4781.9706100000003</v>
      </c>
      <c r="AD246">
        <v>0</v>
      </c>
      <c r="AK246">
        <v>244</v>
      </c>
      <c r="AL246">
        <v>243</v>
      </c>
      <c r="AM246">
        <v>4778.7299999999996</v>
      </c>
      <c r="AN246">
        <v>4752.3423000000003</v>
      </c>
      <c r="AO246">
        <v>26.387699999999999</v>
      </c>
      <c r="AP246">
        <v>696.30909999999994</v>
      </c>
      <c r="AQ246">
        <v>0.42268699999999998</v>
      </c>
      <c r="AR246">
        <v>0.317218</v>
      </c>
      <c r="AY246">
        <v>244</v>
      </c>
      <c r="AZ246">
        <v>243</v>
      </c>
      <c r="BA246">
        <v>4778.7299999999996</v>
      </c>
      <c r="BB246">
        <v>4752.3423000000003</v>
      </c>
      <c r="BC246">
        <v>26.387699999999999</v>
      </c>
      <c r="BD246">
        <v>696.30909999999994</v>
      </c>
      <c r="BE246">
        <v>59049</v>
      </c>
    </row>
    <row r="247" spans="1:57" x14ac:dyDescent="0.55000000000000004">
      <c r="A247">
        <v>1776754802</v>
      </c>
      <c r="B247" t="s">
        <v>72</v>
      </c>
      <c r="C247" t="s">
        <v>73</v>
      </c>
      <c r="D247">
        <v>4782.82</v>
      </c>
      <c r="E247">
        <v>4518.5928199999998</v>
      </c>
      <c r="F247">
        <v>4596.0559499999999</v>
      </c>
      <c r="G247">
        <v>4755.40355</v>
      </c>
      <c r="H247">
        <v>4792.7697200000002</v>
      </c>
      <c r="Q247">
        <v>4752.0747300000003</v>
      </c>
      <c r="R247">
        <v>4781.4380300000003</v>
      </c>
      <c r="S247">
        <v>4808.0267999999996</v>
      </c>
      <c r="V247">
        <v>4717.1349600000003</v>
      </c>
      <c r="W247">
        <v>4683.5699599999998</v>
      </c>
      <c r="AA247">
        <v>4772.78</v>
      </c>
      <c r="AB247">
        <v>4781.27052</v>
      </c>
      <c r="AC247">
        <v>4781.6205600000003</v>
      </c>
      <c r="AD247">
        <v>0</v>
      </c>
      <c r="AK247">
        <v>245</v>
      </c>
      <c r="AL247">
        <v>244</v>
      </c>
      <c r="AM247">
        <v>4782.82</v>
      </c>
      <c r="AN247">
        <v>4752.0747000000001</v>
      </c>
      <c r="AO247">
        <v>30.7453</v>
      </c>
      <c r="AP247">
        <v>945.27160000000003</v>
      </c>
      <c r="AQ247">
        <v>0.66857599999999995</v>
      </c>
      <c r="AR247">
        <v>0.58461200000000002</v>
      </c>
      <c r="AY247">
        <v>245</v>
      </c>
      <c r="AZ247">
        <v>244</v>
      </c>
      <c r="BA247">
        <v>4782.82</v>
      </c>
      <c r="BB247">
        <v>4752.0747000000001</v>
      </c>
      <c r="BC247">
        <v>30.7453</v>
      </c>
      <c r="BD247">
        <v>945.27160000000003</v>
      </c>
      <c r="BE247">
        <v>59536</v>
      </c>
    </row>
    <row r="248" spans="1:57" x14ac:dyDescent="0.55000000000000004">
      <c r="A248">
        <v>1776755702</v>
      </c>
      <c r="B248" t="s">
        <v>72</v>
      </c>
      <c r="C248" t="s">
        <v>73</v>
      </c>
      <c r="D248">
        <v>4783.3500000000004</v>
      </c>
      <c r="E248">
        <v>4518.5928199999998</v>
      </c>
      <c r="F248">
        <v>4596.0559499999999</v>
      </c>
      <c r="G248">
        <v>4755.40355</v>
      </c>
      <c r="H248">
        <v>4792.7697200000002</v>
      </c>
      <c r="Q248">
        <v>4751.8071200000004</v>
      </c>
      <c r="R248">
        <v>4781.1704200000004</v>
      </c>
      <c r="S248">
        <v>4807.7591899999998</v>
      </c>
      <c r="V248">
        <v>4716.8673500000004</v>
      </c>
      <c r="W248">
        <v>4683.3023599999997</v>
      </c>
      <c r="AB248">
        <v>4782.0763100000004</v>
      </c>
      <c r="AC248">
        <v>4781.8484399999998</v>
      </c>
      <c r="AD248">
        <v>1</v>
      </c>
      <c r="AK248">
        <v>246</v>
      </c>
      <c r="AL248">
        <v>245</v>
      </c>
      <c r="AM248">
        <v>4783.3500000000004</v>
      </c>
      <c r="AN248">
        <v>4751.8071</v>
      </c>
      <c r="AO248">
        <v>31.542899999999999</v>
      </c>
      <c r="AP248">
        <v>994.95330000000001</v>
      </c>
      <c r="AQ248">
        <v>0.72197100000000003</v>
      </c>
      <c r="AR248">
        <v>0.647679</v>
      </c>
      <c r="AY248">
        <v>246</v>
      </c>
      <c r="AZ248">
        <v>245</v>
      </c>
      <c r="BA248">
        <v>4783.3500000000004</v>
      </c>
      <c r="BB248">
        <v>4751.8071</v>
      </c>
      <c r="BC248">
        <v>31.542899999999999</v>
      </c>
      <c r="BD248">
        <v>994.95330000000001</v>
      </c>
      <c r="BE248">
        <v>60025</v>
      </c>
    </row>
    <row r="249" spans="1:57" x14ac:dyDescent="0.55000000000000004">
      <c r="A249">
        <v>1776756602</v>
      </c>
      <c r="B249" t="s">
        <v>72</v>
      </c>
      <c r="C249" t="s">
        <v>73</v>
      </c>
      <c r="D249">
        <v>4786.75</v>
      </c>
      <c r="E249">
        <v>4518.5928199999998</v>
      </c>
      <c r="F249">
        <v>4596.0559499999999</v>
      </c>
      <c r="G249">
        <v>4755.40355</v>
      </c>
      <c r="H249">
        <v>4792.7697200000002</v>
      </c>
      <c r="Q249">
        <v>4751.5395200000003</v>
      </c>
      <c r="R249">
        <v>4780.9028200000002</v>
      </c>
      <c r="S249">
        <v>4807.4915899999996</v>
      </c>
      <c r="V249">
        <v>4716.5997500000003</v>
      </c>
      <c r="W249">
        <v>4683.0347499999998</v>
      </c>
      <c r="AB249">
        <v>4783.2538100000002</v>
      </c>
      <c r="AC249">
        <v>4782.5511200000001</v>
      </c>
      <c r="AD249">
        <v>0</v>
      </c>
      <c r="AK249">
        <v>247</v>
      </c>
      <c r="AL249">
        <v>246</v>
      </c>
      <c r="AM249">
        <v>4786.75</v>
      </c>
      <c r="AN249">
        <v>4751.5394999999999</v>
      </c>
      <c r="AO249">
        <v>35.210500000000003</v>
      </c>
      <c r="AP249">
        <v>1239.7779</v>
      </c>
      <c r="AQ249">
        <v>1.0042260000000001</v>
      </c>
      <c r="AR249">
        <v>1.0056389999999999</v>
      </c>
      <c r="AY249">
        <v>247</v>
      </c>
      <c r="AZ249">
        <v>246</v>
      </c>
      <c r="BA249">
        <v>4786.75</v>
      </c>
      <c r="BB249">
        <v>4751.5394999999999</v>
      </c>
      <c r="BC249">
        <v>35.210500000000003</v>
      </c>
      <c r="BD249">
        <v>1239.7779</v>
      </c>
      <c r="BE249">
        <v>60516</v>
      </c>
    </row>
    <row r="250" spans="1:57" x14ac:dyDescent="0.55000000000000004">
      <c r="A250">
        <v>1776757502</v>
      </c>
      <c r="B250" t="s">
        <v>72</v>
      </c>
      <c r="C250" t="s">
        <v>73</v>
      </c>
      <c r="D250">
        <v>4785.87</v>
      </c>
      <c r="E250">
        <v>4518.5928199999998</v>
      </c>
      <c r="F250">
        <v>4596.0559499999999</v>
      </c>
      <c r="G250">
        <v>4755.40355</v>
      </c>
      <c r="H250">
        <v>4792.7697200000002</v>
      </c>
      <c r="Q250">
        <v>4751.2719200000001</v>
      </c>
      <c r="R250">
        <v>4780.6352200000001</v>
      </c>
      <c r="S250">
        <v>4807.2239900000004</v>
      </c>
      <c r="V250">
        <v>4716.3321500000002</v>
      </c>
      <c r="W250">
        <v>4682.7671499999997</v>
      </c>
      <c r="AB250">
        <v>4784.4123900000004</v>
      </c>
      <c r="AC250">
        <v>4783.4817599999997</v>
      </c>
      <c r="AD250">
        <v>0</v>
      </c>
      <c r="AK250">
        <v>248</v>
      </c>
      <c r="AL250">
        <v>247</v>
      </c>
      <c r="AM250">
        <v>4785.87</v>
      </c>
      <c r="AN250">
        <v>4751.2718999999997</v>
      </c>
      <c r="AO250">
        <v>34.598100000000002</v>
      </c>
      <c r="AP250">
        <v>1197.0271</v>
      </c>
      <c r="AQ250">
        <v>0.95273399999999997</v>
      </c>
      <c r="AR250">
        <v>0.93747999999999998</v>
      </c>
      <c r="AY250">
        <v>248</v>
      </c>
      <c r="AZ250">
        <v>247</v>
      </c>
      <c r="BA250">
        <v>4785.87</v>
      </c>
      <c r="BB250">
        <v>4751.2718999999997</v>
      </c>
      <c r="BC250">
        <v>34.598100000000002</v>
      </c>
      <c r="BD250">
        <v>1197.0271</v>
      </c>
      <c r="BE250">
        <v>61009</v>
      </c>
    </row>
    <row r="251" spans="1:57" x14ac:dyDescent="0.55000000000000004">
      <c r="A251">
        <v>1776758402</v>
      </c>
      <c r="B251" t="s">
        <v>72</v>
      </c>
      <c r="C251" t="s">
        <v>73</v>
      </c>
      <c r="D251">
        <v>4776.03</v>
      </c>
      <c r="E251">
        <v>4518.5928199999998</v>
      </c>
      <c r="F251">
        <v>4596.0559499999999</v>
      </c>
      <c r="G251">
        <v>4755.40355</v>
      </c>
      <c r="H251">
        <v>4792.7697200000002</v>
      </c>
      <c r="Q251">
        <v>4751.0043100000003</v>
      </c>
      <c r="R251">
        <v>4780.3676100000002</v>
      </c>
      <c r="S251">
        <v>4806.9563799999996</v>
      </c>
      <c r="V251">
        <v>4716.0645400000003</v>
      </c>
      <c r="W251">
        <v>4682.4995500000005</v>
      </c>
      <c r="AB251">
        <v>4785.3476099999998</v>
      </c>
      <c r="AC251">
        <v>4784.4146799999999</v>
      </c>
      <c r="AD251">
        <v>0</v>
      </c>
      <c r="AK251">
        <v>249</v>
      </c>
      <c r="AL251">
        <v>248</v>
      </c>
      <c r="AM251">
        <v>4776.03</v>
      </c>
      <c r="AN251">
        <v>4751.0042999999996</v>
      </c>
      <c r="AO251">
        <v>25.025700000000001</v>
      </c>
      <c r="AP251">
        <v>626.28520000000003</v>
      </c>
      <c r="AQ251">
        <v>0.36055700000000002</v>
      </c>
      <c r="AR251">
        <v>0.25662499999999999</v>
      </c>
      <c r="AY251">
        <v>249</v>
      </c>
      <c r="AZ251">
        <v>248</v>
      </c>
      <c r="BA251">
        <v>4776.03</v>
      </c>
      <c r="BB251">
        <v>4751.0042999999996</v>
      </c>
      <c r="BC251">
        <v>25.025700000000001</v>
      </c>
      <c r="BD251">
        <v>626.28520000000003</v>
      </c>
      <c r="BE251">
        <v>61504</v>
      </c>
    </row>
    <row r="252" spans="1:57" x14ac:dyDescent="0.55000000000000004">
      <c r="A252">
        <v>1776759302</v>
      </c>
      <c r="B252" t="s">
        <v>72</v>
      </c>
      <c r="C252" t="s">
        <v>73</v>
      </c>
      <c r="D252">
        <v>4787.2</v>
      </c>
      <c r="E252">
        <v>4518.5928199999998</v>
      </c>
      <c r="F252">
        <v>4596.0559499999999</v>
      </c>
      <c r="G252">
        <v>4755.40355</v>
      </c>
      <c r="H252">
        <v>4792.7697200000002</v>
      </c>
      <c r="Q252">
        <v>4750.7367100000001</v>
      </c>
      <c r="R252">
        <v>4780.1000100000001</v>
      </c>
      <c r="S252">
        <v>4806.6887800000004</v>
      </c>
      <c r="V252">
        <v>4715.7969400000002</v>
      </c>
      <c r="W252">
        <v>4682.2319399999997</v>
      </c>
      <c r="AB252">
        <v>4786.1254099999996</v>
      </c>
      <c r="AC252">
        <v>4785.2700500000001</v>
      </c>
      <c r="AD252">
        <v>0</v>
      </c>
      <c r="AK252">
        <v>250</v>
      </c>
      <c r="AL252">
        <v>249</v>
      </c>
      <c r="AM252">
        <v>4787.2</v>
      </c>
      <c r="AN252">
        <v>4750.7367000000004</v>
      </c>
      <c r="AO252">
        <v>36.463299999999997</v>
      </c>
      <c r="AP252">
        <v>1329.5715</v>
      </c>
      <c r="AQ252">
        <v>1.115278</v>
      </c>
      <c r="AR252">
        <v>1.156585</v>
      </c>
      <c r="AY252">
        <v>250</v>
      </c>
      <c r="AZ252">
        <v>249</v>
      </c>
      <c r="BA252">
        <v>4787.2</v>
      </c>
      <c r="BB252">
        <v>4750.7367000000004</v>
      </c>
      <c r="BC252">
        <v>36.463299999999997</v>
      </c>
      <c r="BD252">
        <v>1329.5715</v>
      </c>
      <c r="BE252">
        <v>62001</v>
      </c>
    </row>
    <row r="253" spans="1:57" x14ac:dyDescent="0.55000000000000004">
      <c r="A253">
        <v>1776760202</v>
      </c>
      <c r="B253" t="s">
        <v>72</v>
      </c>
      <c r="C253" t="s">
        <v>73</v>
      </c>
      <c r="D253">
        <v>4791.78</v>
      </c>
      <c r="E253">
        <v>4518.5928199999998</v>
      </c>
      <c r="F253">
        <v>4596.0559499999999</v>
      </c>
      <c r="G253">
        <v>4755.40355</v>
      </c>
      <c r="H253">
        <v>4792.7697200000002</v>
      </c>
      <c r="Q253">
        <v>4750.4691000000003</v>
      </c>
      <c r="R253">
        <v>4779.8324000000002</v>
      </c>
      <c r="S253">
        <v>4806.4211699999996</v>
      </c>
      <c r="V253">
        <v>4715.5293300000003</v>
      </c>
      <c r="W253">
        <v>4681.9643400000004</v>
      </c>
      <c r="AB253">
        <v>4786.33799</v>
      </c>
      <c r="AC253">
        <v>4785.8040199999996</v>
      </c>
      <c r="AD253">
        <v>0</v>
      </c>
      <c r="AK253">
        <v>251</v>
      </c>
      <c r="AL253">
        <v>250</v>
      </c>
      <c r="AM253">
        <v>4791.78</v>
      </c>
      <c r="AN253">
        <v>4750.4691000000003</v>
      </c>
      <c r="AO253">
        <v>41.310899999999997</v>
      </c>
      <c r="AP253">
        <v>1706.5905</v>
      </c>
      <c r="AQ253">
        <v>1.6218459999999999</v>
      </c>
      <c r="AR253">
        <v>1.9055169999999999</v>
      </c>
      <c r="AY253">
        <v>251</v>
      </c>
      <c r="AZ253">
        <v>250</v>
      </c>
      <c r="BA253">
        <v>4791.78</v>
      </c>
      <c r="BB253">
        <v>4750.4691000000003</v>
      </c>
      <c r="BC253">
        <v>41.310899999999997</v>
      </c>
      <c r="BD253">
        <v>1706.5905</v>
      </c>
      <c r="BE253">
        <v>62500</v>
      </c>
    </row>
    <row r="254" spans="1:57" x14ac:dyDescent="0.55000000000000004">
      <c r="A254">
        <v>1776761102</v>
      </c>
      <c r="B254" t="s">
        <v>72</v>
      </c>
      <c r="C254" t="s">
        <v>73</v>
      </c>
      <c r="D254">
        <v>4786.04</v>
      </c>
      <c r="E254">
        <v>4518.5928199999998</v>
      </c>
      <c r="F254">
        <v>4596.0559499999999</v>
      </c>
      <c r="G254">
        <v>4755.40355</v>
      </c>
      <c r="H254">
        <v>4792.7697200000002</v>
      </c>
      <c r="Q254">
        <v>4750.2015000000001</v>
      </c>
      <c r="R254">
        <v>4779.5648000000001</v>
      </c>
      <c r="S254">
        <v>4806.1535700000004</v>
      </c>
      <c r="V254">
        <v>4715.2617300000002</v>
      </c>
      <c r="W254">
        <v>4681.6967299999997</v>
      </c>
      <c r="AB254">
        <v>4785.9194100000004</v>
      </c>
      <c r="AC254">
        <v>4785.8617100000001</v>
      </c>
      <c r="AD254">
        <v>0</v>
      </c>
      <c r="AK254">
        <v>252</v>
      </c>
      <c r="AL254">
        <v>251</v>
      </c>
      <c r="AM254">
        <v>4786.04</v>
      </c>
      <c r="AN254">
        <v>4750.2015000000001</v>
      </c>
      <c r="AO254">
        <v>35.838500000000003</v>
      </c>
      <c r="AP254">
        <v>1284.3981000000001</v>
      </c>
      <c r="AQ254">
        <v>1.0589249999999999</v>
      </c>
      <c r="AR254">
        <v>1.0793280000000001</v>
      </c>
      <c r="AY254">
        <v>252</v>
      </c>
      <c r="AZ254">
        <v>251</v>
      </c>
      <c r="BA254">
        <v>4786.04</v>
      </c>
      <c r="BB254">
        <v>4750.2015000000001</v>
      </c>
      <c r="BC254">
        <v>35.838500000000003</v>
      </c>
      <c r="BD254">
        <v>1284.3981000000001</v>
      </c>
      <c r="BE254">
        <v>63001</v>
      </c>
    </row>
    <row r="255" spans="1:57" x14ac:dyDescent="0.55000000000000004">
      <c r="A255">
        <v>1776762002</v>
      </c>
      <c r="B255" t="s">
        <v>72</v>
      </c>
      <c r="C255" t="s">
        <v>73</v>
      </c>
      <c r="D255">
        <v>4784.2</v>
      </c>
      <c r="E255">
        <v>4518.5928199999998</v>
      </c>
      <c r="F255">
        <v>4596.0559499999999</v>
      </c>
      <c r="G255">
        <v>4755.40355</v>
      </c>
      <c r="H255">
        <v>4792.7697200000002</v>
      </c>
      <c r="Q255">
        <v>4749.9339</v>
      </c>
      <c r="R255">
        <v>4779.2972</v>
      </c>
      <c r="S255">
        <v>4805.8859700000003</v>
      </c>
      <c r="V255">
        <v>4714.99413</v>
      </c>
      <c r="W255">
        <v>4681.4291300000004</v>
      </c>
      <c r="AB255">
        <v>4785.1928600000001</v>
      </c>
      <c r="AC255">
        <v>4785.5272800000002</v>
      </c>
      <c r="AD255">
        <v>1</v>
      </c>
      <c r="AK255">
        <v>253</v>
      </c>
      <c r="AL255">
        <v>252</v>
      </c>
      <c r="AM255">
        <v>4784.2</v>
      </c>
      <c r="AN255">
        <v>4749.9339</v>
      </c>
      <c r="AO255">
        <v>34.266100000000002</v>
      </c>
      <c r="AP255">
        <v>1174.1656</v>
      </c>
      <c r="AQ255">
        <v>0.92557100000000003</v>
      </c>
      <c r="AR255">
        <v>0.90201299999999995</v>
      </c>
      <c r="AY255">
        <v>253</v>
      </c>
      <c r="AZ255">
        <v>252</v>
      </c>
      <c r="BA255">
        <v>4784.2</v>
      </c>
      <c r="BB255">
        <v>4749.9339</v>
      </c>
      <c r="BC255">
        <v>34.266100000000002</v>
      </c>
      <c r="BD255">
        <v>1174.1656</v>
      </c>
      <c r="BE255">
        <v>63504</v>
      </c>
    </row>
    <row r="256" spans="1:57" x14ac:dyDescent="0.55000000000000004">
      <c r="A256">
        <v>1776762902</v>
      </c>
      <c r="B256" t="s">
        <v>72</v>
      </c>
      <c r="C256" t="s">
        <v>73</v>
      </c>
      <c r="D256">
        <v>4782.1400000000003</v>
      </c>
      <c r="E256">
        <v>4518.5928199999998</v>
      </c>
      <c r="F256">
        <v>4596.0559499999999</v>
      </c>
      <c r="G256">
        <v>4755.40355</v>
      </c>
      <c r="H256">
        <v>4792.7697200000002</v>
      </c>
      <c r="Q256">
        <v>4749.6662900000001</v>
      </c>
      <c r="R256">
        <v>4779.0295900000001</v>
      </c>
      <c r="S256">
        <v>4805.6183600000004</v>
      </c>
      <c r="V256">
        <v>4714.7265200000002</v>
      </c>
      <c r="W256">
        <v>4681.1615300000003</v>
      </c>
      <c r="AB256">
        <v>4784.4454599999999</v>
      </c>
      <c r="AC256">
        <v>4784.9863699999996</v>
      </c>
      <c r="AD256">
        <v>0</v>
      </c>
      <c r="AK256">
        <v>254</v>
      </c>
      <c r="AL256">
        <v>253</v>
      </c>
      <c r="AM256">
        <v>4782.1400000000003</v>
      </c>
      <c r="AN256">
        <v>4749.6662999999999</v>
      </c>
      <c r="AO256">
        <v>32.473700000000001</v>
      </c>
      <c r="AP256">
        <v>1054.5418</v>
      </c>
      <c r="AQ256">
        <v>0.78779200000000005</v>
      </c>
      <c r="AR256">
        <v>0.72758199999999995</v>
      </c>
      <c r="AY256">
        <v>254</v>
      </c>
      <c r="AZ256">
        <v>253</v>
      </c>
      <c r="BA256">
        <v>4782.1400000000003</v>
      </c>
      <c r="BB256">
        <v>4749.6662999999999</v>
      </c>
      <c r="BC256">
        <v>32.473700000000001</v>
      </c>
      <c r="BD256">
        <v>1054.5418</v>
      </c>
      <c r="BE256">
        <v>64009</v>
      </c>
    </row>
    <row r="257" spans="1:57" x14ac:dyDescent="0.55000000000000004">
      <c r="A257">
        <v>1776763802</v>
      </c>
      <c r="B257" t="s">
        <v>72</v>
      </c>
      <c r="C257" t="s">
        <v>73</v>
      </c>
      <c r="D257">
        <v>4787.2</v>
      </c>
      <c r="E257">
        <v>4518.5928199999998</v>
      </c>
      <c r="F257">
        <v>4596.0559499999999</v>
      </c>
      <c r="G257">
        <v>4755.40355</v>
      </c>
      <c r="H257">
        <v>4792.7697200000002</v>
      </c>
      <c r="Q257">
        <v>4749.39869</v>
      </c>
      <c r="R257">
        <v>4778.76199</v>
      </c>
      <c r="S257">
        <v>4805.3507600000003</v>
      </c>
      <c r="V257">
        <v>4714.45892</v>
      </c>
      <c r="W257">
        <v>4680.8939200000004</v>
      </c>
      <c r="AB257">
        <v>4783.9782299999997</v>
      </c>
      <c r="AC257">
        <v>4784.4822999999997</v>
      </c>
      <c r="AD257">
        <v>0</v>
      </c>
      <c r="AK257">
        <v>255</v>
      </c>
      <c r="AL257">
        <v>254</v>
      </c>
      <c r="AM257">
        <v>4787.2</v>
      </c>
      <c r="AN257">
        <v>4749.3986999999997</v>
      </c>
      <c r="AO257">
        <v>37.801299999999998</v>
      </c>
      <c r="AP257">
        <v>1428.9390000000001</v>
      </c>
      <c r="AQ257">
        <v>1.2426140000000001</v>
      </c>
      <c r="AR257">
        <v>1.335923</v>
      </c>
      <c r="AY257">
        <v>255</v>
      </c>
      <c r="AZ257">
        <v>254</v>
      </c>
      <c r="BA257">
        <v>4787.2</v>
      </c>
      <c r="BB257">
        <v>4749.3986999999997</v>
      </c>
      <c r="BC257">
        <v>37.801299999999998</v>
      </c>
      <c r="BD257">
        <v>1428.9390000000001</v>
      </c>
      <c r="BE257">
        <v>64516</v>
      </c>
    </row>
    <row r="258" spans="1:57" x14ac:dyDescent="0.55000000000000004">
      <c r="A258">
        <v>1776764702</v>
      </c>
      <c r="B258" t="s">
        <v>72</v>
      </c>
      <c r="C258" t="s">
        <v>73</v>
      </c>
      <c r="D258">
        <v>4783.8</v>
      </c>
      <c r="E258">
        <v>4518.5928199999998</v>
      </c>
      <c r="F258">
        <v>4596.0559499999999</v>
      </c>
      <c r="G258">
        <v>4755.40355</v>
      </c>
      <c r="H258">
        <v>4792.7697200000002</v>
      </c>
      <c r="Q258">
        <v>4749.1310800000001</v>
      </c>
      <c r="R258">
        <v>4778.4943800000001</v>
      </c>
      <c r="S258">
        <v>4805.0831500000004</v>
      </c>
      <c r="V258">
        <v>4714.1913100000002</v>
      </c>
      <c r="W258">
        <v>4680.6263200000003</v>
      </c>
      <c r="AB258">
        <v>4783.8195400000004</v>
      </c>
      <c r="AC258">
        <v>4784.15092</v>
      </c>
      <c r="AD258">
        <v>0</v>
      </c>
      <c r="AK258">
        <v>256</v>
      </c>
      <c r="AL258">
        <v>255</v>
      </c>
      <c r="AM258">
        <v>4783.8</v>
      </c>
      <c r="AN258">
        <v>4749.1310999999996</v>
      </c>
      <c r="AO258">
        <v>34.668900000000001</v>
      </c>
      <c r="AP258">
        <v>1201.934</v>
      </c>
      <c r="AQ258">
        <v>0.95859799999999995</v>
      </c>
      <c r="AR258">
        <v>0.94518199999999997</v>
      </c>
      <c r="AY258">
        <v>256</v>
      </c>
      <c r="AZ258">
        <v>255</v>
      </c>
      <c r="BA258">
        <v>4783.8</v>
      </c>
      <c r="BB258">
        <v>4749.1310999999996</v>
      </c>
      <c r="BC258">
        <v>34.668900000000001</v>
      </c>
      <c r="BD258">
        <v>1201.934</v>
      </c>
      <c r="BE258">
        <v>65025</v>
      </c>
    </row>
    <row r="259" spans="1:57" x14ac:dyDescent="0.55000000000000004">
      <c r="A259">
        <v>1776765602</v>
      </c>
      <c r="B259" t="s">
        <v>72</v>
      </c>
      <c r="C259" t="s">
        <v>73</v>
      </c>
      <c r="D259">
        <v>4783.0200000000004</v>
      </c>
      <c r="E259">
        <v>4518.5928199999998</v>
      </c>
      <c r="F259">
        <v>4596.0559499999999</v>
      </c>
      <c r="G259">
        <v>4755.40355</v>
      </c>
      <c r="H259">
        <v>4792.7697200000002</v>
      </c>
      <c r="Q259">
        <v>4748.86348</v>
      </c>
      <c r="R259">
        <v>4778.22678</v>
      </c>
      <c r="S259">
        <v>4804.8155500000003</v>
      </c>
      <c r="V259">
        <v>4713.92371</v>
      </c>
      <c r="W259">
        <v>4680.3587100000004</v>
      </c>
      <c r="AB259">
        <v>4784.1258099999995</v>
      </c>
      <c r="AC259">
        <v>4784.1383699999997</v>
      </c>
      <c r="AD259">
        <v>0</v>
      </c>
      <c r="AK259">
        <v>257</v>
      </c>
      <c r="AL259">
        <v>256</v>
      </c>
      <c r="AM259">
        <v>4783.0200000000004</v>
      </c>
      <c r="AN259">
        <v>4748.8635000000004</v>
      </c>
      <c r="AO259">
        <v>34.156500000000001</v>
      </c>
      <c r="AP259">
        <v>1166.6678999999999</v>
      </c>
      <c r="AQ259">
        <v>0.91671899999999995</v>
      </c>
      <c r="AR259">
        <v>0.89053000000000004</v>
      </c>
      <c r="AY259">
        <v>257</v>
      </c>
      <c r="AZ259">
        <v>256</v>
      </c>
      <c r="BA259">
        <v>4783.0200000000004</v>
      </c>
      <c r="BB259">
        <v>4748.8635000000004</v>
      </c>
      <c r="BC259">
        <v>34.156500000000001</v>
      </c>
      <c r="BD259">
        <v>1166.6678999999999</v>
      </c>
      <c r="BE259">
        <v>65536</v>
      </c>
    </row>
    <row r="260" spans="1:57" x14ac:dyDescent="0.55000000000000004">
      <c r="A260">
        <v>1776766502</v>
      </c>
      <c r="B260" t="s">
        <v>72</v>
      </c>
      <c r="C260" t="s">
        <v>73</v>
      </c>
      <c r="D260">
        <v>4783.07</v>
      </c>
      <c r="E260">
        <v>4518.5928199999998</v>
      </c>
      <c r="F260">
        <v>4596.0559499999999</v>
      </c>
      <c r="G260">
        <v>4755.40355</v>
      </c>
      <c r="H260">
        <v>4792.7697200000002</v>
      </c>
      <c r="Q260">
        <v>4748.5958799999999</v>
      </c>
      <c r="R260">
        <v>4777.9591700000001</v>
      </c>
      <c r="S260">
        <v>4804.5479500000001</v>
      </c>
      <c r="V260">
        <v>4713.6561099999999</v>
      </c>
      <c r="W260">
        <v>4680.0911100000003</v>
      </c>
      <c r="AB260">
        <v>4784.8373199999996</v>
      </c>
      <c r="AC260">
        <v>4784.4878399999998</v>
      </c>
      <c r="AD260">
        <v>1</v>
      </c>
      <c r="AK260">
        <v>258</v>
      </c>
      <c r="AL260">
        <v>257</v>
      </c>
      <c r="AM260">
        <v>4783.07</v>
      </c>
      <c r="AN260">
        <v>4748.5959000000003</v>
      </c>
      <c r="AO260">
        <v>34.4741</v>
      </c>
      <c r="AP260">
        <v>1188.4648999999999</v>
      </c>
      <c r="AQ260">
        <v>0.94252999999999998</v>
      </c>
      <c r="AR260">
        <v>0.92411699999999997</v>
      </c>
      <c r="AY260">
        <v>258</v>
      </c>
      <c r="AZ260">
        <v>257</v>
      </c>
      <c r="BA260">
        <v>4783.07</v>
      </c>
      <c r="BB260">
        <v>4748.5959000000003</v>
      </c>
      <c r="BC260">
        <v>34.4741</v>
      </c>
      <c r="BD260">
        <v>1188.4648999999999</v>
      </c>
      <c r="BE260">
        <v>66049</v>
      </c>
    </row>
    <row r="261" spans="1:57" x14ac:dyDescent="0.55000000000000004">
      <c r="A261">
        <v>1776767402</v>
      </c>
      <c r="B261" t="s">
        <v>72</v>
      </c>
      <c r="C261" t="s">
        <v>73</v>
      </c>
      <c r="D261">
        <v>4786.25</v>
      </c>
      <c r="E261">
        <v>4518.5928199999998</v>
      </c>
      <c r="F261">
        <v>4596.0559499999999</v>
      </c>
      <c r="G261">
        <v>4755.40355</v>
      </c>
      <c r="H261">
        <v>4792.7697200000002</v>
      </c>
      <c r="Q261">
        <v>4748.32827</v>
      </c>
      <c r="R261">
        <v>4777.69157</v>
      </c>
      <c r="S261">
        <v>4804.2803400000003</v>
      </c>
      <c r="V261">
        <v>4713.3885</v>
      </c>
      <c r="W261">
        <v>4679.8235100000002</v>
      </c>
      <c r="AB261">
        <v>4785.8180000000002</v>
      </c>
      <c r="AC261">
        <v>4785.1529200000004</v>
      </c>
      <c r="AD261">
        <v>0</v>
      </c>
      <c r="AK261">
        <v>259</v>
      </c>
      <c r="AL261">
        <v>258</v>
      </c>
      <c r="AM261">
        <v>4786.25</v>
      </c>
      <c r="AN261">
        <v>4748.3283000000001</v>
      </c>
      <c r="AO261">
        <v>37.921700000000001</v>
      </c>
      <c r="AP261">
        <v>1438.0576000000001</v>
      </c>
      <c r="AQ261">
        <v>1.2545269999999999</v>
      </c>
      <c r="AR261">
        <v>1.3530279999999999</v>
      </c>
      <c r="AY261">
        <v>259</v>
      </c>
      <c r="AZ261">
        <v>258</v>
      </c>
      <c r="BA261">
        <v>4786.25</v>
      </c>
      <c r="BB261">
        <v>4748.3283000000001</v>
      </c>
      <c r="BC261">
        <v>37.921700000000001</v>
      </c>
      <c r="BD261">
        <v>1438.0576000000001</v>
      </c>
      <c r="BE261">
        <v>66564</v>
      </c>
    </row>
    <row r="262" spans="1:57" x14ac:dyDescent="0.55000000000000004">
      <c r="A262">
        <v>1776768302</v>
      </c>
      <c r="B262" t="s">
        <v>72</v>
      </c>
      <c r="C262" t="s">
        <v>73</v>
      </c>
      <c r="D262">
        <v>4789.79</v>
      </c>
      <c r="E262">
        <v>4518.5928199999998</v>
      </c>
      <c r="F262">
        <v>4596.0559499999999</v>
      </c>
      <c r="G262">
        <v>4755.40355</v>
      </c>
      <c r="H262">
        <v>4792.7697200000002</v>
      </c>
      <c r="Q262">
        <v>4748.0606699999998</v>
      </c>
      <c r="R262">
        <v>4777.4239699999998</v>
      </c>
      <c r="S262">
        <v>4804.0127400000001</v>
      </c>
      <c r="V262">
        <v>4713.1208999999999</v>
      </c>
      <c r="W262">
        <v>4679.5559000000003</v>
      </c>
      <c r="AB262">
        <v>4786.7973700000002</v>
      </c>
      <c r="AC262">
        <v>4785.9751500000002</v>
      </c>
      <c r="AD262">
        <v>0</v>
      </c>
      <c r="AK262">
        <v>260</v>
      </c>
      <c r="AL262">
        <v>259</v>
      </c>
      <c r="AM262">
        <v>4789.79</v>
      </c>
      <c r="AN262">
        <v>4748.0607</v>
      </c>
      <c r="AO262">
        <v>41.729300000000002</v>
      </c>
      <c r="AP262">
        <v>1741.337</v>
      </c>
      <c r="AQ262">
        <v>1.671629</v>
      </c>
      <c r="AR262">
        <v>1.9839</v>
      </c>
      <c r="AY262">
        <v>260</v>
      </c>
      <c r="AZ262">
        <v>259</v>
      </c>
      <c r="BA262">
        <v>4789.79</v>
      </c>
      <c r="BB262">
        <v>4748.0607</v>
      </c>
      <c r="BC262">
        <v>41.729300000000002</v>
      </c>
      <c r="BD262">
        <v>1741.337</v>
      </c>
      <c r="BE262">
        <v>67081</v>
      </c>
    </row>
    <row r="263" spans="1:57" x14ac:dyDescent="0.55000000000000004">
      <c r="A263">
        <v>1776769202</v>
      </c>
      <c r="B263" t="s">
        <v>72</v>
      </c>
      <c r="C263" t="s">
        <v>73</v>
      </c>
      <c r="D263">
        <v>4781.7700000000004</v>
      </c>
      <c r="E263">
        <v>4518.5928199999998</v>
      </c>
      <c r="F263">
        <v>4596.0559499999999</v>
      </c>
      <c r="G263">
        <v>4755.40355</v>
      </c>
      <c r="H263">
        <v>4792.7697200000002</v>
      </c>
      <c r="Q263">
        <v>4747.79306</v>
      </c>
      <c r="R263">
        <v>4777.1563599999999</v>
      </c>
      <c r="S263">
        <v>4803.7451300000002</v>
      </c>
      <c r="V263">
        <v>4712.85329</v>
      </c>
      <c r="W263">
        <v>4679.2883000000002</v>
      </c>
      <c r="AB263">
        <v>4787.4863999999998</v>
      </c>
      <c r="AC263">
        <v>4786.7307700000001</v>
      </c>
      <c r="AD263">
        <v>0</v>
      </c>
      <c r="AK263">
        <v>261</v>
      </c>
      <c r="AL263">
        <v>260</v>
      </c>
      <c r="AM263">
        <v>4781.7700000000004</v>
      </c>
      <c r="AN263">
        <v>4747.7930999999999</v>
      </c>
      <c r="AO263">
        <v>33.976900000000001</v>
      </c>
      <c r="AP263">
        <v>1154.4324999999999</v>
      </c>
      <c r="AQ263">
        <v>0.90233600000000003</v>
      </c>
      <c r="AR263">
        <v>0.87194899999999997</v>
      </c>
      <c r="AY263">
        <v>261</v>
      </c>
      <c r="AZ263">
        <v>260</v>
      </c>
      <c r="BA263">
        <v>4781.7700000000004</v>
      </c>
      <c r="BB263">
        <v>4747.7930999999999</v>
      </c>
      <c r="BC263">
        <v>33.976900000000001</v>
      </c>
      <c r="BD263">
        <v>1154.4324999999999</v>
      </c>
      <c r="BE263">
        <v>67600</v>
      </c>
    </row>
    <row r="264" spans="1:57" x14ac:dyDescent="0.55000000000000004">
      <c r="A264">
        <v>1776770102</v>
      </c>
      <c r="B264" t="s">
        <v>72</v>
      </c>
      <c r="C264" t="s">
        <v>73</v>
      </c>
      <c r="D264">
        <v>4783.57</v>
      </c>
      <c r="E264">
        <v>4518.5928199999998</v>
      </c>
      <c r="F264">
        <v>4596.0559499999999</v>
      </c>
      <c r="G264">
        <v>4755.40355</v>
      </c>
      <c r="H264">
        <v>4792.7697200000002</v>
      </c>
      <c r="Q264">
        <v>4747.5254599999998</v>
      </c>
      <c r="R264">
        <v>4776.8887599999998</v>
      </c>
      <c r="S264">
        <v>4803.4775300000001</v>
      </c>
      <c r="V264">
        <v>4712.5856899999999</v>
      </c>
      <c r="W264">
        <v>4679.0206900000003</v>
      </c>
      <c r="AB264">
        <v>4787.9256299999997</v>
      </c>
      <c r="AC264">
        <v>4787.3281999999999</v>
      </c>
      <c r="AD264">
        <v>0</v>
      </c>
      <c r="AK264">
        <v>262</v>
      </c>
      <c r="AL264">
        <v>261</v>
      </c>
      <c r="AM264">
        <v>4783.57</v>
      </c>
      <c r="AN264">
        <v>4747.5254999999997</v>
      </c>
      <c r="AO264">
        <v>36.044499999999999</v>
      </c>
      <c r="AP264">
        <v>1299.2089000000001</v>
      </c>
      <c r="AQ264">
        <v>1.077294</v>
      </c>
      <c r="AR264">
        <v>1.1043639999999999</v>
      </c>
      <c r="AY264">
        <v>262</v>
      </c>
      <c r="AZ264">
        <v>261</v>
      </c>
      <c r="BA264">
        <v>4783.57</v>
      </c>
      <c r="BB264">
        <v>4747.5254999999997</v>
      </c>
      <c r="BC264">
        <v>36.044499999999999</v>
      </c>
      <c r="BD264">
        <v>1299.2089000000001</v>
      </c>
      <c r="BE264">
        <v>68121</v>
      </c>
    </row>
    <row r="265" spans="1:57" x14ac:dyDescent="0.55000000000000004">
      <c r="A265">
        <v>1776771002</v>
      </c>
      <c r="B265" t="s">
        <v>72</v>
      </c>
      <c r="C265" t="s">
        <v>73</v>
      </c>
      <c r="D265">
        <v>4793.1000000000004</v>
      </c>
      <c r="E265">
        <v>4518.5928199999998</v>
      </c>
      <c r="F265">
        <v>4596.0559499999999</v>
      </c>
      <c r="G265">
        <v>4755.40355</v>
      </c>
      <c r="H265">
        <v>4792.7697200000002</v>
      </c>
      <c r="Q265">
        <v>4747.2578599999997</v>
      </c>
      <c r="R265">
        <v>4776.6211499999999</v>
      </c>
      <c r="S265">
        <v>4803.20993</v>
      </c>
      <c r="V265">
        <v>4712.3180899999998</v>
      </c>
      <c r="W265">
        <v>4678.7530900000002</v>
      </c>
      <c r="AB265">
        <v>4787.9301800000003</v>
      </c>
      <c r="AC265">
        <v>4787.6291899999997</v>
      </c>
      <c r="AD265">
        <v>0</v>
      </c>
      <c r="AK265">
        <v>263</v>
      </c>
      <c r="AL265">
        <v>262</v>
      </c>
      <c r="AM265">
        <v>4793.1000000000004</v>
      </c>
      <c r="AN265">
        <v>4747.2578999999996</v>
      </c>
      <c r="AO265">
        <v>45.842100000000002</v>
      </c>
      <c r="AP265">
        <v>2101.5018</v>
      </c>
      <c r="AQ265">
        <v>2.2162069999999998</v>
      </c>
      <c r="AR265">
        <v>2.88944</v>
      </c>
      <c r="AY265">
        <v>263</v>
      </c>
      <c r="AZ265">
        <v>262</v>
      </c>
      <c r="BA265">
        <v>4793.1000000000004</v>
      </c>
      <c r="BB265">
        <v>4747.2578999999996</v>
      </c>
      <c r="BC265">
        <v>45.842100000000002</v>
      </c>
      <c r="BD265">
        <v>2101.5018</v>
      </c>
      <c r="BE265">
        <v>68644</v>
      </c>
    </row>
    <row r="266" spans="1:57" x14ac:dyDescent="0.55000000000000004">
      <c r="A266">
        <v>1776771902</v>
      </c>
      <c r="B266" t="s">
        <v>72</v>
      </c>
      <c r="C266" t="s">
        <v>73</v>
      </c>
      <c r="D266">
        <v>4794.6099999999997</v>
      </c>
      <c r="E266">
        <v>4518.5928199999998</v>
      </c>
      <c r="F266">
        <v>4596.0559499999999</v>
      </c>
      <c r="G266">
        <v>4755.40355</v>
      </c>
      <c r="H266">
        <v>4792.7697200000002</v>
      </c>
      <c r="Q266">
        <v>4746.9902499999998</v>
      </c>
      <c r="R266">
        <v>4776.3535499999998</v>
      </c>
      <c r="S266">
        <v>4802.9423200000001</v>
      </c>
      <c r="V266">
        <v>4712.0504799999999</v>
      </c>
      <c r="W266">
        <v>4678.4854800000003</v>
      </c>
      <c r="Z266">
        <v>4797.91</v>
      </c>
      <c r="AB266">
        <v>4787.2112399999996</v>
      </c>
      <c r="AC266">
        <v>4787.42022</v>
      </c>
      <c r="AD266">
        <v>1</v>
      </c>
      <c r="AK266">
        <v>264</v>
      </c>
      <c r="AL266">
        <v>263</v>
      </c>
      <c r="AM266">
        <v>4794.6099999999997</v>
      </c>
      <c r="AN266">
        <v>4746.9902000000002</v>
      </c>
      <c r="AO266">
        <v>47.619700000000002</v>
      </c>
      <c r="AP266">
        <v>2267.6406000000002</v>
      </c>
      <c r="AQ266">
        <v>2.4841449999999998</v>
      </c>
      <c r="AR266">
        <v>3.3643610000000002</v>
      </c>
      <c r="AY266">
        <v>264</v>
      </c>
      <c r="AZ266">
        <v>263</v>
      </c>
      <c r="BA266">
        <v>4794.6099999999997</v>
      </c>
      <c r="BB266">
        <v>4746.9902000000002</v>
      </c>
      <c r="BC266">
        <v>47.619700000000002</v>
      </c>
      <c r="BD266">
        <v>2267.6406000000002</v>
      </c>
      <c r="BE266">
        <v>69169</v>
      </c>
    </row>
    <row r="267" spans="1:57" x14ac:dyDescent="0.55000000000000004">
      <c r="A267">
        <v>1776772802</v>
      </c>
      <c r="B267" t="s">
        <v>72</v>
      </c>
      <c r="C267" t="s">
        <v>73</v>
      </c>
      <c r="D267">
        <v>4791.0600000000004</v>
      </c>
      <c r="E267">
        <v>4518.5928199999998</v>
      </c>
      <c r="F267">
        <v>4596.0559499999999</v>
      </c>
      <c r="G267">
        <v>4755.40355</v>
      </c>
      <c r="H267">
        <v>4792.7697200000002</v>
      </c>
      <c r="Q267">
        <v>4746.7226499999997</v>
      </c>
      <c r="R267">
        <v>4776.0859499999997</v>
      </c>
      <c r="S267">
        <v>4802.67472</v>
      </c>
      <c r="V267">
        <v>4711.7828799999997</v>
      </c>
      <c r="W267">
        <v>4678.2178800000002</v>
      </c>
      <c r="AB267">
        <v>4785.8021200000003</v>
      </c>
      <c r="AC267">
        <v>4786.6111700000001</v>
      </c>
      <c r="AD267">
        <v>0</v>
      </c>
      <c r="AK267">
        <v>265</v>
      </c>
      <c r="AL267">
        <v>264</v>
      </c>
      <c r="AM267">
        <v>4791.0600000000004</v>
      </c>
      <c r="AN267">
        <v>4746.7226000000001</v>
      </c>
      <c r="AO267">
        <v>44.337400000000002</v>
      </c>
      <c r="AP267">
        <v>1965.8006</v>
      </c>
      <c r="AQ267">
        <v>2.0050479999999999</v>
      </c>
      <c r="AR267">
        <v>2.5283259999999999</v>
      </c>
      <c r="AY267">
        <v>265</v>
      </c>
      <c r="AZ267">
        <v>264</v>
      </c>
      <c r="BA267">
        <v>4791.0600000000004</v>
      </c>
      <c r="BB267">
        <v>4746.7226000000001</v>
      </c>
      <c r="BC267">
        <v>44.337400000000002</v>
      </c>
      <c r="BD267">
        <v>1965.8006</v>
      </c>
      <c r="BE267">
        <v>69696</v>
      </c>
    </row>
    <row r="268" spans="1:57" x14ac:dyDescent="0.55000000000000004">
      <c r="A268">
        <v>1776773702</v>
      </c>
      <c r="B268" t="s">
        <v>72</v>
      </c>
      <c r="C268" t="s">
        <v>73</v>
      </c>
      <c r="D268">
        <v>4780.6099999999997</v>
      </c>
      <c r="E268">
        <v>4518.5928199999998</v>
      </c>
      <c r="F268">
        <v>4596.0559499999999</v>
      </c>
      <c r="G268">
        <v>4755.40355</v>
      </c>
      <c r="H268">
        <v>4792.7697200000002</v>
      </c>
      <c r="Q268">
        <v>4746.4550399999998</v>
      </c>
      <c r="R268">
        <v>4775.8183399999998</v>
      </c>
      <c r="S268">
        <v>4802.4071100000001</v>
      </c>
      <c r="V268">
        <v>4711.5152699999999</v>
      </c>
      <c r="W268">
        <v>4677.95028</v>
      </c>
      <c r="AB268">
        <v>4784.0365599999996</v>
      </c>
      <c r="AC268">
        <v>4785.3238700000002</v>
      </c>
      <c r="AD268">
        <v>0</v>
      </c>
      <c r="AK268">
        <v>266</v>
      </c>
      <c r="AL268">
        <v>265</v>
      </c>
      <c r="AM268">
        <v>4780.6099999999997</v>
      </c>
      <c r="AN268">
        <v>4746.4549999999999</v>
      </c>
      <c r="AO268">
        <v>34.155000000000001</v>
      </c>
      <c r="AP268">
        <v>1166.5613000000001</v>
      </c>
      <c r="AQ268">
        <v>0.91659400000000002</v>
      </c>
      <c r="AR268">
        <v>0.89036700000000002</v>
      </c>
      <c r="AY268">
        <v>266</v>
      </c>
      <c r="AZ268">
        <v>265</v>
      </c>
      <c r="BA268">
        <v>4780.6099999999997</v>
      </c>
      <c r="BB268">
        <v>4746.4549999999999</v>
      </c>
      <c r="BC268">
        <v>34.155000000000001</v>
      </c>
      <c r="BD268">
        <v>1166.5613000000001</v>
      </c>
      <c r="BE268">
        <v>70225</v>
      </c>
    </row>
    <row r="269" spans="1:57" x14ac:dyDescent="0.55000000000000004">
      <c r="A269">
        <v>1776774602</v>
      </c>
      <c r="B269" t="s">
        <v>72</v>
      </c>
      <c r="C269" t="s">
        <v>73</v>
      </c>
      <c r="D269">
        <v>4778.8900000000003</v>
      </c>
      <c r="E269">
        <v>4518.5928199999998</v>
      </c>
      <c r="F269">
        <v>4596.0559499999999</v>
      </c>
      <c r="G269">
        <v>4755.40355</v>
      </c>
      <c r="H269">
        <v>4792.7697200000002</v>
      </c>
      <c r="Q269">
        <v>4746.1874399999997</v>
      </c>
      <c r="R269">
        <v>4775.5507399999997</v>
      </c>
      <c r="S269">
        <v>4802.13951</v>
      </c>
      <c r="V269">
        <v>4711.2476699999997</v>
      </c>
      <c r="W269">
        <v>4677.6826700000001</v>
      </c>
      <c r="AB269">
        <v>4782.33943</v>
      </c>
      <c r="AC269">
        <v>4783.8316500000001</v>
      </c>
      <c r="AD269">
        <v>0</v>
      </c>
      <c r="AK269">
        <v>267</v>
      </c>
      <c r="AL269">
        <v>266</v>
      </c>
      <c r="AM269">
        <v>4778.8900000000003</v>
      </c>
      <c r="AN269">
        <v>4746.1873999999998</v>
      </c>
      <c r="AO269">
        <v>32.702599999999997</v>
      </c>
      <c r="AP269">
        <v>1069.4574</v>
      </c>
      <c r="AQ269">
        <v>0.80456399999999995</v>
      </c>
      <c r="AR269">
        <v>0.748309</v>
      </c>
      <c r="AY269">
        <v>267</v>
      </c>
      <c r="AZ269">
        <v>266</v>
      </c>
      <c r="BA269">
        <v>4778.8900000000003</v>
      </c>
      <c r="BB269">
        <v>4746.1873999999998</v>
      </c>
      <c r="BC269">
        <v>32.702599999999997</v>
      </c>
      <c r="BD269">
        <v>1069.4574</v>
      </c>
      <c r="BE269">
        <v>70756</v>
      </c>
    </row>
    <row r="270" spans="1:57" x14ac:dyDescent="0.55000000000000004">
      <c r="A270">
        <v>1776775502</v>
      </c>
      <c r="B270" t="s">
        <v>72</v>
      </c>
      <c r="C270" t="s">
        <v>73</v>
      </c>
      <c r="D270">
        <v>4778.78</v>
      </c>
      <c r="E270">
        <v>4518.5928199999998</v>
      </c>
      <c r="F270">
        <v>4596.0559499999999</v>
      </c>
      <c r="G270">
        <v>4755.40355</v>
      </c>
      <c r="H270">
        <v>4792.7697200000002</v>
      </c>
      <c r="Q270">
        <v>4745.9198399999996</v>
      </c>
      <c r="R270">
        <v>4775.2831299999998</v>
      </c>
      <c r="S270">
        <v>4801.8719000000001</v>
      </c>
      <c r="V270">
        <v>4710.9800599999999</v>
      </c>
      <c r="W270">
        <v>4677.41507</v>
      </c>
      <c r="AB270">
        <v>4780.7743700000001</v>
      </c>
      <c r="AC270">
        <v>4782.3030099999996</v>
      </c>
      <c r="AD270">
        <v>0</v>
      </c>
      <c r="AK270">
        <v>268</v>
      </c>
      <c r="AL270">
        <v>267</v>
      </c>
      <c r="AM270">
        <v>4778.78</v>
      </c>
      <c r="AN270">
        <v>4745.9197999999997</v>
      </c>
      <c r="AO270">
        <v>32.860199999999999</v>
      </c>
      <c r="AP270">
        <v>1079.7900999999999</v>
      </c>
      <c r="AQ270">
        <v>0.81625300000000001</v>
      </c>
      <c r="AR270">
        <v>0.76283900000000004</v>
      </c>
      <c r="AY270">
        <v>268</v>
      </c>
      <c r="AZ270">
        <v>267</v>
      </c>
      <c r="BA270">
        <v>4778.78</v>
      </c>
      <c r="BB270">
        <v>4745.9197999999997</v>
      </c>
      <c r="BC270">
        <v>32.860199999999999</v>
      </c>
      <c r="BD270">
        <v>1079.7900999999999</v>
      </c>
      <c r="BE270">
        <v>71289</v>
      </c>
    </row>
    <row r="271" spans="1:57" x14ac:dyDescent="0.55000000000000004">
      <c r="A271">
        <v>1776776402</v>
      </c>
      <c r="B271" t="s">
        <v>72</v>
      </c>
      <c r="C271" t="s">
        <v>73</v>
      </c>
      <c r="D271">
        <v>4765.33</v>
      </c>
      <c r="E271">
        <v>4518.5928199999998</v>
      </c>
      <c r="F271">
        <v>4596.0559499999999</v>
      </c>
      <c r="G271">
        <v>4755.40355</v>
      </c>
      <c r="H271">
        <v>4792.7697200000002</v>
      </c>
      <c r="Q271">
        <v>4745.6522299999997</v>
      </c>
      <c r="R271">
        <v>4775.0155299999997</v>
      </c>
      <c r="S271">
        <v>4801.6043</v>
      </c>
      <c r="V271">
        <v>4710.7124599999997</v>
      </c>
      <c r="W271">
        <v>4677.1474600000001</v>
      </c>
      <c r="AB271">
        <v>4779.2534699999997</v>
      </c>
      <c r="AC271">
        <v>4780.7782399999996</v>
      </c>
      <c r="AD271">
        <v>0</v>
      </c>
      <c r="AK271">
        <v>269</v>
      </c>
      <c r="AL271">
        <v>268</v>
      </c>
      <c r="AM271">
        <v>4765.33</v>
      </c>
      <c r="AN271">
        <v>4745.6522000000004</v>
      </c>
      <c r="AO271">
        <v>19.677800000000001</v>
      </c>
      <c r="AP271">
        <v>387.21460000000002</v>
      </c>
      <c r="AQ271">
        <v>0.175284</v>
      </c>
      <c r="AR271">
        <v>9.8097000000000004E-2</v>
      </c>
      <c r="AY271">
        <v>269</v>
      </c>
      <c r="AZ271">
        <v>268</v>
      </c>
      <c r="BA271">
        <v>4765.33</v>
      </c>
      <c r="BB271">
        <v>4745.6522000000004</v>
      </c>
      <c r="BC271">
        <v>19.677800000000001</v>
      </c>
      <c r="BD271">
        <v>387.21460000000002</v>
      </c>
      <c r="BE271">
        <v>71824</v>
      </c>
    </row>
    <row r="272" spans="1:57" x14ac:dyDescent="0.55000000000000004">
      <c r="A272">
        <v>1776777302</v>
      </c>
      <c r="B272" t="s">
        <v>72</v>
      </c>
      <c r="C272" t="s">
        <v>73</v>
      </c>
      <c r="D272">
        <v>4774.96</v>
      </c>
      <c r="E272">
        <v>4518.5928199999998</v>
      </c>
      <c r="F272">
        <v>4596.0559499999999</v>
      </c>
      <c r="G272">
        <v>4755.40355</v>
      </c>
      <c r="H272">
        <v>4792.7697200000002</v>
      </c>
      <c r="Q272">
        <v>4745.3846299999996</v>
      </c>
      <c r="R272">
        <v>4774.7479300000005</v>
      </c>
      <c r="S272">
        <v>4801.3366999999998</v>
      </c>
      <c r="V272">
        <v>4710.4448599999996</v>
      </c>
      <c r="W272">
        <v>4676.87986</v>
      </c>
      <c r="AB272">
        <v>4777.9153999999999</v>
      </c>
      <c r="AC272">
        <v>4779.3468199999998</v>
      </c>
      <c r="AD272">
        <v>0</v>
      </c>
      <c r="AK272">
        <v>270</v>
      </c>
      <c r="AL272">
        <v>269</v>
      </c>
      <c r="AM272">
        <v>4774.96</v>
      </c>
      <c r="AN272">
        <v>4745.3846000000003</v>
      </c>
      <c r="AO272">
        <v>29.575399999999998</v>
      </c>
      <c r="AP272">
        <v>874.70249999999999</v>
      </c>
      <c r="AQ272">
        <v>0.59512200000000004</v>
      </c>
      <c r="AR272">
        <v>0.50058199999999997</v>
      </c>
      <c r="AY272">
        <v>270</v>
      </c>
      <c r="AZ272">
        <v>269</v>
      </c>
      <c r="BA272">
        <v>4774.96</v>
      </c>
      <c r="BB272">
        <v>4745.3846000000003</v>
      </c>
      <c r="BC272">
        <v>29.575399999999998</v>
      </c>
      <c r="BD272">
        <v>874.70249999999999</v>
      </c>
      <c r="BE272">
        <v>72361</v>
      </c>
    </row>
    <row r="273" spans="1:57" x14ac:dyDescent="0.55000000000000004">
      <c r="A273">
        <v>1776778202</v>
      </c>
      <c r="B273" t="s">
        <v>72</v>
      </c>
      <c r="C273" t="s">
        <v>73</v>
      </c>
      <c r="D273">
        <v>4789.04</v>
      </c>
      <c r="E273">
        <v>4518.5928199999998</v>
      </c>
      <c r="F273">
        <v>4596.0559499999999</v>
      </c>
      <c r="G273">
        <v>4755.40355</v>
      </c>
      <c r="H273">
        <v>4792.7697200000002</v>
      </c>
      <c r="Q273">
        <v>4745.1170199999997</v>
      </c>
      <c r="R273">
        <v>4774.4803199999997</v>
      </c>
      <c r="S273">
        <v>4801.06909</v>
      </c>
      <c r="V273">
        <v>4710.1772499999997</v>
      </c>
      <c r="W273">
        <v>4676.6122599999999</v>
      </c>
      <c r="AB273">
        <v>4776.2012999999997</v>
      </c>
      <c r="AC273">
        <v>4777.7740599999997</v>
      </c>
      <c r="AD273">
        <v>0</v>
      </c>
      <c r="AK273">
        <v>271</v>
      </c>
      <c r="AL273">
        <v>270</v>
      </c>
      <c r="AM273">
        <v>4789.04</v>
      </c>
      <c r="AN273">
        <v>4745.1170000000002</v>
      </c>
      <c r="AO273">
        <v>43.923000000000002</v>
      </c>
      <c r="AP273">
        <v>1929.2282</v>
      </c>
      <c r="AQ273">
        <v>1.9493549999999999</v>
      </c>
      <c r="AR273">
        <v>2.4351250000000002</v>
      </c>
      <c r="AY273">
        <v>271</v>
      </c>
      <c r="AZ273">
        <v>270</v>
      </c>
      <c r="BA273">
        <v>4789.04</v>
      </c>
      <c r="BB273">
        <v>4745.1170000000002</v>
      </c>
      <c r="BC273">
        <v>43.923000000000002</v>
      </c>
      <c r="BD273">
        <v>1929.2282</v>
      </c>
      <c r="BE273">
        <v>72900</v>
      </c>
    </row>
    <row r="274" spans="1:57" x14ac:dyDescent="0.55000000000000004">
      <c r="A274">
        <v>1776779102</v>
      </c>
      <c r="B274" t="s">
        <v>72</v>
      </c>
      <c r="C274" t="s">
        <v>73</v>
      </c>
      <c r="D274">
        <v>4779.16</v>
      </c>
      <c r="E274">
        <v>4518.5928199999998</v>
      </c>
      <c r="F274">
        <v>4596.0559499999999</v>
      </c>
      <c r="G274">
        <v>4755.40355</v>
      </c>
      <c r="H274">
        <v>4792.7697200000002</v>
      </c>
      <c r="Q274">
        <v>4744.8494199999996</v>
      </c>
      <c r="R274">
        <v>4774.2127200000004</v>
      </c>
      <c r="S274">
        <v>4800.8014899999998</v>
      </c>
      <c r="V274">
        <v>4709.9096499999996</v>
      </c>
      <c r="W274">
        <v>4676.34465</v>
      </c>
      <c r="AB274">
        <v>4773.42706</v>
      </c>
      <c r="AC274">
        <v>4775.6005599999999</v>
      </c>
      <c r="AD274">
        <v>0</v>
      </c>
      <c r="AK274">
        <v>272</v>
      </c>
      <c r="AL274">
        <v>271</v>
      </c>
      <c r="AM274">
        <v>4779.16</v>
      </c>
      <c r="AN274">
        <v>4744.8494000000001</v>
      </c>
      <c r="AO274">
        <v>34.310600000000001</v>
      </c>
      <c r="AP274">
        <v>1177.2158999999999</v>
      </c>
      <c r="AQ274">
        <v>0.92918000000000001</v>
      </c>
      <c r="AR274">
        <v>0.90670600000000001</v>
      </c>
      <c r="AY274">
        <v>272</v>
      </c>
      <c r="AZ274">
        <v>271</v>
      </c>
      <c r="BA274">
        <v>4779.16</v>
      </c>
      <c r="BB274">
        <v>4744.8494000000001</v>
      </c>
      <c r="BC274">
        <v>34.310600000000001</v>
      </c>
      <c r="BD274">
        <v>1177.2158999999999</v>
      </c>
      <c r="BE274">
        <v>73441</v>
      </c>
    </row>
    <row r="275" spans="1:57" x14ac:dyDescent="0.55000000000000004">
      <c r="A275">
        <v>1776780002</v>
      </c>
      <c r="B275" t="s">
        <v>72</v>
      </c>
      <c r="C275" t="s">
        <v>73</v>
      </c>
      <c r="D275">
        <v>4778.53</v>
      </c>
      <c r="E275">
        <v>4518.5928199999998</v>
      </c>
      <c r="F275">
        <v>4596.0559499999999</v>
      </c>
      <c r="G275">
        <v>4755.40355</v>
      </c>
      <c r="H275">
        <v>4792.7697200000002</v>
      </c>
      <c r="Q275">
        <v>4744.5818099999997</v>
      </c>
      <c r="R275">
        <v>4773.9451099999997</v>
      </c>
      <c r="S275">
        <v>4800.53388</v>
      </c>
      <c r="V275">
        <v>4709.6420399999997</v>
      </c>
      <c r="W275">
        <v>4676.0770499999999</v>
      </c>
      <c r="AB275">
        <v>4769.6983899999996</v>
      </c>
      <c r="AC275">
        <v>4772.64948</v>
      </c>
      <c r="AD275">
        <v>0</v>
      </c>
      <c r="AK275">
        <v>273</v>
      </c>
      <c r="AL275">
        <v>272</v>
      </c>
      <c r="AM275">
        <v>4778.53</v>
      </c>
      <c r="AN275">
        <v>4744.5817999999999</v>
      </c>
      <c r="AO275">
        <v>33.9482</v>
      </c>
      <c r="AP275">
        <v>1152.4795999999999</v>
      </c>
      <c r="AQ275">
        <v>0.90004799999999996</v>
      </c>
      <c r="AR275">
        <v>0.86900200000000005</v>
      </c>
      <c r="AY275">
        <v>273</v>
      </c>
      <c r="AZ275">
        <v>272</v>
      </c>
      <c r="BA275">
        <v>4778.53</v>
      </c>
      <c r="BB275">
        <v>4744.5817999999999</v>
      </c>
      <c r="BC275">
        <v>33.9482</v>
      </c>
      <c r="BD275">
        <v>1152.4795999999999</v>
      </c>
      <c r="BE275">
        <v>73984</v>
      </c>
    </row>
    <row r="276" spans="1:57" x14ac:dyDescent="0.55000000000000004">
      <c r="A276">
        <v>1776780902</v>
      </c>
      <c r="B276" t="s">
        <v>72</v>
      </c>
      <c r="C276" t="s">
        <v>73</v>
      </c>
      <c r="D276">
        <v>4774.24</v>
      </c>
      <c r="E276">
        <v>4518.5928199999998</v>
      </c>
      <c r="F276">
        <v>4596.0559499999999</v>
      </c>
      <c r="G276">
        <v>4755.40355</v>
      </c>
      <c r="H276">
        <v>4792.7697200000002</v>
      </c>
      <c r="Q276">
        <v>4744.3142099999995</v>
      </c>
      <c r="R276">
        <v>4773.6775100000004</v>
      </c>
      <c r="S276">
        <v>4800.2662799999998</v>
      </c>
      <c r="V276">
        <v>4709.3744399999996</v>
      </c>
      <c r="W276">
        <v>4675.80944</v>
      </c>
      <c r="AB276">
        <v>4764.9908999999998</v>
      </c>
      <c r="AC276">
        <v>4768.8201900000004</v>
      </c>
      <c r="AD276">
        <v>0</v>
      </c>
      <c r="AK276">
        <v>274</v>
      </c>
      <c r="AL276">
        <v>273</v>
      </c>
      <c r="AM276">
        <v>4774.24</v>
      </c>
      <c r="AN276">
        <v>4744.3141999999998</v>
      </c>
      <c r="AO276">
        <v>29.925799999999999</v>
      </c>
      <c r="AP276">
        <v>895.55290000000002</v>
      </c>
      <c r="AQ276">
        <v>0.61652799999999996</v>
      </c>
      <c r="AR276">
        <v>0.52473099999999995</v>
      </c>
      <c r="AY276">
        <v>274</v>
      </c>
      <c r="AZ276">
        <v>273</v>
      </c>
      <c r="BA276">
        <v>4774.24</v>
      </c>
      <c r="BB276">
        <v>4744.3141999999998</v>
      </c>
      <c r="BC276">
        <v>29.925799999999999</v>
      </c>
      <c r="BD276">
        <v>895.55290000000002</v>
      </c>
      <c r="BE276">
        <v>74529</v>
      </c>
    </row>
    <row r="277" spans="1:57" x14ac:dyDescent="0.55000000000000004">
      <c r="A277">
        <v>1776781802</v>
      </c>
      <c r="B277" t="s">
        <v>72</v>
      </c>
      <c r="C277" t="s">
        <v>73</v>
      </c>
      <c r="D277">
        <v>4744.7</v>
      </c>
      <c r="E277">
        <v>4518.5928199999998</v>
      </c>
      <c r="F277">
        <v>4596.0559499999999</v>
      </c>
      <c r="G277">
        <v>4755.40355</v>
      </c>
      <c r="H277">
        <v>4792.7697200000002</v>
      </c>
      <c r="Q277">
        <v>4744.0466100000003</v>
      </c>
      <c r="R277">
        <v>4773.4099100000003</v>
      </c>
      <c r="S277">
        <v>4799.9986799999997</v>
      </c>
      <c r="V277">
        <v>4709.1068400000004</v>
      </c>
      <c r="W277">
        <v>4675.5418399999999</v>
      </c>
      <c r="AB277">
        <v>4759.4978300000002</v>
      </c>
      <c r="AC277">
        <v>4764.1590100000003</v>
      </c>
      <c r="AD277">
        <v>0</v>
      </c>
      <c r="AK277">
        <v>275</v>
      </c>
      <c r="AL277">
        <v>274</v>
      </c>
      <c r="AM277">
        <v>4744.7</v>
      </c>
      <c r="AN277">
        <v>4744.0465999999997</v>
      </c>
      <c r="AO277">
        <v>0.65339999999999998</v>
      </c>
      <c r="AP277">
        <v>0.4269</v>
      </c>
      <c r="AQ277">
        <v>6.0000000000000002E-6</v>
      </c>
      <c r="AR277">
        <v>0</v>
      </c>
      <c r="AY277">
        <v>275</v>
      </c>
      <c r="AZ277">
        <v>274</v>
      </c>
      <c r="BA277">
        <v>4744.7</v>
      </c>
      <c r="BB277">
        <v>4744.0465999999997</v>
      </c>
      <c r="BC277">
        <v>0.65339999999999998</v>
      </c>
      <c r="BD277">
        <v>0.4269</v>
      </c>
      <c r="BE277">
        <v>75076</v>
      </c>
    </row>
    <row r="278" spans="1:57" x14ac:dyDescent="0.55000000000000004">
      <c r="A278">
        <v>1776782702</v>
      </c>
      <c r="B278" t="s">
        <v>72</v>
      </c>
      <c r="C278" t="s">
        <v>73</v>
      </c>
      <c r="D278">
        <v>4738.97</v>
      </c>
      <c r="E278">
        <v>4518.5928199999998</v>
      </c>
      <c r="F278">
        <v>4596.0559499999999</v>
      </c>
      <c r="G278">
        <v>4755.40355</v>
      </c>
      <c r="H278">
        <v>4792.7697200000002</v>
      </c>
      <c r="Q278">
        <v>4743.7790000000005</v>
      </c>
      <c r="R278">
        <v>4773.1423000000004</v>
      </c>
      <c r="S278">
        <v>4799.7310699999998</v>
      </c>
      <c r="V278">
        <v>4708.8392299999996</v>
      </c>
      <c r="W278">
        <v>4675.2742399999997</v>
      </c>
      <c r="AB278">
        <v>4754.1285500000004</v>
      </c>
      <c r="AC278">
        <v>4759.1437800000003</v>
      </c>
      <c r="AD278">
        <v>0</v>
      </c>
      <c r="AK278">
        <v>276</v>
      </c>
      <c r="AL278">
        <v>275</v>
      </c>
      <c r="AM278">
        <v>4738.97</v>
      </c>
      <c r="AN278">
        <v>4743.7790000000005</v>
      </c>
      <c r="AO278">
        <v>-4.8090000000000002</v>
      </c>
      <c r="AP278">
        <v>23.1265</v>
      </c>
      <c r="AQ278">
        <v>-2.5579999999999999E-3</v>
      </c>
      <c r="AR278">
        <v>3.5E-4</v>
      </c>
      <c r="AY278">
        <v>276</v>
      </c>
      <c r="AZ278">
        <v>275</v>
      </c>
      <c r="BA278">
        <v>4738.97</v>
      </c>
      <c r="BB278">
        <v>4743.7790000000005</v>
      </c>
      <c r="BC278">
        <v>-4.8090000000000002</v>
      </c>
      <c r="BD278">
        <v>23.1265</v>
      </c>
      <c r="BE278">
        <v>75625</v>
      </c>
    </row>
    <row r="279" spans="1:57" x14ac:dyDescent="0.55000000000000004">
      <c r="A279">
        <v>1776783602</v>
      </c>
      <c r="B279" t="s">
        <v>72</v>
      </c>
      <c r="C279" t="s">
        <v>73</v>
      </c>
      <c r="D279">
        <v>4748.21</v>
      </c>
      <c r="E279">
        <v>4518.5928199999998</v>
      </c>
      <c r="F279">
        <v>4596.0559499999999</v>
      </c>
      <c r="G279">
        <v>4755.40355</v>
      </c>
      <c r="H279">
        <v>4792.7697200000002</v>
      </c>
      <c r="Q279">
        <v>4743.5114000000003</v>
      </c>
      <c r="R279">
        <v>4772.8747000000003</v>
      </c>
      <c r="S279">
        <v>4799.4634699999997</v>
      </c>
      <c r="V279">
        <v>4708.5716300000004</v>
      </c>
      <c r="W279">
        <v>4675.0066299999999</v>
      </c>
      <c r="AB279">
        <v>4749.06783</v>
      </c>
      <c r="AC279">
        <v>4754.1058000000003</v>
      </c>
      <c r="AD279">
        <v>0</v>
      </c>
      <c r="AK279">
        <v>277</v>
      </c>
      <c r="AL279">
        <v>276</v>
      </c>
      <c r="AM279">
        <v>4748.21</v>
      </c>
      <c r="AN279">
        <v>4743.5114000000003</v>
      </c>
      <c r="AO279">
        <v>4.6985999999999999</v>
      </c>
      <c r="AP279">
        <v>22.076799999999999</v>
      </c>
      <c r="AQ279">
        <v>2.3860000000000001E-3</v>
      </c>
      <c r="AR279">
        <v>3.19E-4</v>
      </c>
      <c r="AY279">
        <v>277</v>
      </c>
      <c r="AZ279">
        <v>276</v>
      </c>
      <c r="BA279">
        <v>4748.21</v>
      </c>
      <c r="BB279">
        <v>4743.5114000000003</v>
      </c>
      <c r="BC279">
        <v>4.6985999999999999</v>
      </c>
      <c r="BD279">
        <v>22.076799999999999</v>
      </c>
      <c r="BE279">
        <v>76176</v>
      </c>
    </row>
    <row r="280" spans="1:57" x14ac:dyDescent="0.55000000000000004">
      <c r="A280">
        <v>1776784502</v>
      </c>
      <c r="B280" t="s">
        <v>72</v>
      </c>
      <c r="C280" t="s">
        <v>73</v>
      </c>
      <c r="D280">
        <v>4742.57</v>
      </c>
      <c r="E280">
        <v>4518.5928199999998</v>
      </c>
      <c r="F280">
        <v>4596.0559499999999</v>
      </c>
      <c r="G280">
        <v>4755.40355</v>
      </c>
      <c r="H280">
        <v>4792.7697200000002</v>
      </c>
      <c r="Q280">
        <v>4743.2437900000004</v>
      </c>
      <c r="R280">
        <v>4772.6070900000004</v>
      </c>
      <c r="S280">
        <v>4799.1958599999998</v>
      </c>
      <c r="V280">
        <v>4708.3040199999996</v>
      </c>
      <c r="W280">
        <v>4674.7390299999997</v>
      </c>
      <c r="AB280">
        <v>4743.9676399999998</v>
      </c>
      <c r="AC280">
        <v>4749.0367200000001</v>
      </c>
      <c r="AD280">
        <v>0</v>
      </c>
      <c r="AK280">
        <v>278</v>
      </c>
      <c r="AL280">
        <v>277</v>
      </c>
      <c r="AM280">
        <v>4742.57</v>
      </c>
      <c r="AN280">
        <v>4743.2438000000002</v>
      </c>
      <c r="AO280">
        <v>-0.67379999999999995</v>
      </c>
      <c r="AP280">
        <v>0.45400000000000001</v>
      </c>
      <c r="AQ280">
        <v>-6.9999999999999999E-6</v>
      </c>
      <c r="AR280">
        <v>0</v>
      </c>
      <c r="AY280">
        <v>278</v>
      </c>
      <c r="AZ280">
        <v>277</v>
      </c>
      <c r="BA280">
        <v>4742.57</v>
      </c>
      <c r="BB280">
        <v>4743.2438000000002</v>
      </c>
      <c r="BC280">
        <v>-0.67379999999999995</v>
      </c>
      <c r="BD280">
        <v>0.45400000000000001</v>
      </c>
      <c r="BE280">
        <v>76729</v>
      </c>
    </row>
    <row r="281" spans="1:57" x14ac:dyDescent="0.55000000000000004">
      <c r="A281">
        <v>1776785402</v>
      </c>
      <c r="B281" t="s">
        <v>72</v>
      </c>
      <c r="C281" t="s">
        <v>73</v>
      </c>
      <c r="D281">
        <v>4745.93</v>
      </c>
      <c r="E281">
        <v>4518.5928199999998</v>
      </c>
      <c r="F281">
        <v>4596.0559499999999</v>
      </c>
      <c r="G281">
        <v>4755.40355</v>
      </c>
      <c r="H281">
        <v>4792.7697200000002</v>
      </c>
      <c r="Q281">
        <v>4742.9761900000003</v>
      </c>
      <c r="R281">
        <v>4772.3394900000003</v>
      </c>
      <c r="S281">
        <v>4798.9282599999997</v>
      </c>
      <c r="V281">
        <v>4708.0364200000004</v>
      </c>
      <c r="W281">
        <v>4674.4714199999999</v>
      </c>
      <c r="AB281">
        <v>4738.8401800000001</v>
      </c>
      <c r="AC281">
        <v>4743.9384499999996</v>
      </c>
      <c r="AD281">
        <v>0</v>
      </c>
      <c r="AK281">
        <v>279</v>
      </c>
      <c r="AL281">
        <v>278</v>
      </c>
      <c r="AM281">
        <v>4745.93</v>
      </c>
      <c r="AN281">
        <v>4742.9762000000001</v>
      </c>
      <c r="AO281">
        <v>2.9538000000000002</v>
      </c>
      <c r="AP281">
        <v>8.7249999999999996</v>
      </c>
      <c r="AQ281">
        <v>5.9299999999999999E-4</v>
      </c>
      <c r="AR281">
        <v>5.0000000000000002E-5</v>
      </c>
      <c r="AY281">
        <v>279</v>
      </c>
      <c r="AZ281">
        <v>278</v>
      </c>
      <c r="BA281">
        <v>4745.93</v>
      </c>
      <c r="BB281">
        <v>4742.9762000000001</v>
      </c>
      <c r="BC281">
        <v>2.9538000000000002</v>
      </c>
      <c r="BD281">
        <v>8.7249999999999996</v>
      </c>
      <c r="BE281">
        <v>77284</v>
      </c>
    </row>
    <row r="282" spans="1:57" x14ac:dyDescent="0.55000000000000004">
      <c r="A282">
        <v>1776786302</v>
      </c>
      <c r="B282" t="s">
        <v>72</v>
      </c>
      <c r="C282" t="s">
        <v>73</v>
      </c>
      <c r="D282">
        <v>4741.8100000000004</v>
      </c>
      <c r="E282">
        <v>4518.5928199999998</v>
      </c>
      <c r="F282">
        <v>4596.0559499999999</v>
      </c>
      <c r="G282">
        <v>4755.40355</v>
      </c>
      <c r="H282">
        <v>4792.7697200000002</v>
      </c>
      <c r="Q282">
        <v>4742.7085900000002</v>
      </c>
      <c r="R282">
        <v>4772.0718800000004</v>
      </c>
      <c r="S282">
        <v>4798.6606599999996</v>
      </c>
      <c r="V282">
        <v>4707.7688200000002</v>
      </c>
      <c r="W282">
        <v>4674.2038199999997</v>
      </c>
      <c r="AB282">
        <v>4733.5031099999997</v>
      </c>
      <c r="AC282">
        <v>4738.7207799999996</v>
      </c>
      <c r="AD282">
        <v>0</v>
      </c>
      <c r="AK282">
        <v>280</v>
      </c>
      <c r="AL282">
        <v>279</v>
      </c>
      <c r="AM282">
        <v>4741.8100000000004</v>
      </c>
      <c r="AN282">
        <v>4742.7085999999999</v>
      </c>
      <c r="AO282">
        <v>-0.89859999999999995</v>
      </c>
      <c r="AP282">
        <v>0.8075</v>
      </c>
      <c r="AQ282">
        <v>-1.7E-5</v>
      </c>
      <c r="AR282">
        <v>0</v>
      </c>
      <c r="AY282">
        <v>280</v>
      </c>
      <c r="AZ282">
        <v>279</v>
      </c>
      <c r="BA282">
        <v>4741.8100000000004</v>
      </c>
      <c r="BB282">
        <v>4742.7085999999999</v>
      </c>
      <c r="BC282">
        <v>-0.89859999999999995</v>
      </c>
      <c r="BD282">
        <v>0.8075</v>
      </c>
      <c r="BE282">
        <v>77841</v>
      </c>
    </row>
    <row r="283" spans="1:57" x14ac:dyDescent="0.55000000000000004">
      <c r="A283">
        <v>1776787202</v>
      </c>
      <c r="B283" t="s">
        <v>72</v>
      </c>
      <c r="C283" t="s">
        <v>73</v>
      </c>
      <c r="D283">
        <v>4730.4399999999996</v>
      </c>
      <c r="E283">
        <v>4518.5928199999998</v>
      </c>
      <c r="F283">
        <v>4596.0559499999999</v>
      </c>
      <c r="G283">
        <v>4755.40355</v>
      </c>
      <c r="H283">
        <v>4792.7697200000002</v>
      </c>
      <c r="Q283">
        <v>4742.4409800000003</v>
      </c>
      <c r="R283">
        <v>4771.8042800000003</v>
      </c>
      <c r="S283">
        <v>4798.3930499999997</v>
      </c>
      <c r="V283">
        <v>4707.5012100000004</v>
      </c>
      <c r="W283">
        <v>4673.9362199999996</v>
      </c>
      <c r="AB283">
        <v>4728.0410000000002</v>
      </c>
      <c r="AC283">
        <v>4733.3808900000004</v>
      </c>
      <c r="AD283">
        <v>0</v>
      </c>
      <c r="AK283">
        <v>281</v>
      </c>
      <c r="AL283">
        <v>280</v>
      </c>
      <c r="AM283">
        <v>4730.4399999999996</v>
      </c>
      <c r="AN283">
        <v>4742.4409999999998</v>
      </c>
      <c r="AO283">
        <v>-12.000999999999999</v>
      </c>
      <c r="AP283">
        <v>144.02350000000001</v>
      </c>
      <c r="AQ283">
        <v>-3.9761999999999999E-2</v>
      </c>
      <c r="AR283">
        <v>1.3571E-2</v>
      </c>
      <c r="AY283">
        <v>281</v>
      </c>
      <c r="AZ283">
        <v>280</v>
      </c>
      <c r="BA283">
        <v>4730.4399999999996</v>
      </c>
      <c r="BB283">
        <v>4742.4409999999998</v>
      </c>
      <c r="BC283">
        <v>-12.000999999999999</v>
      </c>
      <c r="BD283">
        <v>144.02350000000001</v>
      </c>
      <c r="BE283">
        <v>78400</v>
      </c>
    </row>
    <row r="284" spans="1:57" x14ac:dyDescent="0.55000000000000004">
      <c r="A284">
        <v>1776788102</v>
      </c>
      <c r="B284" t="s">
        <v>72</v>
      </c>
      <c r="C284" t="s">
        <v>73</v>
      </c>
      <c r="D284">
        <v>4720.8599999999997</v>
      </c>
      <c r="E284">
        <v>4518.5928199999998</v>
      </c>
      <c r="F284">
        <v>4596.0559499999999</v>
      </c>
      <c r="G284">
        <v>4755.40355</v>
      </c>
      <c r="H284">
        <v>4792.7697200000002</v>
      </c>
      <c r="Q284">
        <v>4742.1733800000002</v>
      </c>
      <c r="R284">
        <v>4771.5366800000002</v>
      </c>
      <c r="S284">
        <v>4798.1254499999995</v>
      </c>
      <c r="V284">
        <v>4707.2336100000002</v>
      </c>
      <c r="W284">
        <v>4673.6686099999997</v>
      </c>
      <c r="AB284">
        <v>4722.8411599999999</v>
      </c>
      <c r="AC284">
        <v>4728.11103</v>
      </c>
      <c r="AD284">
        <v>0</v>
      </c>
      <c r="AK284">
        <v>282</v>
      </c>
      <c r="AL284">
        <v>281</v>
      </c>
      <c r="AM284">
        <v>4720.8599999999997</v>
      </c>
      <c r="AN284">
        <v>4742.1733999999997</v>
      </c>
      <c r="AO284">
        <v>-21.313400000000001</v>
      </c>
      <c r="AP284">
        <v>454.2602</v>
      </c>
      <c r="AQ284">
        <v>-0.22272700000000001</v>
      </c>
      <c r="AR284">
        <v>0.13500899999999999</v>
      </c>
      <c r="AY284">
        <v>282</v>
      </c>
      <c r="AZ284">
        <v>281</v>
      </c>
      <c r="BA284">
        <v>4720.8599999999997</v>
      </c>
      <c r="BB284">
        <v>4742.1733999999997</v>
      </c>
      <c r="BC284">
        <v>-21.313400000000001</v>
      </c>
      <c r="BD284">
        <v>454.2602</v>
      </c>
      <c r="BE284">
        <v>78961</v>
      </c>
    </row>
    <row r="285" spans="1:57" x14ac:dyDescent="0.55000000000000004">
      <c r="A285">
        <v>1776789002</v>
      </c>
      <c r="B285" t="s">
        <v>72</v>
      </c>
      <c r="C285" t="s">
        <v>73</v>
      </c>
      <c r="D285">
        <v>4721.05</v>
      </c>
      <c r="E285">
        <v>4518.5928199999998</v>
      </c>
      <c r="F285">
        <v>4596.0559499999999</v>
      </c>
      <c r="G285">
        <v>4755.40355</v>
      </c>
      <c r="H285">
        <v>4792.7697200000002</v>
      </c>
      <c r="Q285">
        <v>4741.9057700000003</v>
      </c>
      <c r="R285">
        <v>4771.2690700000003</v>
      </c>
      <c r="S285">
        <v>4797.8578399999997</v>
      </c>
      <c r="V285">
        <v>4706.9660000000003</v>
      </c>
      <c r="W285">
        <v>4673.4010099999996</v>
      </c>
      <c r="AB285">
        <v>4718.29378</v>
      </c>
      <c r="AC285">
        <v>4723.2024000000001</v>
      </c>
      <c r="AD285">
        <v>0</v>
      </c>
      <c r="AK285">
        <v>283</v>
      </c>
      <c r="AL285">
        <v>282</v>
      </c>
      <c r="AM285">
        <v>4721.05</v>
      </c>
      <c r="AN285">
        <v>4741.9058000000005</v>
      </c>
      <c r="AO285">
        <v>-20.855799999999999</v>
      </c>
      <c r="AP285">
        <v>434.9631</v>
      </c>
      <c r="AQ285">
        <v>-0.20868600000000001</v>
      </c>
      <c r="AR285">
        <v>0.123782</v>
      </c>
      <c r="AY285">
        <v>283</v>
      </c>
      <c r="AZ285">
        <v>282</v>
      </c>
      <c r="BA285">
        <v>4721.05</v>
      </c>
      <c r="BB285">
        <v>4741.9058000000005</v>
      </c>
      <c r="BC285">
        <v>-20.855799999999999</v>
      </c>
      <c r="BD285">
        <v>434.9631</v>
      </c>
      <c r="BE285">
        <v>79524</v>
      </c>
    </row>
    <row r="286" spans="1:57" x14ac:dyDescent="0.55000000000000004">
      <c r="A286">
        <v>1776789902</v>
      </c>
      <c r="B286" t="s">
        <v>72</v>
      </c>
      <c r="C286" t="s">
        <v>73</v>
      </c>
      <c r="D286">
        <v>4711.5600000000004</v>
      </c>
      <c r="E286">
        <v>4518.5928199999998</v>
      </c>
      <c r="F286">
        <v>4596.0559499999999</v>
      </c>
      <c r="G286">
        <v>4755.40355</v>
      </c>
      <c r="H286">
        <v>4792.7697200000002</v>
      </c>
      <c r="Q286">
        <v>4741.6381700000002</v>
      </c>
      <c r="R286">
        <v>4771.0014700000002</v>
      </c>
      <c r="S286">
        <v>4797.5902400000004</v>
      </c>
      <c r="V286">
        <v>4706.6984000000002</v>
      </c>
      <c r="W286">
        <v>4673.1333999999997</v>
      </c>
      <c r="AB286">
        <v>4714.4788900000003</v>
      </c>
      <c r="AC286">
        <v>4718.8406500000001</v>
      </c>
      <c r="AD286">
        <v>0</v>
      </c>
      <c r="AK286">
        <v>284</v>
      </c>
      <c r="AL286">
        <v>283</v>
      </c>
      <c r="AM286">
        <v>4711.5600000000004</v>
      </c>
      <c r="AN286">
        <v>4741.6382000000003</v>
      </c>
      <c r="AO286">
        <v>-30.078199999999999</v>
      </c>
      <c r="AP286">
        <v>904.69629999999995</v>
      </c>
      <c r="AQ286">
        <v>-0.62599300000000002</v>
      </c>
      <c r="AR286">
        <v>0.53549999999999998</v>
      </c>
      <c r="AY286">
        <v>284</v>
      </c>
      <c r="AZ286">
        <v>283</v>
      </c>
      <c r="BA286">
        <v>4711.5600000000004</v>
      </c>
      <c r="BB286">
        <v>4741.6382000000003</v>
      </c>
      <c r="BC286">
        <v>-30.078199999999999</v>
      </c>
      <c r="BD286">
        <v>904.69629999999995</v>
      </c>
      <c r="BE286">
        <v>80089</v>
      </c>
    </row>
    <row r="287" spans="1:57" x14ac:dyDescent="0.55000000000000004">
      <c r="A287">
        <v>1776790802</v>
      </c>
      <c r="B287" t="s">
        <v>72</v>
      </c>
      <c r="C287" t="s">
        <v>73</v>
      </c>
      <c r="D287">
        <v>4706.5</v>
      </c>
      <c r="E287">
        <v>4518.5928199999998</v>
      </c>
      <c r="F287">
        <v>4596.0559499999999</v>
      </c>
      <c r="G287">
        <v>4755.40355</v>
      </c>
      <c r="H287">
        <v>4792.7697200000002</v>
      </c>
      <c r="Q287">
        <v>4741.37057</v>
      </c>
      <c r="R287">
        <v>4770.7338600000003</v>
      </c>
      <c r="S287">
        <v>4797.3226400000003</v>
      </c>
      <c r="V287">
        <v>4706.4308000000001</v>
      </c>
      <c r="W287">
        <v>4672.8657999999996</v>
      </c>
      <c r="AB287">
        <v>4711.6392599999999</v>
      </c>
      <c r="AC287">
        <v>4715.2399500000001</v>
      </c>
      <c r="AD287">
        <v>0</v>
      </c>
      <c r="AK287">
        <v>285</v>
      </c>
      <c r="AL287">
        <v>284</v>
      </c>
      <c r="AM287">
        <v>4706.5</v>
      </c>
      <c r="AN287">
        <v>4741.3706000000002</v>
      </c>
      <c r="AO287">
        <v>-34.870600000000003</v>
      </c>
      <c r="AP287">
        <v>1215.9567</v>
      </c>
      <c r="AQ287">
        <v>-0.97542200000000001</v>
      </c>
      <c r="AR287">
        <v>0.96736500000000003</v>
      </c>
      <c r="AY287">
        <v>285</v>
      </c>
      <c r="AZ287">
        <v>284</v>
      </c>
      <c r="BA287">
        <v>4706.5</v>
      </c>
      <c r="BB287">
        <v>4741.3706000000002</v>
      </c>
      <c r="BC287">
        <v>-34.870600000000003</v>
      </c>
      <c r="BD287">
        <v>1215.9567</v>
      </c>
      <c r="BE287">
        <v>80656</v>
      </c>
    </row>
    <row r="288" spans="1:57" x14ac:dyDescent="0.55000000000000004">
      <c r="A288">
        <v>1776791702</v>
      </c>
      <c r="B288" t="s">
        <v>72</v>
      </c>
      <c r="C288" t="s">
        <v>73</v>
      </c>
      <c r="D288">
        <v>4700.29</v>
      </c>
      <c r="E288">
        <v>4518.5928199999998</v>
      </c>
      <c r="F288">
        <v>4596.0559499999999</v>
      </c>
      <c r="G288">
        <v>4755.40355</v>
      </c>
      <c r="H288">
        <v>4792.7697200000002</v>
      </c>
      <c r="Q288">
        <v>4741.1029600000002</v>
      </c>
      <c r="R288">
        <v>4770.4662600000001</v>
      </c>
      <c r="S288">
        <v>4797.0550300000004</v>
      </c>
      <c r="V288">
        <v>4706.1631900000002</v>
      </c>
      <c r="W288">
        <v>4672.5981899999997</v>
      </c>
      <c r="AB288">
        <v>4709.7586000000001</v>
      </c>
      <c r="AC288">
        <v>4712.4992700000003</v>
      </c>
      <c r="AD288">
        <v>0</v>
      </c>
      <c r="AK288">
        <v>286</v>
      </c>
      <c r="AL288">
        <v>285</v>
      </c>
      <c r="AM288">
        <v>4700.29</v>
      </c>
      <c r="AN288">
        <v>4741.1030000000001</v>
      </c>
      <c r="AO288">
        <v>-40.813000000000002</v>
      </c>
      <c r="AP288">
        <v>1665.6976999999999</v>
      </c>
      <c r="AQ288">
        <v>-1.563903</v>
      </c>
      <c r="AR288">
        <v>1.8152919999999999</v>
      </c>
      <c r="AY288">
        <v>286</v>
      </c>
      <c r="AZ288">
        <v>285</v>
      </c>
      <c r="BA288">
        <v>4700.29</v>
      </c>
      <c r="BB288">
        <v>4741.1030000000001</v>
      </c>
      <c r="BC288">
        <v>-40.813000000000002</v>
      </c>
      <c r="BD288">
        <v>1665.6976999999999</v>
      </c>
      <c r="BE288">
        <v>81225</v>
      </c>
    </row>
    <row r="289" spans="1:57" x14ac:dyDescent="0.55000000000000004">
      <c r="A289">
        <v>1776792602</v>
      </c>
      <c r="B289" t="s">
        <v>72</v>
      </c>
      <c r="C289" t="s">
        <v>73</v>
      </c>
      <c r="D289">
        <v>4717.8900000000003</v>
      </c>
      <c r="E289">
        <v>4518.5928199999998</v>
      </c>
      <c r="F289">
        <v>4596.0559499999999</v>
      </c>
      <c r="G289">
        <v>4755.40355</v>
      </c>
      <c r="H289">
        <v>4792.7697200000002</v>
      </c>
      <c r="Q289">
        <v>4740.83536</v>
      </c>
      <c r="R289">
        <v>4770.19866</v>
      </c>
      <c r="S289">
        <v>4796.7874300000003</v>
      </c>
      <c r="V289">
        <v>4705.8955900000001</v>
      </c>
      <c r="W289">
        <v>4672.3305899999996</v>
      </c>
      <c r="AB289">
        <v>4708.7196400000003</v>
      </c>
      <c r="AC289">
        <v>4710.6094599999997</v>
      </c>
      <c r="AD289">
        <v>0</v>
      </c>
      <c r="AK289">
        <v>287</v>
      </c>
      <c r="AL289">
        <v>286</v>
      </c>
      <c r="AM289">
        <v>4717.8900000000003</v>
      </c>
      <c r="AN289">
        <v>4740.8353999999999</v>
      </c>
      <c r="AO289">
        <v>-22.945399999999999</v>
      </c>
      <c r="AP289">
        <v>526.48950000000002</v>
      </c>
      <c r="AQ289">
        <v>-0.27790700000000002</v>
      </c>
      <c r="AR289">
        <v>0.18135699999999999</v>
      </c>
      <c r="AY289">
        <v>287</v>
      </c>
      <c r="AZ289">
        <v>286</v>
      </c>
      <c r="BA289">
        <v>4717.8900000000003</v>
      </c>
      <c r="BB289">
        <v>4740.8353999999999</v>
      </c>
      <c r="BC289">
        <v>-22.945399999999999</v>
      </c>
      <c r="BD289">
        <v>526.48950000000002</v>
      </c>
      <c r="BE289">
        <v>81796</v>
      </c>
    </row>
    <row r="290" spans="1:57" x14ac:dyDescent="0.55000000000000004">
      <c r="A290">
        <v>1776793502</v>
      </c>
      <c r="B290" t="s">
        <v>72</v>
      </c>
      <c r="C290" t="s">
        <v>73</v>
      </c>
      <c r="D290">
        <v>4711.38</v>
      </c>
      <c r="E290">
        <v>4518.5928199999998</v>
      </c>
      <c r="F290">
        <v>4596.0559499999999</v>
      </c>
      <c r="G290">
        <v>4755.40355</v>
      </c>
      <c r="H290">
        <v>4792.7697200000002</v>
      </c>
      <c r="Q290">
        <v>4740.5677500000002</v>
      </c>
      <c r="R290">
        <v>4769.9310500000001</v>
      </c>
      <c r="S290">
        <v>4796.5198200000004</v>
      </c>
      <c r="V290">
        <v>4705.6279800000002</v>
      </c>
      <c r="W290">
        <v>4672.0629900000004</v>
      </c>
      <c r="AB290">
        <v>4707.6586399999997</v>
      </c>
      <c r="AC290">
        <v>4709.1340499999997</v>
      </c>
      <c r="AD290">
        <v>0</v>
      </c>
      <c r="AK290">
        <v>288</v>
      </c>
      <c r="AL290">
        <v>287</v>
      </c>
      <c r="AM290">
        <v>4711.38</v>
      </c>
      <c r="AN290">
        <v>4740.5677999999998</v>
      </c>
      <c r="AO290">
        <v>-29.187799999999999</v>
      </c>
      <c r="AP290">
        <v>851.9248</v>
      </c>
      <c r="AQ290">
        <v>-0.57202799999999998</v>
      </c>
      <c r="AR290">
        <v>0.47484999999999999</v>
      </c>
      <c r="AY290">
        <v>288</v>
      </c>
      <c r="AZ290">
        <v>287</v>
      </c>
      <c r="BA290">
        <v>4711.38</v>
      </c>
      <c r="BB290">
        <v>4740.5677999999998</v>
      </c>
      <c r="BC290">
        <v>-29.187799999999999</v>
      </c>
      <c r="BD290">
        <v>851.9248</v>
      </c>
      <c r="BE290">
        <v>82369</v>
      </c>
    </row>
    <row r="291" spans="1:57" x14ac:dyDescent="0.55000000000000004">
      <c r="A291">
        <v>1776794402</v>
      </c>
      <c r="B291" t="s">
        <v>72</v>
      </c>
      <c r="C291" t="s">
        <v>73</v>
      </c>
      <c r="D291">
        <v>4704.63</v>
      </c>
      <c r="E291">
        <v>4518.5928199999998</v>
      </c>
      <c r="F291">
        <v>4596.0559499999999</v>
      </c>
      <c r="G291">
        <v>4755.40355</v>
      </c>
      <c r="H291">
        <v>4792.7697200000002</v>
      </c>
      <c r="Q291">
        <v>4740.30015</v>
      </c>
      <c r="R291">
        <v>4769.66345</v>
      </c>
      <c r="S291">
        <v>4796.2522200000003</v>
      </c>
      <c r="V291">
        <v>4705.3603800000001</v>
      </c>
      <c r="W291">
        <v>4671.7953799999996</v>
      </c>
      <c r="AB291">
        <v>4706.4068299999999</v>
      </c>
      <c r="AC291">
        <v>4707.7704400000002</v>
      </c>
      <c r="AD291">
        <v>0</v>
      </c>
      <c r="AK291">
        <v>289</v>
      </c>
      <c r="AL291">
        <v>288</v>
      </c>
      <c r="AM291">
        <v>4704.63</v>
      </c>
      <c r="AN291">
        <v>4740.3001999999997</v>
      </c>
      <c r="AO291">
        <v>-35.670099999999998</v>
      </c>
      <c r="AP291">
        <v>1272.3596</v>
      </c>
      <c r="AQ291">
        <v>-1.0440719999999999</v>
      </c>
      <c r="AR291">
        <v>1.0591900000000001</v>
      </c>
      <c r="AY291">
        <v>289</v>
      </c>
      <c r="AZ291">
        <v>288</v>
      </c>
      <c r="BA291">
        <v>4704.63</v>
      </c>
      <c r="BB291">
        <v>4740.3001999999997</v>
      </c>
      <c r="BC291">
        <v>-35.670099999999998</v>
      </c>
      <c r="BD291">
        <v>1272.3596</v>
      </c>
      <c r="BE291">
        <v>82944</v>
      </c>
    </row>
    <row r="292" spans="1:57" x14ac:dyDescent="0.55000000000000004">
      <c r="A292">
        <v>1776795302</v>
      </c>
      <c r="B292" t="s">
        <v>72</v>
      </c>
      <c r="C292" t="s">
        <v>73</v>
      </c>
      <c r="D292">
        <v>4696.62</v>
      </c>
      <c r="E292">
        <v>4518.5928199999998</v>
      </c>
      <c r="F292">
        <v>4596.0559499999999</v>
      </c>
      <c r="G292">
        <v>4755.40355</v>
      </c>
      <c r="H292">
        <v>4792.7697200000002</v>
      </c>
      <c r="Q292">
        <v>4740.0325499999999</v>
      </c>
      <c r="R292">
        <v>4769.3958400000001</v>
      </c>
      <c r="S292">
        <v>4795.9846100000004</v>
      </c>
      <c r="V292">
        <v>4705.0927700000002</v>
      </c>
      <c r="W292">
        <v>4671.5277800000003</v>
      </c>
      <c r="AB292">
        <v>4704.9124599999996</v>
      </c>
      <c r="AC292">
        <v>4706.3414499999999</v>
      </c>
      <c r="AD292">
        <v>0</v>
      </c>
      <c r="AK292">
        <v>290</v>
      </c>
      <c r="AL292">
        <v>289</v>
      </c>
      <c r="AM292">
        <v>4696.62</v>
      </c>
      <c r="AN292">
        <v>4740.0325000000003</v>
      </c>
      <c r="AO292">
        <v>-43.412599999999998</v>
      </c>
      <c r="AP292">
        <v>1884.6495</v>
      </c>
      <c r="AQ292">
        <v>-1.8821810000000001</v>
      </c>
      <c r="AR292">
        <v>2.3238889999999999</v>
      </c>
      <c r="AY292">
        <v>290</v>
      </c>
      <c r="AZ292">
        <v>289</v>
      </c>
      <c r="BA292">
        <v>4696.62</v>
      </c>
      <c r="BB292">
        <v>4740.0325000000003</v>
      </c>
      <c r="BC292">
        <v>-43.412599999999998</v>
      </c>
      <c r="BD292">
        <v>1884.6495</v>
      </c>
      <c r="BE292">
        <v>83521</v>
      </c>
    </row>
    <row r="293" spans="1:57" x14ac:dyDescent="0.55000000000000004">
      <c r="A293">
        <v>1776796202</v>
      </c>
      <c r="B293" t="s">
        <v>72</v>
      </c>
      <c r="C293" t="s">
        <v>73</v>
      </c>
      <c r="D293">
        <v>4703.21</v>
      </c>
      <c r="E293">
        <v>4518.5928199999998</v>
      </c>
      <c r="F293">
        <v>4596.0559499999999</v>
      </c>
      <c r="G293">
        <v>4755.40355</v>
      </c>
      <c r="H293">
        <v>4792.7697200000002</v>
      </c>
      <c r="Q293">
        <v>4739.76494</v>
      </c>
      <c r="R293">
        <v>4769.12824</v>
      </c>
      <c r="S293">
        <v>4795.7170100000003</v>
      </c>
      <c r="V293">
        <v>4704.8251700000001</v>
      </c>
      <c r="W293">
        <v>4671.2601699999996</v>
      </c>
      <c r="AB293">
        <v>4703.2618400000001</v>
      </c>
      <c r="AC293">
        <v>4704.8016399999997</v>
      </c>
      <c r="AD293">
        <v>0</v>
      </c>
      <c r="AK293">
        <v>291</v>
      </c>
      <c r="AL293">
        <v>290</v>
      </c>
      <c r="AM293">
        <v>4703.21</v>
      </c>
      <c r="AN293">
        <v>4739.7649000000001</v>
      </c>
      <c r="AO293">
        <v>-36.554900000000004</v>
      </c>
      <c r="AP293">
        <v>1336.2636</v>
      </c>
      <c r="AQ293">
        <v>-1.1237090000000001</v>
      </c>
      <c r="AR293">
        <v>1.1682570000000001</v>
      </c>
      <c r="AY293">
        <v>291</v>
      </c>
      <c r="AZ293">
        <v>290</v>
      </c>
      <c r="BA293">
        <v>4703.21</v>
      </c>
      <c r="BB293">
        <v>4739.7649000000001</v>
      </c>
      <c r="BC293">
        <v>-36.554900000000004</v>
      </c>
      <c r="BD293">
        <v>1336.2636</v>
      </c>
      <c r="BE293">
        <v>84100</v>
      </c>
    </row>
    <row r="294" spans="1:57" x14ac:dyDescent="0.55000000000000004">
      <c r="A294">
        <v>1776797102</v>
      </c>
      <c r="B294" t="s">
        <v>72</v>
      </c>
      <c r="C294" t="s">
        <v>73</v>
      </c>
      <c r="D294">
        <v>4709.51</v>
      </c>
      <c r="E294">
        <v>4518.5928199999998</v>
      </c>
      <c r="F294">
        <v>4596.0559499999999</v>
      </c>
      <c r="G294">
        <v>4755.40355</v>
      </c>
      <c r="H294">
        <v>4792.7697200000002</v>
      </c>
      <c r="Q294">
        <v>4739.4973399999999</v>
      </c>
      <c r="R294">
        <v>4768.8606399999999</v>
      </c>
      <c r="S294">
        <v>4795.4494100000002</v>
      </c>
      <c r="V294">
        <v>4704.5575699999999</v>
      </c>
      <c r="W294">
        <v>4670.9925700000003</v>
      </c>
      <c r="AB294">
        <v>4701.2994200000003</v>
      </c>
      <c r="AC294">
        <v>4703.0505300000004</v>
      </c>
      <c r="AD294">
        <v>0</v>
      </c>
      <c r="AK294">
        <v>292</v>
      </c>
      <c r="AL294">
        <v>291</v>
      </c>
      <c r="AM294">
        <v>4709.51</v>
      </c>
      <c r="AN294">
        <v>4739.4973</v>
      </c>
      <c r="AO294">
        <v>-29.987300000000001</v>
      </c>
      <c r="AP294">
        <v>899.24059999999997</v>
      </c>
      <c r="AQ294">
        <v>-0.62033899999999997</v>
      </c>
      <c r="AR294">
        <v>0.529061</v>
      </c>
      <c r="AY294">
        <v>292</v>
      </c>
      <c r="AZ294">
        <v>291</v>
      </c>
      <c r="BA294">
        <v>4709.51</v>
      </c>
      <c r="BB294">
        <v>4739.4973</v>
      </c>
      <c r="BC294">
        <v>-29.987300000000001</v>
      </c>
      <c r="BD294">
        <v>899.24059999999997</v>
      </c>
      <c r="BE294">
        <v>84681</v>
      </c>
    </row>
    <row r="295" spans="1:57" x14ac:dyDescent="0.55000000000000004">
      <c r="A295">
        <v>1776798002</v>
      </c>
      <c r="B295" t="s">
        <v>72</v>
      </c>
      <c r="C295" t="s">
        <v>73</v>
      </c>
      <c r="D295">
        <v>4707.33</v>
      </c>
      <c r="E295">
        <v>4518.5928199999998</v>
      </c>
      <c r="F295">
        <v>4596.0559499999999</v>
      </c>
      <c r="G295">
        <v>4755.40355</v>
      </c>
      <c r="H295">
        <v>4792.7697200000002</v>
      </c>
      <c r="Q295">
        <v>4739.22973</v>
      </c>
      <c r="R295">
        <v>4768.59303</v>
      </c>
      <c r="S295">
        <v>4795.1818000000003</v>
      </c>
      <c r="V295">
        <v>4704.2899600000001</v>
      </c>
      <c r="W295">
        <v>4670.7249700000002</v>
      </c>
      <c r="AB295">
        <v>4699.0256799999997</v>
      </c>
      <c r="AC295">
        <v>4701.0381100000004</v>
      </c>
      <c r="AD295">
        <v>0</v>
      </c>
      <c r="AK295">
        <v>293</v>
      </c>
      <c r="AL295">
        <v>292</v>
      </c>
      <c r="AM295">
        <v>4707.33</v>
      </c>
      <c r="AN295">
        <v>4739.2296999999999</v>
      </c>
      <c r="AO295">
        <v>-31.899699999999999</v>
      </c>
      <c r="AP295">
        <v>1017.5928</v>
      </c>
      <c r="AQ295">
        <v>-0.74675199999999997</v>
      </c>
      <c r="AR295">
        <v>0.67748900000000001</v>
      </c>
      <c r="AY295">
        <v>293</v>
      </c>
      <c r="AZ295">
        <v>292</v>
      </c>
      <c r="BA295">
        <v>4707.33</v>
      </c>
      <c r="BB295">
        <v>4739.2296999999999</v>
      </c>
      <c r="BC295">
        <v>-31.899699999999999</v>
      </c>
      <c r="BD295">
        <v>1017.5928</v>
      </c>
      <c r="BE295">
        <v>85264</v>
      </c>
    </row>
    <row r="296" spans="1:57" x14ac:dyDescent="0.55000000000000004">
      <c r="A296">
        <v>1776798902</v>
      </c>
      <c r="B296" t="s">
        <v>72</v>
      </c>
      <c r="C296" t="s">
        <v>73</v>
      </c>
      <c r="D296">
        <v>4714.21</v>
      </c>
      <c r="E296">
        <v>4518.5928199999998</v>
      </c>
      <c r="F296">
        <v>4596.0559499999999</v>
      </c>
      <c r="G296">
        <v>4755.40355</v>
      </c>
      <c r="H296">
        <v>4792.7697200000002</v>
      </c>
      <c r="Q296">
        <v>4738.9621299999999</v>
      </c>
      <c r="R296">
        <v>4768.3254299999999</v>
      </c>
      <c r="S296">
        <v>4794.9142000000002</v>
      </c>
      <c r="V296">
        <v>4704.0223599999999</v>
      </c>
      <c r="W296">
        <v>4670.4573600000003</v>
      </c>
      <c r="AB296">
        <v>4696.8540300000004</v>
      </c>
      <c r="AC296">
        <v>4698.94607</v>
      </c>
      <c r="AD296">
        <v>0</v>
      </c>
      <c r="AK296">
        <v>294</v>
      </c>
      <c r="AL296">
        <v>293</v>
      </c>
      <c r="AM296">
        <v>4714.21</v>
      </c>
      <c r="AN296">
        <v>4738.9620999999997</v>
      </c>
      <c r="AO296">
        <v>-24.752099999999999</v>
      </c>
      <c r="AP296">
        <v>612.66790000000003</v>
      </c>
      <c r="AQ296">
        <v>-0.34886200000000001</v>
      </c>
      <c r="AR296">
        <v>0.245586</v>
      </c>
      <c r="AY296">
        <v>294</v>
      </c>
      <c r="AZ296">
        <v>293</v>
      </c>
      <c r="BA296">
        <v>4714.21</v>
      </c>
      <c r="BB296">
        <v>4738.9620999999997</v>
      </c>
      <c r="BC296">
        <v>-24.752099999999999</v>
      </c>
      <c r="BD296">
        <v>612.66790000000003</v>
      </c>
      <c r="BE296">
        <v>85849</v>
      </c>
    </row>
    <row r="297" spans="1:57" x14ac:dyDescent="0.55000000000000004">
      <c r="A297">
        <v>1776799802</v>
      </c>
      <c r="B297" t="s">
        <v>72</v>
      </c>
      <c r="C297" t="s">
        <v>73</v>
      </c>
      <c r="D297">
        <v>4671.47</v>
      </c>
      <c r="E297">
        <v>4518.5928199999998</v>
      </c>
      <c r="F297">
        <v>4596.0559499999999</v>
      </c>
      <c r="G297">
        <v>4755.40355</v>
      </c>
      <c r="H297">
        <v>4792.7697200000002</v>
      </c>
      <c r="Q297">
        <v>4738.69452</v>
      </c>
      <c r="R297">
        <v>4768.05782</v>
      </c>
      <c r="S297">
        <v>4794.6465900000003</v>
      </c>
      <c r="V297">
        <v>4703.7547500000001</v>
      </c>
      <c r="W297">
        <v>4670.1897600000002</v>
      </c>
      <c r="AA297">
        <v>4668.6099999999997</v>
      </c>
      <c r="AB297">
        <v>4695.0878700000003</v>
      </c>
      <c r="AC297">
        <v>4697.0169699999997</v>
      </c>
      <c r="AD297">
        <v>0</v>
      </c>
      <c r="AK297">
        <v>295</v>
      </c>
      <c r="AL297">
        <v>294</v>
      </c>
      <c r="AM297">
        <v>4671.47</v>
      </c>
      <c r="AN297">
        <v>4738.6944999999996</v>
      </c>
      <c r="AO297">
        <v>-67.224500000000006</v>
      </c>
      <c r="AP297">
        <v>4519.1360999999997</v>
      </c>
      <c r="AQ297">
        <v>-6.9887370000000004</v>
      </c>
      <c r="AR297">
        <v>13.361800000000001</v>
      </c>
      <c r="AY297">
        <v>295</v>
      </c>
      <c r="AZ297">
        <v>294</v>
      </c>
      <c r="BA297">
        <v>4671.47</v>
      </c>
      <c r="BB297">
        <v>4738.6944999999996</v>
      </c>
      <c r="BC297">
        <v>-67.224500000000006</v>
      </c>
      <c r="BD297">
        <v>4519.1360999999997</v>
      </c>
      <c r="BE297">
        <v>86436</v>
      </c>
    </row>
    <row r="298" spans="1:57" x14ac:dyDescent="0.55000000000000004">
      <c r="A298">
        <v>1776800702</v>
      </c>
      <c r="B298" t="s">
        <v>72</v>
      </c>
      <c r="C298" t="s">
        <v>73</v>
      </c>
      <c r="D298">
        <v>4679.2299999999996</v>
      </c>
      <c r="E298">
        <v>4518.5928199999998</v>
      </c>
      <c r="F298">
        <v>4596.0559499999999</v>
      </c>
      <c r="G298">
        <v>4755.40355</v>
      </c>
      <c r="H298">
        <v>4792.7697200000002</v>
      </c>
      <c r="Q298">
        <v>4738.4269199999999</v>
      </c>
      <c r="R298">
        <v>4767.7902199999999</v>
      </c>
      <c r="S298">
        <v>4794.3789900000002</v>
      </c>
      <c r="V298">
        <v>4703.4871499999999</v>
      </c>
      <c r="W298">
        <v>4669.9221500000003</v>
      </c>
      <c r="AB298">
        <v>4695.3685699999996</v>
      </c>
      <c r="AC298">
        <v>4696.1927699999997</v>
      </c>
      <c r="AD298">
        <v>0</v>
      </c>
      <c r="AK298">
        <v>296</v>
      </c>
      <c r="AL298">
        <v>295</v>
      </c>
      <c r="AM298">
        <v>4679.2299999999996</v>
      </c>
      <c r="AN298">
        <v>4738.4269000000004</v>
      </c>
      <c r="AO298">
        <v>-59.196899999999999</v>
      </c>
      <c r="AP298">
        <v>3504.2752999999998</v>
      </c>
      <c r="AQ298">
        <v>-4.7721369999999999</v>
      </c>
      <c r="AR298">
        <v>8.0343459999999993</v>
      </c>
      <c r="AY298">
        <v>296</v>
      </c>
      <c r="AZ298">
        <v>295</v>
      </c>
      <c r="BA298">
        <v>4679.2299999999996</v>
      </c>
      <c r="BB298">
        <v>4738.4269000000004</v>
      </c>
      <c r="BC298">
        <v>-59.196899999999999</v>
      </c>
      <c r="BD298">
        <v>3504.2752999999998</v>
      </c>
      <c r="BE298">
        <v>87025</v>
      </c>
    </row>
    <row r="299" spans="1:57" x14ac:dyDescent="0.55000000000000004">
      <c r="A299">
        <v>1776801602</v>
      </c>
      <c r="B299" t="s">
        <v>72</v>
      </c>
      <c r="C299" t="s">
        <v>73</v>
      </c>
      <c r="D299">
        <v>4696.9799999999996</v>
      </c>
      <c r="E299">
        <v>4518.5928199999998</v>
      </c>
      <c r="F299">
        <v>4596.0559499999999</v>
      </c>
      <c r="G299">
        <v>4755.40355</v>
      </c>
      <c r="H299">
        <v>4792.7697200000002</v>
      </c>
      <c r="Q299">
        <v>4738.1593199999998</v>
      </c>
      <c r="R299">
        <v>4767.5226199999997</v>
      </c>
      <c r="S299">
        <v>4794.11139</v>
      </c>
      <c r="V299">
        <v>4703.2195499999998</v>
      </c>
      <c r="W299">
        <v>4669.6545500000002</v>
      </c>
      <c r="AB299">
        <v>4697.7102299999997</v>
      </c>
      <c r="AC299">
        <v>4696.9515000000001</v>
      </c>
      <c r="AD299">
        <v>1</v>
      </c>
      <c r="AK299">
        <v>297</v>
      </c>
      <c r="AL299">
        <v>296</v>
      </c>
      <c r="AM299">
        <v>4696.9799999999996</v>
      </c>
      <c r="AN299">
        <v>4738.1593000000003</v>
      </c>
      <c r="AO299">
        <v>-41.179299999999998</v>
      </c>
      <c r="AP299">
        <v>1695.7364</v>
      </c>
      <c r="AQ299">
        <v>-1.606398</v>
      </c>
      <c r="AR299">
        <v>1.8813550000000001</v>
      </c>
      <c r="AY299">
        <v>297</v>
      </c>
      <c r="AZ299">
        <v>296</v>
      </c>
      <c r="BA299">
        <v>4696.9799999999996</v>
      </c>
      <c r="BB299">
        <v>4738.1593000000003</v>
      </c>
      <c r="BC299">
        <v>-41.179299999999998</v>
      </c>
      <c r="BD299">
        <v>1695.7364</v>
      </c>
      <c r="BE299">
        <v>87616</v>
      </c>
    </row>
    <row r="300" spans="1:57" x14ac:dyDescent="0.55000000000000004">
      <c r="A300">
        <v>1776802502</v>
      </c>
      <c r="B300" t="s">
        <v>72</v>
      </c>
      <c r="C300" t="s">
        <v>73</v>
      </c>
      <c r="D300">
        <v>4705.6499999999996</v>
      </c>
      <c r="E300">
        <v>4518.5928199999998</v>
      </c>
      <c r="F300">
        <v>4596.0559499999999</v>
      </c>
      <c r="G300">
        <v>4755.40355</v>
      </c>
      <c r="H300">
        <v>4792.7697200000002</v>
      </c>
      <c r="Q300">
        <v>4737.8917099999999</v>
      </c>
      <c r="R300">
        <v>4767.2550099999999</v>
      </c>
      <c r="S300">
        <v>4793.8437800000002</v>
      </c>
      <c r="V300">
        <v>4702.9519399999999</v>
      </c>
      <c r="W300">
        <v>4669.3869500000001</v>
      </c>
      <c r="AB300">
        <v>4701.5039900000002</v>
      </c>
      <c r="AC300">
        <v>4699.22775</v>
      </c>
      <c r="AD300">
        <v>0</v>
      </c>
      <c r="AK300">
        <v>298</v>
      </c>
      <c r="AL300">
        <v>297</v>
      </c>
      <c r="AM300">
        <v>4705.6499999999996</v>
      </c>
      <c r="AN300">
        <v>4737.8917000000001</v>
      </c>
      <c r="AO300">
        <v>-32.241700000000002</v>
      </c>
      <c r="AP300">
        <v>1039.5279</v>
      </c>
      <c r="AQ300">
        <v>-0.77102700000000002</v>
      </c>
      <c r="AR300">
        <v>0.70701099999999995</v>
      </c>
      <c r="AY300">
        <v>298</v>
      </c>
      <c r="AZ300">
        <v>297</v>
      </c>
      <c r="BA300">
        <v>4705.6499999999996</v>
      </c>
      <c r="BB300">
        <v>4737.8917000000001</v>
      </c>
      <c r="BC300">
        <v>-32.241700000000002</v>
      </c>
      <c r="BD300">
        <v>1039.5279</v>
      </c>
      <c r="BE300">
        <v>88209</v>
      </c>
    </row>
    <row r="301" spans="1:57" x14ac:dyDescent="0.55000000000000004">
      <c r="A301">
        <v>1776803402</v>
      </c>
      <c r="B301" t="s">
        <v>72</v>
      </c>
      <c r="C301" t="s">
        <v>73</v>
      </c>
      <c r="D301">
        <v>4711.42</v>
      </c>
      <c r="E301">
        <v>4518.5928199999998</v>
      </c>
      <c r="F301">
        <v>4596.0559499999999</v>
      </c>
      <c r="G301">
        <v>4755.40355</v>
      </c>
      <c r="H301">
        <v>4792.7697200000002</v>
      </c>
      <c r="Q301">
        <v>4737.6241099999997</v>
      </c>
      <c r="R301">
        <v>4766.9874099999997</v>
      </c>
      <c r="S301">
        <v>4793.57618</v>
      </c>
      <c r="V301">
        <v>4702.6843399999998</v>
      </c>
      <c r="W301">
        <v>4669.1193400000002</v>
      </c>
      <c r="AB301">
        <v>4706.1689999999999</v>
      </c>
      <c r="AC301">
        <v>4702.6983700000001</v>
      </c>
      <c r="AD301">
        <v>0</v>
      </c>
      <c r="AK301">
        <v>299</v>
      </c>
      <c r="AL301">
        <v>298</v>
      </c>
      <c r="AM301">
        <v>4711.42</v>
      </c>
      <c r="AN301">
        <v>4737.6241</v>
      </c>
      <c r="AO301">
        <v>-26.2041</v>
      </c>
      <c r="AP301">
        <v>686.65539999999999</v>
      </c>
      <c r="AQ301">
        <v>-0.41392699999999999</v>
      </c>
      <c r="AR301">
        <v>0.30848300000000001</v>
      </c>
      <c r="AY301">
        <v>299</v>
      </c>
      <c r="AZ301">
        <v>298</v>
      </c>
      <c r="BA301">
        <v>4711.42</v>
      </c>
      <c r="BB301">
        <v>4737.6241</v>
      </c>
      <c r="BC301">
        <v>-26.2041</v>
      </c>
      <c r="BD301">
        <v>686.65539999999999</v>
      </c>
      <c r="BE301">
        <v>88804</v>
      </c>
    </row>
    <row r="302" spans="1:57" x14ac:dyDescent="0.55000000000000004">
      <c r="A302">
        <v>1776804302</v>
      </c>
      <c r="B302" t="s">
        <v>72</v>
      </c>
      <c r="C302" t="s">
        <v>73</v>
      </c>
      <c r="D302">
        <v>4720.16</v>
      </c>
      <c r="E302">
        <v>4518.5928199999998</v>
      </c>
      <c r="F302">
        <v>4596.0559499999999</v>
      </c>
      <c r="G302">
        <v>4755.40355</v>
      </c>
      <c r="H302">
        <v>4792.7697200000002</v>
      </c>
      <c r="Q302">
        <v>4737.3564999999999</v>
      </c>
      <c r="R302">
        <v>4766.7197999999999</v>
      </c>
      <c r="S302">
        <v>4793.3085700000001</v>
      </c>
      <c r="V302">
        <v>4702.4167299999999</v>
      </c>
      <c r="W302">
        <v>4668.8517400000001</v>
      </c>
      <c r="AB302">
        <v>4711.1367399999999</v>
      </c>
      <c r="AC302">
        <v>4706.9175500000001</v>
      </c>
      <c r="AD302">
        <v>0</v>
      </c>
      <c r="AK302">
        <v>300</v>
      </c>
      <c r="AL302">
        <v>299</v>
      </c>
      <c r="AM302">
        <v>4720.16</v>
      </c>
      <c r="AN302">
        <v>4737.3564999999999</v>
      </c>
      <c r="AO302">
        <v>-17.1965</v>
      </c>
      <c r="AP302">
        <v>295.71960000000001</v>
      </c>
      <c r="AQ302">
        <v>-0.11698699999999999</v>
      </c>
      <c r="AR302">
        <v>5.7216000000000003E-2</v>
      </c>
      <c r="AY302">
        <v>300</v>
      </c>
      <c r="AZ302">
        <v>299</v>
      </c>
      <c r="BA302">
        <v>4720.16</v>
      </c>
      <c r="BB302">
        <v>4737.3564999999999</v>
      </c>
      <c r="BC302">
        <v>-17.1965</v>
      </c>
      <c r="BD302">
        <v>295.71960000000001</v>
      </c>
      <c r="BE302">
        <v>89401</v>
      </c>
    </row>
    <row r="303" spans="1:57" x14ac:dyDescent="0.55000000000000004">
      <c r="A303">
        <v>1776808802</v>
      </c>
      <c r="B303" t="s">
        <v>72</v>
      </c>
      <c r="C303" t="s">
        <v>73</v>
      </c>
      <c r="D303">
        <v>4721.88</v>
      </c>
      <c r="E303">
        <v>4518.5928199999998</v>
      </c>
      <c r="F303">
        <v>4596.0559499999999</v>
      </c>
      <c r="G303">
        <v>4755.40355</v>
      </c>
      <c r="H303">
        <v>4792.7697200000002</v>
      </c>
      <c r="Q303">
        <v>4737.0888999999997</v>
      </c>
      <c r="R303">
        <v>4766.4521999999997</v>
      </c>
      <c r="S303">
        <v>4793.04097</v>
      </c>
      <c r="V303">
        <v>4702.1491299999998</v>
      </c>
      <c r="W303">
        <v>4668.5841300000002</v>
      </c>
      <c r="AB303">
        <v>4715.7483099999999</v>
      </c>
      <c r="AC303">
        <v>4711.3329299999996</v>
      </c>
      <c r="AD303">
        <v>0</v>
      </c>
      <c r="AK303">
        <v>301</v>
      </c>
      <c r="AL303">
        <v>300</v>
      </c>
      <c r="AM303">
        <v>4721.88</v>
      </c>
      <c r="AN303">
        <v>4737.0888999999997</v>
      </c>
      <c r="AO303">
        <v>-15.2089</v>
      </c>
      <c r="AP303">
        <v>231.31059999999999</v>
      </c>
      <c r="AQ303">
        <v>-8.0930000000000002E-2</v>
      </c>
      <c r="AR303">
        <v>3.5006000000000002E-2</v>
      </c>
      <c r="AY303">
        <v>301</v>
      </c>
      <c r="AZ303">
        <v>300</v>
      </c>
      <c r="BA303">
        <v>4721.88</v>
      </c>
      <c r="BB303">
        <v>4737.0888999999997</v>
      </c>
      <c r="BC303">
        <v>-15.2089</v>
      </c>
      <c r="BD303">
        <v>231.31059999999999</v>
      </c>
      <c r="BE303">
        <v>90000</v>
      </c>
    </row>
    <row r="304" spans="1:57" x14ac:dyDescent="0.55000000000000004">
      <c r="A304">
        <v>1776809702</v>
      </c>
      <c r="B304" t="s">
        <v>72</v>
      </c>
      <c r="C304" t="s">
        <v>73</v>
      </c>
      <c r="D304">
        <v>4719.05</v>
      </c>
      <c r="E304">
        <v>4518.5928199999998</v>
      </c>
      <c r="F304">
        <v>4596.0559499999999</v>
      </c>
      <c r="G304">
        <v>4755.40355</v>
      </c>
      <c r="H304">
        <v>4792.7697200000002</v>
      </c>
      <c r="Q304">
        <v>4736.8212999999996</v>
      </c>
      <c r="R304">
        <v>4766.1845899999998</v>
      </c>
      <c r="S304">
        <v>4792.7733699999999</v>
      </c>
      <c r="V304">
        <v>4701.8815299999997</v>
      </c>
      <c r="W304">
        <v>4668.3165300000001</v>
      </c>
      <c r="AB304">
        <v>4719.6941999999999</v>
      </c>
      <c r="AC304">
        <v>4715.5135700000001</v>
      </c>
      <c r="AD304">
        <v>0</v>
      </c>
      <c r="AK304">
        <v>302</v>
      </c>
      <c r="AL304">
        <v>301</v>
      </c>
      <c r="AM304">
        <v>4719.05</v>
      </c>
      <c r="AN304">
        <v>4736.8212999999996</v>
      </c>
      <c r="AO304">
        <v>-17.7713</v>
      </c>
      <c r="AP304">
        <v>315.81909999999999</v>
      </c>
      <c r="AQ304">
        <v>-0.12911400000000001</v>
      </c>
      <c r="AR304">
        <v>6.5257999999999997E-2</v>
      </c>
      <c r="AY304">
        <v>302</v>
      </c>
      <c r="AZ304">
        <v>301</v>
      </c>
      <c r="BA304">
        <v>4719.05</v>
      </c>
      <c r="BB304">
        <v>4736.8212999999996</v>
      </c>
      <c r="BC304">
        <v>-17.7713</v>
      </c>
      <c r="BD304">
        <v>315.81909999999999</v>
      </c>
      <c r="BE304">
        <v>90601</v>
      </c>
    </row>
    <row r="305" spans="1:57" x14ac:dyDescent="0.55000000000000004">
      <c r="A305">
        <v>1776810602</v>
      </c>
      <c r="B305" t="s">
        <v>72</v>
      </c>
      <c r="C305" t="s">
        <v>73</v>
      </c>
      <c r="D305">
        <v>4716.95</v>
      </c>
      <c r="E305">
        <v>4518.5928199999998</v>
      </c>
      <c r="F305">
        <v>4596.0559499999999</v>
      </c>
      <c r="G305">
        <v>4755.40355</v>
      </c>
      <c r="H305">
        <v>4792.7697200000002</v>
      </c>
      <c r="Q305">
        <v>4736.5536899999997</v>
      </c>
      <c r="R305">
        <v>4765.9169899999997</v>
      </c>
      <c r="S305">
        <v>4792.50576</v>
      </c>
      <c r="V305">
        <v>4701.6139199999998</v>
      </c>
      <c r="W305">
        <v>4668.0489299999999</v>
      </c>
      <c r="AB305">
        <v>4723.0300200000001</v>
      </c>
      <c r="AC305">
        <v>4719.2718000000004</v>
      </c>
      <c r="AD305">
        <v>0</v>
      </c>
      <c r="AK305">
        <v>303</v>
      </c>
      <c r="AL305">
        <v>302</v>
      </c>
      <c r="AM305">
        <v>4716.95</v>
      </c>
      <c r="AN305">
        <v>4736.5537000000004</v>
      </c>
      <c r="AO305">
        <v>-19.6037</v>
      </c>
      <c r="AP305">
        <v>384.30470000000003</v>
      </c>
      <c r="AQ305">
        <v>-0.17331199999999999</v>
      </c>
      <c r="AR305">
        <v>9.6629000000000007E-2</v>
      </c>
      <c r="AY305">
        <v>303</v>
      </c>
      <c r="AZ305">
        <v>302</v>
      </c>
      <c r="BA305">
        <v>4716.95</v>
      </c>
      <c r="BB305">
        <v>4736.5537000000004</v>
      </c>
      <c r="BC305">
        <v>-19.6037</v>
      </c>
      <c r="BD305">
        <v>384.30470000000003</v>
      </c>
      <c r="BE305">
        <v>91204</v>
      </c>
    </row>
    <row r="306" spans="1:57" x14ac:dyDescent="0.55000000000000004">
      <c r="A306">
        <v>1776811502</v>
      </c>
      <c r="B306" t="s">
        <v>72</v>
      </c>
      <c r="C306" t="s">
        <v>73</v>
      </c>
      <c r="D306">
        <v>4719.51</v>
      </c>
      <c r="E306">
        <v>4518.5928199999998</v>
      </c>
      <c r="F306">
        <v>4596.0559499999999</v>
      </c>
      <c r="G306">
        <v>4755.40355</v>
      </c>
      <c r="H306">
        <v>4792.7697200000002</v>
      </c>
      <c r="Q306">
        <v>4736.2860899999996</v>
      </c>
      <c r="R306">
        <v>4765.6493899999996</v>
      </c>
      <c r="S306">
        <v>4792.2381599999999</v>
      </c>
      <c r="V306">
        <v>4701.3463199999997</v>
      </c>
      <c r="W306">
        <v>4667.7813200000001</v>
      </c>
      <c r="AB306">
        <v>4725.9430300000004</v>
      </c>
      <c r="AC306">
        <v>4722.6074200000003</v>
      </c>
      <c r="AD306">
        <v>0</v>
      </c>
      <c r="AK306">
        <v>304</v>
      </c>
      <c r="AL306">
        <v>303</v>
      </c>
      <c r="AM306">
        <v>4719.51</v>
      </c>
      <c r="AN306">
        <v>4736.2861000000003</v>
      </c>
      <c r="AO306">
        <v>-16.7761</v>
      </c>
      <c r="AP306">
        <v>281.43720000000002</v>
      </c>
      <c r="AQ306">
        <v>-0.108615</v>
      </c>
      <c r="AR306">
        <v>5.1822E-2</v>
      </c>
      <c r="AY306">
        <v>304</v>
      </c>
      <c r="AZ306">
        <v>303</v>
      </c>
      <c r="BA306">
        <v>4719.51</v>
      </c>
      <c r="BB306">
        <v>4736.2861000000003</v>
      </c>
      <c r="BC306">
        <v>-16.7761</v>
      </c>
      <c r="BD306">
        <v>281.43720000000002</v>
      </c>
      <c r="BE306">
        <v>91809</v>
      </c>
    </row>
    <row r="307" spans="1:57" x14ac:dyDescent="0.55000000000000004">
      <c r="A307">
        <v>1776812402</v>
      </c>
      <c r="B307" t="s">
        <v>72</v>
      </c>
      <c r="C307" t="s">
        <v>73</v>
      </c>
      <c r="D307">
        <v>4727.47</v>
      </c>
      <c r="E307">
        <v>4518.5928199999998</v>
      </c>
      <c r="F307">
        <v>4596.0559499999999</v>
      </c>
      <c r="G307">
        <v>4755.40355</v>
      </c>
      <c r="H307">
        <v>4792.7697200000002</v>
      </c>
      <c r="Q307">
        <v>4736.0184799999997</v>
      </c>
      <c r="R307">
        <v>4765.3817799999997</v>
      </c>
      <c r="S307">
        <v>4791.97055</v>
      </c>
      <c r="V307">
        <v>4701.0787099999998</v>
      </c>
      <c r="W307">
        <v>4667.5137199999999</v>
      </c>
      <c r="AB307">
        <v>4728.5683300000001</v>
      </c>
      <c r="AC307">
        <v>4725.5878700000003</v>
      </c>
      <c r="AD307">
        <v>0</v>
      </c>
      <c r="AK307">
        <v>305</v>
      </c>
      <c r="AL307">
        <v>304</v>
      </c>
      <c r="AM307">
        <v>4727.47</v>
      </c>
      <c r="AN307">
        <v>4736.0185000000001</v>
      </c>
      <c r="AO307">
        <v>-8.5485000000000007</v>
      </c>
      <c r="AP307">
        <v>73.076499999999996</v>
      </c>
      <c r="AQ307">
        <v>-1.4371E-2</v>
      </c>
      <c r="AR307">
        <v>3.4940000000000001E-3</v>
      </c>
      <c r="AY307">
        <v>305</v>
      </c>
      <c r="AZ307">
        <v>304</v>
      </c>
      <c r="BA307">
        <v>4727.47</v>
      </c>
      <c r="BB307">
        <v>4736.0185000000001</v>
      </c>
      <c r="BC307">
        <v>-8.5485000000000007</v>
      </c>
      <c r="BD307">
        <v>73.076499999999996</v>
      </c>
      <c r="BE307">
        <v>92416</v>
      </c>
    </row>
    <row r="308" spans="1:57" x14ac:dyDescent="0.55000000000000004">
      <c r="A308">
        <v>1776813302</v>
      </c>
      <c r="B308" t="s">
        <v>72</v>
      </c>
      <c r="C308" t="s">
        <v>73</v>
      </c>
      <c r="D308">
        <v>4730</v>
      </c>
      <c r="E308">
        <v>4518.5928199999998</v>
      </c>
      <c r="F308">
        <v>4596.0559499999999</v>
      </c>
      <c r="G308">
        <v>4755.40355</v>
      </c>
      <c r="H308">
        <v>4792.7697200000002</v>
      </c>
      <c r="Q308">
        <v>4735.7508799999996</v>
      </c>
      <c r="R308">
        <v>4765.1141799999996</v>
      </c>
      <c r="S308">
        <v>4791.7029499999999</v>
      </c>
      <c r="V308">
        <v>4700.8111099999996</v>
      </c>
      <c r="W308">
        <v>4667.24611</v>
      </c>
      <c r="AB308">
        <v>4730.9655700000003</v>
      </c>
      <c r="AC308">
        <v>4728.2767199999998</v>
      </c>
      <c r="AD308">
        <v>0</v>
      </c>
      <c r="AK308">
        <v>306</v>
      </c>
      <c r="AL308">
        <v>305</v>
      </c>
      <c r="AM308">
        <v>4730</v>
      </c>
      <c r="AN308">
        <v>4735.7509</v>
      </c>
      <c r="AO308">
        <v>-5.7508999999999997</v>
      </c>
      <c r="AP308">
        <v>33.072600000000001</v>
      </c>
      <c r="AQ308">
        <v>-4.3750000000000004E-3</v>
      </c>
      <c r="AR308">
        <v>7.1599999999999995E-4</v>
      </c>
      <c r="AY308">
        <v>306</v>
      </c>
      <c r="AZ308">
        <v>305</v>
      </c>
      <c r="BA308">
        <v>4730</v>
      </c>
      <c r="BB308">
        <v>4735.7509</v>
      </c>
      <c r="BC308">
        <v>-5.7508999999999997</v>
      </c>
      <c r="BD308">
        <v>33.072600000000001</v>
      </c>
      <c r="BE308">
        <v>93025</v>
      </c>
    </row>
    <row r="309" spans="1:57" x14ac:dyDescent="0.55000000000000004">
      <c r="A309">
        <v>1776814202</v>
      </c>
      <c r="B309" t="s">
        <v>72</v>
      </c>
      <c r="C309" t="s">
        <v>73</v>
      </c>
      <c r="D309">
        <v>4731.9399999999996</v>
      </c>
      <c r="E309">
        <v>4518.5928199999998</v>
      </c>
      <c r="F309">
        <v>4596.0559499999999</v>
      </c>
      <c r="G309">
        <v>4755.40355</v>
      </c>
      <c r="H309">
        <v>4792.7697200000002</v>
      </c>
      <c r="Q309">
        <v>4735.4832800000004</v>
      </c>
      <c r="R309">
        <v>4764.8465699999997</v>
      </c>
      <c r="S309">
        <v>4791.4353499999997</v>
      </c>
      <c r="V309">
        <v>4700.5435100000004</v>
      </c>
      <c r="W309">
        <v>4666.9785099999999</v>
      </c>
      <c r="AB309">
        <v>4733.2586000000001</v>
      </c>
      <c r="AC309">
        <v>4730.7676600000004</v>
      </c>
      <c r="AD309">
        <v>0</v>
      </c>
      <c r="AK309">
        <v>307</v>
      </c>
      <c r="AL309">
        <v>306</v>
      </c>
      <c r="AM309">
        <v>4731.9399999999996</v>
      </c>
      <c r="AN309">
        <v>4735.4832999999999</v>
      </c>
      <c r="AO309">
        <v>-3.5432999999999999</v>
      </c>
      <c r="AP309">
        <v>12.5548</v>
      </c>
      <c r="AQ309">
        <v>-1.023E-3</v>
      </c>
      <c r="AR309">
        <v>1.03E-4</v>
      </c>
      <c r="AY309">
        <v>307</v>
      </c>
      <c r="AZ309">
        <v>306</v>
      </c>
      <c r="BA309">
        <v>4731.9399999999996</v>
      </c>
      <c r="BB309">
        <v>4735.4832999999999</v>
      </c>
      <c r="BC309">
        <v>-3.5432999999999999</v>
      </c>
      <c r="BD309">
        <v>12.5548</v>
      </c>
      <c r="BE309">
        <v>93636</v>
      </c>
    </row>
    <row r="310" spans="1:57" x14ac:dyDescent="0.55000000000000004">
      <c r="A310">
        <v>1776815102</v>
      </c>
      <c r="B310" t="s">
        <v>72</v>
      </c>
      <c r="C310" t="s">
        <v>73</v>
      </c>
      <c r="D310">
        <v>4737.96</v>
      </c>
      <c r="E310">
        <v>4518.5928199999998</v>
      </c>
      <c r="F310">
        <v>4596.0559499999999</v>
      </c>
      <c r="G310">
        <v>4755.40355</v>
      </c>
      <c r="H310">
        <v>4792.7697200000002</v>
      </c>
      <c r="Q310">
        <v>4735.2156699999996</v>
      </c>
      <c r="R310">
        <v>4764.5789699999996</v>
      </c>
      <c r="S310">
        <v>4791.1677399999999</v>
      </c>
      <c r="V310">
        <v>4700.2758999999996</v>
      </c>
      <c r="W310">
        <v>4666.7109</v>
      </c>
      <c r="AB310">
        <v>4735.5027799999998</v>
      </c>
      <c r="AC310">
        <v>4733.1352200000001</v>
      </c>
      <c r="AD310">
        <v>0</v>
      </c>
      <c r="AK310">
        <v>308</v>
      </c>
      <c r="AL310">
        <v>307</v>
      </c>
      <c r="AM310">
        <v>4737.96</v>
      </c>
      <c r="AN310">
        <v>4735.2156999999997</v>
      </c>
      <c r="AO310">
        <v>2.7443</v>
      </c>
      <c r="AP310">
        <v>7.5312999999999999</v>
      </c>
      <c r="AQ310">
        <v>4.75E-4</v>
      </c>
      <c r="AR310">
        <v>3.6999999999999998E-5</v>
      </c>
      <c r="AY310">
        <v>308</v>
      </c>
      <c r="AZ310">
        <v>307</v>
      </c>
      <c r="BA310">
        <v>4737.96</v>
      </c>
      <c r="BB310">
        <v>4735.2156999999997</v>
      </c>
      <c r="BC310">
        <v>2.7443</v>
      </c>
      <c r="BD310">
        <v>7.5312999999999999</v>
      </c>
      <c r="BE310">
        <v>94249</v>
      </c>
    </row>
    <row r="311" spans="1:57" x14ac:dyDescent="0.55000000000000004">
      <c r="A311">
        <v>1776816002</v>
      </c>
      <c r="B311" t="s">
        <v>72</v>
      </c>
      <c r="C311" t="s">
        <v>73</v>
      </c>
      <c r="D311">
        <v>4742.93</v>
      </c>
      <c r="E311">
        <v>4518.5928199999998</v>
      </c>
      <c r="F311">
        <v>4596.0559499999999</v>
      </c>
      <c r="G311">
        <v>4755.40355</v>
      </c>
      <c r="H311">
        <v>4792.7697200000002</v>
      </c>
      <c r="Q311">
        <v>4734.9480700000004</v>
      </c>
      <c r="R311">
        <v>4764.3113700000004</v>
      </c>
      <c r="S311">
        <v>4790.9001399999997</v>
      </c>
      <c r="V311">
        <v>4700.0083000000004</v>
      </c>
      <c r="W311">
        <v>4666.4432999999999</v>
      </c>
      <c r="AB311">
        <v>4737.5974999999999</v>
      </c>
      <c r="AC311">
        <v>4735.36636</v>
      </c>
      <c r="AD311">
        <v>0</v>
      </c>
      <c r="AK311">
        <v>309</v>
      </c>
      <c r="AL311">
        <v>308</v>
      </c>
      <c r="AM311">
        <v>4742.93</v>
      </c>
      <c r="AN311">
        <v>4734.9480999999996</v>
      </c>
      <c r="AO311">
        <v>7.9819000000000004</v>
      </c>
      <c r="AP311">
        <v>63.711199999999998</v>
      </c>
      <c r="AQ311">
        <v>1.1698999999999999E-2</v>
      </c>
      <c r="AR311">
        <v>2.6559999999999999E-3</v>
      </c>
      <c r="AY311">
        <v>309</v>
      </c>
      <c r="AZ311">
        <v>308</v>
      </c>
      <c r="BA311">
        <v>4742.93</v>
      </c>
      <c r="BB311">
        <v>4734.9480999999996</v>
      </c>
      <c r="BC311">
        <v>7.9819000000000004</v>
      </c>
      <c r="BD311">
        <v>63.711199999999998</v>
      </c>
      <c r="BE311">
        <v>94864</v>
      </c>
    </row>
    <row r="312" spans="1:57" x14ac:dyDescent="0.55000000000000004">
      <c r="A312">
        <v>1776816902</v>
      </c>
      <c r="B312" t="s">
        <v>72</v>
      </c>
      <c r="C312" t="s">
        <v>73</v>
      </c>
      <c r="D312">
        <v>4742.51</v>
      </c>
      <c r="E312">
        <v>4518.5928199999998</v>
      </c>
      <c r="F312">
        <v>4596.0559499999999</v>
      </c>
      <c r="G312">
        <v>4755.40355</v>
      </c>
      <c r="H312">
        <v>4792.7697200000002</v>
      </c>
      <c r="Q312">
        <v>4734.6804599999996</v>
      </c>
      <c r="R312">
        <v>4764.0437599999996</v>
      </c>
      <c r="S312">
        <v>4790.6325299999999</v>
      </c>
      <c r="V312">
        <v>4699.7406899999996</v>
      </c>
      <c r="W312">
        <v>4666.1756999999998</v>
      </c>
      <c r="AB312">
        <v>4739.4390299999995</v>
      </c>
      <c r="AC312">
        <v>4737.4026999999996</v>
      </c>
      <c r="AD312">
        <v>0</v>
      </c>
      <c r="AK312">
        <v>310</v>
      </c>
      <c r="AL312">
        <v>309</v>
      </c>
      <c r="AM312">
        <v>4742.51</v>
      </c>
      <c r="AN312">
        <v>4734.6805000000004</v>
      </c>
      <c r="AO312">
        <v>7.8295000000000003</v>
      </c>
      <c r="AP312">
        <v>61.301699999999997</v>
      </c>
      <c r="AQ312">
        <v>1.1041E-2</v>
      </c>
      <c r="AR312">
        <v>2.4589999999999998E-3</v>
      </c>
      <c r="AY312">
        <v>310</v>
      </c>
      <c r="AZ312">
        <v>309</v>
      </c>
      <c r="BA312">
        <v>4742.51</v>
      </c>
      <c r="BB312">
        <v>4734.6805000000004</v>
      </c>
      <c r="BC312">
        <v>7.8295000000000003</v>
      </c>
      <c r="BD312">
        <v>61.301699999999997</v>
      </c>
      <c r="BE312">
        <v>95481</v>
      </c>
    </row>
    <row r="313" spans="1:57" x14ac:dyDescent="0.55000000000000004">
      <c r="A313">
        <v>1776817802</v>
      </c>
      <c r="B313" t="s">
        <v>72</v>
      </c>
      <c r="C313" t="s">
        <v>73</v>
      </c>
      <c r="D313">
        <v>4742.1099999999997</v>
      </c>
      <c r="E313">
        <v>4518.5928199999998</v>
      </c>
      <c r="F313">
        <v>4596.0559499999999</v>
      </c>
      <c r="G313">
        <v>4755.40355</v>
      </c>
      <c r="H313">
        <v>4792.7697200000002</v>
      </c>
      <c r="Q313">
        <v>4734.4128600000004</v>
      </c>
      <c r="R313">
        <v>4763.7761600000003</v>
      </c>
      <c r="S313">
        <v>4790.3649299999997</v>
      </c>
      <c r="V313">
        <v>4699.4730900000004</v>
      </c>
      <c r="W313">
        <v>4665.9080899999999</v>
      </c>
      <c r="AB313">
        <v>4741.1049800000001</v>
      </c>
      <c r="AC313">
        <v>4739.2538400000003</v>
      </c>
      <c r="AD313">
        <v>0</v>
      </c>
      <c r="AK313">
        <v>311</v>
      </c>
      <c r="AL313">
        <v>310</v>
      </c>
      <c r="AM313">
        <v>4742.1099999999997</v>
      </c>
      <c r="AN313">
        <v>4734.4129000000003</v>
      </c>
      <c r="AO313">
        <v>7.6970999999999998</v>
      </c>
      <c r="AP313">
        <v>59.246000000000002</v>
      </c>
      <c r="AQ313">
        <v>1.0491E-2</v>
      </c>
      <c r="AR313">
        <v>2.297E-3</v>
      </c>
      <c r="AY313">
        <v>311</v>
      </c>
      <c r="AZ313">
        <v>310</v>
      </c>
      <c r="BA313">
        <v>4742.1099999999997</v>
      </c>
      <c r="BB313">
        <v>4734.4129000000003</v>
      </c>
      <c r="BC313">
        <v>7.6970999999999998</v>
      </c>
      <c r="BD313">
        <v>59.246000000000002</v>
      </c>
      <c r="BE313">
        <v>96100</v>
      </c>
    </row>
    <row r="314" spans="1:57" x14ac:dyDescent="0.55000000000000004">
      <c r="A314">
        <v>1776818702</v>
      </c>
      <c r="B314" t="s">
        <v>72</v>
      </c>
      <c r="C314" t="s">
        <v>73</v>
      </c>
      <c r="D314">
        <v>4739.7700000000004</v>
      </c>
      <c r="E314">
        <v>4518.5928199999998</v>
      </c>
      <c r="F314">
        <v>4596.0559499999999</v>
      </c>
      <c r="G314">
        <v>4755.40355</v>
      </c>
      <c r="H314">
        <v>4792.7697200000002</v>
      </c>
      <c r="Q314">
        <v>4734.1452600000002</v>
      </c>
      <c r="R314">
        <v>4763.5085499999996</v>
      </c>
      <c r="S314">
        <v>4790.0973199999999</v>
      </c>
      <c r="V314">
        <v>4699.2054799999996</v>
      </c>
      <c r="W314">
        <v>4665.6404899999998</v>
      </c>
      <c r="AB314">
        <v>4742.7174100000002</v>
      </c>
      <c r="AC314">
        <v>4740.9856200000004</v>
      </c>
      <c r="AD314">
        <v>0</v>
      </c>
      <c r="AK314">
        <v>312</v>
      </c>
      <c r="AL314">
        <v>311</v>
      </c>
      <c r="AM314">
        <v>4739.7700000000004</v>
      </c>
      <c r="AN314">
        <v>4734.1453000000001</v>
      </c>
      <c r="AO314">
        <v>5.6246999999999998</v>
      </c>
      <c r="AP314">
        <v>31.637699999999999</v>
      </c>
      <c r="AQ314">
        <v>4.0940000000000004E-3</v>
      </c>
      <c r="AR314">
        <v>6.5499999999999998E-4</v>
      </c>
      <c r="AY314">
        <v>312</v>
      </c>
      <c r="AZ314">
        <v>311</v>
      </c>
      <c r="BA314">
        <v>4739.7700000000004</v>
      </c>
      <c r="BB314">
        <v>4734.1453000000001</v>
      </c>
      <c r="BC314">
        <v>5.6246999999999998</v>
      </c>
      <c r="BD314">
        <v>31.637699999999999</v>
      </c>
      <c r="BE314">
        <v>96721</v>
      </c>
    </row>
    <row r="315" spans="1:57" x14ac:dyDescent="0.55000000000000004">
      <c r="A315">
        <v>1776819602</v>
      </c>
      <c r="B315" t="s">
        <v>72</v>
      </c>
      <c r="C315" t="s">
        <v>73</v>
      </c>
      <c r="D315">
        <v>4738.28</v>
      </c>
      <c r="E315">
        <v>4518.5928199999998</v>
      </c>
      <c r="F315">
        <v>4596.0559499999999</v>
      </c>
      <c r="G315">
        <v>4755.40355</v>
      </c>
      <c r="H315">
        <v>4792.7697200000002</v>
      </c>
      <c r="Q315">
        <v>4733.8776500000004</v>
      </c>
      <c r="R315">
        <v>4763.2409500000003</v>
      </c>
      <c r="S315">
        <v>4789.8297199999997</v>
      </c>
      <c r="V315">
        <v>4698.9378800000004</v>
      </c>
      <c r="W315">
        <v>4665.3728799999999</v>
      </c>
      <c r="AB315">
        <v>4744.4661699999997</v>
      </c>
      <c r="AC315">
        <v>4742.7259000000004</v>
      </c>
      <c r="AD315">
        <v>0</v>
      </c>
      <c r="AK315">
        <v>313</v>
      </c>
      <c r="AL315">
        <v>312</v>
      </c>
      <c r="AM315">
        <v>4738.28</v>
      </c>
      <c r="AN315">
        <v>4733.8777</v>
      </c>
      <c r="AO315">
        <v>4.4023000000000003</v>
      </c>
      <c r="AP315">
        <v>19.380700000000001</v>
      </c>
      <c r="AQ315">
        <v>1.9629999999999999E-3</v>
      </c>
      <c r="AR315">
        <v>2.4600000000000002E-4</v>
      </c>
      <c r="AY315">
        <v>313</v>
      </c>
      <c r="AZ315">
        <v>312</v>
      </c>
      <c r="BA315">
        <v>4738.28</v>
      </c>
      <c r="BB315">
        <v>4733.8777</v>
      </c>
      <c r="BC315">
        <v>4.4023000000000003</v>
      </c>
      <c r="BD315">
        <v>19.380700000000001</v>
      </c>
      <c r="BE315">
        <v>97344</v>
      </c>
    </row>
    <row r="316" spans="1:57" x14ac:dyDescent="0.55000000000000004">
      <c r="A316">
        <v>1776820502</v>
      </c>
      <c r="B316" t="s">
        <v>72</v>
      </c>
      <c r="C316" t="s">
        <v>73</v>
      </c>
      <c r="D316">
        <v>4746.5200000000004</v>
      </c>
      <c r="E316">
        <v>4518.5928199999998</v>
      </c>
      <c r="F316">
        <v>4596.0559499999999</v>
      </c>
      <c r="G316">
        <v>4755.40355</v>
      </c>
      <c r="H316">
        <v>4792.7697200000002</v>
      </c>
      <c r="Q316">
        <v>4733.6100500000002</v>
      </c>
      <c r="R316">
        <v>4762.9733500000002</v>
      </c>
      <c r="S316">
        <v>4789.5621199999996</v>
      </c>
      <c r="V316">
        <v>4698.6702800000003</v>
      </c>
      <c r="W316">
        <v>4665.1052799999998</v>
      </c>
      <c r="AB316">
        <v>4746.4741000000004</v>
      </c>
      <c r="AC316">
        <v>4744.6000000000004</v>
      </c>
      <c r="AD316">
        <v>0</v>
      </c>
      <c r="AK316">
        <v>314</v>
      </c>
      <c r="AL316">
        <v>313</v>
      </c>
      <c r="AM316">
        <v>4746.5200000000004</v>
      </c>
      <c r="AN316">
        <v>4733.6100999999999</v>
      </c>
      <c r="AO316">
        <v>12.91</v>
      </c>
      <c r="AP316">
        <v>166.66679999999999</v>
      </c>
      <c r="AQ316">
        <v>4.9498E-2</v>
      </c>
      <c r="AR316">
        <v>1.8173999999999999E-2</v>
      </c>
      <c r="AY316">
        <v>314</v>
      </c>
      <c r="AZ316">
        <v>313</v>
      </c>
      <c r="BA316">
        <v>4746.5200000000004</v>
      </c>
      <c r="BB316">
        <v>4733.6100999999999</v>
      </c>
      <c r="BC316">
        <v>12.91</v>
      </c>
      <c r="BD316">
        <v>166.66679999999999</v>
      </c>
      <c r="BE316">
        <v>97969</v>
      </c>
    </row>
    <row r="317" spans="1:57" x14ac:dyDescent="0.55000000000000004">
      <c r="A317">
        <v>1776821402</v>
      </c>
      <c r="B317" t="s">
        <v>72</v>
      </c>
      <c r="C317" t="s">
        <v>73</v>
      </c>
      <c r="D317">
        <v>4749.74</v>
      </c>
      <c r="E317">
        <v>4518.5928199999998</v>
      </c>
      <c r="F317">
        <v>4596.0559499999999</v>
      </c>
      <c r="G317">
        <v>4755.40355</v>
      </c>
      <c r="H317">
        <v>4792.7697200000002</v>
      </c>
      <c r="Q317">
        <v>4733.3424400000004</v>
      </c>
      <c r="R317">
        <v>4762.7057400000003</v>
      </c>
      <c r="S317">
        <v>4789.2945099999997</v>
      </c>
      <c r="V317">
        <v>4698.4026700000004</v>
      </c>
      <c r="W317">
        <v>4664.8376799999996</v>
      </c>
      <c r="AB317">
        <v>4748.5721100000001</v>
      </c>
      <c r="AC317">
        <v>4746.5860499999999</v>
      </c>
      <c r="AD317">
        <v>0</v>
      </c>
      <c r="AK317">
        <v>315</v>
      </c>
      <c r="AL317">
        <v>314</v>
      </c>
      <c r="AM317">
        <v>4749.74</v>
      </c>
      <c r="AN317">
        <v>4733.3424000000005</v>
      </c>
      <c r="AO317">
        <v>16.397600000000001</v>
      </c>
      <c r="AP317">
        <v>268.88</v>
      </c>
      <c r="AQ317">
        <v>0.101427</v>
      </c>
      <c r="AR317">
        <v>4.7301000000000003E-2</v>
      </c>
      <c r="AY317">
        <v>315</v>
      </c>
      <c r="AZ317">
        <v>314</v>
      </c>
      <c r="BA317">
        <v>4749.74</v>
      </c>
      <c r="BB317">
        <v>4733.3424000000005</v>
      </c>
      <c r="BC317">
        <v>16.397600000000001</v>
      </c>
      <c r="BD317">
        <v>268.88</v>
      </c>
      <c r="BE317">
        <v>98596</v>
      </c>
    </row>
    <row r="318" spans="1:57" x14ac:dyDescent="0.55000000000000004">
      <c r="A318">
        <v>1776822302</v>
      </c>
      <c r="B318" t="s">
        <v>72</v>
      </c>
      <c r="C318" t="s">
        <v>73</v>
      </c>
      <c r="D318">
        <v>4752.3100000000004</v>
      </c>
      <c r="E318">
        <v>4518.5928199999998</v>
      </c>
      <c r="F318">
        <v>4596.0559499999999</v>
      </c>
      <c r="G318">
        <v>4755.40355</v>
      </c>
      <c r="H318">
        <v>4792.7697200000002</v>
      </c>
      <c r="Q318">
        <v>4733.0748400000002</v>
      </c>
      <c r="R318">
        <v>4762.4381400000002</v>
      </c>
      <c r="S318">
        <v>4789.0269099999996</v>
      </c>
      <c r="V318">
        <v>4698.1350700000003</v>
      </c>
      <c r="W318">
        <v>4664.5700699999998</v>
      </c>
      <c r="AB318">
        <v>4750.6824999999999</v>
      </c>
      <c r="AC318">
        <v>4748.6342800000002</v>
      </c>
      <c r="AD318">
        <v>0</v>
      </c>
      <c r="AK318">
        <v>316</v>
      </c>
      <c r="AL318">
        <v>315</v>
      </c>
      <c r="AM318">
        <v>4752.3100000000004</v>
      </c>
      <c r="AN318">
        <v>4733.0748000000003</v>
      </c>
      <c r="AO318">
        <v>19.235199999999999</v>
      </c>
      <c r="AP318">
        <v>369.9914</v>
      </c>
      <c r="AQ318">
        <v>0.16372</v>
      </c>
      <c r="AR318">
        <v>8.9565000000000006E-2</v>
      </c>
      <c r="AY318">
        <v>316</v>
      </c>
      <c r="AZ318">
        <v>315</v>
      </c>
      <c r="BA318">
        <v>4752.3100000000004</v>
      </c>
      <c r="BB318">
        <v>4733.0748000000003</v>
      </c>
      <c r="BC318">
        <v>19.235199999999999</v>
      </c>
      <c r="BD318">
        <v>369.9914</v>
      </c>
      <c r="BE318">
        <v>99225</v>
      </c>
    </row>
    <row r="319" spans="1:57" x14ac:dyDescent="0.55000000000000004">
      <c r="A319">
        <v>1776823202</v>
      </c>
      <c r="B319" t="s">
        <v>72</v>
      </c>
      <c r="C319" t="s">
        <v>73</v>
      </c>
      <c r="D319">
        <v>4755.68</v>
      </c>
      <c r="E319">
        <v>4518.5928199999998</v>
      </c>
      <c r="F319">
        <v>4596.0559499999999</v>
      </c>
      <c r="G319">
        <v>4755.40355</v>
      </c>
      <c r="H319">
        <v>4792.7697200000002</v>
      </c>
      <c r="Q319">
        <v>4732.8072300000003</v>
      </c>
      <c r="R319">
        <v>4762.1705300000003</v>
      </c>
      <c r="S319">
        <v>4788.7592999999997</v>
      </c>
      <c r="V319">
        <v>4697.8674600000004</v>
      </c>
      <c r="W319">
        <v>4664.3024699999996</v>
      </c>
      <c r="AB319">
        <v>4752.7290199999998</v>
      </c>
      <c r="AC319">
        <v>4750.6816500000004</v>
      </c>
      <c r="AD319">
        <v>0</v>
      </c>
      <c r="AK319">
        <v>317</v>
      </c>
      <c r="AL319">
        <v>316</v>
      </c>
      <c r="AM319">
        <v>4755.68</v>
      </c>
      <c r="AN319">
        <v>4732.8072000000002</v>
      </c>
      <c r="AO319">
        <v>22.872800000000002</v>
      </c>
      <c r="AP319">
        <v>523.16359999999997</v>
      </c>
      <c r="AQ319">
        <v>0.27527800000000002</v>
      </c>
      <c r="AR319">
        <v>0.17907300000000001</v>
      </c>
      <c r="AY319">
        <v>317</v>
      </c>
      <c r="AZ319">
        <v>316</v>
      </c>
      <c r="BA319">
        <v>4755.68</v>
      </c>
      <c r="BB319">
        <v>4732.8072000000002</v>
      </c>
      <c r="BC319">
        <v>22.872800000000002</v>
      </c>
      <c r="BD319">
        <v>523.16359999999997</v>
      </c>
      <c r="BE319">
        <v>99856</v>
      </c>
    </row>
    <row r="320" spans="1:57" x14ac:dyDescent="0.55000000000000004">
      <c r="A320">
        <v>1776824102</v>
      </c>
      <c r="B320" t="s">
        <v>72</v>
      </c>
      <c r="C320" t="s">
        <v>73</v>
      </c>
      <c r="D320">
        <v>4755.59</v>
      </c>
      <c r="E320">
        <v>4518.5928199999998</v>
      </c>
      <c r="F320">
        <v>4596.0559499999999</v>
      </c>
      <c r="G320">
        <v>4755.40355</v>
      </c>
      <c r="H320">
        <v>4792.7697200000002</v>
      </c>
      <c r="Q320">
        <v>4732.5396300000002</v>
      </c>
      <c r="R320">
        <v>4761.9029300000002</v>
      </c>
      <c r="S320">
        <v>4788.4916999999996</v>
      </c>
      <c r="V320">
        <v>4697.5998600000003</v>
      </c>
      <c r="W320">
        <v>4664.0348599999998</v>
      </c>
      <c r="AB320">
        <v>4754.5365000000002</v>
      </c>
      <c r="AC320">
        <v>4752.6090700000004</v>
      </c>
      <c r="AD320">
        <v>0</v>
      </c>
      <c r="AK320">
        <v>318</v>
      </c>
      <c r="AL320">
        <v>317</v>
      </c>
      <c r="AM320">
        <v>4755.59</v>
      </c>
      <c r="AN320">
        <v>4732.5396000000001</v>
      </c>
      <c r="AO320">
        <v>23.0504</v>
      </c>
      <c r="AP320">
        <v>531.31960000000004</v>
      </c>
      <c r="AQ320">
        <v>0.28174100000000002</v>
      </c>
      <c r="AR320">
        <v>0.184699</v>
      </c>
      <c r="AY320">
        <v>318</v>
      </c>
      <c r="AZ320">
        <v>317</v>
      </c>
      <c r="BA320">
        <v>4755.59</v>
      </c>
      <c r="BB320">
        <v>4732.5396000000001</v>
      </c>
      <c r="BC320">
        <v>23.0504</v>
      </c>
      <c r="BD320">
        <v>531.31960000000004</v>
      </c>
      <c r="BE320">
        <v>100489</v>
      </c>
    </row>
    <row r="321" spans="1:57" x14ac:dyDescent="0.55000000000000004">
      <c r="A321">
        <v>1776825002</v>
      </c>
      <c r="B321" t="s">
        <v>72</v>
      </c>
      <c r="C321" t="s">
        <v>73</v>
      </c>
      <c r="D321">
        <v>4751.37</v>
      </c>
      <c r="E321">
        <v>4518.5928199999998</v>
      </c>
      <c r="F321">
        <v>4596.0559499999999</v>
      </c>
      <c r="G321">
        <v>4755.40355</v>
      </c>
      <c r="H321">
        <v>4792.7697200000002</v>
      </c>
      <c r="Q321">
        <v>4732.2720300000001</v>
      </c>
      <c r="R321">
        <v>4761.6353300000001</v>
      </c>
      <c r="S321">
        <v>4788.2241000000004</v>
      </c>
      <c r="V321">
        <v>4697.3322600000001</v>
      </c>
      <c r="W321">
        <v>4663.7672599999996</v>
      </c>
      <c r="AB321">
        <v>4756.0619699999997</v>
      </c>
      <c r="AC321">
        <v>4754.3355199999996</v>
      </c>
      <c r="AD321">
        <v>0</v>
      </c>
      <c r="AK321">
        <v>319</v>
      </c>
      <c r="AL321">
        <v>318</v>
      </c>
      <c r="AM321">
        <v>4751.37</v>
      </c>
      <c r="AN321">
        <v>4732.2719999999999</v>
      </c>
      <c r="AO321">
        <v>19.097999999999999</v>
      </c>
      <c r="AP321">
        <v>364.73250000000002</v>
      </c>
      <c r="AQ321">
        <v>0.160242</v>
      </c>
      <c r="AR321">
        <v>8.7037000000000003E-2</v>
      </c>
      <c r="AY321">
        <v>319</v>
      </c>
      <c r="AZ321">
        <v>318</v>
      </c>
      <c r="BA321">
        <v>4751.37</v>
      </c>
      <c r="BB321">
        <v>4732.2719999999999</v>
      </c>
      <c r="BC321">
        <v>19.097999999999999</v>
      </c>
      <c r="BD321">
        <v>364.73250000000002</v>
      </c>
      <c r="BE321">
        <v>101124</v>
      </c>
    </row>
    <row r="322" spans="1:57" x14ac:dyDescent="0.55000000000000004">
      <c r="A322">
        <v>1776825902</v>
      </c>
      <c r="B322" t="s">
        <v>72</v>
      </c>
      <c r="C322" t="s">
        <v>73</v>
      </c>
      <c r="D322">
        <v>4755.8100000000004</v>
      </c>
      <c r="E322">
        <v>4518.5928199999998</v>
      </c>
      <c r="F322">
        <v>4596.0559499999999</v>
      </c>
      <c r="G322">
        <v>4755.40355</v>
      </c>
      <c r="H322">
        <v>4792.7697200000002</v>
      </c>
      <c r="Q322">
        <v>4732.0044200000002</v>
      </c>
      <c r="R322">
        <v>4761.3677200000002</v>
      </c>
      <c r="S322">
        <v>4787.9564899999996</v>
      </c>
      <c r="V322">
        <v>4697.0646500000003</v>
      </c>
      <c r="W322">
        <v>4663.4996600000004</v>
      </c>
      <c r="AB322">
        <v>4757.3758699999998</v>
      </c>
      <c r="AC322">
        <v>4755.8557000000001</v>
      </c>
      <c r="AD322">
        <v>0</v>
      </c>
      <c r="AK322">
        <v>320</v>
      </c>
      <c r="AL322">
        <v>319</v>
      </c>
      <c r="AM322">
        <v>4755.8100000000004</v>
      </c>
      <c r="AN322">
        <v>4732.0043999999998</v>
      </c>
      <c r="AO322">
        <v>23.805599999999998</v>
      </c>
      <c r="AP322">
        <v>566.7056</v>
      </c>
      <c r="AQ322">
        <v>0.31035000000000001</v>
      </c>
      <c r="AR322">
        <v>0.210121</v>
      </c>
      <c r="AY322">
        <v>320</v>
      </c>
      <c r="AZ322">
        <v>319</v>
      </c>
      <c r="BA322">
        <v>4755.8100000000004</v>
      </c>
      <c r="BB322">
        <v>4732.0043999999998</v>
      </c>
      <c r="BC322">
        <v>23.805599999999998</v>
      </c>
      <c r="BD322">
        <v>566.7056</v>
      </c>
      <c r="BE322">
        <v>101761</v>
      </c>
    </row>
    <row r="323" spans="1:57" x14ac:dyDescent="0.55000000000000004">
      <c r="A323">
        <v>1776826802</v>
      </c>
      <c r="B323" t="s">
        <v>72</v>
      </c>
      <c r="C323" t="s">
        <v>73</v>
      </c>
      <c r="D323">
        <v>4757.6099999999997</v>
      </c>
      <c r="E323">
        <v>4518.5928199999998</v>
      </c>
      <c r="F323">
        <v>4596.0559499999999</v>
      </c>
      <c r="G323">
        <v>4755.40355</v>
      </c>
      <c r="H323">
        <v>4792.7697200000002</v>
      </c>
      <c r="Q323">
        <v>4731.7368200000001</v>
      </c>
      <c r="R323">
        <v>4761.1001200000001</v>
      </c>
      <c r="S323">
        <v>4787.6888900000004</v>
      </c>
      <c r="V323">
        <v>4696.7970500000001</v>
      </c>
      <c r="W323">
        <v>4663.2320499999996</v>
      </c>
      <c r="AB323">
        <v>4758.2846200000004</v>
      </c>
      <c r="AC323">
        <v>4757.0701600000002</v>
      </c>
      <c r="AD323">
        <v>0</v>
      </c>
      <c r="AK323">
        <v>321</v>
      </c>
      <c r="AL323">
        <v>320</v>
      </c>
      <c r="AM323">
        <v>4757.6099999999997</v>
      </c>
      <c r="AN323">
        <v>4731.7367999999997</v>
      </c>
      <c r="AO323">
        <v>25.873200000000001</v>
      </c>
      <c r="AP323">
        <v>669.42139999999995</v>
      </c>
      <c r="AQ323">
        <v>0.39844200000000002</v>
      </c>
      <c r="AR323">
        <v>0.29319299999999998</v>
      </c>
      <c r="AY323">
        <v>321</v>
      </c>
      <c r="AZ323">
        <v>320</v>
      </c>
      <c r="BA323">
        <v>4757.6099999999997</v>
      </c>
      <c r="BB323">
        <v>4731.7367999999997</v>
      </c>
      <c r="BC323">
        <v>25.873200000000001</v>
      </c>
      <c r="BD323">
        <v>669.42139999999995</v>
      </c>
      <c r="BE323">
        <v>102400</v>
      </c>
    </row>
    <row r="324" spans="1:57" x14ac:dyDescent="0.55000000000000004">
      <c r="A324">
        <v>1776827702</v>
      </c>
      <c r="B324" t="s">
        <v>72</v>
      </c>
      <c r="C324" t="s">
        <v>73</v>
      </c>
      <c r="D324">
        <v>4763.12</v>
      </c>
      <c r="E324">
        <v>4518.5928199999998</v>
      </c>
      <c r="F324">
        <v>4596.0559499999999</v>
      </c>
      <c r="G324">
        <v>4755.40355</v>
      </c>
      <c r="H324">
        <v>4792.7697200000002</v>
      </c>
      <c r="Q324">
        <v>4731.4692100000002</v>
      </c>
      <c r="R324">
        <v>4760.8325100000002</v>
      </c>
      <c r="S324">
        <v>4787.4212799999996</v>
      </c>
      <c r="V324">
        <v>4696.5294400000002</v>
      </c>
      <c r="W324">
        <v>4662.9644500000004</v>
      </c>
      <c r="AB324">
        <v>4758.6765400000004</v>
      </c>
      <c r="AC324">
        <v>4757.8733499999998</v>
      </c>
      <c r="AD324">
        <v>0</v>
      </c>
      <c r="AK324">
        <v>322</v>
      </c>
      <c r="AL324">
        <v>321</v>
      </c>
      <c r="AM324">
        <v>4763.12</v>
      </c>
      <c r="AN324">
        <v>4731.4691999999995</v>
      </c>
      <c r="AO324">
        <v>31.6508</v>
      </c>
      <c r="AP324">
        <v>1001.7725</v>
      </c>
      <c r="AQ324">
        <v>0.729406</v>
      </c>
      <c r="AR324">
        <v>0.65658700000000003</v>
      </c>
      <c r="AY324">
        <v>322</v>
      </c>
      <c r="AZ324">
        <v>321</v>
      </c>
      <c r="BA324">
        <v>4763.12</v>
      </c>
      <c r="BB324">
        <v>4731.4691999999995</v>
      </c>
      <c r="BC324">
        <v>31.6508</v>
      </c>
      <c r="BD324">
        <v>1001.7725</v>
      </c>
      <c r="BE324">
        <v>103041</v>
      </c>
    </row>
    <row r="325" spans="1:57" x14ac:dyDescent="0.55000000000000004">
      <c r="A325">
        <v>1776828602</v>
      </c>
      <c r="B325" t="s">
        <v>72</v>
      </c>
      <c r="C325" t="s">
        <v>73</v>
      </c>
      <c r="D325">
        <v>4759.16</v>
      </c>
      <c r="E325">
        <v>4518.5928199999998</v>
      </c>
      <c r="F325">
        <v>4596.0559499999999</v>
      </c>
      <c r="G325">
        <v>4755.40355</v>
      </c>
      <c r="H325">
        <v>4792.7697200000002</v>
      </c>
      <c r="Q325">
        <v>4731.2016100000001</v>
      </c>
      <c r="R325">
        <v>4760.5649100000001</v>
      </c>
      <c r="S325">
        <v>4787.1536800000003</v>
      </c>
      <c r="V325">
        <v>4696.2618400000001</v>
      </c>
      <c r="W325">
        <v>4662.6968399999996</v>
      </c>
      <c r="AB325">
        <v>4758.4253399999998</v>
      </c>
      <c r="AC325">
        <v>4758.1493399999999</v>
      </c>
      <c r="AD325">
        <v>0</v>
      </c>
      <c r="AK325">
        <v>323</v>
      </c>
      <c r="AL325">
        <v>322</v>
      </c>
      <c r="AM325">
        <v>4759.16</v>
      </c>
      <c r="AN325">
        <v>4731.2016000000003</v>
      </c>
      <c r="AO325">
        <v>27.958400000000001</v>
      </c>
      <c r="AP325">
        <v>781.67160000000001</v>
      </c>
      <c r="AQ325">
        <v>0.50275000000000003</v>
      </c>
      <c r="AR325">
        <v>0.39976299999999998</v>
      </c>
      <c r="AY325">
        <v>323</v>
      </c>
      <c r="AZ325">
        <v>322</v>
      </c>
      <c r="BA325">
        <v>4759.16</v>
      </c>
      <c r="BB325">
        <v>4731.2016000000003</v>
      </c>
      <c r="BC325">
        <v>27.958400000000001</v>
      </c>
      <c r="BD325">
        <v>781.67160000000001</v>
      </c>
      <c r="BE325">
        <v>103684</v>
      </c>
    </row>
    <row r="326" spans="1:57" x14ac:dyDescent="0.55000000000000004">
      <c r="A326">
        <v>1776829502</v>
      </c>
      <c r="B326" t="s">
        <v>72</v>
      </c>
      <c r="C326" t="s">
        <v>73</v>
      </c>
      <c r="D326">
        <v>4758.09</v>
      </c>
      <c r="E326">
        <v>4518.5928199999998</v>
      </c>
      <c r="F326">
        <v>4596.0559499999999</v>
      </c>
      <c r="G326">
        <v>4755.40355</v>
      </c>
      <c r="H326">
        <v>4792.7697200000002</v>
      </c>
      <c r="Q326">
        <v>4730.9340099999999</v>
      </c>
      <c r="R326">
        <v>4760.2973000000002</v>
      </c>
      <c r="S326">
        <v>4786.8860800000002</v>
      </c>
      <c r="V326">
        <v>4695.99424</v>
      </c>
      <c r="W326">
        <v>4662.4292400000004</v>
      </c>
      <c r="AB326">
        <v>4757.80926</v>
      </c>
      <c r="AC326">
        <v>4757.9793</v>
      </c>
      <c r="AD326">
        <v>1</v>
      </c>
      <c r="AK326">
        <v>324</v>
      </c>
      <c r="AL326">
        <v>323</v>
      </c>
      <c r="AM326">
        <v>4758.09</v>
      </c>
      <c r="AN326">
        <v>4730.9340000000002</v>
      </c>
      <c r="AO326">
        <v>27.155999999999999</v>
      </c>
      <c r="AP326">
        <v>737.44780000000003</v>
      </c>
      <c r="AQ326">
        <v>0.46069399999999999</v>
      </c>
      <c r="AR326">
        <v>0.35580899999999999</v>
      </c>
      <c r="AY326">
        <v>324</v>
      </c>
      <c r="AZ326">
        <v>323</v>
      </c>
      <c r="BA326">
        <v>4758.09</v>
      </c>
      <c r="BB326">
        <v>4730.9340000000002</v>
      </c>
      <c r="BC326">
        <v>27.155999999999999</v>
      </c>
      <c r="BD326">
        <v>737.44780000000003</v>
      </c>
      <c r="BE326">
        <v>104329</v>
      </c>
    </row>
    <row r="327" spans="1:57" x14ac:dyDescent="0.55000000000000004">
      <c r="A327">
        <v>1776830402</v>
      </c>
      <c r="B327" t="s">
        <v>72</v>
      </c>
      <c r="C327" t="s">
        <v>73</v>
      </c>
      <c r="D327">
        <v>4757.32</v>
      </c>
      <c r="E327">
        <v>4518.5928199999998</v>
      </c>
      <c r="F327">
        <v>4596.0559499999999</v>
      </c>
      <c r="G327">
        <v>4755.40355</v>
      </c>
      <c r="H327">
        <v>4792.7697200000002</v>
      </c>
      <c r="Q327">
        <v>4730.6664000000001</v>
      </c>
      <c r="R327">
        <v>4760.0297</v>
      </c>
      <c r="S327">
        <v>4786.6184700000003</v>
      </c>
      <c r="V327">
        <v>4695.7266300000001</v>
      </c>
      <c r="W327">
        <v>4662.1616400000003</v>
      </c>
      <c r="AB327">
        <v>4757.1160200000004</v>
      </c>
      <c r="AC327">
        <v>4757.5476600000002</v>
      </c>
      <c r="AD327">
        <v>0</v>
      </c>
      <c r="AK327">
        <v>325</v>
      </c>
      <c r="AL327">
        <v>324</v>
      </c>
      <c r="AM327">
        <v>4757.32</v>
      </c>
      <c r="AN327">
        <v>4730.6664000000001</v>
      </c>
      <c r="AO327">
        <v>26.653600000000001</v>
      </c>
      <c r="AP327">
        <v>710.4144</v>
      </c>
      <c r="AQ327">
        <v>0.43559500000000001</v>
      </c>
      <c r="AR327">
        <v>0.33019999999999999</v>
      </c>
      <c r="AY327">
        <v>325</v>
      </c>
      <c r="AZ327">
        <v>324</v>
      </c>
      <c r="BA327">
        <v>4757.32</v>
      </c>
      <c r="BB327">
        <v>4730.6664000000001</v>
      </c>
      <c r="BC327">
        <v>26.653600000000001</v>
      </c>
      <c r="BD327">
        <v>710.4144</v>
      </c>
      <c r="BE327">
        <v>104976</v>
      </c>
    </row>
    <row r="328" spans="1:57" x14ac:dyDescent="0.55000000000000004">
      <c r="A328">
        <v>1776831302</v>
      </c>
      <c r="B328" t="s">
        <v>72</v>
      </c>
      <c r="C328" t="s">
        <v>73</v>
      </c>
      <c r="D328">
        <v>4755.87</v>
      </c>
      <c r="E328">
        <v>4518.5928199999998</v>
      </c>
      <c r="F328">
        <v>4596.0559499999999</v>
      </c>
      <c r="G328">
        <v>4755.40355</v>
      </c>
      <c r="H328">
        <v>4792.7697200000002</v>
      </c>
      <c r="Q328">
        <v>4730.3987999999999</v>
      </c>
      <c r="R328">
        <v>4759.7620999999999</v>
      </c>
      <c r="S328">
        <v>4786.3508700000002</v>
      </c>
      <c r="V328">
        <v>4695.45903</v>
      </c>
      <c r="W328">
        <v>4661.8940300000004</v>
      </c>
      <c r="AB328">
        <v>4756.7654599999996</v>
      </c>
      <c r="AC328">
        <v>4757.1565600000004</v>
      </c>
      <c r="AD328">
        <v>0</v>
      </c>
      <c r="AK328">
        <v>326</v>
      </c>
      <c r="AL328">
        <v>325</v>
      </c>
      <c r="AM328">
        <v>4755.87</v>
      </c>
      <c r="AN328">
        <v>4730.3987999999999</v>
      </c>
      <c r="AO328">
        <v>25.4712</v>
      </c>
      <c r="AP328">
        <v>648.78200000000004</v>
      </c>
      <c r="AQ328">
        <v>0.380158</v>
      </c>
      <c r="AR328">
        <v>0.27539200000000003</v>
      </c>
      <c r="AY328">
        <v>326</v>
      </c>
      <c r="AZ328">
        <v>325</v>
      </c>
      <c r="BA328">
        <v>4755.87</v>
      </c>
      <c r="BB328">
        <v>4730.3987999999999</v>
      </c>
      <c r="BC328">
        <v>25.4712</v>
      </c>
      <c r="BD328">
        <v>648.78200000000004</v>
      </c>
      <c r="BE328">
        <v>105625</v>
      </c>
    </row>
    <row r="329" spans="1:57" x14ac:dyDescent="0.55000000000000004">
      <c r="A329">
        <v>1776832202</v>
      </c>
      <c r="B329" t="s">
        <v>72</v>
      </c>
      <c r="C329" t="s">
        <v>73</v>
      </c>
      <c r="D329">
        <v>4756.3599999999997</v>
      </c>
      <c r="E329">
        <v>4518.5928199999998</v>
      </c>
      <c r="F329">
        <v>4596.0559499999999</v>
      </c>
      <c r="G329">
        <v>4755.40355</v>
      </c>
      <c r="H329">
        <v>4792.7697200000002</v>
      </c>
      <c r="Q329">
        <v>4730.1311900000001</v>
      </c>
      <c r="R329">
        <v>4759.49449</v>
      </c>
      <c r="S329">
        <v>4786.0832600000003</v>
      </c>
      <c r="V329">
        <v>4695.1914200000001</v>
      </c>
      <c r="W329">
        <v>4661.6264300000003</v>
      </c>
      <c r="AB329">
        <v>4757.0384800000002</v>
      </c>
      <c r="AC329">
        <v>4757.0975200000003</v>
      </c>
      <c r="AD329">
        <v>0</v>
      </c>
      <c r="AK329">
        <v>327</v>
      </c>
      <c r="AL329">
        <v>326</v>
      </c>
      <c r="AM329">
        <v>4756.3599999999997</v>
      </c>
      <c r="AN329">
        <v>4730.1311999999998</v>
      </c>
      <c r="AO329">
        <v>26.2288</v>
      </c>
      <c r="AP329">
        <v>687.95050000000003</v>
      </c>
      <c r="AQ329">
        <v>0.415099</v>
      </c>
      <c r="AR329">
        <v>0.30964799999999998</v>
      </c>
      <c r="AY329">
        <v>327</v>
      </c>
      <c r="AZ329">
        <v>326</v>
      </c>
      <c r="BA329">
        <v>4756.3599999999997</v>
      </c>
      <c r="BB329">
        <v>4730.1311999999998</v>
      </c>
      <c r="BC329">
        <v>26.2288</v>
      </c>
      <c r="BD329">
        <v>687.95050000000003</v>
      </c>
      <c r="BE329">
        <v>106276</v>
      </c>
    </row>
    <row r="330" spans="1:57" x14ac:dyDescent="0.55000000000000004">
      <c r="A330">
        <v>1776833102</v>
      </c>
      <c r="B330" t="s">
        <v>72</v>
      </c>
      <c r="C330" t="s">
        <v>73</v>
      </c>
      <c r="D330">
        <v>4754.62</v>
      </c>
      <c r="E330">
        <v>4518.5928199999998</v>
      </c>
      <c r="F330">
        <v>4596.0559499999999</v>
      </c>
      <c r="G330">
        <v>4755.40355</v>
      </c>
      <c r="H330">
        <v>4792.7697200000002</v>
      </c>
      <c r="Q330">
        <v>4729.8635899999999</v>
      </c>
      <c r="R330">
        <v>4759.2268899999999</v>
      </c>
      <c r="S330">
        <v>4785.8156600000002</v>
      </c>
      <c r="V330">
        <v>4694.92382</v>
      </c>
      <c r="W330">
        <v>4661.3588200000004</v>
      </c>
      <c r="AB330">
        <v>4758.0106100000003</v>
      </c>
      <c r="AC330">
        <v>4757.5540700000001</v>
      </c>
      <c r="AD330">
        <v>1</v>
      </c>
      <c r="AK330">
        <v>328</v>
      </c>
      <c r="AL330">
        <v>327</v>
      </c>
      <c r="AM330">
        <v>4754.62</v>
      </c>
      <c r="AN330">
        <v>4729.8635999999997</v>
      </c>
      <c r="AO330">
        <v>24.756399999999999</v>
      </c>
      <c r="AP330">
        <v>612.87980000000005</v>
      </c>
      <c r="AQ330">
        <v>0.34904299999999999</v>
      </c>
      <c r="AR330">
        <v>0.245756</v>
      </c>
      <c r="AY330">
        <v>328</v>
      </c>
      <c r="AZ330">
        <v>327</v>
      </c>
      <c r="BA330">
        <v>4754.62</v>
      </c>
      <c r="BB330">
        <v>4729.8635999999997</v>
      </c>
      <c r="BC330">
        <v>24.756399999999999</v>
      </c>
      <c r="BD330">
        <v>612.87980000000005</v>
      </c>
      <c r="BE330">
        <v>106929</v>
      </c>
    </row>
    <row r="331" spans="1:57" x14ac:dyDescent="0.55000000000000004">
      <c r="A331">
        <v>1776834002</v>
      </c>
      <c r="B331" t="s">
        <v>72</v>
      </c>
      <c r="C331" t="s">
        <v>73</v>
      </c>
      <c r="D331">
        <v>4756.8</v>
      </c>
      <c r="E331">
        <v>4518.5928199999998</v>
      </c>
      <c r="F331">
        <v>4596.0559499999999</v>
      </c>
      <c r="G331">
        <v>4755.40355</v>
      </c>
      <c r="H331">
        <v>4792.7697200000002</v>
      </c>
      <c r="Q331">
        <v>4729.5959899999998</v>
      </c>
      <c r="R331">
        <v>4758.95928</v>
      </c>
      <c r="S331">
        <v>4785.5480600000001</v>
      </c>
      <c r="V331">
        <v>4694.6562199999998</v>
      </c>
      <c r="W331">
        <v>4661.0912200000002</v>
      </c>
      <c r="AB331">
        <v>4759.6796899999999</v>
      </c>
      <c r="AC331">
        <v>4758.6168799999996</v>
      </c>
      <c r="AD331">
        <v>0</v>
      </c>
      <c r="AK331">
        <v>329</v>
      </c>
      <c r="AL331">
        <v>328</v>
      </c>
      <c r="AM331">
        <v>4756.8</v>
      </c>
      <c r="AN331">
        <v>4729.5959999999995</v>
      </c>
      <c r="AO331">
        <v>27.204000000000001</v>
      </c>
      <c r="AP331">
        <v>740.05820000000006</v>
      </c>
      <c r="AQ331">
        <v>0.463142</v>
      </c>
      <c r="AR331">
        <v>0.35833199999999998</v>
      </c>
      <c r="AY331">
        <v>329</v>
      </c>
      <c r="AZ331">
        <v>328</v>
      </c>
      <c r="BA331">
        <v>4756.8</v>
      </c>
      <c r="BB331">
        <v>4729.5959999999995</v>
      </c>
      <c r="BC331">
        <v>27.204000000000001</v>
      </c>
      <c r="BD331">
        <v>740.05820000000006</v>
      </c>
      <c r="BE331">
        <v>107584</v>
      </c>
    </row>
    <row r="332" spans="1:57" x14ac:dyDescent="0.55000000000000004">
      <c r="A332">
        <v>1776834902</v>
      </c>
      <c r="B332" t="s">
        <v>72</v>
      </c>
      <c r="C332" t="s">
        <v>73</v>
      </c>
      <c r="D332">
        <v>4766.1899999999996</v>
      </c>
      <c r="E332">
        <v>4518.5928199999998</v>
      </c>
      <c r="F332">
        <v>4596.0559499999999</v>
      </c>
      <c r="G332">
        <v>4755.40355</v>
      </c>
      <c r="H332">
        <v>4792.7697200000002</v>
      </c>
      <c r="Q332">
        <v>4729.3283799999999</v>
      </c>
      <c r="R332">
        <v>4758.6916799999999</v>
      </c>
      <c r="S332">
        <v>4785.2804500000002</v>
      </c>
      <c r="V332">
        <v>4694.38861</v>
      </c>
      <c r="W332">
        <v>4660.8236200000001</v>
      </c>
      <c r="AB332">
        <v>4761.8063700000002</v>
      </c>
      <c r="AC332">
        <v>4760.2116299999998</v>
      </c>
      <c r="AD332">
        <v>0</v>
      </c>
      <c r="AK332">
        <v>330</v>
      </c>
      <c r="AL332">
        <v>329</v>
      </c>
      <c r="AM332">
        <v>4766.1899999999996</v>
      </c>
      <c r="AN332">
        <v>4729.3284000000003</v>
      </c>
      <c r="AO332">
        <v>36.861600000000003</v>
      </c>
      <c r="AP332">
        <v>1358.779</v>
      </c>
      <c r="AQ332">
        <v>1.1522289999999999</v>
      </c>
      <c r="AR332">
        <v>1.2079580000000001</v>
      </c>
      <c r="AY332">
        <v>330</v>
      </c>
      <c r="AZ332">
        <v>329</v>
      </c>
      <c r="BA332">
        <v>4766.1899999999996</v>
      </c>
      <c r="BB332">
        <v>4729.3284000000003</v>
      </c>
      <c r="BC332">
        <v>36.861600000000003</v>
      </c>
      <c r="BD332">
        <v>1358.779</v>
      </c>
      <c r="BE332">
        <v>108241</v>
      </c>
    </row>
    <row r="333" spans="1:57" x14ac:dyDescent="0.55000000000000004">
      <c r="A333">
        <v>1776835802</v>
      </c>
      <c r="B333" t="s">
        <v>72</v>
      </c>
      <c r="C333" t="s">
        <v>73</v>
      </c>
      <c r="D333">
        <v>4767.4799999999996</v>
      </c>
      <c r="E333">
        <v>4518.5928199999998</v>
      </c>
      <c r="F333">
        <v>4596.0559499999999</v>
      </c>
      <c r="G333">
        <v>4755.40355</v>
      </c>
      <c r="H333">
        <v>4792.7697200000002</v>
      </c>
      <c r="Q333">
        <v>4729.0607799999998</v>
      </c>
      <c r="R333">
        <v>4758.4240799999998</v>
      </c>
      <c r="S333">
        <v>4785.0128500000001</v>
      </c>
      <c r="V333">
        <v>4694.1210099999998</v>
      </c>
      <c r="W333">
        <v>4660.5560100000002</v>
      </c>
      <c r="AB333">
        <v>4763.8538900000003</v>
      </c>
      <c r="AC333">
        <v>4762.0327600000001</v>
      </c>
      <c r="AD333">
        <v>0</v>
      </c>
      <c r="AK333">
        <v>331</v>
      </c>
      <c r="AL333">
        <v>330</v>
      </c>
      <c r="AM333">
        <v>4767.4799999999996</v>
      </c>
      <c r="AN333">
        <v>4729.0608000000002</v>
      </c>
      <c r="AO333">
        <v>38.419199999999996</v>
      </c>
      <c r="AP333">
        <v>1476.0364999999999</v>
      </c>
      <c r="AQ333">
        <v>1.304551</v>
      </c>
      <c r="AR333">
        <v>1.425438</v>
      </c>
      <c r="AY333">
        <v>331</v>
      </c>
      <c r="AZ333">
        <v>330</v>
      </c>
      <c r="BA333">
        <v>4767.4799999999996</v>
      </c>
      <c r="BB333">
        <v>4729.0608000000002</v>
      </c>
      <c r="BC333">
        <v>38.419199999999996</v>
      </c>
      <c r="BD333">
        <v>1476.0364999999999</v>
      </c>
      <c r="BE333">
        <v>108900</v>
      </c>
    </row>
    <row r="334" spans="1:57" x14ac:dyDescent="0.55000000000000004">
      <c r="A334">
        <v>1776836702</v>
      </c>
      <c r="B334" t="s">
        <v>72</v>
      </c>
      <c r="C334" t="s">
        <v>73</v>
      </c>
      <c r="D334">
        <v>4767.6400000000003</v>
      </c>
      <c r="E334">
        <v>4518.5928199999998</v>
      </c>
      <c r="F334">
        <v>4596.0559499999999</v>
      </c>
      <c r="G334">
        <v>4755.40355</v>
      </c>
      <c r="H334">
        <v>4792.7697200000002</v>
      </c>
      <c r="Q334">
        <v>4728.7931699999999</v>
      </c>
      <c r="R334">
        <v>4758.1564699999999</v>
      </c>
      <c r="S334">
        <v>4784.7452400000002</v>
      </c>
      <c r="V334">
        <v>4693.8534</v>
      </c>
      <c r="W334">
        <v>4660.2884100000001</v>
      </c>
      <c r="AB334">
        <v>4765.5244700000003</v>
      </c>
      <c r="AC334">
        <v>4763.7786100000003</v>
      </c>
      <c r="AD334">
        <v>0</v>
      </c>
      <c r="AK334">
        <v>332</v>
      </c>
      <c r="AL334">
        <v>331</v>
      </c>
      <c r="AM334">
        <v>4767.6400000000003</v>
      </c>
      <c r="AN334">
        <v>4728.7932000000001</v>
      </c>
      <c r="AO334">
        <v>38.846800000000002</v>
      </c>
      <c r="AP334">
        <v>1509.0762</v>
      </c>
      <c r="AQ334">
        <v>1.348597</v>
      </c>
      <c r="AR334">
        <v>1.4899659999999999</v>
      </c>
      <c r="AY334">
        <v>332</v>
      </c>
      <c r="AZ334">
        <v>331</v>
      </c>
      <c r="BA334">
        <v>4767.6400000000003</v>
      </c>
      <c r="BB334">
        <v>4728.7932000000001</v>
      </c>
      <c r="BC334">
        <v>38.846800000000002</v>
      </c>
      <c r="BD334">
        <v>1509.0762</v>
      </c>
      <c r="BE334">
        <v>109561</v>
      </c>
    </row>
    <row r="335" spans="1:57" x14ac:dyDescent="0.55000000000000004">
      <c r="A335">
        <v>1776837602</v>
      </c>
      <c r="B335" t="s">
        <v>72</v>
      </c>
      <c r="C335" t="s">
        <v>73</v>
      </c>
      <c r="D335">
        <v>4762.84</v>
      </c>
      <c r="E335">
        <v>4518.5928199999998</v>
      </c>
      <c r="F335">
        <v>4596.0559499999999</v>
      </c>
      <c r="G335">
        <v>4755.40355</v>
      </c>
      <c r="H335">
        <v>4792.7697200000002</v>
      </c>
      <c r="Q335">
        <v>4728.5255699999998</v>
      </c>
      <c r="R335">
        <v>4757.8888699999998</v>
      </c>
      <c r="S335">
        <v>4784.4776400000001</v>
      </c>
      <c r="V335">
        <v>4693.5857999999998</v>
      </c>
      <c r="W335">
        <v>4660.0208000000002</v>
      </c>
      <c r="AB335">
        <v>4766.6217699999997</v>
      </c>
      <c r="AC335">
        <v>4765.2001899999996</v>
      </c>
      <c r="AD335">
        <v>0</v>
      </c>
      <c r="AK335">
        <v>333</v>
      </c>
      <c r="AL335">
        <v>332</v>
      </c>
      <c r="AM335">
        <v>4762.84</v>
      </c>
      <c r="AN335">
        <v>4728.5255999999999</v>
      </c>
      <c r="AO335">
        <v>34.314399999999999</v>
      </c>
      <c r="AP335">
        <v>1177.4801</v>
      </c>
      <c r="AQ335">
        <v>0.92949300000000001</v>
      </c>
      <c r="AR335">
        <v>0.90711299999999995</v>
      </c>
      <c r="AY335">
        <v>333</v>
      </c>
      <c r="AZ335">
        <v>332</v>
      </c>
      <c r="BA335">
        <v>4762.84</v>
      </c>
      <c r="BB335">
        <v>4728.5255999999999</v>
      </c>
      <c r="BC335">
        <v>34.314399999999999</v>
      </c>
      <c r="BD335">
        <v>1177.4801</v>
      </c>
      <c r="BE335">
        <v>110224</v>
      </c>
    </row>
    <row r="336" spans="1:57" x14ac:dyDescent="0.55000000000000004">
      <c r="A336">
        <v>1776838502</v>
      </c>
      <c r="B336" t="s">
        <v>72</v>
      </c>
      <c r="C336" t="s">
        <v>73</v>
      </c>
      <c r="D336">
        <v>4767.37</v>
      </c>
      <c r="E336">
        <v>4518.5928199999998</v>
      </c>
      <c r="F336">
        <v>4596.0559499999999</v>
      </c>
      <c r="G336">
        <v>4755.40355</v>
      </c>
      <c r="H336">
        <v>4792.7697200000002</v>
      </c>
      <c r="Q336">
        <v>4728.2579699999997</v>
      </c>
      <c r="R336">
        <v>4757.6212599999999</v>
      </c>
      <c r="S336">
        <v>4784.2100300000002</v>
      </c>
      <c r="V336">
        <v>4693.31819</v>
      </c>
      <c r="W336">
        <v>4659.7532000000001</v>
      </c>
      <c r="AB336">
        <v>4767.1889899999996</v>
      </c>
      <c r="AC336">
        <v>4766.1945900000001</v>
      </c>
      <c r="AD336">
        <v>0</v>
      </c>
      <c r="AK336">
        <v>334</v>
      </c>
      <c r="AL336">
        <v>333</v>
      </c>
      <c r="AM336">
        <v>4767.37</v>
      </c>
      <c r="AN336">
        <v>4728.2579999999998</v>
      </c>
      <c r="AO336">
        <v>39.112000000000002</v>
      </c>
      <c r="AP336">
        <v>1529.7509</v>
      </c>
      <c r="AQ336">
        <v>1.376406</v>
      </c>
      <c r="AR336">
        <v>1.531072</v>
      </c>
      <c r="AY336">
        <v>334</v>
      </c>
      <c r="AZ336">
        <v>333</v>
      </c>
      <c r="BA336">
        <v>4767.37</v>
      </c>
      <c r="BB336">
        <v>4728.2579999999998</v>
      </c>
      <c r="BC336">
        <v>39.112000000000002</v>
      </c>
      <c r="BD336">
        <v>1529.7509</v>
      </c>
      <c r="BE336">
        <v>110889</v>
      </c>
    </row>
    <row r="337" spans="1:57" x14ac:dyDescent="0.55000000000000004">
      <c r="A337">
        <v>1776839402</v>
      </c>
      <c r="B337" t="s">
        <v>72</v>
      </c>
      <c r="C337" t="s">
        <v>73</v>
      </c>
      <c r="D337">
        <v>4763.8</v>
      </c>
      <c r="E337">
        <v>4518.5928199999998</v>
      </c>
      <c r="F337">
        <v>4596.0559499999999</v>
      </c>
      <c r="G337">
        <v>4755.40355</v>
      </c>
      <c r="H337">
        <v>4792.7697200000002</v>
      </c>
      <c r="Q337">
        <v>4727.9903599999998</v>
      </c>
      <c r="R337">
        <v>4757.3536599999998</v>
      </c>
      <c r="S337">
        <v>4783.9424300000001</v>
      </c>
      <c r="V337">
        <v>4693.0505899999998</v>
      </c>
      <c r="W337">
        <v>4659.4855900000002</v>
      </c>
      <c r="AB337">
        <v>4767.1052300000001</v>
      </c>
      <c r="AC337">
        <v>4766.6499100000001</v>
      </c>
      <c r="AD337">
        <v>0</v>
      </c>
      <c r="AK337">
        <v>335</v>
      </c>
      <c r="AL337">
        <v>334</v>
      </c>
      <c r="AM337">
        <v>4763.8</v>
      </c>
      <c r="AN337">
        <v>4727.9903999999997</v>
      </c>
      <c r="AO337">
        <v>35.809600000000003</v>
      </c>
      <c r="AP337">
        <v>1282.3303000000001</v>
      </c>
      <c r="AQ337">
        <v>1.0563689999999999</v>
      </c>
      <c r="AR337">
        <v>1.075855</v>
      </c>
      <c r="AY337">
        <v>335</v>
      </c>
      <c r="AZ337">
        <v>334</v>
      </c>
      <c r="BA337">
        <v>4763.8</v>
      </c>
      <c r="BB337">
        <v>4727.9903999999997</v>
      </c>
      <c r="BC337">
        <v>35.809600000000003</v>
      </c>
      <c r="BD337">
        <v>1282.3303000000001</v>
      </c>
      <c r="BE337">
        <v>111556</v>
      </c>
    </row>
    <row r="338" spans="1:57" x14ac:dyDescent="0.55000000000000004">
      <c r="A338">
        <v>1776840302</v>
      </c>
      <c r="B338" t="s">
        <v>72</v>
      </c>
      <c r="C338" t="s">
        <v>73</v>
      </c>
      <c r="D338">
        <v>4767.6899999999996</v>
      </c>
      <c r="E338">
        <v>4518.5928199999998</v>
      </c>
      <c r="F338">
        <v>4596.0559499999999</v>
      </c>
      <c r="G338">
        <v>4755.40355</v>
      </c>
      <c r="H338">
        <v>4792.7697200000002</v>
      </c>
      <c r="Q338">
        <v>4727.7227599999997</v>
      </c>
      <c r="R338">
        <v>4757.0860599999996</v>
      </c>
      <c r="S338">
        <v>4783.6748299999999</v>
      </c>
      <c r="V338">
        <v>4692.7829899999997</v>
      </c>
      <c r="W338">
        <v>4659.2179900000001</v>
      </c>
      <c r="AB338">
        <v>4766.5311199999996</v>
      </c>
      <c r="AC338">
        <v>4766.59051</v>
      </c>
      <c r="AD338">
        <v>1</v>
      </c>
      <c r="AK338">
        <v>336</v>
      </c>
      <c r="AL338">
        <v>335</v>
      </c>
      <c r="AM338">
        <v>4767.6899999999996</v>
      </c>
      <c r="AN338">
        <v>4727.7227999999996</v>
      </c>
      <c r="AO338">
        <v>39.967199999999998</v>
      </c>
      <c r="AP338">
        <v>1597.3803</v>
      </c>
      <c r="AQ338">
        <v>1.468683</v>
      </c>
      <c r="AR338">
        <v>1.66944</v>
      </c>
      <c r="AY338">
        <v>336</v>
      </c>
      <c r="AZ338">
        <v>335</v>
      </c>
      <c r="BA338">
        <v>4767.6899999999996</v>
      </c>
      <c r="BB338">
        <v>4727.7227999999996</v>
      </c>
      <c r="BC338">
        <v>39.967199999999998</v>
      </c>
      <c r="BD338">
        <v>1597.3803</v>
      </c>
      <c r="BE338">
        <v>112225</v>
      </c>
    </row>
    <row r="339" spans="1:57" x14ac:dyDescent="0.55000000000000004">
      <c r="A339">
        <v>1776841202</v>
      </c>
      <c r="B339" t="s">
        <v>72</v>
      </c>
      <c r="C339" t="s">
        <v>73</v>
      </c>
      <c r="D339">
        <v>4765.67</v>
      </c>
      <c r="E339">
        <v>4518.5928199999998</v>
      </c>
      <c r="F339">
        <v>4596.0559499999999</v>
      </c>
      <c r="G339">
        <v>4755.40355</v>
      </c>
      <c r="H339">
        <v>4792.7697200000002</v>
      </c>
      <c r="Q339">
        <v>4727.4551499999998</v>
      </c>
      <c r="R339">
        <v>4756.8184499999998</v>
      </c>
      <c r="S339">
        <v>4783.4072200000001</v>
      </c>
      <c r="V339">
        <v>4692.5153799999998</v>
      </c>
      <c r="W339">
        <v>4658.95039</v>
      </c>
      <c r="Z339">
        <v>4772.1499999999996</v>
      </c>
      <c r="AB339">
        <v>4765.45658</v>
      </c>
      <c r="AC339">
        <v>4766.0235499999999</v>
      </c>
      <c r="AD339">
        <v>0</v>
      </c>
      <c r="AK339">
        <v>337</v>
      </c>
      <c r="AL339">
        <v>336</v>
      </c>
      <c r="AM339">
        <v>4765.67</v>
      </c>
      <c r="AN339">
        <v>4727.4551000000001</v>
      </c>
      <c r="AO339">
        <v>38.2149</v>
      </c>
      <c r="AP339">
        <v>1460.3748000000001</v>
      </c>
      <c r="AQ339">
        <v>1.2838430000000001</v>
      </c>
      <c r="AR339">
        <v>1.395349</v>
      </c>
      <c r="AY339">
        <v>337</v>
      </c>
      <c r="AZ339">
        <v>336</v>
      </c>
      <c r="BA339">
        <v>4765.67</v>
      </c>
      <c r="BB339">
        <v>4727.4551000000001</v>
      </c>
      <c r="BC339">
        <v>38.2149</v>
      </c>
      <c r="BD339">
        <v>1460.3748000000001</v>
      </c>
      <c r="BE339">
        <v>112896</v>
      </c>
    </row>
    <row r="340" spans="1:57" x14ac:dyDescent="0.55000000000000004">
      <c r="A340">
        <v>1776842102</v>
      </c>
      <c r="B340" t="s">
        <v>72</v>
      </c>
      <c r="C340" t="s">
        <v>73</v>
      </c>
      <c r="D340">
        <v>4766.08</v>
      </c>
      <c r="E340">
        <v>4518.5928199999998</v>
      </c>
      <c r="F340">
        <v>4596.0559499999999</v>
      </c>
      <c r="G340">
        <v>4755.40355</v>
      </c>
      <c r="H340">
        <v>4792.7697200000002</v>
      </c>
      <c r="Q340">
        <v>4727.1875499999996</v>
      </c>
      <c r="R340">
        <v>4756.5508499999996</v>
      </c>
      <c r="S340">
        <v>4783.1396199999999</v>
      </c>
      <c r="V340">
        <v>4692.2477799999997</v>
      </c>
      <c r="W340">
        <v>4658.6827800000001</v>
      </c>
      <c r="AB340">
        <v>4764.0655200000001</v>
      </c>
      <c r="AC340">
        <v>4765.0445300000001</v>
      </c>
      <c r="AD340">
        <v>0</v>
      </c>
      <c r="AK340">
        <v>338</v>
      </c>
      <c r="AL340">
        <v>337</v>
      </c>
      <c r="AM340">
        <v>4766.08</v>
      </c>
      <c r="AN340">
        <v>4727.1875</v>
      </c>
      <c r="AO340">
        <v>38.892499999999998</v>
      </c>
      <c r="AP340">
        <v>1512.6226999999999</v>
      </c>
      <c r="AQ340">
        <v>1.3533539999999999</v>
      </c>
      <c r="AR340">
        <v>1.4969779999999999</v>
      </c>
      <c r="AY340">
        <v>338</v>
      </c>
      <c r="AZ340">
        <v>337</v>
      </c>
      <c r="BA340">
        <v>4766.08</v>
      </c>
      <c r="BB340">
        <v>4727.1875</v>
      </c>
      <c r="BC340">
        <v>38.892499999999998</v>
      </c>
      <c r="BD340">
        <v>1512.6226999999999</v>
      </c>
      <c r="BE340">
        <v>113569</v>
      </c>
    </row>
    <row r="341" spans="1:57" x14ac:dyDescent="0.55000000000000004">
      <c r="A341">
        <v>1776843002</v>
      </c>
      <c r="B341" t="s">
        <v>72</v>
      </c>
      <c r="C341" t="s">
        <v>73</v>
      </c>
      <c r="D341">
        <v>4763.82</v>
      </c>
      <c r="E341">
        <v>4518.5928199999998</v>
      </c>
      <c r="F341">
        <v>4596.0559499999999</v>
      </c>
      <c r="G341">
        <v>4755.40355</v>
      </c>
      <c r="H341">
        <v>4792.7697200000002</v>
      </c>
      <c r="Q341">
        <v>4726.9199399999998</v>
      </c>
      <c r="R341">
        <v>4756.2832399999998</v>
      </c>
      <c r="S341">
        <v>4782.87201</v>
      </c>
      <c r="V341">
        <v>4691.9801699999998</v>
      </c>
      <c r="W341">
        <v>4658.41518</v>
      </c>
      <c r="AB341">
        <v>4762.4421000000002</v>
      </c>
      <c r="AC341">
        <v>4763.7433199999996</v>
      </c>
      <c r="AD341">
        <v>0</v>
      </c>
      <c r="AK341">
        <v>339</v>
      </c>
      <c r="AL341">
        <v>338</v>
      </c>
      <c r="AM341">
        <v>4763.82</v>
      </c>
      <c r="AN341">
        <v>4726.9198999999999</v>
      </c>
      <c r="AO341">
        <v>36.900100000000002</v>
      </c>
      <c r="AP341">
        <v>1361.6143999999999</v>
      </c>
      <c r="AQ341">
        <v>1.1558379999999999</v>
      </c>
      <c r="AR341">
        <v>1.213004</v>
      </c>
      <c r="AY341">
        <v>339</v>
      </c>
      <c r="AZ341">
        <v>338</v>
      </c>
      <c r="BA341">
        <v>4763.82</v>
      </c>
      <c r="BB341">
        <v>4726.9198999999999</v>
      </c>
      <c r="BC341">
        <v>36.900100000000002</v>
      </c>
      <c r="BD341">
        <v>1361.6143999999999</v>
      </c>
      <c r="BE341">
        <v>114244</v>
      </c>
    </row>
    <row r="342" spans="1:57" x14ac:dyDescent="0.55000000000000004">
      <c r="A342">
        <v>1776843902</v>
      </c>
      <c r="B342" t="s">
        <v>72</v>
      </c>
      <c r="C342" t="s">
        <v>73</v>
      </c>
      <c r="D342">
        <v>4760.46</v>
      </c>
      <c r="E342">
        <v>4518.5928199999998</v>
      </c>
      <c r="F342">
        <v>4596.0559499999999</v>
      </c>
      <c r="G342">
        <v>4755.40355</v>
      </c>
      <c r="H342">
        <v>4792.7697200000002</v>
      </c>
      <c r="Q342">
        <v>4726.6523399999996</v>
      </c>
      <c r="R342">
        <v>4756.0156399999996</v>
      </c>
      <c r="S342">
        <v>4782.6044099999999</v>
      </c>
      <c r="V342">
        <v>4691.7125699999997</v>
      </c>
      <c r="W342">
        <v>4658.1475700000001</v>
      </c>
      <c r="AB342">
        <v>4760.7437499999996</v>
      </c>
      <c r="AC342">
        <v>4762.2435299999997</v>
      </c>
      <c r="AD342">
        <v>0</v>
      </c>
      <c r="AK342">
        <v>340</v>
      </c>
      <c r="AL342">
        <v>339</v>
      </c>
      <c r="AM342">
        <v>4760.46</v>
      </c>
      <c r="AN342">
        <v>4726.6522999999997</v>
      </c>
      <c r="AO342">
        <v>33.807699999999997</v>
      </c>
      <c r="AP342">
        <v>1142.9579000000001</v>
      </c>
      <c r="AQ342">
        <v>0.88891600000000004</v>
      </c>
      <c r="AR342">
        <v>0.85470199999999996</v>
      </c>
      <c r="AY342">
        <v>340</v>
      </c>
      <c r="AZ342">
        <v>339</v>
      </c>
      <c r="BA342">
        <v>4760.46</v>
      </c>
      <c r="BB342">
        <v>4726.6522999999997</v>
      </c>
      <c r="BC342">
        <v>33.807699999999997</v>
      </c>
      <c r="BD342">
        <v>1142.9579000000001</v>
      </c>
      <c r="BE342">
        <v>114921</v>
      </c>
    </row>
    <row r="343" spans="1:57" x14ac:dyDescent="0.55000000000000004">
      <c r="A343">
        <v>1776844802</v>
      </c>
      <c r="B343" t="s">
        <v>72</v>
      </c>
      <c r="C343" t="s">
        <v>73</v>
      </c>
      <c r="D343">
        <v>4758.0200000000004</v>
      </c>
      <c r="E343">
        <v>4518.5928199999998</v>
      </c>
      <c r="F343">
        <v>4596.0559499999999</v>
      </c>
      <c r="G343">
        <v>4755.40355</v>
      </c>
      <c r="H343">
        <v>4792.7697200000002</v>
      </c>
      <c r="Q343">
        <v>4726.3847400000004</v>
      </c>
      <c r="R343">
        <v>4755.7480400000004</v>
      </c>
      <c r="S343">
        <v>4782.3368099999998</v>
      </c>
      <c r="V343">
        <v>4691.4449699999996</v>
      </c>
      <c r="W343">
        <v>4657.87997</v>
      </c>
      <c r="AB343">
        <v>4759.1679599999998</v>
      </c>
      <c r="AC343">
        <v>4760.7057400000003</v>
      </c>
      <c r="AD343">
        <v>0</v>
      </c>
      <c r="AK343">
        <v>341</v>
      </c>
      <c r="AL343">
        <v>340</v>
      </c>
      <c r="AM343">
        <v>4758.0200000000004</v>
      </c>
      <c r="AN343">
        <v>4726.3846999999996</v>
      </c>
      <c r="AO343">
        <v>31.635300000000001</v>
      </c>
      <c r="AP343">
        <v>1000.7897</v>
      </c>
      <c r="AQ343">
        <v>0.72833300000000001</v>
      </c>
      <c r="AR343">
        <v>0.65529899999999996</v>
      </c>
      <c r="AY343">
        <v>341</v>
      </c>
      <c r="AZ343">
        <v>340</v>
      </c>
      <c r="BA343">
        <v>4758.0200000000004</v>
      </c>
      <c r="BB343">
        <v>4726.3846999999996</v>
      </c>
      <c r="BC343">
        <v>31.635300000000001</v>
      </c>
      <c r="BD343">
        <v>1000.7897</v>
      </c>
      <c r="BE343">
        <v>115600</v>
      </c>
    </row>
    <row r="344" spans="1:57" x14ac:dyDescent="0.55000000000000004">
      <c r="A344">
        <v>1776845702</v>
      </c>
      <c r="B344" t="s">
        <v>72</v>
      </c>
      <c r="C344" t="s">
        <v>73</v>
      </c>
      <c r="D344">
        <v>4754.37</v>
      </c>
      <c r="E344">
        <v>4518.5928199999998</v>
      </c>
      <c r="F344">
        <v>4596.0559499999999</v>
      </c>
      <c r="G344">
        <v>4755.40355</v>
      </c>
      <c r="H344">
        <v>4792.7697200000002</v>
      </c>
      <c r="Q344">
        <v>4726.1171299999996</v>
      </c>
      <c r="R344">
        <v>4755.4804299999996</v>
      </c>
      <c r="S344">
        <v>4782.0691999999999</v>
      </c>
      <c r="V344">
        <v>4691.1773599999997</v>
      </c>
      <c r="W344">
        <v>4657.6123699999998</v>
      </c>
      <c r="AB344">
        <v>4757.8704399999997</v>
      </c>
      <c r="AC344">
        <v>4759.28809</v>
      </c>
      <c r="AD344">
        <v>0</v>
      </c>
      <c r="AK344">
        <v>342</v>
      </c>
      <c r="AL344">
        <v>341</v>
      </c>
      <c r="AM344">
        <v>4754.37</v>
      </c>
      <c r="AN344">
        <v>4726.1171000000004</v>
      </c>
      <c r="AO344">
        <v>28.2529</v>
      </c>
      <c r="AP344">
        <v>798.22469999999998</v>
      </c>
      <c r="AQ344">
        <v>0.51880400000000004</v>
      </c>
      <c r="AR344">
        <v>0.41687400000000002</v>
      </c>
      <c r="AY344">
        <v>342</v>
      </c>
      <c r="AZ344">
        <v>341</v>
      </c>
      <c r="BA344">
        <v>4754.37</v>
      </c>
      <c r="BB344">
        <v>4726.1171000000004</v>
      </c>
      <c r="BC344">
        <v>28.2529</v>
      </c>
      <c r="BD344">
        <v>798.22469999999998</v>
      </c>
      <c r="BE344">
        <v>116281</v>
      </c>
    </row>
    <row r="345" spans="1:57" x14ac:dyDescent="0.55000000000000004">
      <c r="A345">
        <v>1776846602</v>
      </c>
      <c r="B345" t="s">
        <v>72</v>
      </c>
      <c r="C345" t="s">
        <v>73</v>
      </c>
      <c r="D345">
        <v>4756.1499999999996</v>
      </c>
      <c r="E345">
        <v>4518.5928199999998</v>
      </c>
      <c r="F345">
        <v>4596.0559499999999</v>
      </c>
      <c r="G345">
        <v>4755.40355</v>
      </c>
      <c r="H345">
        <v>4792.7697200000002</v>
      </c>
      <c r="Q345">
        <v>4725.8495300000004</v>
      </c>
      <c r="R345">
        <v>4755.2128300000004</v>
      </c>
      <c r="S345">
        <v>4781.8015999999998</v>
      </c>
      <c r="V345">
        <v>4690.9097599999996</v>
      </c>
      <c r="W345">
        <v>4657.34476</v>
      </c>
      <c r="AB345">
        <v>4756.9844400000002</v>
      </c>
      <c r="AC345">
        <v>4758.13627</v>
      </c>
      <c r="AD345">
        <v>0</v>
      </c>
      <c r="AK345">
        <v>343</v>
      </c>
      <c r="AL345">
        <v>342</v>
      </c>
      <c r="AM345">
        <v>4756.1499999999996</v>
      </c>
      <c r="AN345">
        <v>4725.8495000000003</v>
      </c>
      <c r="AO345">
        <v>30.3005</v>
      </c>
      <c r="AP345">
        <v>918.11850000000004</v>
      </c>
      <c r="AQ345">
        <v>0.63997599999999999</v>
      </c>
      <c r="AR345">
        <v>0.551508</v>
      </c>
      <c r="AY345">
        <v>343</v>
      </c>
      <c r="AZ345">
        <v>342</v>
      </c>
      <c r="BA345">
        <v>4756.1499999999996</v>
      </c>
      <c r="BB345">
        <v>4725.8495000000003</v>
      </c>
      <c r="BC345">
        <v>30.3005</v>
      </c>
      <c r="BD345">
        <v>918.11850000000004</v>
      </c>
      <c r="BE345">
        <v>116964</v>
      </c>
    </row>
    <row r="346" spans="1:57" x14ac:dyDescent="0.55000000000000004">
      <c r="A346">
        <v>1776847502</v>
      </c>
      <c r="B346" t="s">
        <v>72</v>
      </c>
      <c r="C346" t="s">
        <v>73</v>
      </c>
      <c r="D346">
        <v>4757.1400000000003</v>
      </c>
      <c r="E346">
        <v>4518.5928199999998</v>
      </c>
      <c r="F346">
        <v>4596.0559499999999</v>
      </c>
      <c r="G346">
        <v>4755.40355</v>
      </c>
      <c r="H346">
        <v>4792.7697200000002</v>
      </c>
      <c r="Q346">
        <v>4725.5819199999996</v>
      </c>
      <c r="R346">
        <v>4754.9452199999996</v>
      </c>
      <c r="S346">
        <v>4781.5339899999999</v>
      </c>
      <c r="V346">
        <v>4690.6421499999997</v>
      </c>
      <c r="W346">
        <v>4657.0771599999998</v>
      </c>
      <c r="AB346">
        <v>4756.4407899999997</v>
      </c>
      <c r="AC346">
        <v>4757.2885299999998</v>
      </c>
      <c r="AD346">
        <v>0</v>
      </c>
      <c r="AK346">
        <v>344</v>
      </c>
      <c r="AL346">
        <v>343</v>
      </c>
      <c r="AM346">
        <v>4757.1400000000003</v>
      </c>
      <c r="AN346">
        <v>4725.5819000000001</v>
      </c>
      <c r="AO346">
        <v>31.5581</v>
      </c>
      <c r="AP346">
        <v>995.91240000000005</v>
      </c>
      <c r="AQ346">
        <v>0.72301499999999996</v>
      </c>
      <c r="AR346">
        <v>0.64892799999999995</v>
      </c>
      <c r="AY346">
        <v>344</v>
      </c>
      <c r="AZ346">
        <v>343</v>
      </c>
      <c r="BA346">
        <v>4757.1400000000003</v>
      </c>
      <c r="BB346">
        <v>4725.5819000000001</v>
      </c>
      <c r="BC346">
        <v>31.5581</v>
      </c>
      <c r="BD346">
        <v>995.91240000000005</v>
      </c>
      <c r="BE346">
        <v>117649</v>
      </c>
    </row>
    <row r="347" spans="1:57" x14ac:dyDescent="0.55000000000000004">
      <c r="A347">
        <v>1776848402</v>
      </c>
      <c r="B347" t="s">
        <v>72</v>
      </c>
      <c r="C347" t="s">
        <v>73</v>
      </c>
      <c r="D347">
        <v>4760.72</v>
      </c>
      <c r="E347">
        <v>4518.5928199999998</v>
      </c>
      <c r="F347">
        <v>4596.0559499999999</v>
      </c>
      <c r="G347">
        <v>4755.40355</v>
      </c>
      <c r="H347">
        <v>4792.7697200000002</v>
      </c>
      <c r="Q347">
        <v>4725.3143200000004</v>
      </c>
      <c r="R347">
        <v>4754.6776200000004</v>
      </c>
      <c r="S347">
        <v>4781.2663899999998</v>
      </c>
      <c r="V347">
        <v>4690.3745500000005</v>
      </c>
      <c r="W347">
        <v>4656.8095499999999</v>
      </c>
      <c r="AB347">
        <v>4756.1481700000004</v>
      </c>
      <c r="AC347">
        <v>4756.7183500000001</v>
      </c>
      <c r="AD347">
        <v>0</v>
      </c>
      <c r="AK347">
        <v>345</v>
      </c>
      <c r="AL347">
        <v>344</v>
      </c>
      <c r="AM347">
        <v>4760.72</v>
      </c>
      <c r="AN347">
        <v>4725.3143</v>
      </c>
      <c r="AO347">
        <v>35.405700000000003</v>
      </c>
      <c r="AP347">
        <v>1253.5622000000001</v>
      </c>
      <c r="AQ347">
        <v>1.02102</v>
      </c>
      <c r="AR347">
        <v>1.028125</v>
      </c>
      <c r="AY347">
        <v>345</v>
      </c>
      <c r="AZ347">
        <v>344</v>
      </c>
      <c r="BA347">
        <v>4760.72</v>
      </c>
      <c r="BB347">
        <v>4725.3143</v>
      </c>
      <c r="BC347">
        <v>35.405700000000003</v>
      </c>
      <c r="BD347">
        <v>1253.5622000000001</v>
      </c>
      <c r="BE347">
        <v>118336</v>
      </c>
    </row>
    <row r="348" spans="1:57" x14ac:dyDescent="0.55000000000000004">
      <c r="A348">
        <v>1776849302</v>
      </c>
      <c r="B348" t="s">
        <v>72</v>
      </c>
      <c r="C348" t="s">
        <v>73</v>
      </c>
      <c r="D348">
        <v>4756.45</v>
      </c>
      <c r="E348">
        <v>4518.5928199999998</v>
      </c>
      <c r="F348">
        <v>4596.0559499999999</v>
      </c>
      <c r="G348">
        <v>4755.40355</v>
      </c>
      <c r="H348">
        <v>4792.7697200000002</v>
      </c>
      <c r="Q348">
        <v>4725.0467200000003</v>
      </c>
      <c r="R348">
        <v>4754.4100099999996</v>
      </c>
      <c r="S348">
        <v>4780.9987899999996</v>
      </c>
      <c r="V348">
        <v>4690.1069500000003</v>
      </c>
      <c r="W348">
        <v>4656.5419499999998</v>
      </c>
      <c r="AB348">
        <v>4755.9388799999997</v>
      </c>
      <c r="AC348">
        <v>4756.3286099999996</v>
      </c>
      <c r="AD348">
        <v>0</v>
      </c>
      <c r="AK348">
        <v>346</v>
      </c>
      <c r="AL348">
        <v>345</v>
      </c>
      <c r="AM348">
        <v>4756.45</v>
      </c>
      <c r="AN348">
        <v>4725.0466999999999</v>
      </c>
      <c r="AO348">
        <v>31.403300000000002</v>
      </c>
      <c r="AP348">
        <v>986.16600000000005</v>
      </c>
      <c r="AQ348">
        <v>0.71242700000000003</v>
      </c>
      <c r="AR348">
        <v>0.63628899999999999</v>
      </c>
      <c r="AY348">
        <v>346</v>
      </c>
      <c r="AZ348">
        <v>345</v>
      </c>
      <c r="BA348">
        <v>4756.45</v>
      </c>
      <c r="BB348">
        <v>4725.0466999999999</v>
      </c>
      <c r="BC348">
        <v>31.403300000000002</v>
      </c>
      <c r="BD348">
        <v>986.16600000000005</v>
      </c>
      <c r="BE348">
        <v>119025</v>
      </c>
    </row>
    <row r="349" spans="1:57" x14ac:dyDescent="0.55000000000000004">
      <c r="A349">
        <v>1776850202</v>
      </c>
      <c r="B349" t="s">
        <v>72</v>
      </c>
      <c r="C349" t="s">
        <v>73</v>
      </c>
      <c r="D349">
        <v>4758.47</v>
      </c>
      <c r="E349">
        <v>4518.5928199999998</v>
      </c>
      <c r="F349">
        <v>4596.0559499999999</v>
      </c>
      <c r="G349">
        <v>4755.40355</v>
      </c>
      <c r="H349">
        <v>4792.7697200000002</v>
      </c>
      <c r="Q349">
        <v>4724.7791100000004</v>
      </c>
      <c r="R349">
        <v>4754.1424100000004</v>
      </c>
      <c r="S349">
        <v>4780.7311799999998</v>
      </c>
      <c r="V349">
        <v>4689.8393400000004</v>
      </c>
      <c r="W349">
        <v>4656.2743499999997</v>
      </c>
      <c r="AB349">
        <v>4755.8751199999997</v>
      </c>
      <c r="AC349">
        <v>4756.1018700000004</v>
      </c>
      <c r="AD349">
        <v>0</v>
      </c>
      <c r="AK349">
        <v>347</v>
      </c>
      <c r="AL349">
        <v>346</v>
      </c>
      <c r="AM349">
        <v>4758.47</v>
      </c>
      <c r="AN349">
        <v>4724.7790999999997</v>
      </c>
      <c r="AO349">
        <v>33.690899999999999</v>
      </c>
      <c r="AP349">
        <v>1135.0761</v>
      </c>
      <c r="AQ349">
        <v>0.87973699999999999</v>
      </c>
      <c r="AR349">
        <v>0.84295399999999998</v>
      </c>
      <c r="AY349">
        <v>347</v>
      </c>
      <c r="AZ349">
        <v>346</v>
      </c>
      <c r="BA349">
        <v>4758.47</v>
      </c>
      <c r="BB349">
        <v>4724.7790999999997</v>
      </c>
      <c r="BC349">
        <v>33.690899999999999</v>
      </c>
      <c r="BD349">
        <v>1135.0761</v>
      </c>
      <c r="BE349">
        <v>119716</v>
      </c>
    </row>
    <row r="350" spans="1:57" x14ac:dyDescent="0.55000000000000004">
      <c r="A350">
        <v>1776851102</v>
      </c>
      <c r="B350" t="s">
        <v>72</v>
      </c>
      <c r="C350" t="s">
        <v>73</v>
      </c>
      <c r="D350">
        <v>4755.32</v>
      </c>
      <c r="E350">
        <v>4518.5928199999998</v>
      </c>
      <c r="F350">
        <v>4596.0559499999999</v>
      </c>
      <c r="G350">
        <v>4755.40355</v>
      </c>
      <c r="H350">
        <v>4792.7697200000002</v>
      </c>
      <c r="Q350">
        <v>4724.5115100000003</v>
      </c>
      <c r="R350">
        <v>4753.8748100000003</v>
      </c>
      <c r="S350">
        <v>4780.4635799999996</v>
      </c>
      <c r="V350">
        <v>4689.5717400000003</v>
      </c>
      <c r="W350">
        <v>4656.0067399999998</v>
      </c>
      <c r="AB350">
        <v>4755.8441400000002</v>
      </c>
      <c r="AC350">
        <v>4755.973</v>
      </c>
      <c r="AD350">
        <v>0</v>
      </c>
      <c r="AK350">
        <v>348</v>
      </c>
      <c r="AL350">
        <v>347</v>
      </c>
      <c r="AM350">
        <v>4755.32</v>
      </c>
      <c r="AN350">
        <v>4724.5114999999996</v>
      </c>
      <c r="AO350">
        <v>30.808499999999999</v>
      </c>
      <c r="AP350">
        <v>949.16309999999999</v>
      </c>
      <c r="AQ350">
        <v>0.67270799999999997</v>
      </c>
      <c r="AR350">
        <v>0.58943500000000004</v>
      </c>
      <c r="AY350">
        <v>348</v>
      </c>
      <c r="AZ350">
        <v>347</v>
      </c>
      <c r="BA350">
        <v>4755.32</v>
      </c>
      <c r="BB350">
        <v>4724.5114999999996</v>
      </c>
      <c r="BC350">
        <v>30.808499999999999</v>
      </c>
      <c r="BD350">
        <v>949.16309999999999</v>
      </c>
      <c r="BE350">
        <v>120409</v>
      </c>
    </row>
    <row r="351" spans="1:57" x14ac:dyDescent="0.55000000000000004">
      <c r="A351">
        <v>1776852002</v>
      </c>
      <c r="B351" t="s">
        <v>72</v>
      </c>
      <c r="C351" t="s">
        <v>73</v>
      </c>
      <c r="D351">
        <v>4748.72</v>
      </c>
      <c r="E351">
        <v>4518.5928199999998</v>
      </c>
      <c r="F351">
        <v>4596.0559499999999</v>
      </c>
      <c r="G351">
        <v>4755.40355</v>
      </c>
      <c r="H351">
        <v>4792.7697200000002</v>
      </c>
      <c r="Q351">
        <v>4724.2439000000004</v>
      </c>
      <c r="R351">
        <v>4753.6072000000004</v>
      </c>
      <c r="S351">
        <v>4780.1959699999998</v>
      </c>
      <c r="V351">
        <v>4689.3041300000004</v>
      </c>
      <c r="W351">
        <v>4655.7391399999997</v>
      </c>
      <c r="AB351">
        <v>4755.8898399999998</v>
      </c>
      <c r="AC351">
        <v>4755.9314199999999</v>
      </c>
      <c r="AD351">
        <v>0</v>
      </c>
      <c r="AK351">
        <v>349</v>
      </c>
      <c r="AL351">
        <v>348</v>
      </c>
      <c r="AM351">
        <v>4748.72</v>
      </c>
      <c r="AN351">
        <v>4724.2439000000004</v>
      </c>
      <c r="AO351">
        <v>24.476099999999999</v>
      </c>
      <c r="AP351">
        <v>599.07950000000005</v>
      </c>
      <c r="AQ351">
        <v>0.33732000000000001</v>
      </c>
      <c r="AR351">
        <v>0.23481299999999999</v>
      </c>
      <c r="AY351">
        <v>349</v>
      </c>
      <c r="AZ351">
        <v>348</v>
      </c>
      <c r="BA351">
        <v>4748.72</v>
      </c>
      <c r="BB351">
        <v>4724.2439000000004</v>
      </c>
      <c r="BC351">
        <v>24.476099999999999</v>
      </c>
      <c r="BD351">
        <v>599.07950000000005</v>
      </c>
      <c r="BE351">
        <v>121104</v>
      </c>
    </row>
    <row r="352" spans="1:57" x14ac:dyDescent="0.55000000000000004">
      <c r="A352">
        <v>1776852902</v>
      </c>
      <c r="B352" t="s">
        <v>72</v>
      </c>
      <c r="C352" t="s">
        <v>73</v>
      </c>
      <c r="D352">
        <v>4754.63</v>
      </c>
      <c r="E352">
        <v>4518.5928199999998</v>
      </c>
      <c r="F352">
        <v>4596.0559499999999</v>
      </c>
      <c r="G352">
        <v>4755.40355</v>
      </c>
      <c r="H352">
        <v>4792.7697200000002</v>
      </c>
      <c r="Q352">
        <v>4723.9763000000003</v>
      </c>
      <c r="R352">
        <v>4753.3396000000002</v>
      </c>
      <c r="S352">
        <v>4779.9283699999996</v>
      </c>
      <c r="V352">
        <v>4689.0365300000003</v>
      </c>
      <c r="W352">
        <v>4655.4715299999998</v>
      </c>
      <c r="AB352">
        <v>4756.1254300000001</v>
      </c>
      <c r="AC352">
        <v>4756.0284300000003</v>
      </c>
      <c r="AD352">
        <v>1</v>
      </c>
      <c r="AK352">
        <v>350</v>
      </c>
      <c r="AL352">
        <v>349</v>
      </c>
      <c r="AM352">
        <v>4754.63</v>
      </c>
      <c r="AN352">
        <v>4723.9763000000003</v>
      </c>
      <c r="AO352">
        <v>30.653700000000001</v>
      </c>
      <c r="AP352">
        <v>939.64930000000004</v>
      </c>
      <c r="AQ352">
        <v>0.66261999999999999</v>
      </c>
      <c r="AR352">
        <v>0.57767800000000002</v>
      </c>
      <c r="AY352">
        <v>350</v>
      </c>
      <c r="AZ352">
        <v>349</v>
      </c>
      <c r="BA352">
        <v>4754.63</v>
      </c>
      <c r="BB352">
        <v>4723.9763000000003</v>
      </c>
      <c r="BC352">
        <v>30.653700000000001</v>
      </c>
      <c r="BD352">
        <v>939.64930000000004</v>
      </c>
      <c r="BE352">
        <v>121801</v>
      </c>
    </row>
    <row r="353" spans="1:57" x14ac:dyDescent="0.55000000000000004">
      <c r="A353">
        <v>1776853802</v>
      </c>
      <c r="B353" t="s">
        <v>72</v>
      </c>
      <c r="C353" t="s">
        <v>73</v>
      </c>
      <c r="D353">
        <v>4756.53</v>
      </c>
      <c r="E353">
        <v>4518.5928199999998</v>
      </c>
      <c r="F353">
        <v>4596.0559499999999</v>
      </c>
      <c r="G353">
        <v>4755.40355</v>
      </c>
      <c r="H353">
        <v>4792.7697200000002</v>
      </c>
      <c r="Q353">
        <v>4723.7087000000001</v>
      </c>
      <c r="R353">
        <v>4753.0719900000004</v>
      </c>
      <c r="S353">
        <v>4779.6607700000004</v>
      </c>
      <c r="V353">
        <v>4688.7689300000002</v>
      </c>
      <c r="W353">
        <v>4655.2039299999997</v>
      </c>
      <c r="AB353">
        <v>4756.2561699999997</v>
      </c>
      <c r="AC353">
        <v>4756.1423000000004</v>
      </c>
      <c r="AD353">
        <v>0</v>
      </c>
      <c r="AK353">
        <v>351</v>
      </c>
      <c r="AL353">
        <v>350</v>
      </c>
      <c r="AM353">
        <v>4756.53</v>
      </c>
      <c r="AN353">
        <v>4723.7087000000001</v>
      </c>
      <c r="AO353">
        <v>32.821300000000001</v>
      </c>
      <c r="AP353">
        <v>1077.2376999999999</v>
      </c>
      <c r="AQ353">
        <v>0.81335999999999997</v>
      </c>
      <c r="AR353">
        <v>0.75923700000000005</v>
      </c>
      <c r="AY353">
        <v>351</v>
      </c>
      <c r="AZ353">
        <v>350</v>
      </c>
      <c r="BA353">
        <v>4756.53</v>
      </c>
      <c r="BB353">
        <v>4723.7087000000001</v>
      </c>
      <c r="BC353">
        <v>32.821300000000001</v>
      </c>
      <c r="BD353">
        <v>1077.2376999999999</v>
      </c>
      <c r="BE353">
        <v>122500</v>
      </c>
    </row>
    <row r="354" spans="1:57" x14ac:dyDescent="0.55000000000000004">
      <c r="A354">
        <v>1776854702</v>
      </c>
      <c r="B354" t="s">
        <v>72</v>
      </c>
      <c r="C354" t="s">
        <v>73</v>
      </c>
      <c r="D354">
        <v>4759.21</v>
      </c>
      <c r="E354">
        <v>4518.5928199999998</v>
      </c>
      <c r="F354">
        <v>4596.0559499999999</v>
      </c>
      <c r="G354">
        <v>4755.40355</v>
      </c>
      <c r="H354">
        <v>4792.7697200000002</v>
      </c>
      <c r="Q354">
        <v>4723.4410900000003</v>
      </c>
      <c r="R354">
        <v>4752.8043900000002</v>
      </c>
      <c r="S354">
        <v>4779.3931599999996</v>
      </c>
      <c r="V354">
        <v>4688.5013200000003</v>
      </c>
      <c r="W354">
        <v>4654.9363300000005</v>
      </c>
      <c r="AB354">
        <v>4756.0877499999997</v>
      </c>
      <c r="AC354">
        <v>4756.1150200000002</v>
      </c>
      <c r="AD354">
        <v>1</v>
      </c>
      <c r="AK354">
        <v>352</v>
      </c>
      <c r="AL354">
        <v>351</v>
      </c>
      <c r="AM354">
        <v>4759.21</v>
      </c>
      <c r="AN354">
        <v>4723.4411</v>
      </c>
      <c r="AO354">
        <v>35.768900000000002</v>
      </c>
      <c r="AP354">
        <v>1279.4149</v>
      </c>
      <c r="AQ354">
        <v>1.0527679999999999</v>
      </c>
      <c r="AR354">
        <v>1.0709690000000001</v>
      </c>
      <c r="AY354">
        <v>352</v>
      </c>
      <c r="AZ354">
        <v>351</v>
      </c>
      <c r="BA354">
        <v>4759.21</v>
      </c>
      <c r="BB354">
        <v>4723.4411</v>
      </c>
      <c r="BC354">
        <v>35.768900000000002</v>
      </c>
      <c r="BD354">
        <v>1279.4149</v>
      </c>
      <c r="BE354">
        <v>123201</v>
      </c>
    </row>
    <row r="355" spans="1:57" x14ac:dyDescent="0.55000000000000004">
      <c r="A355">
        <v>1776855602</v>
      </c>
      <c r="B355" t="s">
        <v>72</v>
      </c>
      <c r="C355" t="s">
        <v>73</v>
      </c>
      <c r="D355">
        <v>4757.2700000000004</v>
      </c>
      <c r="E355">
        <v>4518.5928199999998</v>
      </c>
      <c r="F355">
        <v>4596.0559499999999</v>
      </c>
      <c r="G355">
        <v>4755.40355</v>
      </c>
      <c r="H355">
        <v>4792.7697200000002</v>
      </c>
      <c r="Q355">
        <v>4723.1734900000001</v>
      </c>
      <c r="R355">
        <v>4752.5367900000001</v>
      </c>
      <c r="S355">
        <v>4779.1255600000004</v>
      </c>
      <c r="V355">
        <v>4688.2337200000002</v>
      </c>
      <c r="W355">
        <v>4654.6687199999997</v>
      </c>
      <c r="AB355">
        <v>4755.4432200000001</v>
      </c>
      <c r="AC355">
        <v>4755.7791200000001</v>
      </c>
      <c r="AD355">
        <v>0</v>
      </c>
      <c r="AK355">
        <v>353</v>
      </c>
      <c r="AL355">
        <v>352</v>
      </c>
      <c r="AM355">
        <v>4757.2700000000004</v>
      </c>
      <c r="AN355">
        <v>4723.1734999999999</v>
      </c>
      <c r="AO355">
        <v>34.096499999999999</v>
      </c>
      <c r="AP355">
        <v>1162.5719999999999</v>
      </c>
      <c r="AQ355">
        <v>0.91189600000000004</v>
      </c>
      <c r="AR355">
        <v>0.88428799999999996</v>
      </c>
      <c r="AY355">
        <v>353</v>
      </c>
      <c r="AZ355">
        <v>352</v>
      </c>
      <c r="BA355">
        <v>4757.2700000000004</v>
      </c>
      <c r="BB355">
        <v>4723.1734999999999</v>
      </c>
      <c r="BC355">
        <v>34.096499999999999</v>
      </c>
      <c r="BD355">
        <v>1162.5719999999999</v>
      </c>
      <c r="BE355">
        <v>123904</v>
      </c>
    </row>
    <row r="356" spans="1:57" x14ac:dyDescent="0.55000000000000004">
      <c r="A356">
        <v>1776856502</v>
      </c>
      <c r="B356" t="s">
        <v>72</v>
      </c>
      <c r="C356" t="s">
        <v>73</v>
      </c>
      <c r="D356">
        <v>4757.3599999999997</v>
      </c>
      <c r="E356">
        <v>4518.5928199999998</v>
      </c>
      <c r="F356">
        <v>4596.0559499999999</v>
      </c>
      <c r="G356">
        <v>4755.40355</v>
      </c>
      <c r="H356">
        <v>4792.7697200000002</v>
      </c>
      <c r="Q356">
        <v>4722.9058800000003</v>
      </c>
      <c r="R356">
        <v>4752.2691800000002</v>
      </c>
      <c r="S356">
        <v>4778.8579499999996</v>
      </c>
      <c r="V356">
        <v>4687.9661100000003</v>
      </c>
      <c r="W356">
        <v>4654.4011200000004</v>
      </c>
      <c r="AB356">
        <v>4754.3490700000002</v>
      </c>
      <c r="AC356">
        <v>4755.0640899999999</v>
      </c>
      <c r="AD356">
        <v>0</v>
      </c>
      <c r="AK356">
        <v>354</v>
      </c>
      <c r="AL356">
        <v>353</v>
      </c>
      <c r="AM356">
        <v>4757.3599999999997</v>
      </c>
      <c r="AN356">
        <v>4722.9058999999997</v>
      </c>
      <c r="AO356">
        <v>34.454099999999997</v>
      </c>
      <c r="AP356">
        <v>1187.0863999999999</v>
      </c>
      <c r="AQ356">
        <v>0.94089</v>
      </c>
      <c r="AR356">
        <v>0.92197399999999996</v>
      </c>
      <c r="AY356">
        <v>354</v>
      </c>
      <c r="AZ356">
        <v>353</v>
      </c>
      <c r="BA356">
        <v>4757.3599999999997</v>
      </c>
      <c r="BB356">
        <v>4722.9058999999997</v>
      </c>
      <c r="BC356">
        <v>34.454099999999997</v>
      </c>
      <c r="BD356">
        <v>1187.0863999999999</v>
      </c>
      <c r="BE356">
        <v>124609</v>
      </c>
    </row>
    <row r="357" spans="1:57" x14ac:dyDescent="0.55000000000000004">
      <c r="A357">
        <v>1776857402</v>
      </c>
      <c r="B357" t="s">
        <v>72</v>
      </c>
      <c r="C357" t="s">
        <v>73</v>
      </c>
      <c r="D357">
        <v>4748.68</v>
      </c>
      <c r="E357">
        <v>4518.5928199999998</v>
      </c>
      <c r="F357">
        <v>4596.0559499999999</v>
      </c>
      <c r="G357">
        <v>4755.40355</v>
      </c>
      <c r="H357">
        <v>4792.7697200000002</v>
      </c>
      <c r="Q357">
        <v>4722.6382800000001</v>
      </c>
      <c r="R357">
        <v>4752.0015800000001</v>
      </c>
      <c r="S357">
        <v>4778.5903500000004</v>
      </c>
      <c r="V357">
        <v>4687.6985100000002</v>
      </c>
      <c r="W357">
        <v>4654.1335099999997</v>
      </c>
      <c r="AB357">
        <v>4752.8876</v>
      </c>
      <c r="AC357">
        <v>4753.9758499999998</v>
      </c>
      <c r="AD357">
        <v>0</v>
      </c>
      <c r="AK357">
        <v>355</v>
      </c>
      <c r="AL357">
        <v>354</v>
      </c>
      <c r="AM357">
        <v>4748.68</v>
      </c>
      <c r="AN357">
        <v>4722.6382999999996</v>
      </c>
      <c r="AO357">
        <v>26.041699999999999</v>
      </c>
      <c r="AP357">
        <v>678.1712</v>
      </c>
      <c r="AQ357">
        <v>0.406279</v>
      </c>
      <c r="AR357">
        <v>0.30090699999999998</v>
      </c>
      <c r="AY357">
        <v>355</v>
      </c>
      <c r="AZ357">
        <v>354</v>
      </c>
      <c r="BA357">
        <v>4748.68</v>
      </c>
      <c r="BB357">
        <v>4722.6382999999996</v>
      </c>
      <c r="BC357">
        <v>26.041699999999999</v>
      </c>
      <c r="BD357">
        <v>678.1712</v>
      </c>
      <c r="BE357">
        <v>125316</v>
      </c>
    </row>
    <row r="358" spans="1:57" x14ac:dyDescent="0.55000000000000004">
      <c r="A358">
        <v>1776858302</v>
      </c>
      <c r="B358" t="s">
        <v>72</v>
      </c>
      <c r="C358" t="s">
        <v>73</v>
      </c>
      <c r="D358">
        <v>4750.3100000000004</v>
      </c>
      <c r="E358">
        <v>4518.5928199999998</v>
      </c>
      <c r="F358">
        <v>4596.0559499999999</v>
      </c>
      <c r="G358">
        <v>4755.40355</v>
      </c>
      <c r="H358">
        <v>4792.7697200000002</v>
      </c>
      <c r="Q358">
        <v>4722.37068</v>
      </c>
      <c r="R358">
        <v>4751.7339700000002</v>
      </c>
      <c r="S358">
        <v>4778.3227399999996</v>
      </c>
      <c r="V358">
        <v>4687.4309000000003</v>
      </c>
      <c r="W358">
        <v>4653.8659100000004</v>
      </c>
      <c r="AB358">
        <v>4751.4667300000001</v>
      </c>
      <c r="AC358">
        <v>4752.7212900000004</v>
      </c>
      <c r="AD358">
        <v>0</v>
      </c>
      <c r="AK358">
        <v>356</v>
      </c>
      <c r="AL358">
        <v>355</v>
      </c>
      <c r="AM358">
        <v>4750.3100000000004</v>
      </c>
      <c r="AN358">
        <v>4722.3707000000004</v>
      </c>
      <c r="AO358">
        <v>27.939299999999999</v>
      </c>
      <c r="AP358">
        <v>780.60559999999998</v>
      </c>
      <c r="AQ358">
        <v>0.501722</v>
      </c>
      <c r="AR358">
        <v>0.39867399999999997</v>
      </c>
      <c r="AY358">
        <v>356</v>
      </c>
      <c r="AZ358">
        <v>355</v>
      </c>
      <c r="BA358">
        <v>4750.3100000000004</v>
      </c>
      <c r="BB358">
        <v>4722.3707000000004</v>
      </c>
      <c r="BC358">
        <v>27.939299999999999</v>
      </c>
      <c r="BD358">
        <v>780.60559999999998</v>
      </c>
      <c r="BE358">
        <v>126025</v>
      </c>
    </row>
    <row r="359" spans="1:57" x14ac:dyDescent="0.55000000000000004">
      <c r="A359">
        <v>1776859202</v>
      </c>
      <c r="B359" t="s">
        <v>72</v>
      </c>
      <c r="C359" t="s">
        <v>73</v>
      </c>
      <c r="D359">
        <v>4752.51</v>
      </c>
      <c r="E359">
        <v>4518.5928199999998</v>
      </c>
      <c r="F359">
        <v>4596.0559499999999</v>
      </c>
      <c r="G359">
        <v>4755.40355</v>
      </c>
      <c r="H359">
        <v>4792.7697200000002</v>
      </c>
      <c r="Q359">
        <v>4722.1030700000001</v>
      </c>
      <c r="R359">
        <v>4751.4663700000001</v>
      </c>
      <c r="S359">
        <v>4778.0551400000004</v>
      </c>
      <c r="V359">
        <v>4687.1633000000002</v>
      </c>
      <c r="W359">
        <v>4653.5982999999997</v>
      </c>
      <c r="AB359">
        <v>4750.2142100000001</v>
      </c>
      <c r="AC359">
        <v>4751.4677499999998</v>
      </c>
      <c r="AD359">
        <v>0</v>
      </c>
      <c r="AK359">
        <v>357</v>
      </c>
      <c r="AL359">
        <v>356</v>
      </c>
      <c r="AM359">
        <v>4752.51</v>
      </c>
      <c r="AN359">
        <v>4722.1031000000003</v>
      </c>
      <c r="AO359">
        <v>30.4069</v>
      </c>
      <c r="AP359">
        <v>924.58140000000003</v>
      </c>
      <c r="AQ359">
        <v>0.64674500000000001</v>
      </c>
      <c r="AR359">
        <v>0.55929899999999999</v>
      </c>
      <c r="AY359">
        <v>357</v>
      </c>
      <c r="AZ359">
        <v>356</v>
      </c>
      <c r="BA359">
        <v>4752.51</v>
      </c>
      <c r="BB359">
        <v>4722.1031000000003</v>
      </c>
      <c r="BC359">
        <v>30.4069</v>
      </c>
      <c r="BD359">
        <v>924.58140000000003</v>
      </c>
      <c r="BE359">
        <v>126736</v>
      </c>
    </row>
    <row r="360" spans="1:57" x14ac:dyDescent="0.55000000000000004">
      <c r="A360">
        <v>1776860102</v>
      </c>
      <c r="B360" t="s">
        <v>72</v>
      </c>
      <c r="C360" t="s">
        <v>73</v>
      </c>
      <c r="D360">
        <v>4753.2</v>
      </c>
      <c r="E360">
        <v>4518.5928199999998</v>
      </c>
      <c r="F360">
        <v>4596.0559499999999</v>
      </c>
      <c r="G360">
        <v>4755.40355</v>
      </c>
      <c r="H360">
        <v>4792.7697200000002</v>
      </c>
      <c r="Q360">
        <v>4721.83547</v>
      </c>
      <c r="R360">
        <v>4751.19877</v>
      </c>
      <c r="S360">
        <v>4777.7875400000003</v>
      </c>
      <c r="V360">
        <v>4686.8957</v>
      </c>
      <c r="W360">
        <v>4653.3307000000004</v>
      </c>
      <c r="AB360">
        <v>4749.2244300000002</v>
      </c>
      <c r="AC360">
        <v>4750.34609</v>
      </c>
      <c r="AD360">
        <v>0</v>
      </c>
      <c r="AK360">
        <v>358</v>
      </c>
      <c r="AL360">
        <v>357</v>
      </c>
      <c r="AM360">
        <v>4753.2</v>
      </c>
      <c r="AN360">
        <v>4721.8355000000001</v>
      </c>
      <c r="AO360">
        <v>31.3645</v>
      </c>
      <c r="AP360">
        <v>983.7337</v>
      </c>
      <c r="AQ360">
        <v>0.70979300000000001</v>
      </c>
      <c r="AR360">
        <v>0.63315399999999999</v>
      </c>
      <c r="AY360">
        <v>358</v>
      </c>
      <c r="AZ360">
        <v>357</v>
      </c>
      <c r="BA360">
        <v>4753.2</v>
      </c>
      <c r="BB360">
        <v>4721.8355000000001</v>
      </c>
      <c r="BC360">
        <v>31.3645</v>
      </c>
      <c r="BD360">
        <v>983.7337</v>
      </c>
      <c r="BE360">
        <v>127449</v>
      </c>
    </row>
    <row r="361" spans="1:57" x14ac:dyDescent="0.55000000000000004">
      <c r="A361">
        <v>1776861002</v>
      </c>
      <c r="B361" t="s">
        <v>72</v>
      </c>
      <c r="C361" t="s">
        <v>73</v>
      </c>
      <c r="D361">
        <v>4746.7299999999996</v>
      </c>
      <c r="E361">
        <v>4518.5928199999998</v>
      </c>
      <c r="F361">
        <v>4596.0559499999999</v>
      </c>
      <c r="G361">
        <v>4755.40355</v>
      </c>
      <c r="H361">
        <v>4792.7697200000002</v>
      </c>
      <c r="Q361">
        <v>4721.5678600000001</v>
      </c>
      <c r="R361">
        <v>4750.9311600000001</v>
      </c>
      <c r="S361">
        <v>4777.5199300000004</v>
      </c>
      <c r="V361">
        <v>4686.6280900000002</v>
      </c>
      <c r="W361">
        <v>4653.0631000000003</v>
      </c>
      <c r="AB361">
        <v>4748.5637299999999</v>
      </c>
      <c r="AC361">
        <v>4749.4549100000004</v>
      </c>
      <c r="AD361">
        <v>0</v>
      </c>
      <c r="AK361">
        <v>359</v>
      </c>
      <c r="AL361">
        <v>358</v>
      </c>
      <c r="AM361">
        <v>4746.7299999999996</v>
      </c>
      <c r="AN361">
        <v>4721.5679</v>
      </c>
      <c r="AO361">
        <v>25.162099999999999</v>
      </c>
      <c r="AP361">
        <v>633.13329999999996</v>
      </c>
      <c r="AQ361">
        <v>0.36648700000000001</v>
      </c>
      <c r="AR361">
        <v>0.26226699999999997</v>
      </c>
      <c r="AY361">
        <v>359</v>
      </c>
      <c r="AZ361">
        <v>358</v>
      </c>
      <c r="BA361">
        <v>4746.7299999999996</v>
      </c>
      <c r="BB361">
        <v>4721.5679</v>
      </c>
      <c r="BC361">
        <v>25.162099999999999</v>
      </c>
      <c r="BD361">
        <v>633.13329999999996</v>
      </c>
      <c r="BE361">
        <v>128164</v>
      </c>
    </row>
    <row r="362" spans="1:57" x14ac:dyDescent="0.55000000000000004">
      <c r="A362">
        <v>1776861902</v>
      </c>
      <c r="B362" t="s">
        <v>72</v>
      </c>
      <c r="C362" t="s">
        <v>73</v>
      </c>
      <c r="D362">
        <v>4744.2299999999996</v>
      </c>
      <c r="E362">
        <v>4518.5928199999998</v>
      </c>
      <c r="F362">
        <v>4596.0559499999999</v>
      </c>
      <c r="G362">
        <v>4755.40355</v>
      </c>
      <c r="H362">
        <v>4792.7697200000002</v>
      </c>
      <c r="Q362">
        <v>4721.30026</v>
      </c>
      <c r="R362">
        <v>4750.66356</v>
      </c>
      <c r="S362">
        <v>4777.2523300000003</v>
      </c>
      <c r="V362">
        <v>4686.36049</v>
      </c>
      <c r="W362">
        <v>4652.7954900000004</v>
      </c>
      <c r="AB362">
        <v>4748.3941299999997</v>
      </c>
      <c r="AC362">
        <v>4748.9245199999996</v>
      </c>
      <c r="AD362">
        <v>0</v>
      </c>
      <c r="AK362">
        <v>360</v>
      </c>
      <c r="AL362">
        <v>359</v>
      </c>
      <c r="AM362">
        <v>4744.2299999999996</v>
      </c>
      <c r="AN362">
        <v>4721.3002999999999</v>
      </c>
      <c r="AO362">
        <v>22.9297</v>
      </c>
      <c r="AP362">
        <v>525.77300000000002</v>
      </c>
      <c r="AQ362">
        <v>0.27733999999999998</v>
      </c>
      <c r="AR362">
        <v>0.180863</v>
      </c>
      <c r="AY362">
        <v>360</v>
      </c>
      <c r="AZ362">
        <v>359</v>
      </c>
      <c r="BA362">
        <v>4744.2299999999996</v>
      </c>
      <c r="BB362">
        <v>4721.3002999999999</v>
      </c>
      <c r="BC362">
        <v>22.9297</v>
      </c>
      <c r="BD362">
        <v>525.77300000000002</v>
      </c>
      <c r="BE362">
        <v>128881</v>
      </c>
    </row>
    <row r="363" spans="1:57" x14ac:dyDescent="0.55000000000000004">
      <c r="A363">
        <v>1776862802</v>
      </c>
      <c r="B363" t="s">
        <v>72</v>
      </c>
      <c r="C363" t="s">
        <v>73</v>
      </c>
      <c r="D363">
        <v>4742.3900000000003</v>
      </c>
      <c r="E363">
        <v>4518.5928199999998</v>
      </c>
      <c r="F363">
        <v>4596.0559499999999</v>
      </c>
      <c r="G363">
        <v>4755.40355</v>
      </c>
      <c r="H363">
        <v>4792.7697200000002</v>
      </c>
      <c r="Q363">
        <v>4721.0326500000001</v>
      </c>
      <c r="R363">
        <v>4750.3959500000001</v>
      </c>
      <c r="S363">
        <v>4776.9847200000004</v>
      </c>
      <c r="V363">
        <v>4686.0928800000002</v>
      </c>
      <c r="W363">
        <v>4652.5278900000003</v>
      </c>
      <c r="AB363">
        <v>4748.6133399999999</v>
      </c>
      <c r="AC363">
        <v>4748.7689300000002</v>
      </c>
      <c r="AD363">
        <v>0</v>
      </c>
      <c r="AK363">
        <v>361</v>
      </c>
      <c r="AL363">
        <v>360</v>
      </c>
      <c r="AM363">
        <v>4742.3900000000003</v>
      </c>
      <c r="AN363">
        <v>4721.0326999999997</v>
      </c>
      <c r="AO363">
        <v>21.357399999999998</v>
      </c>
      <c r="AP363">
        <v>456.13639999999998</v>
      </c>
      <c r="AQ363">
        <v>0.224108</v>
      </c>
      <c r="AR363">
        <v>0.136127</v>
      </c>
      <c r="AY363">
        <v>361</v>
      </c>
      <c r="AZ363">
        <v>360</v>
      </c>
      <c r="BA363">
        <v>4742.3900000000003</v>
      </c>
      <c r="BB363">
        <v>4721.0326999999997</v>
      </c>
      <c r="BC363">
        <v>21.357399999999998</v>
      </c>
      <c r="BD363">
        <v>456.13639999999998</v>
      </c>
      <c r="BE363">
        <v>129600</v>
      </c>
    </row>
    <row r="364" spans="1:57" x14ac:dyDescent="0.55000000000000004">
      <c r="A364">
        <v>1776863702</v>
      </c>
      <c r="B364" t="s">
        <v>72</v>
      </c>
      <c r="C364" t="s">
        <v>73</v>
      </c>
      <c r="D364">
        <v>4750.2</v>
      </c>
      <c r="E364">
        <v>4518.5928199999998</v>
      </c>
      <c r="F364">
        <v>4596.0559499999999</v>
      </c>
      <c r="G364">
        <v>4755.40355</v>
      </c>
      <c r="H364">
        <v>4792.7697200000002</v>
      </c>
      <c r="Q364">
        <v>4720.76505</v>
      </c>
      <c r="R364">
        <v>4750.12835</v>
      </c>
      <c r="S364">
        <v>4776.7171200000003</v>
      </c>
      <c r="V364">
        <v>4685.82528</v>
      </c>
      <c r="W364">
        <v>4652.2602800000004</v>
      </c>
      <c r="AB364">
        <v>4748.9847</v>
      </c>
      <c r="AC364">
        <v>4748.8768099999998</v>
      </c>
      <c r="AD364">
        <v>1</v>
      </c>
      <c r="AK364">
        <v>362</v>
      </c>
      <c r="AL364">
        <v>361</v>
      </c>
      <c r="AM364">
        <v>4750.2</v>
      </c>
      <c r="AN364">
        <v>4720.7650000000003</v>
      </c>
      <c r="AO364">
        <v>29.434899999999999</v>
      </c>
      <c r="AP364">
        <v>866.41629999999998</v>
      </c>
      <c r="AQ364">
        <v>0.58668600000000004</v>
      </c>
      <c r="AR364">
        <v>0.49114200000000002</v>
      </c>
      <c r="AY364">
        <v>362</v>
      </c>
      <c r="AZ364">
        <v>361</v>
      </c>
      <c r="BA364">
        <v>4750.2</v>
      </c>
      <c r="BB364">
        <v>4720.7650000000003</v>
      </c>
      <c r="BC364">
        <v>29.434899999999999</v>
      </c>
      <c r="BD364">
        <v>866.41629999999998</v>
      </c>
      <c r="BE364">
        <v>130321</v>
      </c>
    </row>
    <row r="365" spans="1:57" x14ac:dyDescent="0.55000000000000004">
      <c r="A365">
        <v>1776864602</v>
      </c>
      <c r="B365" t="s">
        <v>72</v>
      </c>
      <c r="C365" t="s">
        <v>73</v>
      </c>
      <c r="D365">
        <v>4755.33</v>
      </c>
      <c r="E365">
        <v>4518.5928199999998</v>
      </c>
      <c r="F365">
        <v>4596.0559499999999</v>
      </c>
      <c r="G365">
        <v>4755.40355</v>
      </c>
      <c r="H365">
        <v>4792.7697200000002</v>
      </c>
      <c r="Q365">
        <v>4720.4974499999998</v>
      </c>
      <c r="R365">
        <v>4749.8607499999998</v>
      </c>
      <c r="S365">
        <v>4776.4495200000001</v>
      </c>
      <c r="V365">
        <v>4685.5576799999999</v>
      </c>
      <c r="W365">
        <v>4651.9926800000003</v>
      </c>
      <c r="AB365">
        <v>4748.9431299999997</v>
      </c>
      <c r="AC365">
        <v>4748.9099699999997</v>
      </c>
      <c r="AD365">
        <v>0</v>
      </c>
      <c r="AK365">
        <v>363</v>
      </c>
      <c r="AL365">
        <v>362</v>
      </c>
      <c r="AM365">
        <v>4755.33</v>
      </c>
      <c r="AN365">
        <v>4720.4974000000002</v>
      </c>
      <c r="AO365">
        <v>34.832599999999999</v>
      </c>
      <c r="AP365">
        <v>1213.3064999999999</v>
      </c>
      <c r="AQ365">
        <v>0.97223499999999996</v>
      </c>
      <c r="AR365">
        <v>0.96315300000000004</v>
      </c>
      <c r="AY365">
        <v>363</v>
      </c>
      <c r="AZ365">
        <v>362</v>
      </c>
      <c r="BA365">
        <v>4755.33</v>
      </c>
      <c r="BB365">
        <v>4720.4974000000002</v>
      </c>
      <c r="BC365">
        <v>34.832599999999999</v>
      </c>
      <c r="BD365">
        <v>1213.3064999999999</v>
      </c>
      <c r="BE365">
        <v>131044</v>
      </c>
    </row>
    <row r="366" spans="1:57" x14ac:dyDescent="0.55000000000000004">
      <c r="A366">
        <v>1776865502</v>
      </c>
      <c r="B366" t="s">
        <v>72</v>
      </c>
      <c r="C366" t="s">
        <v>73</v>
      </c>
      <c r="D366">
        <v>4752.9399999999996</v>
      </c>
      <c r="E366">
        <v>4518.5928199999998</v>
      </c>
      <c r="F366">
        <v>4596.0559499999999</v>
      </c>
      <c r="G366">
        <v>4755.40355</v>
      </c>
      <c r="H366">
        <v>4792.7697200000002</v>
      </c>
      <c r="Q366">
        <v>4720.22984</v>
      </c>
      <c r="R366">
        <v>4749.5931399999999</v>
      </c>
      <c r="S366">
        <v>4776.1819100000002</v>
      </c>
      <c r="V366">
        <v>4685.29007</v>
      </c>
      <c r="W366">
        <v>4651.7250800000002</v>
      </c>
      <c r="AB366">
        <v>4748.0625200000004</v>
      </c>
      <c r="AC366">
        <v>4748.4862499999999</v>
      </c>
      <c r="AD366">
        <v>1</v>
      </c>
      <c r="AK366">
        <v>364</v>
      </c>
      <c r="AL366">
        <v>363</v>
      </c>
      <c r="AM366">
        <v>4752.9399999999996</v>
      </c>
      <c r="AN366">
        <v>4720.2298000000001</v>
      </c>
      <c r="AO366">
        <v>32.7102</v>
      </c>
      <c r="AP366">
        <v>1069.9546</v>
      </c>
      <c r="AQ366">
        <v>0.80512600000000001</v>
      </c>
      <c r="AR366">
        <v>0.74900500000000003</v>
      </c>
      <c r="AY366">
        <v>364</v>
      </c>
      <c r="AZ366">
        <v>363</v>
      </c>
      <c r="BA366">
        <v>4752.9399999999996</v>
      </c>
      <c r="BB366">
        <v>4720.2298000000001</v>
      </c>
      <c r="BC366">
        <v>32.7102</v>
      </c>
      <c r="BD366">
        <v>1069.9546</v>
      </c>
      <c r="BE366">
        <v>131769</v>
      </c>
    </row>
    <row r="367" spans="1:57" x14ac:dyDescent="0.55000000000000004">
      <c r="A367">
        <v>1776866402</v>
      </c>
      <c r="B367" t="s">
        <v>72</v>
      </c>
      <c r="C367" t="s">
        <v>73</v>
      </c>
      <c r="D367">
        <v>4745.59</v>
      </c>
      <c r="E367">
        <v>4518.5928199999998</v>
      </c>
      <c r="F367">
        <v>4596.0559499999999</v>
      </c>
      <c r="G367">
        <v>4755.40355</v>
      </c>
      <c r="H367">
        <v>4792.7697200000002</v>
      </c>
      <c r="Q367">
        <v>4719.9622399999998</v>
      </c>
      <c r="R367">
        <v>4749.3255399999998</v>
      </c>
      <c r="S367">
        <v>4775.9143100000001</v>
      </c>
      <c r="V367">
        <v>4685.0224699999999</v>
      </c>
      <c r="W367">
        <v>4651.4574700000003</v>
      </c>
      <c r="AB367">
        <v>4746.2443499999999</v>
      </c>
      <c r="AC367">
        <v>4747.3653000000004</v>
      </c>
      <c r="AD367">
        <v>0</v>
      </c>
      <c r="AK367">
        <v>365</v>
      </c>
      <c r="AL367">
        <v>364</v>
      </c>
      <c r="AM367">
        <v>4745.59</v>
      </c>
      <c r="AN367">
        <v>4719.9621999999999</v>
      </c>
      <c r="AO367">
        <v>25.627800000000001</v>
      </c>
      <c r="AP367">
        <v>656.78210000000001</v>
      </c>
      <c r="AQ367">
        <v>0.38721100000000003</v>
      </c>
      <c r="AR367">
        <v>0.28222599999999998</v>
      </c>
      <c r="AY367">
        <v>365</v>
      </c>
      <c r="AZ367">
        <v>364</v>
      </c>
      <c r="BA367">
        <v>4745.59</v>
      </c>
      <c r="BB367">
        <v>4719.9621999999999</v>
      </c>
      <c r="BC367">
        <v>25.627800000000001</v>
      </c>
      <c r="BD367">
        <v>656.78210000000001</v>
      </c>
      <c r="BE367">
        <v>132496</v>
      </c>
    </row>
    <row r="368" spans="1:57" x14ac:dyDescent="0.55000000000000004">
      <c r="A368">
        <v>1776867302</v>
      </c>
      <c r="B368" t="s">
        <v>72</v>
      </c>
      <c r="C368" t="s">
        <v>73</v>
      </c>
      <c r="D368">
        <v>4743.96</v>
      </c>
      <c r="E368">
        <v>4518.5928199999998</v>
      </c>
      <c r="F368">
        <v>4596.0559499999999</v>
      </c>
      <c r="G368">
        <v>4755.40355</v>
      </c>
      <c r="H368">
        <v>4792.7697200000002</v>
      </c>
      <c r="Q368">
        <v>4719.69463</v>
      </c>
      <c r="R368">
        <v>4749.0579299999999</v>
      </c>
      <c r="S368">
        <v>4775.6467000000002</v>
      </c>
      <c r="V368">
        <v>4684.75486</v>
      </c>
      <c r="W368">
        <v>4651.1898700000002</v>
      </c>
      <c r="AB368">
        <v>4743.6987300000001</v>
      </c>
      <c r="AC368">
        <v>4745.5320099999999</v>
      </c>
      <c r="AD368">
        <v>0</v>
      </c>
      <c r="AK368">
        <v>366</v>
      </c>
      <c r="AL368">
        <v>365</v>
      </c>
      <c r="AM368">
        <v>4743.96</v>
      </c>
      <c r="AN368">
        <v>4719.6945999999998</v>
      </c>
      <c r="AO368">
        <v>24.2654</v>
      </c>
      <c r="AP368">
        <v>588.80820000000006</v>
      </c>
      <c r="AQ368">
        <v>0.32868199999999997</v>
      </c>
      <c r="AR368">
        <v>0.226831</v>
      </c>
      <c r="AY368">
        <v>366</v>
      </c>
      <c r="AZ368">
        <v>365</v>
      </c>
      <c r="BA368">
        <v>4743.96</v>
      </c>
      <c r="BB368">
        <v>4719.6945999999998</v>
      </c>
      <c r="BC368">
        <v>24.2654</v>
      </c>
      <c r="BD368">
        <v>588.80820000000006</v>
      </c>
      <c r="BE368">
        <v>133225</v>
      </c>
    </row>
    <row r="369" spans="1:57" x14ac:dyDescent="0.55000000000000004">
      <c r="A369">
        <v>1776868202</v>
      </c>
      <c r="B369" t="s">
        <v>72</v>
      </c>
      <c r="C369" t="s">
        <v>73</v>
      </c>
      <c r="D369">
        <v>4733.08</v>
      </c>
      <c r="E369">
        <v>4518.5928199999998</v>
      </c>
      <c r="F369">
        <v>4596.0559499999999</v>
      </c>
      <c r="G369">
        <v>4755.40355</v>
      </c>
      <c r="H369">
        <v>4792.7697200000002</v>
      </c>
      <c r="Q369">
        <v>4719.4270299999998</v>
      </c>
      <c r="R369">
        <v>4748.7903299999998</v>
      </c>
      <c r="S369">
        <v>4775.3791000000001</v>
      </c>
      <c r="V369">
        <v>4684.4872599999999</v>
      </c>
      <c r="W369">
        <v>4650.9222600000003</v>
      </c>
      <c r="AB369">
        <v>4740.6026400000001</v>
      </c>
      <c r="AC369">
        <v>4743.0673299999999</v>
      </c>
      <c r="AD369">
        <v>0</v>
      </c>
      <c r="AK369">
        <v>367</v>
      </c>
      <c r="AL369">
        <v>366</v>
      </c>
      <c r="AM369">
        <v>4733.08</v>
      </c>
      <c r="AN369">
        <v>4719.4269999999997</v>
      </c>
      <c r="AO369">
        <v>13.653</v>
      </c>
      <c r="AP369">
        <v>186.40360000000001</v>
      </c>
      <c r="AQ369">
        <v>5.8546000000000001E-2</v>
      </c>
      <c r="AR369">
        <v>2.2733E-2</v>
      </c>
      <c r="AY369">
        <v>367</v>
      </c>
      <c r="AZ369">
        <v>366</v>
      </c>
      <c r="BA369">
        <v>4733.08</v>
      </c>
      <c r="BB369">
        <v>4719.4269999999997</v>
      </c>
      <c r="BC369">
        <v>13.653</v>
      </c>
      <c r="BD369">
        <v>186.40360000000001</v>
      </c>
      <c r="BE369">
        <v>133956</v>
      </c>
    </row>
    <row r="370" spans="1:57" x14ac:dyDescent="0.55000000000000004">
      <c r="A370">
        <v>1776869102</v>
      </c>
      <c r="B370" t="s">
        <v>72</v>
      </c>
      <c r="C370" t="s">
        <v>73</v>
      </c>
      <c r="D370">
        <v>4736.03</v>
      </c>
      <c r="E370">
        <v>4518.5928199999998</v>
      </c>
      <c r="F370">
        <v>4596.0559499999999</v>
      </c>
      <c r="G370">
        <v>4755.40355</v>
      </c>
      <c r="H370">
        <v>4792.7697200000002</v>
      </c>
      <c r="Q370">
        <v>4719.1594299999997</v>
      </c>
      <c r="R370">
        <v>4748.5227299999997</v>
      </c>
      <c r="S370">
        <v>4775.1115</v>
      </c>
      <c r="V370">
        <v>4684.2196599999997</v>
      </c>
      <c r="W370">
        <v>4650.6546600000001</v>
      </c>
      <c r="AB370">
        <v>4737.4701500000001</v>
      </c>
      <c r="AC370">
        <v>4740.2687400000004</v>
      </c>
      <c r="AD370">
        <v>0</v>
      </c>
      <c r="AK370">
        <v>368</v>
      </c>
      <c r="AL370">
        <v>367</v>
      </c>
      <c r="AM370">
        <v>4736.03</v>
      </c>
      <c r="AN370">
        <v>4719.1593999999996</v>
      </c>
      <c r="AO370">
        <v>16.8706</v>
      </c>
      <c r="AP370">
        <v>284.61610000000002</v>
      </c>
      <c r="AQ370">
        <v>0.11046</v>
      </c>
      <c r="AR370">
        <v>5.2999999999999999E-2</v>
      </c>
      <c r="AY370">
        <v>368</v>
      </c>
      <c r="AZ370">
        <v>367</v>
      </c>
      <c r="BA370">
        <v>4736.03</v>
      </c>
      <c r="BB370">
        <v>4719.1593999999996</v>
      </c>
      <c r="BC370">
        <v>16.8706</v>
      </c>
      <c r="BD370">
        <v>284.61610000000002</v>
      </c>
      <c r="BE370">
        <v>134689</v>
      </c>
    </row>
    <row r="371" spans="1:57" x14ac:dyDescent="0.55000000000000004">
      <c r="A371">
        <v>1776870002</v>
      </c>
      <c r="B371" t="s">
        <v>72</v>
      </c>
      <c r="C371" t="s">
        <v>73</v>
      </c>
      <c r="D371">
        <v>4737.74</v>
      </c>
      <c r="E371">
        <v>4518.5928199999998</v>
      </c>
      <c r="F371">
        <v>4596.0559499999999</v>
      </c>
      <c r="G371">
        <v>4755.40355</v>
      </c>
      <c r="H371">
        <v>4792.7697200000002</v>
      </c>
      <c r="Q371">
        <v>4718.8918199999998</v>
      </c>
      <c r="R371">
        <v>4748.2551199999998</v>
      </c>
      <c r="S371">
        <v>4774.8438900000001</v>
      </c>
      <c r="V371">
        <v>4683.9520499999999</v>
      </c>
      <c r="W371">
        <v>4650.38706</v>
      </c>
      <c r="AB371">
        <v>4734.4492499999997</v>
      </c>
      <c r="AC371">
        <v>4737.3590000000004</v>
      </c>
      <c r="AD371">
        <v>0</v>
      </c>
      <c r="AK371">
        <v>369</v>
      </c>
      <c r="AL371">
        <v>368</v>
      </c>
      <c r="AM371">
        <v>4737.74</v>
      </c>
      <c r="AN371">
        <v>4718.8918000000003</v>
      </c>
      <c r="AO371">
        <v>18.848199999999999</v>
      </c>
      <c r="AP371">
        <v>355.25389999999999</v>
      </c>
      <c r="AQ371">
        <v>0.15403700000000001</v>
      </c>
      <c r="AR371">
        <v>8.2572000000000007E-2</v>
      </c>
      <c r="AY371">
        <v>369</v>
      </c>
      <c r="AZ371">
        <v>368</v>
      </c>
      <c r="BA371">
        <v>4737.74</v>
      </c>
      <c r="BB371">
        <v>4718.8918000000003</v>
      </c>
      <c r="BC371">
        <v>18.848199999999999</v>
      </c>
      <c r="BD371">
        <v>355.25389999999999</v>
      </c>
      <c r="BE371">
        <v>135424</v>
      </c>
    </row>
    <row r="372" spans="1:57" x14ac:dyDescent="0.55000000000000004">
      <c r="A372">
        <v>1776870902</v>
      </c>
      <c r="B372" t="s">
        <v>72</v>
      </c>
      <c r="C372" t="s">
        <v>73</v>
      </c>
      <c r="D372">
        <v>4735.09</v>
      </c>
      <c r="E372">
        <v>4518.5928199999998</v>
      </c>
      <c r="F372">
        <v>4596.0559499999999</v>
      </c>
      <c r="G372">
        <v>4755.40355</v>
      </c>
      <c r="H372">
        <v>4792.7697200000002</v>
      </c>
      <c r="Q372">
        <v>4718.6242199999997</v>
      </c>
      <c r="R372">
        <v>4747.9875199999997</v>
      </c>
      <c r="S372">
        <v>4774.57629</v>
      </c>
      <c r="V372">
        <v>4683.6844499999997</v>
      </c>
      <c r="W372">
        <v>4650.1194500000001</v>
      </c>
      <c r="AB372">
        <v>4731.7262799999999</v>
      </c>
      <c r="AC372">
        <v>4734.5426399999997</v>
      </c>
      <c r="AD372">
        <v>0</v>
      </c>
      <c r="AK372">
        <v>370</v>
      </c>
      <c r="AL372">
        <v>369</v>
      </c>
      <c r="AM372">
        <v>4735.09</v>
      </c>
      <c r="AN372">
        <v>4718.6242000000002</v>
      </c>
      <c r="AO372">
        <v>16.465800000000002</v>
      </c>
      <c r="AP372">
        <v>271.12189999999998</v>
      </c>
      <c r="AQ372">
        <v>0.102698</v>
      </c>
      <c r="AR372">
        <v>4.8092999999999997E-2</v>
      </c>
      <c r="AY372">
        <v>370</v>
      </c>
      <c r="AZ372">
        <v>369</v>
      </c>
      <c r="BA372">
        <v>4735.09</v>
      </c>
      <c r="BB372">
        <v>4718.6242000000002</v>
      </c>
      <c r="BC372">
        <v>16.465800000000002</v>
      </c>
      <c r="BD372">
        <v>271.12189999999998</v>
      </c>
      <c r="BE372">
        <v>136161</v>
      </c>
    </row>
    <row r="373" spans="1:57" x14ac:dyDescent="0.55000000000000004">
      <c r="A373">
        <v>1776871802</v>
      </c>
      <c r="B373" t="s">
        <v>72</v>
      </c>
      <c r="C373" t="s">
        <v>73</v>
      </c>
      <c r="D373">
        <v>4727.2</v>
      </c>
      <c r="E373">
        <v>4518.5928199999998</v>
      </c>
      <c r="F373">
        <v>4596.0559499999999</v>
      </c>
      <c r="G373">
        <v>4755.40355</v>
      </c>
      <c r="H373">
        <v>4792.7697200000002</v>
      </c>
      <c r="Q373">
        <v>4718.3566099999998</v>
      </c>
      <c r="R373">
        <v>4747.7199099999998</v>
      </c>
      <c r="S373">
        <v>4774.3086800000001</v>
      </c>
      <c r="V373">
        <v>4683.4168399999999</v>
      </c>
      <c r="W373">
        <v>4649.85185</v>
      </c>
      <c r="AB373">
        <v>4729.5702600000004</v>
      </c>
      <c r="AC373">
        <v>4732.05645</v>
      </c>
      <c r="AD373">
        <v>0</v>
      </c>
      <c r="AK373">
        <v>371</v>
      </c>
      <c r="AL373">
        <v>370</v>
      </c>
      <c r="AM373">
        <v>4727.2</v>
      </c>
      <c r="AN373">
        <v>4718.3566000000001</v>
      </c>
      <c r="AO373">
        <v>8.8434000000000008</v>
      </c>
      <c r="AP373">
        <v>78.205500000000001</v>
      </c>
      <c r="AQ373">
        <v>1.5910000000000001E-2</v>
      </c>
      <c r="AR373">
        <v>4.0020000000000003E-3</v>
      </c>
      <c r="AY373">
        <v>371</v>
      </c>
      <c r="AZ373">
        <v>370</v>
      </c>
      <c r="BA373">
        <v>4727.2</v>
      </c>
      <c r="BB373">
        <v>4718.3566000000001</v>
      </c>
      <c r="BC373">
        <v>8.8434000000000008</v>
      </c>
      <c r="BD373">
        <v>78.205500000000001</v>
      </c>
      <c r="BE373">
        <v>136900</v>
      </c>
    </row>
    <row r="374" spans="1:57" x14ac:dyDescent="0.55000000000000004">
      <c r="A374">
        <v>1776872702</v>
      </c>
      <c r="B374" t="s">
        <v>72</v>
      </c>
      <c r="C374" t="s">
        <v>73</v>
      </c>
      <c r="D374">
        <v>4727.6899999999996</v>
      </c>
      <c r="E374">
        <v>4518.5928199999998</v>
      </c>
      <c r="F374">
        <v>4596.0559499999999</v>
      </c>
      <c r="G374">
        <v>4755.40355</v>
      </c>
      <c r="H374">
        <v>4792.7697200000002</v>
      </c>
      <c r="Q374">
        <v>4718.0890099999997</v>
      </c>
      <c r="R374">
        <v>4747.4523099999997</v>
      </c>
      <c r="S374">
        <v>4774.04108</v>
      </c>
      <c r="V374">
        <v>4683.1492399999997</v>
      </c>
      <c r="W374">
        <v>4649.5842400000001</v>
      </c>
      <c r="AB374">
        <v>4728.3652199999997</v>
      </c>
      <c r="AC374">
        <v>4730.21083</v>
      </c>
      <c r="AD374">
        <v>0</v>
      </c>
      <c r="AK374">
        <v>372</v>
      </c>
      <c r="AL374">
        <v>371</v>
      </c>
      <c r="AM374">
        <v>4727.6899999999996</v>
      </c>
      <c r="AN374">
        <v>4718.0889999999999</v>
      </c>
      <c r="AO374">
        <v>9.6010000000000009</v>
      </c>
      <c r="AP374">
        <v>92.179000000000002</v>
      </c>
      <c r="AQ374">
        <v>2.0358999999999999E-2</v>
      </c>
      <c r="AR374">
        <v>5.5589999999999997E-3</v>
      </c>
      <c r="AY374">
        <v>372</v>
      </c>
      <c r="AZ374">
        <v>371</v>
      </c>
      <c r="BA374">
        <v>4727.6899999999996</v>
      </c>
      <c r="BB374">
        <v>4718.0889999999999</v>
      </c>
      <c r="BC374">
        <v>9.6010000000000009</v>
      </c>
      <c r="BD374">
        <v>92.179000000000002</v>
      </c>
      <c r="BE374">
        <v>137641</v>
      </c>
    </row>
    <row r="375" spans="1:57" x14ac:dyDescent="0.55000000000000004">
      <c r="A375">
        <v>1776873602</v>
      </c>
      <c r="B375" t="s">
        <v>72</v>
      </c>
      <c r="C375" t="s">
        <v>73</v>
      </c>
      <c r="D375">
        <v>4730.22</v>
      </c>
      <c r="E375">
        <v>4518.5928199999998</v>
      </c>
      <c r="F375">
        <v>4596.0559499999999</v>
      </c>
      <c r="G375">
        <v>4755.40355</v>
      </c>
      <c r="H375">
        <v>4792.7697200000002</v>
      </c>
      <c r="Q375">
        <v>4717.8214099999996</v>
      </c>
      <c r="R375">
        <v>4747.1846999999998</v>
      </c>
      <c r="S375">
        <v>4773.7734799999998</v>
      </c>
      <c r="V375">
        <v>4682.8816399999996</v>
      </c>
      <c r="W375">
        <v>4649.31664</v>
      </c>
      <c r="AB375">
        <v>4728.0325999999995</v>
      </c>
      <c r="AC375">
        <v>4729.1217200000001</v>
      </c>
      <c r="AD375">
        <v>0</v>
      </c>
      <c r="AK375">
        <v>373</v>
      </c>
      <c r="AL375">
        <v>372</v>
      </c>
      <c r="AM375">
        <v>4730.22</v>
      </c>
      <c r="AN375">
        <v>4717.8213999999998</v>
      </c>
      <c r="AO375">
        <v>12.3986</v>
      </c>
      <c r="AP375">
        <v>153.72499999999999</v>
      </c>
      <c r="AQ375">
        <v>4.3846000000000003E-2</v>
      </c>
      <c r="AR375">
        <v>1.5461000000000001E-2</v>
      </c>
      <c r="AY375">
        <v>373</v>
      </c>
      <c r="AZ375">
        <v>372</v>
      </c>
      <c r="BA375">
        <v>4730.22</v>
      </c>
      <c r="BB375">
        <v>4717.8213999999998</v>
      </c>
      <c r="BC375">
        <v>12.3986</v>
      </c>
      <c r="BD375">
        <v>153.72499999999999</v>
      </c>
      <c r="BE375">
        <v>138384</v>
      </c>
    </row>
    <row r="376" spans="1:57" x14ac:dyDescent="0.55000000000000004">
      <c r="A376">
        <v>1776874502</v>
      </c>
      <c r="B376" t="s">
        <v>72</v>
      </c>
      <c r="C376" t="s">
        <v>73</v>
      </c>
      <c r="D376">
        <v>4727.08</v>
      </c>
      <c r="E376">
        <v>4518.5928199999998</v>
      </c>
      <c r="F376">
        <v>4596.0559499999999</v>
      </c>
      <c r="G376">
        <v>4755.40355</v>
      </c>
      <c r="H376">
        <v>4792.7697200000002</v>
      </c>
      <c r="Q376">
        <v>4717.5537999999997</v>
      </c>
      <c r="R376">
        <v>4746.9170999999997</v>
      </c>
      <c r="S376">
        <v>4773.50587</v>
      </c>
      <c r="V376">
        <v>4682.6140299999997</v>
      </c>
      <c r="W376">
        <v>4649.0490399999999</v>
      </c>
      <c r="AB376">
        <v>4728.4057700000003</v>
      </c>
      <c r="AC376">
        <v>4728.7637400000003</v>
      </c>
      <c r="AD376">
        <v>0</v>
      </c>
      <c r="AK376">
        <v>374</v>
      </c>
      <c r="AL376">
        <v>373</v>
      </c>
      <c r="AM376">
        <v>4727.08</v>
      </c>
      <c r="AN376">
        <v>4717.5537999999997</v>
      </c>
      <c r="AO376">
        <v>9.5261999999999993</v>
      </c>
      <c r="AP376">
        <v>90.748500000000007</v>
      </c>
      <c r="AQ376">
        <v>1.9886999999999998E-2</v>
      </c>
      <c r="AR376">
        <v>5.3880000000000004E-3</v>
      </c>
      <c r="AY376">
        <v>374</v>
      </c>
      <c r="AZ376">
        <v>373</v>
      </c>
      <c r="BA376">
        <v>4727.08</v>
      </c>
      <c r="BB376">
        <v>4717.5537999999997</v>
      </c>
      <c r="BC376">
        <v>9.5261999999999993</v>
      </c>
      <c r="BD376">
        <v>90.748500000000007</v>
      </c>
      <c r="BE376">
        <v>139129</v>
      </c>
    </row>
    <row r="377" spans="1:57" x14ac:dyDescent="0.55000000000000004">
      <c r="A377">
        <v>1776875402</v>
      </c>
      <c r="B377" t="s">
        <v>72</v>
      </c>
      <c r="C377" t="s">
        <v>73</v>
      </c>
      <c r="D377">
        <v>4728.3</v>
      </c>
      <c r="E377">
        <v>4518.5928199999998</v>
      </c>
      <c r="F377">
        <v>4596.0559499999999</v>
      </c>
      <c r="G377">
        <v>4755.40355</v>
      </c>
      <c r="H377">
        <v>4792.7697200000002</v>
      </c>
      <c r="Q377">
        <v>4717.2861999999996</v>
      </c>
      <c r="R377">
        <v>4746.6495000000004</v>
      </c>
      <c r="S377">
        <v>4773.2382699999998</v>
      </c>
      <c r="V377">
        <v>4682.3464299999996</v>
      </c>
      <c r="W377">
        <v>4648.78143</v>
      </c>
      <c r="AA377">
        <v>4724.03</v>
      </c>
      <c r="AB377">
        <v>4729.4163900000003</v>
      </c>
      <c r="AC377">
        <v>4729.0900700000002</v>
      </c>
      <c r="AD377">
        <v>1</v>
      </c>
      <c r="AK377">
        <v>375</v>
      </c>
      <c r="AL377">
        <v>374</v>
      </c>
      <c r="AM377">
        <v>4728.3</v>
      </c>
      <c r="AN377">
        <v>4717.2861999999996</v>
      </c>
      <c r="AO377">
        <v>11.0138</v>
      </c>
      <c r="AP377">
        <v>121.3038</v>
      </c>
      <c r="AQ377">
        <v>3.0734999999999998E-2</v>
      </c>
      <c r="AR377">
        <v>9.6270000000000001E-3</v>
      </c>
      <c r="AY377">
        <v>375</v>
      </c>
      <c r="AZ377">
        <v>374</v>
      </c>
      <c r="BA377">
        <v>4728.3</v>
      </c>
      <c r="BB377">
        <v>4717.2861999999996</v>
      </c>
      <c r="BC377">
        <v>11.0138</v>
      </c>
      <c r="BD377">
        <v>121.3038</v>
      </c>
      <c r="BE377">
        <v>139876</v>
      </c>
    </row>
    <row r="378" spans="1:57" x14ac:dyDescent="0.55000000000000004">
      <c r="A378">
        <v>1776876302</v>
      </c>
      <c r="B378" t="s">
        <v>72</v>
      </c>
      <c r="C378" t="s">
        <v>73</v>
      </c>
      <c r="D378">
        <v>4728.79</v>
      </c>
      <c r="E378">
        <v>4518.5928199999998</v>
      </c>
      <c r="F378">
        <v>4596.0559499999999</v>
      </c>
      <c r="G378">
        <v>4755.40355</v>
      </c>
      <c r="H378">
        <v>4792.7697200000002</v>
      </c>
      <c r="Q378">
        <v>4717.0185899999997</v>
      </c>
      <c r="R378">
        <v>4746.3818899999997</v>
      </c>
      <c r="S378">
        <v>4772.97066</v>
      </c>
      <c r="V378">
        <v>4682.0788199999997</v>
      </c>
      <c r="W378">
        <v>4648.5138299999999</v>
      </c>
      <c r="AB378">
        <v>4730.8556399999998</v>
      </c>
      <c r="AC378">
        <v>4729.9728500000001</v>
      </c>
      <c r="AD378">
        <v>0</v>
      </c>
      <c r="AK378">
        <v>376</v>
      </c>
      <c r="AL378">
        <v>375</v>
      </c>
      <c r="AM378">
        <v>4728.79</v>
      </c>
      <c r="AN378">
        <v>4717.0186000000003</v>
      </c>
      <c r="AO378">
        <v>11.7714</v>
      </c>
      <c r="AP378">
        <v>138.56610000000001</v>
      </c>
      <c r="AQ378">
        <v>3.7523000000000001E-2</v>
      </c>
      <c r="AR378">
        <v>1.2562E-2</v>
      </c>
      <c r="AY378">
        <v>376</v>
      </c>
      <c r="AZ378">
        <v>375</v>
      </c>
      <c r="BA378">
        <v>4728.79</v>
      </c>
      <c r="BB378">
        <v>4717.0186000000003</v>
      </c>
      <c r="BC378">
        <v>11.7714</v>
      </c>
      <c r="BD378">
        <v>138.56610000000001</v>
      </c>
      <c r="BE378">
        <v>140625</v>
      </c>
    </row>
    <row r="379" spans="1:57" x14ac:dyDescent="0.55000000000000004">
      <c r="A379">
        <v>1776877202</v>
      </c>
      <c r="B379" t="s">
        <v>72</v>
      </c>
      <c r="C379" t="s">
        <v>73</v>
      </c>
      <c r="D379">
        <v>4735.49</v>
      </c>
      <c r="E379">
        <v>4518.5928199999998</v>
      </c>
      <c r="F379">
        <v>4596.0559499999999</v>
      </c>
      <c r="G379">
        <v>4755.40355</v>
      </c>
      <c r="H379">
        <v>4792.7697200000002</v>
      </c>
      <c r="Q379">
        <v>4716.7509899999995</v>
      </c>
      <c r="R379">
        <v>4746.1142900000004</v>
      </c>
      <c r="S379">
        <v>4772.7030599999998</v>
      </c>
      <c r="V379">
        <v>4681.8112199999996</v>
      </c>
      <c r="W379">
        <v>4648.24622</v>
      </c>
      <c r="AB379">
        <v>4732.52412</v>
      </c>
      <c r="AC379">
        <v>4731.2484899999999</v>
      </c>
      <c r="AD379">
        <v>0</v>
      </c>
      <c r="AK379">
        <v>377</v>
      </c>
      <c r="AL379">
        <v>376</v>
      </c>
      <c r="AM379">
        <v>4735.49</v>
      </c>
      <c r="AN379">
        <v>4716.7510000000002</v>
      </c>
      <c r="AO379">
        <v>18.739000000000001</v>
      </c>
      <c r="AP379">
        <v>351.15050000000002</v>
      </c>
      <c r="AQ379">
        <v>0.15137500000000001</v>
      </c>
      <c r="AR379">
        <v>8.0674999999999997E-2</v>
      </c>
      <c r="AY379">
        <v>377</v>
      </c>
      <c r="AZ379">
        <v>376</v>
      </c>
      <c r="BA379">
        <v>4735.49</v>
      </c>
      <c r="BB379">
        <v>4716.7510000000002</v>
      </c>
      <c r="BC379">
        <v>18.739000000000001</v>
      </c>
      <c r="BD379">
        <v>351.15050000000002</v>
      </c>
      <c r="BE379">
        <v>141376</v>
      </c>
    </row>
    <row r="380" spans="1:57" x14ac:dyDescent="0.55000000000000004">
      <c r="A380">
        <v>1776878102</v>
      </c>
      <c r="B380" t="s">
        <v>72</v>
      </c>
      <c r="C380" t="s">
        <v>73</v>
      </c>
      <c r="D380">
        <v>4735.05</v>
      </c>
      <c r="E380">
        <v>4518.5928199999998</v>
      </c>
      <c r="F380">
        <v>4596.0559499999999</v>
      </c>
      <c r="G380">
        <v>4755.40355</v>
      </c>
      <c r="H380">
        <v>4792.7697200000002</v>
      </c>
      <c r="Q380">
        <v>4716.4833900000003</v>
      </c>
      <c r="R380">
        <v>4745.8466799999997</v>
      </c>
      <c r="S380">
        <v>4772.4354499999999</v>
      </c>
      <c r="V380">
        <v>4681.5436200000004</v>
      </c>
      <c r="W380">
        <v>4647.9786199999999</v>
      </c>
      <c r="AB380">
        <v>4734.0357400000003</v>
      </c>
      <c r="AC380">
        <v>4732.6421099999998</v>
      </c>
      <c r="AD380">
        <v>0</v>
      </c>
      <c r="AK380">
        <v>378</v>
      </c>
      <c r="AL380">
        <v>377</v>
      </c>
      <c r="AM380">
        <v>4735.05</v>
      </c>
      <c r="AN380">
        <v>4716.4834000000001</v>
      </c>
      <c r="AO380">
        <v>18.566600000000001</v>
      </c>
      <c r="AP380">
        <v>344.71899999999999</v>
      </c>
      <c r="AQ380">
        <v>0.14723600000000001</v>
      </c>
      <c r="AR380">
        <v>7.7746999999999997E-2</v>
      </c>
      <c r="AY380">
        <v>378</v>
      </c>
      <c r="AZ380">
        <v>377</v>
      </c>
      <c r="BA380">
        <v>4735.05</v>
      </c>
      <c r="BB380">
        <v>4716.4834000000001</v>
      </c>
      <c r="BC380">
        <v>18.566600000000001</v>
      </c>
      <c r="BD380">
        <v>344.71899999999999</v>
      </c>
      <c r="BE380">
        <v>142129</v>
      </c>
    </row>
    <row r="381" spans="1:57" x14ac:dyDescent="0.55000000000000004">
      <c r="A381">
        <v>1776879002</v>
      </c>
      <c r="B381" t="s">
        <v>72</v>
      </c>
      <c r="C381" t="s">
        <v>73</v>
      </c>
      <c r="D381">
        <v>4736.17</v>
      </c>
      <c r="E381">
        <v>4518.5928199999998</v>
      </c>
      <c r="F381">
        <v>4596.0559499999999</v>
      </c>
      <c r="G381">
        <v>4755.40355</v>
      </c>
      <c r="H381">
        <v>4792.7697200000002</v>
      </c>
      <c r="Q381">
        <v>4716.2157800000004</v>
      </c>
      <c r="R381">
        <v>4745.5790800000004</v>
      </c>
      <c r="S381">
        <v>4772.1678499999998</v>
      </c>
      <c r="V381">
        <v>4681.2760099999996</v>
      </c>
      <c r="W381">
        <v>4647.71101</v>
      </c>
      <c r="AB381">
        <v>4735.3019199999999</v>
      </c>
      <c r="AC381">
        <v>4733.9720200000002</v>
      </c>
      <c r="AD381">
        <v>0</v>
      </c>
      <c r="AK381">
        <v>379</v>
      </c>
      <c r="AL381">
        <v>378</v>
      </c>
      <c r="AM381">
        <v>4736.17</v>
      </c>
      <c r="AN381">
        <v>4716.2157999999999</v>
      </c>
      <c r="AO381">
        <v>19.9542</v>
      </c>
      <c r="AP381">
        <v>398.17090000000002</v>
      </c>
      <c r="AQ381">
        <v>0.18277599999999999</v>
      </c>
      <c r="AR381">
        <v>0.103727</v>
      </c>
      <c r="AY381">
        <v>379</v>
      </c>
      <c r="AZ381">
        <v>378</v>
      </c>
      <c r="BA381">
        <v>4736.17</v>
      </c>
      <c r="BB381">
        <v>4716.2157999999999</v>
      </c>
      <c r="BC381">
        <v>19.9542</v>
      </c>
      <c r="BD381">
        <v>398.17090000000002</v>
      </c>
      <c r="BE381">
        <v>142884</v>
      </c>
    </row>
    <row r="382" spans="1:57" x14ac:dyDescent="0.55000000000000004">
      <c r="A382">
        <v>1776879902</v>
      </c>
      <c r="B382" t="s">
        <v>72</v>
      </c>
      <c r="C382" t="s">
        <v>73</v>
      </c>
      <c r="D382">
        <v>4737.1499999999996</v>
      </c>
      <c r="E382">
        <v>4518.5928199999998</v>
      </c>
      <c r="F382">
        <v>4596.0559499999999</v>
      </c>
      <c r="G382">
        <v>4755.40355</v>
      </c>
      <c r="H382">
        <v>4792.7697200000002</v>
      </c>
      <c r="Q382">
        <v>4715.9481800000003</v>
      </c>
      <c r="R382">
        <v>4745.3114800000003</v>
      </c>
      <c r="S382">
        <v>4771.9002499999997</v>
      </c>
      <c r="V382">
        <v>4681.0084100000004</v>
      </c>
      <c r="W382">
        <v>4647.4434099999999</v>
      </c>
      <c r="AB382">
        <v>4736.2876699999997</v>
      </c>
      <c r="AC382">
        <v>4735.1298399999996</v>
      </c>
      <c r="AD382">
        <v>0</v>
      </c>
      <c r="AK382">
        <v>380</v>
      </c>
      <c r="AL382">
        <v>379</v>
      </c>
      <c r="AM382">
        <v>4737.1499999999996</v>
      </c>
      <c r="AN382">
        <v>4715.9481999999998</v>
      </c>
      <c r="AO382">
        <v>21.201799999999999</v>
      </c>
      <c r="AP382">
        <v>449.5172</v>
      </c>
      <c r="AQ382">
        <v>0.219248</v>
      </c>
      <c r="AR382">
        <v>0.13220499999999999</v>
      </c>
      <c r="AY382">
        <v>380</v>
      </c>
      <c r="AZ382">
        <v>379</v>
      </c>
      <c r="BA382">
        <v>4737.1499999999996</v>
      </c>
      <c r="BB382">
        <v>4715.9481999999998</v>
      </c>
      <c r="BC382">
        <v>21.201799999999999</v>
      </c>
      <c r="BD382">
        <v>449.5172</v>
      </c>
      <c r="BE382">
        <v>143641</v>
      </c>
    </row>
    <row r="383" spans="1:57" x14ac:dyDescent="0.55000000000000004">
      <c r="A383">
        <v>1776880802</v>
      </c>
      <c r="B383" t="s">
        <v>72</v>
      </c>
      <c r="C383" t="s">
        <v>73</v>
      </c>
      <c r="D383">
        <v>4735.9399999999996</v>
      </c>
      <c r="E383">
        <v>4518.5928199999998</v>
      </c>
      <c r="F383">
        <v>4596.0559499999999</v>
      </c>
      <c r="G383">
        <v>4755.40355</v>
      </c>
      <c r="H383">
        <v>4792.7697200000002</v>
      </c>
      <c r="Q383">
        <v>4715.6805700000004</v>
      </c>
      <c r="R383">
        <v>4745.0438700000004</v>
      </c>
      <c r="S383">
        <v>4771.6326399999998</v>
      </c>
      <c r="V383">
        <v>4680.7407999999996</v>
      </c>
      <c r="W383">
        <v>4647.1758099999997</v>
      </c>
      <c r="AB383">
        <v>4736.9690799999998</v>
      </c>
      <c r="AC383">
        <v>4736.0494600000002</v>
      </c>
      <c r="AD383">
        <v>0</v>
      </c>
      <c r="AK383">
        <v>381</v>
      </c>
      <c r="AL383">
        <v>380</v>
      </c>
      <c r="AM383">
        <v>4735.9399999999996</v>
      </c>
      <c r="AN383">
        <v>4715.6805999999997</v>
      </c>
      <c r="AO383">
        <v>20.259399999999999</v>
      </c>
      <c r="AP383">
        <v>410.44450000000001</v>
      </c>
      <c r="AQ383">
        <v>0.19129199999999999</v>
      </c>
      <c r="AR383">
        <v>0.110221</v>
      </c>
      <c r="AY383">
        <v>381</v>
      </c>
      <c r="AZ383">
        <v>380</v>
      </c>
      <c r="BA383">
        <v>4735.9399999999996</v>
      </c>
      <c r="BB383">
        <v>4715.6805999999997</v>
      </c>
      <c r="BC383">
        <v>20.259399999999999</v>
      </c>
      <c r="BD383">
        <v>410.44450000000001</v>
      </c>
      <c r="BE383">
        <v>144400</v>
      </c>
    </row>
    <row r="384" spans="1:57" x14ac:dyDescent="0.55000000000000004">
      <c r="A384">
        <v>1776881702</v>
      </c>
      <c r="B384" t="s">
        <v>72</v>
      </c>
      <c r="C384" t="s">
        <v>73</v>
      </c>
      <c r="D384">
        <v>4730.43</v>
      </c>
      <c r="E384">
        <v>4518.5928199999998</v>
      </c>
      <c r="F384">
        <v>4596.0559499999999</v>
      </c>
      <c r="G384">
        <v>4755.40355</v>
      </c>
      <c r="H384">
        <v>4792.7697200000002</v>
      </c>
      <c r="Q384">
        <v>4715.4129700000003</v>
      </c>
      <c r="R384">
        <v>4744.7762700000003</v>
      </c>
      <c r="S384">
        <v>4771.3650399999997</v>
      </c>
      <c r="V384">
        <v>4680.4732000000004</v>
      </c>
      <c r="W384">
        <v>4646.9081999999999</v>
      </c>
      <c r="AB384">
        <v>4737.4773999999998</v>
      </c>
      <c r="AC384">
        <v>4736.76343</v>
      </c>
      <c r="AD384">
        <v>0</v>
      </c>
      <c r="AK384">
        <v>382</v>
      </c>
      <c r="AL384">
        <v>381</v>
      </c>
      <c r="AM384">
        <v>4730.43</v>
      </c>
      <c r="AN384">
        <v>4715.4129999999996</v>
      </c>
      <c r="AO384">
        <v>15.016999999999999</v>
      </c>
      <c r="AP384">
        <v>225.5112</v>
      </c>
      <c r="AQ384">
        <v>7.7905000000000002E-2</v>
      </c>
      <c r="AR384">
        <v>3.3272999999999997E-2</v>
      </c>
      <c r="AY384">
        <v>382</v>
      </c>
      <c r="AZ384">
        <v>381</v>
      </c>
      <c r="BA384">
        <v>4730.43</v>
      </c>
      <c r="BB384">
        <v>4715.4129999999996</v>
      </c>
      <c r="BC384">
        <v>15.016999999999999</v>
      </c>
      <c r="BD384">
        <v>225.5112</v>
      </c>
      <c r="BE384">
        <v>145161</v>
      </c>
    </row>
    <row r="385" spans="1:57" x14ac:dyDescent="0.55000000000000004">
      <c r="A385">
        <v>1776882602</v>
      </c>
      <c r="B385" t="s">
        <v>72</v>
      </c>
      <c r="C385" t="s">
        <v>73</v>
      </c>
      <c r="D385">
        <v>4739.45</v>
      </c>
      <c r="E385">
        <v>4518.5928199999998</v>
      </c>
      <c r="F385">
        <v>4596.0559499999999</v>
      </c>
      <c r="G385">
        <v>4755.40355</v>
      </c>
      <c r="H385">
        <v>4792.7697200000002</v>
      </c>
      <c r="Q385">
        <v>4715.1453600000004</v>
      </c>
      <c r="R385">
        <v>4744.5086600000004</v>
      </c>
      <c r="S385">
        <v>4771.0974299999998</v>
      </c>
      <c r="V385">
        <v>4680.2055899999996</v>
      </c>
      <c r="W385">
        <v>4646.6405999999997</v>
      </c>
      <c r="AB385">
        <v>4738.0568300000004</v>
      </c>
      <c r="AC385">
        <v>4737.4101300000002</v>
      </c>
      <c r="AD385">
        <v>0</v>
      </c>
      <c r="AK385">
        <v>383</v>
      </c>
      <c r="AL385">
        <v>382</v>
      </c>
      <c r="AM385">
        <v>4739.45</v>
      </c>
      <c r="AN385">
        <v>4715.1454000000003</v>
      </c>
      <c r="AO385">
        <v>24.304600000000001</v>
      </c>
      <c r="AP385">
        <v>590.71550000000002</v>
      </c>
      <c r="AQ385">
        <v>0.33028099999999999</v>
      </c>
      <c r="AR385">
        <v>0.22830300000000001</v>
      </c>
      <c r="AY385">
        <v>383</v>
      </c>
      <c r="AZ385">
        <v>382</v>
      </c>
      <c r="BA385">
        <v>4739.45</v>
      </c>
      <c r="BB385">
        <v>4715.1454000000003</v>
      </c>
      <c r="BC385">
        <v>24.304600000000001</v>
      </c>
      <c r="BD385">
        <v>590.71550000000002</v>
      </c>
      <c r="BE385">
        <v>145924</v>
      </c>
    </row>
    <row r="386" spans="1:57" x14ac:dyDescent="0.55000000000000004">
      <c r="A386">
        <v>1776883502</v>
      </c>
      <c r="B386" t="s">
        <v>72</v>
      </c>
      <c r="C386" t="s">
        <v>73</v>
      </c>
      <c r="D386">
        <v>4741.6899999999996</v>
      </c>
      <c r="E386">
        <v>4518.5928199999998</v>
      </c>
      <c r="F386">
        <v>4596.0559499999999</v>
      </c>
      <c r="G386">
        <v>4755.40355</v>
      </c>
      <c r="H386">
        <v>4792.7697200000002</v>
      </c>
      <c r="Q386">
        <v>4714.8777600000003</v>
      </c>
      <c r="R386">
        <v>4744.2410600000003</v>
      </c>
      <c r="S386">
        <v>4770.8298299999997</v>
      </c>
      <c r="V386">
        <v>4679.9379900000004</v>
      </c>
      <c r="W386">
        <v>4646.3729899999998</v>
      </c>
      <c r="Z386">
        <v>4749.34</v>
      </c>
      <c r="AB386">
        <v>4738.5371100000002</v>
      </c>
      <c r="AC386">
        <v>4737.9736199999998</v>
      </c>
      <c r="AD386">
        <v>0</v>
      </c>
      <c r="AK386">
        <v>384</v>
      </c>
      <c r="AL386">
        <v>383</v>
      </c>
      <c r="AM386">
        <v>4741.6899999999996</v>
      </c>
      <c r="AN386">
        <v>4714.8778000000002</v>
      </c>
      <c r="AO386">
        <v>26.812200000000001</v>
      </c>
      <c r="AP386">
        <v>718.89620000000002</v>
      </c>
      <c r="AQ386">
        <v>0.44341999999999998</v>
      </c>
      <c r="AR386">
        <v>0.33813199999999999</v>
      </c>
      <c r="AY386">
        <v>384</v>
      </c>
      <c r="AZ386">
        <v>383</v>
      </c>
      <c r="BA386">
        <v>4741.6899999999996</v>
      </c>
      <c r="BB386">
        <v>4714.8778000000002</v>
      </c>
      <c r="BC386">
        <v>26.812200000000001</v>
      </c>
      <c r="BD386">
        <v>718.89620000000002</v>
      </c>
      <c r="BE386">
        <v>146689</v>
      </c>
    </row>
    <row r="387" spans="1:57" x14ac:dyDescent="0.55000000000000004">
      <c r="A387">
        <v>1776884402</v>
      </c>
      <c r="B387" t="s">
        <v>72</v>
      </c>
      <c r="C387" t="s">
        <v>73</v>
      </c>
      <c r="D387">
        <v>4738.6400000000003</v>
      </c>
      <c r="E387">
        <v>4518.5928199999998</v>
      </c>
      <c r="F387">
        <v>4596.0559499999999</v>
      </c>
      <c r="G387">
        <v>4755.40355</v>
      </c>
      <c r="H387">
        <v>4792.7697200000002</v>
      </c>
      <c r="Q387">
        <v>4714.6101600000002</v>
      </c>
      <c r="R387">
        <v>4743.9734600000002</v>
      </c>
      <c r="S387">
        <v>4770.5622300000005</v>
      </c>
      <c r="V387">
        <v>4679.6703900000002</v>
      </c>
      <c r="W387">
        <v>4646.1053899999997</v>
      </c>
      <c r="AB387">
        <v>4738.9208399999998</v>
      </c>
      <c r="AC387">
        <v>4738.4472299999998</v>
      </c>
      <c r="AD387">
        <v>0</v>
      </c>
      <c r="AK387">
        <v>385</v>
      </c>
      <c r="AL387">
        <v>384</v>
      </c>
      <c r="AM387">
        <v>4738.6400000000003</v>
      </c>
      <c r="AN387">
        <v>4714.6102000000001</v>
      </c>
      <c r="AO387">
        <v>24.029800000000002</v>
      </c>
      <c r="AP387">
        <v>577.43320000000006</v>
      </c>
      <c r="AQ387">
        <v>0.31920399999999999</v>
      </c>
      <c r="AR387">
        <v>0.21815100000000001</v>
      </c>
      <c r="AY387">
        <v>385</v>
      </c>
      <c r="AZ387">
        <v>384</v>
      </c>
      <c r="BA387">
        <v>4738.6400000000003</v>
      </c>
      <c r="BB387">
        <v>4714.6102000000001</v>
      </c>
      <c r="BC387">
        <v>24.029800000000002</v>
      </c>
      <c r="BD387">
        <v>577.43320000000006</v>
      </c>
      <c r="BE387">
        <v>147456</v>
      </c>
    </row>
    <row r="388" spans="1:57" x14ac:dyDescent="0.55000000000000004">
      <c r="A388">
        <v>1776885302</v>
      </c>
      <c r="B388" t="s">
        <v>72</v>
      </c>
      <c r="C388" t="s">
        <v>73</v>
      </c>
      <c r="D388">
        <v>4744.32</v>
      </c>
      <c r="E388">
        <v>4518.5928199999998</v>
      </c>
      <c r="F388">
        <v>4596.0559499999999</v>
      </c>
      <c r="G388">
        <v>4755.40355</v>
      </c>
      <c r="H388">
        <v>4792.7697200000002</v>
      </c>
      <c r="Q388">
        <v>4714.3425500000003</v>
      </c>
      <c r="R388">
        <v>4743.7058500000003</v>
      </c>
      <c r="S388">
        <v>4770.2946199999997</v>
      </c>
      <c r="V388">
        <v>4679.4027800000003</v>
      </c>
      <c r="W388">
        <v>4645.8377899999996</v>
      </c>
      <c r="AB388">
        <v>4739.3533200000002</v>
      </c>
      <c r="AC388">
        <v>4738.9002799999998</v>
      </c>
      <c r="AD388">
        <v>0</v>
      </c>
      <c r="AK388">
        <v>386</v>
      </c>
      <c r="AL388">
        <v>385</v>
      </c>
      <c r="AM388">
        <v>4744.32</v>
      </c>
      <c r="AN388">
        <v>4714.3425999999999</v>
      </c>
      <c r="AO388">
        <v>29.977399999999999</v>
      </c>
      <c r="AP388">
        <v>898.64750000000004</v>
      </c>
      <c r="AQ388">
        <v>0.619726</v>
      </c>
      <c r="AR388">
        <v>0.52836399999999994</v>
      </c>
      <c r="AY388">
        <v>386</v>
      </c>
      <c r="AZ388">
        <v>385</v>
      </c>
      <c r="BA388">
        <v>4744.32</v>
      </c>
      <c r="BB388">
        <v>4714.3425999999999</v>
      </c>
      <c r="BC388">
        <v>29.977399999999999</v>
      </c>
      <c r="BD388">
        <v>898.64750000000004</v>
      </c>
      <c r="BE388">
        <v>148225</v>
      </c>
    </row>
    <row r="389" spans="1:57" x14ac:dyDescent="0.55000000000000004">
      <c r="A389">
        <v>1776886202</v>
      </c>
      <c r="B389" t="s">
        <v>72</v>
      </c>
      <c r="C389" t="s">
        <v>73</v>
      </c>
      <c r="D389">
        <v>4739.38</v>
      </c>
      <c r="E389">
        <v>4518.5928199999998</v>
      </c>
      <c r="F389">
        <v>4596.0559499999999</v>
      </c>
      <c r="G389">
        <v>4755.40355</v>
      </c>
      <c r="H389">
        <v>4792.7697200000002</v>
      </c>
      <c r="Q389">
        <v>4714.0749500000002</v>
      </c>
      <c r="R389">
        <v>4743.4382500000002</v>
      </c>
      <c r="S389">
        <v>4770.0270200000004</v>
      </c>
      <c r="V389">
        <v>4679.1351800000002</v>
      </c>
      <c r="W389">
        <v>4645.5701799999997</v>
      </c>
      <c r="AB389">
        <v>4739.67749</v>
      </c>
      <c r="AC389">
        <v>4739.2888800000001</v>
      </c>
      <c r="AD389">
        <v>0</v>
      </c>
      <c r="AK389">
        <v>387</v>
      </c>
      <c r="AL389">
        <v>386</v>
      </c>
      <c r="AM389">
        <v>4739.38</v>
      </c>
      <c r="AN389">
        <v>4714.0749999999998</v>
      </c>
      <c r="AO389">
        <v>25.305</v>
      </c>
      <c r="AP389">
        <v>640.34559999999999</v>
      </c>
      <c r="AQ389">
        <v>0.37276700000000002</v>
      </c>
      <c r="AR389">
        <v>0.26827699999999999</v>
      </c>
      <c r="AY389">
        <v>387</v>
      </c>
      <c r="AZ389">
        <v>386</v>
      </c>
      <c r="BA389">
        <v>4739.38</v>
      </c>
      <c r="BB389">
        <v>4714.0749999999998</v>
      </c>
      <c r="BC389">
        <v>25.305</v>
      </c>
      <c r="BD389">
        <v>640.34559999999999</v>
      </c>
      <c r="BE389">
        <v>148996</v>
      </c>
    </row>
    <row r="390" spans="1:57" x14ac:dyDescent="0.55000000000000004">
      <c r="A390">
        <v>1776887102</v>
      </c>
      <c r="B390" t="s">
        <v>72</v>
      </c>
      <c r="C390" t="s">
        <v>73</v>
      </c>
      <c r="D390">
        <v>4740.3599999999997</v>
      </c>
      <c r="E390">
        <v>4518.5928199999998</v>
      </c>
      <c r="F390">
        <v>4596.0559499999999</v>
      </c>
      <c r="G390">
        <v>4755.40355</v>
      </c>
      <c r="H390">
        <v>4792.7697200000002</v>
      </c>
      <c r="Q390">
        <v>4713.8073400000003</v>
      </c>
      <c r="R390">
        <v>4743.1706400000003</v>
      </c>
      <c r="S390">
        <v>4769.7594099999997</v>
      </c>
      <c r="V390">
        <v>4678.8675700000003</v>
      </c>
      <c r="W390">
        <v>4645.3025799999996</v>
      </c>
      <c r="AB390">
        <v>4739.9590399999997</v>
      </c>
      <c r="AC390">
        <v>4739.6239599999999</v>
      </c>
      <c r="AD390">
        <v>0</v>
      </c>
      <c r="AK390">
        <v>388</v>
      </c>
      <c r="AL390">
        <v>387</v>
      </c>
      <c r="AM390">
        <v>4740.3599999999997</v>
      </c>
      <c r="AN390">
        <v>4713.8073000000004</v>
      </c>
      <c r="AO390">
        <v>26.552700000000002</v>
      </c>
      <c r="AP390">
        <v>705.04380000000003</v>
      </c>
      <c r="AQ390">
        <v>0.43066500000000002</v>
      </c>
      <c r="AR390">
        <v>0.32522699999999999</v>
      </c>
      <c r="AY390">
        <v>388</v>
      </c>
      <c r="AZ390">
        <v>387</v>
      </c>
      <c r="BA390">
        <v>4740.3599999999997</v>
      </c>
      <c r="BB390">
        <v>4713.8073000000004</v>
      </c>
      <c r="BC390">
        <v>26.552700000000002</v>
      </c>
      <c r="BD390">
        <v>705.04380000000003</v>
      </c>
      <c r="BE390">
        <v>149769</v>
      </c>
    </row>
    <row r="391" spans="1:57" x14ac:dyDescent="0.55000000000000004">
      <c r="A391">
        <v>1776888002</v>
      </c>
      <c r="B391" t="s">
        <v>72</v>
      </c>
      <c r="C391" t="s">
        <v>73</v>
      </c>
      <c r="D391">
        <v>4736.16</v>
      </c>
      <c r="E391">
        <v>4518.5928199999998</v>
      </c>
      <c r="F391">
        <v>4596.0559499999999</v>
      </c>
      <c r="G391">
        <v>4755.40355</v>
      </c>
      <c r="H391">
        <v>4792.7697200000002</v>
      </c>
      <c r="Q391">
        <v>4713.5397400000002</v>
      </c>
      <c r="R391">
        <v>4742.9030400000001</v>
      </c>
      <c r="S391">
        <v>4769.4918100000004</v>
      </c>
      <c r="V391">
        <v>4678.5999700000002</v>
      </c>
      <c r="W391">
        <v>4645.0349699999997</v>
      </c>
      <c r="AB391">
        <v>4740.0375400000003</v>
      </c>
      <c r="AC391">
        <v>4739.8307500000001</v>
      </c>
      <c r="AD391">
        <v>0</v>
      </c>
      <c r="AK391">
        <v>389</v>
      </c>
      <c r="AL391">
        <v>388</v>
      </c>
      <c r="AM391">
        <v>4736.16</v>
      </c>
      <c r="AN391">
        <v>4713.5397000000003</v>
      </c>
      <c r="AO391">
        <v>22.6203</v>
      </c>
      <c r="AP391">
        <v>511.67619999999999</v>
      </c>
      <c r="AQ391">
        <v>0.26626100000000003</v>
      </c>
      <c r="AR391">
        <v>0.171295</v>
      </c>
      <c r="AY391">
        <v>389</v>
      </c>
      <c r="AZ391">
        <v>388</v>
      </c>
      <c r="BA391">
        <v>4736.16</v>
      </c>
      <c r="BB391">
        <v>4713.5397000000003</v>
      </c>
      <c r="BC391">
        <v>22.6203</v>
      </c>
      <c r="BD391">
        <v>511.67619999999999</v>
      </c>
      <c r="BE391">
        <v>150544</v>
      </c>
    </row>
    <row r="392" spans="1:57" x14ac:dyDescent="0.55000000000000004">
      <c r="A392">
        <v>1776888902</v>
      </c>
      <c r="B392" t="s">
        <v>72</v>
      </c>
      <c r="C392" t="s">
        <v>73</v>
      </c>
      <c r="D392">
        <v>4736.99</v>
      </c>
      <c r="E392">
        <v>4518.5928199999998</v>
      </c>
      <c r="F392">
        <v>4596.0559499999999</v>
      </c>
      <c r="G392">
        <v>4755.40355</v>
      </c>
      <c r="H392">
        <v>4792.7697200000002</v>
      </c>
      <c r="Q392">
        <v>4713.27214</v>
      </c>
      <c r="R392">
        <v>4742.63544</v>
      </c>
      <c r="S392">
        <v>4769.2242100000003</v>
      </c>
      <c r="V392">
        <v>4678.3323700000001</v>
      </c>
      <c r="W392">
        <v>4644.7673699999996</v>
      </c>
      <c r="AB392">
        <v>4739.85448</v>
      </c>
      <c r="AC392">
        <v>4739.8426200000004</v>
      </c>
      <c r="AD392">
        <v>0</v>
      </c>
      <c r="AK392">
        <v>390</v>
      </c>
      <c r="AL392">
        <v>389</v>
      </c>
      <c r="AM392">
        <v>4736.99</v>
      </c>
      <c r="AN392">
        <v>4713.2721000000001</v>
      </c>
      <c r="AO392">
        <v>23.7179</v>
      </c>
      <c r="AP392">
        <v>562.53689999999995</v>
      </c>
      <c r="AQ392">
        <v>0.30693199999999998</v>
      </c>
      <c r="AR392">
        <v>0.207041</v>
      </c>
      <c r="AY392">
        <v>390</v>
      </c>
      <c r="AZ392">
        <v>389</v>
      </c>
      <c r="BA392">
        <v>4736.99</v>
      </c>
      <c r="BB392">
        <v>4713.2721000000001</v>
      </c>
      <c r="BC392">
        <v>23.7179</v>
      </c>
      <c r="BD392">
        <v>562.53689999999995</v>
      </c>
      <c r="BE392">
        <v>151321</v>
      </c>
    </row>
    <row r="393" spans="1:57" x14ac:dyDescent="0.55000000000000004">
      <c r="A393">
        <v>1776889802</v>
      </c>
      <c r="B393" t="s">
        <v>72</v>
      </c>
      <c r="C393" t="s">
        <v>73</v>
      </c>
      <c r="D393">
        <v>4737.4799999999996</v>
      </c>
      <c r="E393">
        <v>4518.5928199999998</v>
      </c>
      <c r="F393">
        <v>4596.0559499999999</v>
      </c>
      <c r="G393">
        <v>4755.40355</v>
      </c>
      <c r="H393">
        <v>4792.7697200000002</v>
      </c>
      <c r="Q393">
        <v>4713.0045300000002</v>
      </c>
      <c r="R393">
        <v>4742.3678300000001</v>
      </c>
      <c r="S393">
        <v>4768.9566000000004</v>
      </c>
      <c r="V393">
        <v>4678.0647600000002</v>
      </c>
      <c r="W393">
        <v>4644.4997700000004</v>
      </c>
      <c r="AB393">
        <v>4739.1687099999999</v>
      </c>
      <c r="AC393">
        <v>4739.5056599999998</v>
      </c>
      <c r="AD393">
        <v>1</v>
      </c>
      <c r="AK393">
        <v>391</v>
      </c>
      <c r="AL393">
        <v>390</v>
      </c>
      <c r="AM393">
        <v>4737.4799999999996</v>
      </c>
      <c r="AN393">
        <v>4713.0045</v>
      </c>
      <c r="AO393">
        <v>24.4755</v>
      </c>
      <c r="AP393">
        <v>599.04859999999996</v>
      </c>
      <c r="AQ393">
        <v>0.33729399999999998</v>
      </c>
      <c r="AR393">
        <v>0.234789</v>
      </c>
      <c r="AY393">
        <v>391</v>
      </c>
      <c r="AZ393">
        <v>390</v>
      </c>
      <c r="BA393">
        <v>4737.4799999999996</v>
      </c>
      <c r="BB393">
        <v>4713.0045</v>
      </c>
      <c r="BC393">
        <v>24.4755</v>
      </c>
      <c r="BD393">
        <v>599.04859999999996</v>
      </c>
      <c r="BE393">
        <v>152100</v>
      </c>
    </row>
    <row r="394" spans="1:57" x14ac:dyDescent="0.55000000000000004">
      <c r="A394">
        <v>1776890702</v>
      </c>
      <c r="B394" t="s">
        <v>72</v>
      </c>
      <c r="C394" t="s">
        <v>73</v>
      </c>
      <c r="D394">
        <v>4740.38</v>
      </c>
      <c r="E394">
        <v>4518.5928199999998</v>
      </c>
      <c r="F394">
        <v>4596.0559499999999</v>
      </c>
      <c r="G394">
        <v>4755.40355</v>
      </c>
      <c r="H394">
        <v>4792.7697200000002</v>
      </c>
      <c r="Q394">
        <v>4712.73693</v>
      </c>
      <c r="R394">
        <v>4742.10023</v>
      </c>
      <c r="S394">
        <v>4768.6890000000003</v>
      </c>
      <c r="V394">
        <v>4677.7971600000001</v>
      </c>
      <c r="W394">
        <v>4644.2321599999996</v>
      </c>
      <c r="AB394">
        <v>4737.77412</v>
      </c>
      <c r="AC394">
        <v>4738.6398900000004</v>
      </c>
      <c r="AD394">
        <v>0</v>
      </c>
      <c r="AK394">
        <v>392</v>
      </c>
      <c r="AL394">
        <v>391</v>
      </c>
      <c r="AM394">
        <v>4740.38</v>
      </c>
      <c r="AN394">
        <v>4712.7368999999999</v>
      </c>
      <c r="AO394">
        <v>27.6431</v>
      </c>
      <c r="AP394">
        <v>764.13930000000005</v>
      </c>
      <c r="AQ394">
        <v>0.485931</v>
      </c>
      <c r="AR394">
        <v>0.38203199999999998</v>
      </c>
      <c r="AY394">
        <v>392</v>
      </c>
      <c r="AZ394">
        <v>391</v>
      </c>
      <c r="BA394">
        <v>4740.38</v>
      </c>
      <c r="BB394">
        <v>4712.7368999999999</v>
      </c>
      <c r="BC394">
        <v>27.6431</v>
      </c>
      <c r="BD394">
        <v>764.13930000000005</v>
      </c>
      <c r="BE394">
        <v>152881</v>
      </c>
    </row>
    <row r="395" spans="1:57" x14ac:dyDescent="0.55000000000000004">
      <c r="A395">
        <v>1776895202</v>
      </c>
      <c r="B395" t="s">
        <v>72</v>
      </c>
      <c r="C395" t="s">
        <v>73</v>
      </c>
      <c r="D395">
        <v>4736.6899999999996</v>
      </c>
      <c r="E395">
        <v>4518.5928199999998</v>
      </c>
      <c r="F395">
        <v>4596.0559499999999</v>
      </c>
      <c r="G395">
        <v>4755.40355</v>
      </c>
      <c r="H395">
        <v>4792.7697200000002</v>
      </c>
      <c r="Q395">
        <v>4712.4693200000002</v>
      </c>
      <c r="R395">
        <v>4741.8326200000001</v>
      </c>
      <c r="S395">
        <v>4768.4213900000004</v>
      </c>
      <c r="V395">
        <v>4677.5295500000002</v>
      </c>
      <c r="W395">
        <v>4643.9645600000003</v>
      </c>
      <c r="AB395">
        <v>4735.5040399999998</v>
      </c>
      <c r="AC395">
        <v>4737.0719600000002</v>
      </c>
      <c r="AD395">
        <v>0</v>
      </c>
      <c r="AK395">
        <v>393</v>
      </c>
      <c r="AL395">
        <v>392</v>
      </c>
      <c r="AM395">
        <v>4736.6899999999996</v>
      </c>
      <c r="AN395">
        <v>4712.4692999999997</v>
      </c>
      <c r="AO395">
        <v>24.220700000000001</v>
      </c>
      <c r="AP395">
        <v>586.6413</v>
      </c>
      <c r="AQ395">
        <v>0.32686999999999999</v>
      </c>
      <c r="AR395">
        <v>0.225164</v>
      </c>
      <c r="AY395">
        <v>393</v>
      </c>
      <c r="AZ395">
        <v>392</v>
      </c>
      <c r="BA395">
        <v>4736.6899999999996</v>
      </c>
      <c r="BB395">
        <v>4712.4692999999997</v>
      </c>
      <c r="BC395">
        <v>24.220700000000001</v>
      </c>
      <c r="BD395">
        <v>586.6413</v>
      </c>
      <c r="BE395">
        <v>153664</v>
      </c>
    </row>
    <row r="396" spans="1:57" x14ac:dyDescent="0.55000000000000004">
      <c r="A396">
        <v>1776896102</v>
      </c>
      <c r="B396" t="s">
        <v>72</v>
      </c>
      <c r="C396" t="s">
        <v>73</v>
      </c>
      <c r="D396">
        <v>4732.96</v>
      </c>
      <c r="E396">
        <v>4518.5928199999998</v>
      </c>
      <c r="F396">
        <v>4596.0559499999999</v>
      </c>
      <c r="G396">
        <v>4755.40355</v>
      </c>
      <c r="H396">
        <v>4792.7697200000002</v>
      </c>
      <c r="Q396">
        <v>4712.20172</v>
      </c>
      <c r="R396">
        <v>4741.56502</v>
      </c>
      <c r="S396">
        <v>4768.1537900000003</v>
      </c>
      <c r="V396">
        <v>4677.2619500000001</v>
      </c>
      <c r="W396">
        <v>4643.6969499999996</v>
      </c>
      <c r="AB396">
        <v>4732.5574200000001</v>
      </c>
      <c r="AC396">
        <v>4734.8146900000002</v>
      </c>
      <c r="AD396">
        <v>0</v>
      </c>
      <c r="AK396">
        <v>394</v>
      </c>
      <c r="AL396">
        <v>393</v>
      </c>
      <c r="AM396">
        <v>4732.96</v>
      </c>
      <c r="AN396">
        <v>4712.2016999999996</v>
      </c>
      <c r="AO396">
        <v>20.758299999999998</v>
      </c>
      <c r="AP396">
        <v>430.90620000000001</v>
      </c>
      <c r="AQ396">
        <v>0.20577400000000001</v>
      </c>
      <c r="AR396">
        <v>0.12148399999999999</v>
      </c>
      <c r="AY396">
        <v>394</v>
      </c>
      <c r="AZ396">
        <v>393</v>
      </c>
      <c r="BA396">
        <v>4732.96</v>
      </c>
      <c r="BB396">
        <v>4712.2016999999996</v>
      </c>
      <c r="BC396">
        <v>20.758299999999998</v>
      </c>
      <c r="BD396">
        <v>430.90620000000001</v>
      </c>
      <c r="BE396">
        <v>154449</v>
      </c>
    </row>
    <row r="397" spans="1:57" x14ac:dyDescent="0.55000000000000004">
      <c r="A397">
        <v>1776897002</v>
      </c>
      <c r="B397" t="s">
        <v>72</v>
      </c>
      <c r="C397" t="s">
        <v>73</v>
      </c>
      <c r="D397">
        <v>4729.9399999999996</v>
      </c>
      <c r="E397">
        <v>4518.5928199999998</v>
      </c>
      <c r="F397">
        <v>4596.0559499999999</v>
      </c>
      <c r="G397">
        <v>4755.40355</v>
      </c>
      <c r="H397">
        <v>4792.7697200000002</v>
      </c>
      <c r="Q397">
        <v>4711.9341199999999</v>
      </c>
      <c r="R397">
        <v>4741.2974100000001</v>
      </c>
      <c r="S397">
        <v>4767.8861900000002</v>
      </c>
      <c r="V397">
        <v>4676.9943499999999</v>
      </c>
      <c r="W397">
        <v>4643.4293500000003</v>
      </c>
      <c r="AB397">
        <v>4729.3153899999998</v>
      </c>
      <c r="AC397">
        <v>4732.0650400000004</v>
      </c>
      <c r="AD397">
        <v>0</v>
      </c>
      <c r="AK397">
        <v>395</v>
      </c>
      <c r="AL397">
        <v>394</v>
      </c>
      <c r="AM397">
        <v>4729.9399999999996</v>
      </c>
      <c r="AN397">
        <v>4711.9341000000004</v>
      </c>
      <c r="AO397">
        <v>18.0059</v>
      </c>
      <c r="AP397">
        <v>324.21170000000001</v>
      </c>
      <c r="AQ397">
        <v>0.134295</v>
      </c>
      <c r="AR397">
        <v>6.8772E-2</v>
      </c>
      <c r="AY397">
        <v>395</v>
      </c>
      <c r="AZ397">
        <v>394</v>
      </c>
      <c r="BA397">
        <v>4729.9399999999996</v>
      </c>
      <c r="BB397">
        <v>4711.9341000000004</v>
      </c>
      <c r="BC397">
        <v>18.0059</v>
      </c>
      <c r="BD397">
        <v>324.21170000000001</v>
      </c>
      <c r="BE397">
        <v>155236</v>
      </c>
    </row>
    <row r="398" spans="1:57" x14ac:dyDescent="0.55000000000000004">
      <c r="A398">
        <v>1776897902</v>
      </c>
      <c r="B398" t="s">
        <v>72</v>
      </c>
      <c r="C398" t="s">
        <v>73</v>
      </c>
      <c r="D398">
        <v>4725.92</v>
      </c>
      <c r="E398">
        <v>4518.5928199999998</v>
      </c>
      <c r="F398">
        <v>4596.0559499999999</v>
      </c>
      <c r="G398">
        <v>4755.40355</v>
      </c>
      <c r="H398">
        <v>4792.7697200000002</v>
      </c>
      <c r="Q398">
        <v>4711.66651</v>
      </c>
      <c r="R398">
        <v>4741.02981</v>
      </c>
      <c r="S398">
        <v>4767.6185800000003</v>
      </c>
      <c r="V398">
        <v>4676.7267400000001</v>
      </c>
      <c r="W398">
        <v>4643.1617500000002</v>
      </c>
      <c r="AB398">
        <v>4726.3223099999996</v>
      </c>
      <c r="AC398">
        <v>4729.1936800000003</v>
      </c>
      <c r="AD398">
        <v>0</v>
      </c>
      <c r="AK398">
        <v>396</v>
      </c>
      <c r="AL398">
        <v>395</v>
      </c>
      <c r="AM398">
        <v>4725.92</v>
      </c>
      <c r="AN398">
        <v>4711.6665000000003</v>
      </c>
      <c r="AO398">
        <v>14.253500000000001</v>
      </c>
      <c r="AP398">
        <v>203.16200000000001</v>
      </c>
      <c r="AQ398">
        <v>6.6615999999999995E-2</v>
      </c>
      <c r="AR398">
        <v>2.7005000000000001E-2</v>
      </c>
      <c r="AY398">
        <v>396</v>
      </c>
      <c r="AZ398">
        <v>395</v>
      </c>
      <c r="BA398">
        <v>4725.92</v>
      </c>
      <c r="BB398">
        <v>4711.6665000000003</v>
      </c>
      <c r="BC398">
        <v>14.253500000000001</v>
      </c>
      <c r="BD398">
        <v>203.16200000000001</v>
      </c>
      <c r="BE398">
        <v>156025</v>
      </c>
    </row>
    <row r="399" spans="1:57" x14ac:dyDescent="0.55000000000000004">
      <c r="A399">
        <v>1776898802</v>
      </c>
      <c r="B399" t="s">
        <v>72</v>
      </c>
      <c r="C399" t="s">
        <v>73</v>
      </c>
      <c r="D399">
        <v>4725.95</v>
      </c>
      <c r="E399">
        <v>4518.5928199999998</v>
      </c>
      <c r="F399">
        <v>4596.0559499999999</v>
      </c>
      <c r="G399">
        <v>4755.40355</v>
      </c>
      <c r="H399">
        <v>4792.7697200000002</v>
      </c>
      <c r="Q399">
        <v>4711.3989099999999</v>
      </c>
      <c r="R399">
        <v>4740.7622099999999</v>
      </c>
      <c r="S399">
        <v>4767.3509800000002</v>
      </c>
      <c r="V399">
        <v>4676.4591399999999</v>
      </c>
      <c r="W399">
        <v>4642.8941400000003</v>
      </c>
      <c r="AB399">
        <v>4724.18073</v>
      </c>
      <c r="AC399">
        <v>4726.6872100000001</v>
      </c>
      <c r="AD399">
        <v>0</v>
      </c>
      <c r="AK399">
        <v>397</v>
      </c>
      <c r="AL399">
        <v>396</v>
      </c>
      <c r="AM399">
        <v>4725.95</v>
      </c>
      <c r="AN399">
        <v>4711.3989000000001</v>
      </c>
      <c r="AO399">
        <v>14.5511</v>
      </c>
      <c r="AP399">
        <v>211.73419999999999</v>
      </c>
      <c r="AQ399">
        <v>7.0875999999999995E-2</v>
      </c>
      <c r="AR399">
        <v>2.9332E-2</v>
      </c>
      <c r="AY399">
        <v>397</v>
      </c>
      <c r="AZ399">
        <v>396</v>
      </c>
      <c r="BA399">
        <v>4725.95</v>
      </c>
      <c r="BB399">
        <v>4711.3989000000001</v>
      </c>
      <c r="BC399">
        <v>14.5511</v>
      </c>
      <c r="BD399">
        <v>211.73419999999999</v>
      </c>
      <c r="BE399">
        <v>156816</v>
      </c>
    </row>
    <row r="400" spans="1:57" x14ac:dyDescent="0.55000000000000004">
      <c r="A400">
        <v>1776899702</v>
      </c>
      <c r="B400" t="s">
        <v>72</v>
      </c>
      <c r="C400" t="s">
        <v>73</v>
      </c>
      <c r="D400">
        <v>4728.1400000000003</v>
      </c>
      <c r="E400">
        <v>4518.5928199999998</v>
      </c>
      <c r="F400">
        <v>4596.0559499999999</v>
      </c>
      <c r="G400">
        <v>4755.40355</v>
      </c>
      <c r="H400">
        <v>4792.7697200000002</v>
      </c>
      <c r="Q400">
        <v>4711.1313</v>
      </c>
      <c r="R400">
        <v>4740.4946</v>
      </c>
      <c r="S400">
        <v>4767.0833700000003</v>
      </c>
      <c r="V400">
        <v>4676.1915300000001</v>
      </c>
      <c r="W400">
        <v>4642.6265400000002</v>
      </c>
      <c r="AB400">
        <v>4723.3117899999997</v>
      </c>
      <c r="AC400">
        <v>4724.9994999999999</v>
      </c>
      <c r="AD400">
        <v>0</v>
      </c>
      <c r="AK400">
        <v>398</v>
      </c>
      <c r="AL400">
        <v>397</v>
      </c>
      <c r="AM400">
        <v>4728.1400000000003</v>
      </c>
      <c r="AN400">
        <v>4711.1313</v>
      </c>
      <c r="AO400">
        <v>17.008700000000001</v>
      </c>
      <c r="AP400">
        <v>289.29590000000002</v>
      </c>
      <c r="AQ400">
        <v>0.113195</v>
      </c>
      <c r="AR400">
        <v>5.4757E-2</v>
      </c>
      <c r="AY400">
        <v>398</v>
      </c>
      <c r="AZ400">
        <v>397</v>
      </c>
      <c r="BA400">
        <v>4728.1400000000003</v>
      </c>
      <c r="BB400">
        <v>4711.1313</v>
      </c>
      <c r="BC400">
        <v>17.008700000000001</v>
      </c>
      <c r="BD400">
        <v>289.29590000000002</v>
      </c>
      <c r="BE400">
        <v>157609</v>
      </c>
    </row>
    <row r="401" spans="1:57" x14ac:dyDescent="0.55000000000000004">
      <c r="A401">
        <v>1776900602</v>
      </c>
      <c r="B401" t="s">
        <v>72</v>
      </c>
      <c r="C401" t="s">
        <v>73</v>
      </c>
      <c r="D401">
        <v>4724.57</v>
      </c>
      <c r="E401">
        <v>4518.5928199999998</v>
      </c>
      <c r="F401">
        <v>4596.0559499999999</v>
      </c>
      <c r="G401">
        <v>4755.40355</v>
      </c>
      <c r="H401">
        <v>4792.7697200000002</v>
      </c>
      <c r="Q401">
        <v>4710.8636999999999</v>
      </c>
      <c r="R401">
        <v>4740.2269999999999</v>
      </c>
      <c r="S401">
        <v>4766.8157700000002</v>
      </c>
      <c r="V401">
        <v>4675.9239299999999</v>
      </c>
      <c r="W401">
        <v>4642.3589300000003</v>
      </c>
      <c r="AB401">
        <v>4723.8704500000003</v>
      </c>
      <c r="AC401">
        <v>4724.4349700000002</v>
      </c>
      <c r="AD401">
        <v>0</v>
      </c>
      <c r="AK401">
        <v>399</v>
      </c>
      <c r="AL401">
        <v>398</v>
      </c>
      <c r="AM401">
        <v>4724.57</v>
      </c>
      <c r="AN401">
        <v>4710.8636999999999</v>
      </c>
      <c r="AO401">
        <v>13.706300000000001</v>
      </c>
      <c r="AP401">
        <v>187.86269999999999</v>
      </c>
      <c r="AQ401">
        <v>5.9235000000000003E-2</v>
      </c>
      <c r="AR401">
        <v>2.3091E-2</v>
      </c>
      <c r="AY401">
        <v>399</v>
      </c>
      <c r="AZ401">
        <v>398</v>
      </c>
      <c r="BA401">
        <v>4724.57</v>
      </c>
      <c r="BB401">
        <v>4710.8636999999999</v>
      </c>
      <c r="BC401">
        <v>13.706300000000001</v>
      </c>
      <c r="BD401">
        <v>187.86269999999999</v>
      </c>
      <c r="BE401">
        <v>158404</v>
      </c>
    </row>
    <row r="402" spans="1:57" x14ac:dyDescent="0.55000000000000004">
      <c r="A402">
        <v>1776901502</v>
      </c>
      <c r="B402" t="s">
        <v>72</v>
      </c>
      <c r="C402" t="s">
        <v>73</v>
      </c>
      <c r="D402">
        <v>4727.72</v>
      </c>
      <c r="E402">
        <v>4518.5928199999998</v>
      </c>
      <c r="F402">
        <v>4596.0559499999999</v>
      </c>
      <c r="G402">
        <v>4755.40355</v>
      </c>
      <c r="H402">
        <v>4792.7697200000002</v>
      </c>
      <c r="Q402">
        <v>4710.5960999999998</v>
      </c>
      <c r="R402">
        <v>4739.95939</v>
      </c>
      <c r="S402">
        <v>4766.54817</v>
      </c>
      <c r="V402">
        <v>4675.6563299999998</v>
      </c>
      <c r="W402">
        <v>4642.0913300000002</v>
      </c>
      <c r="AB402">
        <v>4725.8975700000001</v>
      </c>
      <c r="AC402">
        <v>4725.1662699999997</v>
      </c>
      <c r="AD402">
        <v>1</v>
      </c>
      <c r="AK402">
        <v>400</v>
      </c>
      <c r="AL402">
        <v>399</v>
      </c>
      <c r="AM402">
        <v>4727.72</v>
      </c>
      <c r="AN402">
        <v>4710.5960999999998</v>
      </c>
      <c r="AO402">
        <v>17.123899999999999</v>
      </c>
      <c r="AP402">
        <v>293.22800000000001</v>
      </c>
      <c r="AQ402">
        <v>0.115511</v>
      </c>
      <c r="AR402">
        <v>5.6254999999999999E-2</v>
      </c>
      <c r="AY402">
        <v>400</v>
      </c>
      <c r="AZ402">
        <v>399</v>
      </c>
      <c r="BA402">
        <v>4727.72</v>
      </c>
      <c r="BB402">
        <v>4710.5960999999998</v>
      </c>
      <c r="BC402">
        <v>17.123899999999999</v>
      </c>
      <c r="BD402">
        <v>293.22800000000001</v>
      </c>
      <c r="BE402">
        <v>159201</v>
      </c>
    </row>
    <row r="403" spans="1:57" x14ac:dyDescent="0.55000000000000004">
      <c r="A403">
        <v>1776902402</v>
      </c>
      <c r="B403" t="s">
        <v>72</v>
      </c>
      <c r="C403" t="s">
        <v>73</v>
      </c>
      <c r="D403">
        <v>4699.4799999999996</v>
      </c>
      <c r="E403">
        <v>4518.5928199999998</v>
      </c>
      <c r="F403">
        <v>4596.0559499999999</v>
      </c>
      <c r="G403">
        <v>4755.40355</v>
      </c>
      <c r="H403">
        <v>4792.7697200000002</v>
      </c>
      <c r="Q403">
        <v>4710.3284899999999</v>
      </c>
      <c r="R403">
        <v>4739.6917899999999</v>
      </c>
      <c r="S403">
        <v>4766.2805600000002</v>
      </c>
      <c r="V403">
        <v>4675.3887199999999</v>
      </c>
      <c r="W403">
        <v>4641.8237200000003</v>
      </c>
      <c r="AB403">
        <v>4728.9688900000001</v>
      </c>
      <c r="AC403">
        <v>4727.0675799999999</v>
      </c>
      <c r="AD403">
        <v>0</v>
      </c>
      <c r="AK403">
        <v>401</v>
      </c>
      <c r="AL403">
        <v>400</v>
      </c>
      <c r="AM403">
        <v>4699.4799999999996</v>
      </c>
      <c r="AN403">
        <v>4710.3284999999996</v>
      </c>
      <c r="AO403">
        <v>-10.8485</v>
      </c>
      <c r="AP403">
        <v>117.6897</v>
      </c>
      <c r="AQ403">
        <v>-2.9371000000000001E-2</v>
      </c>
      <c r="AR403">
        <v>9.0620000000000006E-3</v>
      </c>
      <c r="AY403">
        <v>401</v>
      </c>
      <c r="AZ403">
        <v>400</v>
      </c>
      <c r="BA403">
        <v>4699.4799999999996</v>
      </c>
      <c r="BB403">
        <v>4710.3284999999996</v>
      </c>
      <c r="BC403">
        <v>-10.8485</v>
      </c>
      <c r="BD403">
        <v>117.6897</v>
      </c>
      <c r="BE403">
        <v>160000</v>
      </c>
    </row>
    <row r="404" spans="1:57" x14ac:dyDescent="0.55000000000000004">
      <c r="A404">
        <v>1776903302</v>
      </c>
      <c r="B404" t="s">
        <v>72</v>
      </c>
      <c r="C404" t="s">
        <v>73</v>
      </c>
      <c r="D404">
        <v>4741.59</v>
      </c>
      <c r="E404">
        <v>4518.5928199999998</v>
      </c>
      <c r="F404">
        <v>4596.0559499999999</v>
      </c>
      <c r="G404">
        <v>4755.40355</v>
      </c>
      <c r="H404">
        <v>4792.7697200000002</v>
      </c>
      <c r="Q404">
        <v>4710.0608899999997</v>
      </c>
      <c r="R404">
        <v>4739.4241899999997</v>
      </c>
      <c r="S404">
        <v>4766.01296</v>
      </c>
      <c r="V404">
        <v>4675.1211199999998</v>
      </c>
      <c r="W404">
        <v>4641.5561200000002</v>
      </c>
      <c r="AA404">
        <v>4694.34</v>
      </c>
      <c r="AB404">
        <v>4733.1929899999996</v>
      </c>
      <c r="AC404">
        <v>4730.1302800000003</v>
      </c>
      <c r="AD404">
        <v>0</v>
      </c>
      <c r="AK404">
        <v>402</v>
      </c>
      <c r="AL404">
        <v>401</v>
      </c>
      <c r="AM404">
        <v>4741.59</v>
      </c>
      <c r="AN404">
        <v>4710.0609000000004</v>
      </c>
      <c r="AO404">
        <v>31.5291</v>
      </c>
      <c r="AP404">
        <v>994.08479999999997</v>
      </c>
      <c r="AQ404">
        <v>0.72102599999999994</v>
      </c>
      <c r="AR404">
        <v>0.64654800000000001</v>
      </c>
      <c r="AY404">
        <v>402</v>
      </c>
      <c r="AZ404">
        <v>401</v>
      </c>
      <c r="BA404">
        <v>4741.59</v>
      </c>
      <c r="BB404">
        <v>4710.0609000000004</v>
      </c>
      <c r="BC404">
        <v>31.5291</v>
      </c>
      <c r="BD404">
        <v>994.08479999999997</v>
      </c>
      <c r="BE404">
        <v>160801</v>
      </c>
    </row>
    <row r="405" spans="1:57" x14ac:dyDescent="0.55000000000000004">
      <c r="A405">
        <v>1776904202</v>
      </c>
      <c r="B405" t="s">
        <v>72</v>
      </c>
      <c r="C405" t="s">
        <v>73</v>
      </c>
      <c r="D405">
        <v>4744.84</v>
      </c>
      <c r="E405">
        <v>4518.5928199999998</v>
      </c>
      <c r="F405">
        <v>4596.0559499999999</v>
      </c>
      <c r="G405">
        <v>4755.40355</v>
      </c>
      <c r="H405">
        <v>4792.7697200000002</v>
      </c>
      <c r="Q405">
        <v>4709.7932799999999</v>
      </c>
      <c r="R405">
        <v>4739.1565799999998</v>
      </c>
      <c r="S405">
        <v>4765.7453500000001</v>
      </c>
      <c r="V405">
        <v>4674.8535099999999</v>
      </c>
      <c r="W405">
        <v>4641.2885200000001</v>
      </c>
      <c r="AB405">
        <v>4736.5225300000002</v>
      </c>
      <c r="AC405">
        <v>4733.3264099999997</v>
      </c>
      <c r="AD405">
        <v>0</v>
      </c>
      <c r="AK405">
        <v>403</v>
      </c>
      <c r="AL405">
        <v>402</v>
      </c>
      <c r="AM405">
        <v>4744.84</v>
      </c>
      <c r="AN405">
        <v>4709.7933000000003</v>
      </c>
      <c r="AO405">
        <v>35.046700000000001</v>
      </c>
      <c r="AP405">
        <v>1228.2726</v>
      </c>
      <c r="AQ405">
        <v>0.99027900000000002</v>
      </c>
      <c r="AR405">
        <v>0.98706000000000005</v>
      </c>
      <c r="AY405">
        <v>403</v>
      </c>
      <c r="AZ405">
        <v>402</v>
      </c>
      <c r="BA405">
        <v>4744.84</v>
      </c>
      <c r="BB405">
        <v>4709.7933000000003</v>
      </c>
      <c r="BC405">
        <v>35.046700000000001</v>
      </c>
      <c r="BD405">
        <v>1228.2726</v>
      </c>
      <c r="BE405">
        <v>161604</v>
      </c>
    </row>
    <row r="406" spans="1:57" x14ac:dyDescent="0.55000000000000004">
      <c r="A406">
        <v>1776905102</v>
      </c>
      <c r="B406" t="s">
        <v>72</v>
      </c>
      <c r="C406" t="s">
        <v>73</v>
      </c>
      <c r="D406">
        <v>4748.05</v>
      </c>
      <c r="E406">
        <v>4518.5928199999998</v>
      </c>
      <c r="F406">
        <v>4596.0559499999999</v>
      </c>
      <c r="G406">
        <v>4755.40355</v>
      </c>
      <c r="H406">
        <v>4792.7697200000002</v>
      </c>
      <c r="Q406">
        <v>4709.5256799999997</v>
      </c>
      <c r="R406">
        <v>4738.8889799999997</v>
      </c>
      <c r="S406">
        <v>4765.47775</v>
      </c>
      <c r="V406">
        <v>4674.5859099999998</v>
      </c>
      <c r="W406">
        <v>4641.0209100000002</v>
      </c>
      <c r="Z406">
        <v>4753.33</v>
      </c>
      <c r="AB406">
        <v>4738.0339800000002</v>
      </c>
      <c r="AC406">
        <v>4735.68019</v>
      </c>
      <c r="AD406">
        <v>0</v>
      </c>
      <c r="AK406">
        <v>404</v>
      </c>
      <c r="AL406">
        <v>403</v>
      </c>
      <c r="AM406">
        <v>4748.05</v>
      </c>
      <c r="AN406">
        <v>4709.5257000000001</v>
      </c>
      <c r="AO406">
        <v>38.524299999999997</v>
      </c>
      <c r="AP406">
        <v>1484.1232</v>
      </c>
      <c r="AQ406">
        <v>1.3152870000000001</v>
      </c>
      <c r="AR406">
        <v>1.4411</v>
      </c>
      <c r="AY406">
        <v>404</v>
      </c>
      <c r="AZ406">
        <v>403</v>
      </c>
      <c r="BA406">
        <v>4748.05</v>
      </c>
      <c r="BB406">
        <v>4709.5257000000001</v>
      </c>
      <c r="BC406">
        <v>38.524299999999997</v>
      </c>
      <c r="BD406">
        <v>1484.1232</v>
      </c>
      <c r="BE406">
        <v>162409</v>
      </c>
    </row>
    <row r="407" spans="1:57" x14ac:dyDescent="0.55000000000000004">
      <c r="A407">
        <v>1776906002</v>
      </c>
      <c r="B407" t="s">
        <v>72</v>
      </c>
      <c r="C407" t="s">
        <v>73</v>
      </c>
      <c r="D407">
        <v>4737</v>
      </c>
      <c r="E407">
        <v>4518.5928199999998</v>
      </c>
      <c r="F407">
        <v>4596.0559499999999</v>
      </c>
      <c r="G407">
        <v>4755.40355</v>
      </c>
      <c r="H407">
        <v>4792.7697200000002</v>
      </c>
      <c r="Q407">
        <v>4709.2580699999999</v>
      </c>
      <c r="R407">
        <v>4738.6213699999998</v>
      </c>
      <c r="S407">
        <v>4765.2101400000001</v>
      </c>
      <c r="V407">
        <v>4674.3182999999999</v>
      </c>
      <c r="W407">
        <v>4640.7533100000001</v>
      </c>
      <c r="AB407">
        <v>4737.1209600000002</v>
      </c>
      <c r="AC407">
        <v>4736.4005800000004</v>
      </c>
      <c r="AD407">
        <v>0</v>
      </c>
      <c r="AK407">
        <v>405</v>
      </c>
      <c r="AL407">
        <v>404</v>
      </c>
      <c r="AM407">
        <v>4737</v>
      </c>
      <c r="AN407">
        <v>4709.2581</v>
      </c>
      <c r="AO407">
        <v>27.741900000000001</v>
      </c>
      <c r="AP407">
        <v>769.61469999999997</v>
      </c>
      <c r="AQ407">
        <v>0.49116300000000002</v>
      </c>
      <c r="AR407">
        <v>0.38752599999999998</v>
      </c>
      <c r="AY407">
        <v>405</v>
      </c>
      <c r="AZ407">
        <v>404</v>
      </c>
      <c r="BA407">
        <v>4737</v>
      </c>
      <c r="BB407">
        <v>4709.2581</v>
      </c>
      <c r="BC407">
        <v>27.741900000000001</v>
      </c>
      <c r="BD407">
        <v>769.61469999999997</v>
      </c>
      <c r="BE407">
        <v>163216</v>
      </c>
    </row>
    <row r="408" spans="1:57" x14ac:dyDescent="0.55000000000000004">
      <c r="A408">
        <v>1776906902</v>
      </c>
      <c r="B408" t="s">
        <v>72</v>
      </c>
      <c r="C408" t="s">
        <v>73</v>
      </c>
      <c r="D408">
        <v>4728.26</v>
      </c>
      <c r="E408">
        <v>4518.5928199999998</v>
      </c>
      <c r="F408">
        <v>4596.0559499999999</v>
      </c>
      <c r="G408">
        <v>4755.40355</v>
      </c>
      <c r="H408">
        <v>4792.7697200000002</v>
      </c>
      <c r="Q408">
        <v>4708.9904699999997</v>
      </c>
      <c r="R408">
        <v>4738.3537699999997</v>
      </c>
      <c r="S408">
        <v>4764.94254</v>
      </c>
      <c r="V408">
        <v>4674.0506999999998</v>
      </c>
      <c r="W408">
        <v>4640.4857000000002</v>
      </c>
      <c r="AB408">
        <v>4733.9721099999997</v>
      </c>
      <c r="AC408">
        <v>4735.1863400000002</v>
      </c>
      <c r="AD408">
        <v>1</v>
      </c>
      <c r="AK408">
        <v>406</v>
      </c>
      <c r="AL408">
        <v>405</v>
      </c>
      <c r="AM408">
        <v>4728.26</v>
      </c>
      <c r="AN408">
        <v>4708.9904999999999</v>
      </c>
      <c r="AO408">
        <v>19.269500000000001</v>
      </c>
      <c r="AP408">
        <v>371.31479999999999</v>
      </c>
      <c r="AQ408">
        <v>0.1646</v>
      </c>
      <c r="AR408">
        <v>9.0206999999999996E-2</v>
      </c>
      <c r="AY408">
        <v>406</v>
      </c>
      <c r="AZ408">
        <v>405</v>
      </c>
      <c r="BA408">
        <v>4728.26</v>
      </c>
      <c r="BB408">
        <v>4708.9904999999999</v>
      </c>
      <c r="BC408">
        <v>19.269500000000001</v>
      </c>
      <c r="BD408">
        <v>371.31479999999999</v>
      </c>
      <c r="BE408">
        <v>164025</v>
      </c>
    </row>
    <row r="409" spans="1:57" x14ac:dyDescent="0.55000000000000004">
      <c r="A409">
        <v>1776907802</v>
      </c>
      <c r="B409" t="s">
        <v>72</v>
      </c>
      <c r="C409" t="s">
        <v>73</v>
      </c>
      <c r="D409">
        <v>4733.91</v>
      </c>
      <c r="E409">
        <v>4518.5928199999998</v>
      </c>
      <c r="F409">
        <v>4596.0559499999999</v>
      </c>
      <c r="G409">
        <v>4755.40355</v>
      </c>
      <c r="H409">
        <v>4792.7697200000002</v>
      </c>
      <c r="Q409">
        <v>4708.7228699999996</v>
      </c>
      <c r="R409">
        <v>4738.0861699999996</v>
      </c>
      <c r="S409">
        <v>4764.6749399999999</v>
      </c>
      <c r="V409">
        <v>4673.7830999999996</v>
      </c>
      <c r="W409">
        <v>4640.2181</v>
      </c>
      <c r="AB409">
        <v>4729.0602399999998</v>
      </c>
      <c r="AC409">
        <v>4732.1232900000005</v>
      </c>
      <c r="AD409">
        <v>0</v>
      </c>
      <c r="AK409">
        <v>407</v>
      </c>
      <c r="AL409">
        <v>406</v>
      </c>
      <c r="AM409">
        <v>4733.91</v>
      </c>
      <c r="AN409">
        <v>4708.7228999999998</v>
      </c>
      <c r="AO409">
        <v>25.187100000000001</v>
      </c>
      <c r="AP409">
        <v>634.39149999999995</v>
      </c>
      <c r="AQ409">
        <v>0.36758000000000002</v>
      </c>
      <c r="AR409">
        <v>0.26331100000000002</v>
      </c>
      <c r="AY409">
        <v>407</v>
      </c>
      <c r="AZ409">
        <v>406</v>
      </c>
      <c r="BA409">
        <v>4733.91</v>
      </c>
      <c r="BB409">
        <v>4708.7228999999998</v>
      </c>
      <c r="BC409">
        <v>25.187100000000001</v>
      </c>
      <c r="BD409">
        <v>634.39149999999995</v>
      </c>
      <c r="BE409">
        <v>164836</v>
      </c>
    </row>
    <row r="410" spans="1:57" x14ac:dyDescent="0.55000000000000004">
      <c r="A410">
        <v>1776908702</v>
      </c>
      <c r="B410" t="s">
        <v>72</v>
      </c>
      <c r="C410" t="s">
        <v>73</v>
      </c>
      <c r="D410">
        <v>4723.33</v>
      </c>
      <c r="E410">
        <v>4518.5928199999998</v>
      </c>
      <c r="F410">
        <v>4596.0559499999999</v>
      </c>
      <c r="G410">
        <v>4755.40355</v>
      </c>
      <c r="H410">
        <v>4792.7697200000002</v>
      </c>
      <c r="Q410">
        <v>4708.4552599999997</v>
      </c>
      <c r="R410">
        <v>4737.8185599999997</v>
      </c>
      <c r="S410">
        <v>4764.40733</v>
      </c>
      <c r="V410">
        <v>4673.5154899999998</v>
      </c>
      <c r="W410">
        <v>4639.9504999999999</v>
      </c>
      <c r="AB410">
        <v>4722.7455200000004</v>
      </c>
      <c r="AC410">
        <v>4727.4344099999998</v>
      </c>
      <c r="AD410">
        <v>0</v>
      </c>
      <c r="AK410">
        <v>408</v>
      </c>
      <c r="AL410">
        <v>407</v>
      </c>
      <c r="AM410">
        <v>4723.33</v>
      </c>
      <c r="AN410">
        <v>4708.4552999999996</v>
      </c>
      <c r="AO410">
        <v>14.874700000000001</v>
      </c>
      <c r="AP410">
        <v>221.25790000000001</v>
      </c>
      <c r="AQ410">
        <v>7.5712000000000002E-2</v>
      </c>
      <c r="AR410">
        <v>3.2030000000000003E-2</v>
      </c>
      <c r="AY410">
        <v>408</v>
      </c>
      <c r="AZ410">
        <v>407</v>
      </c>
      <c r="BA410">
        <v>4723.33</v>
      </c>
      <c r="BB410">
        <v>4708.4552999999996</v>
      </c>
      <c r="BC410">
        <v>14.874700000000001</v>
      </c>
      <c r="BD410">
        <v>221.25790000000001</v>
      </c>
      <c r="BE410">
        <v>165649</v>
      </c>
    </row>
    <row r="411" spans="1:57" x14ac:dyDescent="0.55000000000000004">
      <c r="A411">
        <v>1776909602</v>
      </c>
      <c r="B411" t="s">
        <v>72</v>
      </c>
      <c r="C411" t="s">
        <v>73</v>
      </c>
      <c r="D411">
        <v>4707.1899999999996</v>
      </c>
      <c r="E411">
        <v>4518.5928199999998</v>
      </c>
      <c r="F411">
        <v>4596.0559499999999</v>
      </c>
      <c r="G411">
        <v>4755.40355</v>
      </c>
      <c r="H411">
        <v>4792.7697200000002</v>
      </c>
      <c r="Q411">
        <v>4708.1876599999996</v>
      </c>
      <c r="R411">
        <v>4737.5509599999996</v>
      </c>
      <c r="S411">
        <v>4764.1397299999999</v>
      </c>
      <c r="V411">
        <v>4673.2478899999996</v>
      </c>
      <c r="W411">
        <v>4639.68289</v>
      </c>
      <c r="AB411">
        <v>4716.0094399999998</v>
      </c>
      <c r="AC411">
        <v>4721.72192</v>
      </c>
      <c r="AD411">
        <v>0</v>
      </c>
      <c r="AK411">
        <v>409</v>
      </c>
      <c r="AL411">
        <v>408</v>
      </c>
      <c r="AM411">
        <v>4707.1899999999996</v>
      </c>
      <c r="AN411">
        <v>4708.1877000000004</v>
      </c>
      <c r="AO411">
        <v>-0.99770000000000003</v>
      </c>
      <c r="AP411">
        <v>0.99529999999999996</v>
      </c>
      <c r="AQ411">
        <v>-2.3E-5</v>
      </c>
      <c r="AR411">
        <v>9.9999999999999995E-7</v>
      </c>
      <c r="AY411">
        <v>409</v>
      </c>
      <c r="AZ411">
        <v>408</v>
      </c>
      <c r="BA411">
        <v>4707.1899999999996</v>
      </c>
      <c r="BB411">
        <v>4708.1877000000004</v>
      </c>
      <c r="BC411">
        <v>-0.99770000000000003</v>
      </c>
      <c r="BD411">
        <v>0.99529999999999996</v>
      </c>
      <c r="BE411">
        <v>166464</v>
      </c>
    </row>
    <row r="412" spans="1:57" x14ac:dyDescent="0.55000000000000004">
      <c r="A412">
        <v>1776910502</v>
      </c>
      <c r="B412" t="s">
        <v>72</v>
      </c>
      <c r="C412" t="s">
        <v>73</v>
      </c>
      <c r="D412">
        <v>4714.1000000000004</v>
      </c>
      <c r="E412">
        <v>4518.5928199999998</v>
      </c>
      <c r="F412">
        <v>4596.0559499999999</v>
      </c>
      <c r="G412">
        <v>4755.40355</v>
      </c>
      <c r="H412">
        <v>4792.7697200000002</v>
      </c>
      <c r="Q412">
        <v>4707.9200499999997</v>
      </c>
      <c r="R412">
        <v>4737.2833499999997</v>
      </c>
      <c r="S412">
        <v>4763.87212</v>
      </c>
      <c r="V412">
        <v>4672.9802799999998</v>
      </c>
      <c r="W412">
        <v>4639.4152899999999</v>
      </c>
      <c r="AB412">
        <v>4710.0102900000002</v>
      </c>
      <c r="AC412">
        <v>4715.8661000000002</v>
      </c>
      <c r="AD412">
        <v>0</v>
      </c>
      <c r="AK412">
        <v>410</v>
      </c>
      <c r="AL412">
        <v>409</v>
      </c>
      <c r="AM412">
        <v>4714.1000000000004</v>
      </c>
      <c r="AN412">
        <v>4707.92</v>
      </c>
      <c r="AO412">
        <v>6.18</v>
      </c>
      <c r="AP412">
        <v>38.191800000000001</v>
      </c>
      <c r="AQ412">
        <v>5.4299999999999999E-3</v>
      </c>
      <c r="AR412">
        <v>9.5399999999999999E-4</v>
      </c>
      <c r="AY412">
        <v>410</v>
      </c>
      <c r="AZ412">
        <v>409</v>
      </c>
      <c r="BA412">
        <v>4714.1000000000004</v>
      </c>
      <c r="BB412">
        <v>4707.92</v>
      </c>
      <c r="BC412">
        <v>6.18</v>
      </c>
      <c r="BD412">
        <v>38.191800000000001</v>
      </c>
      <c r="BE412">
        <v>167281</v>
      </c>
    </row>
    <row r="413" spans="1:57" x14ac:dyDescent="0.55000000000000004">
      <c r="A413">
        <v>1776911402</v>
      </c>
      <c r="B413" t="s">
        <v>72</v>
      </c>
      <c r="C413" t="s">
        <v>73</v>
      </c>
      <c r="D413">
        <v>4701.42</v>
      </c>
      <c r="E413">
        <v>4518.5928199999998</v>
      </c>
      <c r="F413">
        <v>4596.0559499999999</v>
      </c>
      <c r="G413">
        <v>4755.40355</v>
      </c>
      <c r="H413">
        <v>4792.7697200000002</v>
      </c>
      <c r="Q413">
        <v>4707.6524499999996</v>
      </c>
      <c r="R413">
        <v>4737.0157499999996</v>
      </c>
      <c r="S413">
        <v>4763.6045199999999</v>
      </c>
      <c r="V413">
        <v>4672.7126799999996</v>
      </c>
      <c r="W413">
        <v>4639.14768</v>
      </c>
      <c r="AB413">
        <v>4705.1245399999998</v>
      </c>
      <c r="AC413">
        <v>4710.49532</v>
      </c>
      <c r="AD413">
        <v>0</v>
      </c>
      <c r="AK413">
        <v>411</v>
      </c>
      <c r="AL413">
        <v>410</v>
      </c>
      <c r="AM413">
        <v>4701.42</v>
      </c>
      <c r="AN413">
        <v>4707.6523999999999</v>
      </c>
      <c r="AO413">
        <v>-6.2324000000000002</v>
      </c>
      <c r="AP413">
        <v>38.843400000000003</v>
      </c>
      <c r="AQ413">
        <v>-5.5690000000000002E-3</v>
      </c>
      <c r="AR413">
        <v>9.8700000000000003E-4</v>
      </c>
      <c r="AY413">
        <v>411</v>
      </c>
      <c r="AZ413">
        <v>410</v>
      </c>
      <c r="BA413">
        <v>4701.42</v>
      </c>
      <c r="BB413">
        <v>4707.6523999999999</v>
      </c>
      <c r="BC413">
        <v>-6.2324000000000002</v>
      </c>
      <c r="BD413">
        <v>38.843400000000003</v>
      </c>
      <c r="BE413">
        <v>168100</v>
      </c>
    </row>
    <row r="414" spans="1:57" x14ac:dyDescent="0.55000000000000004">
      <c r="A414">
        <v>1776912302</v>
      </c>
      <c r="B414" t="s">
        <v>72</v>
      </c>
      <c r="C414" t="s">
        <v>73</v>
      </c>
      <c r="D414">
        <v>4699.2299999999996</v>
      </c>
      <c r="E414">
        <v>4518.5928199999998</v>
      </c>
      <c r="F414">
        <v>4596.0559499999999</v>
      </c>
      <c r="G414">
        <v>4755.40355</v>
      </c>
      <c r="H414">
        <v>4792.7697200000002</v>
      </c>
      <c r="Q414">
        <v>4707.3848500000004</v>
      </c>
      <c r="R414">
        <v>4736.7481500000004</v>
      </c>
      <c r="S414">
        <v>4763.3369199999997</v>
      </c>
      <c r="V414">
        <v>4672.4450800000004</v>
      </c>
      <c r="W414">
        <v>4638.8800799999999</v>
      </c>
      <c r="AB414">
        <v>4702.0156399999996</v>
      </c>
      <c r="AC414">
        <v>4706.2554799999998</v>
      </c>
      <c r="AD414">
        <v>0</v>
      </c>
      <c r="AK414">
        <v>412</v>
      </c>
      <c r="AL414">
        <v>411</v>
      </c>
      <c r="AM414">
        <v>4699.2299999999996</v>
      </c>
      <c r="AN414">
        <v>4707.3849</v>
      </c>
      <c r="AO414">
        <v>-8.1548999999999996</v>
      </c>
      <c r="AP414">
        <v>66.501599999999996</v>
      </c>
      <c r="AQ414">
        <v>-1.2475999999999999E-2</v>
      </c>
      <c r="AR414">
        <v>2.8930000000000002E-3</v>
      </c>
      <c r="AY414">
        <v>412</v>
      </c>
      <c r="AZ414">
        <v>411</v>
      </c>
      <c r="BA414">
        <v>4699.2299999999996</v>
      </c>
      <c r="BB414">
        <v>4707.3849</v>
      </c>
      <c r="BC414">
        <v>-8.1548999999999996</v>
      </c>
      <c r="BD414">
        <v>66.501599999999996</v>
      </c>
      <c r="BE414">
        <v>168921</v>
      </c>
    </row>
    <row r="415" spans="1:57" x14ac:dyDescent="0.55000000000000004">
      <c r="A415">
        <v>1776913202</v>
      </c>
      <c r="B415" t="s">
        <v>72</v>
      </c>
      <c r="C415" t="s">
        <v>73</v>
      </c>
      <c r="D415">
        <v>4702.0600000000004</v>
      </c>
      <c r="E415">
        <v>4518.5928199999998</v>
      </c>
      <c r="F415">
        <v>4596.0559499999999</v>
      </c>
      <c r="G415">
        <v>4755.40355</v>
      </c>
      <c r="H415">
        <v>4792.7697200000002</v>
      </c>
      <c r="Q415">
        <v>4707.1172399999996</v>
      </c>
      <c r="R415">
        <v>4736.4805399999996</v>
      </c>
      <c r="S415">
        <v>4763.0693099999999</v>
      </c>
      <c r="V415">
        <v>4672.1774699999996</v>
      </c>
      <c r="W415">
        <v>4638.6124799999998</v>
      </c>
      <c r="AB415">
        <v>4700.7395100000003</v>
      </c>
      <c r="AC415">
        <v>4703.4975000000004</v>
      </c>
      <c r="AD415">
        <v>0</v>
      </c>
      <c r="AK415">
        <v>413</v>
      </c>
      <c r="AL415">
        <v>412</v>
      </c>
      <c r="AM415">
        <v>4702.0600000000004</v>
      </c>
      <c r="AN415">
        <v>4707.1171999999997</v>
      </c>
      <c r="AO415">
        <v>-5.0571999999999999</v>
      </c>
      <c r="AP415">
        <v>25.575700000000001</v>
      </c>
      <c r="AQ415">
        <v>-2.9750000000000002E-3</v>
      </c>
      <c r="AR415">
        <v>4.28E-4</v>
      </c>
      <c r="AY415">
        <v>413</v>
      </c>
      <c r="AZ415">
        <v>412</v>
      </c>
      <c r="BA415">
        <v>4702.0600000000004</v>
      </c>
      <c r="BB415">
        <v>4707.1171999999997</v>
      </c>
      <c r="BC415">
        <v>-5.0571999999999999</v>
      </c>
      <c r="BD415">
        <v>25.575700000000001</v>
      </c>
      <c r="BE415">
        <v>169744</v>
      </c>
    </row>
    <row r="416" spans="1:57" x14ac:dyDescent="0.55000000000000004">
      <c r="A416">
        <v>1776914102</v>
      </c>
      <c r="B416" t="s">
        <v>72</v>
      </c>
      <c r="C416" t="s">
        <v>73</v>
      </c>
      <c r="D416">
        <v>4703.22</v>
      </c>
      <c r="E416">
        <v>4518.5928199999998</v>
      </c>
      <c r="F416">
        <v>4596.0559499999999</v>
      </c>
      <c r="G416">
        <v>4755.40355</v>
      </c>
      <c r="H416">
        <v>4792.7697200000002</v>
      </c>
      <c r="Q416">
        <v>4706.8496400000004</v>
      </c>
      <c r="R416">
        <v>4736.2129400000003</v>
      </c>
      <c r="S416">
        <v>4762.8017099999997</v>
      </c>
      <c r="V416">
        <v>4671.9098700000004</v>
      </c>
      <c r="W416">
        <v>4638.3448699999999</v>
      </c>
      <c r="AB416">
        <v>4700.8810899999999</v>
      </c>
      <c r="AC416">
        <v>4702.1892900000003</v>
      </c>
      <c r="AD416">
        <v>0</v>
      </c>
      <c r="AK416">
        <v>414</v>
      </c>
      <c r="AL416">
        <v>413</v>
      </c>
      <c r="AM416">
        <v>4703.22</v>
      </c>
      <c r="AN416">
        <v>4706.8495999999996</v>
      </c>
      <c r="AO416">
        <v>-3.6295999999999999</v>
      </c>
      <c r="AP416">
        <v>13.174300000000001</v>
      </c>
      <c r="AQ416">
        <v>-1.1000000000000001E-3</v>
      </c>
      <c r="AR416">
        <v>1.1400000000000001E-4</v>
      </c>
      <c r="AY416">
        <v>414</v>
      </c>
      <c r="AZ416">
        <v>413</v>
      </c>
      <c r="BA416">
        <v>4703.22</v>
      </c>
      <c r="BB416">
        <v>4706.8495999999996</v>
      </c>
      <c r="BC416">
        <v>-3.6295999999999999</v>
      </c>
      <c r="BD416">
        <v>13.174300000000001</v>
      </c>
      <c r="BE416">
        <v>170569</v>
      </c>
    </row>
    <row r="417" spans="1:57" x14ac:dyDescent="0.55000000000000004">
      <c r="A417">
        <v>1776915002</v>
      </c>
      <c r="B417" t="s">
        <v>72</v>
      </c>
      <c r="C417" t="s">
        <v>73</v>
      </c>
      <c r="D417">
        <v>4704.99</v>
      </c>
      <c r="E417">
        <v>4518.5928199999998</v>
      </c>
      <c r="F417">
        <v>4596.0559499999999</v>
      </c>
      <c r="G417">
        <v>4755.40355</v>
      </c>
      <c r="H417">
        <v>4792.7697200000002</v>
      </c>
      <c r="Q417">
        <v>4706.5820299999996</v>
      </c>
      <c r="R417">
        <v>4735.9453299999996</v>
      </c>
      <c r="S417">
        <v>4762.5340999999999</v>
      </c>
      <c r="V417">
        <v>4671.6422599999996</v>
      </c>
      <c r="W417">
        <v>4638.0772699999998</v>
      </c>
      <c r="AB417">
        <v>4701.90823</v>
      </c>
      <c r="AC417">
        <v>4702.0487599999997</v>
      </c>
      <c r="AD417">
        <v>0</v>
      </c>
      <c r="AK417">
        <v>415</v>
      </c>
      <c r="AL417">
        <v>414</v>
      </c>
      <c r="AM417">
        <v>4704.99</v>
      </c>
      <c r="AN417">
        <v>4706.5820000000003</v>
      </c>
      <c r="AO417">
        <v>-1.5920000000000001</v>
      </c>
      <c r="AP417">
        <v>2.5346000000000002</v>
      </c>
      <c r="AQ417">
        <v>-9.2999999999999997E-5</v>
      </c>
      <c r="AR417">
        <v>3.9999999999999998E-6</v>
      </c>
      <c r="AY417">
        <v>415</v>
      </c>
      <c r="AZ417">
        <v>414</v>
      </c>
      <c r="BA417">
        <v>4704.99</v>
      </c>
      <c r="BB417">
        <v>4706.5820000000003</v>
      </c>
      <c r="BC417">
        <v>-1.5920000000000001</v>
      </c>
      <c r="BD417">
        <v>2.5346000000000002</v>
      </c>
      <c r="BE417">
        <v>171396</v>
      </c>
    </row>
    <row r="418" spans="1:57" x14ac:dyDescent="0.55000000000000004">
      <c r="A418">
        <v>1776915902</v>
      </c>
      <c r="B418" t="s">
        <v>72</v>
      </c>
      <c r="C418" t="s">
        <v>73</v>
      </c>
      <c r="D418">
        <v>4704.1000000000004</v>
      </c>
      <c r="E418">
        <v>4518.5928199999998</v>
      </c>
      <c r="F418">
        <v>4596.0559499999999</v>
      </c>
      <c r="G418">
        <v>4755.40355</v>
      </c>
      <c r="H418">
        <v>4792.7697200000002</v>
      </c>
      <c r="Q418">
        <v>4706.3144300000004</v>
      </c>
      <c r="R418">
        <v>4735.6777300000003</v>
      </c>
      <c r="S418">
        <v>4762.2664999999997</v>
      </c>
      <c r="V418">
        <v>4671.3746600000004</v>
      </c>
      <c r="W418">
        <v>4637.8096599999999</v>
      </c>
      <c r="AB418">
        <v>4703.2629900000002</v>
      </c>
      <c r="AC418">
        <v>4702.6558699999996</v>
      </c>
      <c r="AD418">
        <v>1</v>
      </c>
      <c r="AK418">
        <v>416</v>
      </c>
      <c r="AL418">
        <v>415</v>
      </c>
      <c r="AM418">
        <v>4704.1000000000004</v>
      </c>
      <c r="AN418">
        <v>4706.3144000000002</v>
      </c>
      <c r="AO418">
        <v>-2.2143999999999999</v>
      </c>
      <c r="AP418">
        <v>4.9036999999999997</v>
      </c>
      <c r="AQ418">
        <v>-2.5000000000000001E-4</v>
      </c>
      <c r="AR418">
        <v>1.5999999999999999E-5</v>
      </c>
      <c r="AY418">
        <v>416</v>
      </c>
      <c r="AZ418">
        <v>415</v>
      </c>
      <c r="BA418">
        <v>4704.1000000000004</v>
      </c>
      <c r="BB418">
        <v>4706.3144000000002</v>
      </c>
      <c r="BC418">
        <v>-2.2143999999999999</v>
      </c>
      <c r="BD418">
        <v>4.9036999999999997</v>
      </c>
      <c r="BE418">
        <v>172225</v>
      </c>
    </row>
    <row r="419" spans="1:57" x14ac:dyDescent="0.55000000000000004">
      <c r="A419">
        <v>1776916802</v>
      </c>
      <c r="B419" t="s">
        <v>72</v>
      </c>
      <c r="C419" t="s">
        <v>73</v>
      </c>
      <c r="D419">
        <v>4706.25</v>
      </c>
      <c r="E419">
        <v>4518.5928199999998</v>
      </c>
      <c r="F419">
        <v>4596.0559499999999</v>
      </c>
      <c r="G419">
        <v>4755.40355</v>
      </c>
      <c r="H419">
        <v>4792.7697200000002</v>
      </c>
      <c r="Q419">
        <v>4706.0468300000002</v>
      </c>
      <c r="R419">
        <v>4735.4101199999996</v>
      </c>
      <c r="S419">
        <v>4761.9988999999996</v>
      </c>
      <c r="V419">
        <v>4671.1070600000003</v>
      </c>
      <c r="W419">
        <v>4637.5420599999998</v>
      </c>
      <c r="AB419">
        <v>4704.53773</v>
      </c>
      <c r="AC419">
        <v>4703.5968000000003</v>
      </c>
      <c r="AD419">
        <v>0</v>
      </c>
      <c r="AK419">
        <v>417</v>
      </c>
      <c r="AL419">
        <v>416</v>
      </c>
      <c r="AM419">
        <v>4706.25</v>
      </c>
      <c r="AN419">
        <v>4706.0468000000001</v>
      </c>
      <c r="AO419">
        <v>0.20319999999999999</v>
      </c>
      <c r="AP419">
        <v>4.1300000000000003E-2</v>
      </c>
      <c r="AQ419">
        <v>0</v>
      </c>
      <c r="AR419">
        <v>0</v>
      </c>
      <c r="AY419">
        <v>417</v>
      </c>
      <c r="AZ419">
        <v>416</v>
      </c>
      <c r="BA419">
        <v>4706.25</v>
      </c>
      <c r="BB419">
        <v>4706.0468000000001</v>
      </c>
      <c r="BC419">
        <v>0.20319999999999999</v>
      </c>
      <c r="BD419">
        <v>4.1300000000000003E-2</v>
      </c>
      <c r="BE419">
        <v>173056</v>
      </c>
    </row>
    <row r="420" spans="1:57" x14ac:dyDescent="0.55000000000000004">
      <c r="A420">
        <v>1776917702</v>
      </c>
      <c r="B420" t="s">
        <v>72</v>
      </c>
      <c r="C420" t="s">
        <v>73</v>
      </c>
      <c r="D420">
        <v>4705.7299999999996</v>
      </c>
      <c r="E420">
        <v>4518.5928199999998</v>
      </c>
      <c r="F420">
        <v>4596.0559499999999</v>
      </c>
      <c r="G420">
        <v>4755.40355</v>
      </c>
      <c r="H420">
        <v>4792.7697200000002</v>
      </c>
      <c r="Q420">
        <v>4705.7792200000004</v>
      </c>
      <c r="R420">
        <v>4735.1425200000003</v>
      </c>
      <c r="S420">
        <v>4761.7312899999997</v>
      </c>
      <c r="V420">
        <v>4670.8394500000004</v>
      </c>
      <c r="W420">
        <v>4637.2744599999996</v>
      </c>
      <c r="AB420">
        <v>4705.42947</v>
      </c>
      <c r="AC420">
        <v>4704.51314</v>
      </c>
      <c r="AD420">
        <v>0</v>
      </c>
      <c r="AK420">
        <v>418</v>
      </c>
      <c r="AL420">
        <v>417</v>
      </c>
      <c r="AM420">
        <v>4705.7299999999996</v>
      </c>
      <c r="AN420">
        <v>4705.7791999999999</v>
      </c>
      <c r="AO420">
        <v>-4.9200000000000001E-2</v>
      </c>
      <c r="AP420">
        <v>2.3999999999999998E-3</v>
      </c>
      <c r="AQ420">
        <v>0</v>
      </c>
      <c r="AR420">
        <v>0</v>
      </c>
      <c r="AY420">
        <v>418</v>
      </c>
      <c r="AZ420">
        <v>417</v>
      </c>
      <c r="BA420">
        <v>4705.7299999999996</v>
      </c>
      <c r="BB420">
        <v>4705.7791999999999</v>
      </c>
      <c r="BC420">
        <v>-4.9200000000000001E-2</v>
      </c>
      <c r="BD420">
        <v>2.3999999999999998E-3</v>
      </c>
      <c r="BE420">
        <v>173889</v>
      </c>
    </row>
    <row r="421" spans="1:57" x14ac:dyDescent="0.55000000000000004">
      <c r="A421">
        <v>1776918602</v>
      </c>
      <c r="B421" t="s">
        <v>72</v>
      </c>
      <c r="C421" t="s">
        <v>73</v>
      </c>
      <c r="D421">
        <v>4701.88</v>
      </c>
      <c r="E421">
        <v>4518.5928199999998</v>
      </c>
      <c r="F421">
        <v>4596.0559499999999</v>
      </c>
      <c r="G421">
        <v>4755.40355</v>
      </c>
      <c r="H421">
        <v>4792.7697200000002</v>
      </c>
      <c r="Q421">
        <v>4705.5116200000002</v>
      </c>
      <c r="R421">
        <v>4734.8749200000002</v>
      </c>
      <c r="S421">
        <v>4761.4636899999996</v>
      </c>
      <c r="V421">
        <v>4670.5718500000003</v>
      </c>
      <c r="W421">
        <v>4637.0068499999998</v>
      </c>
      <c r="AB421">
        <v>4705.88832</v>
      </c>
      <c r="AC421">
        <v>4705.2007299999996</v>
      </c>
      <c r="AD421">
        <v>0</v>
      </c>
      <c r="AK421">
        <v>419</v>
      </c>
      <c r="AL421">
        <v>418</v>
      </c>
      <c r="AM421">
        <v>4701.88</v>
      </c>
      <c r="AN421">
        <v>4705.5115999999998</v>
      </c>
      <c r="AO421">
        <v>-3.6316000000000002</v>
      </c>
      <c r="AP421">
        <v>13.188700000000001</v>
      </c>
      <c r="AQ421">
        <v>-1.1019999999999999E-3</v>
      </c>
      <c r="AR421">
        <v>1.1400000000000001E-4</v>
      </c>
      <c r="AY421">
        <v>419</v>
      </c>
      <c r="AZ421">
        <v>418</v>
      </c>
      <c r="BA421">
        <v>4701.88</v>
      </c>
      <c r="BB421">
        <v>4705.5115999999998</v>
      </c>
      <c r="BC421">
        <v>-3.6316000000000002</v>
      </c>
      <c r="BD421">
        <v>13.188700000000001</v>
      </c>
      <c r="BE421">
        <v>174724</v>
      </c>
    </row>
    <row r="422" spans="1:57" x14ac:dyDescent="0.55000000000000004">
      <c r="A422">
        <v>1776919502</v>
      </c>
      <c r="B422" t="s">
        <v>72</v>
      </c>
      <c r="C422" t="s">
        <v>73</v>
      </c>
      <c r="D422">
        <v>4704.3500000000004</v>
      </c>
      <c r="E422">
        <v>4518.5928199999998</v>
      </c>
      <c r="F422">
        <v>4596.0559499999999</v>
      </c>
      <c r="G422">
        <v>4755.40355</v>
      </c>
      <c r="H422">
        <v>4792.7697200000002</v>
      </c>
      <c r="Q422">
        <v>4705.2440100000003</v>
      </c>
      <c r="R422">
        <v>4734.6073100000003</v>
      </c>
      <c r="S422">
        <v>4761.1960799999997</v>
      </c>
      <c r="V422">
        <v>4670.3042400000004</v>
      </c>
      <c r="W422">
        <v>4636.7392499999996</v>
      </c>
      <c r="AB422">
        <v>4706.1543300000003</v>
      </c>
      <c r="AC422">
        <v>4705.6775299999999</v>
      </c>
      <c r="AD422">
        <v>0</v>
      </c>
      <c r="AK422">
        <v>420</v>
      </c>
      <c r="AL422">
        <v>419</v>
      </c>
      <c r="AM422">
        <v>4704.3500000000004</v>
      </c>
      <c r="AN422">
        <v>4705.2439999999997</v>
      </c>
      <c r="AO422">
        <v>-0.89400000000000002</v>
      </c>
      <c r="AP422">
        <v>0.79930000000000001</v>
      </c>
      <c r="AQ422">
        <v>-1.5999999999999999E-5</v>
      </c>
      <c r="AR422">
        <v>0</v>
      </c>
      <c r="AY422">
        <v>420</v>
      </c>
      <c r="AZ422">
        <v>419</v>
      </c>
      <c r="BA422">
        <v>4704.3500000000004</v>
      </c>
      <c r="BB422">
        <v>4705.2439999999997</v>
      </c>
      <c r="BC422">
        <v>-0.89400000000000002</v>
      </c>
      <c r="BD422">
        <v>0.79930000000000001</v>
      </c>
      <c r="BE422">
        <v>175561</v>
      </c>
    </row>
    <row r="423" spans="1:57" x14ac:dyDescent="0.55000000000000004">
      <c r="A423">
        <v>1776920402</v>
      </c>
      <c r="B423" t="s">
        <v>72</v>
      </c>
      <c r="C423" t="s">
        <v>73</v>
      </c>
      <c r="D423">
        <v>4707.71</v>
      </c>
      <c r="E423">
        <v>4518.5928199999998</v>
      </c>
      <c r="F423">
        <v>4596.0559499999999</v>
      </c>
      <c r="G423">
        <v>4755.40355</v>
      </c>
      <c r="H423">
        <v>4792.7697200000002</v>
      </c>
      <c r="Q423">
        <v>4704.9764100000002</v>
      </c>
      <c r="R423">
        <v>4734.3397100000002</v>
      </c>
      <c r="S423">
        <v>4760.9284799999996</v>
      </c>
      <c r="V423">
        <v>4670.0366400000003</v>
      </c>
      <c r="W423">
        <v>4636.4716399999998</v>
      </c>
      <c r="AB423">
        <v>4706.3814000000002</v>
      </c>
      <c r="AC423">
        <v>4706.0294599999997</v>
      </c>
      <c r="AD423">
        <v>0</v>
      </c>
      <c r="AK423">
        <v>421</v>
      </c>
      <c r="AL423">
        <v>420</v>
      </c>
      <c r="AM423">
        <v>4707.71</v>
      </c>
      <c r="AN423">
        <v>4704.9763999999996</v>
      </c>
      <c r="AO423">
        <v>2.7336</v>
      </c>
      <c r="AP423">
        <v>7.4725000000000001</v>
      </c>
      <c r="AQ423">
        <v>4.6999999999999999E-4</v>
      </c>
      <c r="AR423">
        <v>3.6999999999999998E-5</v>
      </c>
      <c r="AY423">
        <v>421</v>
      </c>
      <c r="AZ423">
        <v>420</v>
      </c>
      <c r="BA423">
        <v>4707.71</v>
      </c>
      <c r="BB423">
        <v>4704.9763999999996</v>
      </c>
      <c r="BC423">
        <v>2.7336</v>
      </c>
      <c r="BD423">
        <v>7.4725000000000001</v>
      </c>
      <c r="BE423">
        <v>176400</v>
      </c>
    </row>
    <row r="424" spans="1:57" x14ac:dyDescent="0.55000000000000004">
      <c r="A424">
        <v>1776921302</v>
      </c>
      <c r="B424" t="s">
        <v>72</v>
      </c>
      <c r="C424" t="s">
        <v>73</v>
      </c>
      <c r="D424">
        <v>4705.92</v>
      </c>
      <c r="E424">
        <v>4518.5928199999998</v>
      </c>
      <c r="F424">
        <v>4596.0559499999999</v>
      </c>
      <c r="G424">
        <v>4755.40355</v>
      </c>
      <c r="H424">
        <v>4792.7697200000002</v>
      </c>
      <c r="Q424">
        <v>4704.7088100000001</v>
      </c>
      <c r="R424">
        <v>4734.0721000000003</v>
      </c>
      <c r="S424">
        <v>4760.6608800000004</v>
      </c>
      <c r="V424">
        <v>4669.7690400000001</v>
      </c>
      <c r="W424">
        <v>4636.2040399999996</v>
      </c>
      <c r="AB424">
        <v>4706.7036699999999</v>
      </c>
      <c r="AC424">
        <v>4706.3665700000001</v>
      </c>
      <c r="AD424">
        <v>0</v>
      </c>
      <c r="AK424">
        <v>422</v>
      </c>
      <c r="AL424">
        <v>421</v>
      </c>
      <c r="AM424">
        <v>4705.92</v>
      </c>
      <c r="AN424">
        <v>4704.7088000000003</v>
      </c>
      <c r="AO424">
        <v>1.2112000000000001</v>
      </c>
      <c r="AP424">
        <v>1.4670000000000001</v>
      </c>
      <c r="AQ424">
        <v>4.1E-5</v>
      </c>
      <c r="AR424">
        <v>9.9999999999999995E-7</v>
      </c>
      <c r="AY424">
        <v>422</v>
      </c>
      <c r="AZ424">
        <v>421</v>
      </c>
      <c r="BA424">
        <v>4705.92</v>
      </c>
      <c r="BB424">
        <v>4704.7088000000003</v>
      </c>
      <c r="BC424">
        <v>1.2112000000000001</v>
      </c>
      <c r="BD424">
        <v>1.4670000000000001</v>
      </c>
      <c r="BE424">
        <v>177241</v>
      </c>
    </row>
    <row r="425" spans="1:57" x14ac:dyDescent="0.55000000000000004">
      <c r="A425">
        <v>1776922202</v>
      </c>
      <c r="B425" t="s">
        <v>72</v>
      </c>
      <c r="C425" t="s">
        <v>73</v>
      </c>
      <c r="D425">
        <v>4701.58</v>
      </c>
      <c r="E425">
        <v>4518.5928199999998</v>
      </c>
      <c r="F425">
        <v>4596.0559499999999</v>
      </c>
      <c r="G425">
        <v>4755.40355</v>
      </c>
      <c r="H425">
        <v>4792.7697200000002</v>
      </c>
      <c r="Q425">
        <v>4704.4412000000002</v>
      </c>
      <c r="R425">
        <v>4733.8045000000002</v>
      </c>
      <c r="S425">
        <v>4760.3932699999996</v>
      </c>
      <c r="V425">
        <v>4669.5014300000003</v>
      </c>
      <c r="W425">
        <v>4635.9364299999997</v>
      </c>
      <c r="AA425">
        <v>4693.0600000000004</v>
      </c>
      <c r="AB425">
        <v>4707.34591</v>
      </c>
      <c r="AC425">
        <v>4706.8562400000001</v>
      </c>
      <c r="AD425">
        <v>0</v>
      </c>
      <c r="AK425">
        <v>423</v>
      </c>
      <c r="AL425">
        <v>422</v>
      </c>
      <c r="AM425">
        <v>4701.58</v>
      </c>
      <c r="AN425">
        <v>4704.4412000000002</v>
      </c>
      <c r="AO425">
        <v>-2.8612000000000002</v>
      </c>
      <c r="AP425">
        <v>8.1865000000000006</v>
      </c>
      <c r="AQ425">
        <v>-5.3899999999999998E-4</v>
      </c>
      <c r="AR425">
        <v>4.3999999999999999E-5</v>
      </c>
      <c r="AY425">
        <v>423</v>
      </c>
      <c r="AZ425">
        <v>422</v>
      </c>
      <c r="BA425">
        <v>4701.58</v>
      </c>
      <c r="BB425">
        <v>4704.4412000000002</v>
      </c>
      <c r="BC425">
        <v>-2.8612000000000002</v>
      </c>
      <c r="BD425">
        <v>8.1865000000000006</v>
      </c>
      <c r="BE425">
        <v>178084</v>
      </c>
    </row>
    <row r="426" spans="1:57" x14ac:dyDescent="0.55000000000000004">
      <c r="A426">
        <v>1776923102</v>
      </c>
      <c r="B426" t="s">
        <v>72</v>
      </c>
      <c r="C426" t="s">
        <v>73</v>
      </c>
      <c r="D426">
        <v>4713.6000000000004</v>
      </c>
      <c r="E426">
        <v>4518.5928199999998</v>
      </c>
      <c r="F426">
        <v>4596.0559499999999</v>
      </c>
      <c r="G426">
        <v>4755.40355</v>
      </c>
      <c r="H426">
        <v>4792.7697200000002</v>
      </c>
      <c r="Q426">
        <v>4704.1736000000001</v>
      </c>
      <c r="R426">
        <v>4733.5369000000001</v>
      </c>
      <c r="S426">
        <v>4760.1256700000004</v>
      </c>
      <c r="V426">
        <v>4669.2338300000001</v>
      </c>
      <c r="W426">
        <v>4635.6688299999996</v>
      </c>
      <c r="AB426">
        <v>4708.5204199999998</v>
      </c>
      <c r="AC426">
        <v>4707.68833</v>
      </c>
      <c r="AD426">
        <v>0</v>
      </c>
      <c r="AK426">
        <v>424</v>
      </c>
      <c r="AL426">
        <v>423</v>
      </c>
      <c r="AM426">
        <v>4713.6000000000004</v>
      </c>
      <c r="AN426">
        <v>4704.1736000000001</v>
      </c>
      <c r="AO426">
        <v>9.4263999999999992</v>
      </c>
      <c r="AP426">
        <v>88.856999999999999</v>
      </c>
      <c r="AQ426">
        <v>1.9269000000000001E-2</v>
      </c>
      <c r="AR426">
        <v>5.1659999999999996E-3</v>
      </c>
      <c r="AY426">
        <v>424</v>
      </c>
      <c r="AZ426">
        <v>423</v>
      </c>
      <c r="BA426">
        <v>4713.6000000000004</v>
      </c>
      <c r="BB426">
        <v>4704.1736000000001</v>
      </c>
      <c r="BC426">
        <v>9.4263999999999992</v>
      </c>
      <c r="BD426">
        <v>88.856999999999999</v>
      </c>
      <c r="BE426">
        <v>178929</v>
      </c>
    </row>
    <row r="427" spans="1:57" x14ac:dyDescent="0.55000000000000004">
      <c r="A427">
        <v>1776924002</v>
      </c>
      <c r="B427" t="s">
        <v>72</v>
      </c>
      <c r="C427" t="s">
        <v>73</v>
      </c>
      <c r="D427">
        <v>4711.99</v>
      </c>
      <c r="E427">
        <v>4518.5928199999998</v>
      </c>
      <c r="F427">
        <v>4596.0559499999999</v>
      </c>
      <c r="G427">
        <v>4755.40355</v>
      </c>
      <c r="H427">
        <v>4792.7697200000002</v>
      </c>
      <c r="Q427">
        <v>4703.9059900000002</v>
      </c>
      <c r="R427">
        <v>4733.2692900000002</v>
      </c>
      <c r="S427">
        <v>4759.8580599999996</v>
      </c>
      <c r="V427">
        <v>4668.9662200000002</v>
      </c>
      <c r="W427">
        <v>4635.4012300000004</v>
      </c>
      <c r="AB427">
        <v>4709.8301300000003</v>
      </c>
      <c r="AC427">
        <v>4708.7592299999997</v>
      </c>
      <c r="AD427">
        <v>0</v>
      </c>
      <c r="AK427">
        <v>425</v>
      </c>
      <c r="AL427">
        <v>424</v>
      </c>
      <c r="AM427">
        <v>4711.99</v>
      </c>
      <c r="AN427">
        <v>4703.9059999999999</v>
      </c>
      <c r="AO427">
        <v>8.0839999999999996</v>
      </c>
      <c r="AP427">
        <v>65.351200000000006</v>
      </c>
      <c r="AQ427">
        <v>1.2153000000000001E-2</v>
      </c>
      <c r="AR427">
        <v>2.794E-3</v>
      </c>
      <c r="AY427">
        <v>425</v>
      </c>
      <c r="AZ427">
        <v>424</v>
      </c>
      <c r="BA427">
        <v>4711.99</v>
      </c>
      <c r="BB427">
        <v>4703.9059999999999</v>
      </c>
      <c r="BC427">
        <v>8.0839999999999996</v>
      </c>
      <c r="BD427">
        <v>65.351200000000006</v>
      </c>
      <c r="BE427">
        <v>179776</v>
      </c>
    </row>
    <row r="428" spans="1:57" x14ac:dyDescent="0.55000000000000004">
      <c r="A428">
        <v>1776924902</v>
      </c>
      <c r="B428" t="s">
        <v>72</v>
      </c>
      <c r="C428" t="s">
        <v>73</v>
      </c>
      <c r="D428">
        <v>4712.13</v>
      </c>
      <c r="E428">
        <v>4518.5928199999998</v>
      </c>
      <c r="F428">
        <v>4596.0559499999999</v>
      </c>
      <c r="G428">
        <v>4755.40355</v>
      </c>
      <c r="H428">
        <v>4792.7697200000002</v>
      </c>
      <c r="Q428">
        <v>4703.6383900000001</v>
      </c>
      <c r="R428">
        <v>4733.0016900000001</v>
      </c>
      <c r="S428">
        <v>4759.5904600000003</v>
      </c>
      <c r="V428">
        <v>4668.6986200000001</v>
      </c>
      <c r="W428">
        <v>4635.1336199999996</v>
      </c>
      <c r="AB428">
        <v>4711.1706299999996</v>
      </c>
      <c r="AC428">
        <v>4709.9649300000001</v>
      </c>
      <c r="AD428">
        <v>0</v>
      </c>
      <c r="AK428">
        <v>426</v>
      </c>
      <c r="AL428">
        <v>425</v>
      </c>
      <c r="AM428">
        <v>4712.13</v>
      </c>
      <c r="AN428">
        <v>4703.6383999999998</v>
      </c>
      <c r="AO428">
        <v>8.4916</v>
      </c>
      <c r="AP428">
        <v>72.107399999999998</v>
      </c>
      <c r="AQ428">
        <v>1.4086E-2</v>
      </c>
      <c r="AR428">
        <v>3.4020000000000001E-3</v>
      </c>
      <c r="AY428">
        <v>426</v>
      </c>
      <c r="AZ428">
        <v>425</v>
      </c>
      <c r="BA428">
        <v>4712.13</v>
      </c>
      <c r="BB428">
        <v>4703.6383999999998</v>
      </c>
      <c r="BC428">
        <v>8.4916</v>
      </c>
      <c r="BD428">
        <v>72.107399999999998</v>
      </c>
      <c r="BE428">
        <v>180625</v>
      </c>
    </row>
    <row r="429" spans="1:57" x14ac:dyDescent="0.55000000000000004">
      <c r="A429">
        <v>1776925802</v>
      </c>
      <c r="B429" t="s">
        <v>72</v>
      </c>
      <c r="C429" t="s">
        <v>73</v>
      </c>
      <c r="D429">
        <v>4714.9799999999996</v>
      </c>
      <c r="E429">
        <v>4518.5928199999998</v>
      </c>
      <c r="F429">
        <v>4596.0559499999999</v>
      </c>
      <c r="G429">
        <v>4755.40355</v>
      </c>
      <c r="H429">
        <v>4792.7697200000002</v>
      </c>
      <c r="Q429">
        <v>4703.3707800000002</v>
      </c>
      <c r="R429">
        <v>4732.7340800000002</v>
      </c>
      <c r="S429">
        <v>4759.3228499999996</v>
      </c>
      <c r="V429">
        <v>4668.4310100000002</v>
      </c>
      <c r="W429">
        <v>4634.8660200000004</v>
      </c>
      <c r="AB429">
        <v>4712.4076599999999</v>
      </c>
      <c r="AC429">
        <v>4711.1863000000003</v>
      </c>
      <c r="AD429">
        <v>0</v>
      </c>
      <c r="AK429">
        <v>427</v>
      </c>
      <c r="AL429">
        <v>426</v>
      </c>
      <c r="AM429">
        <v>4714.9799999999996</v>
      </c>
      <c r="AN429">
        <v>4703.3707999999997</v>
      </c>
      <c r="AO429">
        <v>11.6092</v>
      </c>
      <c r="AP429">
        <v>134.774</v>
      </c>
      <c r="AQ429">
        <v>3.5993999999999998E-2</v>
      </c>
      <c r="AR429">
        <v>1.1884E-2</v>
      </c>
      <c r="AY429">
        <v>427</v>
      </c>
      <c r="AZ429">
        <v>426</v>
      </c>
      <c r="BA429">
        <v>4714.9799999999996</v>
      </c>
      <c r="BB429">
        <v>4703.3707999999997</v>
      </c>
      <c r="BC429">
        <v>11.6092</v>
      </c>
      <c r="BD429">
        <v>134.774</v>
      </c>
      <c r="BE429">
        <v>181476</v>
      </c>
    </row>
    <row r="430" spans="1:57" x14ac:dyDescent="0.55000000000000004">
      <c r="A430">
        <v>1776926702</v>
      </c>
      <c r="B430" t="s">
        <v>72</v>
      </c>
      <c r="C430" t="s">
        <v>73</v>
      </c>
      <c r="D430">
        <v>4713.0200000000004</v>
      </c>
      <c r="E430">
        <v>4518.5928199999998</v>
      </c>
      <c r="F430">
        <v>4596.0559499999999</v>
      </c>
      <c r="G430">
        <v>4755.40355</v>
      </c>
      <c r="H430">
        <v>4792.7697200000002</v>
      </c>
      <c r="Q430">
        <v>4703.1031800000001</v>
      </c>
      <c r="R430">
        <v>4732.46648</v>
      </c>
      <c r="S430">
        <v>4759.0552500000003</v>
      </c>
      <c r="V430">
        <v>4668.1634100000001</v>
      </c>
      <c r="W430">
        <v>4634.5984099999996</v>
      </c>
      <c r="AB430">
        <v>4713.3364700000002</v>
      </c>
      <c r="AC430">
        <v>4712.2613799999999</v>
      </c>
      <c r="AD430">
        <v>0</v>
      </c>
      <c r="AK430">
        <v>428</v>
      </c>
      <c r="AL430">
        <v>427</v>
      </c>
      <c r="AM430">
        <v>4713.0200000000004</v>
      </c>
      <c r="AN430">
        <v>4703.1031999999996</v>
      </c>
      <c r="AO430">
        <v>9.9168000000000003</v>
      </c>
      <c r="AP430">
        <v>98.343299999999999</v>
      </c>
      <c r="AQ430">
        <v>2.2435E-2</v>
      </c>
      <c r="AR430">
        <v>6.3280000000000003E-3</v>
      </c>
      <c r="AY430">
        <v>428</v>
      </c>
      <c r="AZ430">
        <v>427</v>
      </c>
      <c r="BA430">
        <v>4713.0200000000004</v>
      </c>
      <c r="BB430">
        <v>4703.1031999999996</v>
      </c>
      <c r="BC430">
        <v>9.9168000000000003</v>
      </c>
      <c r="BD430">
        <v>98.343299999999999</v>
      </c>
      <c r="BE430">
        <v>182329</v>
      </c>
    </row>
    <row r="431" spans="1:57" x14ac:dyDescent="0.55000000000000004">
      <c r="A431">
        <v>1776927602</v>
      </c>
      <c r="B431" t="s">
        <v>72</v>
      </c>
      <c r="C431" t="s">
        <v>73</v>
      </c>
      <c r="D431">
        <v>4712.47</v>
      </c>
      <c r="E431">
        <v>4518.5928199999998</v>
      </c>
      <c r="F431">
        <v>4596.0559499999999</v>
      </c>
      <c r="G431">
        <v>4755.40355</v>
      </c>
      <c r="H431">
        <v>4792.7697200000002</v>
      </c>
      <c r="Q431">
        <v>4702.8355799999999</v>
      </c>
      <c r="R431">
        <v>4732.1988799999999</v>
      </c>
      <c r="S431">
        <v>4758.7876500000002</v>
      </c>
      <c r="V431">
        <v>4667.89581</v>
      </c>
      <c r="W431">
        <v>4634.3308100000004</v>
      </c>
      <c r="AB431">
        <v>4713.9286499999998</v>
      </c>
      <c r="AC431">
        <v>4713.0950199999997</v>
      </c>
      <c r="AD431">
        <v>0</v>
      </c>
      <c r="AK431">
        <v>429</v>
      </c>
      <c r="AL431">
        <v>428</v>
      </c>
      <c r="AM431">
        <v>4712.47</v>
      </c>
      <c r="AN431">
        <v>4702.8356000000003</v>
      </c>
      <c r="AO431">
        <v>9.6343999999999994</v>
      </c>
      <c r="AP431">
        <v>92.822000000000003</v>
      </c>
      <c r="AQ431">
        <v>2.0573000000000001E-2</v>
      </c>
      <c r="AR431">
        <v>5.6369999999999996E-3</v>
      </c>
      <c r="AY431">
        <v>429</v>
      </c>
      <c r="AZ431">
        <v>428</v>
      </c>
      <c r="BA431">
        <v>4712.47</v>
      </c>
      <c r="BB431">
        <v>4702.8356000000003</v>
      </c>
      <c r="BC431">
        <v>9.6343999999999994</v>
      </c>
      <c r="BD431">
        <v>92.822000000000003</v>
      </c>
      <c r="BE431">
        <v>183184</v>
      </c>
    </row>
    <row r="432" spans="1:57" x14ac:dyDescent="0.55000000000000004">
      <c r="A432">
        <v>1776928502</v>
      </c>
      <c r="B432" t="s">
        <v>72</v>
      </c>
      <c r="C432" t="s">
        <v>73</v>
      </c>
      <c r="D432">
        <v>4706.12</v>
      </c>
      <c r="E432">
        <v>4518.5928199999998</v>
      </c>
      <c r="F432">
        <v>4596.0559499999999</v>
      </c>
      <c r="G432">
        <v>4755.40355</v>
      </c>
      <c r="H432">
        <v>4792.7697200000002</v>
      </c>
      <c r="Q432">
        <v>4702.5679700000001</v>
      </c>
      <c r="R432">
        <v>4731.93127</v>
      </c>
      <c r="S432">
        <v>4758.5200400000003</v>
      </c>
      <c r="V432">
        <v>4667.6282000000001</v>
      </c>
      <c r="W432">
        <v>4634.0632100000003</v>
      </c>
      <c r="AB432">
        <v>4714.1976100000002</v>
      </c>
      <c r="AC432">
        <v>4713.6463100000001</v>
      </c>
      <c r="AD432">
        <v>0</v>
      </c>
      <c r="AK432">
        <v>430</v>
      </c>
      <c r="AL432">
        <v>429</v>
      </c>
      <c r="AM432">
        <v>4706.12</v>
      </c>
      <c r="AN432">
        <v>4702.5680000000002</v>
      </c>
      <c r="AO432">
        <v>3.552</v>
      </c>
      <c r="AP432">
        <v>12.616899999999999</v>
      </c>
      <c r="AQ432">
        <v>1.031E-3</v>
      </c>
      <c r="AR432">
        <v>1.0399999999999999E-4</v>
      </c>
      <c r="AY432">
        <v>430</v>
      </c>
      <c r="AZ432">
        <v>429</v>
      </c>
      <c r="BA432">
        <v>4706.12</v>
      </c>
      <c r="BB432">
        <v>4702.5680000000002</v>
      </c>
      <c r="BC432">
        <v>3.552</v>
      </c>
      <c r="BD432">
        <v>12.616899999999999</v>
      </c>
      <c r="BE432">
        <v>184041</v>
      </c>
    </row>
    <row r="433" spans="1:57" x14ac:dyDescent="0.55000000000000004">
      <c r="A433">
        <v>1776929402</v>
      </c>
      <c r="B433" t="s">
        <v>72</v>
      </c>
      <c r="C433" t="s">
        <v>73</v>
      </c>
      <c r="D433">
        <v>4713.7700000000004</v>
      </c>
      <c r="E433">
        <v>4518.5928199999998</v>
      </c>
      <c r="F433">
        <v>4596.0559499999999</v>
      </c>
      <c r="G433">
        <v>4755.40355</v>
      </c>
      <c r="H433">
        <v>4792.7697200000002</v>
      </c>
      <c r="Q433">
        <v>4702.3003699999999</v>
      </c>
      <c r="R433">
        <v>4731.6636699999999</v>
      </c>
      <c r="S433">
        <v>4758.2524400000002</v>
      </c>
      <c r="V433">
        <v>4667.3606</v>
      </c>
      <c r="W433">
        <v>4633.7956000000004</v>
      </c>
      <c r="AB433">
        <v>4714.3111399999998</v>
      </c>
      <c r="AC433">
        <v>4713.9787299999998</v>
      </c>
      <c r="AD433">
        <v>0</v>
      </c>
      <c r="AK433">
        <v>431</v>
      </c>
      <c r="AL433">
        <v>430</v>
      </c>
      <c r="AM433">
        <v>4713.7700000000004</v>
      </c>
      <c r="AN433">
        <v>4702.3004000000001</v>
      </c>
      <c r="AO433">
        <v>11.4696</v>
      </c>
      <c r="AP433">
        <v>131.55240000000001</v>
      </c>
      <c r="AQ433">
        <v>3.4710999999999999E-2</v>
      </c>
      <c r="AR433">
        <v>1.1323E-2</v>
      </c>
      <c r="AY433">
        <v>431</v>
      </c>
      <c r="AZ433">
        <v>430</v>
      </c>
      <c r="BA433">
        <v>4713.7700000000004</v>
      </c>
      <c r="BB433">
        <v>4702.3004000000001</v>
      </c>
      <c r="BC433">
        <v>11.4696</v>
      </c>
      <c r="BD433">
        <v>131.55240000000001</v>
      </c>
      <c r="BE433">
        <v>184900</v>
      </c>
    </row>
    <row r="434" spans="1:57" x14ac:dyDescent="0.55000000000000004">
      <c r="A434">
        <v>1776930302</v>
      </c>
      <c r="B434" t="s">
        <v>72</v>
      </c>
      <c r="C434" t="s">
        <v>73</v>
      </c>
      <c r="D434">
        <v>4719.22</v>
      </c>
      <c r="E434">
        <v>4518.5928199999998</v>
      </c>
      <c r="F434">
        <v>4596.0559499999999</v>
      </c>
      <c r="G434">
        <v>4755.40355</v>
      </c>
      <c r="H434">
        <v>4792.7697200000002</v>
      </c>
      <c r="Q434">
        <v>4702.0327600000001</v>
      </c>
      <c r="R434">
        <v>4731.39606</v>
      </c>
      <c r="S434">
        <v>4757.9848300000003</v>
      </c>
      <c r="V434">
        <v>4667.0929900000001</v>
      </c>
      <c r="W434">
        <v>4633.5280000000002</v>
      </c>
      <c r="AB434">
        <v>4714.0749999999998</v>
      </c>
      <c r="AC434">
        <v>4714.0268599999999</v>
      </c>
      <c r="AD434">
        <v>0</v>
      </c>
      <c r="AK434">
        <v>432</v>
      </c>
      <c r="AL434">
        <v>431</v>
      </c>
      <c r="AM434">
        <v>4719.22</v>
      </c>
      <c r="AN434">
        <v>4702.0328</v>
      </c>
      <c r="AO434">
        <v>17.187200000000001</v>
      </c>
      <c r="AP434">
        <v>295.40120000000002</v>
      </c>
      <c r="AQ434">
        <v>0.116798</v>
      </c>
      <c r="AR434">
        <v>5.7091999999999997E-2</v>
      </c>
      <c r="AY434">
        <v>432</v>
      </c>
      <c r="AZ434">
        <v>431</v>
      </c>
      <c r="BA434">
        <v>4719.22</v>
      </c>
      <c r="BB434">
        <v>4702.0328</v>
      </c>
      <c r="BC434">
        <v>17.187200000000001</v>
      </c>
      <c r="BD434">
        <v>295.40120000000002</v>
      </c>
      <c r="BE434">
        <v>185761</v>
      </c>
    </row>
    <row r="435" spans="1:57" x14ac:dyDescent="0.55000000000000004">
      <c r="A435">
        <v>1776931202</v>
      </c>
      <c r="B435" t="s">
        <v>72</v>
      </c>
      <c r="C435" t="s">
        <v>73</v>
      </c>
      <c r="D435">
        <v>4718.21</v>
      </c>
      <c r="E435">
        <v>4518.5928199999998</v>
      </c>
      <c r="F435">
        <v>4596.0559499999999</v>
      </c>
      <c r="G435">
        <v>4755.40355</v>
      </c>
      <c r="H435">
        <v>4792.7697200000002</v>
      </c>
      <c r="Q435">
        <v>4701.7651599999999</v>
      </c>
      <c r="R435">
        <v>4731.1284599999999</v>
      </c>
      <c r="S435">
        <v>4757.7172300000002</v>
      </c>
      <c r="V435">
        <v>4666.82539</v>
      </c>
      <c r="W435">
        <v>4633.2603900000004</v>
      </c>
      <c r="AB435">
        <v>4713.1717200000003</v>
      </c>
      <c r="AC435">
        <v>4713.5992900000001</v>
      </c>
      <c r="AD435">
        <v>1</v>
      </c>
      <c r="AK435">
        <v>433</v>
      </c>
      <c r="AL435">
        <v>432</v>
      </c>
      <c r="AM435">
        <v>4718.21</v>
      </c>
      <c r="AN435">
        <v>4701.7651999999998</v>
      </c>
      <c r="AO435">
        <v>16.444800000000001</v>
      </c>
      <c r="AP435">
        <v>270.43279999999999</v>
      </c>
      <c r="AQ435">
        <v>0.102307</v>
      </c>
      <c r="AR435">
        <v>4.7849000000000003E-2</v>
      </c>
      <c r="AY435">
        <v>433</v>
      </c>
      <c r="AZ435">
        <v>432</v>
      </c>
      <c r="BA435">
        <v>4718.21</v>
      </c>
      <c r="BB435">
        <v>4701.7651999999998</v>
      </c>
      <c r="BC435">
        <v>16.444800000000001</v>
      </c>
      <c r="BD435">
        <v>270.43279999999999</v>
      </c>
      <c r="BE435">
        <v>186624</v>
      </c>
    </row>
    <row r="436" spans="1:57" x14ac:dyDescent="0.55000000000000004">
      <c r="A436">
        <v>1776932102</v>
      </c>
      <c r="B436" t="s">
        <v>72</v>
      </c>
      <c r="C436" t="s">
        <v>73</v>
      </c>
      <c r="D436">
        <v>4715.43</v>
      </c>
      <c r="E436">
        <v>4518.5928199999998</v>
      </c>
      <c r="F436">
        <v>4596.0559499999999</v>
      </c>
      <c r="G436">
        <v>4755.40355</v>
      </c>
      <c r="H436">
        <v>4792.7697200000002</v>
      </c>
      <c r="Q436">
        <v>4701.4975599999998</v>
      </c>
      <c r="R436">
        <v>4730.8608599999998</v>
      </c>
      <c r="S436">
        <v>4757.4496300000001</v>
      </c>
      <c r="V436">
        <v>4666.5577899999998</v>
      </c>
      <c r="W436">
        <v>4632.9927900000002</v>
      </c>
      <c r="AB436">
        <v>4711.5254400000003</v>
      </c>
      <c r="AC436">
        <v>4712.5623699999996</v>
      </c>
      <c r="AD436">
        <v>0</v>
      </c>
      <c r="AK436">
        <v>434</v>
      </c>
      <c r="AL436">
        <v>433</v>
      </c>
      <c r="AM436">
        <v>4715.43</v>
      </c>
      <c r="AN436">
        <v>4701.4975999999997</v>
      </c>
      <c r="AO436">
        <v>13.932399999999999</v>
      </c>
      <c r="AP436">
        <v>194.1129</v>
      </c>
      <c r="AQ436">
        <v>6.2214999999999999E-2</v>
      </c>
      <c r="AR436">
        <v>2.4653000000000001E-2</v>
      </c>
      <c r="AY436">
        <v>434</v>
      </c>
      <c r="AZ436">
        <v>433</v>
      </c>
      <c r="BA436">
        <v>4715.43</v>
      </c>
      <c r="BB436">
        <v>4701.4975999999997</v>
      </c>
      <c r="BC436">
        <v>13.932399999999999</v>
      </c>
      <c r="BD436">
        <v>194.1129</v>
      </c>
      <c r="BE436">
        <v>187489</v>
      </c>
    </row>
    <row r="437" spans="1:57" x14ac:dyDescent="0.55000000000000004">
      <c r="A437">
        <v>1776933002</v>
      </c>
      <c r="B437" t="s">
        <v>72</v>
      </c>
      <c r="C437" t="s">
        <v>73</v>
      </c>
      <c r="D437">
        <v>4703.76</v>
      </c>
      <c r="E437">
        <v>4518.5928199999998</v>
      </c>
      <c r="F437">
        <v>4596.0559499999999</v>
      </c>
      <c r="G437">
        <v>4755.40355</v>
      </c>
      <c r="H437">
        <v>4792.7697200000002</v>
      </c>
      <c r="Q437">
        <v>4701.2299499999999</v>
      </c>
      <c r="R437">
        <v>4730.5932499999999</v>
      </c>
      <c r="S437">
        <v>4757.1820200000002</v>
      </c>
      <c r="V437">
        <v>4666.29018</v>
      </c>
      <c r="W437">
        <v>4632.7251900000001</v>
      </c>
      <c r="AB437">
        <v>4709.1417600000004</v>
      </c>
      <c r="AC437">
        <v>4710.8520600000002</v>
      </c>
      <c r="AD437">
        <v>0</v>
      </c>
      <c r="AK437">
        <v>435</v>
      </c>
      <c r="AL437">
        <v>434</v>
      </c>
      <c r="AM437">
        <v>4703.76</v>
      </c>
      <c r="AN437">
        <v>4701.2299000000003</v>
      </c>
      <c r="AO437">
        <v>2.5301</v>
      </c>
      <c r="AP437">
        <v>6.4012000000000002</v>
      </c>
      <c r="AQ437">
        <v>3.7300000000000001E-4</v>
      </c>
      <c r="AR437">
        <v>2.6999999999999999E-5</v>
      </c>
      <c r="AY437">
        <v>435</v>
      </c>
      <c r="AZ437">
        <v>434</v>
      </c>
      <c r="BA437">
        <v>4703.76</v>
      </c>
      <c r="BB437">
        <v>4701.2299000000003</v>
      </c>
      <c r="BC437">
        <v>2.5301</v>
      </c>
      <c r="BD437">
        <v>6.4012000000000002</v>
      </c>
      <c r="BE437">
        <v>188356</v>
      </c>
    </row>
    <row r="438" spans="1:57" x14ac:dyDescent="0.55000000000000004">
      <c r="A438">
        <v>1776933902</v>
      </c>
      <c r="B438" t="s">
        <v>72</v>
      </c>
      <c r="C438" t="s">
        <v>73</v>
      </c>
      <c r="D438">
        <v>4703.28</v>
      </c>
      <c r="E438">
        <v>4518.5928199999998</v>
      </c>
      <c r="F438">
        <v>4596.0559499999999</v>
      </c>
      <c r="G438">
        <v>4755.40355</v>
      </c>
      <c r="H438">
        <v>4792.7697200000002</v>
      </c>
      <c r="Q438">
        <v>4700.9623499999998</v>
      </c>
      <c r="R438">
        <v>4730.3256499999998</v>
      </c>
      <c r="S438">
        <v>4756.9144200000001</v>
      </c>
      <c r="V438">
        <v>4666.0225799999998</v>
      </c>
      <c r="W438">
        <v>4632.4575800000002</v>
      </c>
      <c r="AB438">
        <v>4706.3191399999996</v>
      </c>
      <c r="AC438">
        <v>4708.5856000000003</v>
      </c>
      <c r="AD438">
        <v>0</v>
      </c>
      <c r="AK438">
        <v>436</v>
      </c>
      <c r="AL438">
        <v>435</v>
      </c>
      <c r="AM438">
        <v>4703.28</v>
      </c>
      <c r="AN438">
        <v>4700.9623000000001</v>
      </c>
      <c r="AO438">
        <v>2.3176000000000001</v>
      </c>
      <c r="AP438">
        <v>5.3715000000000002</v>
      </c>
      <c r="AQ438">
        <v>2.8600000000000001E-4</v>
      </c>
      <c r="AR438">
        <v>1.9000000000000001E-5</v>
      </c>
      <c r="AY438">
        <v>436</v>
      </c>
      <c r="AZ438">
        <v>435</v>
      </c>
      <c r="BA438">
        <v>4703.28</v>
      </c>
      <c r="BB438">
        <v>4700.9623000000001</v>
      </c>
      <c r="BC438">
        <v>2.3176000000000001</v>
      </c>
      <c r="BD438">
        <v>5.3715000000000002</v>
      </c>
      <c r="BE438">
        <v>189225</v>
      </c>
    </row>
    <row r="439" spans="1:57" x14ac:dyDescent="0.55000000000000004">
      <c r="A439">
        <v>1776934802</v>
      </c>
      <c r="B439" t="s">
        <v>72</v>
      </c>
      <c r="C439" t="s">
        <v>73</v>
      </c>
      <c r="D439">
        <v>4696.92</v>
      </c>
      <c r="E439">
        <v>4518.5928199999998</v>
      </c>
      <c r="F439">
        <v>4596.0559499999999</v>
      </c>
      <c r="G439">
        <v>4755.40355</v>
      </c>
      <c r="H439">
        <v>4792.7697200000002</v>
      </c>
      <c r="Q439">
        <v>4700.6947399999999</v>
      </c>
      <c r="R439">
        <v>4730.0580399999999</v>
      </c>
      <c r="S439">
        <v>4756.6468100000002</v>
      </c>
      <c r="V439">
        <v>4665.75497</v>
      </c>
      <c r="W439">
        <v>4632.1899800000001</v>
      </c>
      <c r="AB439">
        <v>4703.0792199999996</v>
      </c>
      <c r="AC439">
        <v>4705.83241</v>
      </c>
      <c r="AD439">
        <v>0</v>
      </c>
      <c r="AK439">
        <v>437</v>
      </c>
      <c r="AL439">
        <v>436</v>
      </c>
      <c r="AM439">
        <v>4696.92</v>
      </c>
      <c r="AN439">
        <v>4700.6947</v>
      </c>
      <c r="AO439">
        <v>-3.7747000000000002</v>
      </c>
      <c r="AP439">
        <v>14.248699999999999</v>
      </c>
      <c r="AQ439">
        <v>-1.237E-3</v>
      </c>
      <c r="AR439">
        <v>1.3300000000000001E-4</v>
      </c>
      <c r="AY439">
        <v>437</v>
      </c>
      <c r="AZ439">
        <v>436</v>
      </c>
      <c r="BA439">
        <v>4696.92</v>
      </c>
      <c r="BB439">
        <v>4700.6947</v>
      </c>
      <c r="BC439">
        <v>-3.7747000000000002</v>
      </c>
      <c r="BD439">
        <v>14.248699999999999</v>
      </c>
      <c r="BE439">
        <v>190096</v>
      </c>
    </row>
    <row r="440" spans="1:57" x14ac:dyDescent="0.55000000000000004">
      <c r="A440">
        <v>1776935702</v>
      </c>
      <c r="B440" t="s">
        <v>72</v>
      </c>
      <c r="C440" t="s">
        <v>73</v>
      </c>
      <c r="D440">
        <v>4700.9399999999996</v>
      </c>
      <c r="E440">
        <v>4518.5928199999998</v>
      </c>
      <c r="F440">
        <v>4596.0559499999999</v>
      </c>
      <c r="G440">
        <v>4755.40355</v>
      </c>
      <c r="H440">
        <v>4792.7697200000002</v>
      </c>
      <c r="Q440">
        <v>4700.4271399999998</v>
      </c>
      <c r="R440">
        <v>4729.7904399999998</v>
      </c>
      <c r="S440">
        <v>4756.3792100000001</v>
      </c>
      <c r="V440">
        <v>4665.4873699999998</v>
      </c>
      <c r="W440">
        <v>4631.9223700000002</v>
      </c>
      <c r="AB440">
        <v>4699.6385799999998</v>
      </c>
      <c r="AC440">
        <v>4702.73549</v>
      </c>
      <c r="AD440">
        <v>0</v>
      </c>
      <c r="AK440">
        <v>438</v>
      </c>
      <c r="AL440">
        <v>437</v>
      </c>
      <c r="AM440">
        <v>4700.9399999999996</v>
      </c>
      <c r="AN440">
        <v>4700.4270999999999</v>
      </c>
      <c r="AO440">
        <v>0.51290000000000002</v>
      </c>
      <c r="AP440">
        <v>0.26300000000000001</v>
      </c>
      <c r="AQ440">
        <v>3.0000000000000001E-6</v>
      </c>
      <c r="AR440">
        <v>0</v>
      </c>
      <c r="AY440">
        <v>438</v>
      </c>
      <c r="AZ440">
        <v>437</v>
      </c>
      <c r="BA440">
        <v>4700.9399999999996</v>
      </c>
      <c r="BB440">
        <v>4700.4270999999999</v>
      </c>
      <c r="BC440">
        <v>0.51290000000000002</v>
      </c>
      <c r="BD440">
        <v>0.26300000000000001</v>
      </c>
      <c r="BE440">
        <v>190969</v>
      </c>
    </row>
    <row r="441" spans="1:57" x14ac:dyDescent="0.55000000000000004">
      <c r="A441">
        <v>1776936602</v>
      </c>
      <c r="B441" t="s">
        <v>72</v>
      </c>
      <c r="C441" t="s">
        <v>73</v>
      </c>
      <c r="D441">
        <v>4700.99</v>
      </c>
      <c r="E441">
        <v>4518.5928199999998</v>
      </c>
      <c r="F441">
        <v>4596.0559499999999</v>
      </c>
      <c r="G441">
        <v>4755.40355</v>
      </c>
      <c r="H441">
        <v>4792.7697200000002</v>
      </c>
      <c r="Q441">
        <v>4700.1595399999997</v>
      </c>
      <c r="R441">
        <v>4729.5228299999999</v>
      </c>
      <c r="S441">
        <v>4756.1116099999999</v>
      </c>
      <c r="V441">
        <v>4665.2197699999997</v>
      </c>
      <c r="W441">
        <v>4631.6547700000001</v>
      </c>
      <c r="AB441">
        <v>4696.0944300000001</v>
      </c>
      <c r="AC441">
        <v>4699.4149600000001</v>
      </c>
      <c r="AD441">
        <v>0</v>
      </c>
      <c r="AK441">
        <v>439</v>
      </c>
      <c r="AL441">
        <v>438</v>
      </c>
      <c r="AM441">
        <v>4700.99</v>
      </c>
      <c r="AN441">
        <v>4700.1594999999998</v>
      </c>
      <c r="AO441">
        <v>0.83050000000000002</v>
      </c>
      <c r="AP441">
        <v>0.68969999999999998</v>
      </c>
      <c r="AQ441">
        <v>1.2999999999999999E-5</v>
      </c>
      <c r="AR441">
        <v>0</v>
      </c>
      <c r="AY441">
        <v>439</v>
      </c>
      <c r="AZ441">
        <v>438</v>
      </c>
      <c r="BA441">
        <v>4700.99</v>
      </c>
      <c r="BB441">
        <v>4700.1594999999998</v>
      </c>
      <c r="BC441">
        <v>0.83050000000000002</v>
      </c>
      <c r="BD441">
        <v>0.68969999999999998</v>
      </c>
      <c r="BE441">
        <v>191844</v>
      </c>
    </row>
    <row r="442" spans="1:57" x14ac:dyDescent="0.55000000000000004">
      <c r="A442">
        <v>1776937502</v>
      </c>
      <c r="B442" t="s">
        <v>72</v>
      </c>
      <c r="C442" t="s">
        <v>73</v>
      </c>
      <c r="D442">
        <v>4697.62</v>
      </c>
      <c r="E442">
        <v>4518.5928199999998</v>
      </c>
      <c r="F442">
        <v>4596.0559499999999</v>
      </c>
      <c r="G442">
        <v>4755.40355</v>
      </c>
      <c r="H442">
        <v>4792.7697200000002</v>
      </c>
      <c r="Q442">
        <v>4699.8919299999998</v>
      </c>
      <c r="R442">
        <v>4729.2552299999998</v>
      </c>
      <c r="S442">
        <v>4755.8440000000001</v>
      </c>
      <c r="V442">
        <v>4664.9521599999998</v>
      </c>
      <c r="W442">
        <v>4631.38717</v>
      </c>
      <c r="AB442">
        <v>4692.8289299999997</v>
      </c>
      <c r="AC442">
        <v>4696.1219499999997</v>
      </c>
      <c r="AD442">
        <v>0</v>
      </c>
      <c r="AK442">
        <v>440</v>
      </c>
      <c r="AL442">
        <v>439</v>
      </c>
      <c r="AM442">
        <v>4697.62</v>
      </c>
      <c r="AN442">
        <v>4699.8918999999996</v>
      </c>
      <c r="AO442">
        <v>-2.2719</v>
      </c>
      <c r="AP442">
        <v>5.1616999999999997</v>
      </c>
      <c r="AQ442">
        <v>-2.7E-4</v>
      </c>
      <c r="AR442">
        <v>1.7E-5</v>
      </c>
      <c r="AY442">
        <v>440</v>
      </c>
      <c r="AZ442">
        <v>439</v>
      </c>
      <c r="BA442">
        <v>4697.62</v>
      </c>
      <c r="BB442">
        <v>4699.8918999999996</v>
      </c>
      <c r="BC442">
        <v>-2.2719</v>
      </c>
      <c r="BD442">
        <v>5.1616999999999997</v>
      </c>
      <c r="BE442">
        <v>192721</v>
      </c>
    </row>
    <row r="443" spans="1:57" x14ac:dyDescent="0.55000000000000004">
      <c r="A443">
        <v>1776938402</v>
      </c>
      <c r="B443" t="s">
        <v>72</v>
      </c>
      <c r="C443" t="s">
        <v>73</v>
      </c>
      <c r="D443">
        <v>4689.1400000000003</v>
      </c>
      <c r="E443">
        <v>4518.5928199999998</v>
      </c>
      <c r="F443">
        <v>4596.0559499999999</v>
      </c>
      <c r="G443">
        <v>4755.40355</v>
      </c>
      <c r="H443">
        <v>4792.7697200000002</v>
      </c>
      <c r="Q443">
        <v>4699.6243299999996</v>
      </c>
      <c r="R443">
        <v>4728.9876299999996</v>
      </c>
      <c r="S443">
        <v>4755.5763999999999</v>
      </c>
      <c r="V443">
        <v>4664.6845599999997</v>
      </c>
      <c r="W443">
        <v>4631.1195600000001</v>
      </c>
      <c r="AB443">
        <v>4690.3722600000001</v>
      </c>
      <c r="AC443">
        <v>4693.2470999999996</v>
      </c>
      <c r="AD443">
        <v>0</v>
      </c>
      <c r="AK443">
        <v>441</v>
      </c>
      <c r="AL443">
        <v>440</v>
      </c>
      <c r="AM443">
        <v>4689.1400000000003</v>
      </c>
      <c r="AN443">
        <v>4699.6243000000004</v>
      </c>
      <c r="AO443">
        <v>-10.484299999999999</v>
      </c>
      <c r="AP443">
        <v>109.9212</v>
      </c>
      <c r="AQ443">
        <v>-2.6512000000000001E-2</v>
      </c>
      <c r="AR443">
        <v>7.9050000000000006E-3</v>
      </c>
      <c r="AY443">
        <v>441</v>
      </c>
      <c r="AZ443">
        <v>440</v>
      </c>
      <c r="BA443">
        <v>4689.1400000000003</v>
      </c>
      <c r="BB443">
        <v>4699.6243000000004</v>
      </c>
      <c r="BC443">
        <v>-10.484299999999999</v>
      </c>
      <c r="BD443">
        <v>109.9212</v>
      </c>
      <c r="BE443">
        <v>193600</v>
      </c>
    </row>
    <row r="444" spans="1:57" x14ac:dyDescent="0.55000000000000004">
      <c r="A444">
        <v>1776939302</v>
      </c>
      <c r="B444" t="s">
        <v>72</v>
      </c>
      <c r="C444" t="s">
        <v>73</v>
      </c>
      <c r="D444">
        <v>4686.7</v>
      </c>
      <c r="E444">
        <v>4518.5928199999998</v>
      </c>
      <c r="F444">
        <v>4596.0559499999999</v>
      </c>
      <c r="G444">
        <v>4755.40355</v>
      </c>
      <c r="H444">
        <v>4792.7697200000002</v>
      </c>
      <c r="Q444">
        <v>4699.3567199999998</v>
      </c>
      <c r="R444">
        <v>4728.7200199999997</v>
      </c>
      <c r="S444">
        <v>4755.30879</v>
      </c>
      <c r="V444">
        <v>4664.4169499999998</v>
      </c>
      <c r="W444">
        <v>4630.85196</v>
      </c>
      <c r="AB444">
        <v>4689.4720399999997</v>
      </c>
      <c r="AC444">
        <v>4691.3595699999996</v>
      </c>
      <c r="AD444">
        <v>0</v>
      </c>
      <c r="AK444">
        <v>442</v>
      </c>
      <c r="AL444">
        <v>441</v>
      </c>
      <c r="AM444">
        <v>4686.7</v>
      </c>
      <c r="AN444">
        <v>4699.3567000000003</v>
      </c>
      <c r="AO444">
        <v>-12.656700000000001</v>
      </c>
      <c r="AP444">
        <v>160.1926</v>
      </c>
      <c r="AQ444">
        <v>-4.6642000000000003E-2</v>
      </c>
      <c r="AR444">
        <v>1.6789999999999999E-2</v>
      </c>
      <c r="AY444">
        <v>442</v>
      </c>
      <c r="AZ444">
        <v>441</v>
      </c>
      <c r="BA444">
        <v>4686.7</v>
      </c>
      <c r="BB444">
        <v>4699.3567000000003</v>
      </c>
      <c r="BC444">
        <v>-12.656700000000001</v>
      </c>
      <c r="BD444">
        <v>160.1926</v>
      </c>
      <c r="BE444">
        <v>194481</v>
      </c>
    </row>
    <row r="445" spans="1:57" x14ac:dyDescent="0.55000000000000004">
      <c r="A445">
        <v>1776940202</v>
      </c>
      <c r="B445" t="s">
        <v>72</v>
      </c>
      <c r="C445" t="s">
        <v>73</v>
      </c>
      <c r="D445">
        <v>4690.7700000000004</v>
      </c>
      <c r="E445">
        <v>4518.5928199999998</v>
      </c>
      <c r="F445">
        <v>4596.0559499999999</v>
      </c>
      <c r="G445">
        <v>4755.40355</v>
      </c>
      <c r="H445">
        <v>4792.7697200000002</v>
      </c>
      <c r="Q445">
        <v>4699.0891199999996</v>
      </c>
      <c r="R445">
        <v>4728.4524199999996</v>
      </c>
      <c r="S445">
        <v>4755.0411899999999</v>
      </c>
      <c r="V445">
        <v>4664.1493499999997</v>
      </c>
      <c r="W445">
        <v>4630.5843500000001</v>
      </c>
      <c r="AA445">
        <v>4684.26</v>
      </c>
      <c r="AB445">
        <v>4690.4865499999996</v>
      </c>
      <c r="AC445">
        <v>4690.9230600000001</v>
      </c>
      <c r="AD445">
        <v>0</v>
      </c>
      <c r="AK445">
        <v>443</v>
      </c>
      <c r="AL445">
        <v>442</v>
      </c>
      <c r="AM445">
        <v>4690.7700000000004</v>
      </c>
      <c r="AN445">
        <v>4699.0891000000001</v>
      </c>
      <c r="AO445">
        <v>-8.3191000000000006</v>
      </c>
      <c r="AP445">
        <v>69.207800000000006</v>
      </c>
      <c r="AQ445">
        <v>-1.3245E-2</v>
      </c>
      <c r="AR445">
        <v>3.1340000000000001E-3</v>
      </c>
      <c r="AY445">
        <v>443</v>
      </c>
      <c r="AZ445">
        <v>442</v>
      </c>
      <c r="BA445">
        <v>4690.7700000000004</v>
      </c>
      <c r="BB445">
        <v>4699.0891000000001</v>
      </c>
      <c r="BC445">
        <v>-8.3191000000000006</v>
      </c>
      <c r="BD445">
        <v>69.207800000000006</v>
      </c>
      <c r="BE445">
        <v>195364</v>
      </c>
    </row>
    <row r="446" spans="1:57" x14ac:dyDescent="0.55000000000000004">
      <c r="A446">
        <v>1776941102</v>
      </c>
      <c r="B446" t="s">
        <v>72</v>
      </c>
      <c r="C446" t="s">
        <v>73</v>
      </c>
      <c r="D446">
        <v>4696.6099999999997</v>
      </c>
      <c r="E446">
        <v>4518.5928199999998</v>
      </c>
      <c r="F446">
        <v>4596.0559499999999</v>
      </c>
      <c r="G446">
        <v>4755.40355</v>
      </c>
      <c r="H446">
        <v>4792.7697200000002</v>
      </c>
      <c r="Q446">
        <v>4698.8215200000004</v>
      </c>
      <c r="R446">
        <v>4728.1848099999997</v>
      </c>
      <c r="S446">
        <v>4754.7735899999998</v>
      </c>
      <c r="V446">
        <v>4663.8817499999996</v>
      </c>
      <c r="W446">
        <v>4630.31675</v>
      </c>
      <c r="AB446">
        <v>4693.4592700000003</v>
      </c>
      <c r="AC446">
        <v>4692.1911700000001</v>
      </c>
      <c r="AD446">
        <v>1</v>
      </c>
      <c r="AK446">
        <v>444</v>
      </c>
      <c r="AL446">
        <v>443</v>
      </c>
      <c r="AM446">
        <v>4696.6099999999997</v>
      </c>
      <c r="AN446">
        <v>4698.8215</v>
      </c>
      <c r="AO446">
        <v>-2.2115</v>
      </c>
      <c r="AP446">
        <v>4.8907999999999996</v>
      </c>
      <c r="AQ446">
        <v>-2.4899999999999998E-4</v>
      </c>
      <c r="AR446">
        <v>1.5999999999999999E-5</v>
      </c>
      <c r="AY446">
        <v>444</v>
      </c>
      <c r="AZ446">
        <v>443</v>
      </c>
      <c r="BA446">
        <v>4696.6099999999997</v>
      </c>
      <c r="BB446">
        <v>4698.8215</v>
      </c>
      <c r="BC446">
        <v>-2.2115</v>
      </c>
      <c r="BD446">
        <v>4.8907999999999996</v>
      </c>
      <c r="BE446">
        <v>196249</v>
      </c>
    </row>
    <row r="447" spans="1:57" x14ac:dyDescent="0.55000000000000004">
      <c r="A447">
        <v>1776942002</v>
      </c>
      <c r="B447" t="s">
        <v>72</v>
      </c>
      <c r="C447" t="s">
        <v>73</v>
      </c>
      <c r="D447">
        <v>4697.96</v>
      </c>
      <c r="E447">
        <v>4518.5928199999998</v>
      </c>
      <c r="F447">
        <v>4596.0559499999999</v>
      </c>
      <c r="G447">
        <v>4755.40355</v>
      </c>
      <c r="H447">
        <v>4792.7697200000002</v>
      </c>
      <c r="Q447">
        <v>4698.5539099999996</v>
      </c>
      <c r="R447">
        <v>4727.9172099999996</v>
      </c>
      <c r="S447">
        <v>4754.5059799999999</v>
      </c>
      <c r="V447">
        <v>4663.6141399999997</v>
      </c>
      <c r="W447">
        <v>4630.0491400000001</v>
      </c>
      <c r="AB447">
        <v>4698.1914699999998</v>
      </c>
      <c r="AC447">
        <v>4695.1913199999999</v>
      </c>
      <c r="AD447">
        <v>0</v>
      </c>
      <c r="AK447">
        <v>445</v>
      </c>
      <c r="AL447">
        <v>444</v>
      </c>
      <c r="AM447">
        <v>4697.96</v>
      </c>
      <c r="AN447">
        <v>4698.5538999999999</v>
      </c>
      <c r="AO447">
        <v>-0.59389999999999998</v>
      </c>
      <c r="AP447">
        <v>0.35270000000000001</v>
      </c>
      <c r="AQ447">
        <v>-5.0000000000000004E-6</v>
      </c>
      <c r="AR447">
        <v>0</v>
      </c>
      <c r="AY447">
        <v>445</v>
      </c>
      <c r="AZ447">
        <v>444</v>
      </c>
      <c r="BA447">
        <v>4697.96</v>
      </c>
      <c r="BB447">
        <v>4698.5538999999999</v>
      </c>
      <c r="BC447">
        <v>-0.59389999999999998</v>
      </c>
      <c r="BD447">
        <v>0.35270000000000001</v>
      </c>
      <c r="BE447">
        <v>197136</v>
      </c>
    </row>
    <row r="448" spans="1:57" x14ac:dyDescent="0.55000000000000004">
      <c r="A448">
        <v>1776942902</v>
      </c>
      <c r="B448" t="s">
        <v>72</v>
      </c>
      <c r="C448" t="s">
        <v>73</v>
      </c>
      <c r="D448">
        <v>4699.2700000000004</v>
      </c>
      <c r="E448">
        <v>4518.5928199999998</v>
      </c>
      <c r="F448">
        <v>4596.0559499999999</v>
      </c>
      <c r="G448">
        <v>4755.40355</v>
      </c>
      <c r="H448">
        <v>4792.7697200000002</v>
      </c>
      <c r="Q448">
        <v>4698.2863100000004</v>
      </c>
      <c r="R448">
        <v>4727.6496100000004</v>
      </c>
      <c r="S448">
        <v>4754.2383799999998</v>
      </c>
      <c r="V448">
        <v>4663.3465399999995</v>
      </c>
      <c r="W448">
        <v>4629.7815399999999</v>
      </c>
      <c r="AB448">
        <v>4704.4113100000004</v>
      </c>
      <c r="AC448">
        <v>4699.8013099999998</v>
      </c>
      <c r="AD448">
        <v>0</v>
      </c>
      <c r="AK448">
        <v>446</v>
      </c>
      <c r="AL448">
        <v>445</v>
      </c>
      <c r="AM448">
        <v>4699.2700000000004</v>
      </c>
      <c r="AN448">
        <v>4698.2862999999998</v>
      </c>
      <c r="AO448">
        <v>0.98370000000000002</v>
      </c>
      <c r="AP448">
        <v>0.96760000000000002</v>
      </c>
      <c r="AQ448">
        <v>2.1999999999999999E-5</v>
      </c>
      <c r="AR448">
        <v>9.9999999999999995E-7</v>
      </c>
      <c r="AY448">
        <v>446</v>
      </c>
      <c r="AZ448">
        <v>445</v>
      </c>
      <c r="BA448">
        <v>4699.2700000000004</v>
      </c>
      <c r="BB448">
        <v>4698.2862999999998</v>
      </c>
      <c r="BC448">
        <v>0.98370000000000002</v>
      </c>
      <c r="BD448">
        <v>0.96760000000000002</v>
      </c>
      <c r="BE448">
        <v>198025</v>
      </c>
    </row>
    <row r="449" spans="1:57" x14ac:dyDescent="0.55000000000000004">
      <c r="A449">
        <v>1776943802</v>
      </c>
      <c r="B449" t="s">
        <v>72</v>
      </c>
      <c r="C449" t="s">
        <v>73</v>
      </c>
      <c r="D449">
        <v>4705.4799999999996</v>
      </c>
      <c r="E449">
        <v>4518.5928199999998</v>
      </c>
      <c r="F449">
        <v>4596.0559499999999</v>
      </c>
      <c r="G449">
        <v>4755.40355</v>
      </c>
      <c r="H449">
        <v>4792.7697200000002</v>
      </c>
      <c r="Q449">
        <v>4698.0186999999996</v>
      </c>
      <c r="R449">
        <v>4727.3819999999996</v>
      </c>
      <c r="S449">
        <v>4753.9707699999999</v>
      </c>
      <c r="V449">
        <v>4663.0789299999997</v>
      </c>
      <c r="W449">
        <v>4629.5139399999998</v>
      </c>
      <c r="AB449">
        <v>4711.6560399999998</v>
      </c>
      <c r="AC449">
        <v>4705.7286700000004</v>
      </c>
      <c r="AD449">
        <v>0</v>
      </c>
      <c r="AK449">
        <v>447</v>
      </c>
      <c r="AL449">
        <v>446</v>
      </c>
      <c r="AM449">
        <v>4705.4799999999996</v>
      </c>
      <c r="AN449">
        <v>4698.0186999999996</v>
      </c>
      <c r="AO449">
        <v>7.4612999999999996</v>
      </c>
      <c r="AP449">
        <v>55.670999999999999</v>
      </c>
      <c r="AQ449">
        <v>9.5560000000000003E-3</v>
      </c>
      <c r="AR449">
        <v>2.0279999999999999E-3</v>
      </c>
      <c r="AY449">
        <v>447</v>
      </c>
      <c r="AZ449">
        <v>446</v>
      </c>
      <c r="BA449">
        <v>4705.4799999999996</v>
      </c>
      <c r="BB449">
        <v>4698.0186999999996</v>
      </c>
      <c r="BC449">
        <v>7.4612999999999996</v>
      </c>
      <c r="BD449">
        <v>55.670999999999999</v>
      </c>
      <c r="BE449">
        <v>198916</v>
      </c>
    </row>
    <row r="450" spans="1:57" x14ac:dyDescent="0.55000000000000004">
      <c r="A450">
        <v>1776944702</v>
      </c>
      <c r="B450" t="s">
        <v>72</v>
      </c>
      <c r="C450" t="s">
        <v>73</v>
      </c>
      <c r="D450">
        <v>4720.71</v>
      </c>
      <c r="E450">
        <v>4518.5928199999998</v>
      </c>
      <c r="F450">
        <v>4596.0559499999999</v>
      </c>
      <c r="G450">
        <v>4755.40355</v>
      </c>
      <c r="H450">
        <v>4792.7697200000002</v>
      </c>
      <c r="Q450">
        <v>4697.7511000000004</v>
      </c>
      <c r="R450">
        <v>4727.1144000000004</v>
      </c>
      <c r="S450">
        <v>4753.7031699999998</v>
      </c>
      <c r="V450">
        <v>4662.8113300000005</v>
      </c>
      <c r="W450">
        <v>4629.2463299999999</v>
      </c>
      <c r="AB450">
        <v>4719.1472100000001</v>
      </c>
      <c r="AC450">
        <v>4712.4379399999998</v>
      </c>
      <c r="AD450">
        <v>0</v>
      </c>
      <c r="AK450">
        <v>448</v>
      </c>
      <c r="AL450">
        <v>447</v>
      </c>
      <c r="AM450">
        <v>4720.71</v>
      </c>
      <c r="AN450">
        <v>4697.7511000000004</v>
      </c>
      <c r="AO450">
        <v>22.9589</v>
      </c>
      <c r="AP450">
        <v>527.11109999999996</v>
      </c>
      <c r="AQ450">
        <v>0.27839999999999998</v>
      </c>
      <c r="AR450">
        <v>0.181785</v>
      </c>
      <c r="AY450">
        <v>448</v>
      </c>
      <c r="AZ450">
        <v>447</v>
      </c>
      <c r="BA450">
        <v>4720.71</v>
      </c>
      <c r="BB450">
        <v>4697.7511000000004</v>
      </c>
      <c r="BC450">
        <v>22.9589</v>
      </c>
      <c r="BD450">
        <v>527.11109999999996</v>
      </c>
      <c r="BE450">
        <v>199809</v>
      </c>
    </row>
    <row r="451" spans="1:57" x14ac:dyDescent="0.55000000000000004">
      <c r="A451">
        <v>1776945602</v>
      </c>
      <c r="B451" t="s">
        <v>72</v>
      </c>
      <c r="C451" t="s">
        <v>73</v>
      </c>
      <c r="D451">
        <v>4729.21</v>
      </c>
      <c r="E451">
        <v>4518.5928199999998</v>
      </c>
      <c r="F451">
        <v>4596.0559499999999</v>
      </c>
      <c r="G451">
        <v>4755.40355</v>
      </c>
      <c r="H451">
        <v>4792.7697200000002</v>
      </c>
      <c r="Q451">
        <v>4697.4834899999996</v>
      </c>
      <c r="R451">
        <v>4726.8467899999996</v>
      </c>
      <c r="S451">
        <v>4753.4355599999999</v>
      </c>
      <c r="V451">
        <v>4662.5437199999997</v>
      </c>
      <c r="W451">
        <v>4628.9787299999998</v>
      </c>
      <c r="AB451">
        <v>4725.80123</v>
      </c>
      <c r="AC451">
        <v>4719.1195799999996</v>
      </c>
      <c r="AD451">
        <v>0</v>
      </c>
      <c r="AK451">
        <v>449</v>
      </c>
      <c r="AL451">
        <v>448</v>
      </c>
      <c r="AM451">
        <v>4729.21</v>
      </c>
      <c r="AN451">
        <v>4697.4835000000003</v>
      </c>
      <c r="AO451">
        <v>31.726500000000001</v>
      </c>
      <c r="AP451">
        <v>1006.5714</v>
      </c>
      <c r="AQ451">
        <v>0.734653</v>
      </c>
      <c r="AR451">
        <v>0.66289299999999995</v>
      </c>
      <c r="AY451">
        <v>449</v>
      </c>
      <c r="AZ451">
        <v>448</v>
      </c>
      <c r="BA451">
        <v>4729.21</v>
      </c>
      <c r="BB451">
        <v>4697.4835000000003</v>
      </c>
      <c r="BC451">
        <v>31.726500000000001</v>
      </c>
      <c r="BD451">
        <v>1006.5714</v>
      </c>
      <c r="BE451">
        <v>200704</v>
      </c>
    </row>
    <row r="452" spans="1:57" x14ac:dyDescent="0.55000000000000004">
      <c r="A452">
        <v>1776946502</v>
      </c>
      <c r="B452" t="s">
        <v>72</v>
      </c>
      <c r="C452" t="s">
        <v>73</v>
      </c>
      <c r="D452">
        <v>4733.3900000000003</v>
      </c>
      <c r="E452">
        <v>4518.5928199999998</v>
      </c>
      <c r="F452">
        <v>4596.0559499999999</v>
      </c>
      <c r="G452">
        <v>4755.40355</v>
      </c>
      <c r="H452">
        <v>4792.7697200000002</v>
      </c>
      <c r="Q452">
        <v>4697.2158900000004</v>
      </c>
      <c r="R452">
        <v>4726.5791900000004</v>
      </c>
      <c r="S452">
        <v>4753.1679599999998</v>
      </c>
      <c r="V452">
        <v>4662.2761200000004</v>
      </c>
      <c r="W452">
        <v>4628.7111199999999</v>
      </c>
      <c r="AB452">
        <v>4730.8655799999997</v>
      </c>
      <c r="AC452">
        <v>4724.9925800000001</v>
      </c>
      <c r="AD452">
        <v>0</v>
      </c>
      <c r="AK452">
        <v>450</v>
      </c>
      <c r="AL452">
        <v>449</v>
      </c>
      <c r="AM452">
        <v>4733.3900000000003</v>
      </c>
      <c r="AN452">
        <v>4697.2159000000001</v>
      </c>
      <c r="AO452">
        <v>36.174100000000003</v>
      </c>
      <c r="AP452">
        <v>1308.5662</v>
      </c>
      <c r="AQ452">
        <v>1.0889530000000001</v>
      </c>
      <c r="AR452">
        <v>1.1203289999999999</v>
      </c>
      <c r="AY452">
        <v>450</v>
      </c>
      <c r="AZ452">
        <v>449</v>
      </c>
      <c r="BA452">
        <v>4733.3900000000003</v>
      </c>
      <c r="BB452">
        <v>4697.2159000000001</v>
      </c>
      <c r="BC452">
        <v>36.174100000000003</v>
      </c>
      <c r="BD452">
        <v>1308.5662</v>
      </c>
      <c r="BE452">
        <v>201601</v>
      </c>
    </row>
    <row r="453" spans="1:57" x14ac:dyDescent="0.55000000000000004">
      <c r="A453">
        <v>1776947402</v>
      </c>
      <c r="B453" t="s">
        <v>72</v>
      </c>
      <c r="C453" t="s">
        <v>73</v>
      </c>
      <c r="D453">
        <v>4739.41</v>
      </c>
      <c r="E453">
        <v>4518.5928199999998</v>
      </c>
      <c r="F453">
        <v>4596.0559499999999</v>
      </c>
      <c r="G453">
        <v>4755.40355</v>
      </c>
      <c r="H453">
        <v>4792.7697200000002</v>
      </c>
      <c r="Q453">
        <v>4696.9482900000003</v>
      </c>
      <c r="R453">
        <v>4726.3115900000003</v>
      </c>
      <c r="S453">
        <v>4752.9003599999996</v>
      </c>
      <c r="V453">
        <v>4662.0085200000003</v>
      </c>
      <c r="W453">
        <v>4628.4435199999998</v>
      </c>
      <c r="AB453">
        <v>4733.9320200000002</v>
      </c>
      <c r="AC453">
        <v>4729.4623000000001</v>
      </c>
      <c r="AD453">
        <v>0</v>
      </c>
      <c r="AK453">
        <v>451</v>
      </c>
      <c r="AL453">
        <v>450</v>
      </c>
      <c r="AM453">
        <v>4739.41</v>
      </c>
      <c r="AN453">
        <v>4696.9483</v>
      </c>
      <c r="AO453">
        <v>42.4617</v>
      </c>
      <c r="AP453">
        <v>1802.9967999999999</v>
      </c>
      <c r="AQ453">
        <v>1.7611969999999999</v>
      </c>
      <c r="AR453">
        <v>2.1268850000000001</v>
      </c>
      <c r="AY453">
        <v>451</v>
      </c>
      <c r="AZ453">
        <v>450</v>
      </c>
      <c r="BA453">
        <v>4739.41</v>
      </c>
      <c r="BB453">
        <v>4696.9483</v>
      </c>
      <c r="BC453">
        <v>42.4617</v>
      </c>
      <c r="BD453">
        <v>1802.9967999999999</v>
      </c>
      <c r="BE453">
        <v>202500</v>
      </c>
    </row>
    <row r="454" spans="1:57" x14ac:dyDescent="0.55000000000000004">
      <c r="A454">
        <v>1776948302</v>
      </c>
      <c r="B454" t="s">
        <v>72</v>
      </c>
      <c r="C454" t="s">
        <v>73</v>
      </c>
      <c r="D454">
        <v>4740.04</v>
      </c>
      <c r="E454">
        <v>4518.5928199999998</v>
      </c>
      <c r="F454">
        <v>4596.0559499999999</v>
      </c>
      <c r="G454">
        <v>4755.40355</v>
      </c>
      <c r="H454">
        <v>4792.7697200000002</v>
      </c>
      <c r="Q454">
        <v>4696.6806800000004</v>
      </c>
      <c r="R454">
        <v>4726.0439800000004</v>
      </c>
      <c r="S454">
        <v>4752.6327499999998</v>
      </c>
      <c r="V454">
        <v>4661.7409100000004</v>
      </c>
      <c r="W454">
        <v>4628.1759199999997</v>
      </c>
      <c r="Z454">
        <v>4743.22</v>
      </c>
      <c r="AB454">
        <v>4734.8776600000001</v>
      </c>
      <c r="AC454">
        <v>4732.1699799999997</v>
      </c>
      <c r="AD454">
        <v>0</v>
      </c>
      <c r="AK454">
        <v>452</v>
      </c>
      <c r="AL454">
        <v>451</v>
      </c>
      <c r="AM454">
        <v>4740.04</v>
      </c>
      <c r="AN454">
        <v>4696.6806999999999</v>
      </c>
      <c r="AO454">
        <v>43.359299999999998</v>
      </c>
      <c r="AP454">
        <v>1880.0306</v>
      </c>
      <c r="AQ454">
        <v>1.8752660000000001</v>
      </c>
      <c r="AR454">
        <v>2.3125119999999999</v>
      </c>
      <c r="AY454">
        <v>452</v>
      </c>
      <c r="AZ454">
        <v>451</v>
      </c>
      <c r="BA454">
        <v>4740.04</v>
      </c>
      <c r="BB454">
        <v>4696.6806999999999</v>
      </c>
      <c r="BC454">
        <v>43.359299999999998</v>
      </c>
      <c r="BD454">
        <v>1880.0306</v>
      </c>
      <c r="BE454">
        <v>203401</v>
      </c>
    </row>
    <row r="455" spans="1:57" x14ac:dyDescent="0.55000000000000004">
      <c r="A455">
        <v>1776949202</v>
      </c>
      <c r="B455" t="s">
        <v>72</v>
      </c>
      <c r="C455" t="s">
        <v>73</v>
      </c>
      <c r="D455">
        <v>4725.95</v>
      </c>
      <c r="E455">
        <v>4518.5928199999998</v>
      </c>
      <c r="F455">
        <v>4596.0559499999999</v>
      </c>
      <c r="G455">
        <v>4755.40355</v>
      </c>
      <c r="H455">
        <v>4792.7697200000002</v>
      </c>
      <c r="Q455">
        <v>4696.4130800000003</v>
      </c>
      <c r="R455">
        <v>4725.7763800000002</v>
      </c>
      <c r="S455">
        <v>4752.3651499999996</v>
      </c>
      <c r="V455">
        <v>4661.4733100000003</v>
      </c>
      <c r="W455">
        <v>4627.9083099999998</v>
      </c>
      <c r="AB455">
        <v>4734.0504899999996</v>
      </c>
      <c r="AC455">
        <v>4733.11024</v>
      </c>
      <c r="AD455">
        <v>0</v>
      </c>
      <c r="AK455">
        <v>453</v>
      </c>
      <c r="AL455">
        <v>452</v>
      </c>
      <c r="AM455">
        <v>4725.95</v>
      </c>
      <c r="AN455">
        <v>4696.4130999999998</v>
      </c>
      <c r="AO455">
        <v>29.536899999999999</v>
      </c>
      <c r="AP455">
        <v>872.42960000000005</v>
      </c>
      <c r="AQ455">
        <v>0.592804</v>
      </c>
      <c r="AR455">
        <v>0.49798300000000001</v>
      </c>
      <c r="AY455">
        <v>453</v>
      </c>
      <c r="AZ455">
        <v>452</v>
      </c>
      <c r="BA455">
        <v>4725.95</v>
      </c>
      <c r="BB455">
        <v>4696.4130999999998</v>
      </c>
      <c r="BC455">
        <v>29.536899999999999</v>
      </c>
      <c r="BD455">
        <v>872.42960000000005</v>
      </c>
      <c r="BE455">
        <v>204304</v>
      </c>
    </row>
    <row r="456" spans="1:57" x14ac:dyDescent="0.55000000000000004">
      <c r="A456">
        <v>1776950102</v>
      </c>
      <c r="B456" t="s">
        <v>72</v>
      </c>
      <c r="C456" t="s">
        <v>73</v>
      </c>
      <c r="D456">
        <v>4727.53</v>
      </c>
      <c r="E456">
        <v>4518.5928199999998</v>
      </c>
      <c r="F456">
        <v>4596.0559499999999</v>
      </c>
      <c r="G456">
        <v>4755.40355</v>
      </c>
      <c r="H456">
        <v>4792.7697200000002</v>
      </c>
      <c r="Q456">
        <v>4696.1454700000004</v>
      </c>
      <c r="R456">
        <v>4725.5087700000004</v>
      </c>
      <c r="S456">
        <v>4752.0975399999998</v>
      </c>
      <c r="V456">
        <v>4661.2057000000004</v>
      </c>
      <c r="W456">
        <v>4627.6407099999997</v>
      </c>
      <c r="AB456">
        <v>4732.42029</v>
      </c>
      <c r="AC456">
        <v>4732.7652600000001</v>
      </c>
      <c r="AD456">
        <v>1</v>
      </c>
      <c r="AK456">
        <v>454</v>
      </c>
      <c r="AL456">
        <v>453</v>
      </c>
      <c r="AM456">
        <v>4727.53</v>
      </c>
      <c r="AN456">
        <v>4696.1454999999996</v>
      </c>
      <c r="AO456">
        <v>31.384499999999999</v>
      </c>
      <c r="AP456">
        <v>984.98869999999999</v>
      </c>
      <c r="AQ456">
        <v>0.71115200000000001</v>
      </c>
      <c r="AR456">
        <v>0.63476999999999995</v>
      </c>
      <c r="AY456">
        <v>454</v>
      </c>
      <c r="AZ456">
        <v>453</v>
      </c>
      <c r="BA456">
        <v>4727.53</v>
      </c>
      <c r="BB456">
        <v>4696.1454999999996</v>
      </c>
      <c r="BC456">
        <v>31.384499999999999</v>
      </c>
      <c r="BD456">
        <v>984.98869999999999</v>
      </c>
      <c r="BE456">
        <v>205209</v>
      </c>
    </row>
    <row r="457" spans="1:57" x14ac:dyDescent="0.55000000000000004">
      <c r="A457">
        <v>1776951002</v>
      </c>
      <c r="B457" t="s">
        <v>72</v>
      </c>
      <c r="C457" t="s">
        <v>73</v>
      </c>
      <c r="D457">
        <v>4734.55</v>
      </c>
      <c r="E457">
        <v>4518.5928199999998</v>
      </c>
      <c r="F457">
        <v>4596.0559499999999</v>
      </c>
      <c r="G457">
        <v>4755.40355</v>
      </c>
      <c r="H457">
        <v>4792.7697200000002</v>
      </c>
      <c r="Q457">
        <v>4695.8778700000003</v>
      </c>
      <c r="R457">
        <v>4725.2411700000002</v>
      </c>
      <c r="S457">
        <v>4751.8299399999996</v>
      </c>
      <c r="V457">
        <v>4660.9381000000003</v>
      </c>
      <c r="W457">
        <v>4627.3730999999998</v>
      </c>
      <c r="AB457">
        <v>4730.5474899999999</v>
      </c>
      <c r="AC457">
        <v>4731.6563800000004</v>
      </c>
      <c r="AD457">
        <v>0</v>
      </c>
      <c r="AK457">
        <v>455</v>
      </c>
      <c r="AL457">
        <v>454</v>
      </c>
      <c r="AM457">
        <v>4734.55</v>
      </c>
      <c r="AN457">
        <v>4695.8779000000004</v>
      </c>
      <c r="AO457">
        <v>38.6721</v>
      </c>
      <c r="AP457">
        <v>1495.5336</v>
      </c>
      <c r="AQ457">
        <v>1.3304849999999999</v>
      </c>
      <c r="AR457">
        <v>1.463344</v>
      </c>
      <c r="AY457">
        <v>455</v>
      </c>
      <c r="AZ457">
        <v>454</v>
      </c>
      <c r="BA457">
        <v>4734.55</v>
      </c>
      <c r="BB457">
        <v>4695.8779000000004</v>
      </c>
      <c r="BC457">
        <v>38.6721</v>
      </c>
      <c r="BD457">
        <v>1495.5336</v>
      </c>
      <c r="BE457">
        <v>206116</v>
      </c>
    </row>
    <row r="458" spans="1:57" x14ac:dyDescent="0.55000000000000004">
      <c r="A458">
        <v>1776951902</v>
      </c>
      <c r="B458" t="s">
        <v>72</v>
      </c>
      <c r="C458" t="s">
        <v>73</v>
      </c>
      <c r="D458">
        <v>4724.46</v>
      </c>
      <c r="E458">
        <v>4518.5928199999998</v>
      </c>
      <c r="F458">
        <v>4596.0559499999999</v>
      </c>
      <c r="G458">
        <v>4755.40355</v>
      </c>
      <c r="H458">
        <v>4792.7697200000002</v>
      </c>
      <c r="Q458">
        <v>4695.6102700000001</v>
      </c>
      <c r="R458">
        <v>4724.9735700000001</v>
      </c>
      <c r="S458">
        <v>4751.5623400000004</v>
      </c>
      <c r="V458">
        <v>4660.6705000000002</v>
      </c>
      <c r="W458">
        <v>4627.1054999999997</v>
      </c>
      <c r="AB458">
        <v>4728.79684</v>
      </c>
      <c r="AC458">
        <v>4730.2266099999997</v>
      </c>
      <c r="AD458">
        <v>0</v>
      </c>
      <c r="AK458">
        <v>456</v>
      </c>
      <c r="AL458">
        <v>455</v>
      </c>
      <c r="AM458">
        <v>4724.46</v>
      </c>
      <c r="AN458">
        <v>4695.6103000000003</v>
      </c>
      <c r="AO458">
        <v>28.849699999999999</v>
      </c>
      <c r="AP458">
        <v>832.30690000000004</v>
      </c>
      <c r="AQ458">
        <v>0.55238399999999999</v>
      </c>
      <c r="AR458">
        <v>0.453233</v>
      </c>
      <c r="AY458">
        <v>456</v>
      </c>
      <c r="AZ458">
        <v>455</v>
      </c>
      <c r="BA458">
        <v>4724.46</v>
      </c>
      <c r="BB458">
        <v>4695.6103000000003</v>
      </c>
      <c r="BC458">
        <v>28.849699999999999</v>
      </c>
      <c r="BD458">
        <v>832.30690000000004</v>
      </c>
      <c r="BE458">
        <v>207025</v>
      </c>
    </row>
    <row r="459" spans="1:57" x14ac:dyDescent="0.55000000000000004">
      <c r="A459">
        <v>1776952802</v>
      </c>
      <c r="B459" t="s">
        <v>72</v>
      </c>
      <c r="C459" t="s">
        <v>73</v>
      </c>
      <c r="D459">
        <v>4724.3100000000004</v>
      </c>
      <c r="E459">
        <v>4518.5928199999998</v>
      </c>
      <c r="F459">
        <v>4596.0559499999999</v>
      </c>
      <c r="G459">
        <v>4755.40355</v>
      </c>
      <c r="H459">
        <v>4792.7697200000002</v>
      </c>
      <c r="Q459">
        <v>4695.3426600000003</v>
      </c>
      <c r="R459">
        <v>4724.7059600000002</v>
      </c>
      <c r="S459">
        <v>4751.2947299999996</v>
      </c>
      <c r="V459">
        <v>4660.4028900000003</v>
      </c>
      <c r="W459">
        <v>4626.8379000000004</v>
      </c>
      <c r="AB459">
        <v>4727.8482400000003</v>
      </c>
      <c r="AC459">
        <v>4729.0374199999997</v>
      </c>
      <c r="AD459">
        <v>0</v>
      </c>
      <c r="AK459">
        <v>457</v>
      </c>
      <c r="AL459">
        <v>456</v>
      </c>
      <c r="AM459">
        <v>4724.3100000000004</v>
      </c>
      <c r="AN459">
        <v>4695.3427000000001</v>
      </c>
      <c r="AO459">
        <v>28.967300000000002</v>
      </c>
      <c r="AP459">
        <v>839.10680000000002</v>
      </c>
      <c r="AQ459">
        <v>0.55916699999999997</v>
      </c>
      <c r="AR459">
        <v>0.460669</v>
      </c>
      <c r="AY459">
        <v>457</v>
      </c>
      <c r="AZ459">
        <v>456</v>
      </c>
      <c r="BA459">
        <v>4724.3100000000004</v>
      </c>
      <c r="BB459">
        <v>4695.3427000000001</v>
      </c>
      <c r="BC459">
        <v>28.967300000000002</v>
      </c>
      <c r="BD459">
        <v>839.10680000000002</v>
      </c>
      <c r="BE459">
        <v>207936</v>
      </c>
    </row>
    <row r="460" spans="1:57" x14ac:dyDescent="0.55000000000000004">
      <c r="A460">
        <v>1776953702</v>
      </c>
      <c r="B460" t="s">
        <v>72</v>
      </c>
      <c r="C460" t="s">
        <v>73</v>
      </c>
      <c r="D460">
        <v>4731.54</v>
      </c>
      <c r="E460">
        <v>4518.5928199999998</v>
      </c>
      <c r="F460">
        <v>4596.0559499999999</v>
      </c>
      <c r="G460">
        <v>4755.40355</v>
      </c>
      <c r="H460">
        <v>4792.7697200000002</v>
      </c>
      <c r="Q460">
        <v>4695.0750600000001</v>
      </c>
      <c r="R460">
        <v>4724.4383600000001</v>
      </c>
      <c r="S460">
        <v>4751.0271300000004</v>
      </c>
      <c r="V460">
        <v>4660.1352900000002</v>
      </c>
      <c r="W460">
        <v>4626.5702899999997</v>
      </c>
      <c r="AB460">
        <v>4727.84825</v>
      </c>
      <c r="AC460">
        <v>4728.44283</v>
      </c>
      <c r="AD460">
        <v>0</v>
      </c>
      <c r="AK460">
        <v>458</v>
      </c>
      <c r="AL460">
        <v>457</v>
      </c>
      <c r="AM460">
        <v>4731.54</v>
      </c>
      <c r="AN460">
        <v>4695.0751</v>
      </c>
      <c r="AO460">
        <v>36.4649</v>
      </c>
      <c r="AP460">
        <v>1329.6918000000001</v>
      </c>
      <c r="AQ460">
        <v>1.115429</v>
      </c>
      <c r="AR460">
        <v>1.1567940000000001</v>
      </c>
      <c r="AY460">
        <v>458</v>
      </c>
      <c r="AZ460">
        <v>457</v>
      </c>
      <c r="BA460">
        <v>4731.54</v>
      </c>
      <c r="BB460">
        <v>4695.0751</v>
      </c>
      <c r="BC460">
        <v>36.4649</v>
      </c>
      <c r="BD460">
        <v>1329.6918000000001</v>
      </c>
      <c r="BE460">
        <v>208849</v>
      </c>
    </row>
    <row r="461" spans="1:57" x14ac:dyDescent="0.55000000000000004">
      <c r="A461">
        <v>1776954602</v>
      </c>
      <c r="B461" t="s">
        <v>72</v>
      </c>
      <c r="C461" t="s">
        <v>73</v>
      </c>
      <c r="D461">
        <v>4730.97</v>
      </c>
      <c r="E461">
        <v>4518.5928199999998</v>
      </c>
      <c r="F461">
        <v>4596.0559499999999</v>
      </c>
      <c r="G461">
        <v>4755.40355</v>
      </c>
      <c r="H461">
        <v>4792.7697200000002</v>
      </c>
      <c r="Q461">
        <v>4694.8074500000002</v>
      </c>
      <c r="R461">
        <v>4724.1707500000002</v>
      </c>
      <c r="S461">
        <v>4750.7595199999996</v>
      </c>
      <c r="V461">
        <v>4659.8676800000003</v>
      </c>
      <c r="W461">
        <v>4626.3026900000004</v>
      </c>
      <c r="AB461">
        <v>4728.4897700000001</v>
      </c>
      <c r="AC461">
        <v>4728.4663</v>
      </c>
      <c r="AD461">
        <v>1</v>
      </c>
      <c r="AK461">
        <v>459</v>
      </c>
      <c r="AL461">
        <v>458</v>
      </c>
      <c r="AM461">
        <v>4730.97</v>
      </c>
      <c r="AN461">
        <v>4694.8074999999999</v>
      </c>
      <c r="AO461">
        <v>36.162599999999998</v>
      </c>
      <c r="AP461">
        <v>1307.73</v>
      </c>
      <c r="AQ461">
        <v>1.087909</v>
      </c>
      <c r="AR461">
        <v>1.118897</v>
      </c>
      <c r="AY461">
        <v>459</v>
      </c>
      <c r="AZ461">
        <v>458</v>
      </c>
      <c r="BA461">
        <v>4730.97</v>
      </c>
      <c r="BB461">
        <v>4694.8074999999999</v>
      </c>
      <c r="BC461">
        <v>36.162599999999998</v>
      </c>
      <c r="BD461">
        <v>1307.73</v>
      </c>
      <c r="BE461">
        <v>209764</v>
      </c>
    </row>
    <row r="462" spans="1:57" x14ac:dyDescent="0.55000000000000004">
      <c r="A462">
        <v>1776955502</v>
      </c>
      <c r="B462" t="s">
        <v>72</v>
      </c>
      <c r="C462" t="s">
        <v>73</v>
      </c>
      <c r="D462">
        <v>4733.72</v>
      </c>
      <c r="E462">
        <v>4518.5928199999998</v>
      </c>
      <c r="F462">
        <v>4596.0559499999999</v>
      </c>
      <c r="G462">
        <v>4755.40355</v>
      </c>
      <c r="H462">
        <v>4792.7697200000002</v>
      </c>
      <c r="Q462">
        <v>4694.5398500000001</v>
      </c>
      <c r="R462">
        <v>4723.9031500000001</v>
      </c>
      <c r="S462">
        <v>4750.4919200000004</v>
      </c>
      <c r="V462">
        <v>4659.6000800000002</v>
      </c>
      <c r="W462">
        <v>4626.0350799999997</v>
      </c>
      <c r="AB462">
        <v>4729.4937200000004</v>
      </c>
      <c r="AC462">
        <v>4728.9800100000002</v>
      </c>
      <c r="AD462">
        <v>0</v>
      </c>
      <c r="AK462">
        <v>460</v>
      </c>
      <c r="AL462">
        <v>459</v>
      </c>
      <c r="AM462">
        <v>4733.72</v>
      </c>
      <c r="AN462">
        <v>4694.5398999999998</v>
      </c>
      <c r="AO462">
        <v>39.180199999999999</v>
      </c>
      <c r="AP462">
        <v>1535.0842</v>
      </c>
      <c r="AQ462">
        <v>1.3836109999999999</v>
      </c>
      <c r="AR462">
        <v>1.541766</v>
      </c>
      <c r="AY462">
        <v>460</v>
      </c>
      <c r="AZ462">
        <v>459</v>
      </c>
      <c r="BA462">
        <v>4733.72</v>
      </c>
      <c r="BB462">
        <v>4694.5398999999998</v>
      </c>
      <c r="BC462">
        <v>39.180199999999999</v>
      </c>
      <c r="BD462">
        <v>1535.0842</v>
      </c>
      <c r="BE462">
        <v>210681</v>
      </c>
    </row>
    <row r="463" spans="1:57" x14ac:dyDescent="0.55000000000000004">
      <c r="A463">
        <v>1776956402</v>
      </c>
      <c r="B463" t="s">
        <v>72</v>
      </c>
      <c r="C463" t="s">
        <v>73</v>
      </c>
      <c r="D463">
        <v>4730.76</v>
      </c>
      <c r="E463">
        <v>4518.5928199999998</v>
      </c>
      <c r="F463">
        <v>4596.0559499999999</v>
      </c>
      <c r="G463">
        <v>4755.40355</v>
      </c>
      <c r="H463">
        <v>4792.7697200000002</v>
      </c>
      <c r="Q463">
        <v>4694.27225</v>
      </c>
      <c r="R463">
        <v>4723.6355400000002</v>
      </c>
      <c r="S463">
        <v>4750.2243200000003</v>
      </c>
      <c r="V463">
        <v>4659.33248</v>
      </c>
      <c r="W463">
        <v>4625.7674800000004</v>
      </c>
      <c r="AB463">
        <v>4730.3876899999996</v>
      </c>
      <c r="AC463">
        <v>4729.6838500000003</v>
      </c>
      <c r="AD463">
        <v>0</v>
      </c>
      <c r="AK463">
        <v>461</v>
      </c>
      <c r="AL463">
        <v>460</v>
      </c>
      <c r="AM463">
        <v>4730.76</v>
      </c>
      <c r="AN463">
        <v>4694.2722000000003</v>
      </c>
      <c r="AO463">
        <v>36.4878</v>
      </c>
      <c r="AP463">
        <v>1331.3559</v>
      </c>
      <c r="AQ463">
        <v>1.117524</v>
      </c>
      <c r="AR463">
        <v>1.159691</v>
      </c>
      <c r="AY463">
        <v>461</v>
      </c>
      <c r="AZ463">
        <v>460</v>
      </c>
      <c r="BA463">
        <v>4730.76</v>
      </c>
      <c r="BB463">
        <v>4694.2722000000003</v>
      </c>
      <c r="BC463">
        <v>36.4878</v>
      </c>
      <c r="BD463">
        <v>1331.3559</v>
      </c>
      <c r="BE463">
        <v>211600</v>
      </c>
    </row>
    <row r="464" spans="1:57" x14ac:dyDescent="0.55000000000000004">
      <c r="A464">
        <v>1776957302</v>
      </c>
      <c r="B464" t="s">
        <v>72</v>
      </c>
      <c r="C464" t="s">
        <v>73</v>
      </c>
      <c r="D464">
        <v>4733.6000000000004</v>
      </c>
      <c r="E464">
        <v>4518.5928199999998</v>
      </c>
      <c r="F464">
        <v>4596.0559499999999</v>
      </c>
      <c r="G464">
        <v>4755.40355</v>
      </c>
      <c r="H464">
        <v>4792.7697200000002</v>
      </c>
      <c r="Q464">
        <v>4694.0046400000001</v>
      </c>
      <c r="R464">
        <v>4723.3679400000001</v>
      </c>
      <c r="S464">
        <v>4749.9567100000004</v>
      </c>
      <c r="V464">
        <v>4659.0648700000002</v>
      </c>
      <c r="W464">
        <v>4625.4998800000003</v>
      </c>
      <c r="AB464">
        <v>4730.8310099999999</v>
      </c>
      <c r="AC464">
        <v>4730.2574299999997</v>
      </c>
      <c r="AD464">
        <v>0</v>
      </c>
      <c r="AK464">
        <v>462</v>
      </c>
      <c r="AL464">
        <v>461</v>
      </c>
      <c r="AM464">
        <v>4733.6000000000004</v>
      </c>
      <c r="AN464">
        <v>4694.0046000000002</v>
      </c>
      <c r="AO464">
        <v>39.595399999999998</v>
      </c>
      <c r="AP464">
        <v>1567.7925</v>
      </c>
      <c r="AQ464">
        <v>1.428067</v>
      </c>
      <c r="AR464">
        <v>1.608168</v>
      </c>
      <c r="AY464">
        <v>462</v>
      </c>
      <c r="AZ464">
        <v>461</v>
      </c>
      <c r="BA464">
        <v>4733.6000000000004</v>
      </c>
      <c r="BB464">
        <v>4694.0046000000002</v>
      </c>
      <c r="BC464">
        <v>39.595399999999998</v>
      </c>
      <c r="BD464">
        <v>1567.7925</v>
      </c>
      <c r="BE464">
        <v>212521</v>
      </c>
    </row>
    <row r="465" spans="1:57" x14ac:dyDescent="0.55000000000000004">
      <c r="A465">
        <v>1776958202</v>
      </c>
      <c r="B465" t="s">
        <v>72</v>
      </c>
      <c r="C465" t="s">
        <v>73</v>
      </c>
      <c r="D465">
        <v>4728.34</v>
      </c>
      <c r="E465">
        <v>4518.5928199999998</v>
      </c>
      <c r="F465">
        <v>4596.0559499999999</v>
      </c>
      <c r="G465">
        <v>4755.40355</v>
      </c>
      <c r="H465">
        <v>4792.7697200000002</v>
      </c>
      <c r="Q465">
        <v>4693.73704</v>
      </c>
      <c r="R465">
        <v>4723.10034</v>
      </c>
      <c r="S465">
        <v>4749.6891100000003</v>
      </c>
      <c r="V465">
        <v>4658.79727</v>
      </c>
      <c r="W465">
        <v>4625.2322700000004</v>
      </c>
      <c r="AB465">
        <v>4730.4201400000002</v>
      </c>
      <c r="AC465">
        <v>4730.33878</v>
      </c>
      <c r="AD465">
        <v>0</v>
      </c>
      <c r="AK465">
        <v>463</v>
      </c>
      <c r="AL465">
        <v>462</v>
      </c>
      <c r="AM465">
        <v>4728.34</v>
      </c>
      <c r="AN465">
        <v>4693.7370000000001</v>
      </c>
      <c r="AO465">
        <v>34.603000000000002</v>
      </c>
      <c r="AP465">
        <v>1197.3648000000001</v>
      </c>
      <c r="AQ465">
        <v>0.95313700000000001</v>
      </c>
      <c r="AR465">
        <v>0.93800899999999998</v>
      </c>
      <c r="AY465">
        <v>463</v>
      </c>
      <c r="AZ465">
        <v>462</v>
      </c>
      <c r="BA465">
        <v>4728.34</v>
      </c>
      <c r="BB465">
        <v>4693.7370000000001</v>
      </c>
      <c r="BC465">
        <v>34.603000000000002</v>
      </c>
      <c r="BD465">
        <v>1197.3648000000001</v>
      </c>
      <c r="BE465">
        <v>213444</v>
      </c>
    </row>
    <row r="466" spans="1:57" x14ac:dyDescent="0.55000000000000004">
      <c r="A466">
        <v>1776959102</v>
      </c>
      <c r="B466" t="s">
        <v>72</v>
      </c>
      <c r="C466" t="s">
        <v>73</v>
      </c>
      <c r="D466">
        <v>4720.42</v>
      </c>
      <c r="E466">
        <v>4518.5928199999998</v>
      </c>
      <c r="F466">
        <v>4596.0559499999999</v>
      </c>
      <c r="G466">
        <v>4755.40355</v>
      </c>
      <c r="H466">
        <v>4792.7697200000002</v>
      </c>
      <c r="Q466">
        <v>4693.4694300000001</v>
      </c>
      <c r="R466">
        <v>4722.8327300000001</v>
      </c>
      <c r="S466">
        <v>4749.4215000000004</v>
      </c>
      <c r="V466">
        <v>4658.5296600000001</v>
      </c>
      <c r="W466">
        <v>4624.9646700000003</v>
      </c>
      <c r="AB466">
        <v>4729.1198400000003</v>
      </c>
      <c r="AC466">
        <v>4729.7293099999997</v>
      </c>
      <c r="AD466">
        <v>1</v>
      </c>
      <c r="AK466">
        <v>464</v>
      </c>
      <c r="AL466">
        <v>463</v>
      </c>
      <c r="AM466">
        <v>4720.42</v>
      </c>
      <c r="AN466">
        <v>4693.4694</v>
      </c>
      <c r="AO466">
        <v>26.950600000000001</v>
      </c>
      <c r="AP466">
        <v>726.33320000000003</v>
      </c>
      <c r="AQ466">
        <v>0.450318</v>
      </c>
      <c r="AR466">
        <v>0.34516400000000003</v>
      </c>
      <c r="AY466">
        <v>464</v>
      </c>
      <c r="AZ466">
        <v>463</v>
      </c>
      <c r="BA466">
        <v>4720.42</v>
      </c>
      <c r="BB466">
        <v>4693.4694</v>
      </c>
      <c r="BC466">
        <v>26.950600000000001</v>
      </c>
      <c r="BD466">
        <v>726.33320000000003</v>
      </c>
      <c r="BE466">
        <v>214369</v>
      </c>
    </row>
    <row r="467" spans="1:57" x14ac:dyDescent="0.55000000000000004">
      <c r="A467">
        <v>1776960002</v>
      </c>
      <c r="B467" t="s">
        <v>72</v>
      </c>
      <c r="C467" t="s">
        <v>73</v>
      </c>
      <c r="D467">
        <v>4719.3900000000003</v>
      </c>
      <c r="E467">
        <v>4518.5928199999998</v>
      </c>
      <c r="F467">
        <v>4596.0559499999999</v>
      </c>
      <c r="G467">
        <v>4755.40355</v>
      </c>
      <c r="H467">
        <v>4792.7697200000002</v>
      </c>
      <c r="Q467">
        <v>4693.20183</v>
      </c>
      <c r="R467">
        <v>4722.56513</v>
      </c>
      <c r="S467">
        <v>4749.1539000000002</v>
      </c>
      <c r="V467">
        <v>4658.26206</v>
      </c>
      <c r="W467">
        <v>4624.6970600000004</v>
      </c>
      <c r="AB467">
        <v>4727.1175700000003</v>
      </c>
      <c r="AC467">
        <v>4728.4234399999996</v>
      </c>
      <c r="AD467">
        <v>0</v>
      </c>
      <c r="AK467">
        <v>465</v>
      </c>
      <c r="AL467">
        <v>464</v>
      </c>
      <c r="AM467">
        <v>4719.3900000000003</v>
      </c>
      <c r="AN467">
        <v>4693.2017999999998</v>
      </c>
      <c r="AO467">
        <v>26.188199999999998</v>
      </c>
      <c r="AP467">
        <v>685.8202</v>
      </c>
      <c r="AQ467">
        <v>0.41317199999999998</v>
      </c>
      <c r="AR467">
        <v>0.30773299999999998</v>
      </c>
      <c r="AY467">
        <v>465</v>
      </c>
      <c r="AZ467">
        <v>464</v>
      </c>
      <c r="BA467">
        <v>4719.3900000000003</v>
      </c>
      <c r="BB467">
        <v>4693.2017999999998</v>
      </c>
      <c r="BC467">
        <v>26.188199999999998</v>
      </c>
      <c r="BD467">
        <v>685.8202</v>
      </c>
      <c r="BE467">
        <v>215296</v>
      </c>
    </row>
    <row r="468" spans="1:57" x14ac:dyDescent="0.55000000000000004">
      <c r="A468">
        <v>1776960902</v>
      </c>
      <c r="B468" t="s">
        <v>72</v>
      </c>
      <c r="C468" t="s">
        <v>73</v>
      </c>
      <c r="D468">
        <v>4723.22</v>
      </c>
      <c r="E468">
        <v>4518.5928199999998</v>
      </c>
      <c r="F468">
        <v>4596.0559499999999</v>
      </c>
      <c r="G468">
        <v>4755.40355</v>
      </c>
      <c r="H468">
        <v>4792.7697200000002</v>
      </c>
      <c r="Q468">
        <v>4692.9342299999998</v>
      </c>
      <c r="R468">
        <v>4722.2975200000001</v>
      </c>
      <c r="S468">
        <v>4748.8863000000001</v>
      </c>
      <c r="V468">
        <v>4657.9944599999999</v>
      </c>
      <c r="W468">
        <v>4624.4294600000003</v>
      </c>
      <c r="AB468">
        <v>4724.5583900000001</v>
      </c>
      <c r="AC468">
        <v>4726.4909100000004</v>
      </c>
      <c r="AD468">
        <v>0</v>
      </c>
      <c r="AK468">
        <v>466</v>
      </c>
      <c r="AL468">
        <v>465</v>
      </c>
      <c r="AM468">
        <v>4723.22</v>
      </c>
      <c r="AN468">
        <v>4692.9341999999997</v>
      </c>
      <c r="AO468">
        <v>30.285799999999998</v>
      </c>
      <c r="AP468">
        <v>917.22789999999998</v>
      </c>
      <c r="AQ468">
        <v>0.63904499999999997</v>
      </c>
      <c r="AR468">
        <v>0.55043799999999998</v>
      </c>
      <c r="AY468">
        <v>466</v>
      </c>
      <c r="AZ468">
        <v>465</v>
      </c>
      <c r="BA468">
        <v>4723.22</v>
      </c>
      <c r="BB468">
        <v>4692.9341999999997</v>
      </c>
      <c r="BC468">
        <v>30.285799999999998</v>
      </c>
      <c r="BD468">
        <v>917.22789999999998</v>
      </c>
      <c r="BE468">
        <v>216225</v>
      </c>
    </row>
    <row r="469" spans="1:57" x14ac:dyDescent="0.55000000000000004">
      <c r="A469">
        <v>1776961802</v>
      </c>
      <c r="B469" t="s">
        <v>72</v>
      </c>
      <c r="C469" t="s">
        <v>73</v>
      </c>
      <c r="D469">
        <v>4734.05</v>
      </c>
      <c r="E469">
        <v>4518.5928199999998</v>
      </c>
      <c r="F469">
        <v>4596.0559499999999</v>
      </c>
      <c r="G469">
        <v>4755.40355</v>
      </c>
      <c r="H469">
        <v>4792.7697200000002</v>
      </c>
      <c r="Q469">
        <v>4692.66662</v>
      </c>
      <c r="R469">
        <v>4722.0299199999999</v>
      </c>
      <c r="S469">
        <v>4748.6186900000002</v>
      </c>
      <c r="V469">
        <v>4657.72685</v>
      </c>
      <c r="W469">
        <v>4624.1618500000004</v>
      </c>
      <c r="AB469">
        <v>4721.4871499999999</v>
      </c>
      <c r="AC469">
        <v>4723.9890299999997</v>
      </c>
      <c r="AD469">
        <v>0</v>
      </c>
      <c r="AK469">
        <v>467</v>
      </c>
      <c r="AL469">
        <v>466</v>
      </c>
      <c r="AM469">
        <v>4734.05</v>
      </c>
      <c r="AN469">
        <v>4692.6665999999996</v>
      </c>
      <c r="AO469">
        <v>41.383400000000002</v>
      </c>
      <c r="AP469">
        <v>1712.5841</v>
      </c>
      <c r="AQ469">
        <v>1.6303970000000001</v>
      </c>
      <c r="AR469">
        <v>1.918925</v>
      </c>
      <c r="AY469">
        <v>467</v>
      </c>
      <c r="AZ469">
        <v>466</v>
      </c>
      <c r="BA469">
        <v>4734.05</v>
      </c>
      <c r="BB469">
        <v>4692.6665999999996</v>
      </c>
      <c r="BC469">
        <v>41.383400000000002</v>
      </c>
      <c r="BD469">
        <v>1712.5841</v>
      </c>
      <c r="BE469">
        <v>217156</v>
      </c>
    </row>
    <row r="470" spans="1:57" x14ac:dyDescent="0.55000000000000004">
      <c r="A470">
        <v>1776962702</v>
      </c>
      <c r="B470" t="s">
        <v>72</v>
      </c>
      <c r="C470" t="s">
        <v>73</v>
      </c>
      <c r="D470">
        <v>4733.09</v>
      </c>
      <c r="E470">
        <v>4518.5928199999998</v>
      </c>
      <c r="F470">
        <v>4596.0559499999999</v>
      </c>
      <c r="G470">
        <v>4755.40355</v>
      </c>
      <c r="H470">
        <v>4792.7697200000002</v>
      </c>
      <c r="Q470">
        <v>4692.3990199999998</v>
      </c>
      <c r="R470">
        <v>4721.7623199999998</v>
      </c>
      <c r="S470">
        <v>4748.3510900000001</v>
      </c>
      <c r="V470">
        <v>4657.4592499999999</v>
      </c>
      <c r="W470">
        <v>4623.8942500000003</v>
      </c>
      <c r="AB470">
        <v>4717.8300799999997</v>
      </c>
      <c r="AC470">
        <v>4720.9095600000001</v>
      </c>
      <c r="AD470">
        <v>0</v>
      </c>
      <c r="AK470">
        <v>468</v>
      </c>
      <c r="AL470">
        <v>467</v>
      </c>
      <c r="AM470">
        <v>4733.09</v>
      </c>
      <c r="AN470">
        <v>4692.3990000000003</v>
      </c>
      <c r="AO470">
        <v>40.691000000000003</v>
      </c>
      <c r="AP470">
        <v>1655.7559000000001</v>
      </c>
      <c r="AQ470">
        <v>1.5499229999999999</v>
      </c>
      <c r="AR470">
        <v>1.793687</v>
      </c>
      <c r="AY470">
        <v>468</v>
      </c>
      <c r="AZ470">
        <v>467</v>
      </c>
      <c r="BA470">
        <v>4733.09</v>
      </c>
      <c r="BB470">
        <v>4692.3990000000003</v>
      </c>
      <c r="BC470">
        <v>40.691000000000003</v>
      </c>
      <c r="BD470">
        <v>1655.7559000000001</v>
      </c>
      <c r="BE470">
        <v>218089</v>
      </c>
    </row>
    <row r="471" spans="1:57" x14ac:dyDescent="0.55000000000000004">
      <c r="A471">
        <v>1776963602</v>
      </c>
      <c r="B471" t="s">
        <v>72</v>
      </c>
      <c r="C471" t="s">
        <v>73</v>
      </c>
      <c r="D471">
        <v>4716.04</v>
      </c>
      <c r="E471">
        <v>4518.5928199999998</v>
      </c>
      <c r="F471">
        <v>4596.0559499999999</v>
      </c>
      <c r="G471">
        <v>4755.40355</v>
      </c>
      <c r="H471">
        <v>4792.7697200000002</v>
      </c>
      <c r="Q471">
        <v>4692.13141</v>
      </c>
      <c r="R471">
        <v>4721.4947099999999</v>
      </c>
      <c r="S471">
        <v>4748.0834800000002</v>
      </c>
      <c r="V471">
        <v>4657.19164</v>
      </c>
      <c r="W471">
        <v>4623.6266500000002</v>
      </c>
      <c r="AB471">
        <v>4713.9130800000003</v>
      </c>
      <c r="AC471">
        <v>4717.4113200000002</v>
      </c>
      <c r="AD471">
        <v>0</v>
      </c>
      <c r="AK471">
        <v>469</v>
      </c>
      <c r="AL471">
        <v>468</v>
      </c>
      <c r="AM471">
        <v>4716.04</v>
      </c>
      <c r="AN471">
        <v>4692.1314000000002</v>
      </c>
      <c r="AO471">
        <v>23.9086</v>
      </c>
      <c r="AP471">
        <v>571.62070000000006</v>
      </c>
      <c r="AQ471">
        <v>0.31439600000000001</v>
      </c>
      <c r="AR471">
        <v>0.213781</v>
      </c>
      <c r="AY471">
        <v>469</v>
      </c>
      <c r="AZ471">
        <v>468</v>
      </c>
      <c r="BA471">
        <v>4716.04</v>
      </c>
      <c r="BB471">
        <v>4692.1314000000002</v>
      </c>
      <c r="BC471">
        <v>23.9086</v>
      </c>
      <c r="BD471">
        <v>571.62070000000006</v>
      </c>
      <c r="BE471">
        <v>219024</v>
      </c>
    </row>
    <row r="472" spans="1:57" x14ac:dyDescent="0.55000000000000004">
      <c r="A472">
        <v>1776964502</v>
      </c>
      <c r="B472" t="s">
        <v>72</v>
      </c>
      <c r="C472" t="s">
        <v>73</v>
      </c>
      <c r="D472">
        <v>4706.47</v>
      </c>
      <c r="E472">
        <v>4518.5928199999998</v>
      </c>
      <c r="F472">
        <v>4596.0559499999999</v>
      </c>
      <c r="G472">
        <v>4755.40355</v>
      </c>
      <c r="H472">
        <v>4792.7697200000002</v>
      </c>
      <c r="Q472">
        <v>4691.8638099999998</v>
      </c>
      <c r="R472">
        <v>4721.2271099999998</v>
      </c>
      <c r="S472">
        <v>4747.8158800000001</v>
      </c>
      <c r="V472">
        <v>4656.9240399999999</v>
      </c>
      <c r="W472">
        <v>4623.3590400000003</v>
      </c>
      <c r="AB472">
        <v>4710.4993700000005</v>
      </c>
      <c r="AC472">
        <v>4713.9553400000004</v>
      </c>
      <c r="AD472">
        <v>0</v>
      </c>
      <c r="AK472">
        <v>470</v>
      </c>
      <c r="AL472">
        <v>469</v>
      </c>
      <c r="AM472">
        <v>4706.47</v>
      </c>
      <c r="AN472">
        <v>4691.8638000000001</v>
      </c>
      <c r="AO472">
        <v>14.606199999999999</v>
      </c>
      <c r="AP472">
        <v>213.3408</v>
      </c>
      <c r="AQ472">
        <v>7.1684999999999999E-2</v>
      </c>
      <c r="AR472">
        <v>2.9777999999999999E-2</v>
      </c>
      <c r="AY472">
        <v>470</v>
      </c>
      <c r="AZ472">
        <v>469</v>
      </c>
      <c r="BA472">
        <v>4706.47</v>
      </c>
      <c r="BB472">
        <v>4691.8638000000001</v>
      </c>
      <c r="BC472">
        <v>14.606199999999999</v>
      </c>
      <c r="BD472">
        <v>213.3408</v>
      </c>
      <c r="BE472">
        <v>219961</v>
      </c>
    </row>
    <row r="473" spans="1:57" x14ac:dyDescent="0.55000000000000004">
      <c r="A473">
        <v>1776965402</v>
      </c>
      <c r="B473" t="s">
        <v>72</v>
      </c>
      <c r="C473" t="s">
        <v>73</v>
      </c>
      <c r="D473">
        <v>4677.41</v>
      </c>
      <c r="E473">
        <v>4518.5928199999998</v>
      </c>
      <c r="F473">
        <v>4596.0559499999999</v>
      </c>
      <c r="G473">
        <v>4755.40355</v>
      </c>
      <c r="H473">
        <v>4792.7697200000002</v>
      </c>
      <c r="Q473">
        <v>4691.5962099999997</v>
      </c>
      <c r="R473">
        <v>4720.9594999999999</v>
      </c>
      <c r="S473">
        <v>4747.5482700000002</v>
      </c>
      <c r="V473">
        <v>4656.65643</v>
      </c>
      <c r="W473">
        <v>4623.0914400000001</v>
      </c>
      <c r="AB473">
        <v>4708.0068499999998</v>
      </c>
      <c r="AC473">
        <v>4710.9811</v>
      </c>
      <c r="AD473">
        <v>0</v>
      </c>
      <c r="AK473">
        <v>471</v>
      </c>
      <c r="AL473">
        <v>470</v>
      </c>
      <c r="AM473">
        <v>4677.41</v>
      </c>
      <c r="AN473">
        <v>4691.5962</v>
      </c>
      <c r="AO473">
        <v>-14.186199999999999</v>
      </c>
      <c r="AP473">
        <v>201.24860000000001</v>
      </c>
      <c r="AQ473">
        <v>-6.5676999999999999E-2</v>
      </c>
      <c r="AR473">
        <v>2.6498000000000001E-2</v>
      </c>
      <c r="AY473">
        <v>471</v>
      </c>
      <c r="AZ473">
        <v>470</v>
      </c>
      <c r="BA473">
        <v>4677.41</v>
      </c>
      <c r="BB473">
        <v>4691.5962</v>
      </c>
      <c r="BC473">
        <v>-14.186199999999999</v>
      </c>
      <c r="BD473">
        <v>201.24860000000001</v>
      </c>
      <c r="BE473">
        <v>220900</v>
      </c>
    </row>
    <row r="474" spans="1:57" x14ac:dyDescent="0.55000000000000004">
      <c r="A474">
        <v>1776966302</v>
      </c>
      <c r="B474" t="s">
        <v>72</v>
      </c>
      <c r="C474" t="s">
        <v>73</v>
      </c>
      <c r="D474">
        <v>4709.41</v>
      </c>
      <c r="E474">
        <v>4518.5928199999998</v>
      </c>
      <c r="F474">
        <v>4596.0559499999999</v>
      </c>
      <c r="G474">
        <v>4755.40355</v>
      </c>
      <c r="H474">
        <v>4792.7697200000002</v>
      </c>
      <c r="Q474">
        <v>4691.3285999999998</v>
      </c>
      <c r="R474">
        <v>4720.6918999999998</v>
      </c>
      <c r="S474">
        <v>4747.2806700000001</v>
      </c>
      <c r="V474">
        <v>4656.3888299999999</v>
      </c>
      <c r="W474">
        <v>4622.8238300000003</v>
      </c>
      <c r="AA474">
        <v>4664.3</v>
      </c>
      <c r="AB474">
        <v>4707.1694699999998</v>
      </c>
      <c r="AC474">
        <v>4709.07528</v>
      </c>
      <c r="AD474">
        <v>0</v>
      </c>
      <c r="AK474">
        <v>472</v>
      </c>
      <c r="AL474">
        <v>471</v>
      </c>
      <c r="AM474">
        <v>4709.41</v>
      </c>
      <c r="AN474">
        <v>4691.3285999999998</v>
      </c>
      <c r="AO474">
        <v>18.081399999999999</v>
      </c>
      <c r="AP474">
        <v>326.93700000000001</v>
      </c>
      <c r="AQ474">
        <v>0.135991</v>
      </c>
      <c r="AR474">
        <v>6.9932999999999995E-2</v>
      </c>
      <c r="AY474">
        <v>472</v>
      </c>
      <c r="AZ474">
        <v>471</v>
      </c>
      <c r="BA474">
        <v>4709.41</v>
      </c>
      <c r="BB474">
        <v>4691.3285999999998</v>
      </c>
      <c r="BC474">
        <v>18.081399999999999</v>
      </c>
      <c r="BD474">
        <v>326.93700000000001</v>
      </c>
      <c r="BE474">
        <v>221841</v>
      </c>
    </row>
    <row r="475" spans="1:57" x14ac:dyDescent="0.55000000000000004">
      <c r="A475">
        <v>1776967202</v>
      </c>
      <c r="B475" t="s">
        <v>72</v>
      </c>
      <c r="C475" t="s">
        <v>73</v>
      </c>
      <c r="D475">
        <v>4713.84</v>
      </c>
      <c r="E475">
        <v>4518.5928199999998</v>
      </c>
      <c r="F475">
        <v>4596.0559499999999</v>
      </c>
      <c r="G475">
        <v>4755.40355</v>
      </c>
      <c r="H475">
        <v>4792.7697200000002</v>
      </c>
      <c r="Q475">
        <v>4691.0609999999997</v>
      </c>
      <c r="R475">
        <v>4720.4242999999997</v>
      </c>
      <c r="S475">
        <v>4747.01307</v>
      </c>
      <c r="V475">
        <v>4656.1212299999997</v>
      </c>
      <c r="W475">
        <v>4622.5562300000001</v>
      </c>
      <c r="AB475">
        <v>4706.7647299999999</v>
      </c>
      <c r="AC475">
        <v>4707.9200099999998</v>
      </c>
      <c r="AD475">
        <v>0</v>
      </c>
      <c r="AK475">
        <v>473</v>
      </c>
      <c r="AL475">
        <v>472</v>
      </c>
      <c r="AM475">
        <v>4713.84</v>
      </c>
      <c r="AN475">
        <v>4691.0609999999997</v>
      </c>
      <c r="AO475">
        <v>22.779</v>
      </c>
      <c r="AP475">
        <v>518.88279999999997</v>
      </c>
      <c r="AQ475">
        <v>0.27190599999999998</v>
      </c>
      <c r="AR475">
        <v>0.17615400000000001</v>
      </c>
      <c r="AY475">
        <v>473</v>
      </c>
      <c r="AZ475">
        <v>472</v>
      </c>
      <c r="BA475">
        <v>4713.84</v>
      </c>
      <c r="BB475">
        <v>4691.0609999999997</v>
      </c>
      <c r="BC475">
        <v>22.779</v>
      </c>
      <c r="BD475">
        <v>518.88279999999997</v>
      </c>
      <c r="BE475">
        <v>222784</v>
      </c>
    </row>
    <row r="476" spans="1:57" x14ac:dyDescent="0.55000000000000004">
      <c r="A476">
        <v>1776968102</v>
      </c>
      <c r="B476" t="s">
        <v>72</v>
      </c>
      <c r="C476" t="s">
        <v>73</v>
      </c>
      <c r="D476">
        <v>4716.58</v>
      </c>
      <c r="E476">
        <v>4518.5928199999998</v>
      </c>
      <c r="F476">
        <v>4596.0559499999999</v>
      </c>
      <c r="G476">
        <v>4755.40355</v>
      </c>
      <c r="H476">
        <v>4792.7697200000002</v>
      </c>
      <c r="Q476">
        <v>4690.7933899999998</v>
      </c>
      <c r="R476">
        <v>4720.1566899999998</v>
      </c>
      <c r="S476">
        <v>4746.7454600000001</v>
      </c>
      <c r="V476">
        <v>4655.8536199999999</v>
      </c>
      <c r="W476">
        <v>4622.28863</v>
      </c>
      <c r="AB476">
        <v>4706.1890400000002</v>
      </c>
      <c r="AC476">
        <v>4707.0545199999997</v>
      </c>
      <c r="AD476">
        <v>0</v>
      </c>
      <c r="AK476">
        <v>474</v>
      </c>
      <c r="AL476">
        <v>473</v>
      </c>
      <c r="AM476">
        <v>4716.58</v>
      </c>
      <c r="AN476">
        <v>4690.7933999999996</v>
      </c>
      <c r="AO476">
        <v>25.7866</v>
      </c>
      <c r="AP476">
        <v>664.94929999999999</v>
      </c>
      <c r="AQ476">
        <v>0.39445599999999997</v>
      </c>
      <c r="AR476">
        <v>0.28928799999999999</v>
      </c>
      <c r="AY476">
        <v>474</v>
      </c>
      <c r="AZ476">
        <v>473</v>
      </c>
      <c r="BA476">
        <v>4716.58</v>
      </c>
      <c r="BB476">
        <v>4690.7933999999996</v>
      </c>
      <c r="BC476">
        <v>25.7866</v>
      </c>
      <c r="BD476">
        <v>664.94929999999999</v>
      </c>
      <c r="BE476">
        <v>223729</v>
      </c>
    </row>
    <row r="477" spans="1:57" x14ac:dyDescent="0.55000000000000004">
      <c r="A477">
        <v>1776969002</v>
      </c>
      <c r="B477" t="s">
        <v>72</v>
      </c>
      <c r="C477" t="s">
        <v>73</v>
      </c>
      <c r="D477">
        <v>4711.3100000000004</v>
      </c>
      <c r="E477">
        <v>4518.5928199999998</v>
      </c>
      <c r="F477">
        <v>4596.0559499999999</v>
      </c>
      <c r="G477">
        <v>4755.40355</v>
      </c>
      <c r="H477">
        <v>4792.7697200000002</v>
      </c>
      <c r="Q477">
        <v>4690.5257899999997</v>
      </c>
      <c r="R477">
        <v>4719.8890899999997</v>
      </c>
      <c r="S477">
        <v>4746.47786</v>
      </c>
      <c r="V477">
        <v>4655.5860199999997</v>
      </c>
      <c r="W477">
        <v>4622.0210200000001</v>
      </c>
      <c r="AB477">
        <v>4704.9892900000004</v>
      </c>
      <c r="AC477">
        <v>4706.0219100000004</v>
      </c>
      <c r="AD477">
        <v>0</v>
      </c>
      <c r="AK477">
        <v>475</v>
      </c>
      <c r="AL477">
        <v>474</v>
      </c>
      <c r="AM477">
        <v>4711.3100000000004</v>
      </c>
      <c r="AN477">
        <v>4690.5258000000003</v>
      </c>
      <c r="AO477">
        <v>20.784199999999998</v>
      </c>
      <c r="AP477">
        <v>431.98340000000002</v>
      </c>
      <c r="AQ477">
        <v>0.20654600000000001</v>
      </c>
      <c r="AR477">
        <v>0.12209200000000001</v>
      </c>
      <c r="AY477">
        <v>475</v>
      </c>
      <c r="AZ477">
        <v>474</v>
      </c>
      <c r="BA477">
        <v>4711.3100000000004</v>
      </c>
      <c r="BB477">
        <v>4690.5258000000003</v>
      </c>
      <c r="BC477">
        <v>20.784199999999998</v>
      </c>
      <c r="BD477">
        <v>431.98340000000002</v>
      </c>
      <c r="BE477">
        <v>224676</v>
      </c>
    </row>
    <row r="478" spans="1:57" x14ac:dyDescent="0.55000000000000004">
      <c r="A478">
        <v>1776969902</v>
      </c>
      <c r="B478" t="s">
        <v>72</v>
      </c>
      <c r="C478" t="s">
        <v>73</v>
      </c>
      <c r="D478">
        <v>4700.8999999999996</v>
      </c>
      <c r="E478">
        <v>4518.5928199999998</v>
      </c>
      <c r="F478">
        <v>4596.0559499999999</v>
      </c>
      <c r="G478">
        <v>4755.40355</v>
      </c>
      <c r="H478">
        <v>4792.7697200000002</v>
      </c>
      <c r="Q478">
        <v>4690.2581799999998</v>
      </c>
      <c r="R478">
        <v>4719.6214799999998</v>
      </c>
      <c r="S478">
        <v>4746.2102500000001</v>
      </c>
      <c r="V478">
        <v>4655.3184099999999</v>
      </c>
      <c r="W478">
        <v>4621.75342</v>
      </c>
      <c r="AB478">
        <v>4703.1364999999996</v>
      </c>
      <c r="AC478">
        <v>4704.5792000000001</v>
      </c>
      <c r="AD478">
        <v>0</v>
      </c>
      <c r="AK478">
        <v>476</v>
      </c>
      <c r="AL478">
        <v>475</v>
      </c>
      <c r="AM478">
        <v>4700.8999999999996</v>
      </c>
      <c r="AN478">
        <v>4690.2582000000002</v>
      </c>
      <c r="AO478">
        <v>10.6418</v>
      </c>
      <c r="AP478">
        <v>113.2483</v>
      </c>
      <c r="AQ478">
        <v>2.7723999999999999E-2</v>
      </c>
      <c r="AR478">
        <v>8.3909999999999992E-3</v>
      </c>
      <c r="AY478">
        <v>476</v>
      </c>
      <c r="AZ478">
        <v>475</v>
      </c>
      <c r="BA478">
        <v>4700.8999999999996</v>
      </c>
      <c r="BB478">
        <v>4690.2582000000002</v>
      </c>
      <c r="BC478">
        <v>10.6418</v>
      </c>
      <c r="BD478">
        <v>113.2483</v>
      </c>
      <c r="BE478">
        <v>225625</v>
      </c>
    </row>
    <row r="479" spans="1:57" x14ac:dyDescent="0.55000000000000004">
      <c r="A479">
        <v>1776970802</v>
      </c>
      <c r="B479" t="s">
        <v>72</v>
      </c>
      <c r="C479" t="s">
        <v>73</v>
      </c>
      <c r="D479">
        <v>4696.41</v>
      </c>
      <c r="E479">
        <v>4518.5928199999998</v>
      </c>
      <c r="F479">
        <v>4596.0559499999999</v>
      </c>
      <c r="G479">
        <v>4755.40355</v>
      </c>
      <c r="H479">
        <v>4792.7697200000002</v>
      </c>
      <c r="Q479">
        <v>4689.9905799999997</v>
      </c>
      <c r="R479">
        <v>4719.3538799999997</v>
      </c>
      <c r="S479">
        <v>4745.94265</v>
      </c>
      <c r="V479">
        <v>4655.0508099999997</v>
      </c>
      <c r="W479">
        <v>4621.4858100000001</v>
      </c>
      <c r="AB479">
        <v>4700.9289399999998</v>
      </c>
      <c r="AC479">
        <v>4702.75407</v>
      </c>
      <c r="AD479">
        <v>0</v>
      </c>
      <c r="AK479">
        <v>477</v>
      </c>
      <c r="AL479">
        <v>476</v>
      </c>
      <c r="AM479">
        <v>4696.41</v>
      </c>
      <c r="AN479">
        <v>4689.9906000000001</v>
      </c>
      <c r="AO479">
        <v>6.4194000000000004</v>
      </c>
      <c r="AP479">
        <v>41.209000000000003</v>
      </c>
      <c r="AQ479">
        <v>6.0860000000000003E-3</v>
      </c>
      <c r="AR479">
        <v>1.111E-3</v>
      </c>
      <c r="AY479">
        <v>477</v>
      </c>
      <c r="AZ479">
        <v>476</v>
      </c>
      <c r="BA479">
        <v>4696.41</v>
      </c>
      <c r="BB479">
        <v>4689.9906000000001</v>
      </c>
      <c r="BC479">
        <v>6.4194000000000004</v>
      </c>
      <c r="BD479">
        <v>41.209000000000003</v>
      </c>
      <c r="BE479">
        <v>226576</v>
      </c>
    </row>
    <row r="480" spans="1:57" x14ac:dyDescent="0.55000000000000004">
      <c r="A480">
        <v>1776971702</v>
      </c>
      <c r="B480" t="s">
        <v>72</v>
      </c>
      <c r="C480" t="s">
        <v>73</v>
      </c>
      <c r="D480">
        <v>4700.16</v>
      </c>
      <c r="E480">
        <v>4518.5928199999998</v>
      </c>
      <c r="F480">
        <v>4596.0559499999999</v>
      </c>
      <c r="G480">
        <v>4755.40355</v>
      </c>
      <c r="H480">
        <v>4792.7697200000002</v>
      </c>
      <c r="Q480">
        <v>4689.7229799999996</v>
      </c>
      <c r="R480">
        <v>4719.0862800000004</v>
      </c>
      <c r="S480">
        <v>4745.6750499999998</v>
      </c>
      <c r="V480">
        <v>4654.7832099999996</v>
      </c>
      <c r="W480">
        <v>4621.21821</v>
      </c>
      <c r="AB480">
        <v>4698.6375399999997</v>
      </c>
      <c r="AC480">
        <v>4700.6958000000004</v>
      </c>
      <c r="AD480">
        <v>0</v>
      </c>
      <c r="AK480">
        <v>478</v>
      </c>
      <c r="AL480">
        <v>477</v>
      </c>
      <c r="AM480">
        <v>4700.16</v>
      </c>
      <c r="AN480">
        <v>4689.723</v>
      </c>
      <c r="AO480">
        <v>10.436999999999999</v>
      </c>
      <c r="AP480">
        <v>108.9314</v>
      </c>
      <c r="AQ480">
        <v>2.6154E-2</v>
      </c>
      <c r="AR480">
        <v>7.7640000000000001E-3</v>
      </c>
      <c r="AY480">
        <v>478</v>
      </c>
      <c r="AZ480">
        <v>477</v>
      </c>
      <c r="BA480">
        <v>4700.16</v>
      </c>
      <c r="BB480">
        <v>4689.723</v>
      </c>
      <c r="BC480">
        <v>10.436999999999999</v>
      </c>
      <c r="BD480">
        <v>108.9314</v>
      </c>
      <c r="BE480">
        <v>227529</v>
      </c>
    </row>
    <row r="481" spans="1:57" x14ac:dyDescent="0.55000000000000004">
      <c r="A481">
        <v>1776972602</v>
      </c>
      <c r="B481" t="s">
        <v>72</v>
      </c>
      <c r="C481" t="s">
        <v>73</v>
      </c>
      <c r="D481">
        <v>4692.49</v>
      </c>
      <c r="E481">
        <v>4518.5928199999998</v>
      </c>
      <c r="F481">
        <v>4596.0559499999999</v>
      </c>
      <c r="G481">
        <v>4755.40355</v>
      </c>
      <c r="H481">
        <v>4792.7697200000002</v>
      </c>
      <c r="Q481">
        <v>4689.4553699999997</v>
      </c>
      <c r="R481">
        <v>4718.8186699999997</v>
      </c>
      <c r="S481">
        <v>4745.40744</v>
      </c>
      <c r="V481">
        <v>4654.5155999999997</v>
      </c>
      <c r="W481">
        <v>4620.9506099999999</v>
      </c>
      <c r="AB481">
        <v>4696.3532500000001</v>
      </c>
      <c r="AC481">
        <v>4698.5245299999997</v>
      </c>
      <c r="AD481">
        <v>0</v>
      </c>
      <c r="AK481">
        <v>479</v>
      </c>
      <c r="AL481">
        <v>478</v>
      </c>
      <c r="AM481">
        <v>4692.49</v>
      </c>
      <c r="AN481">
        <v>4689.4553999999998</v>
      </c>
      <c r="AO481">
        <v>3.0346000000000002</v>
      </c>
      <c r="AP481">
        <v>9.2089999999999996</v>
      </c>
      <c r="AQ481">
        <v>6.4300000000000002E-4</v>
      </c>
      <c r="AR481">
        <v>5.5000000000000002E-5</v>
      </c>
      <c r="AY481">
        <v>479</v>
      </c>
      <c r="AZ481">
        <v>478</v>
      </c>
      <c r="BA481">
        <v>4692.49</v>
      </c>
      <c r="BB481">
        <v>4689.4553999999998</v>
      </c>
      <c r="BC481">
        <v>3.0346000000000002</v>
      </c>
      <c r="BD481">
        <v>9.2089999999999996</v>
      </c>
      <c r="BE481">
        <v>228484</v>
      </c>
    </row>
    <row r="482" spans="1:57" x14ac:dyDescent="0.55000000000000004">
      <c r="A482">
        <v>1776973502</v>
      </c>
      <c r="B482" t="s">
        <v>72</v>
      </c>
      <c r="C482" t="s">
        <v>73</v>
      </c>
      <c r="D482">
        <v>4696.1000000000004</v>
      </c>
      <c r="E482">
        <v>4518.5928199999998</v>
      </c>
      <c r="F482">
        <v>4596.0559499999999</v>
      </c>
      <c r="G482">
        <v>4755.40355</v>
      </c>
      <c r="H482">
        <v>4792.7697200000002</v>
      </c>
      <c r="Q482">
        <v>4689.1877699999995</v>
      </c>
      <c r="R482">
        <v>4718.5510700000004</v>
      </c>
      <c r="S482">
        <v>4745.1398399999998</v>
      </c>
      <c r="V482">
        <v>4654.2479999999996</v>
      </c>
      <c r="W482">
        <v>4620.683</v>
      </c>
      <c r="AB482">
        <v>4694.4818999999998</v>
      </c>
      <c r="AC482">
        <v>4696.5032099999999</v>
      </c>
      <c r="AD482">
        <v>0</v>
      </c>
      <c r="AK482">
        <v>480</v>
      </c>
      <c r="AL482">
        <v>479</v>
      </c>
      <c r="AM482">
        <v>4696.1000000000004</v>
      </c>
      <c r="AN482">
        <v>4689.1877999999997</v>
      </c>
      <c r="AO482">
        <v>6.9122000000000003</v>
      </c>
      <c r="AP482">
        <v>47.7789</v>
      </c>
      <c r="AQ482">
        <v>7.5969999999999996E-3</v>
      </c>
      <c r="AR482">
        <v>1.4940000000000001E-3</v>
      </c>
      <c r="AY482">
        <v>480</v>
      </c>
      <c r="AZ482">
        <v>479</v>
      </c>
      <c r="BA482">
        <v>4696.1000000000004</v>
      </c>
      <c r="BB482">
        <v>4689.1877999999997</v>
      </c>
      <c r="BC482">
        <v>6.9122000000000003</v>
      </c>
      <c r="BD482">
        <v>47.7789</v>
      </c>
      <c r="BE482">
        <v>229441</v>
      </c>
    </row>
    <row r="483" spans="1:57" x14ac:dyDescent="0.55000000000000004">
      <c r="A483">
        <v>1776974402</v>
      </c>
      <c r="B483" t="s">
        <v>72</v>
      </c>
      <c r="C483" t="s">
        <v>73</v>
      </c>
      <c r="D483">
        <v>4690.84</v>
      </c>
      <c r="E483">
        <v>4518.5928199999998</v>
      </c>
      <c r="F483">
        <v>4596.0559499999999</v>
      </c>
      <c r="G483">
        <v>4755.40355</v>
      </c>
      <c r="H483">
        <v>4792.7697200000002</v>
      </c>
      <c r="Q483">
        <v>4688.9201599999997</v>
      </c>
      <c r="R483">
        <v>4718.2834599999996</v>
      </c>
      <c r="S483">
        <v>4744.8722299999999</v>
      </c>
      <c r="V483">
        <v>4653.9803899999997</v>
      </c>
      <c r="W483">
        <v>4620.4153999999999</v>
      </c>
      <c r="AB483">
        <v>4693.0710799999997</v>
      </c>
      <c r="AC483">
        <v>4694.7871500000001</v>
      </c>
      <c r="AD483">
        <v>0</v>
      </c>
      <c r="AK483">
        <v>481</v>
      </c>
      <c r="AL483">
        <v>480</v>
      </c>
      <c r="AM483">
        <v>4690.84</v>
      </c>
      <c r="AN483">
        <v>4688.9201999999996</v>
      </c>
      <c r="AO483">
        <v>1.9198</v>
      </c>
      <c r="AP483">
        <v>3.6858</v>
      </c>
      <c r="AQ483">
        <v>1.63E-4</v>
      </c>
      <c r="AR483">
        <v>9.0000000000000002E-6</v>
      </c>
      <c r="AY483">
        <v>481</v>
      </c>
      <c r="AZ483">
        <v>480</v>
      </c>
      <c r="BA483">
        <v>4690.84</v>
      </c>
      <c r="BB483">
        <v>4688.9201999999996</v>
      </c>
      <c r="BC483">
        <v>1.9198</v>
      </c>
      <c r="BD483">
        <v>3.6858</v>
      </c>
      <c r="BE483">
        <v>230400</v>
      </c>
    </row>
    <row r="484" spans="1:57" x14ac:dyDescent="0.55000000000000004">
      <c r="A484">
        <v>1776975302</v>
      </c>
      <c r="B484" t="s">
        <v>72</v>
      </c>
      <c r="C484" t="s">
        <v>73</v>
      </c>
      <c r="D484">
        <v>4689.41</v>
      </c>
      <c r="E484">
        <v>4518.5928199999998</v>
      </c>
      <c r="F484">
        <v>4596.0559499999999</v>
      </c>
      <c r="G484">
        <v>4755.40355</v>
      </c>
      <c r="H484">
        <v>4792.7697200000002</v>
      </c>
      <c r="Q484">
        <v>4688.6525600000004</v>
      </c>
      <c r="R484">
        <v>4718.0158600000004</v>
      </c>
      <c r="S484">
        <v>4744.6046299999998</v>
      </c>
      <c r="V484">
        <v>4653.7127899999996</v>
      </c>
      <c r="W484">
        <v>4620.14779</v>
      </c>
      <c r="AB484">
        <v>4692.26685</v>
      </c>
      <c r="AC484">
        <v>4693.527</v>
      </c>
      <c r="AD484">
        <v>0</v>
      </c>
      <c r="AK484">
        <v>482</v>
      </c>
      <c r="AL484">
        <v>481</v>
      </c>
      <c r="AM484">
        <v>4689.41</v>
      </c>
      <c r="AN484">
        <v>4688.6526000000003</v>
      </c>
      <c r="AO484">
        <v>0.75739999999999996</v>
      </c>
      <c r="AP484">
        <v>0.57369999999999999</v>
      </c>
      <c r="AQ484">
        <v>1.0000000000000001E-5</v>
      </c>
      <c r="AR484">
        <v>0</v>
      </c>
      <c r="AY484">
        <v>482</v>
      </c>
      <c r="AZ484">
        <v>481</v>
      </c>
      <c r="BA484">
        <v>4689.41</v>
      </c>
      <c r="BB484">
        <v>4688.6526000000003</v>
      </c>
      <c r="BC484">
        <v>0.75739999999999996</v>
      </c>
      <c r="BD484">
        <v>0.57369999999999999</v>
      </c>
      <c r="BE484">
        <v>231361</v>
      </c>
    </row>
    <row r="485" spans="1:57" x14ac:dyDescent="0.55000000000000004">
      <c r="A485">
        <v>1776976202</v>
      </c>
      <c r="B485" t="s">
        <v>72</v>
      </c>
      <c r="C485" t="s">
        <v>73</v>
      </c>
      <c r="D485">
        <v>4691.3900000000003</v>
      </c>
      <c r="E485">
        <v>4518.5928199999998</v>
      </c>
      <c r="F485">
        <v>4596.0559499999999</v>
      </c>
      <c r="G485">
        <v>4755.40355</v>
      </c>
      <c r="H485">
        <v>4792.7697200000002</v>
      </c>
      <c r="Q485">
        <v>4688.3849600000003</v>
      </c>
      <c r="R485">
        <v>4717.7482499999996</v>
      </c>
      <c r="S485">
        <v>4744.3370299999997</v>
      </c>
      <c r="V485">
        <v>4653.4451900000004</v>
      </c>
      <c r="W485">
        <v>4619.8801899999999</v>
      </c>
      <c r="AB485">
        <v>4692.0236999999997</v>
      </c>
      <c r="AC485">
        <v>4692.7753499999999</v>
      </c>
      <c r="AD485">
        <v>0</v>
      </c>
      <c r="AK485">
        <v>483</v>
      </c>
      <c r="AL485">
        <v>482</v>
      </c>
      <c r="AM485">
        <v>4691.3900000000003</v>
      </c>
      <c r="AN485">
        <v>4688.3850000000002</v>
      </c>
      <c r="AO485">
        <v>3.0049999999999999</v>
      </c>
      <c r="AP485">
        <v>9.0303000000000004</v>
      </c>
      <c r="AQ485">
        <v>6.2399999999999999E-4</v>
      </c>
      <c r="AR485">
        <v>5.3000000000000001E-5</v>
      </c>
      <c r="AY485">
        <v>483</v>
      </c>
      <c r="AZ485">
        <v>482</v>
      </c>
      <c r="BA485">
        <v>4691.3900000000003</v>
      </c>
      <c r="BB485">
        <v>4688.3850000000002</v>
      </c>
      <c r="BC485">
        <v>3.0049999999999999</v>
      </c>
      <c r="BD485">
        <v>9.0303000000000004</v>
      </c>
      <c r="BE485">
        <v>232324</v>
      </c>
    </row>
    <row r="486" spans="1:57" x14ac:dyDescent="0.55000000000000004">
      <c r="A486">
        <v>1776977102</v>
      </c>
      <c r="B486" t="s">
        <v>72</v>
      </c>
      <c r="C486" t="s">
        <v>73</v>
      </c>
      <c r="D486">
        <v>4694.41</v>
      </c>
      <c r="E486">
        <v>4518.5928199999998</v>
      </c>
      <c r="F486">
        <v>4596.0559499999999</v>
      </c>
      <c r="G486">
        <v>4755.40355</v>
      </c>
      <c r="H486">
        <v>4792.7697200000002</v>
      </c>
      <c r="Q486">
        <v>4688.1173500000004</v>
      </c>
      <c r="R486">
        <v>4717.4806500000004</v>
      </c>
      <c r="S486">
        <v>4744.0694199999998</v>
      </c>
      <c r="V486">
        <v>4653.1775799999996</v>
      </c>
      <c r="W486">
        <v>4619.6125899999997</v>
      </c>
      <c r="AB486">
        <v>4692.16896</v>
      </c>
      <c r="AC486">
        <v>4692.4721499999996</v>
      </c>
      <c r="AD486">
        <v>0</v>
      </c>
      <c r="AK486">
        <v>484</v>
      </c>
      <c r="AL486">
        <v>483</v>
      </c>
      <c r="AM486">
        <v>4694.41</v>
      </c>
      <c r="AN486">
        <v>4688.1174000000001</v>
      </c>
      <c r="AO486">
        <v>6.2926000000000002</v>
      </c>
      <c r="AP486">
        <v>39.5974</v>
      </c>
      <c r="AQ486">
        <v>5.7320000000000001E-3</v>
      </c>
      <c r="AR486">
        <v>1.026E-3</v>
      </c>
      <c r="AY486">
        <v>484</v>
      </c>
      <c r="AZ486">
        <v>483</v>
      </c>
      <c r="BA486">
        <v>4694.41</v>
      </c>
      <c r="BB486">
        <v>4688.1174000000001</v>
      </c>
      <c r="BC486">
        <v>6.2926000000000002</v>
      </c>
      <c r="BD486">
        <v>39.5974</v>
      </c>
      <c r="BE486">
        <v>233289</v>
      </c>
    </row>
    <row r="487" spans="1:57" x14ac:dyDescent="0.55000000000000004">
      <c r="A487">
        <v>1776981602</v>
      </c>
      <c r="B487" t="s">
        <v>72</v>
      </c>
      <c r="C487" t="s">
        <v>73</v>
      </c>
      <c r="D487">
        <v>4697.43</v>
      </c>
      <c r="E487">
        <v>4518.5928199999998</v>
      </c>
      <c r="F487">
        <v>4596.0559499999999</v>
      </c>
      <c r="G487">
        <v>4755.40355</v>
      </c>
      <c r="H487">
        <v>4792.7697200000002</v>
      </c>
      <c r="Q487">
        <v>4687.8497500000003</v>
      </c>
      <c r="R487">
        <v>4717.2130500000003</v>
      </c>
      <c r="S487">
        <v>4743.8018199999997</v>
      </c>
      <c r="V487">
        <v>4652.9099800000004</v>
      </c>
      <c r="W487">
        <v>4619.3449799999999</v>
      </c>
      <c r="AB487">
        <v>4692.4510399999999</v>
      </c>
      <c r="AC487">
        <v>4692.4615999999996</v>
      </c>
      <c r="AD487">
        <v>0</v>
      </c>
      <c r="AK487">
        <v>485</v>
      </c>
      <c r="AL487">
        <v>484</v>
      </c>
      <c r="AM487">
        <v>4697.43</v>
      </c>
      <c r="AN487">
        <v>4687.8498</v>
      </c>
      <c r="AO487">
        <v>9.5801999999999996</v>
      </c>
      <c r="AP487">
        <v>91.781199999999998</v>
      </c>
      <c r="AQ487">
        <v>2.0227999999999999E-2</v>
      </c>
      <c r="AR487">
        <v>5.5110000000000003E-3</v>
      </c>
      <c r="AY487">
        <v>485</v>
      </c>
      <c r="AZ487">
        <v>484</v>
      </c>
      <c r="BA487">
        <v>4697.43</v>
      </c>
      <c r="BB487">
        <v>4687.8498</v>
      </c>
      <c r="BC487">
        <v>9.5801999999999996</v>
      </c>
      <c r="BD487">
        <v>91.781199999999998</v>
      </c>
      <c r="BE487">
        <v>234256</v>
      </c>
    </row>
    <row r="488" spans="1:57" x14ac:dyDescent="0.55000000000000004">
      <c r="A488">
        <v>1776982502</v>
      </c>
      <c r="B488" t="s">
        <v>72</v>
      </c>
      <c r="C488" t="s">
        <v>73</v>
      </c>
      <c r="D488">
        <v>4692.8999999999996</v>
      </c>
      <c r="E488">
        <v>4518.5928199999998</v>
      </c>
      <c r="F488">
        <v>4596.0559499999999</v>
      </c>
      <c r="G488">
        <v>4755.40355</v>
      </c>
      <c r="H488">
        <v>4792.7697200000002</v>
      </c>
      <c r="Q488">
        <v>4687.5821400000004</v>
      </c>
      <c r="R488">
        <v>4716.9454400000004</v>
      </c>
      <c r="S488">
        <v>4743.5342099999998</v>
      </c>
      <c r="V488">
        <v>4652.6423699999996</v>
      </c>
      <c r="W488">
        <v>4619.0773799999997</v>
      </c>
      <c r="AB488">
        <v>4692.6568100000004</v>
      </c>
      <c r="AC488">
        <v>4692.5591999999997</v>
      </c>
      <c r="AD488">
        <v>1</v>
      </c>
      <c r="AK488">
        <v>486</v>
      </c>
      <c r="AL488">
        <v>485</v>
      </c>
      <c r="AM488">
        <v>4692.8999999999996</v>
      </c>
      <c r="AN488">
        <v>4687.5820999999996</v>
      </c>
      <c r="AO488">
        <v>5.3178999999999998</v>
      </c>
      <c r="AP488">
        <v>28.279599999999999</v>
      </c>
      <c r="AQ488">
        <v>3.46E-3</v>
      </c>
      <c r="AR488">
        <v>5.2300000000000003E-4</v>
      </c>
      <c r="AY488">
        <v>486</v>
      </c>
      <c r="AZ488">
        <v>485</v>
      </c>
      <c r="BA488">
        <v>4692.8999999999996</v>
      </c>
      <c r="BB488">
        <v>4687.5820999999996</v>
      </c>
      <c r="BC488">
        <v>5.3178999999999998</v>
      </c>
      <c r="BD488">
        <v>28.279599999999999</v>
      </c>
      <c r="BE488">
        <v>235225</v>
      </c>
    </row>
    <row r="489" spans="1:57" x14ac:dyDescent="0.55000000000000004">
      <c r="A489">
        <v>1776983402</v>
      </c>
      <c r="B489" t="s">
        <v>72</v>
      </c>
      <c r="C489" t="s">
        <v>73</v>
      </c>
      <c r="D489">
        <v>4693.76</v>
      </c>
      <c r="E489">
        <v>4518.5928199999998</v>
      </c>
      <c r="F489">
        <v>4596.0559499999999</v>
      </c>
      <c r="G489">
        <v>4755.40355</v>
      </c>
      <c r="H489">
        <v>4792.7697200000002</v>
      </c>
      <c r="Q489">
        <v>4687.3145400000003</v>
      </c>
      <c r="R489">
        <v>4716.6778400000003</v>
      </c>
      <c r="S489">
        <v>4743.2666099999997</v>
      </c>
      <c r="V489">
        <v>4652.3747700000004</v>
      </c>
      <c r="W489">
        <v>4618.8097699999998</v>
      </c>
      <c r="AB489">
        <v>4692.9109200000003</v>
      </c>
      <c r="AC489">
        <v>4692.73506</v>
      </c>
      <c r="AD489">
        <v>0</v>
      </c>
      <c r="AK489">
        <v>487</v>
      </c>
      <c r="AL489">
        <v>486</v>
      </c>
      <c r="AM489">
        <v>4693.76</v>
      </c>
      <c r="AN489">
        <v>4687.3145000000004</v>
      </c>
      <c r="AO489">
        <v>6.4455</v>
      </c>
      <c r="AP489">
        <v>41.543999999999997</v>
      </c>
      <c r="AQ489">
        <v>6.1599999999999997E-3</v>
      </c>
      <c r="AR489">
        <v>1.129E-3</v>
      </c>
      <c r="AY489">
        <v>487</v>
      </c>
      <c r="AZ489">
        <v>486</v>
      </c>
      <c r="BA489">
        <v>4693.76</v>
      </c>
      <c r="BB489">
        <v>4687.3145000000004</v>
      </c>
      <c r="BC489">
        <v>6.4455</v>
      </c>
      <c r="BD489">
        <v>41.543999999999997</v>
      </c>
      <c r="BE489">
        <v>236196</v>
      </c>
    </row>
    <row r="490" spans="1:57" x14ac:dyDescent="0.55000000000000004">
      <c r="A490">
        <v>1776984302</v>
      </c>
      <c r="B490" t="s">
        <v>72</v>
      </c>
      <c r="C490" t="s">
        <v>73</v>
      </c>
      <c r="D490">
        <v>4693.3500000000004</v>
      </c>
      <c r="E490">
        <v>4518.5928199999998</v>
      </c>
      <c r="F490">
        <v>4596.0559499999999</v>
      </c>
      <c r="G490">
        <v>4755.40355</v>
      </c>
      <c r="H490">
        <v>4792.7697200000002</v>
      </c>
      <c r="Q490">
        <v>4687.0469400000002</v>
      </c>
      <c r="R490">
        <v>4716.4102300000004</v>
      </c>
      <c r="S490">
        <v>4742.9990100000005</v>
      </c>
      <c r="V490">
        <v>4652.1071700000002</v>
      </c>
      <c r="W490">
        <v>4618.5421699999997</v>
      </c>
      <c r="AB490">
        <v>4693.2768299999998</v>
      </c>
      <c r="AC490">
        <v>4693.00594</v>
      </c>
      <c r="AD490">
        <v>0</v>
      </c>
      <c r="AK490">
        <v>488</v>
      </c>
      <c r="AL490">
        <v>487</v>
      </c>
      <c r="AM490">
        <v>4693.3500000000004</v>
      </c>
      <c r="AN490">
        <v>4687.0469000000003</v>
      </c>
      <c r="AO490">
        <v>6.3030999999999997</v>
      </c>
      <c r="AP490">
        <v>39.7286</v>
      </c>
      <c r="AQ490">
        <v>5.7609999999999996E-3</v>
      </c>
      <c r="AR490">
        <v>1.0330000000000001E-3</v>
      </c>
      <c r="AY490">
        <v>488</v>
      </c>
      <c r="AZ490">
        <v>487</v>
      </c>
      <c r="BA490">
        <v>4693.3500000000004</v>
      </c>
      <c r="BB490">
        <v>4687.0469000000003</v>
      </c>
      <c r="BC490">
        <v>6.3030999999999997</v>
      </c>
      <c r="BD490">
        <v>39.7286</v>
      </c>
      <c r="BE490">
        <v>237169</v>
      </c>
    </row>
    <row r="491" spans="1:57" x14ac:dyDescent="0.55000000000000004">
      <c r="A491">
        <v>1776985202</v>
      </c>
      <c r="B491" t="s">
        <v>72</v>
      </c>
      <c r="C491" t="s">
        <v>73</v>
      </c>
      <c r="D491">
        <v>4689.74</v>
      </c>
      <c r="E491">
        <v>4518.5928199999998</v>
      </c>
      <c r="F491">
        <v>4596.0559499999999</v>
      </c>
      <c r="G491">
        <v>4755.40355</v>
      </c>
      <c r="H491">
        <v>4792.7697200000002</v>
      </c>
      <c r="Q491">
        <v>4686.7793300000003</v>
      </c>
      <c r="R491">
        <v>4716.1426300000003</v>
      </c>
      <c r="S491">
        <v>4742.7313999999997</v>
      </c>
      <c r="V491">
        <v>4651.8395600000003</v>
      </c>
      <c r="W491">
        <v>4618.2745599999998</v>
      </c>
      <c r="AB491">
        <v>4693.8901299999998</v>
      </c>
      <c r="AC491">
        <v>4693.4480400000002</v>
      </c>
      <c r="AD491">
        <v>0</v>
      </c>
      <c r="AK491">
        <v>489</v>
      </c>
      <c r="AL491">
        <v>488</v>
      </c>
      <c r="AM491">
        <v>4689.74</v>
      </c>
      <c r="AN491">
        <v>4686.7793000000001</v>
      </c>
      <c r="AO491">
        <v>2.9607000000000001</v>
      </c>
      <c r="AP491">
        <v>8.7655999999999992</v>
      </c>
      <c r="AQ491">
        <v>5.9699999999999998E-4</v>
      </c>
      <c r="AR491">
        <v>5.0000000000000002E-5</v>
      </c>
      <c r="AY491">
        <v>489</v>
      </c>
      <c r="AZ491">
        <v>488</v>
      </c>
      <c r="BA491">
        <v>4689.74</v>
      </c>
      <c r="BB491">
        <v>4686.7793000000001</v>
      </c>
      <c r="BC491">
        <v>2.9607000000000001</v>
      </c>
      <c r="BD491">
        <v>8.7655999999999992</v>
      </c>
      <c r="BE491">
        <v>238144</v>
      </c>
    </row>
    <row r="492" spans="1:57" x14ac:dyDescent="0.55000000000000004">
      <c r="A492">
        <v>1776986102</v>
      </c>
      <c r="B492" t="s">
        <v>72</v>
      </c>
      <c r="C492" t="s">
        <v>73</v>
      </c>
      <c r="D492">
        <v>4694.54</v>
      </c>
      <c r="E492">
        <v>4518.5928199999998</v>
      </c>
      <c r="F492">
        <v>4596.0559499999999</v>
      </c>
      <c r="G492">
        <v>4755.40355</v>
      </c>
      <c r="H492">
        <v>4792.7697200000002</v>
      </c>
      <c r="Q492">
        <v>4686.5117300000002</v>
      </c>
      <c r="R492">
        <v>4715.8750300000002</v>
      </c>
      <c r="S492">
        <v>4742.4638000000004</v>
      </c>
      <c r="V492">
        <v>4651.5719600000002</v>
      </c>
      <c r="W492">
        <v>4618.0069599999997</v>
      </c>
      <c r="AB492">
        <v>4694.9549699999998</v>
      </c>
      <c r="AC492">
        <v>4694.2015099999999</v>
      </c>
      <c r="AD492">
        <v>0</v>
      </c>
      <c r="AK492">
        <v>490</v>
      </c>
      <c r="AL492">
        <v>489</v>
      </c>
      <c r="AM492">
        <v>4694.54</v>
      </c>
      <c r="AN492">
        <v>4686.5117</v>
      </c>
      <c r="AO492">
        <v>8.0282999999999998</v>
      </c>
      <c r="AP492">
        <v>64.453100000000006</v>
      </c>
      <c r="AQ492">
        <v>1.1904E-2</v>
      </c>
      <c r="AR492">
        <v>2.7179999999999999E-3</v>
      </c>
      <c r="AY492">
        <v>490</v>
      </c>
      <c r="AZ492">
        <v>489</v>
      </c>
      <c r="BA492">
        <v>4694.54</v>
      </c>
      <c r="BB492">
        <v>4686.5117</v>
      </c>
      <c r="BC492">
        <v>8.0282999999999998</v>
      </c>
      <c r="BD492">
        <v>64.453100000000006</v>
      </c>
      <c r="BE492">
        <v>239121</v>
      </c>
    </row>
    <row r="493" spans="1:57" x14ac:dyDescent="0.55000000000000004">
      <c r="A493">
        <v>1776987002</v>
      </c>
      <c r="B493" t="s">
        <v>72</v>
      </c>
      <c r="C493" t="s">
        <v>73</v>
      </c>
      <c r="D493">
        <v>4697.37</v>
      </c>
      <c r="E493">
        <v>4518.5928199999998</v>
      </c>
      <c r="F493">
        <v>4596.0559499999999</v>
      </c>
      <c r="G493">
        <v>4755.40355</v>
      </c>
      <c r="H493">
        <v>4792.7697200000002</v>
      </c>
      <c r="Q493">
        <v>4686.2441200000003</v>
      </c>
      <c r="R493">
        <v>4715.6074200000003</v>
      </c>
      <c r="S493">
        <v>4742.1961899999997</v>
      </c>
      <c r="V493">
        <v>4651.3043500000003</v>
      </c>
      <c r="W493">
        <v>4617.7393599999996</v>
      </c>
      <c r="AB493">
        <v>4696.38321</v>
      </c>
      <c r="AC493">
        <v>4695.2923600000004</v>
      </c>
      <c r="AD493">
        <v>0</v>
      </c>
      <c r="AK493">
        <v>491</v>
      </c>
      <c r="AL493">
        <v>490</v>
      </c>
      <c r="AM493">
        <v>4697.37</v>
      </c>
      <c r="AN493">
        <v>4686.2440999999999</v>
      </c>
      <c r="AO493">
        <v>11.1259</v>
      </c>
      <c r="AP493">
        <v>123.7852</v>
      </c>
      <c r="AQ493">
        <v>3.1682000000000002E-2</v>
      </c>
      <c r="AR493">
        <v>1.0024999999999999E-2</v>
      </c>
      <c r="AY493">
        <v>491</v>
      </c>
      <c r="AZ493">
        <v>490</v>
      </c>
      <c r="BA493">
        <v>4697.37</v>
      </c>
      <c r="BB493">
        <v>4686.2440999999999</v>
      </c>
      <c r="BC493">
        <v>11.1259</v>
      </c>
      <c r="BD493">
        <v>123.7852</v>
      </c>
      <c r="BE493">
        <v>240100</v>
      </c>
    </row>
    <row r="494" spans="1:57" x14ac:dyDescent="0.55000000000000004">
      <c r="A494">
        <v>1776987902</v>
      </c>
      <c r="B494" t="s">
        <v>72</v>
      </c>
      <c r="C494" t="s">
        <v>73</v>
      </c>
      <c r="D494">
        <v>4695.41</v>
      </c>
      <c r="E494">
        <v>4518.5928199999998</v>
      </c>
      <c r="F494">
        <v>4596.0559499999999</v>
      </c>
      <c r="G494">
        <v>4755.40355</v>
      </c>
      <c r="H494">
        <v>4792.7697200000002</v>
      </c>
      <c r="Q494">
        <v>4685.9765200000002</v>
      </c>
      <c r="R494">
        <v>4715.3398200000001</v>
      </c>
      <c r="S494">
        <v>4741.9285900000004</v>
      </c>
      <c r="V494">
        <v>4651.0367500000002</v>
      </c>
      <c r="W494">
        <v>4617.4717499999997</v>
      </c>
      <c r="AB494">
        <v>4698.0533800000003</v>
      </c>
      <c r="AC494">
        <v>4696.6728700000003</v>
      </c>
      <c r="AD494">
        <v>0</v>
      </c>
      <c r="AK494">
        <v>492</v>
      </c>
      <c r="AL494">
        <v>491</v>
      </c>
      <c r="AM494">
        <v>4695.41</v>
      </c>
      <c r="AN494">
        <v>4685.9764999999998</v>
      </c>
      <c r="AO494">
        <v>9.4335000000000004</v>
      </c>
      <c r="AP494">
        <v>88.990499999999997</v>
      </c>
      <c r="AQ494">
        <v>1.9311999999999999E-2</v>
      </c>
      <c r="AR494">
        <v>5.1809999999999998E-3</v>
      </c>
      <c r="AY494">
        <v>492</v>
      </c>
      <c r="AZ494">
        <v>491</v>
      </c>
      <c r="BA494">
        <v>4695.41</v>
      </c>
      <c r="BB494">
        <v>4685.9764999999998</v>
      </c>
      <c r="BC494">
        <v>9.4335000000000004</v>
      </c>
      <c r="BD494">
        <v>88.990499999999997</v>
      </c>
      <c r="BE494">
        <v>241081</v>
      </c>
    </row>
    <row r="495" spans="1:57" x14ac:dyDescent="0.55000000000000004">
      <c r="A495">
        <v>1776988802</v>
      </c>
      <c r="B495" t="s">
        <v>72</v>
      </c>
      <c r="C495" t="s">
        <v>73</v>
      </c>
      <c r="D495">
        <v>4698.34</v>
      </c>
      <c r="E495">
        <v>4518.5928199999998</v>
      </c>
      <c r="F495">
        <v>4596.0559499999999</v>
      </c>
      <c r="G495">
        <v>4755.40355</v>
      </c>
      <c r="H495">
        <v>4792.7697200000002</v>
      </c>
      <c r="Q495">
        <v>4685.70892</v>
      </c>
      <c r="R495">
        <v>4715.0722100000003</v>
      </c>
      <c r="S495">
        <v>4741.6609799999997</v>
      </c>
      <c r="V495">
        <v>4650.7691400000003</v>
      </c>
      <c r="W495">
        <v>4617.2041499999996</v>
      </c>
      <c r="AB495">
        <v>4699.8961200000003</v>
      </c>
      <c r="AC495">
        <v>4698.28449</v>
      </c>
      <c r="AD495">
        <v>0</v>
      </c>
      <c r="AK495">
        <v>493</v>
      </c>
      <c r="AL495">
        <v>492</v>
      </c>
      <c r="AM495">
        <v>4698.34</v>
      </c>
      <c r="AN495">
        <v>4685.7088999999996</v>
      </c>
      <c r="AO495">
        <v>12.6311</v>
      </c>
      <c r="AP495">
        <v>159.54419999999999</v>
      </c>
      <c r="AQ495">
        <v>4.6358999999999997E-2</v>
      </c>
      <c r="AR495">
        <v>1.6653999999999999E-2</v>
      </c>
      <c r="AY495">
        <v>493</v>
      </c>
      <c r="AZ495">
        <v>492</v>
      </c>
      <c r="BA495">
        <v>4698.34</v>
      </c>
      <c r="BB495">
        <v>4685.7088999999996</v>
      </c>
      <c r="BC495">
        <v>12.6311</v>
      </c>
      <c r="BD495">
        <v>159.54419999999999</v>
      </c>
      <c r="BE495">
        <v>242064</v>
      </c>
    </row>
    <row r="496" spans="1:57" x14ac:dyDescent="0.55000000000000004">
      <c r="A496">
        <v>1776989702</v>
      </c>
      <c r="B496" t="s">
        <v>72</v>
      </c>
      <c r="C496" t="s">
        <v>73</v>
      </c>
      <c r="D496">
        <v>4705.83</v>
      </c>
      <c r="E496">
        <v>4518.5928199999998</v>
      </c>
      <c r="F496">
        <v>4596.0559499999999</v>
      </c>
      <c r="G496">
        <v>4755.40355</v>
      </c>
      <c r="H496">
        <v>4792.7697200000002</v>
      </c>
      <c r="Q496">
        <v>4685.4413100000002</v>
      </c>
      <c r="R496">
        <v>4714.8046100000001</v>
      </c>
      <c r="S496">
        <v>4741.3933800000004</v>
      </c>
      <c r="V496">
        <v>4650.5015400000002</v>
      </c>
      <c r="W496">
        <v>4616.9365399999997</v>
      </c>
      <c r="AB496">
        <v>4701.6500599999999</v>
      </c>
      <c r="AC496">
        <v>4699.9672799999998</v>
      </c>
      <c r="AD496">
        <v>0</v>
      </c>
      <c r="AK496">
        <v>494</v>
      </c>
      <c r="AL496">
        <v>493</v>
      </c>
      <c r="AM496">
        <v>4705.83</v>
      </c>
      <c r="AN496">
        <v>4685.4413000000004</v>
      </c>
      <c r="AO496">
        <v>20.3887</v>
      </c>
      <c r="AP496">
        <v>415.69869999999997</v>
      </c>
      <c r="AQ496">
        <v>0.19497700000000001</v>
      </c>
      <c r="AR496">
        <v>0.11306099999999999</v>
      </c>
      <c r="AY496">
        <v>494</v>
      </c>
      <c r="AZ496">
        <v>493</v>
      </c>
      <c r="BA496">
        <v>4705.83</v>
      </c>
      <c r="BB496">
        <v>4685.4413000000004</v>
      </c>
      <c r="BC496">
        <v>20.3887</v>
      </c>
      <c r="BD496">
        <v>415.69869999999997</v>
      </c>
      <c r="BE496">
        <v>243049</v>
      </c>
    </row>
    <row r="497" spans="1:57" x14ac:dyDescent="0.55000000000000004">
      <c r="A497">
        <v>1776990602</v>
      </c>
      <c r="B497" t="s">
        <v>72</v>
      </c>
      <c r="C497" t="s">
        <v>73</v>
      </c>
      <c r="D497">
        <v>4701.8</v>
      </c>
      <c r="E497">
        <v>4518.5928199999998</v>
      </c>
      <c r="F497">
        <v>4596.0559499999999</v>
      </c>
      <c r="G497">
        <v>4755.40355</v>
      </c>
      <c r="H497">
        <v>4792.7697200000002</v>
      </c>
      <c r="Q497">
        <v>4685.17371</v>
      </c>
      <c r="R497">
        <v>4714.53701</v>
      </c>
      <c r="S497">
        <v>4741.1257800000003</v>
      </c>
      <c r="V497">
        <v>4650.2339400000001</v>
      </c>
      <c r="W497">
        <v>4616.6689399999996</v>
      </c>
      <c r="AB497">
        <v>4702.87104</v>
      </c>
      <c r="AC497">
        <v>4701.4191600000004</v>
      </c>
      <c r="AD497">
        <v>0</v>
      </c>
      <c r="AK497">
        <v>495</v>
      </c>
      <c r="AL497">
        <v>494</v>
      </c>
      <c r="AM497">
        <v>4701.8</v>
      </c>
      <c r="AN497">
        <v>4685.1737000000003</v>
      </c>
      <c r="AO497">
        <v>16.626300000000001</v>
      </c>
      <c r="AP497">
        <v>276.43349999999998</v>
      </c>
      <c r="AQ497">
        <v>0.10573100000000001</v>
      </c>
      <c r="AR497">
        <v>4.9995999999999999E-2</v>
      </c>
      <c r="AY497">
        <v>495</v>
      </c>
      <c r="AZ497">
        <v>494</v>
      </c>
      <c r="BA497">
        <v>4701.8</v>
      </c>
      <c r="BB497">
        <v>4685.1737000000003</v>
      </c>
      <c r="BC497">
        <v>16.626300000000001</v>
      </c>
      <c r="BD497">
        <v>276.43349999999998</v>
      </c>
      <c r="BE497">
        <v>244036</v>
      </c>
    </row>
    <row r="498" spans="1:57" x14ac:dyDescent="0.55000000000000004">
      <c r="A498">
        <v>1776991502</v>
      </c>
      <c r="B498" t="s">
        <v>72</v>
      </c>
      <c r="C498" t="s">
        <v>73</v>
      </c>
      <c r="D498">
        <v>4704.71</v>
      </c>
      <c r="E498">
        <v>4518.5928199999998</v>
      </c>
      <c r="F498">
        <v>4596.0559499999999</v>
      </c>
      <c r="G498">
        <v>4755.40355</v>
      </c>
      <c r="H498">
        <v>4792.7697200000002</v>
      </c>
      <c r="Q498">
        <v>4684.9061000000002</v>
      </c>
      <c r="R498">
        <v>4714.2694000000001</v>
      </c>
      <c r="S498">
        <v>4740.8581700000004</v>
      </c>
      <c r="V498">
        <v>4649.9663300000002</v>
      </c>
      <c r="W498">
        <v>4616.4013400000003</v>
      </c>
      <c r="AB498">
        <v>4703.4389600000004</v>
      </c>
      <c r="AC498">
        <v>4702.4290600000004</v>
      </c>
      <c r="AD498">
        <v>0</v>
      </c>
      <c r="AK498">
        <v>496</v>
      </c>
      <c r="AL498">
        <v>495</v>
      </c>
      <c r="AM498">
        <v>4704.71</v>
      </c>
      <c r="AN498">
        <v>4684.9061000000002</v>
      </c>
      <c r="AO498">
        <v>19.803899999999999</v>
      </c>
      <c r="AP498">
        <v>392.19450000000001</v>
      </c>
      <c r="AQ498">
        <v>0.178677</v>
      </c>
      <c r="AR498">
        <v>0.100637</v>
      </c>
      <c r="AY498">
        <v>496</v>
      </c>
      <c r="AZ498">
        <v>495</v>
      </c>
      <c r="BA498">
        <v>4704.71</v>
      </c>
      <c r="BB498">
        <v>4684.9061000000002</v>
      </c>
      <c r="BC498">
        <v>19.803899999999999</v>
      </c>
      <c r="BD498">
        <v>392.19450000000001</v>
      </c>
      <c r="BE498">
        <v>245025</v>
      </c>
    </row>
    <row r="499" spans="1:57" x14ac:dyDescent="0.55000000000000004">
      <c r="A499">
        <v>1776992402</v>
      </c>
      <c r="B499" t="s">
        <v>72</v>
      </c>
      <c r="C499" t="s">
        <v>73</v>
      </c>
      <c r="D499">
        <v>4709.47</v>
      </c>
      <c r="E499">
        <v>4518.5928199999998</v>
      </c>
      <c r="F499">
        <v>4596.0559499999999</v>
      </c>
      <c r="G499">
        <v>4755.40355</v>
      </c>
      <c r="H499">
        <v>4792.7697200000002</v>
      </c>
      <c r="Q499">
        <v>4684.6385</v>
      </c>
      <c r="R499">
        <v>4714.0018</v>
      </c>
      <c r="S499">
        <v>4740.5905700000003</v>
      </c>
      <c r="V499">
        <v>4649.6987300000001</v>
      </c>
      <c r="W499">
        <v>4616.1337299999996</v>
      </c>
      <c r="AB499">
        <v>4703.0390200000002</v>
      </c>
      <c r="AC499">
        <v>4702.7340400000003</v>
      </c>
      <c r="AD499">
        <v>0</v>
      </c>
      <c r="AK499">
        <v>497</v>
      </c>
      <c r="AL499">
        <v>496</v>
      </c>
      <c r="AM499">
        <v>4709.47</v>
      </c>
      <c r="AN499">
        <v>4684.6385</v>
      </c>
      <c r="AO499">
        <v>24.831499999999998</v>
      </c>
      <c r="AP499">
        <v>616.60339999999997</v>
      </c>
      <c r="AQ499">
        <v>0.35222799999999999</v>
      </c>
      <c r="AR499">
        <v>0.248752</v>
      </c>
      <c r="AY499">
        <v>497</v>
      </c>
      <c r="AZ499">
        <v>496</v>
      </c>
      <c r="BA499">
        <v>4709.47</v>
      </c>
      <c r="BB499">
        <v>4684.6385</v>
      </c>
      <c r="BC499">
        <v>24.831499999999998</v>
      </c>
      <c r="BD499">
        <v>616.60339999999997</v>
      </c>
      <c r="BE499">
        <v>246016</v>
      </c>
    </row>
    <row r="500" spans="1:57" x14ac:dyDescent="0.55000000000000004">
      <c r="A500">
        <v>1776993302</v>
      </c>
      <c r="B500" t="s">
        <v>72</v>
      </c>
      <c r="C500" t="s">
        <v>73</v>
      </c>
      <c r="D500">
        <v>4698.41</v>
      </c>
      <c r="E500">
        <v>4518.5928199999998</v>
      </c>
      <c r="F500">
        <v>4596.0559499999999</v>
      </c>
      <c r="G500">
        <v>4755.40355</v>
      </c>
      <c r="H500">
        <v>4792.7697200000002</v>
      </c>
      <c r="Q500">
        <v>4684.3708900000001</v>
      </c>
      <c r="R500">
        <v>4713.7341900000001</v>
      </c>
      <c r="S500">
        <v>4740.3229600000004</v>
      </c>
      <c r="V500">
        <v>4649.4311200000002</v>
      </c>
      <c r="W500">
        <v>4615.8661300000003</v>
      </c>
      <c r="Z500">
        <v>4711.2299999999996</v>
      </c>
      <c r="AB500">
        <v>4701.3644000000004</v>
      </c>
      <c r="AC500">
        <v>4702.0492199999999</v>
      </c>
      <c r="AD500">
        <v>1</v>
      </c>
      <c r="AK500">
        <v>498</v>
      </c>
      <c r="AL500">
        <v>497</v>
      </c>
      <c r="AM500">
        <v>4698.41</v>
      </c>
      <c r="AN500">
        <v>4684.3708999999999</v>
      </c>
      <c r="AO500">
        <v>14.039099999999999</v>
      </c>
      <c r="AP500">
        <v>197.0966</v>
      </c>
      <c r="AQ500">
        <v>6.3655000000000003E-2</v>
      </c>
      <c r="AR500">
        <v>2.5416000000000001E-2</v>
      </c>
      <c r="AY500">
        <v>498</v>
      </c>
      <c r="AZ500">
        <v>497</v>
      </c>
      <c r="BA500">
        <v>4698.41</v>
      </c>
      <c r="BB500">
        <v>4684.3708999999999</v>
      </c>
      <c r="BC500">
        <v>14.039099999999999</v>
      </c>
      <c r="BD500">
        <v>197.0966</v>
      </c>
      <c r="BE500">
        <v>247009</v>
      </c>
    </row>
    <row r="501" spans="1:57" x14ac:dyDescent="0.55000000000000004">
      <c r="A501">
        <v>1776994202</v>
      </c>
      <c r="B501" t="s">
        <v>72</v>
      </c>
      <c r="C501" t="s">
        <v>73</v>
      </c>
      <c r="D501">
        <v>4690.8100000000004</v>
      </c>
      <c r="E501">
        <v>4518.5928199999998</v>
      </c>
      <c r="F501">
        <v>4596.0559499999999</v>
      </c>
      <c r="G501">
        <v>4755.40355</v>
      </c>
      <c r="H501">
        <v>4792.7697200000002</v>
      </c>
      <c r="Q501">
        <v>4684.10329</v>
      </c>
      <c r="R501">
        <v>4713.46659</v>
      </c>
      <c r="S501">
        <v>4740.0553600000003</v>
      </c>
      <c r="V501">
        <v>4649.1635200000001</v>
      </c>
      <c r="W501">
        <v>4615.5985199999996</v>
      </c>
      <c r="AB501">
        <v>4698.6827000000003</v>
      </c>
      <c r="AC501">
        <v>4700.3659600000001</v>
      </c>
      <c r="AD501">
        <v>0</v>
      </c>
      <c r="AK501">
        <v>499</v>
      </c>
      <c r="AL501">
        <v>498</v>
      </c>
      <c r="AM501">
        <v>4690.8100000000004</v>
      </c>
      <c r="AN501">
        <v>4684.1032999999998</v>
      </c>
      <c r="AO501">
        <v>6.7066999999999997</v>
      </c>
      <c r="AP501">
        <v>44.98</v>
      </c>
      <c r="AQ501">
        <v>6.94E-3</v>
      </c>
      <c r="AR501">
        <v>1.3240000000000001E-3</v>
      </c>
      <c r="AY501">
        <v>499</v>
      </c>
      <c r="AZ501">
        <v>498</v>
      </c>
      <c r="BA501">
        <v>4690.8100000000004</v>
      </c>
      <c r="BB501">
        <v>4684.1032999999998</v>
      </c>
      <c r="BC501">
        <v>6.7066999999999997</v>
      </c>
      <c r="BD501">
        <v>44.98</v>
      </c>
      <c r="BE501">
        <v>248004</v>
      </c>
    </row>
    <row r="502" spans="1:57" x14ac:dyDescent="0.55000000000000004">
      <c r="A502">
        <v>1776995102</v>
      </c>
      <c r="B502" t="s">
        <v>72</v>
      </c>
      <c r="C502" t="s">
        <v>73</v>
      </c>
      <c r="D502">
        <v>4699.09</v>
      </c>
      <c r="E502">
        <v>4518.5928199999998</v>
      </c>
      <c r="F502">
        <v>4596.0559499999999</v>
      </c>
      <c r="G502">
        <v>4755.40355</v>
      </c>
      <c r="H502">
        <v>4792.7697200000002</v>
      </c>
      <c r="Q502">
        <v>4683.8356899999999</v>
      </c>
      <c r="R502">
        <v>4713.1989899999999</v>
      </c>
      <c r="S502">
        <v>4739.7877600000002</v>
      </c>
      <c r="V502">
        <v>4648.8959199999999</v>
      </c>
      <c r="W502">
        <v>4615.3309200000003</v>
      </c>
      <c r="AB502">
        <v>4695.2984200000001</v>
      </c>
      <c r="AC502">
        <v>4697.8321900000001</v>
      </c>
      <c r="AD502">
        <v>0</v>
      </c>
      <c r="AK502">
        <v>500</v>
      </c>
      <c r="AL502">
        <v>499</v>
      </c>
      <c r="AM502">
        <v>4699.09</v>
      </c>
      <c r="AN502">
        <v>4683.8356999999996</v>
      </c>
      <c r="AO502">
        <v>15.254300000000001</v>
      </c>
      <c r="AP502">
        <v>232.69399999999999</v>
      </c>
      <c r="AQ502">
        <v>8.1656999999999993E-2</v>
      </c>
      <c r="AR502">
        <v>3.5425999999999999E-2</v>
      </c>
      <c r="AY502">
        <v>500</v>
      </c>
      <c r="AZ502">
        <v>499</v>
      </c>
      <c r="BA502">
        <v>4699.09</v>
      </c>
      <c r="BB502">
        <v>4683.8356999999996</v>
      </c>
      <c r="BC502">
        <v>15.254300000000001</v>
      </c>
      <c r="BD502">
        <v>232.69399999999999</v>
      </c>
      <c r="BE502">
        <v>249001</v>
      </c>
    </row>
    <row r="503" spans="1:57" x14ac:dyDescent="0.55000000000000004">
      <c r="A503">
        <v>1776996002</v>
      </c>
      <c r="B503" t="s">
        <v>72</v>
      </c>
      <c r="C503" t="s">
        <v>73</v>
      </c>
      <c r="D503">
        <v>4693.29</v>
      </c>
      <c r="E503">
        <v>4518.5928199999998</v>
      </c>
      <c r="F503">
        <v>4596.0559499999999</v>
      </c>
      <c r="G503">
        <v>4755.40355</v>
      </c>
      <c r="H503">
        <v>4792.7697200000002</v>
      </c>
      <c r="Q503">
        <v>4683.56808</v>
      </c>
      <c r="R503">
        <v>4712.93138</v>
      </c>
      <c r="S503">
        <v>4739.5201500000003</v>
      </c>
      <c r="V503">
        <v>4648.6283100000001</v>
      </c>
      <c r="W503">
        <v>4615.0633200000002</v>
      </c>
      <c r="AB503">
        <v>4691.1674999999996</v>
      </c>
      <c r="AC503">
        <v>4694.4998400000004</v>
      </c>
      <c r="AD503">
        <v>0</v>
      </c>
      <c r="AK503">
        <v>501</v>
      </c>
      <c r="AL503">
        <v>500</v>
      </c>
      <c r="AM503">
        <v>4693.29</v>
      </c>
      <c r="AN503">
        <v>4683.5681000000004</v>
      </c>
      <c r="AO503">
        <v>9.7218999999999998</v>
      </c>
      <c r="AP503">
        <v>94.515699999999995</v>
      </c>
      <c r="AQ503">
        <v>2.1138000000000001E-2</v>
      </c>
      <c r="AR503">
        <v>5.8450000000000004E-3</v>
      </c>
      <c r="AY503">
        <v>501</v>
      </c>
      <c r="AZ503">
        <v>500</v>
      </c>
      <c r="BA503">
        <v>4693.29</v>
      </c>
      <c r="BB503">
        <v>4683.5681000000004</v>
      </c>
      <c r="BC503">
        <v>9.7218999999999998</v>
      </c>
      <c r="BD503">
        <v>94.515699999999995</v>
      </c>
      <c r="BE503">
        <v>250000</v>
      </c>
    </row>
    <row r="504" spans="1:57" x14ac:dyDescent="0.55000000000000004">
      <c r="A504">
        <v>1776996902</v>
      </c>
      <c r="B504" t="s">
        <v>72</v>
      </c>
      <c r="C504" t="s">
        <v>73</v>
      </c>
      <c r="D504">
        <v>4684.1400000000003</v>
      </c>
      <c r="E504">
        <v>4518.5928199999998</v>
      </c>
      <c r="F504">
        <v>4596.0559499999999</v>
      </c>
      <c r="G504">
        <v>4755.40355</v>
      </c>
      <c r="H504">
        <v>4792.7697200000002</v>
      </c>
      <c r="Q504">
        <v>4683.3004799999999</v>
      </c>
      <c r="R504">
        <v>4712.6637799999999</v>
      </c>
      <c r="S504">
        <v>4739.2525500000002</v>
      </c>
      <c r="V504">
        <v>4648.3607099999999</v>
      </c>
      <c r="W504">
        <v>4614.7957100000003</v>
      </c>
      <c r="AB504">
        <v>4686.6927100000003</v>
      </c>
      <c r="AC504">
        <v>4690.59627</v>
      </c>
      <c r="AD504">
        <v>0</v>
      </c>
      <c r="AK504">
        <v>502</v>
      </c>
      <c r="AL504">
        <v>501</v>
      </c>
      <c r="AM504">
        <v>4684.1400000000003</v>
      </c>
      <c r="AN504">
        <v>4683.3005000000003</v>
      </c>
      <c r="AO504">
        <v>0.83950000000000002</v>
      </c>
      <c r="AP504">
        <v>0.70479999999999998</v>
      </c>
      <c r="AQ504">
        <v>1.4E-5</v>
      </c>
      <c r="AR504">
        <v>0</v>
      </c>
      <c r="AY504">
        <v>502</v>
      </c>
      <c r="AZ504">
        <v>501</v>
      </c>
      <c r="BA504">
        <v>4684.1400000000003</v>
      </c>
      <c r="BB504">
        <v>4683.3005000000003</v>
      </c>
      <c r="BC504">
        <v>0.83950000000000002</v>
      </c>
      <c r="BD504">
        <v>0.70479999999999998</v>
      </c>
      <c r="BE504">
        <v>251001</v>
      </c>
    </row>
    <row r="505" spans="1:57" x14ac:dyDescent="0.55000000000000004">
      <c r="A505">
        <v>1776997802</v>
      </c>
      <c r="B505" t="s">
        <v>72</v>
      </c>
      <c r="C505" t="s">
        <v>73</v>
      </c>
      <c r="D505">
        <v>4683.54</v>
      </c>
      <c r="E505">
        <v>4518.5928199999998</v>
      </c>
      <c r="F505">
        <v>4596.0559499999999</v>
      </c>
      <c r="G505">
        <v>4755.40355</v>
      </c>
      <c r="H505">
        <v>4792.7697200000002</v>
      </c>
      <c r="Q505">
        <v>4683.03287</v>
      </c>
      <c r="R505">
        <v>4712.39617</v>
      </c>
      <c r="S505">
        <v>4738.9849400000003</v>
      </c>
      <c r="V505">
        <v>4648.0931</v>
      </c>
      <c r="W505">
        <v>4614.5281100000002</v>
      </c>
      <c r="AB505">
        <v>4682.2824000000001</v>
      </c>
      <c r="AC505">
        <v>4686.4393399999999</v>
      </c>
      <c r="AD505">
        <v>0</v>
      </c>
      <c r="AK505">
        <v>503</v>
      </c>
      <c r="AL505">
        <v>502</v>
      </c>
      <c r="AM505">
        <v>4683.54</v>
      </c>
      <c r="AN505">
        <v>4683.0329000000002</v>
      </c>
      <c r="AO505">
        <v>0.5071</v>
      </c>
      <c r="AP505">
        <v>0.25719999999999998</v>
      </c>
      <c r="AQ505">
        <v>3.0000000000000001E-6</v>
      </c>
      <c r="AR505">
        <v>0</v>
      </c>
      <c r="AY505">
        <v>503</v>
      </c>
      <c r="AZ505">
        <v>502</v>
      </c>
      <c r="BA505">
        <v>4683.54</v>
      </c>
      <c r="BB505">
        <v>4683.0329000000002</v>
      </c>
      <c r="BC505">
        <v>0.5071</v>
      </c>
      <c r="BD505">
        <v>0.25719999999999998</v>
      </c>
      <c r="BE505">
        <v>252004</v>
      </c>
    </row>
    <row r="506" spans="1:57" x14ac:dyDescent="0.55000000000000004">
      <c r="A506">
        <v>1776998702</v>
      </c>
      <c r="B506" t="s">
        <v>72</v>
      </c>
      <c r="C506" t="s">
        <v>73</v>
      </c>
      <c r="D506">
        <v>4676.83</v>
      </c>
      <c r="E506">
        <v>4518.5928199999998</v>
      </c>
      <c r="F506">
        <v>4596.0559499999999</v>
      </c>
      <c r="G506">
        <v>4755.40355</v>
      </c>
      <c r="H506">
        <v>4792.7697200000002</v>
      </c>
      <c r="Q506">
        <v>4682.7652699999999</v>
      </c>
      <c r="R506">
        <v>4712.1285699999999</v>
      </c>
      <c r="S506">
        <v>4738.7173400000001</v>
      </c>
      <c r="V506">
        <v>4647.8254999999999</v>
      </c>
      <c r="W506">
        <v>4614.2605000000003</v>
      </c>
      <c r="AB506">
        <v>4678.1208900000001</v>
      </c>
      <c r="AC506">
        <v>4682.2801099999997</v>
      </c>
      <c r="AD506">
        <v>0</v>
      </c>
      <c r="AK506">
        <v>504</v>
      </c>
      <c r="AL506">
        <v>503</v>
      </c>
      <c r="AM506">
        <v>4676.83</v>
      </c>
      <c r="AN506">
        <v>4682.7653</v>
      </c>
      <c r="AO506">
        <v>-5.9352999999999998</v>
      </c>
      <c r="AP506">
        <v>35.227400000000003</v>
      </c>
      <c r="AQ506">
        <v>-4.81E-3</v>
      </c>
      <c r="AR506">
        <v>8.12E-4</v>
      </c>
      <c r="AY506">
        <v>504</v>
      </c>
      <c r="AZ506">
        <v>503</v>
      </c>
      <c r="BA506">
        <v>4676.83</v>
      </c>
      <c r="BB506">
        <v>4682.7653</v>
      </c>
      <c r="BC506">
        <v>-5.9352999999999998</v>
      </c>
      <c r="BD506">
        <v>35.227400000000003</v>
      </c>
      <c r="BE506">
        <v>253009</v>
      </c>
    </row>
    <row r="507" spans="1:57" x14ac:dyDescent="0.55000000000000004">
      <c r="A507">
        <v>1776999602</v>
      </c>
      <c r="B507" t="s">
        <v>72</v>
      </c>
      <c r="C507" t="s">
        <v>73</v>
      </c>
      <c r="D507">
        <v>4670.5</v>
      </c>
      <c r="E507">
        <v>4518.5928199999998</v>
      </c>
      <c r="F507">
        <v>4596.0559499999999</v>
      </c>
      <c r="G507">
        <v>4755.40355</v>
      </c>
      <c r="H507">
        <v>4792.7697200000002</v>
      </c>
      <c r="Q507">
        <v>4682.4976699999997</v>
      </c>
      <c r="R507">
        <v>4711.86096</v>
      </c>
      <c r="S507">
        <v>4738.44974</v>
      </c>
      <c r="V507">
        <v>4647.5578999999998</v>
      </c>
      <c r="W507">
        <v>4613.9929000000002</v>
      </c>
      <c r="AB507">
        <v>4674.53755</v>
      </c>
      <c r="AC507">
        <v>4678.4088300000003</v>
      </c>
      <c r="AD507">
        <v>0</v>
      </c>
      <c r="AK507">
        <v>505</v>
      </c>
      <c r="AL507">
        <v>504</v>
      </c>
      <c r="AM507">
        <v>4670.5</v>
      </c>
      <c r="AN507">
        <v>4682.4976999999999</v>
      </c>
      <c r="AO507">
        <v>-11.9977</v>
      </c>
      <c r="AP507">
        <v>143.94409999999999</v>
      </c>
      <c r="AQ507">
        <v>-3.9729E-2</v>
      </c>
      <c r="AR507">
        <v>1.3556E-2</v>
      </c>
      <c r="AY507">
        <v>505</v>
      </c>
      <c r="AZ507">
        <v>504</v>
      </c>
      <c r="BA507">
        <v>4670.5</v>
      </c>
      <c r="BB507">
        <v>4682.4976999999999</v>
      </c>
      <c r="BC507">
        <v>-11.9977</v>
      </c>
      <c r="BD507">
        <v>143.94409999999999</v>
      </c>
      <c r="BE507">
        <v>254016</v>
      </c>
    </row>
    <row r="508" spans="1:57" x14ac:dyDescent="0.55000000000000004">
      <c r="A508">
        <v>1777000502</v>
      </c>
      <c r="B508" t="s">
        <v>72</v>
      </c>
      <c r="C508" t="s">
        <v>73</v>
      </c>
      <c r="D508">
        <v>4674.62</v>
      </c>
      <c r="E508">
        <v>4518.5928199999998</v>
      </c>
      <c r="F508">
        <v>4596.0559499999999</v>
      </c>
      <c r="G508">
        <v>4755.40355</v>
      </c>
      <c r="H508">
        <v>4792.7697200000002</v>
      </c>
      <c r="Q508">
        <v>4682.2300599999999</v>
      </c>
      <c r="R508">
        <v>4711.5933599999998</v>
      </c>
      <c r="S508">
        <v>4738.1821300000001</v>
      </c>
      <c r="V508">
        <v>4647.2902899999999</v>
      </c>
      <c r="W508">
        <v>4613.7253000000001</v>
      </c>
      <c r="AB508">
        <v>4671.8266199999998</v>
      </c>
      <c r="AC508">
        <v>4675.1177200000002</v>
      </c>
      <c r="AD508">
        <v>0</v>
      </c>
      <c r="AK508">
        <v>506</v>
      </c>
      <c r="AL508">
        <v>505</v>
      </c>
      <c r="AM508">
        <v>4674.62</v>
      </c>
      <c r="AN508">
        <v>4682.2300999999998</v>
      </c>
      <c r="AO508">
        <v>-7.6101000000000001</v>
      </c>
      <c r="AP508">
        <v>57.912999999999997</v>
      </c>
      <c r="AQ508">
        <v>-1.0139E-2</v>
      </c>
      <c r="AR508">
        <v>2.1940000000000002E-3</v>
      </c>
      <c r="AY508">
        <v>506</v>
      </c>
      <c r="AZ508">
        <v>505</v>
      </c>
      <c r="BA508">
        <v>4674.62</v>
      </c>
      <c r="BB508">
        <v>4682.2300999999998</v>
      </c>
      <c r="BC508">
        <v>-7.6101000000000001</v>
      </c>
      <c r="BD508">
        <v>57.912999999999997</v>
      </c>
      <c r="BE508">
        <v>255025</v>
      </c>
    </row>
    <row r="509" spans="1:57" x14ac:dyDescent="0.55000000000000004">
      <c r="A509">
        <v>1777001402</v>
      </c>
      <c r="B509" t="s">
        <v>72</v>
      </c>
      <c r="C509" t="s">
        <v>73</v>
      </c>
      <c r="D509">
        <v>4675.32</v>
      </c>
      <c r="E509">
        <v>4518.5928199999998</v>
      </c>
      <c r="F509">
        <v>4596.0559499999999</v>
      </c>
      <c r="G509">
        <v>4755.40355</v>
      </c>
      <c r="H509">
        <v>4792.7697200000002</v>
      </c>
      <c r="Q509">
        <v>4681.9624599999997</v>
      </c>
      <c r="R509">
        <v>4711.3257599999997</v>
      </c>
      <c r="S509">
        <v>4737.91453</v>
      </c>
      <c r="V509">
        <v>4647.0226899999998</v>
      </c>
      <c r="W509">
        <v>4613.4576900000002</v>
      </c>
      <c r="AB509">
        <v>4669.94697</v>
      </c>
      <c r="AC509">
        <v>4672.5323500000004</v>
      </c>
      <c r="AD509">
        <v>0</v>
      </c>
      <c r="AK509">
        <v>507</v>
      </c>
      <c r="AL509">
        <v>506</v>
      </c>
      <c r="AM509">
        <v>4675.32</v>
      </c>
      <c r="AN509">
        <v>4681.9624999999996</v>
      </c>
      <c r="AO509">
        <v>-6.6425000000000001</v>
      </c>
      <c r="AP509">
        <v>44.122300000000003</v>
      </c>
      <c r="AQ509">
        <v>-6.7419999999999997E-3</v>
      </c>
      <c r="AR509">
        <v>1.274E-3</v>
      </c>
      <c r="AY509">
        <v>507</v>
      </c>
      <c r="AZ509">
        <v>506</v>
      </c>
      <c r="BA509">
        <v>4675.32</v>
      </c>
      <c r="BB509">
        <v>4681.9624999999996</v>
      </c>
      <c r="BC509">
        <v>-6.6425000000000001</v>
      </c>
      <c r="BD509">
        <v>44.122300000000003</v>
      </c>
      <c r="BE509">
        <v>256036</v>
      </c>
    </row>
    <row r="510" spans="1:57" x14ac:dyDescent="0.55000000000000004">
      <c r="A510">
        <v>1777002302</v>
      </c>
      <c r="B510" t="s">
        <v>72</v>
      </c>
      <c r="C510" t="s">
        <v>73</v>
      </c>
      <c r="D510">
        <v>4672.16</v>
      </c>
      <c r="E510">
        <v>4518.5928199999998</v>
      </c>
      <c r="F510">
        <v>4596.0559499999999</v>
      </c>
      <c r="G510">
        <v>4755.40355</v>
      </c>
      <c r="H510">
        <v>4792.7697200000002</v>
      </c>
      <c r="Q510">
        <v>4681.6948499999999</v>
      </c>
      <c r="R510">
        <v>4711.0581499999998</v>
      </c>
      <c r="S510">
        <v>4737.6469200000001</v>
      </c>
      <c r="V510">
        <v>4646.7550799999999</v>
      </c>
      <c r="W510">
        <v>4613.1900900000001</v>
      </c>
      <c r="AB510">
        <v>4668.8726299999998</v>
      </c>
      <c r="AC510">
        <v>4670.7024899999997</v>
      </c>
      <c r="AD510">
        <v>0</v>
      </c>
      <c r="AK510">
        <v>508</v>
      </c>
      <c r="AL510">
        <v>507</v>
      </c>
      <c r="AM510">
        <v>4672.16</v>
      </c>
      <c r="AN510">
        <v>4681.6948000000002</v>
      </c>
      <c r="AO510">
        <v>-9.5349000000000004</v>
      </c>
      <c r="AP510">
        <v>90.913399999999996</v>
      </c>
      <c r="AQ510">
        <v>-1.9941E-2</v>
      </c>
      <c r="AR510">
        <v>5.4079999999999996E-3</v>
      </c>
      <c r="AY510">
        <v>508</v>
      </c>
      <c r="AZ510">
        <v>507</v>
      </c>
      <c r="BA510">
        <v>4672.16</v>
      </c>
      <c r="BB510">
        <v>4681.6948000000002</v>
      </c>
      <c r="BC510">
        <v>-9.5349000000000004</v>
      </c>
      <c r="BD510">
        <v>90.913399999999996</v>
      </c>
      <c r="BE510">
        <v>257049</v>
      </c>
    </row>
    <row r="511" spans="1:57" x14ac:dyDescent="0.55000000000000004">
      <c r="A511">
        <v>1777003202</v>
      </c>
      <c r="B511" t="s">
        <v>72</v>
      </c>
      <c r="C511" t="s">
        <v>73</v>
      </c>
      <c r="D511">
        <v>4670.01</v>
      </c>
      <c r="E511">
        <v>4518.5928199999998</v>
      </c>
      <c r="F511">
        <v>4596.0559499999999</v>
      </c>
      <c r="G511">
        <v>4755.40355</v>
      </c>
      <c r="H511">
        <v>4792.7697200000002</v>
      </c>
      <c r="Q511">
        <v>4681.4272499999997</v>
      </c>
      <c r="R511">
        <v>4710.7905499999997</v>
      </c>
      <c r="S511">
        <v>4737.37932</v>
      </c>
      <c r="V511">
        <v>4646.4874799999998</v>
      </c>
      <c r="W511">
        <v>4612.9224800000002</v>
      </c>
      <c r="AB511">
        <v>4668.6490599999997</v>
      </c>
      <c r="AC511">
        <v>4669.6757799999996</v>
      </c>
      <c r="AD511">
        <v>0</v>
      </c>
      <c r="AK511">
        <v>509</v>
      </c>
      <c r="AL511">
        <v>508</v>
      </c>
      <c r="AM511">
        <v>4670.01</v>
      </c>
      <c r="AN511">
        <v>4681.4272000000001</v>
      </c>
      <c r="AO511">
        <v>-11.417199999999999</v>
      </c>
      <c r="AP511">
        <v>130.3536</v>
      </c>
      <c r="AQ511">
        <v>-3.4236999999999997E-2</v>
      </c>
      <c r="AR511">
        <v>1.1117E-2</v>
      </c>
      <c r="AY511">
        <v>509</v>
      </c>
      <c r="AZ511">
        <v>508</v>
      </c>
      <c r="BA511">
        <v>4670.01</v>
      </c>
      <c r="BB511">
        <v>4681.4272000000001</v>
      </c>
      <c r="BC511">
        <v>-11.417199999999999</v>
      </c>
      <c r="BD511">
        <v>130.3536</v>
      </c>
      <c r="BE511">
        <v>258064</v>
      </c>
    </row>
    <row r="512" spans="1:57" x14ac:dyDescent="0.55000000000000004">
      <c r="A512">
        <v>1777004102</v>
      </c>
      <c r="B512" t="s">
        <v>72</v>
      </c>
      <c r="C512" t="s">
        <v>73</v>
      </c>
      <c r="D512">
        <v>4659.6499999999996</v>
      </c>
      <c r="E512">
        <v>4518.5928199999998</v>
      </c>
      <c r="F512">
        <v>4596.0559499999999</v>
      </c>
      <c r="G512">
        <v>4755.40355</v>
      </c>
      <c r="H512">
        <v>4792.7697200000002</v>
      </c>
      <c r="Q512">
        <v>4681.1596499999996</v>
      </c>
      <c r="R512">
        <v>4710.5229399999998</v>
      </c>
      <c r="S512">
        <v>4737.1117199999999</v>
      </c>
      <c r="V512">
        <v>4646.2198799999996</v>
      </c>
      <c r="W512">
        <v>4612.65488</v>
      </c>
      <c r="AB512">
        <v>4669.3183900000004</v>
      </c>
      <c r="AC512">
        <v>4669.4970800000001</v>
      </c>
      <c r="AD512">
        <v>0</v>
      </c>
      <c r="AK512">
        <v>510</v>
      </c>
      <c r="AL512">
        <v>509</v>
      </c>
      <c r="AM512">
        <v>4659.6499999999996</v>
      </c>
      <c r="AN512">
        <v>4681.1596</v>
      </c>
      <c r="AO512">
        <v>-21.509599999999999</v>
      </c>
      <c r="AP512">
        <v>462.66500000000002</v>
      </c>
      <c r="AQ512">
        <v>-0.228937</v>
      </c>
      <c r="AR512">
        <v>0.14005100000000001</v>
      </c>
      <c r="AY512">
        <v>510</v>
      </c>
      <c r="AZ512">
        <v>509</v>
      </c>
      <c r="BA512">
        <v>4659.6499999999996</v>
      </c>
      <c r="BB512">
        <v>4681.1596</v>
      </c>
      <c r="BC512">
        <v>-21.509599999999999</v>
      </c>
      <c r="BD512">
        <v>462.66500000000002</v>
      </c>
      <c r="BE512">
        <v>259081</v>
      </c>
    </row>
    <row r="513" spans="1:57" x14ac:dyDescent="0.55000000000000004">
      <c r="A513">
        <v>1777005002</v>
      </c>
      <c r="B513" t="s">
        <v>72</v>
      </c>
      <c r="C513" t="s">
        <v>73</v>
      </c>
      <c r="D513">
        <v>4668.58</v>
      </c>
      <c r="E513">
        <v>4518.5928199999998</v>
      </c>
      <c r="F513">
        <v>4596.0559499999999</v>
      </c>
      <c r="G513">
        <v>4755.40355</v>
      </c>
      <c r="H513">
        <v>4792.7697200000002</v>
      </c>
      <c r="Q513">
        <v>4680.8920399999997</v>
      </c>
      <c r="R513">
        <v>4710.2553399999997</v>
      </c>
      <c r="S513">
        <v>4736.84411</v>
      </c>
      <c r="V513">
        <v>4645.9522699999998</v>
      </c>
      <c r="W513">
        <v>4612.3872700000002</v>
      </c>
      <c r="AA513">
        <v>4658.17</v>
      </c>
      <c r="AB513">
        <v>4671.0085200000003</v>
      </c>
      <c r="AC513">
        <v>4670.2528000000002</v>
      </c>
      <c r="AD513">
        <v>1</v>
      </c>
      <c r="AK513">
        <v>511</v>
      </c>
      <c r="AL513">
        <v>510</v>
      </c>
      <c r="AM513">
        <v>4668.58</v>
      </c>
      <c r="AN513">
        <v>4680.8919999999998</v>
      </c>
      <c r="AO513">
        <v>-12.311999999999999</v>
      </c>
      <c r="AP513">
        <v>151.58629999999999</v>
      </c>
      <c r="AQ513">
        <v>-4.2934E-2</v>
      </c>
      <c r="AR513">
        <v>1.5034E-2</v>
      </c>
      <c r="AY513">
        <v>511</v>
      </c>
      <c r="AZ513">
        <v>510</v>
      </c>
      <c r="BA513">
        <v>4668.58</v>
      </c>
      <c r="BB513">
        <v>4680.8919999999998</v>
      </c>
      <c r="BC513">
        <v>-12.311999999999999</v>
      </c>
      <c r="BD513">
        <v>151.58629999999999</v>
      </c>
      <c r="BE513">
        <v>260100</v>
      </c>
    </row>
    <row r="514" spans="1:57" x14ac:dyDescent="0.55000000000000004">
      <c r="A514">
        <v>1777005902</v>
      </c>
      <c r="B514" t="s">
        <v>72</v>
      </c>
      <c r="C514" t="s">
        <v>73</v>
      </c>
      <c r="D514">
        <v>4674.53</v>
      </c>
      <c r="E514">
        <v>4518.5928199999998</v>
      </c>
      <c r="F514">
        <v>4596.0559499999999</v>
      </c>
      <c r="G514">
        <v>4755.40355</v>
      </c>
      <c r="H514">
        <v>4792.7697200000002</v>
      </c>
      <c r="Q514">
        <v>4680.6244399999996</v>
      </c>
      <c r="R514">
        <v>4709.9877399999996</v>
      </c>
      <c r="S514">
        <v>4736.5765099999999</v>
      </c>
      <c r="V514">
        <v>4645.6846699999996</v>
      </c>
      <c r="W514">
        <v>4612.11967</v>
      </c>
      <c r="AB514">
        <v>4673.2037700000001</v>
      </c>
      <c r="AC514">
        <v>4671.72829</v>
      </c>
      <c r="AD514">
        <v>0</v>
      </c>
      <c r="AK514">
        <v>512</v>
      </c>
      <c r="AL514">
        <v>511</v>
      </c>
      <c r="AM514">
        <v>4674.53</v>
      </c>
      <c r="AN514">
        <v>4680.6243999999997</v>
      </c>
      <c r="AO514">
        <v>-6.0944000000000003</v>
      </c>
      <c r="AP514">
        <v>37.142200000000003</v>
      </c>
      <c r="AQ514">
        <v>-5.2069999999999998E-3</v>
      </c>
      <c r="AR514">
        <v>9.0300000000000005E-4</v>
      </c>
      <c r="AY514">
        <v>512</v>
      </c>
      <c r="AZ514">
        <v>511</v>
      </c>
      <c r="BA514">
        <v>4674.53</v>
      </c>
      <c r="BB514">
        <v>4680.6243999999997</v>
      </c>
      <c r="BC514">
        <v>-6.0944000000000003</v>
      </c>
      <c r="BD514">
        <v>37.142200000000003</v>
      </c>
      <c r="BE514">
        <v>261121</v>
      </c>
    </row>
    <row r="515" spans="1:57" x14ac:dyDescent="0.55000000000000004">
      <c r="A515">
        <v>1777006802</v>
      </c>
      <c r="B515" t="s">
        <v>72</v>
      </c>
      <c r="C515" t="s">
        <v>73</v>
      </c>
      <c r="D515">
        <v>4673.4399999999996</v>
      </c>
      <c r="E515">
        <v>4518.5928199999998</v>
      </c>
      <c r="F515">
        <v>4596.0559499999999</v>
      </c>
      <c r="G515">
        <v>4755.40355</v>
      </c>
      <c r="H515">
        <v>4792.7697200000002</v>
      </c>
      <c r="Q515">
        <v>4680.3568299999997</v>
      </c>
      <c r="R515">
        <v>4709.7201299999997</v>
      </c>
      <c r="S515">
        <v>4736.3089</v>
      </c>
      <c r="V515">
        <v>4645.4170599999998</v>
      </c>
      <c r="W515">
        <v>4611.8520699999999</v>
      </c>
      <c r="AB515">
        <v>4675.3896699999996</v>
      </c>
      <c r="AC515">
        <v>4673.5589799999998</v>
      </c>
      <c r="AD515">
        <v>0</v>
      </c>
      <c r="AK515">
        <v>513</v>
      </c>
      <c r="AL515">
        <v>512</v>
      </c>
      <c r="AM515">
        <v>4673.4399999999996</v>
      </c>
      <c r="AN515">
        <v>4680.3567999999996</v>
      </c>
      <c r="AO515">
        <v>-6.9168000000000003</v>
      </c>
      <c r="AP515">
        <v>47.842500000000001</v>
      </c>
      <c r="AQ515">
        <v>-7.613E-3</v>
      </c>
      <c r="AR515">
        <v>1.498E-3</v>
      </c>
      <c r="AY515">
        <v>513</v>
      </c>
      <c r="AZ515">
        <v>512</v>
      </c>
      <c r="BA515">
        <v>4673.4399999999996</v>
      </c>
      <c r="BB515">
        <v>4680.3567999999996</v>
      </c>
      <c r="BC515">
        <v>-6.9168000000000003</v>
      </c>
      <c r="BD515">
        <v>47.842500000000001</v>
      </c>
      <c r="BE515">
        <v>262144</v>
      </c>
    </row>
    <row r="516" spans="1:57" x14ac:dyDescent="0.55000000000000004">
      <c r="A516">
        <v>1777007702</v>
      </c>
      <c r="B516" t="s">
        <v>72</v>
      </c>
      <c r="C516" t="s">
        <v>73</v>
      </c>
      <c r="D516">
        <v>4676.49</v>
      </c>
      <c r="E516">
        <v>4518.5928199999998</v>
      </c>
      <c r="F516">
        <v>4596.0559499999999</v>
      </c>
      <c r="G516">
        <v>4755.40355</v>
      </c>
      <c r="H516">
        <v>4792.7697200000002</v>
      </c>
      <c r="Q516">
        <v>4680.0892299999996</v>
      </c>
      <c r="R516">
        <v>4709.4525299999996</v>
      </c>
      <c r="S516">
        <v>4736.0412999999999</v>
      </c>
      <c r="V516">
        <v>4645.1494599999996</v>
      </c>
      <c r="W516">
        <v>4611.58446</v>
      </c>
      <c r="AB516">
        <v>4677.27477</v>
      </c>
      <c r="AC516">
        <v>4675.4168799999998</v>
      </c>
      <c r="AD516">
        <v>0</v>
      </c>
      <c r="AK516">
        <v>514</v>
      </c>
      <c r="AL516">
        <v>513</v>
      </c>
      <c r="AM516">
        <v>4676.49</v>
      </c>
      <c r="AN516">
        <v>4680.0892000000003</v>
      </c>
      <c r="AO516">
        <v>-3.5992000000000002</v>
      </c>
      <c r="AP516">
        <v>12.954499999999999</v>
      </c>
      <c r="AQ516">
        <v>-1.073E-3</v>
      </c>
      <c r="AR516">
        <v>1.1E-4</v>
      </c>
      <c r="AY516">
        <v>514</v>
      </c>
      <c r="AZ516">
        <v>513</v>
      </c>
      <c r="BA516">
        <v>4676.49</v>
      </c>
      <c r="BB516">
        <v>4680.0892000000003</v>
      </c>
      <c r="BC516">
        <v>-3.5992000000000002</v>
      </c>
      <c r="BD516">
        <v>12.954499999999999</v>
      </c>
      <c r="BE516">
        <v>263169</v>
      </c>
    </row>
    <row r="517" spans="1:57" x14ac:dyDescent="0.55000000000000004">
      <c r="A517">
        <v>1777008602</v>
      </c>
      <c r="B517" t="s">
        <v>72</v>
      </c>
      <c r="C517" t="s">
        <v>73</v>
      </c>
      <c r="D517">
        <v>4682.6499999999996</v>
      </c>
      <c r="E517">
        <v>4518.5928199999998</v>
      </c>
      <c r="F517">
        <v>4596.0559499999999</v>
      </c>
      <c r="G517">
        <v>4755.40355</v>
      </c>
      <c r="H517">
        <v>4792.7697200000002</v>
      </c>
      <c r="Q517">
        <v>4679.8216300000004</v>
      </c>
      <c r="R517">
        <v>4709.1849199999997</v>
      </c>
      <c r="S517">
        <v>4735.77369</v>
      </c>
      <c r="V517">
        <v>4644.8818499999998</v>
      </c>
      <c r="W517">
        <v>4611.3168599999999</v>
      </c>
      <c r="AB517">
        <v>4678.5193200000003</v>
      </c>
      <c r="AC517">
        <v>4676.9681</v>
      </c>
      <c r="AD517">
        <v>0</v>
      </c>
      <c r="AK517">
        <v>515</v>
      </c>
      <c r="AL517">
        <v>514</v>
      </c>
      <c r="AM517">
        <v>4682.6499999999996</v>
      </c>
      <c r="AN517">
        <v>4679.8216000000002</v>
      </c>
      <c r="AO517">
        <v>2.8283999999999998</v>
      </c>
      <c r="AP517">
        <v>7.9996999999999998</v>
      </c>
      <c r="AQ517">
        <v>5.2099999999999998E-4</v>
      </c>
      <c r="AR517">
        <v>4.1999999999999998E-5</v>
      </c>
      <c r="AY517">
        <v>515</v>
      </c>
      <c r="AZ517">
        <v>514</v>
      </c>
      <c r="BA517">
        <v>4682.6499999999996</v>
      </c>
      <c r="BB517">
        <v>4679.8216000000002</v>
      </c>
      <c r="BC517">
        <v>2.8283999999999998</v>
      </c>
      <c r="BD517">
        <v>7.9996999999999998</v>
      </c>
      <c r="BE517">
        <v>264196</v>
      </c>
    </row>
    <row r="518" spans="1:57" x14ac:dyDescent="0.55000000000000004">
      <c r="A518">
        <v>1777009502</v>
      </c>
      <c r="B518" t="s">
        <v>72</v>
      </c>
      <c r="C518" t="s">
        <v>73</v>
      </c>
      <c r="D518">
        <v>4686.43</v>
      </c>
      <c r="E518">
        <v>4518.5928199999998</v>
      </c>
      <c r="F518">
        <v>4596.0559499999999</v>
      </c>
      <c r="G518">
        <v>4755.40355</v>
      </c>
      <c r="H518">
        <v>4792.7697200000002</v>
      </c>
      <c r="Q518">
        <v>4679.5540199999996</v>
      </c>
      <c r="R518">
        <v>4708.9173199999996</v>
      </c>
      <c r="S518">
        <v>4735.5060899999999</v>
      </c>
      <c r="V518">
        <v>4644.6142499999996</v>
      </c>
      <c r="W518">
        <v>4611.04925</v>
      </c>
      <c r="AB518">
        <v>4678.8694299999997</v>
      </c>
      <c r="AC518">
        <v>4677.9187599999996</v>
      </c>
      <c r="AD518">
        <v>0</v>
      </c>
      <c r="AK518">
        <v>516</v>
      </c>
      <c r="AL518">
        <v>515</v>
      </c>
      <c r="AM518">
        <v>4686.43</v>
      </c>
      <c r="AN518">
        <v>4679.5540000000001</v>
      </c>
      <c r="AO518">
        <v>6.8760000000000003</v>
      </c>
      <c r="AP518">
        <v>47.2791</v>
      </c>
      <c r="AQ518">
        <v>7.4790000000000004E-3</v>
      </c>
      <c r="AR518">
        <v>1.462E-3</v>
      </c>
      <c r="AY518">
        <v>516</v>
      </c>
      <c r="AZ518">
        <v>515</v>
      </c>
      <c r="BA518">
        <v>4686.43</v>
      </c>
      <c r="BB518">
        <v>4679.5540000000001</v>
      </c>
      <c r="BC518">
        <v>6.8760000000000003</v>
      </c>
      <c r="BD518">
        <v>47.2791</v>
      </c>
      <c r="BE518">
        <v>265225</v>
      </c>
    </row>
    <row r="519" spans="1:57" x14ac:dyDescent="0.55000000000000004">
      <c r="A519">
        <v>1777010402</v>
      </c>
      <c r="B519" t="s">
        <v>72</v>
      </c>
      <c r="C519" t="s">
        <v>73</v>
      </c>
      <c r="D519">
        <v>4681.83</v>
      </c>
      <c r="E519">
        <v>4518.5928199999998</v>
      </c>
      <c r="F519">
        <v>4596.0559499999999</v>
      </c>
      <c r="G519">
        <v>4755.40355</v>
      </c>
      <c r="H519">
        <v>4792.7697200000002</v>
      </c>
      <c r="Q519">
        <v>4679.2864200000004</v>
      </c>
      <c r="R519">
        <v>4708.6497200000003</v>
      </c>
      <c r="S519">
        <v>4735.2384899999997</v>
      </c>
      <c r="V519">
        <v>4644.3466500000004</v>
      </c>
      <c r="W519">
        <v>4610.7816499999999</v>
      </c>
      <c r="AB519">
        <v>4678.3994700000003</v>
      </c>
      <c r="AC519">
        <v>4678.1591099999996</v>
      </c>
      <c r="AD519">
        <v>0</v>
      </c>
      <c r="AK519">
        <v>517</v>
      </c>
      <c r="AL519">
        <v>516</v>
      </c>
      <c r="AM519">
        <v>4681.83</v>
      </c>
      <c r="AN519">
        <v>4679.2864</v>
      </c>
      <c r="AO519">
        <v>2.5436000000000001</v>
      </c>
      <c r="AP519">
        <v>6.4698000000000002</v>
      </c>
      <c r="AQ519">
        <v>3.79E-4</v>
      </c>
      <c r="AR519">
        <v>2.6999999999999999E-5</v>
      </c>
      <c r="AY519">
        <v>517</v>
      </c>
      <c r="AZ519">
        <v>516</v>
      </c>
      <c r="BA519">
        <v>4681.83</v>
      </c>
      <c r="BB519">
        <v>4679.2864</v>
      </c>
      <c r="BC519">
        <v>2.5436000000000001</v>
      </c>
      <c r="BD519">
        <v>6.4698000000000002</v>
      </c>
      <c r="BE519">
        <v>266256</v>
      </c>
    </row>
    <row r="520" spans="1:57" x14ac:dyDescent="0.55000000000000004">
      <c r="A520">
        <v>1777011302</v>
      </c>
      <c r="B520" t="s">
        <v>72</v>
      </c>
      <c r="C520" t="s">
        <v>73</v>
      </c>
      <c r="D520">
        <v>4671.45</v>
      </c>
      <c r="E520">
        <v>4518.5928199999998</v>
      </c>
      <c r="F520">
        <v>4596.0559499999999</v>
      </c>
      <c r="G520">
        <v>4755.40355</v>
      </c>
      <c r="H520">
        <v>4792.7697200000002</v>
      </c>
      <c r="Q520">
        <v>4679.0188099999996</v>
      </c>
      <c r="R520">
        <v>4708.3821099999996</v>
      </c>
      <c r="S520">
        <v>4734.9708799999999</v>
      </c>
      <c r="V520">
        <v>4644.0790399999996</v>
      </c>
      <c r="W520">
        <v>4610.5140499999998</v>
      </c>
      <c r="AB520">
        <v>4677.5967899999996</v>
      </c>
      <c r="AC520">
        <v>4677.8779500000001</v>
      </c>
      <c r="AD520">
        <v>1</v>
      </c>
      <c r="AK520">
        <v>518</v>
      </c>
      <c r="AL520">
        <v>517</v>
      </c>
      <c r="AM520">
        <v>4671.45</v>
      </c>
      <c r="AN520">
        <v>4679.0187999999998</v>
      </c>
      <c r="AO520">
        <v>-7.5688000000000004</v>
      </c>
      <c r="AP520">
        <v>57.286900000000003</v>
      </c>
      <c r="AQ520">
        <v>-9.9749999999999995E-3</v>
      </c>
      <c r="AR520">
        <v>2.147E-3</v>
      </c>
      <c r="AY520">
        <v>518</v>
      </c>
      <c r="AZ520">
        <v>517</v>
      </c>
      <c r="BA520">
        <v>4671.45</v>
      </c>
      <c r="BB520">
        <v>4679.0187999999998</v>
      </c>
      <c r="BC520">
        <v>-7.5688000000000004</v>
      </c>
      <c r="BD520">
        <v>57.286900000000003</v>
      </c>
      <c r="BE520">
        <v>267289</v>
      </c>
    </row>
    <row r="521" spans="1:57" x14ac:dyDescent="0.55000000000000004">
      <c r="A521">
        <v>1777012202</v>
      </c>
      <c r="B521" t="s">
        <v>72</v>
      </c>
      <c r="C521" t="s">
        <v>73</v>
      </c>
      <c r="D521">
        <v>4673.71</v>
      </c>
      <c r="E521">
        <v>4518.5928199999998</v>
      </c>
      <c r="F521">
        <v>4596.0559499999999</v>
      </c>
      <c r="G521">
        <v>4755.40355</v>
      </c>
      <c r="H521">
        <v>4792.7697200000002</v>
      </c>
      <c r="Q521">
        <v>4678.7512100000004</v>
      </c>
      <c r="R521">
        <v>4708.1145100000003</v>
      </c>
      <c r="S521">
        <v>4734.7032799999997</v>
      </c>
      <c r="V521">
        <v>4643.8114400000004</v>
      </c>
      <c r="W521">
        <v>4610.2464399999999</v>
      </c>
      <c r="AB521">
        <v>4677.2332800000004</v>
      </c>
      <c r="AC521">
        <v>4677.5556200000001</v>
      </c>
      <c r="AD521">
        <v>0</v>
      </c>
      <c r="AK521">
        <v>519</v>
      </c>
      <c r="AL521">
        <v>518</v>
      </c>
      <c r="AM521">
        <v>4673.71</v>
      </c>
      <c r="AN521">
        <v>4678.7511999999997</v>
      </c>
      <c r="AO521">
        <v>-5.0411999999999999</v>
      </c>
      <c r="AP521">
        <v>25.413799999999998</v>
      </c>
      <c r="AQ521">
        <v>-2.947E-3</v>
      </c>
      <c r="AR521">
        <v>4.2299999999999998E-4</v>
      </c>
      <c r="AY521">
        <v>519</v>
      </c>
      <c r="AZ521">
        <v>518</v>
      </c>
      <c r="BA521">
        <v>4673.71</v>
      </c>
      <c r="BB521">
        <v>4678.7511999999997</v>
      </c>
      <c r="BC521">
        <v>-5.0411999999999999</v>
      </c>
      <c r="BD521">
        <v>25.413799999999998</v>
      </c>
      <c r="BE521">
        <v>268324</v>
      </c>
    </row>
    <row r="522" spans="1:57" x14ac:dyDescent="0.55000000000000004">
      <c r="A522">
        <v>1777013102</v>
      </c>
      <c r="B522" t="s">
        <v>72</v>
      </c>
      <c r="C522" t="s">
        <v>73</v>
      </c>
      <c r="D522">
        <v>4671.9799999999996</v>
      </c>
      <c r="E522">
        <v>4518.5928199999998</v>
      </c>
      <c r="F522">
        <v>4596.0559499999999</v>
      </c>
      <c r="G522">
        <v>4755.40355</v>
      </c>
      <c r="H522">
        <v>4792.7697200000002</v>
      </c>
      <c r="Q522">
        <v>4678.4835999999996</v>
      </c>
      <c r="R522">
        <v>4707.8468999999996</v>
      </c>
      <c r="S522">
        <v>4734.4356699999998</v>
      </c>
      <c r="V522">
        <v>4643.5438299999996</v>
      </c>
      <c r="W522">
        <v>4609.9788399999998</v>
      </c>
      <c r="AB522">
        <v>4677.6687300000003</v>
      </c>
      <c r="AC522">
        <v>4677.6121700000003</v>
      </c>
      <c r="AD522">
        <v>1</v>
      </c>
      <c r="AK522">
        <v>520</v>
      </c>
      <c r="AL522">
        <v>519</v>
      </c>
      <c r="AM522">
        <v>4671.9799999999996</v>
      </c>
      <c r="AN522">
        <v>4678.4835999999996</v>
      </c>
      <c r="AO522">
        <v>-6.5035999999999996</v>
      </c>
      <c r="AP522">
        <v>42.296799999999998</v>
      </c>
      <c r="AQ522">
        <v>-6.3280000000000003E-3</v>
      </c>
      <c r="AR522">
        <v>1.17E-3</v>
      </c>
      <c r="AY522">
        <v>520</v>
      </c>
      <c r="AZ522">
        <v>519</v>
      </c>
      <c r="BA522">
        <v>4671.9799999999996</v>
      </c>
      <c r="BB522">
        <v>4678.4835999999996</v>
      </c>
      <c r="BC522">
        <v>-6.5035999999999996</v>
      </c>
      <c r="BD522">
        <v>42.296799999999998</v>
      </c>
      <c r="BE522">
        <v>269361</v>
      </c>
    </row>
    <row r="523" spans="1:57" x14ac:dyDescent="0.55000000000000004">
      <c r="A523">
        <v>1777014002</v>
      </c>
      <c r="B523" t="s">
        <v>72</v>
      </c>
      <c r="C523" t="s">
        <v>73</v>
      </c>
      <c r="D523">
        <v>4680.6099999999997</v>
      </c>
      <c r="E523">
        <v>4518.5928199999998</v>
      </c>
      <c r="F523">
        <v>4596.0559499999999</v>
      </c>
      <c r="G523">
        <v>4755.40355</v>
      </c>
      <c r="H523">
        <v>4792.7697200000002</v>
      </c>
      <c r="Q523">
        <v>4678.2160000000003</v>
      </c>
      <c r="R523">
        <v>4707.5793000000003</v>
      </c>
      <c r="S523">
        <v>4734.1680699999997</v>
      </c>
      <c r="V523">
        <v>4643.2762300000004</v>
      </c>
      <c r="W523">
        <v>4609.7112299999999</v>
      </c>
      <c r="AB523">
        <v>4679.2271799999999</v>
      </c>
      <c r="AC523">
        <v>4678.41968</v>
      </c>
      <c r="AD523">
        <v>0</v>
      </c>
      <c r="AK523">
        <v>521</v>
      </c>
      <c r="AL523">
        <v>520</v>
      </c>
      <c r="AM523">
        <v>4680.6099999999997</v>
      </c>
      <c r="AN523">
        <v>4678.2160000000003</v>
      </c>
      <c r="AO523">
        <v>2.3940000000000001</v>
      </c>
      <c r="AP523">
        <v>5.7312000000000003</v>
      </c>
      <c r="AQ523">
        <v>3.1599999999999998E-4</v>
      </c>
      <c r="AR523">
        <v>2.0999999999999999E-5</v>
      </c>
      <c r="AY523">
        <v>521</v>
      </c>
      <c r="AZ523">
        <v>520</v>
      </c>
      <c r="BA523">
        <v>4680.6099999999997</v>
      </c>
      <c r="BB523">
        <v>4678.2160000000003</v>
      </c>
      <c r="BC523">
        <v>2.3940000000000001</v>
      </c>
      <c r="BD523">
        <v>5.7312000000000003</v>
      </c>
      <c r="BE523">
        <v>270400</v>
      </c>
    </row>
    <row r="524" spans="1:57" x14ac:dyDescent="0.55000000000000004">
      <c r="A524">
        <v>1777014902</v>
      </c>
      <c r="B524" t="s">
        <v>72</v>
      </c>
      <c r="C524" t="s">
        <v>73</v>
      </c>
      <c r="D524">
        <v>4684.49</v>
      </c>
      <c r="E524">
        <v>4518.5928199999998</v>
      </c>
      <c r="F524">
        <v>4596.0559499999999</v>
      </c>
      <c r="G524">
        <v>4755.40355</v>
      </c>
      <c r="H524">
        <v>4792.7697200000002</v>
      </c>
      <c r="Q524">
        <v>4677.9484000000002</v>
      </c>
      <c r="R524">
        <v>4707.3117000000002</v>
      </c>
      <c r="S524">
        <v>4733.9004699999996</v>
      </c>
      <c r="V524">
        <v>4643.0086300000003</v>
      </c>
      <c r="W524">
        <v>4609.4436299999998</v>
      </c>
      <c r="AB524">
        <v>4681.6808000000001</v>
      </c>
      <c r="AC524">
        <v>4680.0502399999996</v>
      </c>
      <c r="AD524">
        <v>0</v>
      </c>
      <c r="AK524">
        <v>522</v>
      </c>
      <c r="AL524">
        <v>521</v>
      </c>
      <c r="AM524">
        <v>4684.49</v>
      </c>
      <c r="AN524">
        <v>4677.9484000000002</v>
      </c>
      <c r="AO524">
        <v>6.5415999999999999</v>
      </c>
      <c r="AP524">
        <v>42.792499999999997</v>
      </c>
      <c r="AQ524">
        <v>6.4400000000000004E-3</v>
      </c>
      <c r="AR524">
        <v>1.1980000000000001E-3</v>
      </c>
      <c r="AY524">
        <v>522</v>
      </c>
      <c r="AZ524">
        <v>521</v>
      </c>
      <c r="BA524">
        <v>4684.49</v>
      </c>
      <c r="BB524">
        <v>4677.9484000000002</v>
      </c>
      <c r="BC524">
        <v>6.5415999999999999</v>
      </c>
      <c r="BD524">
        <v>42.792499999999997</v>
      </c>
      <c r="BE524">
        <v>271441</v>
      </c>
    </row>
    <row r="525" spans="1:57" x14ac:dyDescent="0.55000000000000004">
      <c r="A525">
        <v>1777015802</v>
      </c>
      <c r="B525" t="s">
        <v>72</v>
      </c>
      <c r="C525" t="s">
        <v>73</v>
      </c>
      <c r="D525">
        <v>4685.6099999999997</v>
      </c>
      <c r="E525">
        <v>4518.5928199999998</v>
      </c>
      <c r="F525">
        <v>4596.0559499999999</v>
      </c>
      <c r="G525">
        <v>4755.40355</v>
      </c>
      <c r="H525">
        <v>4792.7697200000002</v>
      </c>
      <c r="Q525">
        <v>4677.6807900000003</v>
      </c>
      <c r="R525">
        <v>4707.0440900000003</v>
      </c>
      <c r="S525">
        <v>4733.6328599999997</v>
      </c>
      <c r="V525">
        <v>4642.7410200000004</v>
      </c>
      <c r="W525">
        <v>4609.1760299999996</v>
      </c>
      <c r="AB525">
        <v>4684.7010499999997</v>
      </c>
      <c r="AC525">
        <v>4682.3756400000002</v>
      </c>
      <c r="AD525">
        <v>0</v>
      </c>
      <c r="AK525">
        <v>523</v>
      </c>
      <c r="AL525">
        <v>522</v>
      </c>
      <c r="AM525">
        <v>4685.6099999999997</v>
      </c>
      <c r="AN525">
        <v>4677.6808000000001</v>
      </c>
      <c r="AO525">
        <v>7.9291999999999998</v>
      </c>
      <c r="AP525">
        <v>62.872399999999999</v>
      </c>
      <c r="AQ525">
        <v>1.1468000000000001E-2</v>
      </c>
      <c r="AR525">
        <v>2.5860000000000002E-3</v>
      </c>
      <c r="AY525">
        <v>523</v>
      </c>
      <c r="AZ525">
        <v>522</v>
      </c>
      <c r="BA525">
        <v>4685.6099999999997</v>
      </c>
      <c r="BB525">
        <v>4677.6808000000001</v>
      </c>
      <c r="BC525">
        <v>7.9291999999999998</v>
      </c>
      <c r="BD525">
        <v>62.872399999999999</v>
      </c>
      <c r="BE525">
        <v>272484</v>
      </c>
    </row>
    <row r="526" spans="1:57" x14ac:dyDescent="0.55000000000000004">
      <c r="A526">
        <v>1777016702</v>
      </c>
      <c r="B526" t="s">
        <v>72</v>
      </c>
      <c r="C526" t="s">
        <v>73</v>
      </c>
      <c r="D526">
        <v>4694.57</v>
      </c>
      <c r="E526">
        <v>4518.5928199999998</v>
      </c>
      <c r="F526">
        <v>4596.0559499999999</v>
      </c>
      <c r="G526">
        <v>4755.40355</v>
      </c>
      <c r="H526">
        <v>4792.7697200000002</v>
      </c>
      <c r="Q526">
        <v>4677.4131900000002</v>
      </c>
      <c r="R526">
        <v>4706.7764900000002</v>
      </c>
      <c r="S526">
        <v>4733.3652599999996</v>
      </c>
      <c r="V526">
        <v>4642.4734200000003</v>
      </c>
      <c r="W526">
        <v>4608.9084199999998</v>
      </c>
      <c r="AB526">
        <v>4687.8302899999999</v>
      </c>
      <c r="AC526">
        <v>4685.1029699999999</v>
      </c>
      <c r="AD526">
        <v>0</v>
      </c>
      <c r="AK526">
        <v>524</v>
      </c>
      <c r="AL526">
        <v>523</v>
      </c>
      <c r="AM526">
        <v>4694.57</v>
      </c>
      <c r="AN526">
        <v>4677.4132</v>
      </c>
      <c r="AO526">
        <v>17.1568</v>
      </c>
      <c r="AP526">
        <v>294.35610000000003</v>
      </c>
      <c r="AQ526">
        <v>0.116178</v>
      </c>
      <c r="AR526">
        <v>5.6689000000000003E-2</v>
      </c>
      <c r="AY526">
        <v>524</v>
      </c>
      <c r="AZ526">
        <v>523</v>
      </c>
      <c r="BA526">
        <v>4694.57</v>
      </c>
      <c r="BB526">
        <v>4677.4132</v>
      </c>
      <c r="BC526">
        <v>17.1568</v>
      </c>
      <c r="BD526">
        <v>294.35610000000003</v>
      </c>
      <c r="BE526">
        <v>273529</v>
      </c>
    </row>
    <row r="527" spans="1:57" x14ac:dyDescent="0.55000000000000004">
      <c r="A527">
        <v>1777017602</v>
      </c>
      <c r="B527" t="s">
        <v>72</v>
      </c>
      <c r="C527" t="s">
        <v>73</v>
      </c>
      <c r="D527">
        <v>4687.45</v>
      </c>
      <c r="E527">
        <v>4518.5928199999998</v>
      </c>
      <c r="F527">
        <v>4596.0559499999999</v>
      </c>
      <c r="G527">
        <v>4755.40355</v>
      </c>
      <c r="H527">
        <v>4792.7697200000002</v>
      </c>
      <c r="Q527">
        <v>4677.1455800000003</v>
      </c>
      <c r="R527">
        <v>4706.5088800000003</v>
      </c>
      <c r="S527">
        <v>4733.0976499999997</v>
      </c>
      <c r="V527">
        <v>4642.2058100000004</v>
      </c>
      <c r="W527">
        <v>4608.6408199999996</v>
      </c>
      <c r="AB527">
        <v>4690.2907699999996</v>
      </c>
      <c r="AC527">
        <v>4687.6968699999998</v>
      </c>
      <c r="AD527">
        <v>0</v>
      </c>
      <c r="AK527">
        <v>525</v>
      </c>
      <c r="AL527">
        <v>524</v>
      </c>
      <c r="AM527">
        <v>4687.45</v>
      </c>
      <c r="AN527">
        <v>4677.1455999999998</v>
      </c>
      <c r="AO527">
        <v>10.304399999999999</v>
      </c>
      <c r="AP527">
        <v>106.1811</v>
      </c>
      <c r="AQ527">
        <v>2.5170000000000001E-2</v>
      </c>
      <c r="AR527">
        <v>7.3759999999999997E-3</v>
      </c>
      <c r="AY527">
        <v>525</v>
      </c>
      <c r="AZ527">
        <v>524</v>
      </c>
      <c r="BA527">
        <v>4687.45</v>
      </c>
      <c r="BB527">
        <v>4677.1455999999998</v>
      </c>
      <c r="BC527">
        <v>10.304399999999999</v>
      </c>
      <c r="BD527">
        <v>106.1811</v>
      </c>
      <c r="BE527">
        <v>274576</v>
      </c>
    </row>
    <row r="528" spans="1:57" x14ac:dyDescent="0.55000000000000004">
      <c r="A528">
        <v>1777018502</v>
      </c>
      <c r="B528" t="s">
        <v>72</v>
      </c>
      <c r="C528" t="s">
        <v>73</v>
      </c>
      <c r="D528">
        <v>4687.83</v>
      </c>
      <c r="E528">
        <v>4518.5928199999998</v>
      </c>
      <c r="F528">
        <v>4596.0559499999999</v>
      </c>
      <c r="G528">
        <v>4755.40355</v>
      </c>
      <c r="H528">
        <v>4792.7697200000002</v>
      </c>
      <c r="Q528">
        <v>4676.8779800000002</v>
      </c>
      <c r="R528">
        <v>4706.2412800000002</v>
      </c>
      <c r="S528">
        <v>4732.8300499999996</v>
      </c>
      <c r="V528">
        <v>4641.9382100000003</v>
      </c>
      <c r="W528">
        <v>4608.3732099999997</v>
      </c>
      <c r="AB528">
        <v>4691.8050300000004</v>
      </c>
      <c r="AC528">
        <v>4689.7509499999996</v>
      </c>
      <c r="AD528">
        <v>0</v>
      </c>
      <c r="AK528">
        <v>526</v>
      </c>
      <c r="AL528">
        <v>525</v>
      </c>
      <c r="AM528">
        <v>4687.83</v>
      </c>
      <c r="AN528">
        <v>4676.8779999999997</v>
      </c>
      <c r="AO528">
        <v>10.952</v>
      </c>
      <c r="AP528">
        <v>119.94670000000001</v>
      </c>
      <c r="AQ528">
        <v>3.022E-2</v>
      </c>
      <c r="AR528">
        <v>9.4129999999999995E-3</v>
      </c>
      <c r="AY528">
        <v>526</v>
      </c>
      <c r="AZ528">
        <v>525</v>
      </c>
      <c r="BA528">
        <v>4687.83</v>
      </c>
      <c r="BB528">
        <v>4676.8779999999997</v>
      </c>
      <c r="BC528">
        <v>10.952</v>
      </c>
      <c r="BD528">
        <v>119.94670000000001</v>
      </c>
      <c r="BE528">
        <v>275625</v>
      </c>
    </row>
    <row r="529" spans="1:57" x14ac:dyDescent="0.55000000000000004">
      <c r="A529">
        <v>1777019402</v>
      </c>
      <c r="B529" t="s">
        <v>72</v>
      </c>
      <c r="C529" t="s">
        <v>73</v>
      </c>
      <c r="D529">
        <v>4688.13</v>
      </c>
      <c r="E529">
        <v>4518.5928199999998</v>
      </c>
      <c r="F529">
        <v>4596.0559499999999</v>
      </c>
      <c r="G529">
        <v>4755.40355</v>
      </c>
      <c r="H529">
        <v>4792.7697200000002</v>
      </c>
      <c r="Q529">
        <v>4676.6103800000001</v>
      </c>
      <c r="R529">
        <v>4705.9736700000003</v>
      </c>
      <c r="S529">
        <v>4732.5624500000004</v>
      </c>
      <c r="V529">
        <v>4641.6706100000001</v>
      </c>
      <c r="W529">
        <v>4608.1056099999996</v>
      </c>
      <c r="AB529">
        <v>4692.0533500000001</v>
      </c>
      <c r="AC529">
        <v>4690.9021499999999</v>
      </c>
      <c r="AD529">
        <v>0</v>
      </c>
      <c r="AK529">
        <v>527</v>
      </c>
      <c r="AL529">
        <v>526</v>
      </c>
      <c r="AM529">
        <v>4688.13</v>
      </c>
      <c r="AN529">
        <v>4676.6103999999996</v>
      </c>
      <c r="AO529">
        <v>11.519600000000001</v>
      </c>
      <c r="AP529">
        <v>132.70160000000001</v>
      </c>
      <c r="AQ529">
        <v>3.5166999999999997E-2</v>
      </c>
      <c r="AR529">
        <v>1.1521E-2</v>
      </c>
      <c r="AY529">
        <v>527</v>
      </c>
      <c r="AZ529">
        <v>526</v>
      </c>
      <c r="BA529">
        <v>4688.13</v>
      </c>
      <c r="BB529">
        <v>4676.6103999999996</v>
      </c>
      <c r="BC529">
        <v>11.519600000000001</v>
      </c>
      <c r="BD529">
        <v>132.70160000000001</v>
      </c>
      <c r="BE529">
        <v>276676</v>
      </c>
    </row>
    <row r="530" spans="1:57" x14ac:dyDescent="0.55000000000000004">
      <c r="A530">
        <v>1777020302</v>
      </c>
      <c r="B530" t="s">
        <v>72</v>
      </c>
      <c r="C530" t="s">
        <v>73</v>
      </c>
      <c r="D530">
        <v>4690.84</v>
      </c>
      <c r="E530">
        <v>4518.5928199999998</v>
      </c>
      <c r="F530">
        <v>4596.0559499999999</v>
      </c>
      <c r="G530">
        <v>4755.40355</v>
      </c>
      <c r="H530">
        <v>4792.7697200000002</v>
      </c>
      <c r="Q530">
        <v>4676.3427700000002</v>
      </c>
      <c r="R530">
        <v>4705.7060700000002</v>
      </c>
      <c r="S530">
        <v>4732.2948399999996</v>
      </c>
      <c r="V530">
        <v>4641.4030000000002</v>
      </c>
      <c r="W530">
        <v>4607.8380100000004</v>
      </c>
      <c r="AB530">
        <v>4690.9620599999998</v>
      </c>
      <c r="AC530">
        <v>4690.9321</v>
      </c>
      <c r="AD530">
        <v>0</v>
      </c>
      <c r="AK530">
        <v>528</v>
      </c>
      <c r="AL530">
        <v>527</v>
      </c>
      <c r="AM530">
        <v>4690.84</v>
      </c>
      <c r="AN530">
        <v>4676.3428000000004</v>
      </c>
      <c r="AO530">
        <v>14.497199999999999</v>
      </c>
      <c r="AP530">
        <v>210.16970000000001</v>
      </c>
      <c r="AQ530">
        <v>7.0092000000000002E-2</v>
      </c>
      <c r="AR530">
        <v>2.8899999999999999E-2</v>
      </c>
      <c r="AY530">
        <v>528</v>
      </c>
      <c r="AZ530">
        <v>527</v>
      </c>
      <c r="BA530">
        <v>4690.84</v>
      </c>
      <c r="BB530">
        <v>4676.3428000000004</v>
      </c>
      <c r="BC530">
        <v>14.497199999999999</v>
      </c>
      <c r="BD530">
        <v>210.16970000000001</v>
      </c>
      <c r="BE530">
        <v>277729</v>
      </c>
    </row>
    <row r="531" spans="1:57" x14ac:dyDescent="0.55000000000000004">
      <c r="A531">
        <v>1777021202</v>
      </c>
      <c r="B531" t="s">
        <v>72</v>
      </c>
      <c r="C531" t="s">
        <v>73</v>
      </c>
      <c r="D531">
        <v>4695.33</v>
      </c>
      <c r="E531">
        <v>4518.5928199999998</v>
      </c>
      <c r="F531">
        <v>4596.0559499999999</v>
      </c>
      <c r="G531">
        <v>4755.40355</v>
      </c>
      <c r="H531">
        <v>4792.7697200000002</v>
      </c>
      <c r="Q531">
        <v>4676.0751700000001</v>
      </c>
      <c r="R531">
        <v>4705.4384700000001</v>
      </c>
      <c r="S531">
        <v>4732.0272400000003</v>
      </c>
      <c r="V531">
        <v>4641.1354000000001</v>
      </c>
      <c r="W531">
        <v>4607.5703999999996</v>
      </c>
      <c r="AB531">
        <v>4688.6921499999999</v>
      </c>
      <c r="AC531">
        <v>4689.8121300000003</v>
      </c>
      <c r="AD531">
        <v>1</v>
      </c>
      <c r="AK531">
        <v>529</v>
      </c>
      <c r="AL531">
        <v>528</v>
      </c>
      <c r="AM531">
        <v>4695.33</v>
      </c>
      <c r="AN531">
        <v>4676.0752000000002</v>
      </c>
      <c r="AO531">
        <v>19.254799999999999</v>
      </c>
      <c r="AP531">
        <v>370.74849999999998</v>
      </c>
      <c r="AQ531">
        <v>0.16422300000000001</v>
      </c>
      <c r="AR531">
        <v>8.9931999999999998E-2</v>
      </c>
      <c r="AY531">
        <v>529</v>
      </c>
      <c r="AZ531">
        <v>528</v>
      </c>
      <c r="BA531">
        <v>4695.33</v>
      </c>
      <c r="BB531">
        <v>4676.0752000000002</v>
      </c>
      <c r="BC531">
        <v>19.254799999999999</v>
      </c>
      <c r="BD531">
        <v>370.74849999999998</v>
      </c>
      <c r="BE531">
        <v>278784</v>
      </c>
    </row>
    <row r="532" spans="1:57" x14ac:dyDescent="0.55000000000000004">
      <c r="A532">
        <v>1777022102</v>
      </c>
      <c r="B532" t="s">
        <v>72</v>
      </c>
      <c r="C532" t="s">
        <v>73</v>
      </c>
      <c r="D532">
        <v>4683.3</v>
      </c>
      <c r="E532">
        <v>4518.5928199999998</v>
      </c>
      <c r="F532">
        <v>4596.0559499999999</v>
      </c>
      <c r="G532">
        <v>4755.40355</v>
      </c>
      <c r="H532">
        <v>4792.7697200000002</v>
      </c>
      <c r="Q532">
        <v>4675.8075600000002</v>
      </c>
      <c r="R532">
        <v>4705.1708600000002</v>
      </c>
      <c r="S532">
        <v>4731.7596299999996</v>
      </c>
      <c r="V532">
        <v>4640.8677900000002</v>
      </c>
      <c r="W532">
        <v>4607.3028000000004</v>
      </c>
      <c r="AB532">
        <v>4685.6385</v>
      </c>
      <c r="AC532">
        <v>4687.7253199999996</v>
      </c>
      <c r="AD532">
        <v>0</v>
      </c>
      <c r="AK532">
        <v>530</v>
      </c>
      <c r="AL532">
        <v>529</v>
      </c>
      <c r="AM532">
        <v>4683.3</v>
      </c>
      <c r="AN532">
        <v>4675.8076000000001</v>
      </c>
      <c r="AO532">
        <v>7.4923999999999999</v>
      </c>
      <c r="AP532">
        <v>56.136699999999998</v>
      </c>
      <c r="AQ532">
        <v>9.6760000000000006E-3</v>
      </c>
      <c r="AR532">
        <v>2.062E-3</v>
      </c>
      <c r="AY532">
        <v>530</v>
      </c>
      <c r="AZ532">
        <v>529</v>
      </c>
      <c r="BA532">
        <v>4683.3</v>
      </c>
      <c r="BB532">
        <v>4675.8076000000001</v>
      </c>
      <c r="BC532">
        <v>7.4923999999999999</v>
      </c>
      <c r="BD532">
        <v>56.136699999999998</v>
      </c>
      <c r="BE532">
        <v>279841</v>
      </c>
    </row>
    <row r="533" spans="1:57" x14ac:dyDescent="0.55000000000000004">
      <c r="A533">
        <v>1777023002</v>
      </c>
      <c r="B533" t="s">
        <v>72</v>
      </c>
      <c r="C533" t="s">
        <v>73</v>
      </c>
      <c r="D533">
        <v>4685.99</v>
      </c>
      <c r="E533">
        <v>4518.5928199999998</v>
      </c>
      <c r="F533">
        <v>4596.0559499999999</v>
      </c>
      <c r="G533">
        <v>4755.40355</v>
      </c>
      <c r="H533">
        <v>4792.7697200000002</v>
      </c>
      <c r="Q533">
        <v>4675.5399600000001</v>
      </c>
      <c r="R533">
        <v>4704.90326</v>
      </c>
      <c r="S533">
        <v>4731.4920300000003</v>
      </c>
      <c r="V533">
        <v>4640.6001900000001</v>
      </c>
      <c r="W533">
        <v>4607.0351899999996</v>
      </c>
      <c r="AB533">
        <v>4682.8050300000004</v>
      </c>
      <c r="AC533">
        <v>4685.2651800000003</v>
      </c>
      <c r="AD533">
        <v>0</v>
      </c>
      <c r="AK533">
        <v>531</v>
      </c>
      <c r="AL533">
        <v>530</v>
      </c>
      <c r="AM533">
        <v>4685.99</v>
      </c>
      <c r="AN533">
        <v>4675.54</v>
      </c>
      <c r="AO533">
        <v>10.45</v>
      </c>
      <c r="AP533">
        <v>109.2033</v>
      </c>
      <c r="AQ533">
        <v>2.6252000000000001E-2</v>
      </c>
      <c r="AR533">
        <v>7.8019999999999999E-3</v>
      </c>
      <c r="AY533">
        <v>531</v>
      </c>
      <c r="AZ533">
        <v>530</v>
      </c>
      <c r="BA533">
        <v>4685.99</v>
      </c>
      <c r="BB533">
        <v>4675.54</v>
      </c>
      <c r="BC533">
        <v>10.45</v>
      </c>
      <c r="BD533">
        <v>109.2033</v>
      </c>
      <c r="BE533">
        <v>280900</v>
      </c>
    </row>
    <row r="534" spans="1:57" x14ac:dyDescent="0.55000000000000004">
      <c r="A534">
        <v>1777023902</v>
      </c>
      <c r="B534" t="s">
        <v>72</v>
      </c>
      <c r="C534" t="s">
        <v>73</v>
      </c>
      <c r="D534">
        <v>4682.04</v>
      </c>
      <c r="E534">
        <v>4518.5928199999998</v>
      </c>
      <c r="F534">
        <v>4596.0559499999999</v>
      </c>
      <c r="G534">
        <v>4755.40355</v>
      </c>
      <c r="H534">
        <v>4792.7697200000002</v>
      </c>
      <c r="Q534">
        <v>4675.2723599999999</v>
      </c>
      <c r="R534">
        <v>4704.6356500000002</v>
      </c>
      <c r="S534">
        <v>4731.2244300000002</v>
      </c>
      <c r="V534">
        <v>4640.33259</v>
      </c>
      <c r="W534">
        <v>4606.7675900000004</v>
      </c>
      <c r="AB534">
        <v>4680.8547099999996</v>
      </c>
      <c r="AC534">
        <v>4683.0599400000001</v>
      </c>
      <c r="AD534">
        <v>0</v>
      </c>
      <c r="AK534">
        <v>532</v>
      </c>
      <c r="AL534">
        <v>531</v>
      </c>
      <c r="AM534">
        <v>4682.04</v>
      </c>
      <c r="AN534">
        <v>4675.2723999999998</v>
      </c>
      <c r="AO534">
        <v>6.7675999999999998</v>
      </c>
      <c r="AP534">
        <v>45.801000000000002</v>
      </c>
      <c r="AQ534">
        <v>7.1310000000000002E-3</v>
      </c>
      <c r="AR534">
        <v>1.372E-3</v>
      </c>
      <c r="AY534">
        <v>532</v>
      </c>
      <c r="AZ534">
        <v>531</v>
      </c>
      <c r="BA534">
        <v>4682.04</v>
      </c>
      <c r="BB534">
        <v>4675.2723999999998</v>
      </c>
      <c r="BC534">
        <v>6.7675999999999998</v>
      </c>
      <c r="BD534">
        <v>45.801000000000002</v>
      </c>
      <c r="BE534">
        <v>281961</v>
      </c>
    </row>
    <row r="535" spans="1:57" x14ac:dyDescent="0.55000000000000004">
      <c r="A535">
        <v>1777024802</v>
      </c>
      <c r="B535" t="s">
        <v>72</v>
      </c>
      <c r="C535" t="s">
        <v>73</v>
      </c>
      <c r="D535">
        <v>4682.45</v>
      </c>
      <c r="E535">
        <v>4518.5928199999998</v>
      </c>
      <c r="F535">
        <v>4596.0559499999999</v>
      </c>
      <c r="G535">
        <v>4755.40355</v>
      </c>
      <c r="H535">
        <v>4792.7697200000002</v>
      </c>
      <c r="Q535">
        <v>4675.0047500000001</v>
      </c>
      <c r="R535">
        <v>4704.36805</v>
      </c>
      <c r="S535">
        <v>4730.9568200000003</v>
      </c>
      <c r="V535">
        <v>4640.0649800000001</v>
      </c>
      <c r="W535">
        <v>4606.4999900000003</v>
      </c>
      <c r="AB535">
        <v>4680.5117099999998</v>
      </c>
      <c r="AC535">
        <v>4681.7858200000001</v>
      </c>
      <c r="AD535">
        <v>0</v>
      </c>
      <c r="AK535">
        <v>533</v>
      </c>
      <c r="AL535">
        <v>532</v>
      </c>
      <c r="AM535">
        <v>4682.45</v>
      </c>
      <c r="AN535">
        <v>4675.0047999999997</v>
      </c>
      <c r="AO535">
        <v>7.4451999999999998</v>
      </c>
      <c r="AP535">
        <v>55.431699999999999</v>
      </c>
      <c r="AQ535">
        <v>9.4940000000000007E-3</v>
      </c>
      <c r="AR535">
        <v>2.0100000000000001E-3</v>
      </c>
      <c r="AY535">
        <v>533</v>
      </c>
      <c r="AZ535">
        <v>532</v>
      </c>
      <c r="BA535">
        <v>4682.45</v>
      </c>
      <c r="BB535">
        <v>4675.0047999999997</v>
      </c>
      <c r="BC535">
        <v>7.4451999999999998</v>
      </c>
      <c r="BD535">
        <v>55.431699999999999</v>
      </c>
      <c r="BE535">
        <v>283024</v>
      </c>
    </row>
    <row r="536" spans="1:57" x14ac:dyDescent="0.55000000000000004">
      <c r="A536">
        <v>1777025702</v>
      </c>
      <c r="B536" t="s">
        <v>72</v>
      </c>
      <c r="C536" t="s">
        <v>73</v>
      </c>
      <c r="D536">
        <v>4682.25</v>
      </c>
      <c r="E536">
        <v>4518.5928199999998</v>
      </c>
      <c r="F536">
        <v>4596.0559499999999</v>
      </c>
      <c r="G536">
        <v>4755.40355</v>
      </c>
      <c r="H536">
        <v>4792.7697200000002</v>
      </c>
      <c r="Q536">
        <v>4674.7371499999999</v>
      </c>
      <c r="R536">
        <v>4704.1004499999999</v>
      </c>
      <c r="S536">
        <v>4730.6892200000002</v>
      </c>
      <c r="V536">
        <v>4639.79738</v>
      </c>
      <c r="W536">
        <v>4606.2323800000004</v>
      </c>
      <c r="AB536">
        <v>4682.0741200000002</v>
      </c>
      <c r="AC536">
        <v>4681.9299700000001</v>
      </c>
      <c r="AD536">
        <v>1</v>
      </c>
      <c r="AK536">
        <v>534</v>
      </c>
      <c r="AL536">
        <v>533</v>
      </c>
      <c r="AM536">
        <v>4682.25</v>
      </c>
      <c r="AN536">
        <v>4674.7371000000003</v>
      </c>
      <c r="AO536">
        <v>7.5129000000000001</v>
      </c>
      <c r="AP536">
        <v>56.442900000000002</v>
      </c>
      <c r="AQ536">
        <v>9.7549999999999998E-3</v>
      </c>
      <c r="AR536">
        <v>2.0839999999999999E-3</v>
      </c>
      <c r="AY536">
        <v>534</v>
      </c>
      <c r="AZ536">
        <v>533</v>
      </c>
      <c r="BA536">
        <v>4682.25</v>
      </c>
      <c r="BB536">
        <v>4674.7371000000003</v>
      </c>
      <c r="BC536">
        <v>7.5129000000000001</v>
      </c>
      <c r="BD536">
        <v>56.442900000000002</v>
      </c>
      <c r="BE536">
        <v>284089</v>
      </c>
    </row>
    <row r="537" spans="1:57" x14ac:dyDescent="0.55000000000000004">
      <c r="A537">
        <v>1777026602</v>
      </c>
      <c r="B537" t="s">
        <v>72</v>
      </c>
      <c r="C537" t="s">
        <v>73</v>
      </c>
      <c r="D537">
        <v>4679.01</v>
      </c>
      <c r="E537">
        <v>4518.5928199999998</v>
      </c>
      <c r="F537">
        <v>4596.0559499999999</v>
      </c>
      <c r="G537">
        <v>4755.40355</v>
      </c>
      <c r="H537">
        <v>4792.7697200000002</v>
      </c>
      <c r="Q537">
        <v>4674.4695400000001</v>
      </c>
      <c r="R537">
        <v>4703.83284</v>
      </c>
      <c r="S537">
        <v>4730.4216100000003</v>
      </c>
      <c r="V537">
        <v>4639.5297700000001</v>
      </c>
      <c r="W537">
        <v>4605.9647800000002</v>
      </c>
      <c r="AB537">
        <v>4685.4997899999998</v>
      </c>
      <c r="AC537">
        <v>4683.7148800000004</v>
      </c>
      <c r="AD537">
        <v>0</v>
      </c>
      <c r="AK537">
        <v>535</v>
      </c>
      <c r="AL537">
        <v>534</v>
      </c>
      <c r="AM537">
        <v>4679.01</v>
      </c>
      <c r="AN537">
        <v>4674.4695000000002</v>
      </c>
      <c r="AO537">
        <v>4.5404999999999998</v>
      </c>
      <c r="AP537">
        <v>20.6158</v>
      </c>
      <c r="AQ537">
        <v>2.153E-3</v>
      </c>
      <c r="AR537">
        <v>2.7799999999999998E-4</v>
      </c>
      <c r="AY537">
        <v>535</v>
      </c>
      <c r="AZ537">
        <v>534</v>
      </c>
      <c r="BA537">
        <v>4679.01</v>
      </c>
      <c r="BB537">
        <v>4674.4695000000002</v>
      </c>
      <c r="BC537">
        <v>4.5404999999999998</v>
      </c>
      <c r="BD537">
        <v>20.6158</v>
      </c>
      <c r="BE537">
        <v>285156</v>
      </c>
    </row>
    <row r="538" spans="1:57" x14ac:dyDescent="0.55000000000000004">
      <c r="A538">
        <v>1777027502</v>
      </c>
      <c r="B538" t="s">
        <v>72</v>
      </c>
      <c r="C538" t="s">
        <v>73</v>
      </c>
      <c r="D538">
        <v>4678.04</v>
      </c>
      <c r="E538">
        <v>4518.5928199999998</v>
      </c>
      <c r="F538">
        <v>4596.0559499999999</v>
      </c>
      <c r="G538">
        <v>4755.40355</v>
      </c>
      <c r="H538">
        <v>4792.7697200000002</v>
      </c>
      <c r="Q538">
        <v>4674.2019399999999</v>
      </c>
      <c r="R538">
        <v>4703.5652399999999</v>
      </c>
      <c r="S538">
        <v>4730.1540100000002</v>
      </c>
      <c r="V538">
        <v>4639.26217</v>
      </c>
      <c r="W538">
        <v>4605.6971700000004</v>
      </c>
      <c r="AB538">
        <v>4690.45723</v>
      </c>
      <c r="AC538">
        <v>4687.0860499999999</v>
      </c>
      <c r="AD538">
        <v>0</v>
      </c>
      <c r="AK538">
        <v>536</v>
      </c>
      <c r="AL538">
        <v>535</v>
      </c>
      <c r="AM538">
        <v>4678.04</v>
      </c>
      <c r="AN538">
        <v>4674.2019</v>
      </c>
      <c r="AO538">
        <v>3.8380999999999998</v>
      </c>
      <c r="AP538">
        <v>14.730700000000001</v>
      </c>
      <c r="AQ538">
        <v>1.3010000000000001E-3</v>
      </c>
      <c r="AR538">
        <v>1.4200000000000001E-4</v>
      </c>
      <c r="AY538">
        <v>536</v>
      </c>
      <c r="AZ538">
        <v>535</v>
      </c>
      <c r="BA538">
        <v>4678.04</v>
      </c>
      <c r="BB538">
        <v>4674.2019</v>
      </c>
      <c r="BC538">
        <v>3.8380999999999998</v>
      </c>
      <c r="BD538">
        <v>14.730700000000001</v>
      </c>
      <c r="BE538">
        <v>286225</v>
      </c>
    </row>
    <row r="539" spans="1:57" x14ac:dyDescent="0.55000000000000004">
      <c r="A539">
        <v>1777028402</v>
      </c>
      <c r="B539" t="s">
        <v>72</v>
      </c>
      <c r="C539" t="s">
        <v>73</v>
      </c>
      <c r="D539">
        <v>4696.78</v>
      </c>
      <c r="E539">
        <v>4518.5928199999998</v>
      </c>
      <c r="F539">
        <v>4596.0559499999999</v>
      </c>
      <c r="G539">
        <v>4755.40355</v>
      </c>
      <c r="H539">
        <v>4792.7697200000002</v>
      </c>
      <c r="Q539">
        <v>4673.9343399999998</v>
      </c>
      <c r="R539">
        <v>4703.29763</v>
      </c>
      <c r="S539">
        <v>4729.8864000000003</v>
      </c>
      <c r="V539">
        <v>4638.9945600000001</v>
      </c>
      <c r="W539">
        <v>4605.4295700000002</v>
      </c>
      <c r="AB539">
        <v>4696.2428900000004</v>
      </c>
      <c r="AC539">
        <v>4691.6644699999997</v>
      </c>
      <c r="AD539">
        <v>0</v>
      </c>
      <c r="AK539">
        <v>537</v>
      </c>
      <c r="AL539">
        <v>536</v>
      </c>
      <c r="AM539">
        <v>4696.78</v>
      </c>
      <c r="AN539">
        <v>4673.9342999999999</v>
      </c>
      <c r="AO539">
        <v>22.845700000000001</v>
      </c>
      <c r="AP539">
        <v>521.92420000000004</v>
      </c>
      <c r="AQ539">
        <v>0.27430100000000002</v>
      </c>
      <c r="AR539">
        <v>0.17822499999999999</v>
      </c>
      <c r="AY539">
        <v>537</v>
      </c>
      <c r="AZ539">
        <v>536</v>
      </c>
      <c r="BA539">
        <v>4696.78</v>
      </c>
      <c r="BB539">
        <v>4673.9342999999999</v>
      </c>
      <c r="BC539">
        <v>22.845700000000001</v>
      </c>
      <c r="BD539">
        <v>521.92420000000004</v>
      </c>
      <c r="BE539">
        <v>287296</v>
      </c>
    </row>
    <row r="540" spans="1:57" x14ac:dyDescent="0.55000000000000004">
      <c r="A540">
        <v>1777029302</v>
      </c>
      <c r="B540" t="s">
        <v>72</v>
      </c>
      <c r="C540" t="s">
        <v>73</v>
      </c>
      <c r="D540">
        <v>4715.3</v>
      </c>
      <c r="E540">
        <v>4518.5928199999998</v>
      </c>
      <c r="F540">
        <v>4596.0559499999999</v>
      </c>
      <c r="G540">
        <v>4755.40355</v>
      </c>
      <c r="H540">
        <v>4792.7697200000002</v>
      </c>
      <c r="Q540">
        <v>4673.6667299999999</v>
      </c>
      <c r="R540">
        <v>4703.0300299999999</v>
      </c>
      <c r="S540">
        <v>4729.6188000000002</v>
      </c>
      <c r="V540">
        <v>4638.72696</v>
      </c>
      <c r="W540">
        <v>4605.1619600000004</v>
      </c>
      <c r="AB540">
        <v>4701.4794199999997</v>
      </c>
      <c r="AC540">
        <v>4696.5719399999998</v>
      </c>
      <c r="AD540">
        <v>0</v>
      </c>
      <c r="AK540">
        <v>538</v>
      </c>
      <c r="AL540">
        <v>537</v>
      </c>
      <c r="AM540">
        <v>4715.3</v>
      </c>
      <c r="AN540">
        <v>4673.6666999999998</v>
      </c>
      <c r="AO540">
        <v>41.633299999999998</v>
      </c>
      <c r="AP540">
        <v>1733.3291999999999</v>
      </c>
      <c r="AQ540">
        <v>1.6601109999999999</v>
      </c>
      <c r="AR540">
        <v>1.965695</v>
      </c>
      <c r="AY540">
        <v>538</v>
      </c>
      <c r="AZ540">
        <v>537</v>
      </c>
      <c r="BA540">
        <v>4715.3</v>
      </c>
      <c r="BB540">
        <v>4673.6666999999998</v>
      </c>
      <c r="BC540">
        <v>41.633299999999998</v>
      </c>
      <c r="BD540">
        <v>1733.3291999999999</v>
      </c>
      <c r="BE540">
        <v>288369</v>
      </c>
    </row>
    <row r="541" spans="1:57" x14ac:dyDescent="0.55000000000000004">
      <c r="A541">
        <v>1777030202</v>
      </c>
      <c r="B541" t="s">
        <v>72</v>
      </c>
      <c r="C541" t="s">
        <v>73</v>
      </c>
      <c r="D541">
        <v>4705.3999999999996</v>
      </c>
      <c r="E541">
        <v>4518.5928199999998</v>
      </c>
      <c r="F541">
        <v>4596.0559499999999</v>
      </c>
      <c r="G541">
        <v>4755.40355</v>
      </c>
      <c r="H541">
        <v>4792.7697200000002</v>
      </c>
      <c r="Q541">
        <v>4673.3991299999998</v>
      </c>
      <c r="R541">
        <v>4702.7624299999998</v>
      </c>
      <c r="S541">
        <v>4729.3512000000001</v>
      </c>
      <c r="V541">
        <v>4638.4593599999998</v>
      </c>
      <c r="W541">
        <v>4604.8943600000002</v>
      </c>
      <c r="AB541">
        <v>4704.9624700000004</v>
      </c>
      <c r="AC541">
        <v>4700.76721</v>
      </c>
      <c r="AD541">
        <v>0</v>
      </c>
      <c r="AK541">
        <v>539</v>
      </c>
      <c r="AL541">
        <v>538</v>
      </c>
      <c r="AM541">
        <v>4705.3999999999996</v>
      </c>
      <c r="AN541">
        <v>4673.3990999999996</v>
      </c>
      <c r="AO541">
        <v>32.000900000000001</v>
      </c>
      <c r="AP541">
        <v>1024.0556999999999</v>
      </c>
      <c r="AQ541">
        <v>0.75387800000000005</v>
      </c>
      <c r="AR541">
        <v>0.68612200000000001</v>
      </c>
      <c r="AY541">
        <v>539</v>
      </c>
      <c r="AZ541">
        <v>538</v>
      </c>
      <c r="BA541">
        <v>4705.3999999999996</v>
      </c>
      <c r="BB541">
        <v>4673.3990999999996</v>
      </c>
      <c r="BC541">
        <v>32.000900000000001</v>
      </c>
      <c r="BD541">
        <v>1024.0556999999999</v>
      </c>
      <c r="BE541">
        <v>289444</v>
      </c>
    </row>
    <row r="542" spans="1:57" x14ac:dyDescent="0.55000000000000004">
      <c r="A542">
        <v>1777031102</v>
      </c>
      <c r="B542" t="s">
        <v>72</v>
      </c>
      <c r="C542" t="s">
        <v>73</v>
      </c>
      <c r="D542">
        <v>4706.76</v>
      </c>
      <c r="E542">
        <v>4518.5928199999998</v>
      </c>
      <c r="F542">
        <v>4596.0559499999999</v>
      </c>
      <c r="G542">
        <v>4755.40355</v>
      </c>
      <c r="H542">
        <v>4792.7697200000002</v>
      </c>
      <c r="Q542">
        <v>4673.1315199999999</v>
      </c>
      <c r="R542">
        <v>4702.4948199999999</v>
      </c>
      <c r="S542">
        <v>4729.0835900000002</v>
      </c>
      <c r="V542">
        <v>4638.19175</v>
      </c>
      <c r="W542">
        <v>4604.6267600000001</v>
      </c>
      <c r="AB542">
        <v>4706.6678899999997</v>
      </c>
      <c r="AC542">
        <v>4703.7175500000003</v>
      </c>
      <c r="AD542">
        <v>0</v>
      </c>
      <c r="AK542">
        <v>540</v>
      </c>
      <c r="AL542">
        <v>539</v>
      </c>
      <c r="AM542">
        <v>4706.76</v>
      </c>
      <c r="AN542">
        <v>4673.1315000000004</v>
      </c>
      <c r="AO542">
        <v>33.628500000000003</v>
      </c>
      <c r="AP542">
        <v>1130.8747000000001</v>
      </c>
      <c r="AQ542">
        <v>0.874857</v>
      </c>
      <c r="AR542">
        <v>0.83672599999999997</v>
      </c>
      <c r="AY542">
        <v>540</v>
      </c>
      <c r="AZ542">
        <v>539</v>
      </c>
      <c r="BA542">
        <v>4706.76</v>
      </c>
      <c r="BB542">
        <v>4673.1315000000004</v>
      </c>
      <c r="BC542">
        <v>33.628500000000003</v>
      </c>
      <c r="BD542">
        <v>1130.8747000000001</v>
      </c>
      <c r="BE542">
        <v>290521</v>
      </c>
    </row>
    <row r="543" spans="1:57" x14ac:dyDescent="0.55000000000000004">
      <c r="A543">
        <v>1777032002</v>
      </c>
      <c r="B543" t="s">
        <v>72</v>
      </c>
      <c r="C543" t="s">
        <v>73</v>
      </c>
      <c r="D543">
        <v>4708.7</v>
      </c>
      <c r="E543">
        <v>4518.5928199999998</v>
      </c>
      <c r="F543">
        <v>4596.0559499999999</v>
      </c>
      <c r="G543">
        <v>4755.40355</v>
      </c>
      <c r="H543">
        <v>4792.7697200000002</v>
      </c>
      <c r="Q543">
        <v>4672.8639199999998</v>
      </c>
      <c r="R543">
        <v>4702.2272199999998</v>
      </c>
      <c r="S543">
        <v>4728.8159900000001</v>
      </c>
      <c r="V543">
        <v>4637.9241499999998</v>
      </c>
      <c r="W543">
        <v>4604.3591500000002</v>
      </c>
      <c r="AB543">
        <v>4706.7257200000004</v>
      </c>
      <c r="AC543">
        <v>4705.22163</v>
      </c>
      <c r="AD543">
        <v>0</v>
      </c>
      <c r="AK543">
        <v>541</v>
      </c>
      <c r="AL543">
        <v>540</v>
      </c>
      <c r="AM543">
        <v>4708.7</v>
      </c>
      <c r="AN543">
        <v>4672.8639000000003</v>
      </c>
      <c r="AO543">
        <v>35.836100000000002</v>
      </c>
      <c r="AP543">
        <v>1284.2246</v>
      </c>
      <c r="AQ543">
        <v>1.05871</v>
      </c>
      <c r="AR543">
        <v>1.0790360000000001</v>
      </c>
      <c r="AY543">
        <v>541</v>
      </c>
      <c r="AZ543">
        <v>540</v>
      </c>
      <c r="BA543">
        <v>4708.7</v>
      </c>
      <c r="BB543">
        <v>4672.8639000000003</v>
      </c>
      <c r="BC543">
        <v>35.836100000000002</v>
      </c>
      <c r="BD543">
        <v>1284.2246</v>
      </c>
      <c r="BE543">
        <v>291600</v>
      </c>
    </row>
    <row r="544" spans="1:57" x14ac:dyDescent="0.55000000000000004">
      <c r="A544">
        <v>1777032902</v>
      </c>
      <c r="B544" t="s">
        <v>72</v>
      </c>
      <c r="C544" t="s">
        <v>73</v>
      </c>
      <c r="D544">
        <v>4710.63</v>
      </c>
      <c r="E544">
        <v>4518.5928199999998</v>
      </c>
      <c r="F544">
        <v>4596.0559499999999</v>
      </c>
      <c r="G544">
        <v>4755.40355</v>
      </c>
      <c r="H544">
        <v>4792.7697200000002</v>
      </c>
      <c r="Q544">
        <v>4672.5963099999999</v>
      </c>
      <c r="R544">
        <v>4701.9596099999999</v>
      </c>
      <c r="S544">
        <v>4728.5483800000002</v>
      </c>
      <c r="V544">
        <v>4637.6565399999999</v>
      </c>
      <c r="W544">
        <v>4604.0915500000001</v>
      </c>
      <c r="AB544">
        <v>4705.5940199999995</v>
      </c>
      <c r="AC544">
        <v>4705.4078300000001</v>
      </c>
      <c r="AD544">
        <v>0</v>
      </c>
      <c r="AK544">
        <v>542</v>
      </c>
      <c r="AL544">
        <v>541</v>
      </c>
      <c r="AM544">
        <v>4710.63</v>
      </c>
      <c r="AN544">
        <v>4672.5963000000002</v>
      </c>
      <c r="AO544">
        <v>38.033700000000003</v>
      </c>
      <c r="AP544">
        <v>1446.5616</v>
      </c>
      <c r="AQ544">
        <v>1.265671</v>
      </c>
      <c r="AR544">
        <v>1.3690770000000001</v>
      </c>
      <c r="AY544">
        <v>542</v>
      </c>
      <c r="AZ544">
        <v>541</v>
      </c>
      <c r="BA544">
        <v>4710.63</v>
      </c>
      <c r="BB544">
        <v>4672.5963000000002</v>
      </c>
      <c r="BC544">
        <v>38.033700000000003</v>
      </c>
      <c r="BD544">
        <v>1446.5616</v>
      </c>
      <c r="BE544">
        <v>292681</v>
      </c>
    </row>
    <row r="545" spans="1:57" x14ac:dyDescent="0.55000000000000004">
      <c r="A545">
        <v>1777033802</v>
      </c>
      <c r="B545" t="s">
        <v>72</v>
      </c>
      <c r="C545" t="s">
        <v>73</v>
      </c>
      <c r="D545">
        <v>4698.83</v>
      </c>
      <c r="E545">
        <v>4518.5928199999998</v>
      </c>
      <c r="F545">
        <v>4596.0559499999999</v>
      </c>
      <c r="G545">
        <v>4755.40355</v>
      </c>
      <c r="H545">
        <v>4792.7697200000002</v>
      </c>
      <c r="Q545">
        <v>4672.3287099999998</v>
      </c>
      <c r="R545">
        <v>4701.6920099999998</v>
      </c>
      <c r="S545">
        <v>4728.28078</v>
      </c>
      <c r="V545">
        <v>4637.3889399999998</v>
      </c>
      <c r="W545">
        <v>4603.8239400000002</v>
      </c>
      <c r="AB545">
        <v>4703.9862199999998</v>
      </c>
      <c r="AC545">
        <v>4704.6970199999996</v>
      </c>
      <c r="AD545">
        <v>1</v>
      </c>
      <c r="AK545">
        <v>543</v>
      </c>
      <c r="AL545">
        <v>542</v>
      </c>
      <c r="AM545">
        <v>4698.83</v>
      </c>
      <c r="AN545">
        <v>4672.3287</v>
      </c>
      <c r="AO545">
        <v>26.501300000000001</v>
      </c>
      <c r="AP545">
        <v>702.3184</v>
      </c>
      <c r="AQ545">
        <v>0.42817</v>
      </c>
      <c r="AR545">
        <v>0.32271699999999998</v>
      </c>
      <c r="AY545">
        <v>543</v>
      </c>
      <c r="AZ545">
        <v>542</v>
      </c>
      <c r="BA545">
        <v>4698.83</v>
      </c>
      <c r="BB545">
        <v>4672.3287</v>
      </c>
      <c r="BC545">
        <v>26.501300000000001</v>
      </c>
      <c r="BD545">
        <v>702.3184</v>
      </c>
      <c r="BE545">
        <v>293764</v>
      </c>
    </row>
    <row r="546" spans="1:57" x14ac:dyDescent="0.55000000000000004">
      <c r="A546">
        <v>1777034702</v>
      </c>
      <c r="B546" t="s">
        <v>72</v>
      </c>
      <c r="C546" t="s">
        <v>73</v>
      </c>
      <c r="D546">
        <v>4700.67</v>
      </c>
      <c r="E546">
        <v>4518.5928199999998</v>
      </c>
      <c r="F546">
        <v>4596.0559499999999</v>
      </c>
      <c r="G546">
        <v>4755.40355</v>
      </c>
      <c r="H546">
        <v>4792.7697200000002</v>
      </c>
      <c r="Q546">
        <v>4672.0611099999996</v>
      </c>
      <c r="R546">
        <v>4701.4244099999996</v>
      </c>
      <c r="S546">
        <v>4728.0131799999999</v>
      </c>
      <c r="V546">
        <v>4637.1213399999997</v>
      </c>
      <c r="W546">
        <v>4603.5563400000001</v>
      </c>
      <c r="AB546">
        <v>4703.0805399999999</v>
      </c>
      <c r="AC546">
        <v>4703.8887800000002</v>
      </c>
      <c r="AD546">
        <v>0</v>
      </c>
      <c r="AK546">
        <v>544</v>
      </c>
      <c r="AL546">
        <v>543</v>
      </c>
      <c r="AM546">
        <v>4700.67</v>
      </c>
      <c r="AN546">
        <v>4672.0610999999999</v>
      </c>
      <c r="AO546">
        <v>28.608899999999998</v>
      </c>
      <c r="AP546">
        <v>818.46860000000004</v>
      </c>
      <c r="AQ546">
        <v>0.53866499999999995</v>
      </c>
      <c r="AR546">
        <v>0.43828699999999998</v>
      </c>
      <c r="AY546">
        <v>544</v>
      </c>
      <c r="AZ546">
        <v>543</v>
      </c>
      <c r="BA546">
        <v>4700.67</v>
      </c>
      <c r="BB546">
        <v>4672.0610999999999</v>
      </c>
      <c r="BC546">
        <v>28.608899999999998</v>
      </c>
      <c r="BD546">
        <v>818.46860000000004</v>
      </c>
      <c r="BE546">
        <v>294849</v>
      </c>
    </row>
    <row r="547" spans="1:57" x14ac:dyDescent="0.55000000000000004">
      <c r="A547">
        <v>1777035602</v>
      </c>
      <c r="B547" t="s">
        <v>72</v>
      </c>
      <c r="C547" t="s">
        <v>73</v>
      </c>
      <c r="D547">
        <v>4702.99</v>
      </c>
      <c r="E547">
        <v>4518.5928199999998</v>
      </c>
      <c r="F547">
        <v>4596.0559499999999</v>
      </c>
      <c r="G547">
        <v>4755.40355</v>
      </c>
      <c r="H547">
        <v>4792.7697200000002</v>
      </c>
      <c r="Q547">
        <v>4671.7934999999998</v>
      </c>
      <c r="R547">
        <v>4701.1567999999997</v>
      </c>
      <c r="S547">
        <v>4727.74557</v>
      </c>
      <c r="V547">
        <v>4636.8537299999998</v>
      </c>
      <c r="W547">
        <v>4603.28874</v>
      </c>
      <c r="AB547">
        <v>4703.4866199999997</v>
      </c>
      <c r="AC547">
        <v>4703.6877000000004</v>
      </c>
      <c r="AD547">
        <v>0</v>
      </c>
      <c r="AK547">
        <v>545</v>
      </c>
      <c r="AL547">
        <v>544</v>
      </c>
      <c r="AM547">
        <v>4702.99</v>
      </c>
      <c r="AN547">
        <v>4671.7934999999998</v>
      </c>
      <c r="AO547">
        <v>31.1965</v>
      </c>
      <c r="AP547">
        <v>973.22159999999997</v>
      </c>
      <c r="AQ547">
        <v>0.69844700000000004</v>
      </c>
      <c r="AR547">
        <v>0.61969399999999997</v>
      </c>
      <c r="AY547">
        <v>545</v>
      </c>
      <c r="AZ547">
        <v>544</v>
      </c>
      <c r="BA547">
        <v>4702.99</v>
      </c>
      <c r="BB547">
        <v>4671.7934999999998</v>
      </c>
      <c r="BC547">
        <v>31.1965</v>
      </c>
      <c r="BD547">
        <v>973.22159999999997</v>
      </c>
      <c r="BE547">
        <v>295936</v>
      </c>
    </row>
    <row r="548" spans="1:57" x14ac:dyDescent="0.55000000000000004">
      <c r="A548">
        <v>1777036502</v>
      </c>
      <c r="B548" t="s">
        <v>72</v>
      </c>
      <c r="C548" t="s">
        <v>73</v>
      </c>
      <c r="D548">
        <v>4697.13</v>
      </c>
      <c r="E548">
        <v>4518.5928199999998</v>
      </c>
      <c r="F548">
        <v>4596.0559499999999</v>
      </c>
      <c r="G548">
        <v>4755.40355</v>
      </c>
      <c r="H548">
        <v>4792.7697200000002</v>
      </c>
      <c r="Q548">
        <v>4671.5258999999996</v>
      </c>
      <c r="R548">
        <v>4700.8891999999996</v>
      </c>
      <c r="S548">
        <v>4727.4779699999999</v>
      </c>
      <c r="V548">
        <v>4636.5861299999997</v>
      </c>
      <c r="W548">
        <v>4603.0211300000001</v>
      </c>
      <c r="AB548">
        <v>4705.4759999999997</v>
      </c>
      <c r="AC548">
        <v>4704.5818499999996</v>
      </c>
      <c r="AD548">
        <v>1</v>
      </c>
      <c r="AK548">
        <v>546</v>
      </c>
      <c r="AL548">
        <v>545</v>
      </c>
      <c r="AM548">
        <v>4697.13</v>
      </c>
      <c r="AN548">
        <v>4671.5258999999996</v>
      </c>
      <c r="AO548">
        <v>25.604099999999999</v>
      </c>
      <c r="AP548">
        <v>655.56989999999996</v>
      </c>
      <c r="AQ548">
        <v>0.38613900000000001</v>
      </c>
      <c r="AR548">
        <v>0.28118500000000002</v>
      </c>
      <c r="AY548">
        <v>546</v>
      </c>
      <c r="AZ548">
        <v>545</v>
      </c>
      <c r="BA548">
        <v>4697.13</v>
      </c>
      <c r="BB548">
        <v>4671.5258999999996</v>
      </c>
      <c r="BC548">
        <v>25.604099999999999</v>
      </c>
      <c r="BD548">
        <v>655.56989999999996</v>
      </c>
      <c r="BE548">
        <v>297025</v>
      </c>
    </row>
    <row r="549" spans="1:57" x14ac:dyDescent="0.55000000000000004">
      <c r="A549">
        <v>1777037402</v>
      </c>
      <c r="B549" t="s">
        <v>72</v>
      </c>
      <c r="C549" t="s">
        <v>73</v>
      </c>
      <c r="D549">
        <v>4708.2299999999996</v>
      </c>
      <c r="E549">
        <v>4518.5928199999998</v>
      </c>
      <c r="F549">
        <v>4596.0559499999999</v>
      </c>
      <c r="G549">
        <v>4755.40355</v>
      </c>
      <c r="H549">
        <v>4792.7697200000002</v>
      </c>
      <c r="Q549">
        <v>4671.2582899999998</v>
      </c>
      <c r="R549">
        <v>4700.6215899999997</v>
      </c>
      <c r="S549">
        <v>4727.21036</v>
      </c>
      <c r="V549">
        <v>4636.3185199999998</v>
      </c>
      <c r="W549">
        <v>4602.75353</v>
      </c>
      <c r="AB549">
        <v>4709.1628499999997</v>
      </c>
      <c r="AC549">
        <v>4706.8723499999996</v>
      </c>
      <c r="AD549">
        <v>0</v>
      </c>
      <c r="AK549">
        <v>547</v>
      </c>
      <c r="AL549">
        <v>546</v>
      </c>
      <c r="AM549">
        <v>4708.2299999999996</v>
      </c>
      <c r="AN549">
        <v>4671.2583000000004</v>
      </c>
      <c r="AO549">
        <v>36.971699999999998</v>
      </c>
      <c r="AP549">
        <v>1366.9073000000001</v>
      </c>
      <c r="AQ549">
        <v>1.1625840000000001</v>
      </c>
      <c r="AR549">
        <v>1.222453</v>
      </c>
      <c r="AY549">
        <v>547</v>
      </c>
      <c r="AZ549">
        <v>546</v>
      </c>
      <c r="BA549">
        <v>4708.2299999999996</v>
      </c>
      <c r="BB549">
        <v>4671.2583000000004</v>
      </c>
      <c r="BC549">
        <v>36.971699999999998</v>
      </c>
      <c r="BD549">
        <v>1366.9073000000001</v>
      </c>
      <c r="BE549">
        <v>298116</v>
      </c>
    </row>
    <row r="550" spans="1:57" x14ac:dyDescent="0.55000000000000004">
      <c r="A550">
        <v>1777038302</v>
      </c>
      <c r="B550" t="s">
        <v>72</v>
      </c>
      <c r="C550" t="s">
        <v>73</v>
      </c>
      <c r="D550">
        <v>4711.2</v>
      </c>
      <c r="E550">
        <v>4518.5928199999998</v>
      </c>
      <c r="F550">
        <v>4596.0559499999999</v>
      </c>
      <c r="G550">
        <v>4755.40355</v>
      </c>
      <c r="H550">
        <v>4792.7697200000002</v>
      </c>
      <c r="Q550">
        <v>4670.9906899999996</v>
      </c>
      <c r="R550">
        <v>4700.3539899999996</v>
      </c>
      <c r="S550">
        <v>4726.9427599999999</v>
      </c>
      <c r="V550">
        <v>4636.0509199999997</v>
      </c>
      <c r="W550">
        <v>4602.4859200000001</v>
      </c>
      <c r="AB550">
        <v>4713.8920099999996</v>
      </c>
      <c r="AC550">
        <v>4710.3821799999996</v>
      </c>
      <c r="AD550">
        <v>0</v>
      </c>
      <c r="AK550">
        <v>548</v>
      </c>
      <c r="AL550">
        <v>547</v>
      </c>
      <c r="AM550">
        <v>4711.2</v>
      </c>
      <c r="AN550">
        <v>4670.9907000000003</v>
      </c>
      <c r="AO550">
        <v>40.209299999999999</v>
      </c>
      <c r="AP550">
        <v>1616.7886000000001</v>
      </c>
      <c r="AQ550">
        <v>1.4955309999999999</v>
      </c>
      <c r="AR550">
        <v>1.7102539999999999</v>
      </c>
      <c r="AY550">
        <v>548</v>
      </c>
      <c r="AZ550">
        <v>547</v>
      </c>
      <c r="BA550">
        <v>4711.2</v>
      </c>
      <c r="BB550">
        <v>4670.9907000000003</v>
      </c>
      <c r="BC550">
        <v>40.209299999999999</v>
      </c>
      <c r="BD550">
        <v>1616.7886000000001</v>
      </c>
      <c r="BE550">
        <v>299209</v>
      </c>
    </row>
    <row r="551" spans="1:57" x14ac:dyDescent="0.55000000000000004">
      <c r="A551">
        <v>1777039202</v>
      </c>
      <c r="B551" t="s">
        <v>72</v>
      </c>
      <c r="C551" t="s">
        <v>73</v>
      </c>
      <c r="D551">
        <v>4731.95</v>
      </c>
      <c r="E551">
        <v>4518.5928199999998</v>
      </c>
      <c r="F551">
        <v>4596.0559499999999</v>
      </c>
      <c r="G551">
        <v>4755.40355</v>
      </c>
      <c r="H551">
        <v>4792.7697200000002</v>
      </c>
      <c r="Q551">
        <v>4670.7230900000004</v>
      </c>
      <c r="R551">
        <v>4700.0863799999997</v>
      </c>
      <c r="S551">
        <v>4726.6751599999998</v>
      </c>
      <c r="V551">
        <v>4635.7833199999995</v>
      </c>
      <c r="W551">
        <v>4602.2183199999999</v>
      </c>
      <c r="Z551">
        <v>4740.49</v>
      </c>
      <c r="AB551">
        <v>4718.9662099999996</v>
      </c>
      <c r="AC551">
        <v>4714.6742000000004</v>
      </c>
      <c r="AD551">
        <v>0</v>
      </c>
      <c r="AK551">
        <v>549</v>
      </c>
      <c r="AL551">
        <v>548</v>
      </c>
      <c r="AM551">
        <v>4731.95</v>
      </c>
      <c r="AN551">
        <v>4670.7231000000002</v>
      </c>
      <c r="AO551">
        <v>61.226900000000001</v>
      </c>
      <c r="AP551">
        <v>3748.7345</v>
      </c>
      <c r="AQ551">
        <v>5.280106</v>
      </c>
      <c r="AR551">
        <v>9.1944020000000002</v>
      </c>
      <c r="AY551">
        <v>549</v>
      </c>
      <c r="AZ551">
        <v>548</v>
      </c>
      <c r="BA551">
        <v>4731.95</v>
      </c>
      <c r="BB551">
        <v>4670.7231000000002</v>
      </c>
      <c r="BC551">
        <v>61.226900000000001</v>
      </c>
      <c r="BD551">
        <v>3748.7345</v>
      </c>
      <c r="BE551">
        <v>300304</v>
      </c>
    </row>
    <row r="552" spans="1:57" x14ac:dyDescent="0.55000000000000004">
      <c r="A552">
        <v>1777040102</v>
      </c>
      <c r="B552" t="s">
        <v>72</v>
      </c>
      <c r="C552" t="s">
        <v>73</v>
      </c>
      <c r="D552">
        <v>4725.46</v>
      </c>
      <c r="E552">
        <v>4518.5928199999998</v>
      </c>
      <c r="F552">
        <v>4596.0559499999999</v>
      </c>
      <c r="G552">
        <v>4755.40355</v>
      </c>
      <c r="H552">
        <v>4792.7697200000002</v>
      </c>
      <c r="Q552">
        <v>4670.4554799999996</v>
      </c>
      <c r="R552">
        <v>4699.8187799999996</v>
      </c>
      <c r="S552">
        <v>4726.4075499999999</v>
      </c>
      <c r="V552">
        <v>4635.5157099999997</v>
      </c>
      <c r="W552">
        <v>4601.9507199999998</v>
      </c>
      <c r="AB552">
        <v>4723.1562700000004</v>
      </c>
      <c r="AC552">
        <v>4718.9152299999996</v>
      </c>
      <c r="AD552">
        <v>0</v>
      </c>
      <c r="AK552">
        <v>550</v>
      </c>
      <c r="AL552">
        <v>549</v>
      </c>
      <c r="AM552">
        <v>4725.46</v>
      </c>
      <c r="AN552">
        <v>4670.4555</v>
      </c>
      <c r="AO552">
        <v>55.0045</v>
      </c>
      <c r="AP552">
        <v>3025.4971999999998</v>
      </c>
      <c r="AQ552">
        <v>3.8283420000000001</v>
      </c>
      <c r="AR552">
        <v>5.9889080000000003</v>
      </c>
      <c r="AY552">
        <v>550</v>
      </c>
      <c r="AZ552">
        <v>549</v>
      </c>
      <c r="BA552">
        <v>4725.46</v>
      </c>
      <c r="BB552">
        <v>4670.4555</v>
      </c>
      <c r="BC552">
        <v>55.0045</v>
      </c>
      <c r="BD552">
        <v>3025.4971999999998</v>
      </c>
      <c r="BE552">
        <v>301401</v>
      </c>
    </row>
    <row r="553" spans="1:57" x14ac:dyDescent="0.55000000000000004">
      <c r="A553">
        <v>1777041002</v>
      </c>
      <c r="B553" t="s">
        <v>72</v>
      </c>
      <c r="C553" t="s">
        <v>73</v>
      </c>
      <c r="D553">
        <v>4730.38</v>
      </c>
      <c r="E553">
        <v>4518.5928199999998</v>
      </c>
      <c r="F553">
        <v>4596.0559499999999</v>
      </c>
      <c r="G553">
        <v>4755.40355</v>
      </c>
      <c r="H553">
        <v>4792.7697200000002</v>
      </c>
      <c r="Q553">
        <v>4670.1878800000004</v>
      </c>
      <c r="R553">
        <v>4699.5511800000004</v>
      </c>
      <c r="S553">
        <v>4726.1399499999998</v>
      </c>
      <c r="V553">
        <v>4635.2481100000005</v>
      </c>
      <c r="W553">
        <v>4601.6831099999999</v>
      </c>
      <c r="AB553">
        <v>4726.1589000000004</v>
      </c>
      <c r="AC553">
        <v>4722.5370700000003</v>
      </c>
      <c r="AD553">
        <v>0</v>
      </c>
      <c r="AK553">
        <v>551</v>
      </c>
      <c r="AL553">
        <v>550</v>
      </c>
      <c r="AM553">
        <v>4730.38</v>
      </c>
      <c r="AN553">
        <v>4670.1878999999999</v>
      </c>
      <c r="AO553">
        <v>60.192100000000003</v>
      </c>
      <c r="AP553">
        <v>3623.0913</v>
      </c>
      <c r="AQ553">
        <v>5.0168889999999999</v>
      </c>
      <c r="AR553">
        <v>8.5884079999999994</v>
      </c>
      <c r="AY553">
        <v>551</v>
      </c>
      <c r="AZ553">
        <v>550</v>
      </c>
      <c r="BA553">
        <v>4730.38</v>
      </c>
      <c r="BB553">
        <v>4670.1878999999999</v>
      </c>
      <c r="BC553">
        <v>60.192100000000003</v>
      </c>
      <c r="BD553">
        <v>3623.0913</v>
      </c>
      <c r="BE553">
        <v>302500</v>
      </c>
    </row>
    <row r="554" spans="1:57" x14ac:dyDescent="0.55000000000000004">
      <c r="A554">
        <v>1777041902</v>
      </c>
      <c r="B554" t="s">
        <v>72</v>
      </c>
      <c r="C554" t="s">
        <v>73</v>
      </c>
      <c r="D554">
        <v>4726.41</v>
      </c>
      <c r="E554">
        <v>4518.5928199999998</v>
      </c>
      <c r="F554">
        <v>4596.0559499999999</v>
      </c>
      <c r="G554">
        <v>4755.40355</v>
      </c>
      <c r="H554">
        <v>4792.7697200000002</v>
      </c>
      <c r="Q554">
        <v>4669.9202699999996</v>
      </c>
      <c r="R554">
        <v>4699.2835699999996</v>
      </c>
      <c r="S554">
        <v>4725.8723399999999</v>
      </c>
      <c r="V554">
        <v>4634.9804999999997</v>
      </c>
      <c r="W554">
        <v>4601.4155099999998</v>
      </c>
      <c r="AB554">
        <v>4727.63112</v>
      </c>
      <c r="AC554">
        <v>4725.0840900000003</v>
      </c>
      <c r="AD554">
        <v>0</v>
      </c>
      <c r="AK554">
        <v>552</v>
      </c>
      <c r="AL554">
        <v>551</v>
      </c>
      <c r="AM554">
        <v>4726.41</v>
      </c>
      <c r="AN554">
        <v>4669.9202999999998</v>
      </c>
      <c r="AO554">
        <v>56.489699999999999</v>
      </c>
      <c r="AP554">
        <v>3191.0895999999998</v>
      </c>
      <c r="AQ554">
        <v>4.1469050000000003</v>
      </c>
      <c r="AR554">
        <v>6.6624220000000003</v>
      </c>
      <c r="AY554">
        <v>552</v>
      </c>
      <c r="AZ554">
        <v>551</v>
      </c>
      <c r="BA554">
        <v>4726.41</v>
      </c>
      <c r="BB554">
        <v>4669.9202999999998</v>
      </c>
      <c r="BC554">
        <v>56.489699999999999</v>
      </c>
      <c r="BD554">
        <v>3191.0895999999998</v>
      </c>
      <c r="BE554">
        <v>303601</v>
      </c>
    </row>
    <row r="555" spans="1:57" x14ac:dyDescent="0.55000000000000004">
      <c r="A555">
        <v>1777042802</v>
      </c>
      <c r="B555" t="s">
        <v>72</v>
      </c>
      <c r="C555" t="s">
        <v>73</v>
      </c>
      <c r="D555">
        <v>4721.97</v>
      </c>
      <c r="E555">
        <v>4518.5928199999998</v>
      </c>
      <c r="F555">
        <v>4596.0559499999999</v>
      </c>
      <c r="G555">
        <v>4755.40355</v>
      </c>
      <c r="H555">
        <v>4792.7697200000002</v>
      </c>
      <c r="Q555">
        <v>4669.6526700000004</v>
      </c>
      <c r="R555">
        <v>4699.0159700000004</v>
      </c>
      <c r="S555">
        <v>4725.6047399999998</v>
      </c>
      <c r="V555">
        <v>4634.7129000000004</v>
      </c>
      <c r="W555">
        <v>4601.1478999999999</v>
      </c>
      <c r="AB555">
        <v>4727.7932799999999</v>
      </c>
      <c r="AC555">
        <v>4726.43869</v>
      </c>
      <c r="AD555">
        <v>0</v>
      </c>
      <c r="AK555">
        <v>553</v>
      </c>
      <c r="AL555">
        <v>552</v>
      </c>
      <c r="AM555">
        <v>4721.97</v>
      </c>
      <c r="AN555">
        <v>4669.6526999999996</v>
      </c>
      <c r="AO555">
        <v>52.317300000000003</v>
      </c>
      <c r="AP555">
        <v>2737.1030000000001</v>
      </c>
      <c r="AQ555">
        <v>3.2942179999999999</v>
      </c>
      <c r="AR555">
        <v>4.9015829999999996</v>
      </c>
      <c r="AY555">
        <v>553</v>
      </c>
      <c r="AZ555">
        <v>552</v>
      </c>
      <c r="BA555">
        <v>4721.97</v>
      </c>
      <c r="BB555">
        <v>4669.6526999999996</v>
      </c>
      <c r="BC555">
        <v>52.317300000000003</v>
      </c>
      <c r="BD555">
        <v>2737.1030000000001</v>
      </c>
      <c r="BE555">
        <v>304704</v>
      </c>
    </row>
    <row r="556" spans="1:57" x14ac:dyDescent="0.55000000000000004">
      <c r="A556">
        <v>1777043702</v>
      </c>
      <c r="B556" t="s">
        <v>72</v>
      </c>
      <c r="C556" t="s">
        <v>73</v>
      </c>
      <c r="D556">
        <v>4721.74</v>
      </c>
      <c r="E556">
        <v>4518.5928199999998</v>
      </c>
      <c r="F556">
        <v>4596.0559499999999</v>
      </c>
      <c r="G556">
        <v>4755.40355</v>
      </c>
      <c r="H556">
        <v>4792.7697200000002</v>
      </c>
      <c r="Q556">
        <v>4669.3850700000003</v>
      </c>
      <c r="R556">
        <v>4698.7483599999996</v>
      </c>
      <c r="S556">
        <v>4725.3371399999996</v>
      </c>
      <c r="V556">
        <v>4634.4453000000003</v>
      </c>
      <c r="W556">
        <v>4600.8802999999998</v>
      </c>
      <c r="AB556">
        <v>4727.1056500000004</v>
      </c>
      <c r="AC556">
        <v>4726.7721700000002</v>
      </c>
      <c r="AD556">
        <v>0</v>
      </c>
      <c r="AK556">
        <v>554</v>
      </c>
      <c r="AL556">
        <v>553</v>
      </c>
      <c r="AM556">
        <v>4721.74</v>
      </c>
      <c r="AN556">
        <v>4669.3851000000004</v>
      </c>
      <c r="AO556">
        <v>52.354900000000001</v>
      </c>
      <c r="AP556">
        <v>2741.0387000000001</v>
      </c>
      <c r="AQ556">
        <v>3.3013249999999998</v>
      </c>
      <c r="AR556">
        <v>4.9156899999999997</v>
      </c>
      <c r="AY556">
        <v>554</v>
      </c>
      <c r="AZ556">
        <v>553</v>
      </c>
      <c r="BA556">
        <v>4721.74</v>
      </c>
      <c r="BB556">
        <v>4669.3851000000004</v>
      </c>
      <c r="BC556">
        <v>52.354900000000001</v>
      </c>
      <c r="BD556">
        <v>2741.0387000000001</v>
      </c>
      <c r="BE556">
        <v>305809</v>
      </c>
    </row>
    <row r="557" spans="1:57" x14ac:dyDescent="0.55000000000000004">
      <c r="A557">
        <v>1777044602</v>
      </c>
      <c r="B557" t="s">
        <v>72</v>
      </c>
      <c r="C557" t="s">
        <v>73</v>
      </c>
      <c r="D557">
        <v>4728.12</v>
      </c>
      <c r="E557">
        <v>4518.5928199999998</v>
      </c>
      <c r="F557">
        <v>4596.0559499999999</v>
      </c>
      <c r="G557">
        <v>4755.40355</v>
      </c>
      <c r="H557">
        <v>4792.7697200000002</v>
      </c>
      <c r="Q557">
        <v>4669.1174600000004</v>
      </c>
      <c r="R557">
        <v>4698.4807600000004</v>
      </c>
      <c r="S557">
        <v>4725.0695299999998</v>
      </c>
      <c r="V557">
        <v>4634.1776900000004</v>
      </c>
      <c r="W557">
        <v>4600.6126999999997</v>
      </c>
      <c r="AB557">
        <v>4725.9997400000002</v>
      </c>
      <c r="AC557">
        <v>4726.3859599999996</v>
      </c>
      <c r="AD557">
        <v>1</v>
      </c>
      <c r="AK557">
        <v>555</v>
      </c>
      <c r="AL557">
        <v>554</v>
      </c>
      <c r="AM557">
        <v>4728.12</v>
      </c>
      <c r="AN557">
        <v>4669.1175000000003</v>
      </c>
      <c r="AO557">
        <v>59.002499999999998</v>
      </c>
      <c r="AP557">
        <v>3481.2997</v>
      </c>
      <c r="AQ557">
        <v>4.725282</v>
      </c>
      <c r="AR557">
        <v>7.9293380000000004</v>
      </c>
      <c r="AY557">
        <v>555</v>
      </c>
      <c r="AZ557">
        <v>554</v>
      </c>
      <c r="BA557">
        <v>4728.12</v>
      </c>
      <c r="BB557">
        <v>4669.1175000000003</v>
      </c>
      <c r="BC557">
        <v>59.002499999999998</v>
      </c>
      <c r="BD557">
        <v>3481.2997</v>
      </c>
      <c r="BE557">
        <v>306916</v>
      </c>
    </row>
    <row r="558" spans="1:57" x14ac:dyDescent="0.55000000000000004">
      <c r="A558">
        <v>1777045502</v>
      </c>
      <c r="B558" t="s">
        <v>72</v>
      </c>
      <c r="C558" t="s">
        <v>73</v>
      </c>
      <c r="D558">
        <v>4727.24</v>
      </c>
      <c r="E558">
        <v>4518.5928199999998</v>
      </c>
      <c r="F558">
        <v>4596.0559499999999</v>
      </c>
      <c r="G558">
        <v>4755.40355</v>
      </c>
      <c r="H558">
        <v>4792.7697200000002</v>
      </c>
      <c r="Q558">
        <v>4668.8498600000003</v>
      </c>
      <c r="R558">
        <v>4698.2131600000002</v>
      </c>
      <c r="S558">
        <v>4724.8019299999996</v>
      </c>
      <c r="V558">
        <v>4633.9100900000003</v>
      </c>
      <c r="W558">
        <v>4600.3450899999998</v>
      </c>
      <c r="AB558">
        <v>4724.7520599999998</v>
      </c>
      <c r="AC558">
        <v>4725.5690100000002</v>
      </c>
      <c r="AD558">
        <v>0</v>
      </c>
      <c r="AK558">
        <v>556</v>
      </c>
      <c r="AL558">
        <v>555</v>
      </c>
      <c r="AM558">
        <v>4727.24</v>
      </c>
      <c r="AN558">
        <v>4668.8499000000002</v>
      </c>
      <c r="AO558">
        <v>58.390099999999997</v>
      </c>
      <c r="AP558">
        <v>3409.4083999999998</v>
      </c>
      <c r="AQ558">
        <v>4.579669</v>
      </c>
      <c r="AR558">
        <v>7.6052270000000002</v>
      </c>
      <c r="AY558">
        <v>556</v>
      </c>
      <c r="AZ558">
        <v>555</v>
      </c>
      <c r="BA558">
        <v>4727.24</v>
      </c>
      <c r="BB558">
        <v>4668.8499000000002</v>
      </c>
      <c r="BC558">
        <v>58.390099999999997</v>
      </c>
      <c r="BD558">
        <v>3409.4083999999998</v>
      </c>
      <c r="BE558">
        <v>308025</v>
      </c>
    </row>
    <row r="559" spans="1:57" x14ac:dyDescent="0.55000000000000004">
      <c r="A559">
        <v>1777046402</v>
      </c>
      <c r="B559" t="s">
        <v>72</v>
      </c>
      <c r="C559" t="s">
        <v>73</v>
      </c>
      <c r="D559">
        <v>4720.6499999999996</v>
      </c>
      <c r="E559">
        <v>4518.5928199999998</v>
      </c>
      <c r="F559">
        <v>4596.0559499999999</v>
      </c>
      <c r="G559">
        <v>4755.40355</v>
      </c>
      <c r="H559">
        <v>4792.7697200000002</v>
      </c>
      <c r="Q559">
        <v>4668.5822500000004</v>
      </c>
      <c r="R559">
        <v>4697.9455500000004</v>
      </c>
      <c r="S559">
        <v>4724.5343199999998</v>
      </c>
      <c r="V559">
        <v>4633.6424800000004</v>
      </c>
      <c r="W559">
        <v>4600.0774899999997</v>
      </c>
      <c r="AB559">
        <v>4723.7314900000001</v>
      </c>
      <c r="AC559">
        <v>4724.6502499999997</v>
      </c>
      <c r="AD559">
        <v>0</v>
      </c>
      <c r="AK559">
        <v>557</v>
      </c>
      <c r="AL559">
        <v>556</v>
      </c>
      <c r="AM559">
        <v>4720.6499999999996</v>
      </c>
      <c r="AN559">
        <v>4668.5823</v>
      </c>
      <c r="AO559">
        <v>52.067700000000002</v>
      </c>
      <c r="AP559">
        <v>2711.0506</v>
      </c>
      <c r="AQ559">
        <v>3.2472970000000001</v>
      </c>
      <c r="AR559">
        <v>4.808719</v>
      </c>
      <c r="AY559">
        <v>557</v>
      </c>
      <c r="AZ559">
        <v>556</v>
      </c>
      <c r="BA559">
        <v>4720.6499999999996</v>
      </c>
      <c r="BB559">
        <v>4668.5823</v>
      </c>
      <c r="BC559">
        <v>52.067700000000002</v>
      </c>
      <c r="BD559">
        <v>2711.0506</v>
      </c>
      <c r="BE559">
        <v>309136</v>
      </c>
    </row>
    <row r="560" spans="1:57" x14ac:dyDescent="0.55000000000000004">
      <c r="A560">
        <v>1777047302</v>
      </c>
      <c r="B560" t="s">
        <v>72</v>
      </c>
      <c r="C560" t="s">
        <v>73</v>
      </c>
      <c r="D560">
        <v>4723.32</v>
      </c>
      <c r="E560">
        <v>4518.5928199999998</v>
      </c>
      <c r="F560">
        <v>4596.0559499999999</v>
      </c>
      <c r="G560">
        <v>4755.40355</v>
      </c>
      <c r="H560">
        <v>4792.7697200000002</v>
      </c>
      <c r="Q560">
        <v>4668.3146500000003</v>
      </c>
      <c r="R560">
        <v>4697.6779500000002</v>
      </c>
      <c r="S560">
        <v>4724.2667199999996</v>
      </c>
      <c r="V560">
        <v>4633.3748800000003</v>
      </c>
      <c r="W560">
        <v>4599.8098799999998</v>
      </c>
      <c r="AB560">
        <v>4723.3012799999997</v>
      </c>
      <c r="AC560">
        <v>4723.97577</v>
      </c>
      <c r="AD560">
        <v>0</v>
      </c>
      <c r="AK560">
        <v>558</v>
      </c>
      <c r="AL560">
        <v>557</v>
      </c>
      <c r="AM560">
        <v>4723.32</v>
      </c>
      <c r="AN560">
        <v>4668.3146999999999</v>
      </c>
      <c r="AO560">
        <v>55.005299999999998</v>
      </c>
      <c r="AP560">
        <v>3025.5884999999998</v>
      </c>
      <c r="AQ560">
        <v>3.8285149999999999</v>
      </c>
      <c r="AR560">
        <v>5.9892690000000002</v>
      </c>
      <c r="AY560">
        <v>558</v>
      </c>
      <c r="AZ560">
        <v>557</v>
      </c>
      <c r="BA560">
        <v>4723.32</v>
      </c>
      <c r="BB560">
        <v>4668.3146999999999</v>
      </c>
      <c r="BC560">
        <v>55.005299999999998</v>
      </c>
      <c r="BD560">
        <v>3025.5884999999998</v>
      </c>
      <c r="BE560">
        <v>310249</v>
      </c>
    </row>
    <row r="561" spans="1:57" x14ac:dyDescent="0.55000000000000004">
      <c r="A561">
        <v>1777048202</v>
      </c>
      <c r="B561" t="s">
        <v>72</v>
      </c>
      <c r="C561" t="s">
        <v>73</v>
      </c>
      <c r="D561">
        <v>4722.58</v>
      </c>
      <c r="E561">
        <v>4518.5928199999998</v>
      </c>
      <c r="F561">
        <v>4596.0559499999999</v>
      </c>
      <c r="G561">
        <v>4755.40355</v>
      </c>
      <c r="H561">
        <v>4792.7697200000002</v>
      </c>
      <c r="Q561">
        <v>4668.0470500000001</v>
      </c>
      <c r="R561">
        <v>4697.4103400000004</v>
      </c>
      <c r="S561">
        <v>4723.9991099999997</v>
      </c>
      <c r="V561">
        <v>4633.1072700000004</v>
      </c>
      <c r="W561">
        <v>4599.5422799999997</v>
      </c>
      <c r="AB561">
        <v>4723.3392100000001</v>
      </c>
      <c r="AC561">
        <v>4723.6574899999996</v>
      </c>
      <c r="AD561">
        <v>0</v>
      </c>
      <c r="AK561">
        <v>559</v>
      </c>
      <c r="AL561">
        <v>558</v>
      </c>
      <c r="AM561">
        <v>4722.58</v>
      </c>
      <c r="AN561">
        <v>4668.0470999999998</v>
      </c>
      <c r="AO561">
        <v>54.532899999999998</v>
      </c>
      <c r="AP561">
        <v>2973.8425999999999</v>
      </c>
      <c r="AQ561">
        <v>3.7307190000000001</v>
      </c>
      <c r="AR561">
        <v>5.7861549999999999</v>
      </c>
      <c r="AY561">
        <v>559</v>
      </c>
      <c r="AZ561">
        <v>558</v>
      </c>
      <c r="BA561">
        <v>4722.58</v>
      </c>
      <c r="BB561">
        <v>4668.0470999999998</v>
      </c>
      <c r="BC561">
        <v>54.532899999999998</v>
      </c>
      <c r="BD561">
        <v>2973.8425999999999</v>
      </c>
      <c r="BE561">
        <v>311364</v>
      </c>
    </row>
    <row r="562" spans="1:57" x14ac:dyDescent="0.55000000000000004">
      <c r="A562">
        <v>1777049102</v>
      </c>
      <c r="B562" t="s">
        <v>72</v>
      </c>
      <c r="C562" t="s">
        <v>73</v>
      </c>
      <c r="D562">
        <v>4726.84</v>
      </c>
      <c r="E562">
        <v>4518.5928199999998</v>
      </c>
      <c r="F562">
        <v>4596.0559499999999</v>
      </c>
      <c r="G562">
        <v>4755.40355</v>
      </c>
      <c r="H562">
        <v>4792.7697200000002</v>
      </c>
      <c r="Q562">
        <v>4667.7794400000002</v>
      </c>
      <c r="R562">
        <v>4697.1427400000002</v>
      </c>
      <c r="S562">
        <v>4723.7315099999996</v>
      </c>
      <c r="V562">
        <v>4632.8396700000003</v>
      </c>
      <c r="W562">
        <v>4599.2746699999998</v>
      </c>
      <c r="AB562">
        <v>4723.6962599999997</v>
      </c>
      <c r="AC562">
        <v>4723.6768700000002</v>
      </c>
      <c r="AD562">
        <v>1</v>
      </c>
      <c r="AK562">
        <v>560</v>
      </c>
      <c r="AL562">
        <v>559</v>
      </c>
      <c r="AM562">
        <v>4726.84</v>
      </c>
      <c r="AN562">
        <v>4667.7794000000004</v>
      </c>
      <c r="AO562">
        <v>59.060600000000001</v>
      </c>
      <c r="AP562">
        <v>3488.1496999999999</v>
      </c>
      <c r="AQ562">
        <v>4.7392349999999999</v>
      </c>
      <c r="AR562">
        <v>7.9605730000000001</v>
      </c>
      <c r="AY562">
        <v>560</v>
      </c>
      <c r="AZ562">
        <v>559</v>
      </c>
      <c r="BA562">
        <v>4726.84</v>
      </c>
      <c r="BB562">
        <v>4667.7794000000004</v>
      </c>
      <c r="BC562">
        <v>59.060600000000001</v>
      </c>
      <c r="BD562">
        <v>3488.1496999999999</v>
      </c>
      <c r="BE562">
        <v>312481</v>
      </c>
    </row>
    <row r="563" spans="1:57" x14ac:dyDescent="0.55000000000000004">
      <c r="A563">
        <v>1777050002</v>
      </c>
      <c r="B563" t="s">
        <v>72</v>
      </c>
      <c r="C563" t="s">
        <v>73</v>
      </c>
      <c r="D563">
        <v>4727.78</v>
      </c>
      <c r="E563">
        <v>4518.5928199999998</v>
      </c>
      <c r="F563">
        <v>4596.0559499999999</v>
      </c>
      <c r="G563">
        <v>4755.40355</v>
      </c>
      <c r="H563">
        <v>4792.7697200000002</v>
      </c>
      <c r="Q563">
        <v>4667.5118400000001</v>
      </c>
      <c r="R563">
        <v>4696.8751400000001</v>
      </c>
      <c r="S563">
        <v>4723.4639100000004</v>
      </c>
      <c r="V563">
        <v>4632.5720700000002</v>
      </c>
      <c r="W563">
        <v>4599.0070699999997</v>
      </c>
      <c r="AB563">
        <v>4724.0246500000003</v>
      </c>
      <c r="AC563">
        <v>4723.8507600000003</v>
      </c>
      <c r="AD563">
        <v>0</v>
      </c>
      <c r="AK563">
        <v>561</v>
      </c>
      <c r="AL563">
        <v>560</v>
      </c>
      <c r="AM563">
        <v>4727.78</v>
      </c>
      <c r="AN563">
        <v>4667.5118000000002</v>
      </c>
      <c r="AO563">
        <v>60.2682</v>
      </c>
      <c r="AP563">
        <v>3632.2511</v>
      </c>
      <c r="AQ563">
        <v>5.0359259999999999</v>
      </c>
      <c r="AR563">
        <v>8.6318889999999993</v>
      </c>
      <c r="AY563">
        <v>561</v>
      </c>
      <c r="AZ563">
        <v>560</v>
      </c>
      <c r="BA563">
        <v>4727.78</v>
      </c>
      <c r="BB563">
        <v>4667.5118000000002</v>
      </c>
      <c r="BC563">
        <v>60.2682</v>
      </c>
      <c r="BD563">
        <v>3632.2511</v>
      </c>
      <c r="BE563">
        <v>313600</v>
      </c>
    </row>
    <row r="564" spans="1:57" x14ac:dyDescent="0.55000000000000004">
      <c r="A564">
        <v>1777050902</v>
      </c>
      <c r="B564" t="s">
        <v>72</v>
      </c>
      <c r="C564" t="s">
        <v>73</v>
      </c>
      <c r="D564">
        <v>4723.0600000000004</v>
      </c>
      <c r="E564">
        <v>4518.5928199999998</v>
      </c>
      <c r="F564">
        <v>4596.0559499999999</v>
      </c>
      <c r="G564">
        <v>4755.40355</v>
      </c>
      <c r="H564">
        <v>4792.7697200000002</v>
      </c>
      <c r="Q564">
        <v>4667.2442300000002</v>
      </c>
      <c r="R564">
        <v>4696.6075300000002</v>
      </c>
      <c r="S564">
        <v>4723.1962999999996</v>
      </c>
      <c r="V564">
        <v>4632.3044600000003</v>
      </c>
      <c r="W564">
        <v>4598.7394700000004</v>
      </c>
      <c r="AB564">
        <v>4724.0779400000001</v>
      </c>
      <c r="AC564">
        <v>4723.9643500000002</v>
      </c>
      <c r="AD564">
        <v>0</v>
      </c>
      <c r="AK564">
        <v>562</v>
      </c>
      <c r="AL564">
        <v>561</v>
      </c>
      <c r="AM564">
        <v>4723.0600000000004</v>
      </c>
      <c r="AN564">
        <v>4667.2442000000001</v>
      </c>
      <c r="AO564">
        <v>55.815800000000003</v>
      </c>
      <c r="AP564">
        <v>3115.4002</v>
      </c>
      <c r="AQ564">
        <v>4.0002430000000002</v>
      </c>
      <c r="AR564">
        <v>6.3501180000000002</v>
      </c>
      <c r="AY564">
        <v>562</v>
      </c>
      <c r="AZ564">
        <v>561</v>
      </c>
      <c r="BA564">
        <v>4723.0600000000004</v>
      </c>
      <c r="BB564">
        <v>4667.2442000000001</v>
      </c>
      <c r="BC564">
        <v>55.815800000000003</v>
      </c>
      <c r="BD564">
        <v>3115.4002</v>
      </c>
      <c r="BE564">
        <v>314721</v>
      </c>
    </row>
    <row r="565" spans="1:57" x14ac:dyDescent="0.55000000000000004">
      <c r="A565">
        <v>1777051802</v>
      </c>
      <c r="B565" t="s">
        <v>72</v>
      </c>
      <c r="C565" t="s">
        <v>73</v>
      </c>
      <c r="D565">
        <v>4722.4799999999996</v>
      </c>
      <c r="E565">
        <v>4518.5928199999998</v>
      </c>
      <c r="F565">
        <v>4596.0559499999999</v>
      </c>
      <c r="G565">
        <v>4755.40355</v>
      </c>
      <c r="H565">
        <v>4792.7697200000002</v>
      </c>
      <c r="Q565">
        <v>4666.9766300000001</v>
      </c>
      <c r="R565">
        <v>4696.3399300000001</v>
      </c>
      <c r="S565">
        <v>4722.9287000000004</v>
      </c>
      <c r="V565">
        <v>4632.0368600000002</v>
      </c>
      <c r="W565">
        <v>4598.4718599999997</v>
      </c>
      <c r="AB565">
        <v>4723.8595400000004</v>
      </c>
      <c r="AC565">
        <v>4723.9119499999997</v>
      </c>
      <c r="AD565">
        <v>1</v>
      </c>
      <c r="AK565">
        <v>563</v>
      </c>
      <c r="AL565">
        <v>562</v>
      </c>
      <c r="AM565">
        <v>4722.4799999999996</v>
      </c>
      <c r="AN565">
        <v>4666.9766</v>
      </c>
      <c r="AO565">
        <v>55.503399999999999</v>
      </c>
      <c r="AP565">
        <v>3080.6241</v>
      </c>
      <c r="AQ565">
        <v>3.9334500000000001</v>
      </c>
      <c r="AR565">
        <v>6.2091409999999998</v>
      </c>
      <c r="AY565">
        <v>563</v>
      </c>
      <c r="AZ565">
        <v>562</v>
      </c>
      <c r="BA565">
        <v>4722.4799999999996</v>
      </c>
      <c r="BB565">
        <v>4666.9766</v>
      </c>
      <c r="BC565">
        <v>55.503399999999999</v>
      </c>
      <c r="BD565">
        <v>3080.6241</v>
      </c>
      <c r="BE565">
        <v>315844</v>
      </c>
    </row>
    <row r="566" spans="1:57" x14ac:dyDescent="0.55000000000000004">
      <c r="A566">
        <v>1777052702</v>
      </c>
      <c r="B566" t="s">
        <v>72</v>
      </c>
      <c r="C566" t="s">
        <v>73</v>
      </c>
      <c r="D566">
        <v>4723.38</v>
      </c>
      <c r="E566">
        <v>4518.5928199999998</v>
      </c>
      <c r="F566">
        <v>4596.0559499999999</v>
      </c>
      <c r="G566">
        <v>4755.40355</v>
      </c>
      <c r="H566">
        <v>4792.7697200000002</v>
      </c>
      <c r="Q566">
        <v>4666.7090200000002</v>
      </c>
      <c r="R566">
        <v>4696.0723200000002</v>
      </c>
      <c r="S566">
        <v>4722.6610899999996</v>
      </c>
      <c r="V566">
        <v>4631.7692500000003</v>
      </c>
      <c r="W566">
        <v>4598.2042600000004</v>
      </c>
      <c r="AB566">
        <v>4723.3712999999998</v>
      </c>
      <c r="AC566">
        <v>4723.6416200000003</v>
      </c>
      <c r="AD566">
        <v>0</v>
      </c>
      <c r="AK566">
        <v>564</v>
      </c>
      <c r="AL566">
        <v>563</v>
      </c>
      <c r="AM566">
        <v>4723.38</v>
      </c>
      <c r="AN566">
        <v>4666.7089999999998</v>
      </c>
      <c r="AO566">
        <v>56.670999999999999</v>
      </c>
      <c r="AP566">
        <v>3211.6</v>
      </c>
      <c r="AQ566">
        <v>4.1869500000000004</v>
      </c>
      <c r="AR566">
        <v>6.7483409999999999</v>
      </c>
      <c r="AY566">
        <v>564</v>
      </c>
      <c r="AZ566">
        <v>563</v>
      </c>
      <c r="BA566">
        <v>4723.38</v>
      </c>
      <c r="BB566">
        <v>4666.7089999999998</v>
      </c>
      <c r="BC566">
        <v>56.670999999999999</v>
      </c>
      <c r="BD566">
        <v>3211.6</v>
      </c>
      <c r="BE566">
        <v>316969</v>
      </c>
    </row>
    <row r="567" spans="1:57" x14ac:dyDescent="0.55000000000000004">
      <c r="A567">
        <v>1777053602</v>
      </c>
      <c r="B567" t="s">
        <v>72</v>
      </c>
      <c r="C567" t="s">
        <v>73</v>
      </c>
      <c r="D567">
        <v>4723.9399999999996</v>
      </c>
      <c r="E567">
        <v>4518.5928199999998</v>
      </c>
      <c r="F567">
        <v>4596.0559499999999</v>
      </c>
      <c r="G567">
        <v>4755.40355</v>
      </c>
      <c r="H567">
        <v>4792.7697200000002</v>
      </c>
      <c r="Q567">
        <v>4666.4414200000001</v>
      </c>
      <c r="R567">
        <v>4695.8047200000001</v>
      </c>
      <c r="S567">
        <v>4722.3934900000004</v>
      </c>
      <c r="V567">
        <v>4631.5016500000002</v>
      </c>
      <c r="W567">
        <v>4597.9366499999996</v>
      </c>
      <c r="AB567">
        <v>4722.6490000000003</v>
      </c>
      <c r="AC567">
        <v>4723.1453099999999</v>
      </c>
      <c r="AD567">
        <v>0</v>
      </c>
      <c r="AK567">
        <v>565</v>
      </c>
      <c r="AL567">
        <v>564</v>
      </c>
      <c r="AM567">
        <v>4723.9399999999996</v>
      </c>
      <c r="AN567">
        <v>4666.4413999999997</v>
      </c>
      <c r="AO567">
        <v>57.498600000000003</v>
      </c>
      <c r="AP567">
        <v>3306.0866999999998</v>
      </c>
      <c r="AQ567">
        <v>4.373075</v>
      </c>
      <c r="AR567">
        <v>7.1512599999999997</v>
      </c>
      <c r="AY567">
        <v>565</v>
      </c>
      <c r="AZ567">
        <v>564</v>
      </c>
      <c r="BA567">
        <v>4723.9399999999996</v>
      </c>
      <c r="BB567">
        <v>4666.4413999999997</v>
      </c>
      <c r="BC567">
        <v>57.498600000000003</v>
      </c>
      <c r="BD567">
        <v>3306.0866999999998</v>
      </c>
      <c r="BE567">
        <v>318096</v>
      </c>
    </row>
    <row r="568" spans="1:57" x14ac:dyDescent="0.55000000000000004">
      <c r="A568">
        <v>1777054502</v>
      </c>
      <c r="B568" t="s">
        <v>72</v>
      </c>
      <c r="C568" t="s">
        <v>73</v>
      </c>
      <c r="D568">
        <v>4717.26</v>
      </c>
      <c r="E568">
        <v>4518.5928199999998</v>
      </c>
      <c r="F568">
        <v>4596.0559499999999</v>
      </c>
      <c r="G568">
        <v>4755.40355</v>
      </c>
      <c r="H568">
        <v>4792.7697200000002</v>
      </c>
      <c r="Q568">
        <v>4666.17382</v>
      </c>
      <c r="R568">
        <v>4695.53712</v>
      </c>
      <c r="S568">
        <v>4722.1258900000003</v>
      </c>
      <c r="V568">
        <v>4631.23405</v>
      </c>
      <c r="W568">
        <v>4597.6690500000004</v>
      </c>
      <c r="AB568">
        <v>4721.7940399999998</v>
      </c>
      <c r="AC568">
        <v>4722.4696800000002</v>
      </c>
      <c r="AD568">
        <v>0</v>
      </c>
      <c r="AK568">
        <v>566</v>
      </c>
      <c r="AL568">
        <v>565</v>
      </c>
      <c r="AM568">
        <v>4717.26</v>
      </c>
      <c r="AN568">
        <v>4666.1737999999996</v>
      </c>
      <c r="AO568">
        <v>51.086199999999998</v>
      </c>
      <c r="AP568">
        <v>2609.7977999999998</v>
      </c>
      <c r="AQ568">
        <v>3.0670850000000001</v>
      </c>
      <c r="AR568">
        <v>4.456232</v>
      </c>
      <c r="AY568">
        <v>566</v>
      </c>
      <c r="AZ568">
        <v>565</v>
      </c>
      <c r="BA568">
        <v>4717.26</v>
      </c>
      <c r="BB568">
        <v>4666.1737999999996</v>
      </c>
      <c r="BC568">
        <v>51.086199999999998</v>
      </c>
      <c r="BD568">
        <v>2609.7977999999998</v>
      </c>
      <c r="BE568">
        <v>319225</v>
      </c>
    </row>
    <row r="569" spans="1:57" x14ac:dyDescent="0.55000000000000004">
      <c r="A569">
        <v>1777055402</v>
      </c>
      <c r="B569" t="s">
        <v>72</v>
      </c>
      <c r="C569" t="s">
        <v>73</v>
      </c>
      <c r="D569">
        <v>4718.9799999999996</v>
      </c>
      <c r="E569">
        <v>4518.5928199999998</v>
      </c>
      <c r="F569">
        <v>4596.0559499999999</v>
      </c>
      <c r="G569">
        <v>4755.40355</v>
      </c>
      <c r="H569">
        <v>4792.7697200000002</v>
      </c>
      <c r="Q569">
        <v>4665.9062100000001</v>
      </c>
      <c r="R569">
        <v>4695.2695100000001</v>
      </c>
      <c r="S569">
        <v>4721.8582800000004</v>
      </c>
      <c r="V569">
        <v>4630.9664400000001</v>
      </c>
      <c r="W569">
        <v>4597.4014500000003</v>
      </c>
      <c r="AB569">
        <v>4721.0948500000004</v>
      </c>
      <c r="AC569">
        <v>4721.78226</v>
      </c>
      <c r="AD569">
        <v>0</v>
      </c>
      <c r="AK569">
        <v>567</v>
      </c>
      <c r="AL569">
        <v>566</v>
      </c>
      <c r="AM569">
        <v>4718.9799999999996</v>
      </c>
      <c r="AN569">
        <v>4665.9062000000004</v>
      </c>
      <c r="AO569">
        <v>53.073799999999999</v>
      </c>
      <c r="AP569">
        <v>2816.8272000000002</v>
      </c>
      <c r="AQ569">
        <v>3.4391880000000001</v>
      </c>
      <c r="AR569">
        <v>5.191281</v>
      </c>
      <c r="AY569">
        <v>567</v>
      </c>
      <c r="AZ569">
        <v>566</v>
      </c>
      <c r="BA569">
        <v>4718.9799999999996</v>
      </c>
      <c r="BB569">
        <v>4665.9062000000004</v>
      </c>
      <c r="BC569">
        <v>53.073799999999999</v>
      </c>
      <c r="BD569">
        <v>2816.8272000000002</v>
      </c>
      <c r="BE569">
        <v>320356</v>
      </c>
    </row>
    <row r="570" spans="1:57" x14ac:dyDescent="0.55000000000000004">
      <c r="A570">
        <v>1777056302</v>
      </c>
      <c r="B570" t="s">
        <v>72</v>
      </c>
      <c r="C570" t="s">
        <v>73</v>
      </c>
      <c r="D570">
        <v>4722.91</v>
      </c>
      <c r="E570">
        <v>4518.5928199999998</v>
      </c>
      <c r="F570">
        <v>4596.0559499999999</v>
      </c>
      <c r="G570">
        <v>4755.40355</v>
      </c>
      <c r="H570">
        <v>4792.7697200000002</v>
      </c>
      <c r="Q570">
        <v>4665.63861</v>
      </c>
      <c r="R570">
        <v>4695.00191</v>
      </c>
      <c r="S570">
        <v>4721.5906800000002</v>
      </c>
      <c r="V570">
        <v>4630.69884</v>
      </c>
      <c r="W570">
        <v>4597.1338400000004</v>
      </c>
      <c r="AB570">
        <v>4720.49046</v>
      </c>
      <c r="AC570">
        <v>4721.1363600000004</v>
      </c>
      <c r="AD570">
        <v>0</v>
      </c>
      <c r="AK570">
        <v>568</v>
      </c>
      <c r="AL570">
        <v>567</v>
      </c>
      <c r="AM570">
        <v>4722.91</v>
      </c>
      <c r="AN570">
        <v>4665.6386000000002</v>
      </c>
      <c r="AO570">
        <v>57.2714</v>
      </c>
      <c r="AP570">
        <v>3280.0120999999999</v>
      </c>
      <c r="AQ570">
        <v>4.3214430000000004</v>
      </c>
      <c r="AR570">
        <v>7.0389030000000004</v>
      </c>
      <c r="AY570">
        <v>568</v>
      </c>
      <c r="AZ570">
        <v>567</v>
      </c>
      <c r="BA570">
        <v>4722.91</v>
      </c>
      <c r="BB570">
        <v>4665.6386000000002</v>
      </c>
      <c r="BC570">
        <v>57.2714</v>
      </c>
      <c r="BD570">
        <v>3280.0120999999999</v>
      </c>
      <c r="BE570">
        <v>321489</v>
      </c>
    </row>
    <row r="571" spans="1:57" x14ac:dyDescent="0.55000000000000004">
      <c r="A571">
        <v>1777057202</v>
      </c>
      <c r="B571" t="s">
        <v>72</v>
      </c>
      <c r="C571" t="s">
        <v>73</v>
      </c>
      <c r="D571">
        <v>4722.47</v>
      </c>
      <c r="E571">
        <v>4518.5928199999998</v>
      </c>
      <c r="F571">
        <v>4596.0559499999999</v>
      </c>
      <c r="G571">
        <v>4755.40355</v>
      </c>
      <c r="H571">
        <v>4792.7697200000002</v>
      </c>
      <c r="Q571">
        <v>4665.3710000000001</v>
      </c>
      <c r="R571">
        <v>4694.7343000000001</v>
      </c>
      <c r="S571">
        <v>4721.3230700000004</v>
      </c>
      <c r="V571">
        <v>4630.4312300000001</v>
      </c>
      <c r="W571">
        <v>4596.8662400000003</v>
      </c>
      <c r="AB571">
        <v>4719.7457400000003</v>
      </c>
      <c r="AC571">
        <v>4720.4410500000004</v>
      </c>
      <c r="AD571">
        <v>0</v>
      </c>
      <c r="AK571">
        <v>569</v>
      </c>
      <c r="AL571">
        <v>568</v>
      </c>
      <c r="AM571">
        <v>4722.47</v>
      </c>
      <c r="AN571">
        <v>4665.3710000000001</v>
      </c>
      <c r="AO571">
        <v>57.098999999999997</v>
      </c>
      <c r="AP571">
        <v>3260.2957999999999</v>
      </c>
      <c r="AQ571">
        <v>4.2825369999999996</v>
      </c>
      <c r="AR571">
        <v>6.9545349999999999</v>
      </c>
      <c r="AY571">
        <v>569</v>
      </c>
      <c r="AZ571">
        <v>568</v>
      </c>
      <c r="BA571">
        <v>4722.47</v>
      </c>
      <c r="BB571">
        <v>4665.3710000000001</v>
      </c>
      <c r="BC571">
        <v>57.098999999999997</v>
      </c>
      <c r="BD571">
        <v>3260.2957999999999</v>
      </c>
      <c r="BE571">
        <v>322624</v>
      </c>
    </row>
    <row r="572" spans="1:57" x14ac:dyDescent="0.55000000000000004">
      <c r="A572">
        <v>1777058102</v>
      </c>
      <c r="B572" t="s">
        <v>72</v>
      </c>
      <c r="C572" t="s">
        <v>73</v>
      </c>
      <c r="D572">
        <v>4719.08</v>
      </c>
      <c r="E572">
        <v>4518.5928199999998</v>
      </c>
      <c r="F572">
        <v>4596.0559499999999</v>
      </c>
      <c r="G572">
        <v>4755.40355</v>
      </c>
      <c r="H572">
        <v>4792.7697200000002</v>
      </c>
      <c r="Q572">
        <v>4665.1034</v>
      </c>
      <c r="R572">
        <v>4694.4666999999999</v>
      </c>
      <c r="S572">
        <v>4721.0554700000002</v>
      </c>
      <c r="V572">
        <v>4630.16363</v>
      </c>
      <c r="W572">
        <v>4596.5986300000004</v>
      </c>
      <c r="AB572">
        <v>4718.6875600000003</v>
      </c>
      <c r="AC572">
        <v>4719.5643099999998</v>
      </c>
      <c r="AD572">
        <v>0</v>
      </c>
      <c r="AK572">
        <v>570</v>
      </c>
      <c r="AL572">
        <v>569</v>
      </c>
      <c r="AM572">
        <v>4719.08</v>
      </c>
      <c r="AN572">
        <v>4665.1034</v>
      </c>
      <c r="AO572">
        <v>53.976599999999998</v>
      </c>
      <c r="AP572">
        <v>2913.4733000000001</v>
      </c>
      <c r="AQ572">
        <v>3.6176970000000002</v>
      </c>
      <c r="AR572">
        <v>5.5536209999999997</v>
      </c>
      <c r="AY572">
        <v>570</v>
      </c>
      <c r="AZ572">
        <v>569</v>
      </c>
      <c r="BA572">
        <v>4719.08</v>
      </c>
      <c r="BB572">
        <v>4665.1034</v>
      </c>
      <c r="BC572">
        <v>53.976599999999998</v>
      </c>
      <c r="BD572">
        <v>2913.4733000000001</v>
      </c>
      <c r="BE572">
        <v>323761</v>
      </c>
    </row>
    <row r="573" spans="1:57" x14ac:dyDescent="0.55000000000000004">
      <c r="A573">
        <v>1777059002</v>
      </c>
      <c r="B573" t="s">
        <v>72</v>
      </c>
      <c r="C573" t="s">
        <v>73</v>
      </c>
      <c r="D573">
        <v>4716.82</v>
      </c>
      <c r="E573">
        <v>4518.5928199999998</v>
      </c>
      <c r="F573">
        <v>4596.0559499999999</v>
      </c>
      <c r="G573">
        <v>4755.40355</v>
      </c>
      <c r="H573">
        <v>4792.7697200000002</v>
      </c>
      <c r="Q573">
        <v>4664.8357999999998</v>
      </c>
      <c r="R573">
        <v>4694.1990999999998</v>
      </c>
      <c r="S573">
        <v>4720.7878700000001</v>
      </c>
      <c r="V573">
        <v>4629.8960299999999</v>
      </c>
      <c r="W573">
        <v>4596.3310300000003</v>
      </c>
      <c r="AB573">
        <v>4717.1939400000001</v>
      </c>
      <c r="AC573">
        <v>4718.3791199999996</v>
      </c>
      <c r="AD573">
        <v>0</v>
      </c>
      <c r="AK573">
        <v>571</v>
      </c>
      <c r="AL573">
        <v>570</v>
      </c>
      <c r="AM573">
        <v>4716.82</v>
      </c>
      <c r="AN573">
        <v>4664.8357999999998</v>
      </c>
      <c r="AO573">
        <v>51.984200000000001</v>
      </c>
      <c r="AP573">
        <v>2702.357</v>
      </c>
      <c r="AQ573">
        <v>3.23169</v>
      </c>
      <c r="AR573">
        <v>4.7779280000000002</v>
      </c>
      <c r="AY573">
        <v>571</v>
      </c>
      <c r="AZ573">
        <v>570</v>
      </c>
      <c r="BA573">
        <v>4716.82</v>
      </c>
      <c r="BB573">
        <v>4664.8357999999998</v>
      </c>
      <c r="BC573">
        <v>51.984200000000001</v>
      </c>
      <c r="BD573">
        <v>2702.357</v>
      </c>
      <c r="BE573">
        <v>324900</v>
      </c>
    </row>
    <row r="574" spans="1:57" x14ac:dyDescent="0.55000000000000004">
      <c r="A574">
        <v>1777059902</v>
      </c>
      <c r="B574" t="s">
        <v>72</v>
      </c>
      <c r="C574" t="s">
        <v>73</v>
      </c>
      <c r="D574">
        <v>4717.0200000000004</v>
      </c>
      <c r="E574">
        <v>4518.5928199999998</v>
      </c>
      <c r="F574">
        <v>4596.0559499999999</v>
      </c>
      <c r="G574">
        <v>4755.40355</v>
      </c>
      <c r="H574">
        <v>4792.7697200000002</v>
      </c>
      <c r="Q574">
        <v>4664.56819</v>
      </c>
      <c r="R574">
        <v>4693.9314899999999</v>
      </c>
      <c r="S574">
        <v>4720.5202600000002</v>
      </c>
      <c r="V574">
        <v>4629.62842</v>
      </c>
      <c r="W574">
        <v>4596.0634300000002</v>
      </c>
      <c r="AB574">
        <v>4715.0896700000003</v>
      </c>
      <c r="AC574">
        <v>4716.7344000000003</v>
      </c>
      <c r="AD574">
        <v>0</v>
      </c>
      <c r="AK574">
        <v>572</v>
      </c>
      <c r="AL574">
        <v>571</v>
      </c>
      <c r="AM574">
        <v>4717.0200000000004</v>
      </c>
      <c r="AN574">
        <v>4664.5681999999997</v>
      </c>
      <c r="AO574">
        <v>52.451799999999999</v>
      </c>
      <c r="AP574">
        <v>2751.1923999999999</v>
      </c>
      <c r="AQ574">
        <v>3.3196859999999999</v>
      </c>
      <c r="AR574">
        <v>4.9521759999999997</v>
      </c>
      <c r="AY574">
        <v>572</v>
      </c>
      <c r="AZ574">
        <v>571</v>
      </c>
      <c r="BA574">
        <v>4717.0200000000004</v>
      </c>
      <c r="BB574">
        <v>4664.5681999999997</v>
      </c>
      <c r="BC574">
        <v>52.451799999999999</v>
      </c>
      <c r="BD574">
        <v>2751.1923999999999</v>
      </c>
      <c r="BE574">
        <v>326041</v>
      </c>
    </row>
    <row r="575" spans="1:57" x14ac:dyDescent="0.55000000000000004">
      <c r="A575">
        <v>1777060802</v>
      </c>
      <c r="B575" t="s">
        <v>72</v>
      </c>
      <c r="C575" t="s">
        <v>73</v>
      </c>
      <c r="D575">
        <v>4706.5600000000004</v>
      </c>
      <c r="E575">
        <v>4518.5928199999998</v>
      </c>
      <c r="F575">
        <v>4596.0559499999999</v>
      </c>
      <c r="G575">
        <v>4755.40355</v>
      </c>
      <c r="H575">
        <v>4792.7697200000002</v>
      </c>
      <c r="Q575">
        <v>4664.3005899999998</v>
      </c>
      <c r="R575">
        <v>4693.6638899999998</v>
      </c>
      <c r="S575">
        <v>4720.2526600000001</v>
      </c>
      <c r="V575">
        <v>4629.3608199999999</v>
      </c>
      <c r="W575">
        <v>4595.7958200000003</v>
      </c>
      <c r="AB575">
        <v>4712.1761299999998</v>
      </c>
      <c r="AC575">
        <v>4714.4552599999997</v>
      </c>
      <c r="AD575">
        <v>0</v>
      </c>
      <c r="AK575">
        <v>573</v>
      </c>
      <c r="AL575">
        <v>572</v>
      </c>
      <c r="AM575">
        <v>4706.5600000000004</v>
      </c>
      <c r="AN575">
        <v>4664.3005999999996</v>
      </c>
      <c r="AO575">
        <v>42.259399999999999</v>
      </c>
      <c r="AP575">
        <v>1785.8577</v>
      </c>
      <c r="AQ575">
        <v>1.736145</v>
      </c>
      <c r="AR575">
        <v>2.0866410000000002</v>
      </c>
      <c r="AY575">
        <v>573</v>
      </c>
      <c r="AZ575">
        <v>572</v>
      </c>
      <c r="BA575">
        <v>4706.5600000000004</v>
      </c>
      <c r="BB575">
        <v>4664.3005999999996</v>
      </c>
      <c r="BC575">
        <v>42.259399999999999</v>
      </c>
      <c r="BD575">
        <v>1785.8577</v>
      </c>
      <c r="BE575">
        <v>327184</v>
      </c>
    </row>
    <row r="576" spans="1:57" x14ac:dyDescent="0.55000000000000004">
      <c r="A576">
        <v>1777061702</v>
      </c>
      <c r="B576" t="s">
        <v>72</v>
      </c>
      <c r="C576" t="s">
        <v>73</v>
      </c>
      <c r="D576">
        <v>4708.18</v>
      </c>
      <c r="E576">
        <v>4518.5928199999998</v>
      </c>
      <c r="F576">
        <v>4596.0559499999999</v>
      </c>
      <c r="G576">
        <v>4755.40355</v>
      </c>
      <c r="H576">
        <v>4792.7697200000002</v>
      </c>
      <c r="Q576">
        <v>4664.03298</v>
      </c>
      <c r="R576">
        <v>4693.3962799999999</v>
      </c>
      <c r="S576">
        <v>4719.9850500000002</v>
      </c>
      <c r="V576">
        <v>4629.09321</v>
      </c>
      <c r="W576">
        <v>4595.5282200000001</v>
      </c>
      <c r="AB576">
        <v>4708.6459299999997</v>
      </c>
      <c r="AC576">
        <v>4711.5505999999996</v>
      </c>
      <c r="AD576">
        <v>0</v>
      </c>
      <c r="AK576">
        <v>574</v>
      </c>
      <c r="AL576">
        <v>573</v>
      </c>
      <c r="AM576">
        <v>4708.18</v>
      </c>
      <c r="AN576">
        <v>4664.0330000000004</v>
      </c>
      <c r="AO576">
        <v>44.146999999999998</v>
      </c>
      <c r="AP576">
        <v>1948.9594</v>
      </c>
      <c r="AQ576">
        <v>1.9793369999999999</v>
      </c>
      <c r="AR576">
        <v>2.4851909999999999</v>
      </c>
      <c r="AY576">
        <v>574</v>
      </c>
      <c r="AZ576">
        <v>573</v>
      </c>
      <c r="BA576">
        <v>4708.18</v>
      </c>
      <c r="BB576">
        <v>4664.0330000000004</v>
      </c>
      <c r="BC576">
        <v>44.146999999999998</v>
      </c>
      <c r="BD576">
        <v>1948.9594</v>
      </c>
      <c r="BE576">
        <v>328329</v>
      </c>
    </row>
    <row r="577" spans="1:57" x14ac:dyDescent="0.55000000000000004">
      <c r="A577">
        <v>1777062602</v>
      </c>
      <c r="B577" t="s">
        <v>72</v>
      </c>
      <c r="C577" t="s">
        <v>73</v>
      </c>
      <c r="D577">
        <v>4707.6099999999997</v>
      </c>
      <c r="E577">
        <v>4518.5928199999998</v>
      </c>
      <c r="F577">
        <v>4596.0559499999999</v>
      </c>
      <c r="G577">
        <v>4755.40355</v>
      </c>
      <c r="H577">
        <v>4792.7697200000002</v>
      </c>
      <c r="Q577">
        <v>4663.7653799999998</v>
      </c>
      <c r="R577">
        <v>4693.1286799999998</v>
      </c>
      <c r="S577">
        <v>4719.7174500000001</v>
      </c>
      <c r="V577">
        <v>4628.8256099999999</v>
      </c>
      <c r="W577">
        <v>4595.2606100000003</v>
      </c>
      <c r="AB577">
        <v>4704.4235200000003</v>
      </c>
      <c r="AC577">
        <v>4707.9870600000004</v>
      </c>
      <c r="AD577">
        <v>0</v>
      </c>
      <c r="AK577">
        <v>575</v>
      </c>
      <c r="AL577">
        <v>574</v>
      </c>
      <c r="AM577">
        <v>4707.6099999999997</v>
      </c>
      <c r="AN577">
        <v>4663.7654000000002</v>
      </c>
      <c r="AO577">
        <v>43.8446</v>
      </c>
      <c r="AP577">
        <v>1922.3507</v>
      </c>
      <c r="AQ577">
        <v>1.938941</v>
      </c>
      <c r="AR577">
        <v>2.4177940000000002</v>
      </c>
      <c r="AY577">
        <v>575</v>
      </c>
      <c r="AZ577">
        <v>574</v>
      </c>
      <c r="BA577">
        <v>4707.6099999999997</v>
      </c>
      <c r="BB577">
        <v>4663.7654000000002</v>
      </c>
      <c r="BC577">
        <v>43.8446</v>
      </c>
      <c r="BD577">
        <v>1922.3507</v>
      </c>
      <c r="BE577">
        <v>329476</v>
      </c>
    </row>
    <row r="578" spans="1:57" x14ac:dyDescent="0.55000000000000004">
      <c r="A578">
        <v>1777063502</v>
      </c>
      <c r="B578" t="s">
        <v>72</v>
      </c>
      <c r="C578" t="s">
        <v>73</v>
      </c>
      <c r="D578">
        <v>4708.24</v>
      </c>
      <c r="E578">
        <v>4518.5928199999998</v>
      </c>
      <c r="F578">
        <v>4596.0559499999999</v>
      </c>
      <c r="G578">
        <v>4755.40355</v>
      </c>
      <c r="H578">
        <v>4792.7697200000002</v>
      </c>
      <c r="Q578">
        <v>4663.4977799999997</v>
      </c>
      <c r="R578">
        <v>4692.8610699999999</v>
      </c>
      <c r="S578">
        <v>4719.44985</v>
      </c>
      <c r="V578">
        <v>4628.5580099999997</v>
      </c>
      <c r="W578">
        <v>4594.9930100000001</v>
      </c>
      <c r="AB578">
        <v>4699.6023500000001</v>
      </c>
      <c r="AC578">
        <v>4703.7947000000004</v>
      </c>
      <c r="AD578">
        <v>0</v>
      </c>
      <c r="AK578">
        <v>576</v>
      </c>
      <c r="AL578">
        <v>575</v>
      </c>
      <c r="AM578">
        <v>4708.24</v>
      </c>
      <c r="AN578">
        <v>4663.4978000000001</v>
      </c>
      <c r="AO578">
        <v>44.742199999999997</v>
      </c>
      <c r="AP578">
        <v>2001.8662999999999</v>
      </c>
      <c r="AQ578">
        <v>2.0604789999999999</v>
      </c>
      <c r="AR578">
        <v>2.6219489999999999</v>
      </c>
      <c r="AY578">
        <v>576</v>
      </c>
      <c r="AZ578">
        <v>575</v>
      </c>
      <c r="BA578">
        <v>4708.24</v>
      </c>
      <c r="BB578">
        <v>4663.4978000000001</v>
      </c>
      <c r="BC578">
        <v>44.742199999999997</v>
      </c>
      <c r="BD578">
        <v>2001.8662999999999</v>
      </c>
      <c r="BE578">
        <v>330625</v>
      </c>
    </row>
    <row r="579" spans="1:57" x14ac:dyDescent="0.55000000000000004">
      <c r="A579">
        <v>1777240802</v>
      </c>
      <c r="B579" t="s">
        <v>72</v>
      </c>
      <c r="C579" t="s">
        <v>73</v>
      </c>
      <c r="D579">
        <v>4685.5</v>
      </c>
      <c r="E579">
        <v>4518.5928199999998</v>
      </c>
      <c r="F579">
        <v>4596.0559499999999</v>
      </c>
      <c r="G579">
        <v>4755.40355</v>
      </c>
      <c r="H579">
        <v>4792.7697200000002</v>
      </c>
      <c r="Q579">
        <v>4663.2301699999998</v>
      </c>
      <c r="R579">
        <v>4692.5934699999998</v>
      </c>
      <c r="S579">
        <v>4719.1822400000001</v>
      </c>
      <c r="V579">
        <v>4628.2903999999999</v>
      </c>
      <c r="W579">
        <v>4594.72541</v>
      </c>
      <c r="AB579">
        <v>4694.36168</v>
      </c>
      <c r="AC579">
        <v>4699.0781900000002</v>
      </c>
      <c r="AD579">
        <v>0</v>
      </c>
      <c r="AK579">
        <v>577</v>
      </c>
      <c r="AL579">
        <v>576</v>
      </c>
      <c r="AM579">
        <v>4685.5</v>
      </c>
      <c r="AN579">
        <v>4663.2302</v>
      </c>
      <c r="AO579">
        <v>22.2698</v>
      </c>
      <c r="AP579">
        <v>495.94529999999997</v>
      </c>
      <c r="AQ579">
        <v>0.25407800000000003</v>
      </c>
      <c r="AR579">
        <v>0.16092400000000001</v>
      </c>
      <c r="AY579">
        <v>577</v>
      </c>
      <c r="AZ579">
        <v>576</v>
      </c>
      <c r="BA579">
        <v>4685.5</v>
      </c>
      <c r="BB579">
        <v>4663.2302</v>
      </c>
      <c r="BC579">
        <v>22.2698</v>
      </c>
      <c r="BD579">
        <v>495.94529999999997</v>
      </c>
      <c r="BE579">
        <v>331776</v>
      </c>
    </row>
    <row r="580" spans="1:57" x14ac:dyDescent="0.55000000000000004">
      <c r="A580">
        <v>1777241702</v>
      </c>
      <c r="B580" t="s">
        <v>72</v>
      </c>
      <c r="C580" t="s">
        <v>73</v>
      </c>
      <c r="D580">
        <v>4686.88</v>
      </c>
      <c r="E580">
        <v>4518.5928199999998</v>
      </c>
      <c r="F580">
        <v>4596.0559499999999</v>
      </c>
      <c r="G580">
        <v>4755.40355</v>
      </c>
      <c r="H580">
        <v>4792.7697200000002</v>
      </c>
      <c r="Q580">
        <v>4662.9625699999997</v>
      </c>
      <c r="R580">
        <v>4692.3258699999997</v>
      </c>
      <c r="S580">
        <v>4718.91464</v>
      </c>
      <c r="V580">
        <v>4628.0227999999997</v>
      </c>
      <c r="W580">
        <v>4594.4578000000001</v>
      </c>
      <c r="AB580">
        <v>4689.5699100000002</v>
      </c>
      <c r="AC580">
        <v>4694.3240500000002</v>
      </c>
      <c r="AD580">
        <v>0</v>
      </c>
      <c r="AK580">
        <v>578</v>
      </c>
      <c r="AL580">
        <v>577</v>
      </c>
      <c r="AM580">
        <v>4686.88</v>
      </c>
      <c r="AN580">
        <v>4662.9625999999998</v>
      </c>
      <c r="AO580">
        <v>23.917400000000001</v>
      </c>
      <c r="AP580">
        <v>572.04349999999999</v>
      </c>
      <c r="AQ580">
        <v>0.314745</v>
      </c>
      <c r="AR580">
        <v>0.21409800000000001</v>
      </c>
      <c r="AY580">
        <v>578</v>
      </c>
      <c r="AZ580">
        <v>577</v>
      </c>
      <c r="BA580">
        <v>4686.88</v>
      </c>
      <c r="BB580">
        <v>4662.9625999999998</v>
      </c>
      <c r="BC580">
        <v>23.917400000000001</v>
      </c>
      <c r="BD580">
        <v>572.04349999999999</v>
      </c>
      <c r="BE580">
        <v>332929</v>
      </c>
    </row>
    <row r="581" spans="1:57" x14ac:dyDescent="0.55000000000000004">
      <c r="A581">
        <v>1777242602</v>
      </c>
      <c r="B581" t="s">
        <v>72</v>
      </c>
      <c r="C581" t="s">
        <v>73</v>
      </c>
      <c r="D581">
        <v>4684.4799999999996</v>
      </c>
      <c r="E581">
        <v>4518.5928199999998</v>
      </c>
      <c r="F581">
        <v>4596.0559499999999</v>
      </c>
      <c r="G581">
        <v>4755.40355</v>
      </c>
      <c r="H581">
        <v>4792.7697200000002</v>
      </c>
      <c r="Q581">
        <v>4662.6949599999998</v>
      </c>
      <c r="R581">
        <v>4692.0582599999998</v>
      </c>
      <c r="S581">
        <v>4718.6470300000001</v>
      </c>
      <c r="V581">
        <v>4627.7551899999999</v>
      </c>
      <c r="W581">
        <v>4594.1902</v>
      </c>
      <c r="AB581">
        <v>4685.4122699999998</v>
      </c>
      <c r="AC581">
        <v>4689.86816</v>
      </c>
      <c r="AD581">
        <v>0</v>
      </c>
      <c r="AK581">
        <v>579</v>
      </c>
      <c r="AL581">
        <v>578</v>
      </c>
      <c r="AM581">
        <v>4684.4799999999996</v>
      </c>
      <c r="AN581">
        <v>4662.6949999999997</v>
      </c>
      <c r="AO581">
        <v>21.785</v>
      </c>
      <c r="AP581">
        <v>474.58800000000002</v>
      </c>
      <c r="AQ581">
        <v>0.237843</v>
      </c>
      <c r="AR581">
        <v>0.14736299999999999</v>
      </c>
      <c r="AY581">
        <v>579</v>
      </c>
      <c r="AZ581">
        <v>578</v>
      </c>
      <c r="BA581">
        <v>4684.4799999999996</v>
      </c>
      <c r="BB581">
        <v>4662.6949999999997</v>
      </c>
      <c r="BC581">
        <v>21.785</v>
      </c>
      <c r="BD581">
        <v>474.58800000000002</v>
      </c>
      <c r="BE581">
        <v>334084</v>
      </c>
    </row>
    <row r="582" spans="1:57" x14ac:dyDescent="0.55000000000000004">
      <c r="A582">
        <v>1777243502</v>
      </c>
      <c r="B582" t="s">
        <v>72</v>
      </c>
      <c r="C582" t="s">
        <v>73</v>
      </c>
      <c r="D582">
        <v>4684.5200000000004</v>
      </c>
      <c r="E582">
        <v>4518.5928199999998</v>
      </c>
      <c r="F582">
        <v>4596.0559499999999</v>
      </c>
      <c r="G582">
        <v>4755.40355</v>
      </c>
      <c r="H582">
        <v>4792.7697200000002</v>
      </c>
      <c r="Q582">
        <v>4662.4273599999997</v>
      </c>
      <c r="R582">
        <v>4691.7906599999997</v>
      </c>
      <c r="S582">
        <v>4718.37943</v>
      </c>
      <c r="V582">
        <v>4627.4875899999997</v>
      </c>
      <c r="W582">
        <v>4593.9225900000001</v>
      </c>
      <c r="AB582">
        <v>4682.0681299999997</v>
      </c>
      <c r="AC582">
        <v>4685.9681499999997</v>
      </c>
      <c r="AD582">
        <v>0</v>
      </c>
      <c r="AK582">
        <v>580</v>
      </c>
      <c r="AL582">
        <v>579</v>
      </c>
      <c r="AM582">
        <v>4684.5200000000004</v>
      </c>
      <c r="AN582">
        <v>4662.4273999999996</v>
      </c>
      <c r="AO582">
        <v>22.092600000000001</v>
      </c>
      <c r="AP582">
        <v>488.0847</v>
      </c>
      <c r="AQ582">
        <v>0.248061</v>
      </c>
      <c r="AR582">
        <v>0.155864</v>
      </c>
      <c r="AY582">
        <v>580</v>
      </c>
      <c r="AZ582">
        <v>579</v>
      </c>
      <c r="BA582">
        <v>4684.5200000000004</v>
      </c>
      <c r="BB582">
        <v>4662.4273999999996</v>
      </c>
      <c r="BC582">
        <v>22.092600000000001</v>
      </c>
      <c r="BD582">
        <v>488.0847</v>
      </c>
      <c r="BE582">
        <v>335241</v>
      </c>
    </row>
    <row r="583" spans="1:57" x14ac:dyDescent="0.55000000000000004">
      <c r="A583">
        <v>1777244402</v>
      </c>
      <c r="B583" t="s">
        <v>72</v>
      </c>
      <c r="C583" t="s">
        <v>73</v>
      </c>
      <c r="D583">
        <v>4683.71</v>
      </c>
      <c r="E583">
        <v>4518.5928199999998</v>
      </c>
      <c r="F583">
        <v>4596.0559499999999</v>
      </c>
      <c r="G583">
        <v>4755.40355</v>
      </c>
      <c r="H583">
        <v>4792.7697200000002</v>
      </c>
      <c r="Q583">
        <v>4662.1597599999996</v>
      </c>
      <c r="R583">
        <v>4691.5230499999998</v>
      </c>
      <c r="S583">
        <v>4718.1118200000001</v>
      </c>
      <c r="V583">
        <v>4627.2199899999996</v>
      </c>
      <c r="W583">
        <v>4593.65499</v>
      </c>
      <c r="AB583">
        <v>4679.6499299999996</v>
      </c>
      <c r="AC583">
        <v>4682.8090400000001</v>
      </c>
      <c r="AD583">
        <v>0</v>
      </c>
      <c r="AK583">
        <v>581</v>
      </c>
      <c r="AL583">
        <v>580</v>
      </c>
      <c r="AM583">
        <v>4683.71</v>
      </c>
      <c r="AN583">
        <v>4662.1598000000004</v>
      </c>
      <c r="AO583">
        <v>21.5502</v>
      </c>
      <c r="AP583">
        <v>464.4128</v>
      </c>
      <c r="AQ583">
        <v>0.230235</v>
      </c>
      <c r="AR583">
        <v>0.14111199999999999</v>
      </c>
      <c r="AY583">
        <v>581</v>
      </c>
      <c r="AZ583">
        <v>580</v>
      </c>
      <c r="BA583">
        <v>4683.71</v>
      </c>
      <c r="BB583">
        <v>4662.1598000000004</v>
      </c>
      <c r="BC583">
        <v>21.5502</v>
      </c>
      <c r="BD583">
        <v>464.4128</v>
      </c>
      <c r="BE583">
        <v>336400</v>
      </c>
    </row>
    <row r="584" spans="1:57" x14ac:dyDescent="0.55000000000000004">
      <c r="A584">
        <v>1777245302</v>
      </c>
      <c r="B584" t="s">
        <v>72</v>
      </c>
      <c r="C584" t="s">
        <v>73</v>
      </c>
      <c r="D584">
        <v>4677.41</v>
      </c>
      <c r="E584">
        <v>4518.5928199999998</v>
      </c>
      <c r="F584">
        <v>4596.0559499999999</v>
      </c>
      <c r="G584">
        <v>4755.40355</v>
      </c>
      <c r="H584">
        <v>4792.7697200000002</v>
      </c>
      <c r="Q584">
        <v>4661.8921499999997</v>
      </c>
      <c r="R584">
        <v>4691.2554499999997</v>
      </c>
      <c r="S584">
        <v>4717.84422</v>
      </c>
      <c r="V584">
        <v>4626.9523799999997</v>
      </c>
      <c r="W584">
        <v>4593.3873800000001</v>
      </c>
      <c r="AB584">
        <v>4678.2366099999999</v>
      </c>
      <c r="AC584">
        <v>4680.5228299999999</v>
      </c>
      <c r="AD584">
        <v>0</v>
      </c>
      <c r="AK584">
        <v>582</v>
      </c>
      <c r="AL584">
        <v>581</v>
      </c>
      <c r="AM584">
        <v>4677.41</v>
      </c>
      <c r="AN584">
        <v>4661.8921</v>
      </c>
      <c r="AO584">
        <v>15.517899999999999</v>
      </c>
      <c r="AP584">
        <v>240.80369999999999</v>
      </c>
      <c r="AQ584">
        <v>8.5962999999999998E-2</v>
      </c>
      <c r="AR584">
        <v>3.7939000000000001E-2</v>
      </c>
      <c r="AY584">
        <v>582</v>
      </c>
      <c r="AZ584">
        <v>581</v>
      </c>
      <c r="BA584">
        <v>4677.41</v>
      </c>
      <c r="BB584">
        <v>4661.8921</v>
      </c>
      <c r="BC584">
        <v>15.517899999999999</v>
      </c>
      <c r="BD584">
        <v>240.80369999999999</v>
      </c>
      <c r="BE584">
        <v>337561</v>
      </c>
    </row>
    <row r="585" spans="1:57" x14ac:dyDescent="0.55000000000000004">
      <c r="A585">
        <v>1777246202</v>
      </c>
      <c r="B585" t="s">
        <v>72</v>
      </c>
      <c r="C585" t="s">
        <v>73</v>
      </c>
      <c r="D585">
        <v>4676.93</v>
      </c>
      <c r="E585">
        <v>4518.5928199999998</v>
      </c>
      <c r="F585">
        <v>4596.0559499999999</v>
      </c>
      <c r="G585">
        <v>4755.40355</v>
      </c>
      <c r="H585">
        <v>4792.7697200000002</v>
      </c>
      <c r="Q585">
        <v>4661.6245500000005</v>
      </c>
      <c r="R585">
        <v>4690.9878500000004</v>
      </c>
      <c r="S585">
        <v>4717.5766199999998</v>
      </c>
      <c r="V585">
        <v>4626.6847799999996</v>
      </c>
      <c r="W585">
        <v>4593.11978</v>
      </c>
      <c r="AB585">
        <v>4678.0111100000004</v>
      </c>
      <c r="AC585">
        <v>4679.2669699999997</v>
      </c>
      <c r="AD585">
        <v>0</v>
      </c>
      <c r="AK585">
        <v>583</v>
      </c>
      <c r="AL585">
        <v>582</v>
      </c>
      <c r="AM585">
        <v>4676.93</v>
      </c>
      <c r="AN585">
        <v>4661.6246000000001</v>
      </c>
      <c r="AO585">
        <v>15.305400000000001</v>
      </c>
      <c r="AP585">
        <v>234.2568</v>
      </c>
      <c r="AQ585">
        <v>8.2480999999999999E-2</v>
      </c>
      <c r="AR585">
        <v>3.5903999999999998E-2</v>
      </c>
      <c r="AY585">
        <v>583</v>
      </c>
      <c r="AZ585">
        <v>582</v>
      </c>
      <c r="BA585">
        <v>4676.93</v>
      </c>
      <c r="BB585">
        <v>4661.6246000000001</v>
      </c>
      <c r="BC585">
        <v>15.305400000000001</v>
      </c>
      <c r="BD585">
        <v>234.2568</v>
      </c>
      <c r="BE585">
        <v>338724</v>
      </c>
    </row>
    <row r="586" spans="1:57" x14ac:dyDescent="0.55000000000000004">
      <c r="A586">
        <v>1777247102</v>
      </c>
      <c r="B586" t="s">
        <v>72</v>
      </c>
      <c r="C586" t="s">
        <v>73</v>
      </c>
      <c r="D586">
        <v>4680.04</v>
      </c>
      <c r="E586">
        <v>4518.5928199999998</v>
      </c>
      <c r="F586">
        <v>4596.0559499999999</v>
      </c>
      <c r="G586">
        <v>4755.40355</v>
      </c>
      <c r="H586">
        <v>4792.7697200000002</v>
      </c>
      <c r="Q586">
        <v>4661.3569399999997</v>
      </c>
      <c r="R586">
        <v>4690.7202399999996</v>
      </c>
      <c r="S586">
        <v>4717.3090099999999</v>
      </c>
      <c r="V586">
        <v>4626.4171699999997</v>
      </c>
      <c r="W586">
        <v>4592.8521799999999</v>
      </c>
      <c r="AB586">
        <v>4678.9248600000001</v>
      </c>
      <c r="AC586">
        <v>4679.0959199999998</v>
      </c>
      <c r="AD586">
        <v>0</v>
      </c>
      <c r="AK586">
        <v>584</v>
      </c>
      <c r="AL586">
        <v>583</v>
      </c>
      <c r="AM586">
        <v>4680.04</v>
      </c>
      <c r="AN586">
        <v>4661.3568999999998</v>
      </c>
      <c r="AO586">
        <v>18.6831</v>
      </c>
      <c r="AP586">
        <v>349.05669999999998</v>
      </c>
      <c r="AQ586">
        <v>0.15002399999999999</v>
      </c>
      <c r="AR586">
        <v>7.9715999999999995E-2</v>
      </c>
      <c r="AY586">
        <v>584</v>
      </c>
      <c r="AZ586">
        <v>583</v>
      </c>
      <c r="BA586">
        <v>4680.04</v>
      </c>
      <c r="BB586">
        <v>4661.3568999999998</v>
      </c>
      <c r="BC586">
        <v>18.6831</v>
      </c>
      <c r="BD586">
        <v>349.05669999999998</v>
      </c>
      <c r="BE586">
        <v>339889</v>
      </c>
    </row>
    <row r="587" spans="1:57" x14ac:dyDescent="0.55000000000000004">
      <c r="A587">
        <v>1777248002</v>
      </c>
      <c r="B587" t="s">
        <v>72</v>
      </c>
      <c r="C587" t="s">
        <v>73</v>
      </c>
      <c r="D587">
        <v>4679.8599999999997</v>
      </c>
      <c r="E587">
        <v>4518.5928199999998</v>
      </c>
      <c r="F587">
        <v>4596.0559499999999</v>
      </c>
      <c r="G587">
        <v>4755.40355</v>
      </c>
      <c r="H587">
        <v>4792.7697200000002</v>
      </c>
      <c r="Q587">
        <v>4661.0893400000004</v>
      </c>
      <c r="R587">
        <v>4690.4526400000004</v>
      </c>
      <c r="S587">
        <v>4717.0414099999998</v>
      </c>
      <c r="V587">
        <v>4626.1495699999996</v>
      </c>
      <c r="W587">
        <v>4592.58457</v>
      </c>
      <c r="AA587">
        <v>4672.3500000000004</v>
      </c>
      <c r="AB587">
        <v>4680.7626200000004</v>
      </c>
      <c r="AC587">
        <v>4679.9292699999996</v>
      </c>
      <c r="AD587">
        <v>1</v>
      </c>
      <c r="AK587">
        <v>585</v>
      </c>
      <c r="AL587">
        <v>584</v>
      </c>
      <c r="AM587">
        <v>4679.8599999999997</v>
      </c>
      <c r="AN587">
        <v>4661.0892999999996</v>
      </c>
      <c r="AO587">
        <v>18.770700000000001</v>
      </c>
      <c r="AP587">
        <v>352.33769999999998</v>
      </c>
      <c r="AQ587">
        <v>0.152144</v>
      </c>
      <c r="AR587">
        <v>8.1222000000000003E-2</v>
      </c>
      <c r="AY587">
        <v>585</v>
      </c>
      <c r="AZ587">
        <v>584</v>
      </c>
      <c r="BA587">
        <v>4679.8599999999997</v>
      </c>
      <c r="BB587">
        <v>4661.0892999999996</v>
      </c>
      <c r="BC587">
        <v>18.770700000000001</v>
      </c>
      <c r="BD587">
        <v>352.33769999999998</v>
      </c>
      <c r="BE587">
        <v>341056</v>
      </c>
    </row>
    <row r="588" spans="1:57" x14ac:dyDescent="0.55000000000000004">
      <c r="A588">
        <v>1777248902</v>
      </c>
      <c r="B588" t="s">
        <v>72</v>
      </c>
      <c r="C588" t="s">
        <v>73</v>
      </c>
      <c r="D588">
        <v>4680.6499999999996</v>
      </c>
      <c r="E588">
        <v>4518.5928199999998</v>
      </c>
      <c r="F588">
        <v>4596.0559499999999</v>
      </c>
      <c r="G588">
        <v>4755.40355</v>
      </c>
      <c r="H588">
        <v>4792.7697200000002</v>
      </c>
      <c r="Q588">
        <v>4660.8217299999997</v>
      </c>
      <c r="R588">
        <v>4690.1850299999996</v>
      </c>
      <c r="S588">
        <v>4716.7737999999999</v>
      </c>
      <c r="V588">
        <v>4625.8819599999997</v>
      </c>
      <c r="W588">
        <v>4592.3169699999999</v>
      </c>
      <c r="AB588">
        <v>4683.3390799999997</v>
      </c>
      <c r="AC588">
        <v>4681.6341700000003</v>
      </c>
      <c r="AD588">
        <v>0</v>
      </c>
      <c r="AK588">
        <v>586</v>
      </c>
      <c r="AL588">
        <v>585</v>
      </c>
      <c r="AM588">
        <v>4680.6499999999996</v>
      </c>
      <c r="AN588">
        <v>4660.8217000000004</v>
      </c>
      <c r="AO588">
        <v>19.828299999999999</v>
      </c>
      <c r="AP588">
        <v>393.16030000000001</v>
      </c>
      <c r="AQ588">
        <v>0.179337</v>
      </c>
      <c r="AR588">
        <v>0.101133</v>
      </c>
      <c r="AY588">
        <v>586</v>
      </c>
      <c r="AZ588">
        <v>585</v>
      </c>
      <c r="BA588">
        <v>4680.6499999999996</v>
      </c>
      <c r="BB588">
        <v>4660.8217000000004</v>
      </c>
      <c r="BC588">
        <v>19.828299999999999</v>
      </c>
      <c r="BD588">
        <v>393.16030000000001</v>
      </c>
      <c r="BE588">
        <v>342225</v>
      </c>
    </row>
    <row r="589" spans="1:57" x14ac:dyDescent="0.55000000000000004">
      <c r="A589">
        <v>1777249802</v>
      </c>
      <c r="B589" t="s">
        <v>72</v>
      </c>
      <c r="C589" t="s">
        <v>73</v>
      </c>
      <c r="D589">
        <v>4680.47</v>
      </c>
      <c r="E589">
        <v>4518.5928199999998</v>
      </c>
      <c r="F589">
        <v>4596.0559499999999</v>
      </c>
      <c r="G589">
        <v>4755.40355</v>
      </c>
      <c r="H589">
        <v>4792.7697200000002</v>
      </c>
      <c r="Q589">
        <v>4660.5541300000004</v>
      </c>
      <c r="R589">
        <v>4689.9174300000004</v>
      </c>
      <c r="S589">
        <v>4716.5061999999998</v>
      </c>
      <c r="V589">
        <v>4625.6143599999996</v>
      </c>
      <c r="W589">
        <v>4592.04936</v>
      </c>
      <c r="AB589">
        <v>4686.4362199999996</v>
      </c>
      <c r="AC589">
        <v>4684.0352000000003</v>
      </c>
      <c r="AD589">
        <v>0</v>
      </c>
      <c r="AK589">
        <v>587</v>
      </c>
      <c r="AL589">
        <v>586</v>
      </c>
      <c r="AM589">
        <v>4680.47</v>
      </c>
      <c r="AN589">
        <v>4660.5541000000003</v>
      </c>
      <c r="AO589">
        <v>19.915900000000001</v>
      </c>
      <c r="AP589">
        <v>396.64190000000002</v>
      </c>
      <c r="AQ589">
        <v>0.181724</v>
      </c>
      <c r="AR589">
        <v>0.102932</v>
      </c>
      <c r="AY589">
        <v>587</v>
      </c>
      <c r="AZ589">
        <v>586</v>
      </c>
      <c r="BA589">
        <v>4680.47</v>
      </c>
      <c r="BB589">
        <v>4660.5541000000003</v>
      </c>
      <c r="BC589">
        <v>19.915900000000001</v>
      </c>
      <c r="BD589">
        <v>396.64190000000002</v>
      </c>
      <c r="BE589">
        <v>343396</v>
      </c>
    </row>
    <row r="590" spans="1:57" x14ac:dyDescent="0.55000000000000004">
      <c r="A590">
        <v>1777250702</v>
      </c>
      <c r="B590" t="s">
        <v>72</v>
      </c>
      <c r="C590" t="s">
        <v>73</v>
      </c>
      <c r="D590">
        <v>4697.9799999999996</v>
      </c>
      <c r="E590">
        <v>4518.5928199999998</v>
      </c>
      <c r="F590">
        <v>4596.0559499999999</v>
      </c>
      <c r="G590">
        <v>4755.40355</v>
      </c>
      <c r="H590">
        <v>4792.7697200000002</v>
      </c>
      <c r="Q590">
        <v>4660.2865300000003</v>
      </c>
      <c r="R590">
        <v>4689.6498300000003</v>
      </c>
      <c r="S590">
        <v>4716.2385999999997</v>
      </c>
      <c r="V590">
        <v>4625.3467600000004</v>
      </c>
      <c r="W590">
        <v>4591.7817599999998</v>
      </c>
      <c r="AB590">
        <v>4689.8773899999997</v>
      </c>
      <c r="AC590">
        <v>4686.9562999999998</v>
      </c>
      <c r="AD590">
        <v>0</v>
      </c>
      <c r="AK590">
        <v>588</v>
      </c>
      <c r="AL590">
        <v>587</v>
      </c>
      <c r="AM590">
        <v>4697.9799999999996</v>
      </c>
      <c r="AN590">
        <v>4660.2865000000002</v>
      </c>
      <c r="AO590">
        <v>37.6935</v>
      </c>
      <c r="AP590">
        <v>1420.7977000000001</v>
      </c>
      <c r="AQ590">
        <v>1.2320089999999999</v>
      </c>
      <c r="AR590">
        <v>1.3207439999999999</v>
      </c>
      <c r="AY590">
        <v>588</v>
      </c>
      <c r="AZ590">
        <v>587</v>
      </c>
      <c r="BA590">
        <v>4697.9799999999996</v>
      </c>
      <c r="BB590">
        <v>4660.2865000000002</v>
      </c>
      <c r="BC590">
        <v>37.6935</v>
      </c>
      <c r="BD590">
        <v>1420.7977000000001</v>
      </c>
      <c r="BE590">
        <v>344569</v>
      </c>
    </row>
    <row r="591" spans="1:57" x14ac:dyDescent="0.55000000000000004">
      <c r="A591">
        <v>1777251602</v>
      </c>
      <c r="B591" t="s">
        <v>72</v>
      </c>
      <c r="C591" t="s">
        <v>73</v>
      </c>
      <c r="D591">
        <v>4692.9399999999996</v>
      </c>
      <c r="E591">
        <v>4518.5928199999998</v>
      </c>
      <c r="F591">
        <v>4596.0559499999999</v>
      </c>
      <c r="G591">
        <v>4755.40355</v>
      </c>
      <c r="H591">
        <v>4792.7697200000002</v>
      </c>
      <c r="Q591">
        <v>4660.0189200000004</v>
      </c>
      <c r="R591">
        <v>4689.3822200000004</v>
      </c>
      <c r="S591">
        <v>4715.9709899999998</v>
      </c>
      <c r="V591">
        <v>4625.0791499999996</v>
      </c>
      <c r="W591">
        <v>4591.5141599999997</v>
      </c>
      <c r="AB591">
        <v>4693.0341699999999</v>
      </c>
      <c r="AC591">
        <v>4689.9952300000004</v>
      </c>
      <c r="AD591">
        <v>0</v>
      </c>
      <c r="AK591">
        <v>589</v>
      </c>
      <c r="AL591">
        <v>588</v>
      </c>
      <c r="AM591">
        <v>4692.9399999999996</v>
      </c>
      <c r="AN591">
        <v>4660.0189</v>
      </c>
      <c r="AO591">
        <v>32.921100000000003</v>
      </c>
      <c r="AP591">
        <v>1083.7974999999999</v>
      </c>
      <c r="AQ591">
        <v>0.820801</v>
      </c>
      <c r="AR591">
        <v>0.76851199999999997</v>
      </c>
      <c r="AY591">
        <v>589</v>
      </c>
      <c r="AZ591">
        <v>588</v>
      </c>
      <c r="BA591">
        <v>4692.9399999999996</v>
      </c>
      <c r="BB591">
        <v>4660.0189</v>
      </c>
      <c r="BC591">
        <v>32.921100000000003</v>
      </c>
      <c r="BD591">
        <v>1083.7974999999999</v>
      </c>
      <c r="BE591">
        <v>345744</v>
      </c>
    </row>
    <row r="592" spans="1:57" x14ac:dyDescent="0.55000000000000004">
      <c r="A592">
        <v>1777252502</v>
      </c>
      <c r="B592" t="s">
        <v>72</v>
      </c>
      <c r="C592" t="s">
        <v>73</v>
      </c>
      <c r="D592">
        <v>4697.97</v>
      </c>
      <c r="E592">
        <v>4518.5928199999998</v>
      </c>
      <c r="F592">
        <v>4596.0559499999999</v>
      </c>
      <c r="G592">
        <v>4755.40355</v>
      </c>
      <c r="H592">
        <v>4792.7697200000002</v>
      </c>
      <c r="Q592">
        <v>4659.7513200000003</v>
      </c>
      <c r="R592">
        <v>4689.1146200000003</v>
      </c>
      <c r="S592">
        <v>4715.7033899999997</v>
      </c>
      <c r="V592">
        <v>4624.8115500000004</v>
      </c>
      <c r="W592">
        <v>4591.2465499999998</v>
      </c>
      <c r="AB592">
        <v>4696.0141899999999</v>
      </c>
      <c r="AC592">
        <v>4693.0047100000002</v>
      </c>
      <c r="AD592">
        <v>0</v>
      </c>
      <c r="AK592">
        <v>590</v>
      </c>
      <c r="AL592">
        <v>589</v>
      </c>
      <c r="AM592">
        <v>4697.97</v>
      </c>
      <c r="AN592">
        <v>4659.7512999999999</v>
      </c>
      <c r="AO592">
        <v>38.218699999999998</v>
      </c>
      <c r="AP592">
        <v>1460.6675</v>
      </c>
      <c r="AQ592">
        <v>1.2842290000000001</v>
      </c>
      <c r="AR592">
        <v>1.3959079999999999</v>
      </c>
      <c r="AY592">
        <v>590</v>
      </c>
      <c r="AZ592">
        <v>589</v>
      </c>
      <c r="BA592">
        <v>4697.97</v>
      </c>
      <c r="BB592">
        <v>4659.7512999999999</v>
      </c>
      <c r="BC592">
        <v>38.218699999999998</v>
      </c>
      <c r="BD592">
        <v>1460.6675</v>
      </c>
      <c r="BE592">
        <v>346921</v>
      </c>
    </row>
    <row r="593" spans="1:57" x14ac:dyDescent="0.55000000000000004">
      <c r="A593">
        <v>1777253402</v>
      </c>
      <c r="B593" t="s">
        <v>72</v>
      </c>
      <c r="C593" t="s">
        <v>73</v>
      </c>
      <c r="D593">
        <v>4697.87</v>
      </c>
      <c r="E593">
        <v>4518.5928199999998</v>
      </c>
      <c r="F593">
        <v>4596.0559499999999</v>
      </c>
      <c r="G593">
        <v>4755.40355</v>
      </c>
      <c r="H593">
        <v>4792.7697200000002</v>
      </c>
      <c r="Q593">
        <v>4659.4837100000004</v>
      </c>
      <c r="R593">
        <v>4688.8470100000004</v>
      </c>
      <c r="S593">
        <v>4715.4357799999998</v>
      </c>
      <c r="V593">
        <v>4624.5439399999996</v>
      </c>
      <c r="W593">
        <v>4590.9789499999997</v>
      </c>
      <c r="AB593">
        <v>4698.7738900000004</v>
      </c>
      <c r="AC593">
        <v>4695.8892999999998</v>
      </c>
      <c r="AD593">
        <v>0</v>
      </c>
      <c r="AK593">
        <v>591</v>
      </c>
      <c r="AL593">
        <v>590</v>
      </c>
      <c r="AM593">
        <v>4697.87</v>
      </c>
      <c r="AN593">
        <v>4659.4836999999998</v>
      </c>
      <c r="AO593">
        <v>38.386299999999999</v>
      </c>
      <c r="AP593">
        <v>1473.5073</v>
      </c>
      <c r="AQ593">
        <v>1.3011999999999999</v>
      </c>
      <c r="AR593">
        <v>1.4205570000000001</v>
      </c>
      <c r="AY593">
        <v>591</v>
      </c>
      <c r="AZ593">
        <v>590</v>
      </c>
      <c r="BA593">
        <v>4697.87</v>
      </c>
      <c r="BB593">
        <v>4659.4836999999998</v>
      </c>
      <c r="BC593">
        <v>38.386299999999999</v>
      </c>
      <c r="BD593">
        <v>1473.5073</v>
      </c>
      <c r="BE593">
        <v>348100</v>
      </c>
    </row>
    <row r="594" spans="1:57" x14ac:dyDescent="0.55000000000000004">
      <c r="A594">
        <v>1777254302</v>
      </c>
      <c r="B594" t="s">
        <v>72</v>
      </c>
      <c r="C594" t="s">
        <v>73</v>
      </c>
      <c r="D594">
        <v>4702.74</v>
      </c>
      <c r="E594">
        <v>4518.5928199999998</v>
      </c>
      <c r="F594">
        <v>4596.0559499999999</v>
      </c>
      <c r="G594">
        <v>4755.40355</v>
      </c>
      <c r="H594">
        <v>4792.7697200000002</v>
      </c>
      <c r="Q594">
        <v>4659.2161100000003</v>
      </c>
      <c r="R594">
        <v>4688.5794100000003</v>
      </c>
      <c r="S594">
        <v>4715.1681799999997</v>
      </c>
      <c r="V594">
        <v>4624.2763400000003</v>
      </c>
      <c r="W594">
        <v>4590.7113399999998</v>
      </c>
      <c r="AB594">
        <v>4701.5017799999996</v>
      </c>
      <c r="AC594">
        <v>4698.6955399999997</v>
      </c>
      <c r="AD594">
        <v>0</v>
      </c>
      <c r="AK594">
        <v>592</v>
      </c>
      <c r="AL594">
        <v>591</v>
      </c>
      <c r="AM594">
        <v>4702.74</v>
      </c>
      <c r="AN594">
        <v>4659.2160999999996</v>
      </c>
      <c r="AO594">
        <v>43.523899999999998</v>
      </c>
      <c r="AP594">
        <v>1894.329</v>
      </c>
      <c r="AQ594">
        <v>1.8967000000000001</v>
      </c>
      <c r="AR594">
        <v>2.3478210000000002</v>
      </c>
      <c r="AY594">
        <v>592</v>
      </c>
      <c r="AZ594">
        <v>591</v>
      </c>
      <c r="BA594">
        <v>4702.74</v>
      </c>
      <c r="BB594">
        <v>4659.2160999999996</v>
      </c>
      <c r="BC594">
        <v>43.523899999999998</v>
      </c>
      <c r="BD594">
        <v>1894.329</v>
      </c>
      <c r="BE594">
        <v>349281</v>
      </c>
    </row>
    <row r="595" spans="1:57" x14ac:dyDescent="0.55000000000000004">
      <c r="A595">
        <v>1777255202</v>
      </c>
      <c r="B595" t="s">
        <v>72</v>
      </c>
      <c r="C595" t="s">
        <v>73</v>
      </c>
      <c r="D595">
        <v>4699.7299999999996</v>
      </c>
      <c r="E595">
        <v>4518.5928199999998</v>
      </c>
      <c r="F595">
        <v>4596.0559499999999</v>
      </c>
      <c r="G595">
        <v>4755.40355</v>
      </c>
      <c r="H595">
        <v>4792.7697200000002</v>
      </c>
      <c r="Q595">
        <v>4658.9485100000002</v>
      </c>
      <c r="R595">
        <v>4688.3118100000002</v>
      </c>
      <c r="S595">
        <v>4714.9005800000004</v>
      </c>
      <c r="V595">
        <v>4624.0087400000002</v>
      </c>
      <c r="W595">
        <v>4590.4437399999997</v>
      </c>
      <c r="AB595">
        <v>4704.3050000000003</v>
      </c>
      <c r="AC595">
        <v>4701.5002699999995</v>
      </c>
      <c r="AD595">
        <v>0</v>
      </c>
      <c r="AK595">
        <v>593</v>
      </c>
      <c r="AL595">
        <v>592</v>
      </c>
      <c r="AM595">
        <v>4699.7299999999996</v>
      </c>
      <c r="AN595">
        <v>4658.9485000000004</v>
      </c>
      <c r="AO595">
        <v>40.781500000000001</v>
      </c>
      <c r="AP595">
        <v>1663.1298999999999</v>
      </c>
      <c r="AQ595">
        <v>1.5602879999999999</v>
      </c>
      <c r="AR595">
        <v>1.8097000000000001</v>
      </c>
      <c r="AY595">
        <v>593</v>
      </c>
      <c r="AZ595">
        <v>592</v>
      </c>
      <c r="BA595">
        <v>4699.7299999999996</v>
      </c>
      <c r="BB595">
        <v>4658.9485000000004</v>
      </c>
      <c r="BC595">
        <v>40.781500000000001</v>
      </c>
      <c r="BD595">
        <v>1663.1298999999999</v>
      </c>
      <c r="BE595">
        <v>350464</v>
      </c>
    </row>
    <row r="596" spans="1:57" x14ac:dyDescent="0.55000000000000004">
      <c r="A596">
        <v>1777256102</v>
      </c>
      <c r="B596" t="s">
        <v>72</v>
      </c>
      <c r="C596" t="s">
        <v>73</v>
      </c>
      <c r="D596">
        <v>4705.71</v>
      </c>
      <c r="E596">
        <v>4518.5928199999998</v>
      </c>
      <c r="F596">
        <v>4596.0559499999999</v>
      </c>
      <c r="G596">
        <v>4755.40355</v>
      </c>
      <c r="H596">
        <v>4792.7697200000002</v>
      </c>
      <c r="Q596">
        <v>4658.6809000000003</v>
      </c>
      <c r="R596">
        <v>4688.0442000000003</v>
      </c>
      <c r="S596">
        <v>4714.6329699999997</v>
      </c>
      <c r="V596">
        <v>4623.7411300000003</v>
      </c>
      <c r="W596">
        <v>4590.1761399999996</v>
      </c>
      <c r="AB596">
        <v>4707.4692500000001</v>
      </c>
      <c r="AC596">
        <v>4704.4847600000003</v>
      </c>
      <c r="AD596">
        <v>0</v>
      </c>
      <c r="AK596">
        <v>594</v>
      </c>
      <c r="AL596">
        <v>593</v>
      </c>
      <c r="AM596">
        <v>4705.71</v>
      </c>
      <c r="AN596">
        <v>4658.6809000000003</v>
      </c>
      <c r="AO596">
        <v>47.0291</v>
      </c>
      <c r="AP596">
        <v>2211.7361999999998</v>
      </c>
      <c r="AQ596">
        <v>2.3928509999999998</v>
      </c>
      <c r="AR596">
        <v>3.2005219999999999</v>
      </c>
      <c r="AY596">
        <v>594</v>
      </c>
      <c r="AZ596">
        <v>593</v>
      </c>
      <c r="BA596">
        <v>4705.71</v>
      </c>
      <c r="BB596">
        <v>4658.6809000000003</v>
      </c>
      <c r="BC596">
        <v>47.0291</v>
      </c>
      <c r="BD596">
        <v>2211.7361999999998</v>
      </c>
      <c r="BE596">
        <v>351649</v>
      </c>
    </row>
    <row r="597" spans="1:57" x14ac:dyDescent="0.55000000000000004">
      <c r="A597">
        <v>1777257002</v>
      </c>
      <c r="B597" t="s">
        <v>72</v>
      </c>
      <c r="C597" t="s">
        <v>73</v>
      </c>
      <c r="D597">
        <v>4713.51</v>
      </c>
      <c r="E597">
        <v>4518.5928199999998</v>
      </c>
      <c r="F597">
        <v>4596.0559499999999</v>
      </c>
      <c r="G597">
        <v>4755.40355</v>
      </c>
      <c r="H597">
        <v>4792.7697200000002</v>
      </c>
      <c r="Q597">
        <v>4658.4133000000002</v>
      </c>
      <c r="R597">
        <v>4687.7766000000001</v>
      </c>
      <c r="S597">
        <v>4714.3653700000004</v>
      </c>
      <c r="V597">
        <v>4623.4735300000002</v>
      </c>
      <c r="W597">
        <v>4589.9085299999997</v>
      </c>
      <c r="AB597">
        <v>4710.9511000000002</v>
      </c>
      <c r="AC597">
        <v>4707.7179299999998</v>
      </c>
      <c r="AD597">
        <v>0</v>
      </c>
      <c r="AK597">
        <v>595</v>
      </c>
      <c r="AL597">
        <v>594</v>
      </c>
      <c r="AM597">
        <v>4713.51</v>
      </c>
      <c r="AN597">
        <v>4658.4133000000002</v>
      </c>
      <c r="AO597">
        <v>55.096699999999998</v>
      </c>
      <c r="AP597">
        <v>3035.6464000000001</v>
      </c>
      <c r="AQ597">
        <v>3.8476219999999999</v>
      </c>
      <c r="AR597">
        <v>6.0291550000000003</v>
      </c>
      <c r="AY597">
        <v>595</v>
      </c>
      <c r="AZ597">
        <v>594</v>
      </c>
      <c r="BA597">
        <v>4713.51</v>
      </c>
      <c r="BB597">
        <v>4658.4133000000002</v>
      </c>
      <c r="BC597">
        <v>55.096699999999998</v>
      </c>
      <c r="BD597">
        <v>3035.6464000000001</v>
      </c>
      <c r="BE597">
        <v>352836</v>
      </c>
    </row>
    <row r="598" spans="1:57" x14ac:dyDescent="0.55000000000000004">
      <c r="A598">
        <v>1777257902</v>
      </c>
      <c r="B598" t="s">
        <v>72</v>
      </c>
      <c r="C598" t="s">
        <v>73</v>
      </c>
      <c r="D598">
        <v>4718.18</v>
      </c>
      <c r="E598">
        <v>4518.5928199999998</v>
      </c>
      <c r="F598">
        <v>4596.0559499999999</v>
      </c>
      <c r="G598">
        <v>4755.40355</v>
      </c>
      <c r="H598">
        <v>4792.7697200000002</v>
      </c>
      <c r="Q598">
        <v>4658.1456900000003</v>
      </c>
      <c r="R598">
        <v>4687.5089900000003</v>
      </c>
      <c r="S598">
        <v>4714.0977599999997</v>
      </c>
      <c r="V598">
        <v>4623.2059200000003</v>
      </c>
      <c r="W598">
        <v>4589.6409299999996</v>
      </c>
      <c r="AB598">
        <v>4714.5517200000004</v>
      </c>
      <c r="AC598">
        <v>4711.13483</v>
      </c>
      <c r="AD598">
        <v>0</v>
      </c>
      <c r="AK598">
        <v>596</v>
      </c>
      <c r="AL598">
        <v>595</v>
      </c>
      <c r="AM598">
        <v>4718.18</v>
      </c>
      <c r="AN598">
        <v>4658.1457</v>
      </c>
      <c r="AO598">
        <v>60.034300000000002</v>
      </c>
      <c r="AP598">
        <v>3604.1183999999998</v>
      </c>
      <c r="AQ598">
        <v>4.9775330000000002</v>
      </c>
      <c r="AR598">
        <v>8.4986940000000004</v>
      </c>
      <c r="AY598">
        <v>596</v>
      </c>
      <c r="AZ598">
        <v>595</v>
      </c>
      <c r="BA598">
        <v>4718.18</v>
      </c>
      <c r="BB598">
        <v>4658.1457</v>
      </c>
      <c r="BC598">
        <v>60.034300000000002</v>
      </c>
      <c r="BD598">
        <v>3604.1183999999998</v>
      </c>
      <c r="BE598">
        <v>354025</v>
      </c>
    </row>
    <row r="599" spans="1:57" x14ac:dyDescent="0.55000000000000004">
      <c r="A599">
        <v>1777258802</v>
      </c>
      <c r="B599" t="s">
        <v>72</v>
      </c>
      <c r="C599" t="s">
        <v>73</v>
      </c>
      <c r="D599">
        <v>4717.72</v>
      </c>
      <c r="E599">
        <v>4518.5928199999998</v>
      </c>
      <c r="F599">
        <v>4596.0559499999999</v>
      </c>
      <c r="G599">
        <v>4755.40355</v>
      </c>
      <c r="H599">
        <v>4792.7697200000002</v>
      </c>
      <c r="Q599">
        <v>4657.8780900000002</v>
      </c>
      <c r="R599">
        <v>4687.2413900000001</v>
      </c>
      <c r="S599">
        <v>4713.8301600000004</v>
      </c>
      <c r="V599">
        <v>4622.9383200000002</v>
      </c>
      <c r="W599">
        <v>4589.3733199999997</v>
      </c>
      <c r="AB599">
        <v>4718.0683499999996</v>
      </c>
      <c r="AC599">
        <v>4714.6015900000002</v>
      </c>
      <c r="AD599">
        <v>0</v>
      </c>
      <c r="AK599">
        <v>597</v>
      </c>
      <c r="AL599">
        <v>596</v>
      </c>
      <c r="AM599">
        <v>4717.72</v>
      </c>
      <c r="AN599">
        <v>4657.8780999999999</v>
      </c>
      <c r="AO599">
        <v>59.841900000000003</v>
      </c>
      <c r="AP599">
        <v>3581.0542</v>
      </c>
      <c r="AQ599">
        <v>4.9298299999999999</v>
      </c>
      <c r="AR599">
        <v>8.390269</v>
      </c>
      <c r="AY599">
        <v>597</v>
      </c>
      <c r="AZ599">
        <v>596</v>
      </c>
      <c r="BA599">
        <v>4717.72</v>
      </c>
      <c r="BB599">
        <v>4657.8780999999999</v>
      </c>
      <c r="BC599">
        <v>59.841900000000003</v>
      </c>
      <c r="BD599">
        <v>3581.0542</v>
      </c>
      <c r="BE599">
        <v>355216</v>
      </c>
    </row>
    <row r="600" spans="1:57" x14ac:dyDescent="0.55000000000000004">
      <c r="A600">
        <v>1777259702</v>
      </c>
      <c r="B600" t="s">
        <v>72</v>
      </c>
      <c r="C600" t="s">
        <v>73</v>
      </c>
      <c r="D600">
        <v>4715.68</v>
      </c>
      <c r="E600">
        <v>4518.5928199999998</v>
      </c>
      <c r="F600">
        <v>4596.0559499999999</v>
      </c>
      <c r="G600">
        <v>4755.40355</v>
      </c>
      <c r="H600">
        <v>4792.7697200000002</v>
      </c>
      <c r="Q600">
        <v>4657.61049</v>
      </c>
      <c r="R600">
        <v>4686.9737800000003</v>
      </c>
      <c r="S600">
        <v>4713.5625600000003</v>
      </c>
      <c r="V600">
        <v>4622.6707200000001</v>
      </c>
      <c r="W600">
        <v>4589.1057199999996</v>
      </c>
      <c r="AB600">
        <v>4721.3482000000004</v>
      </c>
      <c r="AC600">
        <v>4717.9748900000004</v>
      </c>
      <c r="AD600">
        <v>0</v>
      </c>
      <c r="AK600">
        <v>598</v>
      </c>
      <c r="AL600">
        <v>597</v>
      </c>
      <c r="AM600">
        <v>4715.68</v>
      </c>
      <c r="AN600">
        <v>4657.6104999999998</v>
      </c>
      <c r="AO600">
        <v>58.069499999999998</v>
      </c>
      <c r="AP600">
        <v>3372.0680000000002</v>
      </c>
      <c r="AQ600">
        <v>4.5046400000000002</v>
      </c>
      <c r="AR600">
        <v>7.4395519999999999</v>
      </c>
      <c r="AY600">
        <v>598</v>
      </c>
      <c r="AZ600">
        <v>597</v>
      </c>
      <c r="BA600">
        <v>4715.68</v>
      </c>
      <c r="BB600">
        <v>4657.6104999999998</v>
      </c>
      <c r="BC600">
        <v>58.069499999999998</v>
      </c>
      <c r="BD600">
        <v>3372.0680000000002</v>
      </c>
      <c r="BE600">
        <v>356409</v>
      </c>
    </row>
    <row r="601" spans="1:57" x14ac:dyDescent="0.55000000000000004">
      <c r="A601">
        <v>1777260602</v>
      </c>
      <c r="B601" t="s">
        <v>72</v>
      </c>
      <c r="C601" t="s">
        <v>73</v>
      </c>
      <c r="D601">
        <v>4728.3999999999996</v>
      </c>
      <c r="E601">
        <v>4518.5928199999998</v>
      </c>
      <c r="F601">
        <v>4596.0559499999999</v>
      </c>
      <c r="G601">
        <v>4755.40355</v>
      </c>
      <c r="H601">
        <v>4792.7697200000002</v>
      </c>
      <c r="Q601">
        <v>4657.3428800000002</v>
      </c>
      <c r="R601">
        <v>4686.7061800000001</v>
      </c>
      <c r="S601">
        <v>4713.2949500000004</v>
      </c>
      <c r="V601">
        <v>4622.4031100000002</v>
      </c>
      <c r="W601">
        <v>4588.8381200000003</v>
      </c>
      <c r="AB601">
        <v>4724.2221600000003</v>
      </c>
      <c r="AC601">
        <v>4721.0985300000002</v>
      </c>
      <c r="AD601">
        <v>0</v>
      </c>
      <c r="AK601">
        <v>599</v>
      </c>
      <c r="AL601">
        <v>598</v>
      </c>
      <c r="AM601">
        <v>4728.3999999999996</v>
      </c>
      <c r="AN601">
        <v>4657.3428999999996</v>
      </c>
      <c r="AO601">
        <v>71.057100000000005</v>
      </c>
      <c r="AP601">
        <v>5049.1143000000002</v>
      </c>
      <c r="AQ601">
        <v>8.2535039999999995</v>
      </c>
      <c r="AR601">
        <v>16.679556999999999</v>
      </c>
      <c r="AY601">
        <v>599</v>
      </c>
      <c r="AZ601">
        <v>598</v>
      </c>
      <c r="BA601">
        <v>4728.3999999999996</v>
      </c>
      <c r="BB601">
        <v>4657.3428999999996</v>
      </c>
      <c r="BC601">
        <v>71.057100000000005</v>
      </c>
      <c r="BD601">
        <v>5049.1143000000002</v>
      </c>
      <c r="BE601">
        <v>357604</v>
      </c>
    </row>
    <row r="602" spans="1:57" x14ac:dyDescent="0.55000000000000004">
      <c r="A602">
        <v>1777261502</v>
      </c>
      <c r="B602" t="s">
        <v>72</v>
      </c>
      <c r="C602" t="s">
        <v>73</v>
      </c>
      <c r="D602">
        <v>4724.1000000000004</v>
      </c>
      <c r="E602">
        <v>4518.5928199999998</v>
      </c>
      <c r="F602">
        <v>4596.0559499999999</v>
      </c>
      <c r="G602">
        <v>4755.40355</v>
      </c>
      <c r="H602">
        <v>4792.7697200000002</v>
      </c>
      <c r="Q602">
        <v>4657.07528</v>
      </c>
      <c r="R602">
        <v>4686.43858</v>
      </c>
      <c r="S602">
        <v>4713.0273500000003</v>
      </c>
      <c r="V602">
        <v>4622.1355100000001</v>
      </c>
      <c r="W602">
        <v>4588.5705099999996</v>
      </c>
      <c r="AB602">
        <v>4726.1125899999997</v>
      </c>
      <c r="AC602">
        <v>4723.60556</v>
      </c>
      <c r="AD602">
        <v>0</v>
      </c>
      <c r="AK602">
        <v>600</v>
      </c>
      <c r="AL602">
        <v>599</v>
      </c>
      <c r="AM602">
        <v>4724.1000000000004</v>
      </c>
      <c r="AN602">
        <v>4657.0753000000004</v>
      </c>
      <c r="AO602">
        <v>67.024699999999996</v>
      </c>
      <c r="AP602">
        <v>4492.3131000000003</v>
      </c>
      <c r="AQ602">
        <v>6.9266079999999999</v>
      </c>
      <c r="AR602">
        <v>13.203654</v>
      </c>
      <c r="AY602">
        <v>600</v>
      </c>
      <c r="AZ602">
        <v>599</v>
      </c>
      <c r="BA602">
        <v>4724.1000000000004</v>
      </c>
      <c r="BB602">
        <v>4657.0753000000004</v>
      </c>
      <c r="BC602">
        <v>67.024699999999996</v>
      </c>
      <c r="BD602">
        <v>4492.3131000000003</v>
      </c>
      <c r="BE602">
        <v>358801</v>
      </c>
    </row>
    <row r="603" spans="1:57" x14ac:dyDescent="0.55000000000000004">
      <c r="A603">
        <v>1777262402</v>
      </c>
      <c r="B603" t="s">
        <v>72</v>
      </c>
      <c r="C603" t="s">
        <v>73</v>
      </c>
      <c r="D603">
        <v>4727.47</v>
      </c>
      <c r="E603">
        <v>4518.5928199999998</v>
      </c>
      <c r="F603">
        <v>4596.0559499999999</v>
      </c>
      <c r="G603">
        <v>4755.40355</v>
      </c>
      <c r="H603">
        <v>4792.7697200000002</v>
      </c>
      <c r="Q603">
        <v>4656.8076700000001</v>
      </c>
      <c r="R603">
        <v>4686.1709700000001</v>
      </c>
      <c r="S603">
        <v>4712.7597400000004</v>
      </c>
      <c r="V603">
        <v>4621.8679000000002</v>
      </c>
      <c r="W603">
        <v>4588.3029100000003</v>
      </c>
      <c r="AB603">
        <v>4726.9595499999996</v>
      </c>
      <c r="AC603">
        <v>4725.2825499999999</v>
      </c>
      <c r="AD603">
        <v>0</v>
      </c>
      <c r="AK603">
        <v>601</v>
      </c>
      <c r="AL603">
        <v>600</v>
      </c>
      <c r="AM603">
        <v>4727.47</v>
      </c>
      <c r="AN603">
        <v>4656.8077000000003</v>
      </c>
      <c r="AO603">
        <v>70.662300000000002</v>
      </c>
      <c r="AP603">
        <v>4993.1648999999998</v>
      </c>
      <c r="AQ603">
        <v>8.1166990000000006</v>
      </c>
      <c r="AR603">
        <v>16.311952000000002</v>
      </c>
      <c r="AY603">
        <v>601</v>
      </c>
      <c r="AZ603">
        <v>600</v>
      </c>
      <c r="BA603">
        <v>4727.47</v>
      </c>
      <c r="BB603">
        <v>4656.8077000000003</v>
      </c>
      <c r="BC603">
        <v>70.662300000000002</v>
      </c>
      <c r="BD603">
        <v>4993.1648999999998</v>
      </c>
      <c r="BE603">
        <v>360000</v>
      </c>
    </row>
    <row r="604" spans="1:57" x14ac:dyDescent="0.55000000000000004">
      <c r="A604">
        <v>1777263302</v>
      </c>
      <c r="B604" t="s">
        <v>72</v>
      </c>
      <c r="C604" t="s">
        <v>73</v>
      </c>
      <c r="D604">
        <v>4726.8500000000004</v>
      </c>
      <c r="E604">
        <v>4518.5928199999998</v>
      </c>
      <c r="F604">
        <v>4596.0559499999999</v>
      </c>
      <c r="G604">
        <v>4755.40355</v>
      </c>
      <c r="H604">
        <v>4792.7697200000002</v>
      </c>
      <c r="Q604">
        <v>4656.54007</v>
      </c>
      <c r="R604">
        <v>4685.90337</v>
      </c>
      <c r="S604">
        <v>4712.4921400000003</v>
      </c>
      <c r="V604">
        <v>4621.6003000000001</v>
      </c>
      <c r="W604">
        <v>4588.0352999999996</v>
      </c>
      <c r="AB604">
        <v>4726.6053599999996</v>
      </c>
      <c r="AC604">
        <v>4725.9439599999996</v>
      </c>
      <c r="AD604">
        <v>0</v>
      </c>
      <c r="AK604">
        <v>602</v>
      </c>
      <c r="AL604">
        <v>601</v>
      </c>
      <c r="AM604">
        <v>4726.8500000000004</v>
      </c>
      <c r="AN604">
        <v>4656.5401000000002</v>
      </c>
      <c r="AO604">
        <v>70.309899999999999</v>
      </c>
      <c r="AP604">
        <v>4943.4862999999996</v>
      </c>
      <c r="AQ604">
        <v>7.9958669999999996</v>
      </c>
      <c r="AR604">
        <v>15.988981000000001</v>
      </c>
      <c r="AY604">
        <v>602</v>
      </c>
      <c r="AZ604">
        <v>601</v>
      </c>
      <c r="BA604">
        <v>4726.8500000000004</v>
      </c>
      <c r="BB604">
        <v>4656.5401000000002</v>
      </c>
      <c r="BC604">
        <v>70.309899999999999</v>
      </c>
      <c r="BD604">
        <v>4943.4862999999996</v>
      </c>
      <c r="BE604">
        <v>361201</v>
      </c>
    </row>
    <row r="605" spans="1:57" x14ac:dyDescent="0.55000000000000004">
      <c r="A605">
        <v>1777264202</v>
      </c>
      <c r="B605" t="s">
        <v>72</v>
      </c>
      <c r="C605" t="s">
        <v>73</v>
      </c>
      <c r="D605">
        <v>4726.18</v>
      </c>
      <c r="E605">
        <v>4518.5928199999998</v>
      </c>
      <c r="F605">
        <v>4596.0559499999999</v>
      </c>
      <c r="G605">
        <v>4755.40355</v>
      </c>
      <c r="H605">
        <v>4792.7697200000002</v>
      </c>
      <c r="Q605">
        <v>4656.2724699999999</v>
      </c>
      <c r="R605">
        <v>4685.6357600000001</v>
      </c>
      <c r="S605">
        <v>4712.2245400000002</v>
      </c>
      <c r="V605">
        <v>4621.3326999999999</v>
      </c>
      <c r="W605">
        <v>4587.7677000000003</v>
      </c>
      <c r="Z605">
        <v>4729.92</v>
      </c>
      <c r="AB605">
        <v>4725.12374</v>
      </c>
      <c r="AC605">
        <v>4725.5338499999998</v>
      </c>
      <c r="AD605">
        <v>1</v>
      </c>
      <c r="AK605">
        <v>603</v>
      </c>
      <c r="AL605">
        <v>602</v>
      </c>
      <c r="AM605">
        <v>4726.18</v>
      </c>
      <c r="AN605">
        <v>4656.2725</v>
      </c>
      <c r="AO605">
        <v>69.907499999999999</v>
      </c>
      <c r="AP605">
        <v>4887.0627999999997</v>
      </c>
      <c r="AQ605">
        <v>7.8593650000000004</v>
      </c>
      <c r="AR605">
        <v>15.626075999999999</v>
      </c>
      <c r="AY605">
        <v>603</v>
      </c>
      <c r="AZ605">
        <v>602</v>
      </c>
      <c r="BA605">
        <v>4726.18</v>
      </c>
      <c r="BB605">
        <v>4656.2725</v>
      </c>
      <c r="BC605">
        <v>69.907499999999999</v>
      </c>
      <c r="BD605">
        <v>4887.0627999999997</v>
      </c>
      <c r="BE605">
        <v>362404</v>
      </c>
    </row>
    <row r="606" spans="1:57" x14ac:dyDescent="0.55000000000000004">
      <c r="A606">
        <v>1777265102</v>
      </c>
      <c r="B606" t="s">
        <v>72</v>
      </c>
      <c r="C606" t="s">
        <v>73</v>
      </c>
      <c r="D606">
        <v>4724.74</v>
      </c>
      <c r="E606">
        <v>4518.5928199999998</v>
      </c>
      <c r="F606">
        <v>4596.0559499999999</v>
      </c>
      <c r="G606">
        <v>4755.40355</v>
      </c>
      <c r="H606">
        <v>4792.7697200000002</v>
      </c>
      <c r="Q606">
        <v>4656.00486</v>
      </c>
      <c r="R606">
        <v>4685.36816</v>
      </c>
      <c r="S606">
        <v>4711.9569300000003</v>
      </c>
      <c r="V606">
        <v>4621.0650900000001</v>
      </c>
      <c r="W606">
        <v>4587.5000899999995</v>
      </c>
      <c r="AB606">
        <v>4722.7490100000005</v>
      </c>
      <c r="AC606">
        <v>4724.1414299999997</v>
      </c>
      <c r="AD606">
        <v>0</v>
      </c>
      <c r="AK606">
        <v>604</v>
      </c>
      <c r="AL606">
        <v>603</v>
      </c>
      <c r="AM606">
        <v>4724.74</v>
      </c>
      <c r="AN606">
        <v>4656.0048999999999</v>
      </c>
      <c r="AO606">
        <v>68.735100000000003</v>
      </c>
      <c r="AP606">
        <v>4724.5195000000003</v>
      </c>
      <c r="AQ606">
        <v>7.4705409999999999</v>
      </c>
      <c r="AR606">
        <v>14.603918</v>
      </c>
      <c r="AY606">
        <v>604</v>
      </c>
      <c r="AZ606">
        <v>603</v>
      </c>
      <c r="BA606">
        <v>4724.74</v>
      </c>
      <c r="BB606">
        <v>4656.0048999999999</v>
      </c>
      <c r="BC606">
        <v>68.735100000000003</v>
      </c>
      <c r="BD606">
        <v>4724.5195000000003</v>
      </c>
      <c r="BE606">
        <v>363609</v>
      </c>
    </row>
    <row r="607" spans="1:57" x14ac:dyDescent="0.55000000000000004">
      <c r="A607">
        <v>1777266002</v>
      </c>
      <c r="B607" t="s">
        <v>72</v>
      </c>
      <c r="C607" t="s">
        <v>73</v>
      </c>
      <c r="D607">
        <v>4718.21</v>
      </c>
      <c r="E607">
        <v>4518.5928199999998</v>
      </c>
      <c r="F607">
        <v>4596.0559499999999</v>
      </c>
      <c r="G607">
        <v>4755.40355</v>
      </c>
      <c r="H607">
        <v>4792.7697200000002</v>
      </c>
      <c r="Q607">
        <v>4655.7372599999999</v>
      </c>
      <c r="R607">
        <v>4685.1005599999999</v>
      </c>
      <c r="S607">
        <v>4711.6893300000002</v>
      </c>
      <c r="V607">
        <v>4620.7974899999999</v>
      </c>
      <c r="W607">
        <v>4587.2324900000003</v>
      </c>
      <c r="AB607">
        <v>4719.8424500000001</v>
      </c>
      <c r="AC607">
        <v>4721.9919399999999</v>
      </c>
      <c r="AD607">
        <v>0</v>
      </c>
      <c r="AK607">
        <v>605</v>
      </c>
      <c r="AL607">
        <v>604</v>
      </c>
      <c r="AM607">
        <v>4718.21</v>
      </c>
      <c r="AN607">
        <v>4655.7372999999998</v>
      </c>
      <c r="AO607">
        <v>62.472700000000003</v>
      </c>
      <c r="AP607">
        <v>3902.8431999999998</v>
      </c>
      <c r="AQ607">
        <v>5.6090229999999996</v>
      </c>
      <c r="AR607">
        <v>9.9658960000000008</v>
      </c>
      <c r="AY607">
        <v>605</v>
      </c>
      <c r="AZ607">
        <v>604</v>
      </c>
      <c r="BA607">
        <v>4718.21</v>
      </c>
      <c r="BB607">
        <v>4655.7372999999998</v>
      </c>
      <c r="BC607">
        <v>62.472700000000003</v>
      </c>
      <c r="BD607">
        <v>3902.8431999999998</v>
      </c>
      <c r="BE607">
        <v>364816</v>
      </c>
    </row>
    <row r="608" spans="1:57" x14ac:dyDescent="0.55000000000000004">
      <c r="A608">
        <v>1777266902</v>
      </c>
      <c r="B608" t="s">
        <v>72</v>
      </c>
      <c r="C608" t="s">
        <v>73</v>
      </c>
      <c r="D608">
        <v>4718.25</v>
      </c>
      <c r="E608">
        <v>4518.5928199999998</v>
      </c>
      <c r="F608">
        <v>4596.0559499999999</v>
      </c>
      <c r="G608">
        <v>4755.40355</v>
      </c>
      <c r="H608">
        <v>4792.7697200000002</v>
      </c>
      <c r="Q608">
        <v>4655.46965</v>
      </c>
      <c r="R608">
        <v>4684.83295</v>
      </c>
      <c r="S608">
        <v>4711.4217200000003</v>
      </c>
      <c r="V608">
        <v>4620.52988</v>
      </c>
      <c r="W608">
        <v>4586.9648900000002</v>
      </c>
      <c r="AB608">
        <v>4716.9704599999995</v>
      </c>
      <c r="AC608">
        <v>4719.4812000000002</v>
      </c>
      <c r="AD608">
        <v>0</v>
      </c>
      <c r="AK608">
        <v>606</v>
      </c>
      <c r="AL608">
        <v>605</v>
      </c>
      <c r="AM608">
        <v>4718.25</v>
      </c>
      <c r="AN608">
        <v>4655.4696999999996</v>
      </c>
      <c r="AO608">
        <v>62.7804</v>
      </c>
      <c r="AP608">
        <v>3941.3723</v>
      </c>
      <c r="AQ608">
        <v>5.6922870000000003</v>
      </c>
      <c r="AR608">
        <v>10.163634999999999</v>
      </c>
      <c r="AY608">
        <v>606</v>
      </c>
      <c r="AZ608">
        <v>605</v>
      </c>
      <c r="BA608">
        <v>4718.25</v>
      </c>
      <c r="BB608">
        <v>4655.4696999999996</v>
      </c>
      <c r="BC608">
        <v>62.7804</v>
      </c>
      <c r="BD608">
        <v>3941.3723</v>
      </c>
      <c r="BE608">
        <v>366025</v>
      </c>
    </row>
    <row r="609" spans="1:57" x14ac:dyDescent="0.55000000000000004">
      <c r="A609">
        <v>1777267802</v>
      </c>
      <c r="B609" t="s">
        <v>72</v>
      </c>
      <c r="C609" t="s">
        <v>73</v>
      </c>
      <c r="D609">
        <v>4711.84</v>
      </c>
      <c r="E609">
        <v>4518.5928199999998</v>
      </c>
      <c r="F609">
        <v>4596.0559499999999</v>
      </c>
      <c r="G609">
        <v>4755.40355</v>
      </c>
      <c r="H609">
        <v>4792.7697200000002</v>
      </c>
      <c r="Q609">
        <v>4655.2020499999999</v>
      </c>
      <c r="R609">
        <v>4684.5653499999999</v>
      </c>
      <c r="S609">
        <v>4711.1541200000001</v>
      </c>
      <c r="V609">
        <v>4620.2622799999999</v>
      </c>
      <c r="W609">
        <v>4586.6972800000003</v>
      </c>
      <c r="AB609">
        <v>4714.4760299999998</v>
      </c>
      <c r="AC609">
        <v>4716.9786100000001</v>
      </c>
      <c r="AD609">
        <v>0</v>
      </c>
      <c r="AK609">
        <v>607</v>
      </c>
      <c r="AL609">
        <v>606</v>
      </c>
      <c r="AM609">
        <v>4711.84</v>
      </c>
      <c r="AN609">
        <v>4655.2020000000002</v>
      </c>
      <c r="AO609">
        <v>56.637999999999998</v>
      </c>
      <c r="AP609">
        <v>3207.8573999999999</v>
      </c>
      <c r="AQ609">
        <v>4.1796329999999999</v>
      </c>
      <c r="AR609">
        <v>6.7326220000000001</v>
      </c>
      <c r="AY609">
        <v>607</v>
      </c>
      <c r="AZ609">
        <v>606</v>
      </c>
      <c r="BA609">
        <v>4711.84</v>
      </c>
      <c r="BB609">
        <v>4655.2020000000002</v>
      </c>
      <c r="BC609">
        <v>56.637999999999998</v>
      </c>
      <c r="BD609">
        <v>3207.8573999999999</v>
      </c>
      <c r="BE609">
        <v>367236</v>
      </c>
    </row>
    <row r="610" spans="1:57" x14ac:dyDescent="0.55000000000000004">
      <c r="A610">
        <v>1777268702</v>
      </c>
      <c r="B610" t="s">
        <v>72</v>
      </c>
      <c r="C610" t="s">
        <v>73</v>
      </c>
      <c r="D610">
        <v>4710.13</v>
      </c>
      <c r="E610">
        <v>4518.5928199999998</v>
      </c>
      <c r="F610">
        <v>4596.0559499999999</v>
      </c>
      <c r="G610">
        <v>4755.40355</v>
      </c>
      <c r="H610">
        <v>4792.7697200000002</v>
      </c>
      <c r="Q610">
        <v>4654.93444</v>
      </c>
      <c r="R610">
        <v>4684.29774</v>
      </c>
      <c r="S610">
        <v>4710.8865100000003</v>
      </c>
      <c r="V610">
        <v>4619.99467</v>
      </c>
      <c r="W610">
        <v>4586.4296800000002</v>
      </c>
      <c r="AB610">
        <v>4712.8271599999998</v>
      </c>
      <c r="AC610">
        <v>4714.9028900000003</v>
      </c>
      <c r="AD610">
        <v>0</v>
      </c>
      <c r="AK610">
        <v>608</v>
      </c>
      <c r="AL610">
        <v>607</v>
      </c>
      <c r="AM610">
        <v>4710.13</v>
      </c>
      <c r="AN610">
        <v>4654.9344000000001</v>
      </c>
      <c r="AO610">
        <v>55.195599999999999</v>
      </c>
      <c r="AP610">
        <v>3046.5497999999998</v>
      </c>
      <c r="AQ610">
        <v>3.8683700000000001</v>
      </c>
      <c r="AR610">
        <v>6.0725439999999997</v>
      </c>
      <c r="AY610">
        <v>608</v>
      </c>
      <c r="AZ610">
        <v>607</v>
      </c>
      <c r="BA610">
        <v>4710.13</v>
      </c>
      <c r="BB610">
        <v>4654.9344000000001</v>
      </c>
      <c r="BC610">
        <v>55.195599999999999</v>
      </c>
      <c r="BD610">
        <v>3046.5497999999998</v>
      </c>
      <c r="BE610">
        <v>368449</v>
      </c>
    </row>
    <row r="611" spans="1:57" x14ac:dyDescent="0.55000000000000004">
      <c r="A611">
        <v>1777269602</v>
      </c>
      <c r="B611" t="s">
        <v>72</v>
      </c>
      <c r="C611" t="s">
        <v>73</v>
      </c>
      <c r="D611">
        <v>4714.43</v>
      </c>
      <c r="E611">
        <v>4518.5928199999998</v>
      </c>
      <c r="F611">
        <v>4596.0559499999999</v>
      </c>
      <c r="G611">
        <v>4755.40355</v>
      </c>
      <c r="H611">
        <v>4792.7697200000002</v>
      </c>
      <c r="Q611">
        <v>4654.6668399999999</v>
      </c>
      <c r="R611">
        <v>4684.0301399999998</v>
      </c>
      <c r="S611">
        <v>4710.6189100000001</v>
      </c>
      <c r="V611">
        <v>4619.7270699999999</v>
      </c>
      <c r="W611">
        <v>4586.1620700000003</v>
      </c>
      <c r="AB611">
        <v>4712.1479300000001</v>
      </c>
      <c r="AC611">
        <v>4713.5254100000002</v>
      </c>
      <c r="AD611">
        <v>0</v>
      </c>
      <c r="AK611">
        <v>609</v>
      </c>
      <c r="AL611">
        <v>608</v>
      </c>
      <c r="AM611">
        <v>4714.43</v>
      </c>
      <c r="AN611">
        <v>4654.6668</v>
      </c>
      <c r="AO611">
        <v>59.763199999999998</v>
      </c>
      <c r="AP611">
        <v>3571.6352999999999</v>
      </c>
      <c r="AQ611">
        <v>4.910393</v>
      </c>
      <c r="AR611">
        <v>8.3461909999999992</v>
      </c>
      <c r="AY611">
        <v>609</v>
      </c>
      <c r="AZ611">
        <v>608</v>
      </c>
      <c r="BA611">
        <v>4714.43</v>
      </c>
      <c r="BB611">
        <v>4654.6668</v>
      </c>
      <c r="BC611">
        <v>59.763199999999998</v>
      </c>
      <c r="BD611">
        <v>3571.6352999999999</v>
      </c>
      <c r="BE611">
        <v>369664</v>
      </c>
    </row>
    <row r="612" spans="1:57" x14ac:dyDescent="0.55000000000000004">
      <c r="A612">
        <v>1777270502</v>
      </c>
      <c r="B612" t="s">
        <v>72</v>
      </c>
      <c r="C612" t="s">
        <v>73</v>
      </c>
      <c r="D612">
        <v>4714.53</v>
      </c>
      <c r="E612">
        <v>4518.5928199999998</v>
      </c>
      <c r="F612">
        <v>4596.0559499999999</v>
      </c>
      <c r="G612">
        <v>4755.40355</v>
      </c>
      <c r="H612">
        <v>4792.7697200000002</v>
      </c>
      <c r="Q612">
        <v>4654.3992399999997</v>
      </c>
      <c r="R612">
        <v>4683.7625399999997</v>
      </c>
      <c r="S612">
        <v>4710.35131</v>
      </c>
      <c r="V612">
        <v>4619.4594699999998</v>
      </c>
      <c r="W612">
        <v>4585.8944700000002</v>
      </c>
      <c r="AB612">
        <v>4712.2430199999999</v>
      </c>
      <c r="AC612">
        <v>4712.8842199999999</v>
      </c>
      <c r="AD612">
        <v>0</v>
      </c>
      <c r="AK612">
        <v>610</v>
      </c>
      <c r="AL612">
        <v>609</v>
      </c>
      <c r="AM612">
        <v>4714.53</v>
      </c>
      <c r="AN612">
        <v>4654.3991999999998</v>
      </c>
      <c r="AO612">
        <v>60.130800000000001</v>
      </c>
      <c r="AP612">
        <v>3615.7082999999998</v>
      </c>
      <c r="AQ612">
        <v>5.0015619999999998</v>
      </c>
      <c r="AR612">
        <v>8.5534409999999994</v>
      </c>
      <c r="AY612">
        <v>610</v>
      </c>
      <c r="AZ612">
        <v>609</v>
      </c>
      <c r="BA612">
        <v>4714.53</v>
      </c>
      <c r="BB612">
        <v>4654.3991999999998</v>
      </c>
      <c r="BC612">
        <v>60.130800000000001</v>
      </c>
      <c r="BD612">
        <v>3615.7082999999998</v>
      </c>
      <c r="BE612">
        <v>370881</v>
      </c>
    </row>
    <row r="613" spans="1:57" x14ac:dyDescent="0.55000000000000004">
      <c r="A613">
        <v>1777271402</v>
      </c>
      <c r="B613" t="s">
        <v>72</v>
      </c>
      <c r="C613" t="s">
        <v>73</v>
      </c>
      <c r="D613">
        <v>4710.7700000000004</v>
      </c>
      <c r="E613">
        <v>4518.5928199999998</v>
      </c>
      <c r="F613">
        <v>4596.0559499999999</v>
      </c>
      <c r="G613">
        <v>4755.40355</v>
      </c>
      <c r="H613">
        <v>4792.7697200000002</v>
      </c>
      <c r="Q613">
        <v>4654.1316299999999</v>
      </c>
      <c r="R613">
        <v>4683.4949299999998</v>
      </c>
      <c r="S613">
        <v>4710.0837000000001</v>
      </c>
      <c r="V613">
        <v>4619.1918599999999</v>
      </c>
      <c r="W613">
        <v>4585.6268700000001</v>
      </c>
      <c r="AB613">
        <v>4712.8756100000001</v>
      </c>
      <c r="AC613">
        <v>4712.8799099999997</v>
      </c>
      <c r="AD613">
        <v>0</v>
      </c>
      <c r="AK613">
        <v>611</v>
      </c>
      <c r="AL613">
        <v>610</v>
      </c>
      <c r="AM613">
        <v>4710.7700000000004</v>
      </c>
      <c r="AN613">
        <v>4654.1315999999997</v>
      </c>
      <c r="AO613">
        <v>56.638399999999997</v>
      </c>
      <c r="AP613">
        <v>3207.9050000000002</v>
      </c>
      <c r="AQ613">
        <v>4.1797259999999996</v>
      </c>
      <c r="AR613">
        <v>6.7328210000000004</v>
      </c>
      <c r="AY613">
        <v>611</v>
      </c>
      <c r="AZ613">
        <v>610</v>
      </c>
      <c r="BA613">
        <v>4710.7700000000004</v>
      </c>
      <c r="BB613">
        <v>4654.1315999999997</v>
      </c>
      <c r="BC613">
        <v>56.638399999999997</v>
      </c>
      <c r="BD613">
        <v>3207.9050000000002</v>
      </c>
      <c r="BE613">
        <v>372100</v>
      </c>
    </row>
    <row r="614" spans="1:57" x14ac:dyDescent="0.55000000000000004">
      <c r="A614">
        <v>1777272302</v>
      </c>
      <c r="B614" t="s">
        <v>72</v>
      </c>
      <c r="C614" t="s">
        <v>73</v>
      </c>
      <c r="D614">
        <v>4712.84</v>
      </c>
      <c r="E614">
        <v>4518.5928199999998</v>
      </c>
      <c r="F614">
        <v>4596.0559499999999</v>
      </c>
      <c r="G614">
        <v>4755.40355</v>
      </c>
      <c r="H614">
        <v>4792.7697200000002</v>
      </c>
      <c r="Q614">
        <v>4653.8640299999997</v>
      </c>
      <c r="R614">
        <v>4683.2273299999997</v>
      </c>
      <c r="S614">
        <v>4709.8161</v>
      </c>
      <c r="V614">
        <v>4618.9242599999998</v>
      </c>
      <c r="W614">
        <v>4585.3592600000002</v>
      </c>
      <c r="AB614">
        <v>4713.8470699999998</v>
      </c>
      <c r="AC614">
        <v>4713.3634899999997</v>
      </c>
      <c r="AD614">
        <v>1</v>
      </c>
      <c r="AK614">
        <v>612</v>
      </c>
      <c r="AL614">
        <v>611</v>
      </c>
      <c r="AM614">
        <v>4712.84</v>
      </c>
      <c r="AN614">
        <v>4653.8639999999996</v>
      </c>
      <c r="AO614">
        <v>58.975999999999999</v>
      </c>
      <c r="AP614">
        <v>3478.165</v>
      </c>
      <c r="AQ614">
        <v>4.7189009999999998</v>
      </c>
      <c r="AR614">
        <v>7.9150650000000002</v>
      </c>
      <c r="AY614">
        <v>612</v>
      </c>
      <c r="AZ614">
        <v>611</v>
      </c>
      <c r="BA614">
        <v>4712.84</v>
      </c>
      <c r="BB614">
        <v>4653.8639999999996</v>
      </c>
      <c r="BC614">
        <v>58.975999999999999</v>
      </c>
      <c r="BD614">
        <v>3478.165</v>
      </c>
      <c r="BE614">
        <v>373321</v>
      </c>
    </row>
    <row r="615" spans="1:57" x14ac:dyDescent="0.55000000000000004">
      <c r="A615">
        <v>1777273202</v>
      </c>
      <c r="B615" t="s">
        <v>72</v>
      </c>
      <c r="C615" t="s">
        <v>73</v>
      </c>
      <c r="D615">
        <v>4717.2</v>
      </c>
      <c r="E615">
        <v>4518.5928199999998</v>
      </c>
      <c r="F615">
        <v>4596.0559499999999</v>
      </c>
      <c r="G615">
        <v>4755.40355</v>
      </c>
      <c r="H615">
        <v>4792.7697200000002</v>
      </c>
      <c r="Q615">
        <v>4653.5964199999999</v>
      </c>
      <c r="R615">
        <v>4682.9597199999998</v>
      </c>
      <c r="S615">
        <v>4709.5484900000001</v>
      </c>
      <c r="V615">
        <v>4618.6566499999999</v>
      </c>
      <c r="W615">
        <v>4585.09166</v>
      </c>
      <c r="AB615">
        <v>4714.7764299999999</v>
      </c>
      <c r="AC615">
        <v>4714.0699599999998</v>
      </c>
      <c r="AD615">
        <v>0</v>
      </c>
      <c r="AK615">
        <v>613</v>
      </c>
      <c r="AL615">
        <v>612</v>
      </c>
      <c r="AM615">
        <v>4717.2</v>
      </c>
      <c r="AN615">
        <v>4653.5964000000004</v>
      </c>
      <c r="AO615">
        <v>63.6036</v>
      </c>
      <c r="AP615">
        <v>4045.4153999999999</v>
      </c>
      <c r="AQ615">
        <v>5.9191630000000002</v>
      </c>
      <c r="AR615">
        <v>10.70731</v>
      </c>
      <c r="AY615">
        <v>613</v>
      </c>
      <c r="AZ615">
        <v>612</v>
      </c>
      <c r="BA615">
        <v>4717.2</v>
      </c>
      <c r="BB615">
        <v>4653.5964000000004</v>
      </c>
      <c r="BC615">
        <v>63.6036</v>
      </c>
      <c r="BD615">
        <v>4045.4153999999999</v>
      </c>
      <c r="BE615">
        <v>374544</v>
      </c>
    </row>
    <row r="616" spans="1:57" x14ac:dyDescent="0.55000000000000004">
      <c r="A616">
        <v>1777274102</v>
      </c>
      <c r="B616" t="s">
        <v>72</v>
      </c>
      <c r="C616" t="s">
        <v>73</v>
      </c>
      <c r="D616">
        <v>4716.12</v>
      </c>
      <c r="E616">
        <v>4518.5928199999998</v>
      </c>
      <c r="F616">
        <v>4596.0559499999999</v>
      </c>
      <c r="G616">
        <v>4755.40355</v>
      </c>
      <c r="H616">
        <v>4792.7697200000002</v>
      </c>
      <c r="Q616">
        <v>4653.3288199999997</v>
      </c>
      <c r="R616">
        <v>4682.6921199999997</v>
      </c>
      <c r="S616">
        <v>4709.28089</v>
      </c>
      <c r="V616">
        <v>4618.3890499999998</v>
      </c>
      <c r="W616">
        <v>4584.8240500000002</v>
      </c>
      <c r="AB616">
        <v>4715.2342799999997</v>
      </c>
      <c r="AC616">
        <v>4714.6521199999997</v>
      </c>
      <c r="AD616">
        <v>0</v>
      </c>
      <c r="AK616">
        <v>614</v>
      </c>
      <c r="AL616">
        <v>613</v>
      </c>
      <c r="AM616">
        <v>4716.12</v>
      </c>
      <c r="AN616">
        <v>4653.3288000000002</v>
      </c>
      <c r="AO616">
        <v>62.791200000000003</v>
      </c>
      <c r="AP616">
        <v>3942.7323000000001</v>
      </c>
      <c r="AQ616">
        <v>5.695233</v>
      </c>
      <c r="AR616">
        <v>10.17065</v>
      </c>
      <c r="AY616">
        <v>614</v>
      </c>
      <c r="AZ616">
        <v>613</v>
      </c>
      <c r="BA616">
        <v>4716.12</v>
      </c>
      <c r="BB616">
        <v>4653.3288000000002</v>
      </c>
      <c r="BC616">
        <v>62.791200000000003</v>
      </c>
      <c r="BD616">
        <v>3942.7323000000001</v>
      </c>
      <c r="BE616">
        <v>375769</v>
      </c>
    </row>
    <row r="617" spans="1:57" x14ac:dyDescent="0.55000000000000004">
      <c r="A617">
        <v>1777275002</v>
      </c>
      <c r="B617" t="s">
        <v>72</v>
      </c>
      <c r="C617" t="s">
        <v>73</v>
      </c>
      <c r="D617">
        <v>4714.8500000000004</v>
      </c>
      <c r="E617">
        <v>4518.5928199999998</v>
      </c>
      <c r="F617">
        <v>4596.0559499999999</v>
      </c>
      <c r="G617">
        <v>4755.40355</v>
      </c>
      <c r="H617">
        <v>4792.7697200000002</v>
      </c>
      <c r="Q617">
        <v>4653.0612199999996</v>
      </c>
      <c r="R617">
        <v>4682.4245199999996</v>
      </c>
      <c r="S617">
        <v>4709.0132899999999</v>
      </c>
      <c r="V617">
        <v>4618.1214499999996</v>
      </c>
      <c r="W617">
        <v>4584.55645</v>
      </c>
      <c r="AB617">
        <v>4715.0677900000001</v>
      </c>
      <c r="AC617">
        <v>4714.8599599999998</v>
      </c>
      <c r="AD617">
        <v>0</v>
      </c>
      <c r="AK617">
        <v>615</v>
      </c>
      <c r="AL617">
        <v>614</v>
      </c>
      <c r="AM617">
        <v>4714.8500000000004</v>
      </c>
      <c r="AN617">
        <v>4653.0612000000001</v>
      </c>
      <c r="AO617">
        <v>61.788800000000002</v>
      </c>
      <c r="AP617">
        <v>3817.8533000000002</v>
      </c>
      <c r="AQ617">
        <v>5.4268080000000003</v>
      </c>
      <c r="AR617">
        <v>9.5365789999999997</v>
      </c>
      <c r="AY617">
        <v>615</v>
      </c>
      <c r="AZ617">
        <v>614</v>
      </c>
      <c r="BA617">
        <v>4714.8500000000004</v>
      </c>
      <c r="BB617">
        <v>4653.0612000000001</v>
      </c>
      <c r="BC617">
        <v>61.788800000000002</v>
      </c>
      <c r="BD617">
        <v>3817.8533000000002</v>
      </c>
      <c r="BE617">
        <v>376996</v>
      </c>
    </row>
    <row r="618" spans="1:57" x14ac:dyDescent="0.55000000000000004">
      <c r="A618">
        <v>1777275902</v>
      </c>
      <c r="B618" t="s">
        <v>72</v>
      </c>
      <c r="C618" t="s">
        <v>73</v>
      </c>
      <c r="D618">
        <v>4713.3599999999997</v>
      </c>
      <c r="E618">
        <v>4518.5928199999998</v>
      </c>
      <c r="F618">
        <v>4596.0559499999999</v>
      </c>
      <c r="G618">
        <v>4755.40355</v>
      </c>
      <c r="H618">
        <v>4792.7697200000002</v>
      </c>
      <c r="Q618">
        <v>4652.7936099999997</v>
      </c>
      <c r="R618">
        <v>4682.1569099999997</v>
      </c>
      <c r="S618">
        <v>4708.74568</v>
      </c>
      <c r="V618">
        <v>4617.8538399999998</v>
      </c>
      <c r="W618">
        <v>4584.2888499999999</v>
      </c>
      <c r="AB618">
        <v>4714.2374300000001</v>
      </c>
      <c r="AC618">
        <v>4714.5486899999996</v>
      </c>
      <c r="AD618">
        <v>1</v>
      </c>
      <c r="AK618">
        <v>616</v>
      </c>
      <c r="AL618">
        <v>615</v>
      </c>
      <c r="AM618">
        <v>4713.3599999999997</v>
      </c>
      <c r="AN618">
        <v>4652.7936</v>
      </c>
      <c r="AO618">
        <v>60.566400000000002</v>
      </c>
      <c r="AP618">
        <v>3668.2876000000001</v>
      </c>
      <c r="AQ618">
        <v>5.1110559999999996</v>
      </c>
      <c r="AR618">
        <v>8.804017</v>
      </c>
      <c r="AY618">
        <v>616</v>
      </c>
      <c r="AZ618">
        <v>615</v>
      </c>
      <c r="BA618">
        <v>4713.3599999999997</v>
      </c>
      <c r="BB618">
        <v>4652.7936</v>
      </c>
      <c r="BC618">
        <v>60.566400000000002</v>
      </c>
      <c r="BD618">
        <v>3668.2876000000001</v>
      </c>
      <c r="BE618">
        <v>378225</v>
      </c>
    </row>
    <row r="619" spans="1:57" x14ac:dyDescent="0.55000000000000004">
      <c r="A619">
        <v>1777276802</v>
      </c>
      <c r="B619" t="s">
        <v>72</v>
      </c>
      <c r="C619" t="s">
        <v>73</v>
      </c>
      <c r="D619">
        <v>4710.8599999999997</v>
      </c>
      <c r="E619">
        <v>4518.5928199999998</v>
      </c>
      <c r="F619">
        <v>4596.0559499999999</v>
      </c>
      <c r="G619">
        <v>4755.40355</v>
      </c>
      <c r="H619">
        <v>4792.7697200000002</v>
      </c>
      <c r="Q619">
        <v>4652.5260099999996</v>
      </c>
      <c r="R619">
        <v>4681.8893099999996</v>
      </c>
      <c r="S619">
        <v>4708.4780799999999</v>
      </c>
      <c r="V619">
        <v>4617.5862399999996</v>
      </c>
      <c r="W619">
        <v>4584.02124</v>
      </c>
      <c r="AB619">
        <v>4712.8126499999998</v>
      </c>
      <c r="AC619">
        <v>4713.6806699999997</v>
      </c>
      <c r="AD619">
        <v>0</v>
      </c>
      <c r="AK619">
        <v>617</v>
      </c>
      <c r="AL619">
        <v>616</v>
      </c>
      <c r="AM619">
        <v>4710.8599999999997</v>
      </c>
      <c r="AN619">
        <v>4652.5259999999998</v>
      </c>
      <c r="AO619">
        <v>58.334000000000003</v>
      </c>
      <c r="AP619">
        <v>3402.8544000000002</v>
      </c>
      <c r="AQ619">
        <v>4.5664699999999998</v>
      </c>
      <c r="AR619">
        <v>7.5760149999999999</v>
      </c>
      <c r="AY619">
        <v>617</v>
      </c>
      <c r="AZ619">
        <v>616</v>
      </c>
      <c r="BA619">
        <v>4710.8599999999997</v>
      </c>
      <c r="BB619">
        <v>4652.5259999999998</v>
      </c>
      <c r="BC619">
        <v>58.334000000000003</v>
      </c>
      <c r="BD619">
        <v>3402.8544000000002</v>
      </c>
      <c r="BE619">
        <v>379456</v>
      </c>
    </row>
    <row r="620" spans="1:57" x14ac:dyDescent="0.55000000000000004">
      <c r="A620">
        <v>1777277702</v>
      </c>
      <c r="B620" t="s">
        <v>72</v>
      </c>
      <c r="C620" t="s">
        <v>73</v>
      </c>
      <c r="D620">
        <v>4710.8599999999997</v>
      </c>
      <c r="E620">
        <v>4518.5928199999998</v>
      </c>
      <c r="F620">
        <v>4596.0559499999999</v>
      </c>
      <c r="G620">
        <v>4755.40355</v>
      </c>
      <c r="H620">
        <v>4792.7697200000002</v>
      </c>
      <c r="Q620">
        <v>4652.2583999999997</v>
      </c>
      <c r="R620">
        <v>4681.6216999999997</v>
      </c>
      <c r="S620">
        <v>4708.21047</v>
      </c>
      <c r="V620">
        <v>4617.3186299999998</v>
      </c>
      <c r="W620">
        <v>4583.7536399999999</v>
      </c>
      <c r="AB620">
        <v>4711.0048100000004</v>
      </c>
      <c r="AC620">
        <v>4712.34274</v>
      </c>
      <c r="AD620">
        <v>0</v>
      </c>
      <c r="AK620">
        <v>618</v>
      </c>
      <c r="AL620">
        <v>617</v>
      </c>
      <c r="AM620">
        <v>4710.8599999999997</v>
      </c>
      <c r="AN620">
        <v>4652.2583999999997</v>
      </c>
      <c r="AO620">
        <v>58.601599999999998</v>
      </c>
      <c r="AP620">
        <v>3434.1475</v>
      </c>
      <c r="AQ620">
        <v>4.6296059999999999</v>
      </c>
      <c r="AR620">
        <v>7.7159959999999996</v>
      </c>
      <c r="AY620">
        <v>618</v>
      </c>
      <c r="AZ620">
        <v>617</v>
      </c>
      <c r="BA620">
        <v>4710.8599999999997</v>
      </c>
      <c r="BB620">
        <v>4652.2583999999997</v>
      </c>
      <c r="BC620">
        <v>58.601599999999998</v>
      </c>
      <c r="BD620">
        <v>3434.1475</v>
      </c>
      <c r="BE620">
        <v>380689</v>
      </c>
    </row>
    <row r="621" spans="1:57" x14ac:dyDescent="0.55000000000000004">
      <c r="A621">
        <v>1777278602</v>
      </c>
      <c r="B621" t="s">
        <v>72</v>
      </c>
      <c r="C621" t="s">
        <v>73</v>
      </c>
      <c r="D621">
        <v>4711.8900000000003</v>
      </c>
      <c r="E621">
        <v>4518.5928199999998</v>
      </c>
      <c r="F621">
        <v>4596.0559499999999</v>
      </c>
      <c r="G621">
        <v>4755.40355</v>
      </c>
      <c r="H621">
        <v>4792.7697200000002</v>
      </c>
      <c r="Q621">
        <v>4651.9907999999996</v>
      </c>
      <c r="R621">
        <v>4681.3540999999996</v>
      </c>
      <c r="S621">
        <v>4707.9428699999999</v>
      </c>
      <c r="V621">
        <v>4617.0510299999996</v>
      </c>
      <c r="W621">
        <v>4583.48603</v>
      </c>
      <c r="AB621">
        <v>4708.98704</v>
      </c>
      <c r="AC621">
        <v>4710.66489</v>
      </c>
      <c r="AD621">
        <v>0</v>
      </c>
      <c r="AK621">
        <v>619</v>
      </c>
      <c r="AL621">
        <v>618</v>
      </c>
      <c r="AM621">
        <v>4711.8900000000003</v>
      </c>
      <c r="AN621">
        <v>4651.9907999999996</v>
      </c>
      <c r="AO621">
        <v>59.8992</v>
      </c>
      <c r="AP621">
        <v>3587.9142000000002</v>
      </c>
      <c r="AQ621">
        <v>4.9440020000000002</v>
      </c>
      <c r="AR621">
        <v>8.4224449999999997</v>
      </c>
      <c r="AY621">
        <v>619</v>
      </c>
      <c r="AZ621">
        <v>618</v>
      </c>
      <c r="BA621">
        <v>4711.8900000000003</v>
      </c>
      <c r="BB621">
        <v>4651.9907999999996</v>
      </c>
      <c r="BC621">
        <v>59.8992</v>
      </c>
      <c r="BD621">
        <v>3587.9142000000002</v>
      </c>
      <c r="BE621">
        <v>381924</v>
      </c>
    </row>
    <row r="622" spans="1:57" x14ac:dyDescent="0.55000000000000004">
      <c r="A622">
        <v>1777279502</v>
      </c>
      <c r="B622" t="s">
        <v>72</v>
      </c>
      <c r="C622" t="s">
        <v>73</v>
      </c>
      <c r="D622">
        <v>4706.71</v>
      </c>
      <c r="E622">
        <v>4518.5928199999998</v>
      </c>
      <c r="F622">
        <v>4596.0559499999999</v>
      </c>
      <c r="G622">
        <v>4755.40355</v>
      </c>
      <c r="H622">
        <v>4792.7697200000002</v>
      </c>
      <c r="Q622">
        <v>4651.7232000000004</v>
      </c>
      <c r="R622">
        <v>4681.0864899999997</v>
      </c>
      <c r="S622">
        <v>4707.6752699999997</v>
      </c>
      <c r="V622">
        <v>4616.7834300000004</v>
      </c>
      <c r="W622">
        <v>4583.2184299999999</v>
      </c>
      <c r="AB622">
        <v>4706.9491500000004</v>
      </c>
      <c r="AC622">
        <v>4708.8070200000002</v>
      </c>
      <c r="AD622">
        <v>0</v>
      </c>
      <c r="AK622">
        <v>620</v>
      </c>
      <c r="AL622">
        <v>619</v>
      </c>
      <c r="AM622">
        <v>4706.71</v>
      </c>
      <c r="AN622">
        <v>4651.7232000000004</v>
      </c>
      <c r="AO622">
        <v>54.986800000000002</v>
      </c>
      <c r="AP622">
        <v>3023.5482000000002</v>
      </c>
      <c r="AQ622">
        <v>3.824643</v>
      </c>
      <c r="AR622">
        <v>5.9811940000000003</v>
      </c>
      <c r="AY622">
        <v>620</v>
      </c>
      <c r="AZ622">
        <v>619</v>
      </c>
      <c r="BA622">
        <v>4706.71</v>
      </c>
      <c r="BB622">
        <v>4651.7232000000004</v>
      </c>
      <c r="BC622">
        <v>54.986800000000002</v>
      </c>
      <c r="BD622">
        <v>3023.5482000000002</v>
      </c>
      <c r="BE622">
        <v>383161</v>
      </c>
    </row>
    <row r="623" spans="1:57" x14ac:dyDescent="0.55000000000000004">
      <c r="A623">
        <v>1777280402</v>
      </c>
      <c r="B623" t="s">
        <v>72</v>
      </c>
      <c r="C623" t="s">
        <v>73</v>
      </c>
      <c r="D623">
        <v>4705.12</v>
      </c>
      <c r="E623">
        <v>4518.5928199999998</v>
      </c>
      <c r="F623">
        <v>4596.0559499999999</v>
      </c>
      <c r="G623">
        <v>4755.40355</v>
      </c>
      <c r="H623">
        <v>4792.7697200000002</v>
      </c>
      <c r="Q623">
        <v>4651.4555899999996</v>
      </c>
      <c r="R623">
        <v>4680.8188899999996</v>
      </c>
      <c r="S623">
        <v>4707.4076599999999</v>
      </c>
      <c r="V623">
        <v>4616.5158199999996</v>
      </c>
      <c r="W623">
        <v>4582.9508299999998</v>
      </c>
      <c r="AB623">
        <v>4705.2371899999998</v>
      </c>
      <c r="AC623">
        <v>4707.0221099999999</v>
      </c>
      <c r="AD623">
        <v>0</v>
      </c>
      <c r="AK623">
        <v>621</v>
      </c>
      <c r="AL623">
        <v>620</v>
      </c>
      <c r="AM623">
        <v>4705.12</v>
      </c>
      <c r="AN623">
        <v>4651.4556000000002</v>
      </c>
      <c r="AO623">
        <v>53.664400000000001</v>
      </c>
      <c r="AP623">
        <v>2879.8688999999999</v>
      </c>
      <c r="AQ623">
        <v>3.5552869999999999</v>
      </c>
      <c r="AR623">
        <v>5.426247</v>
      </c>
      <c r="AY623">
        <v>621</v>
      </c>
      <c r="AZ623">
        <v>620</v>
      </c>
      <c r="BA623">
        <v>4705.12</v>
      </c>
      <c r="BB623">
        <v>4651.4556000000002</v>
      </c>
      <c r="BC623">
        <v>53.664400000000001</v>
      </c>
      <c r="BD623">
        <v>2879.8688999999999</v>
      </c>
      <c r="BE623">
        <v>384400</v>
      </c>
    </row>
    <row r="624" spans="1:57" x14ac:dyDescent="0.55000000000000004">
      <c r="A624">
        <v>1777281302</v>
      </c>
      <c r="B624" t="s">
        <v>72</v>
      </c>
      <c r="C624" t="s">
        <v>73</v>
      </c>
      <c r="D624">
        <v>4702.32</v>
      </c>
      <c r="E624">
        <v>4518.5928199999998</v>
      </c>
      <c r="F624">
        <v>4596.0559499999999</v>
      </c>
      <c r="G624">
        <v>4755.40355</v>
      </c>
      <c r="H624">
        <v>4792.7697200000002</v>
      </c>
      <c r="Q624">
        <v>4651.1879900000004</v>
      </c>
      <c r="R624">
        <v>4680.5512900000003</v>
      </c>
      <c r="S624">
        <v>4707.1400599999997</v>
      </c>
      <c r="V624">
        <v>4616.2482200000004</v>
      </c>
      <c r="W624">
        <v>4582.6832199999999</v>
      </c>
      <c r="AB624">
        <v>4704.0597500000003</v>
      </c>
      <c r="AC624">
        <v>4705.5409300000001</v>
      </c>
      <c r="AD624">
        <v>0</v>
      </c>
      <c r="AK624">
        <v>622</v>
      </c>
      <c r="AL624">
        <v>621</v>
      </c>
      <c r="AM624">
        <v>4702.32</v>
      </c>
      <c r="AN624">
        <v>4651.1880000000001</v>
      </c>
      <c r="AO624">
        <v>51.131999999999998</v>
      </c>
      <c r="AP624">
        <v>2614.4823999999999</v>
      </c>
      <c r="AQ624">
        <v>3.0753469999999998</v>
      </c>
      <c r="AR624">
        <v>4.472245</v>
      </c>
      <c r="AY624">
        <v>622</v>
      </c>
      <c r="AZ624">
        <v>621</v>
      </c>
      <c r="BA624">
        <v>4702.32</v>
      </c>
      <c r="BB624">
        <v>4651.1880000000001</v>
      </c>
      <c r="BC624">
        <v>51.131999999999998</v>
      </c>
      <c r="BD624">
        <v>2614.4823999999999</v>
      </c>
      <c r="BE624">
        <v>385641</v>
      </c>
    </row>
    <row r="625" spans="1:57" x14ac:dyDescent="0.55000000000000004">
      <c r="A625">
        <v>1777282202</v>
      </c>
      <c r="B625" t="s">
        <v>72</v>
      </c>
      <c r="C625" t="s">
        <v>73</v>
      </c>
      <c r="D625">
        <v>4704.6400000000003</v>
      </c>
      <c r="E625">
        <v>4518.5928199999998</v>
      </c>
      <c r="F625">
        <v>4596.0559499999999</v>
      </c>
      <c r="G625">
        <v>4755.40355</v>
      </c>
      <c r="H625">
        <v>4792.7697200000002</v>
      </c>
      <c r="Q625">
        <v>4650.9203799999996</v>
      </c>
      <c r="R625">
        <v>4680.2836799999995</v>
      </c>
      <c r="S625">
        <v>4706.8724499999998</v>
      </c>
      <c r="V625">
        <v>4615.9806099999996</v>
      </c>
      <c r="W625">
        <v>4582.4156199999998</v>
      </c>
      <c r="AB625">
        <v>4703.5523000000003</v>
      </c>
      <c r="AC625">
        <v>4704.5466100000003</v>
      </c>
      <c r="AD625">
        <v>0</v>
      </c>
      <c r="AK625">
        <v>623</v>
      </c>
      <c r="AL625">
        <v>622</v>
      </c>
      <c r="AM625">
        <v>4704.6400000000003</v>
      </c>
      <c r="AN625">
        <v>4650.9204</v>
      </c>
      <c r="AO625">
        <v>53.7196</v>
      </c>
      <c r="AP625">
        <v>2885.7975999999999</v>
      </c>
      <c r="AQ625">
        <v>3.566271</v>
      </c>
      <c r="AR625">
        <v>5.4486109999999996</v>
      </c>
      <c r="AY625">
        <v>623</v>
      </c>
      <c r="AZ625">
        <v>622</v>
      </c>
      <c r="BA625">
        <v>4704.6400000000003</v>
      </c>
      <c r="BB625">
        <v>4650.9204</v>
      </c>
      <c r="BC625">
        <v>53.7196</v>
      </c>
      <c r="BD625">
        <v>2885.7975999999999</v>
      </c>
      <c r="BE625">
        <v>386884</v>
      </c>
    </row>
    <row r="626" spans="1:57" x14ac:dyDescent="0.55000000000000004">
      <c r="A626">
        <v>1777283102</v>
      </c>
      <c r="B626" t="s">
        <v>72</v>
      </c>
      <c r="C626" t="s">
        <v>73</v>
      </c>
      <c r="D626">
        <v>4703.6400000000003</v>
      </c>
      <c r="E626">
        <v>4518.5928199999998</v>
      </c>
      <c r="F626">
        <v>4596.0559499999999</v>
      </c>
      <c r="G626">
        <v>4755.40355</v>
      </c>
      <c r="H626">
        <v>4792.7697200000002</v>
      </c>
      <c r="Q626">
        <v>4650.6527800000003</v>
      </c>
      <c r="R626">
        <v>4680.0160800000003</v>
      </c>
      <c r="S626">
        <v>4706.6048499999997</v>
      </c>
      <c r="V626">
        <v>4615.7130100000004</v>
      </c>
      <c r="W626">
        <v>4582.1480099999999</v>
      </c>
      <c r="AB626">
        <v>4703.6271100000004</v>
      </c>
      <c r="AC626">
        <v>4704.0868600000003</v>
      </c>
      <c r="AD626">
        <v>0</v>
      </c>
      <c r="AK626">
        <v>624</v>
      </c>
      <c r="AL626">
        <v>623</v>
      </c>
      <c r="AM626">
        <v>4703.6400000000003</v>
      </c>
      <c r="AN626">
        <v>4650.6527999999998</v>
      </c>
      <c r="AO626">
        <v>52.987200000000001</v>
      </c>
      <c r="AP626">
        <v>2807.6455000000001</v>
      </c>
      <c r="AQ626">
        <v>3.4223859999999999</v>
      </c>
      <c r="AR626">
        <v>5.1574929999999997</v>
      </c>
      <c r="AY626">
        <v>624</v>
      </c>
      <c r="AZ626">
        <v>623</v>
      </c>
      <c r="BA626">
        <v>4703.6400000000003</v>
      </c>
      <c r="BB626">
        <v>4650.6527999999998</v>
      </c>
      <c r="BC626">
        <v>52.987200000000001</v>
      </c>
      <c r="BD626">
        <v>2807.6455000000001</v>
      </c>
      <c r="BE626">
        <v>388129</v>
      </c>
    </row>
    <row r="627" spans="1:57" x14ac:dyDescent="0.55000000000000004">
      <c r="A627">
        <v>1777284002</v>
      </c>
      <c r="B627" t="s">
        <v>72</v>
      </c>
      <c r="C627" t="s">
        <v>73</v>
      </c>
      <c r="D627">
        <v>4701.91</v>
      </c>
      <c r="E627">
        <v>4518.5928199999998</v>
      </c>
      <c r="F627">
        <v>4596.0559499999999</v>
      </c>
      <c r="G627">
        <v>4755.40355</v>
      </c>
      <c r="H627">
        <v>4792.7697200000002</v>
      </c>
      <c r="Q627">
        <v>4650.3851800000002</v>
      </c>
      <c r="R627">
        <v>4679.7484700000005</v>
      </c>
      <c r="S627">
        <v>4706.3372499999996</v>
      </c>
      <c r="V627">
        <v>4615.4454100000003</v>
      </c>
      <c r="W627">
        <v>4581.8804099999998</v>
      </c>
      <c r="AB627">
        <v>4704.16561</v>
      </c>
      <c r="AC627">
        <v>4704.1262299999999</v>
      </c>
      <c r="AD627">
        <v>1</v>
      </c>
      <c r="AK627">
        <v>625</v>
      </c>
      <c r="AL627">
        <v>624</v>
      </c>
      <c r="AM627">
        <v>4701.91</v>
      </c>
      <c r="AN627">
        <v>4650.3851999999997</v>
      </c>
      <c r="AO627">
        <v>51.524799999999999</v>
      </c>
      <c r="AP627">
        <v>2654.8071</v>
      </c>
      <c r="AQ627">
        <v>3.1467700000000001</v>
      </c>
      <c r="AR627">
        <v>4.6112650000000004</v>
      </c>
      <c r="AY627">
        <v>625</v>
      </c>
      <c r="AZ627">
        <v>624</v>
      </c>
      <c r="BA627">
        <v>4701.91</v>
      </c>
      <c r="BB627">
        <v>4650.3851999999997</v>
      </c>
      <c r="BC627">
        <v>51.524799999999999</v>
      </c>
      <c r="BD627">
        <v>2654.8071</v>
      </c>
      <c r="BE627">
        <v>389376</v>
      </c>
    </row>
    <row r="628" spans="1:57" x14ac:dyDescent="0.55000000000000004">
      <c r="A628">
        <v>1777284902</v>
      </c>
      <c r="B628" t="s">
        <v>72</v>
      </c>
      <c r="C628" t="s">
        <v>73</v>
      </c>
      <c r="D628">
        <v>4705.08</v>
      </c>
      <c r="E628">
        <v>4518.5928199999998</v>
      </c>
      <c r="F628">
        <v>4596.0559499999999</v>
      </c>
      <c r="G628">
        <v>4755.40355</v>
      </c>
      <c r="H628">
        <v>4792.7697200000002</v>
      </c>
      <c r="Q628">
        <v>4650.1175700000003</v>
      </c>
      <c r="R628">
        <v>4679.4808700000003</v>
      </c>
      <c r="S628">
        <v>4706.0696399999997</v>
      </c>
      <c r="V628">
        <v>4615.1778000000004</v>
      </c>
      <c r="W628">
        <v>4581.6127999999999</v>
      </c>
      <c r="AB628">
        <v>4705.0098600000001</v>
      </c>
      <c r="AC628">
        <v>4704.5680499999999</v>
      </c>
      <c r="AD628">
        <v>0</v>
      </c>
      <c r="AK628">
        <v>626</v>
      </c>
      <c r="AL628">
        <v>625</v>
      </c>
      <c r="AM628">
        <v>4705.08</v>
      </c>
      <c r="AN628">
        <v>4650.1175999999996</v>
      </c>
      <c r="AO628">
        <v>54.962400000000002</v>
      </c>
      <c r="AP628">
        <v>3020.8687</v>
      </c>
      <c r="AQ628">
        <v>3.8195600000000001</v>
      </c>
      <c r="AR628">
        <v>5.9705979999999998</v>
      </c>
      <c r="AY628">
        <v>626</v>
      </c>
      <c r="AZ628">
        <v>625</v>
      </c>
      <c r="BA628">
        <v>4705.08</v>
      </c>
      <c r="BB628">
        <v>4650.1175999999996</v>
      </c>
      <c r="BC628">
        <v>54.962400000000002</v>
      </c>
      <c r="BD628">
        <v>3020.8687</v>
      </c>
      <c r="BE628">
        <v>390625</v>
      </c>
    </row>
    <row r="629" spans="1:57" x14ac:dyDescent="0.55000000000000004">
      <c r="A629">
        <v>1777285802</v>
      </c>
      <c r="B629" t="s">
        <v>72</v>
      </c>
      <c r="C629" t="s">
        <v>73</v>
      </c>
      <c r="D629">
        <v>4709.07</v>
      </c>
      <c r="E629">
        <v>4518.5928199999998</v>
      </c>
      <c r="F629">
        <v>4596.0559499999999</v>
      </c>
      <c r="G629">
        <v>4755.40355</v>
      </c>
      <c r="H629">
        <v>4792.7697200000002</v>
      </c>
      <c r="Q629">
        <v>4649.8499700000002</v>
      </c>
      <c r="R629">
        <v>4679.2132700000002</v>
      </c>
      <c r="S629">
        <v>4705.8020399999996</v>
      </c>
      <c r="V629">
        <v>4614.9102000000003</v>
      </c>
      <c r="W629">
        <v>4581.3451999999997</v>
      </c>
      <c r="AB629">
        <v>4705.8585899999998</v>
      </c>
      <c r="AC629">
        <v>4705.2133199999998</v>
      </c>
      <c r="AD629">
        <v>0</v>
      </c>
      <c r="AK629">
        <v>627</v>
      </c>
      <c r="AL629">
        <v>626</v>
      </c>
      <c r="AM629">
        <v>4709.07</v>
      </c>
      <c r="AN629">
        <v>4649.8500000000004</v>
      </c>
      <c r="AO629">
        <v>59.22</v>
      </c>
      <c r="AP629">
        <v>3507.0120000000002</v>
      </c>
      <c r="AQ629">
        <v>4.7777279999999998</v>
      </c>
      <c r="AR629">
        <v>8.0469000000000008</v>
      </c>
      <c r="AY629">
        <v>627</v>
      </c>
      <c r="AZ629">
        <v>626</v>
      </c>
      <c r="BA629">
        <v>4709.07</v>
      </c>
      <c r="BB629">
        <v>4649.8500000000004</v>
      </c>
      <c r="BC629">
        <v>59.22</v>
      </c>
      <c r="BD629">
        <v>3507.0120000000002</v>
      </c>
      <c r="BE629">
        <v>391876</v>
      </c>
    </row>
    <row r="630" spans="1:57" x14ac:dyDescent="0.55000000000000004">
      <c r="A630">
        <v>1777286702</v>
      </c>
      <c r="B630" t="s">
        <v>72</v>
      </c>
      <c r="C630" t="s">
        <v>73</v>
      </c>
      <c r="D630">
        <v>4708.79</v>
      </c>
      <c r="E630">
        <v>4518.5928199999998</v>
      </c>
      <c r="F630">
        <v>4596.0559499999999</v>
      </c>
      <c r="G630">
        <v>4755.40355</v>
      </c>
      <c r="H630">
        <v>4792.7697200000002</v>
      </c>
      <c r="Q630">
        <v>4649.5823600000003</v>
      </c>
      <c r="R630">
        <v>4678.9456600000003</v>
      </c>
      <c r="S630">
        <v>4705.5344299999997</v>
      </c>
      <c r="V630">
        <v>4614.6425900000004</v>
      </c>
      <c r="W630">
        <v>4581.0775999999996</v>
      </c>
      <c r="AB630">
        <v>4706.42238</v>
      </c>
      <c r="AC630">
        <v>4705.8178500000004</v>
      </c>
      <c r="AD630">
        <v>0</v>
      </c>
      <c r="AK630">
        <v>628</v>
      </c>
      <c r="AL630">
        <v>627</v>
      </c>
      <c r="AM630">
        <v>4708.79</v>
      </c>
      <c r="AN630">
        <v>4649.5824000000002</v>
      </c>
      <c r="AO630">
        <v>59.207599999999999</v>
      </c>
      <c r="AP630">
        <v>3505.5446000000002</v>
      </c>
      <c r="AQ630">
        <v>4.7747299999999999</v>
      </c>
      <c r="AR630">
        <v>8.0401679999999995</v>
      </c>
      <c r="AY630">
        <v>628</v>
      </c>
      <c r="AZ630">
        <v>627</v>
      </c>
      <c r="BA630">
        <v>4708.79</v>
      </c>
      <c r="BB630">
        <v>4649.5824000000002</v>
      </c>
      <c r="BC630">
        <v>59.207599999999999</v>
      </c>
      <c r="BD630">
        <v>3505.5446000000002</v>
      </c>
      <c r="BE630">
        <v>393129</v>
      </c>
    </row>
    <row r="631" spans="1:57" x14ac:dyDescent="0.55000000000000004">
      <c r="A631">
        <v>1777287602</v>
      </c>
      <c r="B631" t="s">
        <v>72</v>
      </c>
      <c r="C631" t="s">
        <v>73</v>
      </c>
      <c r="D631">
        <v>4704.04</v>
      </c>
      <c r="E631">
        <v>4518.5928199999998</v>
      </c>
      <c r="F631">
        <v>4596.0559499999999</v>
      </c>
      <c r="G631">
        <v>4755.40355</v>
      </c>
      <c r="H631">
        <v>4792.7697200000002</v>
      </c>
      <c r="Q631">
        <v>4649.3147600000002</v>
      </c>
      <c r="R631">
        <v>4678.6780600000002</v>
      </c>
      <c r="S631">
        <v>4705.2668299999996</v>
      </c>
      <c r="V631">
        <v>4614.3749900000003</v>
      </c>
      <c r="W631">
        <v>4580.8099899999997</v>
      </c>
      <c r="AB631">
        <v>4706.5976700000001</v>
      </c>
      <c r="AC631">
        <v>4706.2077600000002</v>
      </c>
      <c r="AD631">
        <v>0</v>
      </c>
      <c r="AK631">
        <v>629</v>
      </c>
      <c r="AL631">
        <v>628</v>
      </c>
      <c r="AM631">
        <v>4704.04</v>
      </c>
      <c r="AN631">
        <v>4649.3148000000001</v>
      </c>
      <c r="AO631">
        <v>54.725200000000001</v>
      </c>
      <c r="AP631">
        <v>2994.8519000000001</v>
      </c>
      <c r="AQ631">
        <v>3.7703229999999999</v>
      </c>
      <c r="AR631">
        <v>5.8681989999999997</v>
      </c>
      <c r="AY631">
        <v>629</v>
      </c>
      <c r="AZ631">
        <v>628</v>
      </c>
      <c r="BA631">
        <v>4704.04</v>
      </c>
      <c r="BB631">
        <v>4649.3148000000001</v>
      </c>
      <c r="BC631">
        <v>54.725200000000001</v>
      </c>
      <c r="BD631">
        <v>2994.8519000000001</v>
      </c>
      <c r="BE631">
        <v>394384</v>
      </c>
    </row>
    <row r="632" spans="1:57" x14ac:dyDescent="0.55000000000000004">
      <c r="A632">
        <v>1777288502</v>
      </c>
      <c r="B632" t="s">
        <v>72</v>
      </c>
      <c r="C632" t="s">
        <v>73</v>
      </c>
      <c r="D632">
        <v>4705.21</v>
      </c>
      <c r="E632">
        <v>4518.5928199999998</v>
      </c>
      <c r="F632">
        <v>4596.0559499999999</v>
      </c>
      <c r="G632">
        <v>4755.40355</v>
      </c>
      <c r="H632">
        <v>4792.7697200000002</v>
      </c>
      <c r="Q632">
        <v>4649.0471500000003</v>
      </c>
      <c r="R632">
        <v>4678.4104500000003</v>
      </c>
      <c r="S632">
        <v>4704.9992199999997</v>
      </c>
      <c r="V632">
        <v>4614.1073800000004</v>
      </c>
      <c r="W632">
        <v>4580.5423899999996</v>
      </c>
      <c r="AB632">
        <v>4706.4577600000002</v>
      </c>
      <c r="AC632">
        <v>4706.3327600000002</v>
      </c>
      <c r="AD632">
        <v>0</v>
      </c>
      <c r="AK632">
        <v>630</v>
      </c>
      <c r="AL632">
        <v>629</v>
      </c>
      <c r="AM632">
        <v>4705.21</v>
      </c>
      <c r="AN632">
        <v>4649.0472</v>
      </c>
      <c r="AO632">
        <v>56.162799999999997</v>
      </c>
      <c r="AP632">
        <v>3154.2656999999999</v>
      </c>
      <c r="AQ632">
        <v>4.0753320000000004</v>
      </c>
      <c r="AR632">
        <v>6.5095450000000001</v>
      </c>
      <c r="AY632">
        <v>630</v>
      </c>
      <c r="AZ632">
        <v>629</v>
      </c>
      <c r="BA632">
        <v>4705.21</v>
      </c>
      <c r="BB632">
        <v>4649.0472</v>
      </c>
      <c r="BC632">
        <v>56.162799999999997</v>
      </c>
      <c r="BD632">
        <v>3154.2656999999999</v>
      </c>
      <c r="BE632">
        <v>395641</v>
      </c>
    </row>
    <row r="633" spans="1:57" x14ac:dyDescent="0.55000000000000004">
      <c r="A633">
        <v>1777289402</v>
      </c>
      <c r="B633" t="s">
        <v>72</v>
      </c>
      <c r="C633" t="s">
        <v>73</v>
      </c>
      <c r="D633">
        <v>4702.72</v>
      </c>
      <c r="E633">
        <v>4518.5928199999998</v>
      </c>
      <c r="F633">
        <v>4596.0559499999999</v>
      </c>
      <c r="G633">
        <v>4755.40355</v>
      </c>
      <c r="H633">
        <v>4792.7697200000002</v>
      </c>
      <c r="Q633">
        <v>4648.7795500000002</v>
      </c>
      <c r="R633">
        <v>4678.1428500000002</v>
      </c>
      <c r="S633">
        <v>4704.7316199999996</v>
      </c>
      <c r="V633">
        <v>4613.8397800000002</v>
      </c>
      <c r="W633">
        <v>4580.2747799999997</v>
      </c>
      <c r="AB633">
        <v>4705.9930400000003</v>
      </c>
      <c r="AC633">
        <v>4706.1629000000003</v>
      </c>
      <c r="AD633">
        <v>1</v>
      </c>
      <c r="AK633">
        <v>631</v>
      </c>
      <c r="AL633">
        <v>630</v>
      </c>
      <c r="AM633">
        <v>4702.72</v>
      </c>
      <c r="AN633">
        <v>4648.7795999999998</v>
      </c>
      <c r="AO633">
        <v>53.9405</v>
      </c>
      <c r="AP633">
        <v>2909.5720999999999</v>
      </c>
      <c r="AQ633">
        <v>3.610433</v>
      </c>
      <c r="AR633">
        <v>5.5387579999999996</v>
      </c>
      <c r="AY633">
        <v>631</v>
      </c>
      <c r="AZ633">
        <v>630</v>
      </c>
      <c r="BA633">
        <v>4702.72</v>
      </c>
      <c r="BB633">
        <v>4648.7795999999998</v>
      </c>
      <c r="BC633">
        <v>53.9405</v>
      </c>
      <c r="BD633">
        <v>2909.5720999999999</v>
      </c>
      <c r="BE633">
        <v>396900</v>
      </c>
    </row>
    <row r="634" spans="1:57" x14ac:dyDescent="0.55000000000000004">
      <c r="A634">
        <v>1777290302</v>
      </c>
      <c r="B634" t="s">
        <v>72</v>
      </c>
      <c r="C634" t="s">
        <v>73</v>
      </c>
      <c r="D634">
        <v>4704.8900000000003</v>
      </c>
      <c r="E634">
        <v>4518.5928199999998</v>
      </c>
      <c r="F634">
        <v>4596.0559499999999</v>
      </c>
      <c r="G634">
        <v>4755.40355</v>
      </c>
      <c r="H634">
        <v>4792.7697200000002</v>
      </c>
      <c r="Q634">
        <v>4648.5119500000001</v>
      </c>
      <c r="R634">
        <v>4677.8752500000001</v>
      </c>
      <c r="S634">
        <v>4704.4640200000003</v>
      </c>
      <c r="V634">
        <v>4613.5721800000001</v>
      </c>
      <c r="W634">
        <v>4580.0071799999996</v>
      </c>
      <c r="AB634">
        <v>4705.3014999999996</v>
      </c>
      <c r="AC634">
        <v>4705.7322000000004</v>
      </c>
      <c r="AD634">
        <v>0</v>
      </c>
      <c r="AK634">
        <v>632</v>
      </c>
      <c r="AL634">
        <v>631</v>
      </c>
      <c r="AM634">
        <v>4704.8900000000003</v>
      </c>
      <c r="AN634">
        <v>4648.5119999999997</v>
      </c>
      <c r="AO634">
        <v>56.378100000000003</v>
      </c>
      <c r="AP634">
        <v>3178.4845</v>
      </c>
      <c r="AQ634">
        <v>4.1223580000000002</v>
      </c>
      <c r="AR634">
        <v>6.6098910000000002</v>
      </c>
      <c r="AY634">
        <v>632</v>
      </c>
      <c r="AZ634">
        <v>631</v>
      </c>
      <c r="BA634">
        <v>4704.8900000000003</v>
      </c>
      <c r="BB634">
        <v>4648.5119999999997</v>
      </c>
      <c r="BC634">
        <v>56.378100000000003</v>
      </c>
      <c r="BD634">
        <v>3178.4845</v>
      </c>
      <c r="BE634">
        <v>398161</v>
      </c>
    </row>
    <row r="635" spans="1:57" x14ac:dyDescent="0.55000000000000004">
      <c r="A635">
        <v>1777291202</v>
      </c>
      <c r="B635" t="s">
        <v>72</v>
      </c>
      <c r="C635" t="s">
        <v>73</v>
      </c>
      <c r="D635">
        <v>4708.83</v>
      </c>
      <c r="E635">
        <v>4518.5928199999998</v>
      </c>
      <c r="F635">
        <v>4596.0559499999999</v>
      </c>
      <c r="G635">
        <v>4755.40355</v>
      </c>
      <c r="H635">
        <v>4792.7697200000002</v>
      </c>
      <c r="Q635">
        <v>4648.2443400000002</v>
      </c>
      <c r="R635">
        <v>4677.6076400000002</v>
      </c>
      <c r="S635">
        <v>4704.1964099999996</v>
      </c>
      <c r="V635">
        <v>4613.3045700000002</v>
      </c>
      <c r="W635">
        <v>4579.7395800000004</v>
      </c>
      <c r="AB635">
        <v>4704.3611799999999</v>
      </c>
      <c r="AC635">
        <v>4705.0466900000001</v>
      </c>
      <c r="AD635">
        <v>0</v>
      </c>
      <c r="AK635">
        <v>633</v>
      </c>
      <c r="AL635">
        <v>632</v>
      </c>
      <c r="AM635">
        <v>4708.83</v>
      </c>
      <c r="AN635">
        <v>4648.2443000000003</v>
      </c>
      <c r="AO635">
        <v>60.585700000000003</v>
      </c>
      <c r="AP635">
        <v>3670.6221999999998</v>
      </c>
      <c r="AQ635">
        <v>5.1159359999999996</v>
      </c>
      <c r="AR635">
        <v>8.8152270000000001</v>
      </c>
      <c r="AY635">
        <v>633</v>
      </c>
      <c r="AZ635">
        <v>632</v>
      </c>
      <c r="BA635">
        <v>4708.83</v>
      </c>
      <c r="BB635">
        <v>4648.2443000000003</v>
      </c>
      <c r="BC635">
        <v>60.585700000000003</v>
      </c>
      <c r="BD635">
        <v>3670.6221999999998</v>
      </c>
      <c r="BE635">
        <v>399424</v>
      </c>
    </row>
    <row r="636" spans="1:57" x14ac:dyDescent="0.55000000000000004">
      <c r="A636">
        <v>1777292102</v>
      </c>
      <c r="B636" t="s">
        <v>72</v>
      </c>
      <c r="C636" t="s">
        <v>73</v>
      </c>
      <c r="D636">
        <v>4707.09</v>
      </c>
      <c r="E636">
        <v>4518.5928199999998</v>
      </c>
      <c r="F636">
        <v>4596.0559499999999</v>
      </c>
      <c r="G636">
        <v>4755.40355</v>
      </c>
      <c r="H636">
        <v>4792.7697200000002</v>
      </c>
      <c r="Q636">
        <v>4647.9767400000001</v>
      </c>
      <c r="R636">
        <v>4677.34004</v>
      </c>
      <c r="S636">
        <v>4703.9288100000003</v>
      </c>
      <c r="V636">
        <v>4613.0369700000001</v>
      </c>
      <c r="W636">
        <v>4579.4719699999996</v>
      </c>
      <c r="AB636">
        <v>4703.1131699999996</v>
      </c>
      <c r="AC636">
        <v>4704.0799299999999</v>
      </c>
      <c r="AD636">
        <v>0</v>
      </c>
      <c r="AK636">
        <v>634</v>
      </c>
      <c r="AL636">
        <v>633</v>
      </c>
      <c r="AM636">
        <v>4707.09</v>
      </c>
      <c r="AN636">
        <v>4647.9767000000002</v>
      </c>
      <c r="AO636">
        <v>59.113300000000002</v>
      </c>
      <c r="AP636">
        <v>3494.3775000000001</v>
      </c>
      <c r="AQ636">
        <v>4.7519330000000002</v>
      </c>
      <c r="AR636">
        <v>7.9890249999999998</v>
      </c>
      <c r="AY636">
        <v>634</v>
      </c>
      <c r="AZ636">
        <v>633</v>
      </c>
      <c r="BA636">
        <v>4707.09</v>
      </c>
      <c r="BB636">
        <v>4647.9767000000002</v>
      </c>
      <c r="BC636">
        <v>59.113300000000002</v>
      </c>
      <c r="BD636">
        <v>3494.3775000000001</v>
      </c>
      <c r="BE636">
        <v>400689</v>
      </c>
    </row>
    <row r="637" spans="1:57" x14ac:dyDescent="0.55000000000000004">
      <c r="A637">
        <v>1777293002</v>
      </c>
      <c r="B637" t="s">
        <v>72</v>
      </c>
      <c r="C637" t="s">
        <v>73</v>
      </c>
      <c r="D637">
        <v>4698.8100000000004</v>
      </c>
      <c r="E637">
        <v>4518.5928199999998</v>
      </c>
      <c r="F637">
        <v>4596.0559499999999</v>
      </c>
      <c r="G637">
        <v>4755.40355</v>
      </c>
      <c r="H637">
        <v>4792.7697200000002</v>
      </c>
      <c r="Q637">
        <v>4647.7091300000002</v>
      </c>
      <c r="R637">
        <v>4677.0724300000002</v>
      </c>
      <c r="S637">
        <v>4703.6611999999996</v>
      </c>
      <c r="V637">
        <v>4612.7693600000002</v>
      </c>
      <c r="W637">
        <v>4579.2043700000004</v>
      </c>
      <c r="AB637">
        <v>4701.65798</v>
      </c>
      <c r="AC637">
        <v>4702.86895</v>
      </c>
      <c r="AD637">
        <v>0</v>
      </c>
      <c r="AK637">
        <v>635</v>
      </c>
      <c r="AL637">
        <v>634</v>
      </c>
      <c r="AM637">
        <v>4698.8100000000004</v>
      </c>
      <c r="AN637">
        <v>4647.7091</v>
      </c>
      <c r="AO637">
        <v>51.100900000000003</v>
      </c>
      <c r="AP637">
        <v>2611.2988999999998</v>
      </c>
      <c r="AQ637">
        <v>3.0697320000000001</v>
      </c>
      <c r="AR637">
        <v>4.46136</v>
      </c>
      <c r="AY637">
        <v>635</v>
      </c>
      <c r="AZ637">
        <v>634</v>
      </c>
      <c r="BA637">
        <v>4698.8100000000004</v>
      </c>
      <c r="BB637">
        <v>4647.7091</v>
      </c>
      <c r="BC637">
        <v>51.100900000000003</v>
      </c>
      <c r="BD637">
        <v>2611.2988999999998</v>
      </c>
      <c r="BE637">
        <v>401956</v>
      </c>
    </row>
    <row r="638" spans="1:57" x14ac:dyDescent="0.55000000000000004">
      <c r="A638">
        <v>1777293902</v>
      </c>
      <c r="B638" t="s">
        <v>72</v>
      </c>
      <c r="C638" t="s">
        <v>73</v>
      </c>
      <c r="D638">
        <v>4699.24</v>
      </c>
      <c r="E638">
        <v>4518.5928199999998</v>
      </c>
      <c r="F638">
        <v>4596.0559499999999</v>
      </c>
      <c r="G638">
        <v>4755.40355</v>
      </c>
      <c r="H638">
        <v>4792.7697200000002</v>
      </c>
      <c r="Q638">
        <v>4647.4415300000001</v>
      </c>
      <c r="R638">
        <v>4676.80483</v>
      </c>
      <c r="S638">
        <v>4703.3936000000003</v>
      </c>
      <c r="V638">
        <v>4612.5017600000001</v>
      </c>
      <c r="W638">
        <v>4578.9367599999996</v>
      </c>
      <c r="AB638">
        <v>4700.2696699999997</v>
      </c>
      <c r="AC638">
        <v>4701.5693099999999</v>
      </c>
      <c r="AD638">
        <v>0</v>
      </c>
      <c r="AK638">
        <v>636</v>
      </c>
      <c r="AL638">
        <v>635</v>
      </c>
      <c r="AM638">
        <v>4699.24</v>
      </c>
      <c r="AN638">
        <v>4647.4414999999999</v>
      </c>
      <c r="AO638">
        <v>51.798499999999997</v>
      </c>
      <c r="AP638">
        <v>2683.0814999999998</v>
      </c>
      <c r="AQ638">
        <v>3.1971750000000001</v>
      </c>
      <c r="AR638">
        <v>4.7100099999999996</v>
      </c>
      <c r="AY638">
        <v>636</v>
      </c>
      <c r="AZ638">
        <v>635</v>
      </c>
      <c r="BA638">
        <v>4699.24</v>
      </c>
      <c r="BB638">
        <v>4647.4414999999999</v>
      </c>
      <c r="BC638">
        <v>51.798499999999997</v>
      </c>
      <c r="BD638">
        <v>2683.0814999999998</v>
      </c>
      <c r="BE638">
        <v>403225</v>
      </c>
    </row>
    <row r="639" spans="1:57" x14ac:dyDescent="0.55000000000000004">
      <c r="A639">
        <v>1777294802</v>
      </c>
      <c r="B639" t="s">
        <v>72</v>
      </c>
      <c r="C639" t="s">
        <v>73</v>
      </c>
      <c r="D639">
        <v>4695.99</v>
      </c>
      <c r="E639">
        <v>4518.5928199999998</v>
      </c>
      <c r="F639">
        <v>4596.0559499999999</v>
      </c>
      <c r="G639">
        <v>4755.40355</v>
      </c>
      <c r="H639">
        <v>4792.7697200000002</v>
      </c>
      <c r="Q639">
        <v>4647.1739299999999</v>
      </c>
      <c r="R639">
        <v>4676.5372299999999</v>
      </c>
      <c r="S639">
        <v>4703.1260000000002</v>
      </c>
      <c r="V639">
        <v>4612.23416</v>
      </c>
      <c r="W639">
        <v>4578.6691600000004</v>
      </c>
      <c r="AB639">
        <v>4698.9100399999998</v>
      </c>
      <c r="AC639">
        <v>4700.2396799999997</v>
      </c>
      <c r="AD639">
        <v>0</v>
      </c>
      <c r="AK639">
        <v>637</v>
      </c>
      <c r="AL639">
        <v>636</v>
      </c>
      <c r="AM639">
        <v>4695.99</v>
      </c>
      <c r="AN639">
        <v>4647.1738999999998</v>
      </c>
      <c r="AO639">
        <v>48.816099999999999</v>
      </c>
      <c r="AP639">
        <v>2383.0086999999999</v>
      </c>
      <c r="AQ639">
        <v>2.67611</v>
      </c>
      <c r="AR639">
        <v>3.715398</v>
      </c>
      <c r="AY639">
        <v>637</v>
      </c>
      <c r="AZ639">
        <v>636</v>
      </c>
      <c r="BA639">
        <v>4695.99</v>
      </c>
      <c r="BB639">
        <v>4647.1738999999998</v>
      </c>
      <c r="BC639">
        <v>48.816099999999999</v>
      </c>
      <c r="BD639">
        <v>2383.0086999999999</v>
      </c>
      <c r="BE639">
        <v>404496</v>
      </c>
    </row>
    <row r="640" spans="1:57" x14ac:dyDescent="0.55000000000000004">
      <c r="A640">
        <v>1777295702</v>
      </c>
      <c r="B640" t="s">
        <v>72</v>
      </c>
      <c r="C640" t="s">
        <v>73</v>
      </c>
      <c r="D640">
        <v>4699.95</v>
      </c>
      <c r="E640">
        <v>4518.5928199999998</v>
      </c>
      <c r="F640">
        <v>4596.0559499999999</v>
      </c>
      <c r="G640">
        <v>4755.40355</v>
      </c>
      <c r="H640">
        <v>4792.7697200000002</v>
      </c>
      <c r="Q640">
        <v>4646.9063200000001</v>
      </c>
      <c r="R640">
        <v>4676.26962</v>
      </c>
      <c r="S640">
        <v>4702.8583900000003</v>
      </c>
      <c r="V640">
        <v>4611.9665500000001</v>
      </c>
      <c r="W640">
        <v>4578.4015600000002</v>
      </c>
      <c r="AB640">
        <v>4697.5801600000004</v>
      </c>
      <c r="AC640">
        <v>4698.9099200000001</v>
      </c>
      <c r="AD640">
        <v>0</v>
      </c>
      <c r="AK640">
        <v>638</v>
      </c>
      <c r="AL640">
        <v>637</v>
      </c>
      <c r="AM640">
        <v>4699.95</v>
      </c>
      <c r="AN640">
        <v>4646.9062999999996</v>
      </c>
      <c r="AO640">
        <v>53.043700000000001</v>
      </c>
      <c r="AP640">
        <v>2813.6320000000001</v>
      </c>
      <c r="AQ640">
        <v>3.433338</v>
      </c>
      <c r="AR640">
        <v>5.1795099999999996</v>
      </c>
      <c r="AY640">
        <v>638</v>
      </c>
      <c r="AZ640">
        <v>637</v>
      </c>
      <c r="BA640">
        <v>4699.95</v>
      </c>
      <c r="BB640">
        <v>4646.9062999999996</v>
      </c>
      <c r="BC640">
        <v>53.043700000000001</v>
      </c>
      <c r="BD640">
        <v>2813.6320000000001</v>
      </c>
      <c r="BE640">
        <v>405769</v>
      </c>
    </row>
    <row r="641" spans="1:57" x14ac:dyDescent="0.55000000000000004">
      <c r="A641">
        <v>1777296602</v>
      </c>
      <c r="B641" t="s">
        <v>72</v>
      </c>
      <c r="C641" t="s">
        <v>73</v>
      </c>
      <c r="D641">
        <v>4693.29</v>
      </c>
      <c r="E641">
        <v>4518.5928199999998</v>
      </c>
      <c r="F641">
        <v>4596.0559499999999</v>
      </c>
      <c r="G641">
        <v>4755.40355</v>
      </c>
      <c r="H641">
        <v>4792.7697200000002</v>
      </c>
      <c r="Q641">
        <v>4646.6387199999999</v>
      </c>
      <c r="R641">
        <v>4676.0020199999999</v>
      </c>
      <c r="S641">
        <v>4702.5907900000002</v>
      </c>
      <c r="V641">
        <v>4611.69895</v>
      </c>
      <c r="W641">
        <v>4578.1339500000004</v>
      </c>
      <c r="AB641">
        <v>4696.0241400000004</v>
      </c>
      <c r="AC641">
        <v>4697.4670299999998</v>
      </c>
      <c r="AD641">
        <v>0</v>
      </c>
      <c r="AK641">
        <v>639</v>
      </c>
      <c r="AL641">
        <v>638</v>
      </c>
      <c r="AM641">
        <v>4693.29</v>
      </c>
      <c r="AN641">
        <v>4646.6387000000004</v>
      </c>
      <c r="AO641">
        <v>46.651299999999999</v>
      </c>
      <c r="AP641">
        <v>2176.3418999999999</v>
      </c>
      <c r="AQ641">
        <v>2.335642</v>
      </c>
      <c r="AR641">
        <v>3.0989059999999999</v>
      </c>
      <c r="AY641">
        <v>639</v>
      </c>
      <c r="AZ641">
        <v>638</v>
      </c>
      <c r="BA641">
        <v>4693.29</v>
      </c>
      <c r="BB641">
        <v>4646.6387000000004</v>
      </c>
      <c r="BC641">
        <v>46.651299999999999</v>
      </c>
      <c r="BD641">
        <v>2176.3418999999999</v>
      </c>
      <c r="BE641">
        <v>407044</v>
      </c>
    </row>
    <row r="642" spans="1:57" x14ac:dyDescent="0.55000000000000004">
      <c r="A642">
        <v>1777297502</v>
      </c>
      <c r="B642" t="s">
        <v>72</v>
      </c>
      <c r="C642" t="s">
        <v>73</v>
      </c>
      <c r="D642">
        <v>4696.1000000000004</v>
      </c>
      <c r="E642">
        <v>4518.5928199999998</v>
      </c>
      <c r="F642">
        <v>4596.0559499999999</v>
      </c>
      <c r="G642">
        <v>4755.40355</v>
      </c>
      <c r="H642">
        <v>4792.7697200000002</v>
      </c>
      <c r="Q642">
        <v>4646.37111</v>
      </c>
      <c r="R642">
        <v>4675.73441</v>
      </c>
      <c r="S642">
        <v>4702.3231800000003</v>
      </c>
      <c r="V642">
        <v>4611.4313400000001</v>
      </c>
      <c r="W642">
        <v>4577.8663500000002</v>
      </c>
      <c r="AB642">
        <v>4694.2444299999997</v>
      </c>
      <c r="AC642">
        <v>4695.8557300000002</v>
      </c>
      <c r="AD642">
        <v>0</v>
      </c>
      <c r="AK642">
        <v>640</v>
      </c>
      <c r="AL642">
        <v>639</v>
      </c>
      <c r="AM642">
        <v>4696.1000000000004</v>
      </c>
      <c r="AN642">
        <v>4646.3711000000003</v>
      </c>
      <c r="AO642">
        <v>49.728900000000003</v>
      </c>
      <c r="AP642">
        <v>2472.9625000000001</v>
      </c>
      <c r="AQ642">
        <v>2.8290579999999999</v>
      </c>
      <c r="AR642">
        <v>4.0011900000000002</v>
      </c>
      <c r="AY642">
        <v>640</v>
      </c>
      <c r="AZ642">
        <v>639</v>
      </c>
      <c r="BA642">
        <v>4696.1000000000004</v>
      </c>
      <c r="BB642">
        <v>4646.3711000000003</v>
      </c>
      <c r="BC642">
        <v>49.728900000000003</v>
      </c>
      <c r="BD642">
        <v>2472.9625000000001</v>
      </c>
      <c r="BE642">
        <v>408321</v>
      </c>
    </row>
    <row r="643" spans="1:57" x14ac:dyDescent="0.55000000000000004">
      <c r="A643">
        <v>1777298402</v>
      </c>
      <c r="B643" t="s">
        <v>72</v>
      </c>
      <c r="C643" t="s">
        <v>73</v>
      </c>
      <c r="D643">
        <v>4692.58</v>
      </c>
      <c r="E643">
        <v>4518.5928199999998</v>
      </c>
      <c r="F643">
        <v>4596.0559499999999</v>
      </c>
      <c r="G643">
        <v>4755.40355</v>
      </c>
      <c r="H643">
        <v>4792.7697200000002</v>
      </c>
      <c r="Q643">
        <v>4646.1035099999999</v>
      </c>
      <c r="R643">
        <v>4675.4668099999999</v>
      </c>
      <c r="S643">
        <v>4702.0555800000002</v>
      </c>
      <c r="V643">
        <v>4611.16374</v>
      </c>
      <c r="W643">
        <v>4577.5987400000004</v>
      </c>
      <c r="AB643">
        <v>4692.03017</v>
      </c>
      <c r="AC643">
        <v>4693.9429499999997</v>
      </c>
      <c r="AD643">
        <v>0</v>
      </c>
      <c r="AK643">
        <v>641</v>
      </c>
      <c r="AL643">
        <v>640</v>
      </c>
      <c r="AM643">
        <v>4692.58</v>
      </c>
      <c r="AN643">
        <v>4646.1035000000002</v>
      </c>
      <c r="AO643">
        <v>46.476500000000001</v>
      </c>
      <c r="AP643">
        <v>2160.0641000000001</v>
      </c>
      <c r="AQ643">
        <v>2.3094869999999998</v>
      </c>
      <c r="AR643">
        <v>3.0527229999999999</v>
      </c>
      <c r="AY643">
        <v>641</v>
      </c>
      <c r="AZ643">
        <v>640</v>
      </c>
      <c r="BA643">
        <v>4692.58</v>
      </c>
      <c r="BB643">
        <v>4646.1035000000002</v>
      </c>
      <c r="BC643">
        <v>46.476500000000001</v>
      </c>
      <c r="BD643">
        <v>2160.0641000000001</v>
      </c>
      <c r="BE643">
        <v>409600</v>
      </c>
    </row>
    <row r="644" spans="1:57" x14ac:dyDescent="0.55000000000000004">
      <c r="A644">
        <v>1777299302</v>
      </c>
      <c r="B644" t="s">
        <v>72</v>
      </c>
      <c r="C644" t="s">
        <v>73</v>
      </c>
      <c r="D644">
        <v>4689.03</v>
      </c>
      <c r="E644">
        <v>4518.5928199999998</v>
      </c>
      <c r="F644">
        <v>4596.0559499999999</v>
      </c>
      <c r="G644">
        <v>4755.40355</v>
      </c>
      <c r="H644">
        <v>4792.7697200000002</v>
      </c>
      <c r="Q644">
        <v>4645.8359099999998</v>
      </c>
      <c r="R644">
        <v>4675.1992</v>
      </c>
      <c r="S644">
        <v>4701.7879800000001</v>
      </c>
      <c r="V644">
        <v>4610.8961399999998</v>
      </c>
      <c r="W644">
        <v>4577.3311400000002</v>
      </c>
      <c r="AB644">
        <v>4689.41482</v>
      </c>
      <c r="AC644">
        <v>4691.6788800000004</v>
      </c>
      <c r="AD644">
        <v>0</v>
      </c>
      <c r="AK644">
        <v>642</v>
      </c>
      <c r="AL644">
        <v>641</v>
      </c>
      <c r="AM644">
        <v>4689.03</v>
      </c>
      <c r="AN644">
        <v>4645.8359</v>
      </c>
      <c r="AO644">
        <v>43.194099999999999</v>
      </c>
      <c r="AP644">
        <v>1865.7293999999999</v>
      </c>
      <c r="AQ644">
        <v>1.8539099999999999</v>
      </c>
      <c r="AR644">
        <v>2.2774640000000002</v>
      </c>
      <c r="AY644">
        <v>642</v>
      </c>
      <c r="AZ644">
        <v>641</v>
      </c>
      <c r="BA644">
        <v>4689.03</v>
      </c>
      <c r="BB644">
        <v>4645.8359</v>
      </c>
      <c r="BC644">
        <v>43.194099999999999</v>
      </c>
      <c r="BD644">
        <v>1865.7293999999999</v>
      </c>
      <c r="BE644">
        <v>410881</v>
      </c>
    </row>
    <row r="645" spans="1:57" x14ac:dyDescent="0.55000000000000004">
      <c r="A645">
        <v>1777300202</v>
      </c>
      <c r="B645" t="s">
        <v>72</v>
      </c>
      <c r="C645" t="s">
        <v>73</v>
      </c>
      <c r="D645">
        <v>4693.62</v>
      </c>
      <c r="E645">
        <v>4518.5928199999998</v>
      </c>
      <c r="F645">
        <v>4596.0559499999999</v>
      </c>
      <c r="G645">
        <v>4755.40355</v>
      </c>
      <c r="H645">
        <v>4792.7697200000002</v>
      </c>
      <c r="Q645">
        <v>4645.5682999999999</v>
      </c>
      <c r="R645">
        <v>4674.9315999999999</v>
      </c>
      <c r="S645">
        <v>4701.5203700000002</v>
      </c>
      <c r="V645">
        <v>4610.62853</v>
      </c>
      <c r="W645">
        <v>4577.0635400000001</v>
      </c>
      <c r="AB645">
        <v>4686.49539</v>
      </c>
      <c r="AC645">
        <v>4689.0871399999996</v>
      </c>
      <c r="AD645">
        <v>0</v>
      </c>
      <c r="AK645">
        <v>643</v>
      </c>
      <c r="AL645">
        <v>642</v>
      </c>
      <c r="AM645">
        <v>4693.62</v>
      </c>
      <c r="AN645">
        <v>4645.5682999999999</v>
      </c>
      <c r="AO645">
        <v>48.051699999999997</v>
      </c>
      <c r="AP645">
        <v>2308.9659000000001</v>
      </c>
      <c r="AQ645">
        <v>2.5523600000000002</v>
      </c>
      <c r="AR645">
        <v>3.488102</v>
      </c>
      <c r="AY645">
        <v>643</v>
      </c>
      <c r="AZ645">
        <v>642</v>
      </c>
      <c r="BA645">
        <v>4693.62</v>
      </c>
      <c r="BB645">
        <v>4645.5682999999999</v>
      </c>
      <c r="BC645">
        <v>48.051699999999997</v>
      </c>
      <c r="BD645">
        <v>2308.9659000000001</v>
      </c>
      <c r="BE645">
        <v>412164</v>
      </c>
    </row>
    <row r="646" spans="1:57" x14ac:dyDescent="0.55000000000000004">
      <c r="A646">
        <v>1777301102</v>
      </c>
      <c r="B646" t="s">
        <v>72</v>
      </c>
      <c r="C646" t="s">
        <v>73</v>
      </c>
      <c r="D646">
        <v>4678.21</v>
      </c>
      <c r="E646">
        <v>4518.5928199999998</v>
      </c>
      <c r="F646">
        <v>4596.0559499999999</v>
      </c>
      <c r="G646">
        <v>4755.40355</v>
      </c>
      <c r="H646">
        <v>4792.7697200000002</v>
      </c>
      <c r="Q646">
        <v>4645.3006999999998</v>
      </c>
      <c r="R646">
        <v>4674.6639999999998</v>
      </c>
      <c r="S646">
        <v>4701.2527700000001</v>
      </c>
      <c r="V646">
        <v>4610.3609299999998</v>
      </c>
      <c r="W646">
        <v>4576.7959300000002</v>
      </c>
      <c r="AB646">
        <v>4683.2239399999999</v>
      </c>
      <c r="AC646">
        <v>4686.1555399999997</v>
      </c>
      <c r="AD646">
        <v>0</v>
      </c>
      <c r="AK646">
        <v>644</v>
      </c>
      <c r="AL646">
        <v>643</v>
      </c>
      <c r="AM646">
        <v>4678.21</v>
      </c>
      <c r="AN646">
        <v>4645.3006999999998</v>
      </c>
      <c r="AO646">
        <v>32.909300000000002</v>
      </c>
      <c r="AP646">
        <v>1083.0219999999999</v>
      </c>
      <c r="AQ646">
        <v>0.81991999999999998</v>
      </c>
      <c r="AR646">
        <v>0.76741199999999998</v>
      </c>
      <c r="AY646">
        <v>644</v>
      </c>
      <c r="AZ646">
        <v>643</v>
      </c>
      <c r="BA646">
        <v>4678.21</v>
      </c>
      <c r="BB646">
        <v>4645.3006999999998</v>
      </c>
      <c r="BC646">
        <v>32.909300000000002</v>
      </c>
      <c r="BD646">
        <v>1083.0219999999999</v>
      </c>
      <c r="BE646">
        <v>413449</v>
      </c>
    </row>
    <row r="647" spans="1:57" x14ac:dyDescent="0.55000000000000004">
      <c r="A647">
        <v>1777302002</v>
      </c>
      <c r="B647" t="s">
        <v>72</v>
      </c>
      <c r="C647" t="s">
        <v>73</v>
      </c>
      <c r="D647">
        <v>4674.6499999999996</v>
      </c>
      <c r="E647">
        <v>4518.5928199999998</v>
      </c>
      <c r="F647">
        <v>4596.0559499999999</v>
      </c>
      <c r="G647">
        <v>4755.40355</v>
      </c>
      <c r="H647">
        <v>4792.7697200000002</v>
      </c>
      <c r="Q647">
        <v>4645.0330899999999</v>
      </c>
      <c r="R647">
        <v>4674.3963899999999</v>
      </c>
      <c r="S647">
        <v>4700.9851600000002</v>
      </c>
      <c r="V647">
        <v>4610.0933199999999</v>
      </c>
      <c r="W647">
        <v>4576.5283300000001</v>
      </c>
      <c r="AA647">
        <v>4667.32</v>
      </c>
      <c r="AB647">
        <v>4680.1839600000003</v>
      </c>
      <c r="AC647">
        <v>4683.16975</v>
      </c>
      <c r="AD647">
        <v>0</v>
      </c>
      <c r="AK647">
        <v>645</v>
      </c>
      <c r="AL647">
        <v>644</v>
      </c>
      <c r="AM647">
        <v>4674.6499999999996</v>
      </c>
      <c r="AN647">
        <v>4645.0330999999996</v>
      </c>
      <c r="AO647">
        <v>29.616900000000001</v>
      </c>
      <c r="AP647">
        <v>877.16139999999996</v>
      </c>
      <c r="AQ647">
        <v>0.59763299999999997</v>
      </c>
      <c r="AR647">
        <v>0.50339999999999996</v>
      </c>
      <c r="AY647">
        <v>645</v>
      </c>
      <c r="AZ647">
        <v>644</v>
      </c>
      <c r="BA647">
        <v>4674.6499999999996</v>
      </c>
      <c r="BB647">
        <v>4645.0330999999996</v>
      </c>
      <c r="BC647">
        <v>29.616900000000001</v>
      </c>
      <c r="BD647">
        <v>877.16139999999996</v>
      </c>
      <c r="BE647">
        <v>414736</v>
      </c>
    </row>
    <row r="648" spans="1:57" x14ac:dyDescent="0.55000000000000004">
      <c r="A648">
        <v>1777302902</v>
      </c>
      <c r="B648" t="s">
        <v>72</v>
      </c>
      <c r="C648" t="s">
        <v>73</v>
      </c>
      <c r="D648">
        <v>4681.21</v>
      </c>
      <c r="E648">
        <v>4518.5928199999998</v>
      </c>
      <c r="F648">
        <v>4596.0559499999999</v>
      </c>
      <c r="G648">
        <v>4755.40355</v>
      </c>
      <c r="H648">
        <v>4792.7697200000002</v>
      </c>
      <c r="Q648">
        <v>4644.7654899999998</v>
      </c>
      <c r="R648">
        <v>4674.1287899999998</v>
      </c>
      <c r="S648">
        <v>4700.71756</v>
      </c>
      <c r="V648">
        <v>4609.8257199999998</v>
      </c>
      <c r="W648">
        <v>4576.2607200000002</v>
      </c>
      <c r="AB648">
        <v>4677.64149</v>
      </c>
      <c r="AC648">
        <v>4680.4056200000005</v>
      </c>
      <c r="AD648">
        <v>0</v>
      </c>
      <c r="AK648">
        <v>646</v>
      </c>
      <c r="AL648">
        <v>645</v>
      </c>
      <c r="AM648">
        <v>4681.21</v>
      </c>
      <c r="AN648">
        <v>4644.7655000000004</v>
      </c>
      <c r="AO648">
        <v>36.444499999999998</v>
      </c>
      <c r="AP648">
        <v>1328.2022999999999</v>
      </c>
      <c r="AQ648">
        <v>1.113556</v>
      </c>
      <c r="AR648">
        <v>1.154204</v>
      </c>
      <c r="AY648">
        <v>646</v>
      </c>
      <c r="AZ648">
        <v>645</v>
      </c>
      <c r="BA648">
        <v>4681.21</v>
      </c>
      <c r="BB648">
        <v>4644.7655000000004</v>
      </c>
      <c r="BC648">
        <v>36.444499999999998</v>
      </c>
      <c r="BD648">
        <v>1328.2022999999999</v>
      </c>
      <c r="BE648">
        <v>416025</v>
      </c>
    </row>
    <row r="649" spans="1:57" x14ac:dyDescent="0.55000000000000004">
      <c r="A649">
        <v>1777303802</v>
      </c>
      <c r="B649" t="s">
        <v>72</v>
      </c>
      <c r="C649" t="s">
        <v>73</v>
      </c>
      <c r="D649">
        <v>4677.6000000000004</v>
      </c>
      <c r="E649">
        <v>4518.5928199999998</v>
      </c>
      <c r="F649">
        <v>4596.0559499999999</v>
      </c>
      <c r="G649">
        <v>4755.40355</v>
      </c>
      <c r="H649">
        <v>4792.7697200000002</v>
      </c>
      <c r="Q649">
        <v>4644.4978899999996</v>
      </c>
      <c r="R649">
        <v>4673.8611799999999</v>
      </c>
      <c r="S649">
        <v>4700.4499599999999</v>
      </c>
      <c r="V649">
        <v>4609.5581199999997</v>
      </c>
      <c r="W649">
        <v>4575.9931200000001</v>
      </c>
      <c r="AB649">
        <v>4675.5619399999996</v>
      </c>
      <c r="AC649">
        <v>4677.9837799999996</v>
      </c>
      <c r="AD649">
        <v>0</v>
      </c>
      <c r="AK649">
        <v>647</v>
      </c>
      <c r="AL649">
        <v>646</v>
      </c>
      <c r="AM649">
        <v>4677.6000000000004</v>
      </c>
      <c r="AN649">
        <v>4644.4979000000003</v>
      </c>
      <c r="AO649">
        <v>33.1021</v>
      </c>
      <c r="AP649">
        <v>1095.7497000000001</v>
      </c>
      <c r="AQ649">
        <v>0.83441600000000005</v>
      </c>
      <c r="AR649">
        <v>0.785555</v>
      </c>
      <c r="AY649">
        <v>647</v>
      </c>
      <c r="AZ649">
        <v>646</v>
      </c>
      <c r="BA649">
        <v>4677.6000000000004</v>
      </c>
      <c r="BB649">
        <v>4644.4979000000003</v>
      </c>
      <c r="BC649">
        <v>33.1021</v>
      </c>
      <c r="BD649">
        <v>1095.7497000000001</v>
      </c>
      <c r="BE649">
        <v>417316</v>
      </c>
    </row>
    <row r="650" spans="1:57" x14ac:dyDescent="0.55000000000000004">
      <c r="A650">
        <v>1777304702</v>
      </c>
      <c r="B650" t="s">
        <v>72</v>
      </c>
      <c r="C650" t="s">
        <v>73</v>
      </c>
      <c r="D650">
        <v>4670.04</v>
      </c>
      <c r="E650">
        <v>4518.5928199999998</v>
      </c>
      <c r="F650">
        <v>4596.0559499999999</v>
      </c>
      <c r="G650">
        <v>4755.40355</v>
      </c>
      <c r="H650">
        <v>4792.7697200000002</v>
      </c>
      <c r="Q650">
        <v>4644.2302799999998</v>
      </c>
      <c r="R650">
        <v>4673.5935799999997</v>
      </c>
      <c r="S650">
        <v>4700.18235</v>
      </c>
      <c r="V650">
        <v>4609.2905099999998</v>
      </c>
      <c r="W650">
        <v>4575.7255100000002</v>
      </c>
      <c r="AB650">
        <v>4674.1433500000003</v>
      </c>
      <c r="AC650">
        <v>4676.0635599999996</v>
      </c>
      <c r="AD650">
        <v>0</v>
      </c>
      <c r="AK650">
        <v>648</v>
      </c>
      <c r="AL650">
        <v>647</v>
      </c>
      <c r="AM650">
        <v>4670.04</v>
      </c>
      <c r="AN650">
        <v>4644.2303000000002</v>
      </c>
      <c r="AO650">
        <v>25.809699999999999</v>
      </c>
      <c r="AP650">
        <v>666.14160000000004</v>
      </c>
      <c r="AQ650">
        <v>0.39551700000000001</v>
      </c>
      <c r="AR650">
        <v>0.290327</v>
      </c>
      <c r="AY650">
        <v>648</v>
      </c>
      <c r="AZ650">
        <v>647</v>
      </c>
      <c r="BA650">
        <v>4670.04</v>
      </c>
      <c r="BB650">
        <v>4644.2303000000002</v>
      </c>
      <c r="BC650">
        <v>25.809699999999999</v>
      </c>
      <c r="BD650">
        <v>666.14160000000004</v>
      </c>
      <c r="BE650">
        <v>418609</v>
      </c>
    </row>
    <row r="651" spans="1:57" x14ac:dyDescent="0.55000000000000004">
      <c r="A651">
        <v>1777305602</v>
      </c>
      <c r="B651" t="s">
        <v>72</v>
      </c>
      <c r="C651" t="s">
        <v>73</v>
      </c>
      <c r="D651">
        <v>4674.71</v>
      </c>
      <c r="E651">
        <v>4518.5928199999998</v>
      </c>
      <c r="F651">
        <v>4596.0559499999999</v>
      </c>
      <c r="G651">
        <v>4755.40355</v>
      </c>
      <c r="H651">
        <v>4792.7697200000002</v>
      </c>
      <c r="Q651">
        <v>4643.9626799999996</v>
      </c>
      <c r="R651">
        <v>4673.3259799999996</v>
      </c>
      <c r="S651">
        <v>4699.9147499999999</v>
      </c>
      <c r="V651">
        <v>4609.0229099999997</v>
      </c>
      <c r="W651">
        <v>4575.4579100000001</v>
      </c>
      <c r="AB651">
        <v>4673.6457899999996</v>
      </c>
      <c r="AC651">
        <v>4674.8546800000004</v>
      </c>
      <c r="AD651">
        <v>0</v>
      </c>
      <c r="AK651">
        <v>649</v>
      </c>
      <c r="AL651">
        <v>648</v>
      </c>
      <c r="AM651">
        <v>4674.71</v>
      </c>
      <c r="AN651">
        <v>4643.9627</v>
      </c>
      <c r="AO651">
        <v>30.747299999999999</v>
      </c>
      <c r="AP651">
        <v>945.39769999999999</v>
      </c>
      <c r="AQ651">
        <v>0.668709</v>
      </c>
      <c r="AR651">
        <v>0.58476700000000004</v>
      </c>
      <c r="AY651">
        <v>649</v>
      </c>
      <c r="AZ651">
        <v>648</v>
      </c>
      <c r="BA651">
        <v>4674.71</v>
      </c>
      <c r="BB651">
        <v>4643.9627</v>
      </c>
      <c r="BC651">
        <v>30.747299999999999</v>
      </c>
      <c r="BD651">
        <v>945.39769999999999</v>
      </c>
      <c r="BE651">
        <v>419904</v>
      </c>
    </row>
    <row r="652" spans="1:57" x14ac:dyDescent="0.55000000000000004">
      <c r="A652">
        <v>1777306502</v>
      </c>
      <c r="B652" t="s">
        <v>72</v>
      </c>
      <c r="C652" t="s">
        <v>73</v>
      </c>
      <c r="D652">
        <v>4676.38</v>
      </c>
      <c r="E652">
        <v>4518.5928199999998</v>
      </c>
      <c r="F652">
        <v>4596.0559499999999</v>
      </c>
      <c r="G652">
        <v>4755.40355</v>
      </c>
      <c r="H652">
        <v>4792.7697200000002</v>
      </c>
      <c r="Q652">
        <v>4643.6950699999998</v>
      </c>
      <c r="R652">
        <v>4673.0583699999997</v>
      </c>
      <c r="S652">
        <v>4699.64714</v>
      </c>
      <c r="V652">
        <v>4608.7552999999998</v>
      </c>
      <c r="W652">
        <v>4575.19031</v>
      </c>
      <c r="AB652">
        <v>4673.90416</v>
      </c>
      <c r="AC652">
        <v>4674.3794200000002</v>
      </c>
      <c r="AD652">
        <v>0</v>
      </c>
      <c r="AK652">
        <v>650</v>
      </c>
      <c r="AL652">
        <v>649</v>
      </c>
      <c r="AM652">
        <v>4676.38</v>
      </c>
      <c r="AN652">
        <v>4643.6950999999999</v>
      </c>
      <c r="AO652">
        <v>32.684899999999999</v>
      </c>
      <c r="AP652">
        <v>1068.3045999999999</v>
      </c>
      <c r="AQ652">
        <v>0.80326399999999998</v>
      </c>
      <c r="AR652">
        <v>0.74669700000000006</v>
      </c>
      <c r="AY652">
        <v>650</v>
      </c>
      <c r="AZ652">
        <v>649</v>
      </c>
      <c r="BA652">
        <v>4676.38</v>
      </c>
      <c r="BB652">
        <v>4643.6950999999999</v>
      </c>
      <c r="BC652">
        <v>32.684899999999999</v>
      </c>
      <c r="BD652">
        <v>1068.3045999999999</v>
      </c>
      <c r="BE652">
        <v>421201</v>
      </c>
    </row>
    <row r="653" spans="1:57" x14ac:dyDescent="0.55000000000000004">
      <c r="A653">
        <v>1777307402</v>
      </c>
      <c r="B653" t="s">
        <v>72</v>
      </c>
      <c r="C653" t="s">
        <v>73</v>
      </c>
      <c r="D653">
        <v>4674.9799999999996</v>
      </c>
      <c r="E653">
        <v>4518.5928199999998</v>
      </c>
      <c r="F653">
        <v>4596.0559499999999</v>
      </c>
      <c r="G653">
        <v>4755.40355</v>
      </c>
      <c r="H653">
        <v>4792.7697200000002</v>
      </c>
      <c r="Q653">
        <v>4643.4274699999996</v>
      </c>
      <c r="R653">
        <v>4672.7907699999996</v>
      </c>
      <c r="S653">
        <v>4699.3795399999999</v>
      </c>
      <c r="V653">
        <v>4608.4876999999997</v>
      </c>
      <c r="W653">
        <v>4574.9227000000001</v>
      </c>
      <c r="AB653">
        <v>4674.7765799999997</v>
      </c>
      <c r="AC653">
        <v>4674.5780000000004</v>
      </c>
      <c r="AD653">
        <v>1</v>
      </c>
      <c r="AK653">
        <v>651</v>
      </c>
      <c r="AL653">
        <v>650</v>
      </c>
      <c r="AM653">
        <v>4674.9799999999996</v>
      </c>
      <c r="AN653">
        <v>4643.4274999999998</v>
      </c>
      <c r="AO653">
        <v>31.552499999999998</v>
      </c>
      <c r="AP653">
        <v>995.56209999999999</v>
      </c>
      <c r="AQ653">
        <v>0.722634</v>
      </c>
      <c r="AR653">
        <v>0.64847100000000002</v>
      </c>
      <c r="AY653">
        <v>651</v>
      </c>
      <c r="AZ653">
        <v>650</v>
      </c>
      <c r="BA653">
        <v>4674.9799999999996</v>
      </c>
      <c r="BB653">
        <v>4643.4274999999998</v>
      </c>
      <c r="BC653">
        <v>31.552499999999998</v>
      </c>
      <c r="BD653">
        <v>995.56209999999999</v>
      </c>
      <c r="BE653">
        <v>422500</v>
      </c>
    </row>
    <row r="654" spans="1:57" x14ac:dyDescent="0.55000000000000004">
      <c r="A654">
        <v>1777308302</v>
      </c>
      <c r="B654" t="s">
        <v>72</v>
      </c>
      <c r="C654" t="s">
        <v>73</v>
      </c>
      <c r="D654">
        <v>4676.82</v>
      </c>
      <c r="E654">
        <v>4518.5928199999998</v>
      </c>
      <c r="F654">
        <v>4596.0559499999999</v>
      </c>
      <c r="G654">
        <v>4755.40355</v>
      </c>
      <c r="H654">
        <v>4792.7697200000002</v>
      </c>
      <c r="Q654">
        <v>4643.1598599999998</v>
      </c>
      <c r="R654">
        <v>4672.5231599999997</v>
      </c>
      <c r="S654">
        <v>4699.11193</v>
      </c>
      <c r="V654">
        <v>4608.2200899999998</v>
      </c>
      <c r="W654">
        <v>4574.6550999999999</v>
      </c>
      <c r="AB654">
        <v>4676.14779</v>
      </c>
      <c r="AC654">
        <v>4675.3628900000003</v>
      </c>
      <c r="AD654">
        <v>0</v>
      </c>
      <c r="AK654">
        <v>652</v>
      </c>
      <c r="AL654">
        <v>651</v>
      </c>
      <c r="AM654">
        <v>4676.82</v>
      </c>
      <c r="AN654">
        <v>4643.1598999999997</v>
      </c>
      <c r="AO654">
        <v>33.6601</v>
      </c>
      <c r="AP654">
        <v>1133.0050000000001</v>
      </c>
      <c r="AQ654">
        <v>0.87733099999999997</v>
      </c>
      <c r="AR654">
        <v>0.83988099999999999</v>
      </c>
      <c r="AY654">
        <v>652</v>
      </c>
      <c r="AZ654">
        <v>651</v>
      </c>
      <c r="BA654">
        <v>4676.82</v>
      </c>
      <c r="BB654">
        <v>4643.1598999999997</v>
      </c>
      <c r="BC654">
        <v>33.6601</v>
      </c>
      <c r="BD654">
        <v>1133.0050000000001</v>
      </c>
      <c r="BE654">
        <v>423801</v>
      </c>
    </row>
    <row r="655" spans="1:57" x14ac:dyDescent="0.55000000000000004">
      <c r="A655">
        <v>1777309202</v>
      </c>
      <c r="B655" t="s">
        <v>72</v>
      </c>
      <c r="C655" t="s">
        <v>73</v>
      </c>
      <c r="D655">
        <v>4673.8599999999997</v>
      </c>
      <c r="E655">
        <v>4518.5928199999998</v>
      </c>
      <c r="F655">
        <v>4596.0559499999999</v>
      </c>
      <c r="G655">
        <v>4755.40355</v>
      </c>
      <c r="H655">
        <v>4792.7697200000002</v>
      </c>
      <c r="Q655">
        <v>4642.8922599999996</v>
      </c>
      <c r="R655">
        <v>4672.2555599999996</v>
      </c>
      <c r="S655">
        <v>4698.8443299999999</v>
      </c>
      <c r="V655">
        <v>4607.9524899999997</v>
      </c>
      <c r="W655">
        <v>4574.3874900000001</v>
      </c>
      <c r="AB655">
        <v>4677.7804800000004</v>
      </c>
      <c r="AC655">
        <v>4676.57168</v>
      </c>
      <c r="AD655">
        <v>0</v>
      </c>
      <c r="AK655">
        <v>653</v>
      </c>
      <c r="AL655">
        <v>652</v>
      </c>
      <c r="AM655">
        <v>4673.8599999999997</v>
      </c>
      <c r="AN655">
        <v>4642.8923000000004</v>
      </c>
      <c r="AO655">
        <v>30.967700000000001</v>
      </c>
      <c r="AP655">
        <v>959.0009</v>
      </c>
      <c r="AQ655">
        <v>0.68319399999999997</v>
      </c>
      <c r="AR655">
        <v>0.60171699999999995</v>
      </c>
      <c r="AY655">
        <v>653</v>
      </c>
      <c r="AZ655">
        <v>652</v>
      </c>
      <c r="BA655">
        <v>4673.8599999999997</v>
      </c>
      <c r="BB655">
        <v>4642.8923000000004</v>
      </c>
      <c r="BC655">
        <v>30.967700000000001</v>
      </c>
      <c r="BD655">
        <v>959.0009</v>
      </c>
      <c r="BE655">
        <v>425104</v>
      </c>
    </row>
    <row r="656" spans="1:57" x14ac:dyDescent="0.55000000000000004">
      <c r="A656">
        <v>1777310102</v>
      </c>
      <c r="B656" t="s">
        <v>72</v>
      </c>
      <c r="C656" t="s">
        <v>73</v>
      </c>
      <c r="D656">
        <v>4679.82</v>
      </c>
      <c r="E656">
        <v>4518.5928199999998</v>
      </c>
      <c r="F656">
        <v>4596.0559499999999</v>
      </c>
      <c r="G656">
        <v>4755.40355</v>
      </c>
      <c r="H656">
        <v>4792.7697200000002</v>
      </c>
      <c r="Q656">
        <v>4642.6246600000004</v>
      </c>
      <c r="R656">
        <v>4671.9879600000004</v>
      </c>
      <c r="S656">
        <v>4698.5767299999998</v>
      </c>
      <c r="V656">
        <v>4607.6848900000005</v>
      </c>
      <c r="W656">
        <v>4574.1198899999999</v>
      </c>
      <c r="AB656">
        <v>4679.5473400000001</v>
      </c>
      <c r="AC656">
        <v>4678.05951</v>
      </c>
      <c r="AD656">
        <v>0</v>
      </c>
      <c r="AK656">
        <v>654</v>
      </c>
      <c r="AL656">
        <v>653</v>
      </c>
      <c r="AM656">
        <v>4679.82</v>
      </c>
      <c r="AN656">
        <v>4642.6247000000003</v>
      </c>
      <c r="AO656">
        <v>37.195300000000003</v>
      </c>
      <c r="AP656">
        <v>1383.4933000000001</v>
      </c>
      <c r="AQ656">
        <v>1.183808</v>
      </c>
      <c r="AR656">
        <v>1.2523</v>
      </c>
      <c r="AY656">
        <v>654</v>
      </c>
      <c r="AZ656">
        <v>653</v>
      </c>
      <c r="BA656">
        <v>4679.82</v>
      </c>
      <c r="BB656">
        <v>4642.6247000000003</v>
      </c>
      <c r="BC656">
        <v>37.195300000000003</v>
      </c>
      <c r="BD656">
        <v>1383.4933000000001</v>
      </c>
      <c r="BE656">
        <v>426409</v>
      </c>
    </row>
    <row r="657" spans="1:57" x14ac:dyDescent="0.55000000000000004">
      <c r="A657">
        <v>1777311002</v>
      </c>
      <c r="B657" t="s">
        <v>72</v>
      </c>
      <c r="C657" t="s">
        <v>73</v>
      </c>
      <c r="D657">
        <v>4683.29</v>
      </c>
      <c r="E657">
        <v>4518.5928199999998</v>
      </c>
      <c r="F657">
        <v>4596.0559499999999</v>
      </c>
      <c r="G657">
        <v>4755.40355</v>
      </c>
      <c r="H657">
        <v>4792.7697200000002</v>
      </c>
      <c r="Q657">
        <v>4642.3570499999996</v>
      </c>
      <c r="R657">
        <v>4671.7203499999996</v>
      </c>
      <c r="S657">
        <v>4698.3091199999999</v>
      </c>
      <c r="V657">
        <v>4607.4172799999997</v>
      </c>
      <c r="W657">
        <v>4573.8522899999998</v>
      </c>
      <c r="AB657">
        <v>4681.1120300000002</v>
      </c>
      <c r="AC657">
        <v>4679.5857699999997</v>
      </c>
      <c r="AD657">
        <v>0</v>
      </c>
      <c r="AK657">
        <v>655</v>
      </c>
      <c r="AL657">
        <v>654</v>
      </c>
      <c r="AM657">
        <v>4683.29</v>
      </c>
      <c r="AN657">
        <v>4642.357</v>
      </c>
      <c r="AO657">
        <v>40.933</v>
      </c>
      <c r="AP657">
        <v>1675.5064</v>
      </c>
      <c r="AQ657">
        <v>1.5777369999999999</v>
      </c>
      <c r="AR657">
        <v>1.8367340000000001</v>
      </c>
      <c r="AY657">
        <v>655</v>
      </c>
      <c r="AZ657">
        <v>654</v>
      </c>
      <c r="BA657">
        <v>4683.29</v>
      </c>
      <c r="BB657">
        <v>4642.357</v>
      </c>
      <c r="BC657">
        <v>40.933</v>
      </c>
      <c r="BD657">
        <v>1675.5064</v>
      </c>
      <c r="BE657">
        <v>427716</v>
      </c>
    </row>
    <row r="658" spans="1:57" x14ac:dyDescent="0.55000000000000004">
      <c r="A658">
        <v>1777311902</v>
      </c>
      <c r="B658" t="s">
        <v>72</v>
      </c>
      <c r="C658" t="s">
        <v>73</v>
      </c>
      <c r="D658">
        <v>4682.1000000000004</v>
      </c>
      <c r="E658">
        <v>4518.5928199999998</v>
      </c>
      <c r="F658">
        <v>4596.0559499999999</v>
      </c>
      <c r="G658">
        <v>4755.40355</v>
      </c>
      <c r="H658">
        <v>4792.7697200000002</v>
      </c>
      <c r="Q658">
        <v>4642.0894500000004</v>
      </c>
      <c r="R658">
        <v>4671.4527500000004</v>
      </c>
      <c r="S658">
        <v>4698.0415199999998</v>
      </c>
      <c r="V658">
        <v>4607.1496800000004</v>
      </c>
      <c r="W658">
        <v>4573.5846799999999</v>
      </c>
      <c r="AB658">
        <v>4682.21036</v>
      </c>
      <c r="AC658">
        <v>4680.8980600000004</v>
      </c>
      <c r="AD658">
        <v>0</v>
      </c>
      <c r="AK658">
        <v>656</v>
      </c>
      <c r="AL658">
        <v>655</v>
      </c>
      <c r="AM658">
        <v>4682.1000000000004</v>
      </c>
      <c r="AN658">
        <v>4642.0895</v>
      </c>
      <c r="AO658">
        <v>40.0105</v>
      </c>
      <c r="AP658">
        <v>1600.8441</v>
      </c>
      <c r="AQ658">
        <v>1.473463</v>
      </c>
      <c r="AR658">
        <v>1.676688</v>
      </c>
      <c r="AY658">
        <v>656</v>
      </c>
      <c r="AZ658">
        <v>655</v>
      </c>
      <c r="BA658">
        <v>4682.1000000000004</v>
      </c>
      <c r="BB658">
        <v>4642.0895</v>
      </c>
      <c r="BC658">
        <v>40.0105</v>
      </c>
      <c r="BD658">
        <v>1600.8441</v>
      </c>
      <c r="BE658">
        <v>429025</v>
      </c>
    </row>
    <row r="659" spans="1:57" x14ac:dyDescent="0.55000000000000004">
      <c r="A659">
        <v>1777312802</v>
      </c>
      <c r="B659" t="s">
        <v>72</v>
      </c>
      <c r="C659" t="s">
        <v>73</v>
      </c>
      <c r="D659">
        <v>4681.62</v>
      </c>
      <c r="E659">
        <v>4518.5928199999998</v>
      </c>
      <c r="F659">
        <v>4596.0559499999999</v>
      </c>
      <c r="G659">
        <v>4755.40355</v>
      </c>
      <c r="H659">
        <v>4792.7697200000002</v>
      </c>
      <c r="Q659">
        <v>4641.8218399999996</v>
      </c>
      <c r="R659">
        <v>4671.1851399999996</v>
      </c>
      <c r="S659">
        <v>4697.7739099999999</v>
      </c>
      <c r="V659">
        <v>4606.8820699999997</v>
      </c>
      <c r="W659">
        <v>4573.3170799999998</v>
      </c>
      <c r="AB659">
        <v>4682.7925500000001</v>
      </c>
      <c r="AC659">
        <v>4681.8453099999997</v>
      </c>
      <c r="AD659">
        <v>0</v>
      </c>
      <c r="AK659">
        <v>657</v>
      </c>
      <c r="AL659">
        <v>656</v>
      </c>
      <c r="AM659">
        <v>4681.62</v>
      </c>
      <c r="AN659">
        <v>4641.8217999999997</v>
      </c>
      <c r="AO659">
        <v>39.798200000000001</v>
      </c>
      <c r="AP659">
        <v>1583.8934999999999</v>
      </c>
      <c r="AQ659">
        <v>1.4501219999999999</v>
      </c>
      <c r="AR659">
        <v>1.6413679999999999</v>
      </c>
      <c r="AY659">
        <v>657</v>
      </c>
      <c r="AZ659">
        <v>656</v>
      </c>
      <c r="BA659">
        <v>4681.62</v>
      </c>
      <c r="BB659">
        <v>4641.8217999999997</v>
      </c>
      <c r="BC659">
        <v>39.798200000000001</v>
      </c>
      <c r="BD659">
        <v>1583.8934999999999</v>
      </c>
      <c r="BE659">
        <v>430336</v>
      </c>
    </row>
    <row r="660" spans="1:57" x14ac:dyDescent="0.55000000000000004">
      <c r="A660">
        <v>1777313702</v>
      </c>
      <c r="B660" t="s">
        <v>72</v>
      </c>
      <c r="C660" t="s">
        <v>73</v>
      </c>
      <c r="D660">
        <v>4684.05</v>
      </c>
      <c r="E660">
        <v>4518.5928199999998</v>
      </c>
      <c r="F660">
        <v>4596.0559499999999</v>
      </c>
      <c r="G660">
        <v>4755.40355</v>
      </c>
      <c r="H660">
        <v>4792.7697200000002</v>
      </c>
      <c r="Q660">
        <v>4641.5542400000004</v>
      </c>
      <c r="R660">
        <v>4670.9175400000004</v>
      </c>
      <c r="S660">
        <v>4697.5063099999998</v>
      </c>
      <c r="V660">
        <v>4606.6144700000004</v>
      </c>
      <c r="W660">
        <v>4573.0494699999999</v>
      </c>
      <c r="AB660">
        <v>4682.8768799999998</v>
      </c>
      <c r="AC660">
        <v>4682.3610900000003</v>
      </c>
      <c r="AD660">
        <v>0</v>
      </c>
      <c r="AK660">
        <v>658</v>
      </c>
      <c r="AL660">
        <v>657</v>
      </c>
      <c r="AM660">
        <v>4684.05</v>
      </c>
      <c r="AN660">
        <v>4641.5541999999996</v>
      </c>
      <c r="AO660">
        <v>42.495800000000003</v>
      </c>
      <c r="AP660">
        <v>1805.8896</v>
      </c>
      <c r="AQ660">
        <v>1.7654380000000001</v>
      </c>
      <c r="AR660">
        <v>2.1337160000000002</v>
      </c>
      <c r="AY660">
        <v>658</v>
      </c>
      <c r="AZ660">
        <v>657</v>
      </c>
      <c r="BA660">
        <v>4684.05</v>
      </c>
      <c r="BB660">
        <v>4641.5541999999996</v>
      </c>
      <c r="BC660">
        <v>42.495800000000003</v>
      </c>
      <c r="BD660">
        <v>1805.8896</v>
      </c>
      <c r="BE660">
        <v>431649</v>
      </c>
    </row>
    <row r="661" spans="1:57" x14ac:dyDescent="0.55000000000000004">
      <c r="A661">
        <v>1777314602</v>
      </c>
      <c r="B661" t="s">
        <v>72</v>
      </c>
      <c r="C661" t="s">
        <v>73</v>
      </c>
      <c r="D661">
        <v>4682.7700000000004</v>
      </c>
      <c r="E661">
        <v>4518.5928199999998</v>
      </c>
      <c r="F661">
        <v>4596.0559499999999</v>
      </c>
      <c r="G661">
        <v>4755.40355</v>
      </c>
      <c r="H661">
        <v>4792.7697200000002</v>
      </c>
      <c r="Q661">
        <v>4641.2866400000003</v>
      </c>
      <c r="R661">
        <v>4670.6499400000002</v>
      </c>
      <c r="S661">
        <v>4697.2387099999996</v>
      </c>
      <c r="V661">
        <v>4606.3468700000003</v>
      </c>
      <c r="W661">
        <v>4572.7818699999998</v>
      </c>
      <c r="AB661">
        <v>4682.4821000000002</v>
      </c>
      <c r="AC661">
        <v>4682.4215899999999</v>
      </c>
      <c r="AD661">
        <v>0</v>
      </c>
      <c r="AK661">
        <v>659</v>
      </c>
      <c r="AL661">
        <v>658</v>
      </c>
      <c r="AM661">
        <v>4682.7700000000004</v>
      </c>
      <c r="AN661">
        <v>4641.2866000000004</v>
      </c>
      <c r="AO661">
        <v>41.483400000000003</v>
      </c>
      <c r="AP661">
        <v>1720.8692000000001</v>
      </c>
      <c r="AQ661">
        <v>1.6422429999999999</v>
      </c>
      <c r="AR661">
        <v>1.9375359999999999</v>
      </c>
      <c r="AY661">
        <v>659</v>
      </c>
      <c r="AZ661">
        <v>658</v>
      </c>
      <c r="BA661">
        <v>4682.7700000000004</v>
      </c>
      <c r="BB661">
        <v>4641.2866000000004</v>
      </c>
      <c r="BC661">
        <v>41.483400000000003</v>
      </c>
      <c r="BD661">
        <v>1720.8692000000001</v>
      </c>
      <c r="BE661">
        <v>432964</v>
      </c>
    </row>
    <row r="662" spans="1:57" x14ac:dyDescent="0.55000000000000004">
      <c r="A662">
        <v>1777315502</v>
      </c>
      <c r="B662" t="s">
        <v>72</v>
      </c>
      <c r="C662" t="s">
        <v>73</v>
      </c>
      <c r="D662">
        <v>4680.74</v>
      </c>
      <c r="E662">
        <v>4518.5928199999998</v>
      </c>
      <c r="F662">
        <v>4596.0559499999999</v>
      </c>
      <c r="G662">
        <v>4755.40355</v>
      </c>
      <c r="H662">
        <v>4792.7697200000002</v>
      </c>
      <c r="Q662">
        <v>4641.0190300000004</v>
      </c>
      <c r="R662">
        <v>4670.3823300000004</v>
      </c>
      <c r="S662">
        <v>4696.9710999999998</v>
      </c>
      <c r="V662">
        <v>4606.0792600000004</v>
      </c>
      <c r="W662">
        <v>4572.5142699999997</v>
      </c>
      <c r="AB662">
        <v>4681.7925699999996</v>
      </c>
      <c r="AC662">
        <v>4682.1070799999998</v>
      </c>
      <c r="AD662">
        <v>1</v>
      </c>
      <c r="AK662">
        <v>660</v>
      </c>
      <c r="AL662">
        <v>659</v>
      </c>
      <c r="AM662">
        <v>4680.74</v>
      </c>
      <c r="AN662">
        <v>4641.0190000000002</v>
      </c>
      <c r="AO662">
        <v>39.720999999999997</v>
      </c>
      <c r="AP662">
        <v>1577.7555</v>
      </c>
      <c r="AQ662">
        <v>1.4417009999999999</v>
      </c>
      <c r="AR662">
        <v>1.628671</v>
      </c>
      <c r="AY662">
        <v>660</v>
      </c>
      <c r="AZ662">
        <v>659</v>
      </c>
      <c r="BA662">
        <v>4680.74</v>
      </c>
      <c r="BB662">
        <v>4641.0190000000002</v>
      </c>
      <c r="BC662">
        <v>39.720999999999997</v>
      </c>
      <c r="BD662">
        <v>1577.7555</v>
      </c>
      <c r="BE662">
        <v>434281</v>
      </c>
    </row>
    <row r="663" spans="1:57" x14ac:dyDescent="0.55000000000000004">
      <c r="A663">
        <v>1777316402</v>
      </c>
      <c r="B663" t="s">
        <v>72</v>
      </c>
      <c r="C663" t="s">
        <v>73</v>
      </c>
      <c r="D663">
        <v>4680.3599999999997</v>
      </c>
      <c r="E663">
        <v>4518.5928199999998</v>
      </c>
      <c r="F663">
        <v>4596.0559499999999</v>
      </c>
      <c r="G663">
        <v>4755.40355</v>
      </c>
      <c r="H663">
        <v>4792.7697200000002</v>
      </c>
      <c r="Q663">
        <v>4640.7514300000003</v>
      </c>
      <c r="R663">
        <v>4670.1147300000002</v>
      </c>
      <c r="S663">
        <v>4696.7034999999996</v>
      </c>
      <c r="V663">
        <v>4605.8116600000003</v>
      </c>
      <c r="W663">
        <v>4572.2466599999998</v>
      </c>
      <c r="AB663">
        <v>4681.0392300000003</v>
      </c>
      <c r="AC663">
        <v>4681.5731599999999</v>
      </c>
      <c r="AD663">
        <v>0</v>
      </c>
      <c r="AK663">
        <v>661</v>
      </c>
      <c r="AL663">
        <v>660</v>
      </c>
      <c r="AM663">
        <v>4680.3599999999997</v>
      </c>
      <c r="AN663">
        <v>4640.7514000000001</v>
      </c>
      <c r="AO663">
        <v>39.608600000000003</v>
      </c>
      <c r="AP663">
        <v>1568.8388</v>
      </c>
      <c r="AQ663">
        <v>1.4294960000000001</v>
      </c>
      <c r="AR663">
        <v>1.6103149999999999</v>
      </c>
      <c r="AY663">
        <v>661</v>
      </c>
      <c r="AZ663">
        <v>660</v>
      </c>
      <c r="BA663">
        <v>4680.3599999999997</v>
      </c>
      <c r="BB663">
        <v>4640.7514000000001</v>
      </c>
      <c r="BC663">
        <v>39.608600000000003</v>
      </c>
      <c r="BD663">
        <v>1568.8388</v>
      </c>
      <c r="BE663">
        <v>435600</v>
      </c>
    </row>
    <row r="664" spans="1:57" x14ac:dyDescent="0.55000000000000004">
      <c r="A664">
        <v>1777317302</v>
      </c>
      <c r="B664" t="s">
        <v>72</v>
      </c>
      <c r="C664" t="s">
        <v>73</v>
      </c>
      <c r="D664">
        <v>4682.18</v>
      </c>
      <c r="E664">
        <v>4518.5928199999998</v>
      </c>
      <c r="F664">
        <v>4596.0559499999999</v>
      </c>
      <c r="G664">
        <v>4755.40355</v>
      </c>
      <c r="H664">
        <v>4792.7697200000002</v>
      </c>
      <c r="Q664">
        <v>4640.4838200000004</v>
      </c>
      <c r="R664">
        <v>4669.8471200000004</v>
      </c>
      <c r="S664">
        <v>4696.4358899999997</v>
      </c>
      <c r="V664">
        <v>4605.5440500000004</v>
      </c>
      <c r="W664">
        <v>4571.9790599999997</v>
      </c>
      <c r="AB664">
        <v>4680.4119700000001</v>
      </c>
      <c r="AC664">
        <v>4680.9925700000003</v>
      </c>
      <c r="AD664">
        <v>0</v>
      </c>
      <c r="AK664">
        <v>662</v>
      </c>
      <c r="AL664">
        <v>661</v>
      </c>
      <c r="AM664">
        <v>4682.18</v>
      </c>
      <c r="AN664">
        <v>4640.4838</v>
      </c>
      <c r="AO664">
        <v>41.696199999999997</v>
      </c>
      <c r="AP664">
        <v>1738.5714</v>
      </c>
      <c r="AQ664">
        <v>1.667648</v>
      </c>
      <c r="AR664">
        <v>1.977603</v>
      </c>
      <c r="AY664">
        <v>662</v>
      </c>
      <c r="AZ664">
        <v>661</v>
      </c>
      <c r="BA664">
        <v>4682.18</v>
      </c>
      <c r="BB664">
        <v>4640.4838</v>
      </c>
      <c r="BC664">
        <v>41.696199999999997</v>
      </c>
      <c r="BD664">
        <v>1738.5714</v>
      </c>
      <c r="BE664">
        <v>436921</v>
      </c>
    </row>
    <row r="665" spans="1:57" x14ac:dyDescent="0.55000000000000004">
      <c r="A665">
        <v>1777318202</v>
      </c>
      <c r="B665" t="s">
        <v>72</v>
      </c>
      <c r="C665" t="s">
        <v>73</v>
      </c>
      <c r="D665">
        <v>4679.9799999999996</v>
      </c>
      <c r="E665">
        <v>4518.5928199999998</v>
      </c>
      <c r="F665">
        <v>4596.0559499999999</v>
      </c>
      <c r="G665">
        <v>4755.40355</v>
      </c>
      <c r="H665">
        <v>4792.7697200000002</v>
      </c>
      <c r="Q665">
        <v>4640.2162200000002</v>
      </c>
      <c r="R665">
        <v>4669.5795200000002</v>
      </c>
      <c r="S665">
        <v>4696.1682899999996</v>
      </c>
      <c r="V665">
        <v>4605.2764500000003</v>
      </c>
      <c r="W665">
        <v>4571.7114499999998</v>
      </c>
      <c r="AB665">
        <v>4679.9943499999999</v>
      </c>
      <c r="AC665">
        <v>4680.4934599999997</v>
      </c>
      <c r="AD665">
        <v>0</v>
      </c>
      <c r="AK665">
        <v>663</v>
      </c>
      <c r="AL665">
        <v>662</v>
      </c>
      <c r="AM665">
        <v>4679.9799999999996</v>
      </c>
      <c r="AN665">
        <v>4640.2161999999998</v>
      </c>
      <c r="AO665">
        <v>39.763800000000003</v>
      </c>
      <c r="AP665">
        <v>1581.1582000000001</v>
      </c>
      <c r="AQ665">
        <v>1.446367</v>
      </c>
      <c r="AR665">
        <v>1.635704</v>
      </c>
      <c r="AY665">
        <v>663</v>
      </c>
      <c r="AZ665">
        <v>662</v>
      </c>
      <c r="BA665">
        <v>4679.9799999999996</v>
      </c>
      <c r="BB665">
        <v>4640.2161999999998</v>
      </c>
      <c r="BC665">
        <v>39.763800000000003</v>
      </c>
      <c r="BD665">
        <v>1581.1582000000001</v>
      </c>
      <c r="BE665">
        <v>438244</v>
      </c>
    </row>
    <row r="666" spans="1:57" x14ac:dyDescent="0.55000000000000004">
      <c r="A666">
        <v>1777319102</v>
      </c>
      <c r="B666" t="s">
        <v>72</v>
      </c>
      <c r="C666" t="s">
        <v>73</v>
      </c>
      <c r="D666">
        <v>4680.71</v>
      </c>
      <c r="E666">
        <v>4518.5928199999998</v>
      </c>
      <c r="F666">
        <v>4596.0559499999999</v>
      </c>
      <c r="G666">
        <v>4755.40355</v>
      </c>
      <c r="H666">
        <v>4792.7697200000002</v>
      </c>
      <c r="Q666">
        <v>4639.9486200000001</v>
      </c>
      <c r="R666">
        <v>4669.3119100000004</v>
      </c>
      <c r="S666">
        <v>4695.9006900000004</v>
      </c>
      <c r="V666">
        <v>4605.0088500000002</v>
      </c>
      <c r="W666">
        <v>4571.4438499999997</v>
      </c>
      <c r="AB666">
        <v>4679.9268499999998</v>
      </c>
      <c r="AC666">
        <v>4680.2101499999999</v>
      </c>
      <c r="AD666">
        <v>0</v>
      </c>
      <c r="AK666">
        <v>664</v>
      </c>
      <c r="AL666">
        <v>663</v>
      </c>
      <c r="AM666">
        <v>4680.71</v>
      </c>
      <c r="AN666">
        <v>4639.9485999999997</v>
      </c>
      <c r="AO666">
        <v>40.761400000000002</v>
      </c>
      <c r="AP666">
        <v>1661.4901</v>
      </c>
      <c r="AQ666">
        <v>1.5579810000000001</v>
      </c>
      <c r="AR666">
        <v>1.806133</v>
      </c>
      <c r="AY666">
        <v>664</v>
      </c>
      <c r="AZ666">
        <v>663</v>
      </c>
      <c r="BA666">
        <v>4680.71</v>
      </c>
      <c r="BB666">
        <v>4639.9485999999997</v>
      </c>
      <c r="BC666">
        <v>40.761400000000002</v>
      </c>
      <c r="BD666">
        <v>1661.4901</v>
      </c>
      <c r="BE666">
        <v>439569</v>
      </c>
    </row>
    <row r="667" spans="1:57" x14ac:dyDescent="0.55000000000000004">
      <c r="A667">
        <v>1777320002</v>
      </c>
      <c r="B667" t="s">
        <v>72</v>
      </c>
      <c r="C667" t="s">
        <v>73</v>
      </c>
      <c r="D667">
        <v>4679.22</v>
      </c>
      <c r="E667">
        <v>4518.5928199999998</v>
      </c>
      <c r="F667">
        <v>4596.0559499999999</v>
      </c>
      <c r="G667">
        <v>4755.40355</v>
      </c>
      <c r="H667">
        <v>4792.7697200000002</v>
      </c>
      <c r="Q667">
        <v>4639.6810100000002</v>
      </c>
      <c r="R667">
        <v>4669.0443100000002</v>
      </c>
      <c r="S667">
        <v>4695.6330799999996</v>
      </c>
      <c r="V667">
        <v>4604.7412400000003</v>
      </c>
      <c r="W667">
        <v>4571.1762500000004</v>
      </c>
      <c r="AB667">
        <v>4680.2318800000003</v>
      </c>
      <c r="AC667">
        <v>4680.22102</v>
      </c>
      <c r="AD667">
        <v>1</v>
      </c>
      <c r="AK667">
        <v>665</v>
      </c>
      <c r="AL667">
        <v>664</v>
      </c>
      <c r="AM667">
        <v>4679.22</v>
      </c>
      <c r="AN667">
        <v>4639.6809999999996</v>
      </c>
      <c r="AO667">
        <v>39.539000000000001</v>
      </c>
      <c r="AP667">
        <v>1563.3317</v>
      </c>
      <c r="AQ667">
        <v>1.4219759999999999</v>
      </c>
      <c r="AR667">
        <v>1.599029</v>
      </c>
      <c r="AY667">
        <v>665</v>
      </c>
      <c r="AZ667">
        <v>664</v>
      </c>
      <c r="BA667">
        <v>4679.22</v>
      </c>
      <c r="BB667">
        <v>4639.6809999999996</v>
      </c>
      <c r="BC667">
        <v>39.539000000000001</v>
      </c>
      <c r="BD667">
        <v>1563.3317</v>
      </c>
      <c r="BE667">
        <v>440896</v>
      </c>
    </row>
    <row r="668" spans="1:57" x14ac:dyDescent="0.55000000000000004">
      <c r="A668">
        <v>1777320902</v>
      </c>
      <c r="B668" t="s">
        <v>72</v>
      </c>
      <c r="C668" t="s">
        <v>73</v>
      </c>
      <c r="D668">
        <v>4679.83</v>
      </c>
      <c r="E668">
        <v>4518.5928199999998</v>
      </c>
      <c r="F668">
        <v>4596.0559499999999</v>
      </c>
      <c r="G668">
        <v>4755.40355</v>
      </c>
      <c r="H668">
        <v>4792.7697200000002</v>
      </c>
      <c r="Q668">
        <v>4639.4134100000001</v>
      </c>
      <c r="R668">
        <v>4668.7767100000001</v>
      </c>
      <c r="S668">
        <v>4695.3654800000004</v>
      </c>
      <c r="V668">
        <v>4604.4736400000002</v>
      </c>
      <c r="W668">
        <v>4570.9086399999997</v>
      </c>
      <c r="AB668">
        <v>4680.9534599999997</v>
      </c>
      <c r="AC668">
        <v>4680.5872399999998</v>
      </c>
      <c r="AD668">
        <v>0</v>
      </c>
      <c r="AK668">
        <v>666</v>
      </c>
      <c r="AL668">
        <v>665</v>
      </c>
      <c r="AM668">
        <v>4679.83</v>
      </c>
      <c r="AN668">
        <v>4639.4134000000004</v>
      </c>
      <c r="AO668">
        <v>40.416600000000003</v>
      </c>
      <c r="AP668">
        <v>1633.5007000000001</v>
      </c>
      <c r="AQ668">
        <v>1.5187790000000001</v>
      </c>
      <c r="AR668">
        <v>1.7457929999999999</v>
      </c>
      <c r="AY668">
        <v>666</v>
      </c>
      <c r="AZ668">
        <v>665</v>
      </c>
      <c r="BA668">
        <v>4679.83</v>
      </c>
      <c r="BB668">
        <v>4639.4134000000004</v>
      </c>
      <c r="BC668">
        <v>40.416600000000003</v>
      </c>
      <c r="BD668">
        <v>1633.5007000000001</v>
      </c>
      <c r="BE668">
        <v>442225</v>
      </c>
    </row>
    <row r="669" spans="1:57" x14ac:dyDescent="0.55000000000000004">
      <c r="A669">
        <v>1777321802</v>
      </c>
      <c r="B669" t="s">
        <v>72</v>
      </c>
      <c r="C669" t="s">
        <v>73</v>
      </c>
      <c r="D669">
        <v>4680.18</v>
      </c>
      <c r="E669">
        <v>4518.5928199999998</v>
      </c>
      <c r="F669">
        <v>4596.0559499999999</v>
      </c>
      <c r="G669">
        <v>4755.40355</v>
      </c>
      <c r="H669">
        <v>4792.7697200000002</v>
      </c>
      <c r="Q669">
        <v>4639.1458000000002</v>
      </c>
      <c r="R669">
        <v>4668.5091000000002</v>
      </c>
      <c r="S669">
        <v>4695.0978699999996</v>
      </c>
      <c r="V669">
        <v>4604.2060300000003</v>
      </c>
      <c r="W669">
        <v>4570.6410400000004</v>
      </c>
      <c r="AB669">
        <v>4682.0366400000003</v>
      </c>
      <c r="AC669">
        <v>4681.3119399999996</v>
      </c>
      <c r="AD669">
        <v>0</v>
      </c>
      <c r="AK669">
        <v>667</v>
      </c>
      <c r="AL669">
        <v>666</v>
      </c>
      <c r="AM669">
        <v>4680.18</v>
      </c>
      <c r="AN669">
        <v>4639.1458000000002</v>
      </c>
      <c r="AO669">
        <v>41.034199999999998</v>
      </c>
      <c r="AP669">
        <v>1683.8055999999999</v>
      </c>
      <c r="AQ669">
        <v>1.5894740000000001</v>
      </c>
      <c r="AR669">
        <v>1.854975</v>
      </c>
      <c r="AY669">
        <v>667</v>
      </c>
      <c r="AZ669">
        <v>666</v>
      </c>
      <c r="BA669">
        <v>4680.18</v>
      </c>
      <c r="BB669">
        <v>4639.1458000000002</v>
      </c>
      <c r="BC669">
        <v>41.034199999999998</v>
      </c>
      <c r="BD669">
        <v>1683.8055999999999</v>
      </c>
      <c r="BE669">
        <v>443556</v>
      </c>
    </row>
    <row r="670" spans="1:57" x14ac:dyDescent="0.55000000000000004">
      <c r="A670">
        <v>1777322702</v>
      </c>
      <c r="B670" t="s">
        <v>72</v>
      </c>
      <c r="C670" t="s">
        <v>73</v>
      </c>
      <c r="D670">
        <v>4681.84</v>
      </c>
      <c r="E670">
        <v>4518.5928199999998</v>
      </c>
      <c r="F670">
        <v>4596.0559499999999</v>
      </c>
      <c r="G670">
        <v>4755.40355</v>
      </c>
      <c r="H670">
        <v>4792.7697200000002</v>
      </c>
      <c r="Q670">
        <v>4638.8782000000001</v>
      </c>
      <c r="R670">
        <v>4668.2415000000001</v>
      </c>
      <c r="S670">
        <v>4694.8302700000004</v>
      </c>
      <c r="V670">
        <v>4603.9384300000002</v>
      </c>
      <c r="W670">
        <v>4570.3734299999996</v>
      </c>
      <c r="AB670">
        <v>4683.4310800000003</v>
      </c>
      <c r="AC670">
        <v>4682.3715099999999</v>
      </c>
      <c r="AD670">
        <v>0</v>
      </c>
      <c r="AK670">
        <v>668</v>
      </c>
      <c r="AL670">
        <v>667</v>
      </c>
      <c r="AM670">
        <v>4681.84</v>
      </c>
      <c r="AN670">
        <v>4638.8782000000001</v>
      </c>
      <c r="AO670">
        <v>42.961799999999997</v>
      </c>
      <c r="AP670">
        <v>1845.7163</v>
      </c>
      <c r="AQ670">
        <v>1.82416</v>
      </c>
      <c r="AR670">
        <v>2.228866</v>
      </c>
      <c r="AY670">
        <v>668</v>
      </c>
      <c r="AZ670">
        <v>667</v>
      </c>
      <c r="BA670">
        <v>4681.84</v>
      </c>
      <c r="BB670">
        <v>4638.8782000000001</v>
      </c>
      <c r="BC670">
        <v>42.961799999999997</v>
      </c>
      <c r="BD670">
        <v>1845.7163</v>
      </c>
      <c r="BE670">
        <v>444889</v>
      </c>
    </row>
    <row r="671" spans="1:57" x14ac:dyDescent="0.55000000000000004">
      <c r="A671">
        <v>1777327202</v>
      </c>
      <c r="B671" t="s">
        <v>72</v>
      </c>
      <c r="C671" t="s">
        <v>73</v>
      </c>
      <c r="D671">
        <v>4689.32</v>
      </c>
      <c r="E671">
        <v>4518.5928199999998</v>
      </c>
      <c r="F671">
        <v>4596.0559499999999</v>
      </c>
      <c r="G671">
        <v>4755.40355</v>
      </c>
      <c r="H671">
        <v>4792.7697200000002</v>
      </c>
      <c r="Q671">
        <v>4638.6106</v>
      </c>
      <c r="R671">
        <v>4667.9738900000002</v>
      </c>
      <c r="S671">
        <v>4694.5626700000003</v>
      </c>
      <c r="V671">
        <v>4603.67083</v>
      </c>
      <c r="W671">
        <v>4570.1058300000004</v>
      </c>
      <c r="AB671">
        <v>4684.99161</v>
      </c>
      <c r="AC671">
        <v>4683.68156</v>
      </c>
      <c r="AD671">
        <v>0</v>
      </c>
      <c r="AK671">
        <v>669</v>
      </c>
      <c r="AL671">
        <v>668</v>
      </c>
      <c r="AM671">
        <v>4689.32</v>
      </c>
      <c r="AN671">
        <v>4638.6106</v>
      </c>
      <c r="AO671">
        <v>50.709400000000002</v>
      </c>
      <c r="AP671">
        <v>2571.4432000000002</v>
      </c>
      <c r="AQ671">
        <v>2.9997220000000002</v>
      </c>
      <c r="AR671">
        <v>4.3262140000000002</v>
      </c>
      <c r="AY671">
        <v>669</v>
      </c>
      <c r="AZ671">
        <v>668</v>
      </c>
      <c r="BA671">
        <v>4689.32</v>
      </c>
      <c r="BB671">
        <v>4638.6106</v>
      </c>
      <c r="BC671">
        <v>50.709400000000002</v>
      </c>
      <c r="BD671">
        <v>2571.4432000000002</v>
      </c>
      <c r="BE671">
        <v>446224</v>
      </c>
    </row>
    <row r="672" spans="1:57" x14ac:dyDescent="0.55000000000000004">
      <c r="A672">
        <v>1777328102</v>
      </c>
      <c r="B672" t="s">
        <v>72</v>
      </c>
      <c r="C672" t="s">
        <v>73</v>
      </c>
      <c r="D672">
        <v>4689.07</v>
      </c>
      <c r="E672">
        <v>4518.5928199999998</v>
      </c>
      <c r="F672">
        <v>4596.0559499999999</v>
      </c>
      <c r="G672">
        <v>4755.40355</v>
      </c>
      <c r="H672">
        <v>4792.7697200000002</v>
      </c>
      <c r="Q672">
        <v>4638.3429900000001</v>
      </c>
      <c r="R672">
        <v>4667.7062900000001</v>
      </c>
      <c r="S672">
        <v>4694.2950600000004</v>
      </c>
      <c r="V672">
        <v>4603.4032200000001</v>
      </c>
      <c r="W672">
        <v>4569.8382199999996</v>
      </c>
      <c r="AB672">
        <v>4686.5107500000004</v>
      </c>
      <c r="AC672">
        <v>4685.0961500000003</v>
      </c>
      <c r="AD672">
        <v>0</v>
      </c>
      <c r="AK672">
        <v>670</v>
      </c>
      <c r="AL672">
        <v>669</v>
      </c>
      <c r="AM672">
        <v>4689.07</v>
      </c>
      <c r="AN672">
        <v>4638.3429999999998</v>
      </c>
      <c r="AO672">
        <v>50.726999999999997</v>
      </c>
      <c r="AP672">
        <v>2573.2294999999999</v>
      </c>
      <c r="AQ672">
        <v>3.0028480000000002</v>
      </c>
      <c r="AR672">
        <v>4.3322269999999996</v>
      </c>
      <c r="AY672">
        <v>670</v>
      </c>
      <c r="AZ672">
        <v>669</v>
      </c>
      <c r="BA672">
        <v>4689.07</v>
      </c>
      <c r="BB672">
        <v>4638.3429999999998</v>
      </c>
      <c r="BC672">
        <v>50.726999999999997</v>
      </c>
      <c r="BD672">
        <v>2573.2294999999999</v>
      </c>
      <c r="BE672">
        <v>447561</v>
      </c>
    </row>
    <row r="673" spans="1:57" x14ac:dyDescent="0.55000000000000004">
      <c r="A673">
        <v>1777329002</v>
      </c>
      <c r="B673" t="s">
        <v>72</v>
      </c>
      <c r="C673" t="s">
        <v>73</v>
      </c>
      <c r="D673">
        <v>4687.28</v>
      </c>
      <c r="E673">
        <v>4518.5928199999998</v>
      </c>
      <c r="F673">
        <v>4596.0559499999999</v>
      </c>
      <c r="G673">
        <v>4755.40355</v>
      </c>
      <c r="H673">
        <v>4792.7697200000002</v>
      </c>
      <c r="Q673">
        <v>4638.07539</v>
      </c>
      <c r="R673">
        <v>4667.43869</v>
      </c>
      <c r="S673">
        <v>4694.0274600000002</v>
      </c>
      <c r="V673">
        <v>4603.13562</v>
      </c>
      <c r="W673">
        <v>4569.5706200000004</v>
      </c>
      <c r="AB673">
        <v>4687.9415600000002</v>
      </c>
      <c r="AC673">
        <v>4686.5188600000001</v>
      </c>
      <c r="AD673">
        <v>0</v>
      </c>
      <c r="AK673">
        <v>671</v>
      </c>
      <c r="AL673">
        <v>670</v>
      </c>
      <c r="AM673">
        <v>4687.28</v>
      </c>
      <c r="AN673">
        <v>4638.0753999999997</v>
      </c>
      <c r="AO673">
        <v>49.204599999999999</v>
      </c>
      <c r="AP673">
        <v>2421.0936000000002</v>
      </c>
      <c r="AQ673">
        <v>2.7405200000000001</v>
      </c>
      <c r="AR673">
        <v>3.835105</v>
      </c>
      <c r="AY673">
        <v>671</v>
      </c>
      <c r="AZ673">
        <v>670</v>
      </c>
      <c r="BA673">
        <v>4687.28</v>
      </c>
      <c r="BB673">
        <v>4638.0753999999997</v>
      </c>
      <c r="BC673">
        <v>49.204599999999999</v>
      </c>
      <c r="BD673">
        <v>2421.0936000000002</v>
      </c>
      <c r="BE673">
        <v>448900</v>
      </c>
    </row>
    <row r="674" spans="1:57" x14ac:dyDescent="0.55000000000000004">
      <c r="A674">
        <v>1777329902</v>
      </c>
      <c r="B674" t="s">
        <v>72</v>
      </c>
      <c r="C674" t="s">
        <v>73</v>
      </c>
      <c r="D674">
        <v>4687.93</v>
      </c>
      <c r="E674">
        <v>4518.5928199999998</v>
      </c>
      <c r="F674">
        <v>4596.0559499999999</v>
      </c>
      <c r="G674">
        <v>4755.40355</v>
      </c>
      <c r="H674">
        <v>4792.7697200000002</v>
      </c>
      <c r="Q674">
        <v>4637.8077800000001</v>
      </c>
      <c r="R674">
        <v>4667.1710800000001</v>
      </c>
      <c r="S674">
        <v>4693.7598500000004</v>
      </c>
      <c r="V674">
        <v>4602.8680100000001</v>
      </c>
      <c r="W674">
        <v>4569.3030200000003</v>
      </c>
      <c r="AB674">
        <v>4689.3316100000002</v>
      </c>
      <c r="AC674">
        <v>4687.9252399999996</v>
      </c>
      <c r="AD674">
        <v>0</v>
      </c>
      <c r="AK674">
        <v>672</v>
      </c>
      <c r="AL674">
        <v>671</v>
      </c>
      <c r="AM674">
        <v>4687.93</v>
      </c>
      <c r="AN674">
        <v>4637.8077999999996</v>
      </c>
      <c r="AO674">
        <v>50.122199999999999</v>
      </c>
      <c r="AP674">
        <v>2512.2368999999999</v>
      </c>
      <c r="AQ674">
        <v>2.8967200000000002</v>
      </c>
      <c r="AR674">
        <v>4.129289</v>
      </c>
      <c r="AY674">
        <v>672</v>
      </c>
      <c r="AZ674">
        <v>671</v>
      </c>
      <c r="BA674">
        <v>4687.93</v>
      </c>
      <c r="BB674">
        <v>4637.8077999999996</v>
      </c>
      <c r="BC674">
        <v>50.122199999999999</v>
      </c>
      <c r="BD674">
        <v>2512.2368999999999</v>
      </c>
      <c r="BE674">
        <v>450241</v>
      </c>
    </row>
    <row r="675" spans="1:57" x14ac:dyDescent="0.55000000000000004">
      <c r="A675">
        <v>1777330802</v>
      </c>
      <c r="B675" t="s">
        <v>72</v>
      </c>
      <c r="C675" t="s">
        <v>73</v>
      </c>
      <c r="D675">
        <v>4689.83</v>
      </c>
      <c r="E675">
        <v>4518.5928199999998</v>
      </c>
      <c r="F675">
        <v>4596.0559499999999</v>
      </c>
      <c r="G675">
        <v>4755.40355</v>
      </c>
      <c r="H675">
        <v>4792.7697200000002</v>
      </c>
      <c r="Q675">
        <v>4637.54018</v>
      </c>
      <c r="R675">
        <v>4666.9034799999999</v>
      </c>
      <c r="S675">
        <v>4693.4922500000002</v>
      </c>
      <c r="V675">
        <v>4602.60041</v>
      </c>
      <c r="W675">
        <v>4569.0354100000004</v>
      </c>
      <c r="AB675">
        <v>4690.7119199999997</v>
      </c>
      <c r="AC675">
        <v>4689.3185800000001</v>
      </c>
      <c r="AD675">
        <v>0</v>
      </c>
      <c r="AK675">
        <v>673</v>
      </c>
      <c r="AL675">
        <v>672</v>
      </c>
      <c r="AM675">
        <v>4689.83</v>
      </c>
      <c r="AN675">
        <v>4637.5402000000004</v>
      </c>
      <c r="AO675">
        <v>52.2898</v>
      </c>
      <c r="AP675">
        <v>2734.2253000000001</v>
      </c>
      <c r="AQ675">
        <v>3.2890239999999999</v>
      </c>
      <c r="AR675">
        <v>4.8912820000000004</v>
      </c>
      <c r="AY675">
        <v>673</v>
      </c>
      <c r="AZ675">
        <v>672</v>
      </c>
      <c r="BA675">
        <v>4689.83</v>
      </c>
      <c r="BB675">
        <v>4637.5402000000004</v>
      </c>
      <c r="BC675">
        <v>52.2898</v>
      </c>
      <c r="BD675">
        <v>2734.2253000000001</v>
      </c>
      <c r="BE675">
        <v>451584</v>
      </c>
    </row>
    <row r="676" spans="1:57" x14ac:dyDescent="0.55000000000000004">
      <c r="A676">
        <v>1777331702</v>
      </c>
      <c r="B676" t="s">
        <v>72</v>
      </c>
      <c r="C676" t="s">
        <v>73</v>
      </c>
      <c r="D676">
        <v>4690.82</v>
      </c>
      <c r="E676">
        <v>4518.5928199999998</v>
      </c>
      <c r="F676">
        <v>4596.0559499999999</v>
      </c>
      <c r="G676">
        <v>4755.40355</v>
      </c>
      <c r="H676">
        <v>4792.7697200000002</v>
      </c>
      <c r="Q676">
        <v>4637.2725799999998</v>
      </c>
      <c r="R676">
        <v>4666.6358700000001</v>
      </c>
      <c r="S676">
        <v>4693.2246400000004</v>
      </c>
      <c r="V676">
        <v>4602.3328000000001</v>
      </c>
      <c r="W676">
        <v>4568.7678100000003</v>
      </c>
      <c r="AB676">
        <v>4692.0335999999998</v>
      </c>
      <c r="AC676">
        <v>4690.6760899999999</v>
      </c>
      <c r="AD676">
        <v>0</v>
      </c>
      <c r="AK676">
        <v>674</v>
      </c>
      <c r="AL676">
        <v>673</v>
      </c>
      <c r="AM676">
        <v>4690.82</v>
      </c>
      <c r="AN676">
        <v>4637.2726000000002</v>
      </c>
      <c r="AO676">
        <v>53.547400000000003</v>
      </c>
      <c r="AP676">
        <v>2867.3262</v>
      </c>
      <c r="AQ676">
        <v>3.5320860000000001</v>
      </c>
      <c r="AR676">
        <v>5.3790839999999998</v>
      </c>
      <c r="AY676">
        <v>674</v>
      </c>
      <c r="AZ676">
        <v>673</v>
      </c>
      <c r="BA676">
        <v>4690.82</v>
      </c>
      <c r="BB676">
        <v>4637.2726000000002</v>
      </c>
      <c r="BC676">
        <v>53.547400000000003</v>
      </c>
      <c r="BD676">
        <v>2867.3262</v>
      </c>
      <c r="BE676">
        <v>452929</v>
      </c>
    </row>
    <row r="677" spans="1:57" x14ac:dyDescent="0.55000000000000004">
      <c r="A677">
        <v>1777332602</v>
      </c>
      <c r="B677" t="s">
        <v>72</v>
      </c>
      <c r="C677" t="s">
        <v>73</v>
      </c>
      <c r="D677">
        <v>4694.41</v>
      </c>
      <c r="E677">
        <v>4518.5928199999998</v>
      </c>
      <c r="F677">
        <v>4596.0559499999999</v>
      </c>
      <c r="G677">
        <v>4755.40355</v>
      </c>
      <c r="H677">
        <v>4792.7697200000002</v>
      </c>
      <c r="Q677">
        <v>4637.00497</v>
      </c>
      <c r="R677">
        <v>4666.3682699999999</v>
      </c>
      <c r="S677">
        <v>4692.9570400000002</v>
      </c>
      <c r="V677">
        <v>4602.0652</v>
      </c>
      <c r="W677">
        <v>4568.5002000000004</v>
      </c>
      <c r="AB677">
        <v>4693.2609499999999</v>
      </c>
      <c r="AC677">
        <v>4691.9685200000004</v>
      </c>
      <c r="AD677">
        <v>0</v>
      </c>
      <c r="AK677">
        <v>675</v>
      </c>
      <c r="AL677">
        <v>674</v>
      </c>
      <c r="AM677">
        <v>4694.41</v>
      </c>
      <c r="AN677">
        <v>4637.0050000000001</v>
      </c>
      <c r="AO677">
        <v>57.405000000000001</v>
      </c>
      <c r="AP677">
        <v>3295.3375000000001</v>
      </c>
      <c r="AQ677">
        <v>4.3517650000000003</v>
      </c>
      <c r="AR677">
        <v>7.1048340000000003</v>
      </c>
      <c r="AY677">
        <v>675</v>
      </c>
      <c r="AZ677">
        <v>674</v>
      </c>
      <c r="BA677">
        <v>4694.41</v>
      </c>
      <c r="BB677">
        <v>4637.0050000000001</v>
      </c>
      <c r="BC677">
        <v>57.405000000000001</v>
      </c>
      <c r="BD677">
        <v>3295.3375000000001</v>
      </c>
      <c r="BE677">
        <v>454276</v>
      </c>
    </row>
    <row r="678" spans="1:57" x14ac:dyDescent="0.55000000000000004">
      <c r="A678">
        <v>1777333502</v>
      </c>
      <c r="B678" t="s">
        <v>72</v>
      </c>
      <c r="C678" t="s">
        <v>73</v>
      </c>
      <c r="D678">
        <v>4691.8500000000004</v>
      </c>
      <c r="E678">
        <v>4518.5928199999998</v>
      </c>
      <c r="F678">
        <v>4596.0559499999999</v>
      </c>
      <c r="G678">
        <v>4755.40355</v>
      </c>
      <c r="H678">
        <v>4792.7697200000002</v>
      </c>
      <c r="Q678">
        <v>4636.7373699999998</v>
      </c>
      <c r="R678">
        <v>4666.1006699999998</v>
      </c>
      <c r="S678">
        <v>4692.6894400000001</v>
      </c>
      <c r="V678">
        <v>4601.7975999999999</v>
      </c>
      <c r="W678">
        <v>4568.2326000000003</v>
      </c>
      <c r="AB678">
        <v>4694.2019300000002</v>
      </c>
      <c r="AC678">
        <v>4693.0852199999999</v>
      </c>
      <c r="AD678">
        <v>0</v>
      </c>
      <c r="AK678">
        <v>676</v>
      </c>
      <c r="AL678">
        <v>675</v>
      </c>
      <c r="AM678">
        <v>4691.8500000000004</v>
      </c>
      <c r="AN678">
        <v>4636.7374</v>
      </c>
      <c r="AO678">
        <v>55.1126</v>
      </c>
      <c r="AP678">
        <v>3037.402</v>
      </c>
      <c r="AQ678">
        <v>3.8509600000000002</v>
      </c>
      <c r="AR678">
        <v>6.0361310000000001</v>
      </c>
      <c r="AY678">
        <v>676</v>
      </c>
      <c r="AZ678">
        <v>675</v>
      </c>
      <c r="BA678">
        <v>4691.8500000000004</v>
      </c>
      <c r="BB678">
        <v>4636.7374</v>
      </c>
      <c r="BC678">
        <v>55.1126</v>
      </c>
      <c r="BD678">
        <v>3037.402</v>
      </c>
      <c r="BE678">
        <v>455625</v>
      </c>
    </row>
    <row r="679" spans="1:57" x14ac:dyDescent="0.55000000000000004">
      <c r="A679">
        <v>1777334402</v>
      </c>
      <c r="B679" t="s">
        <v>72</v>
      </c>
      <c r="C679" t="s">
        <v>73</v>
      </c>
      <c r="D679">
        <v>4697.91</v>
      </c>
      <c r="E679">
        <v>4518.5928199999998</v>
      </c>
      <c r="F679">
        <v>4596.0559499999999</v>
      </c>
      <c r="G679">
        <v>4755.40355</v>
      </c>
      <c r="H679">
        <v>4792.7697200000002</v>
      </c>
      <c r="Q679">
        <v>4636.46976</v>
      </c>
      <c r="R679">
        <v>4665.8330599999999</v>
      </c>
      <c r="S679">
        <v>4692.4218300000002</v>
      </c>
      <c r="V679">
        <v>4601.52999</v>
      </c>
      <c r="W679">
        <v>4567.9650000000001</v>
      </c>
      <c r="Z679">
        <v>4701.1400000000003</v>
      </c>
      <c r="AB679">
        <v>4694.7716600000003</v>
      </c>
      <c r="AC679">
        <v>4693.9284399999997</v>
      </c>
      <c r="AD679">
        <v>0</v>
      </c>
      <c r="AK679">
        <v>677</v>
      </c>
      <c r="AL679">
        <v>676</v>
      </c>
      <c r="AM679">
        <v>4697.91</v>
      </c>
      <c r="AN679">
        <v>4636.4697999999999</v>
      </c>
      <c r="AO679">
        <v>61.440199999999997</v>
      </c>
      <c r="AP679">
        <v>3774.9031</v>
      </c>
      <c r="AQ679">
        <v>5.3354900000000001</v>
      </c>
      <c r="AR679">
        <v>9.3232160000000004</v>
      </c>
      <c r="AY679">
        <v>677</v>
      </c>
      <c r="AZ679">
        <v>676</v>
      </c>
      <c r="BA679">
        <v>4697.91</v>
      </c>
      <c r="BB679">
        <v>4636.4697999999999</v>
      </c>
      <c r="BC679">
        <v>61.440199999999997</v>
      </c>
      <c r="BD679">
        <v>3774.9031</v>
      </c>
      <c r="BE679">
        <v>456976</v>
      </c>
    </row>
    <row r="680" spans="1:57" x14ac:dyDescent="0.55000000000000004">
      <c r="A680">
        <v>1777335302</v>
      </c>
      <c r="B680" t="s">
        <v>72</v>
      </c>
      <c r="C680" t="s">
        <v>73</v>
      </c>
      <c r="D680">
        <v>4695.01</v>
      </c>
      <c r="E680">
        <v>4518.5928199999998</v>
      </c>
      <c r="F680">
        <v>4596.0559499999999</v>
      </c>
      <c r="G680">
        <v>4755.40355</v>
      </c>
      <c r="H680">
        <v>4792.7697200000002</v>
      </c>
      <c r="Q680">
        <v>4636.2021599999998</v>
      </c>
      <c r="R680">
        <v>4665.5654599999998</v>
      </c>
      <c r="S680">
        <v>4692.1542300000001</v>
      </c>
      <c r="V680">
        <v>4601.2623899999999</v>
      </c>
      <c r="W680">
        <v>4567.6973900000003</v>
      </c>
      <c r="AB680">
        <v>4694.6294200000002</v>
      </c>
      <c r="AC680">
        <v>4694.2789300000004</v>
      </c>
      <c r="AD680">
        <v>0</v>
      </c>
      <c r="AK680">
        <v>678</v>
      </c>
      <c r="AL680">
        <v>677</v>
      </c>
      <c r="AM680">
        <v>4695.01</v>
      </c>
      <c r="AN680">
        <v>4636.2021999999997</v>
      </c>
      <c r="AO680">
        <v>58.8078</v>
      </c>
      <c r="AP680">
        <v>3458.3620000000001</v>
      </c>
      <c r="AQ680">
        <v>4.6786580000000004</v>
      </c>
      <c r="AR680">
        <v>7.8251920000000004</v>
      </c>
      <c r="AY680">
        <v>678</v>
      </c>
      <c r="AZ680">
        <v>677</v>
      </c>
      <c r="BA680">
        <v>4695.01</v>
      </c>
      <c r="BB680">
        <v>4636.2021999999997</v>
      </c>
      <c r="BC680">
        <v>58.8078</v>
      </c>
      <c r="BD680">
        <v>3458.3620000000001</v>
      </c>
      <c r="BE680">
        <v>458329</v>
      </c>
    </row>
    <row r="681" spans="1:57" x14ac:dyDescent="0.55000000000000004">
      <c r="A681">
        <v>1777336202</v>
      </c>
      <c r="B681" t="s">
        <v>72</v>
      </c>
      <c r="C681" t="s">
        <v>73</v>
      </c>
      <c r="D681">
        <v>4693.71</v>
      </c>
      <c r="E681">
        <v>4518.5928199999998</v>
      </c>
      <c r="F681">
        <v>4596.0559499999999</v>
      </c>
      <c r="G681">
        <v>4755.40355</v>
      </c>
      <c r="H681">
        <v>4792.7697200000002</v>
      </c>
      <c r="Q681">
        <v>4635.9345499999999</v>
      </c>
      <c r="R681">
        <v>4665.2978499999999</v>
      </c>
      <c r="S681">
        <v>4691.8866200000002</v>
      </c>
      <c r="V681">
        <v>4600.99478</v>
      </c>
      <c r="W681">
        <v>4567.4297900000001</v>
      </c>
      <c r="AB681">
        <v>4693.69938</v>
      </c>
      <c r="AC681">
        <v>4693.9891500000003</v>
      </c>
      <c r="AD681">
        <v>1</v>
      </c>
      <c r="AK681">
        <v>679</v>
      </c>
      <c r="AL681">
        <v>678</v>
      </c>
      <c r="AM681">
        <v>4693.71</v>
      </c>
      <c r="AN681">
        <v>4635.9345000000003</v>
      </c>
      <c r="AO681">
        <v>57.775500000000001</v>
      </c>
      <c r="AP681">
        <v>3338.0025999999998</v>
      </c>
      <c r="AQ681">
        <v>4.4365519999999998</v>
      </c>
      <c r="AR681">
        <v>7.2899989999999999</v>
      </c>
      <c r="AY681">
        <v>679</v>
      </c>
      <c r="AZ681">
        <v>678</v>
      </c>
      <c r="BA681">
        <v>4693.71</v>
      </c>
      <c r="BB681">
        <v>4635.9345000000003</v>
      </c>
      <c r="BC681">
        <v>57.775500000000001</v>
      </c>
      <c r="BD681">
        <v>3338.0025999999998</v>
      </c>
      <c r="BE681">
        <v>459684</v>
      </c>
    </row>
    <row r="682" spans="1:57" x14ac:dyDescent="0.55000000000000004">
      <c r="A682">
        <v>1777337102</v>
      </c>
      <c r="B682" t="s">
        <v>72</v>
      </c>
      <c r="C682" t="s">
        <v>73</v>
      </c>
      <c r="D682">
        <v>4690.53</v>
      </c>
      <c r="E682">
        <v>4518.5928199999998</v>
      </c>
      <c r="F682">
        <v>4596.0559499999999</v>
      </c>
      <c r="G682">
        <v>4755.40355</v>
      </c>
      <c r="H682">
        <v>4792.7697200000002</v>
      </c>
      <c r="Q682">
        <v>4635.6669499999998</v>
      </c>
      <c r="R682">
        <v>4665.0302499999998</v>
      </c>
      <c r="S682">
        <v>4691.6190200000001</v>
      </c>
      <c r="V682">
        <v>4600.7271799999999</v>
      </c>
      <c r="W682">
        <v>4567.1621800000003</v>
      </c>
      <c r="AB682">
        <v>4691.9244600000002</v>
      </c>
      <c r="AC682">
        <v>4692.9568099999997</v>
      </c>
      <c r="AD682">
        <v>0</v>
      </c>
      <c r="AK682">
        <v>680</v>
      </c>
      <c r="AL682">
        <v>679</v>
      </c>
      <c r="AM682">
        <v>4690.53</v>
      </c>
      <c r="AN682">
        <v>4635.6669000000002</v>
      </c>
      <c r="AO682">
        <v>54.863</v>
      </c>
      <c r="AP682">
        <v>3009.9542999999999</v>
      </c>
      <c r="AQ682">
        <v>3.7988789999999999</v>
      </c>
      <c r="AR682">
        <v>5.9275320000000002</v>
      </c>
      <c r="AY682">
        <v>680</v>
      </c>
      <c r="AZ682">
        <v>679</v>
      </c>
      <c r="BA682">
        <v>4690.53</v>
      </c>
      <c r="BB682">
        <v>4635.6669000000002</v>
      </c>
      <c r="BC682">
        <v>54.863</v>
      </c>
      <c r="BD682">
        <v>3009.9542999999999</v>
      </c>
      <c r="BE682">
        <v>461041</v>
      </c>
    </row>
    <row r="683" spans="1:57" x14ac:dyDescent="0.55000000000000004">
      <c r="A683">
        <v>1777338002</v>
      </c>
      <c r="B683" t="s">
        <v>72</v>
      </c>
      <c r="C683" t="s">
        <v>73</v>
      </c>
      <c r="D683">
        <v>4688.24</v>
      </c>
      <c r="E683">
        <v>4518.5928199999998</v>
      </c>
      <c r="F683">
        <v>4596.0559499999999</v>
      </c>
      <c r="G683">
        <v>4755.40355</v>
      </c>
      <c r="H683">
        <v>4792.7697200000002</v>
      </c>
      <c r="Q683">
        <v>4635.3993499999997</v>
      </c>
      <c r="R683">
        <v>4664.7626499999997</v>
      </c>
      <c r="S683">
        <v>4691.35142</v>
      </c>
      <c r="V683">
        <v>4600.4595799999997</v>
      </c>
      <c r="W683">
        <v>4566.8945800000001</v>
      </c>
      <c r="AB683">
        <v>4689.3522599999997</v>
      </c>
      <c r="AC683">
        <v>4691.1545299999998</v>
      </c>
      <c r="AD683">
        <v>0</v>
      </c>
      <c r="AK683">
        <v>681</v>
      </c>
      <c r="AL683">
        <v>680</v>
      </c>
      <c r="AM683">
        <v>4688.24</v>
      </c>
      <c r="AN683">
        <v>4635.3993</v>
      </c>
      <c r="AO683">
        <v>52.840699999999998</v>
      </c>
      <c r="AP683">
        <v>2792.1343000000002</v>
      </c>
      <c r="AQ683">
        <v>3.3940640000000002</v>
      </c>
      <c r="AR683">
        <v>5.1006640000000001</v>
      </c>
      <c r="AY683">
        <v>681</v>
      </c>
      <c r="AZ683">
        <v>680</v>
      </c>
      <c r="BA683">
        <v>4688.24</v>
      </c>
      <c r="BB683">
        <v>4635.3993</v>
      </c>
      <c r="BC683">
        <v>52.840699999999998</v>
      </c>
      <c r="BD683">
        <v>2792.1343000000002</v>
      </c>
      <c r="BE683">
        <v>462400</v>
      </c>
    </row>
    <row r="684" spans="1:57" x14ac:dyDescent="0.55000000000000004">
      <c r="A684">
        <v>1777338902</v>
      </c>
      <c r="B684" t="s">
        <v>72</v>
      </c>
      <c r="C684" t="s">
        <v>73</v>
      </c>
      <c r="D684">
        <v>4687.7</v>
      </c>
      <c r="E684">
        <v>4518.5928199999998</v>
      </c>
      <c r="F684">
        <v>4596.0559499999999</v>
      </c>
      <c r="G684">
        <v>4755.40355</v>
      </c>
      <c r="H684">
        <v>4792.7697200000002</v>
      </c>
      <c r="Q684">
        <v>4635.1317399999998</v>
      </c>
      <c r="R684">
        <v>4664.4950399999998</v>
      </c>
      <c r="S684">
        <v>4691.0838100000001</v>
      </c>
      <c r="V684">
        <v>4600.1919699999999</v>
      </c>
      <c r="W684">
        <v>4566.62698</v>
      </c>
      <c r="AB684">
        <v>4686.1310999999996</v>
      </c>
      <c r="AC684">
        <v>4688.64282</v>
      </c>
      <c r="AD684">
        <v>0</v>
      </c>
      <c r="AK684">
        <v>682</v>
      </c>
      <c r="AL684">
        <v>681</v>
      </c>
      <c r="AM684">
        <v>4687.7</v>
      </c>
      <c r="AN684">
        <v>4635.1316999999999</v>
      </c>
      <c r="AO684">
        <v>52.568300000000001</v>
      </c>
      <c r="AP684">
        <v>2763.422</v>
      </c>
      <c r="AQ684">
        <v>3.3418459999999999</v>
      </c>
      <c r="AR684">
        <v>4.9962999999999997</v>
      </c>
      <c r="AY684">
        <v>682</v>
      </c>
      <c r="AZ684">
        <v>681</v>
      </c>
      <c r="BA684">
        <v>4687.7</v>
      </c>
      <c r="BB684">
        <v>4635.1316999999999</v>
      </c>
      <c r="BC684">
        <v>52.568300000000001</v>
      </c>
      <c r="BD684">
        <v>2763.422</v>
      </c>
      <c r="BE684">
        <v>463761</v>
      </c>
    </row>
    <row r="685" spans="1:57" x14ac:dyDescent="0.55000000000000004">
      <c r="A685">
        <v>1777339802</v>
      </c>
      <c r="B685" t="s">
        <v>72</v>
      </c>
      <c r="C685" t="s">
        <v>73</v>
      </c>
      <c r="D685">
        <v>4687.37</v>
      </c>
      <c r="E685">
        <v>4518.5928199999998</v>
      </c>
      <c r="F685">
        <v>4596.0559499999999</v>
      </c>
      <c r="G685">
        <v>4755.40355</v>
      </c>
      <c r="H685">
        <v>4792.7697200000002</v>
      </c>
      <c r="Q685">
        <v>4634.8641399999997</v>
      </c>
      <c r="R685">
        <v>4664.2274399999997</v>
      </c>
      <c r="S685">
        <v>4690.81621</v>
      </c>
      <c r="V685">
        <v>4599.9243699999997</v>
      </c>
      <c r="W685">
        <v>4566.3593700000001</v>
      </c>
      <c r="AB685">
        <v>4682.4703799999997</v>
      </c>
      <c r="AC685">
        <v>4685.5565999999999</v>
      </c>
      <c r="AD685">
        <v>0</v>
      </c>
      <c r="AK685">
        <v>683</v>
      </c>
      <c r="AL685">
        <v>682</v>
      </c>
      <c r="AM685">
        <v>4687.37</v>
      </c>
      <c r="AN685">
        <v>4634.8640999999998</v>
      </c>
      <c r="AO685">
        <v>52.505899999999997</v>
      </c>
      <c r="AP685">
        <v>2756.8652999999999</v>
      </c>
      <c r="AQ685">
        <v>3.3299590000000001</v>
      </c>
      <c r="AR685">
        <v>4.9726189999999999</v>
      </c>
      <c r="AY685">
        <v>683</v>
      </c>
      <c r="AZ685">
        <v>682</v>
      </c>
      <c r="BA685">
        <v>4687.37</v>
      </c>
      <c r="BB685">
        <v>4634.8640999999998</v>
      </c>
      <c r="BC685">
        <v>52.505899999999997</v>
      </c>
      <c r="BD685">
        <v>2756.8652999999999</v>
      </c>
      <c r="BE685">
        <v>465124</v>
      </c>
    </row>
    <row r="686" spans="1:57" x14ac:dyDescent="0.55000000000000004">
      <c r="A686">
        <v>1777340702</v>
      </c>
      <c r="B686" t="s">
        <v>72</v>
      </c>
      <c r="C686" t="s">
        <v>73</v>
      </c>
      <c r="D686">
        <v>4670.88</v>
      </c>
      <c r="E686">
        <v>4518.5928199999998</v>
      </c>
      <c r="F686">
        <v>4596.0559499999999</v>
      </c>
      <c r="G686">
        <v>4755.40355</v>
      </c>
      <c r="H686">
        <v>4792.7697200000002</v>
      </c>
      <c r="Q686">
        <v>4634.5965299999998</v>
      </c>
      <c r="R686">
        <v>4663.9598299999998</v>
      </c>
      <c r="S686">
        <v>4690.5486000000001</v>
      </c>
      <c r="V686">
        <v>4599.6567599999998</v>
      </c>
      <c r="W686">
        <v>4566.09177</v>
      </c>
      <c r="AB686">
        <v>4678.6922000000004</v>
      </c>
      <c r="AC686">
        <v>4682.1243999999997</v>
      </c>
      <c r="AD686">
        <v>0</v>
      </c>
      <c r="AK686">
        <v>684</v>
      </c>
      <c r="AL686">
        <v>683</v>
      </c>
      <c r="AM686">
        <v>4670.88</v>
      </c>
      <c r="AN686">
        <v>4634.5964999999997</v>
      </c>
      <c r="AO686">
        <v>36.283499999999997</v>
      </c>
      <c r="AP686">
        <v>1316.4902</v>
      </c>
      <c r="AQ686">
        <v>1.098859</v>
      </c>
      <c r="AR686">
        <v>1.1339379999999999</v>
      </c>
      <c r="AY686">
        <v>684</v>
      </c>
      <c r="AZ686">
        <v>683</v>
      </c>
      <c r="BA686">
        <v>4670.88</v>
      </c>
      <c r="BB686">
        <v>4634.5964999999997</v>
      </c>
      <c r="BC686">
        <v>36.283499999999997</v>
      </c>
      <c r="BD686">
        <v>1316.4902</v>
      </c>
      <c r="BE686">
        <v>466489</v>
      </c>
    </row>
    <row r="687" spans="1:57" x14ac:dyDescent="0.55000000000000004">
      <c r="A687">
        <v>1777341602</v>
      </c>
      <c r="B687" t="s">
        <v>72</v>
      </c>
      <c r="C687" t="s">
        <v>73</v>
      </c>
      <c r="D687">
        <v>4677.5200000000004</v>
      </c>
      <c r="E687">
        <v>4518.5928199999998</v>
      </c>
      <c r="F687">
        <v>4596.0559499999999</v>
      </c>
      <c r="G687">
        <v>4755.40355</v>
      </c>
      <c r="H687">
        <v>4792.7697200000002</v>
      </c>
      <c r="Q687">
        <v>4634.3289299999997</v>
      </c>
      <c r="R687">
        <v>4663.6922299999997</v>
      </c>
      <c r="S687">
        <v>4690.2809999999999</v>
      </c>
      <c r="V687">
        <v>4599.3891599999997</v>
      </c>
      <c r="W687">
        <v>4565.8241600000001</v>
      </c>
      <c r="AB687">
        <v>4675.5786600000001</v>
      </c>
      <c r="AC687">
        <v>4678.8515299999999</v>
      </c>
      <c r="AD687">
        <v>0</v>
      </c>
      <c r="AK687">
        <v>685</v>
      </c>
      <c r="AL687">
        <v>684</v>
      </c>
      <c r="AM687">
        <v>4677.5200000000004</v>
      </c>
      <c r="AN687">
        <v>4634.3289000000004</v>
      </c>
      <c r="AO687">
        <v>43.191099999999999</v>
      </c>
      <c r="AP687">
        <v>1865.4684999999999</v>
      </c>
      <c r="AQ687">
        <v>1.853521</v>
      </c>
      <c r="AR687">
        <v>2.2768269999999999</v>
      </c>
      <c r="AY687">
        <v>685</v>
      </c>
      <c r="AZ687">
        <v>684</v>
      </c>
      <c r="BA687">
        <v>4677.5200000000004</v>
      </c>
      <c r="BB687">
        <v>4634.3289000000004</v>
      </c>
      <c r="BC687">
        <v>43.191099999999999</v>
      </c>
      <c r="BD687">
        <v>1865.4684999999999</v>
      </c>
      <c r="BE687">
        <v>467856</v>
      </c>
    </row>
    <row r="688" spans="1:57" x14ac:dyDescent="0.55000000000000004">
      <c r="A688">
        <v>1777342502</v>
      </c>
      <c r="B688" t="s">
        <v>72</v>
      </c>
      <c r="C688" t="s">
        <v>73</v>
      </c>
      <c r="D688">
        <v>4675.58</v>
      </c>
      <c r="E688">
        <v>4518.5928199999998</v>
      </c>
      <c r="F688">
        <v>4596.0559499999999</v>
      </c>
      <c r="G688">
        <v>4755.40355</v>
      </c>
      <c r="H688">
        <v>4792.7697200000002</v>
      </c>
      <c r="Q688">
        <v>4634.0613300000005</v>
      </c>
      <c r="R688">
        <v>4663.4246199999998</v>
      </c>
      <c r="S688">
        <v>4690.0133999999998</v>
      </c>
      <c r="V688">
        <v>4599.1215599999996</v>
      </c>
      <c r="W688">
        <v>4565.55656</v>
      </c>
      <c r="AB688">
        <v>4673.2049500000003</v>
      </c>
      <c r="AC688">
        <v>4676.0282399999996</v>
      </c>
      <c r="AD688">
        <v>0</v>
      </c>
      <c r="AK688">
        <v>686</v>
      </c>
      <c r="AL688">
        <v>685</v>
      </c>
      <c r="AM688">
        <v>4675.58</v>
      </c>
      <c r="AN688">
        <v>4634.0613000000003</v>
      </c>
      <c r="AO688">
        <v>41.518700000000003</v>
      </c>
      <c r="AP688">
        <v>1723.8</v>
      </c>
      <c r="AQ688">
        <v>1.6464399999999999</v>
      </c>
      <c r="AR688">
        <v>1.9441409999999999</v>
      </c>
      <c r="AY688">
        <v>686</v>
      </c>
      <c r="AZ688">
        <v>685</v>
      </c>
      <c r="BA688">
        <v>4675.58</v>
      </c>
      <c r="BB688">
        <v>4634.0613000000003</v>
      </c>
      <c r="BC688">
        <v>41.518700000000003</v>
      </c>
      <c r="BD688">
        <v>1723.8</v>
      </c>
      <c r="BE688">
        <v>469225</v>
      </c>
    </row>
    <row r="689" spans="1:57" x14ac:dyDescent="0.55000000000000004">
      <c r="A689">
        <v>1777343402</v>
      </c>
      <c r="B689" t="s">
        <v>72</v>
      </c>
      <c r="C689" t="s">
        <v>73</v>
      </c>
      <c r="D689">
        <v>4671.1499999999996</v>
      </c>
      <c r="E689">
        <v>4518.5928199999998</v>
      </c>
      <c r="F689">
        <v>4596.0559499999999</v>
      </c>
      <c r="G689">
        <v>4755.40355</v>
      </c>
      <c r="H689">
        <v>4792.7697200000002</v>
      </c>
      <c r="Q689">
        <v>4633.7937199999997</v>
      </c>
      <c r="R689">
        <v>4663.1570199999996</v>
      </c>
      <c r="S689">
        <v>4689.7457899999999</v>
      </c>
      <c r="V689">
        <v>4598.8539499999997</v>
      </c>
      <c r="W689">
        <v>4565.2889599999999</v>
      </c>
      <c r="AB689">
        <v>4671.7612399999998</v>
      </c>
      <c r="AC689">
        <v>4673.8947399999997</v>
      </c>
      <c r="AD689">
        <v>0</v>
      </c>
      <c r="AK689">
        <v>687</v>
      </c>
      <c r="AL689">
        <v>686</v>
      </c>
      <c r="AM689">
        <v>4671.1499999999996</v>
      </c>
      <c r="AN689">
        <v>4633.7937000000002</v>
      </c>
      <c r="AO689">
        <v>37.356299999999997</v>
      </c>
      <c r="AP689">
        <v>1395.4917</v>
      </c>
      <c r="AQ689">
        <v>1.199241</v>
      </c>
      <c r="AR689">
        <v>1.2741150000000001</v>
      </c>
      <c r="AY689">
        <v>687</v>
      </c>
      <c r="AZ689">
        <v>686</v>
      </c>
      <c r="BA689">
        <v>4671.1499999999996</v>
      </c>
      <c r="BB689">
        <v>4633.7937000000002</v>
      </c>
      <c r="BC689">
        <v>37.356299999999997</v>
      </c>
      <c r="BD689">
        <v>1395.4917</v>
      </c>
      <c r="BE689">
        <v>470596</v>
      </c>
    </row>
    <row r="690" spans="1:57" x14ac:dyDescent="0.55000000000000004">
      <c r="A690">
        <v>1777344302</v>
      </c>
      <c r="B690" t="s">
        <v>72</v>
      </c>
      <c r="C690" t="s">
        <v>73</v>
      </c>
      <c r="D690">
        <v>4669.1400000000003</v>
      </c>
      <c r="E690">
        <v>4518.5928199999998</v>
      </c>
      <c r="F690">
        <v>4596.0559499999999</v>
      </c>
      <c r="G690">
        <v>4755.40355</v>
      </c>
      <c r="H690">
        <v>4792.7697200000002</v>
      </c>
      <c r="Q690">
        <v>4633.5261200000004</v>
      </c>
      <c r="R690">
        <v>4662.8894200000004</v>
      </c>
      <c r="S690">
        <v>4689.4781899999998</v>
      </c>
      <c r="V690">
        <v>4598.5863499999996</v>
      </c>
      <c r="W690">
        <v>4565.02135</v>
      </c>
      <c r="AB690">
        <v>4671.3199500000001</v>
      </c>
      <c r="AC690">
        <v>4672.6073399999996</v>
      </c>
      <c r="AD690">
        <v>0</v>
      </c>
      <c r="AK690">
        <v>688</v>
      </c>
      <c r="AL690">
        <v>687</v>
      </c>
      <c r="AM690">
        <v>4669.1400000000003</v>
      </c>
      <c r="AN690">
        <v>4633.5261</v>
      </c>
      <c r="AO690">
        <v>35.613900000000001</v>
      </c>
      <c r="AP690">
        <v>1268.3484000000001</v>
      </c>
      <c r="AQ690">
        <v>1.039139</v>
      </c>
      <c r="AR690">
        <v>1.052522</v>
      </c>
      <c r="AY690">
        <v>688</v>
      </c>
      <c r="AZ690">
        <v>687</v>
      </c>
      <c r="BA690">
        <v>4669.1400000000003</v>
      </c>
      <c r="BB690">
        <v>4633.5261</v>
      </c>
      <c r="BC690">
        <v>35.613900000000001</v>
      </c>
      <c r="BD690">
        <v>1268.3484000000001</v>
      </c>
      <c r="BE690">
        <v>471969</v>
      </c>
    </row>
    <row r="691" spans="1:57" x14ac:dyDescent="0.55000000000000004">
      <c r="A691">
        <v>1777345202</v>
      </c>
      <c r="B691" t="s">
        <v>72</v>
      </c>
      <c r="C691" t="s">
        <v>73</v>
      </c>
      <c r="D691">
        <v>4672.91</v>
      </c>
      <c r="E691">
        <v>4518.5928199999998</v>
      </c>
      <c r="F691">
        <v>4596.0559499999999</v>
      </c>
      <c r="G691">
        <v>4755.40355</v>
      </c>
      <c r="H691">
        <v>4792.7697200000002</v>
      </c>
      <c r="Q691">
        <v>4633.2585099999997</v>
      </c>
      <c r="R691">
        <v>4662.6218099999996</v>
      </c>
      <c r="S691">
        <v>4689.2105799999999</v>
      </c>
      <c r="V691">
        <v>4598.3187399999997</v>
      </c>
      <c r="W691">
        <v>4564.7537499999999</v>
      </c>
      <c r="AB691">
        <v>4671.7183100000002</v>
      </c>
      <c r="AC691">
        <v>4672.1628300000002</v>
      </c>
      <c r="AD691">
        <v>0</v>
      </c>
      <c r="AK691">
        <v>689</v>
      </c>
      <c r="AL691">
        <v>688</v>
      </c>
      <c r="AM691">
        <v>4672.91</v>
      </c>
      <c r="AN691">
        <v>4633.2584999999999</v>
      </c>
      <c r="AO691">
        <v>39.651499999999999</v>
      </c>
      <c r="AP691">
        <v>1572.2407000000001</v>
      </c>
      <c r="AQ691">
        <v>1.434148</v>
      </c>
      <c r="AR691">
        <v>1.6173059999999999</v>
      </c>
      <c r="AY691">
        <v>689</v>
      </c>
      <c r="AZ691">
        <v>688</v>
      </c>
      <c r="BA691">
        <v>4672.91</v>
      </c>
      <c r="BB691">
        <v>4633.2584999999999</v>
      </c>
      <c r="BC691">
        <v>39.651499999999999</v>
      </c>
      <c r="BD691">
        <v>1572.2407000000001</v>
      </c>
      <c r="BE691">
        <v>473344</v>
      </c>
    </row>
    <row r="692" spans="1:57" x14ac:dyDescent="0.55000000000000004">
      <c r="A692">
        <v>1777346102</v>
      </c>
      <c r="B692" t="s">
        <v>72</v>
      </c>
      <c r="C692" t="s">
        <v>73</v>
      </c>
      <c r="D692">
        <v>4674.8599999999997</v>
      </c>
      <c r="E692">
        <v>4518.5928199999998</v>
      </c>
      <c r="F692">
        <v>4596.0559499999999</v>
      </c>
      <c r="G692">
        <v>4755.40355</v>
      </c>
      <c r="H692">
        <v>4792.7697200000002</v>
      </c>
      <c r="Q692">
        <v>4632.9909100000004</v>
      </c>
      <c r="R692">
        <v>4662.3542100000004</v>
      </c>
      <c r="S692">
        <v>4688.9429799999998</v>
      </c>
      <c r="V692">
        <v>4598.0511399999996</v>
      </c>
      <c r="W692">
        <v>4564.48614</v>
      </c>
      <c r="AB692">
        <v>4672.4743200000003</v>
      </c>
      <c r="AC692">
        <v>4672.3185800000001</v>
      </c>
      <c r="AD692">
        <v>1</v>
      </c>
      <c r="AK692">
        <v>690</v>
      </c>
      <c r="AL692">
        <v>689</v>
      </c>
      <c r="AM692">
        <v>4674.8599999999997</v>
      </c>
      <c r="AN692">
        <v>4632.9908999999998</v>
      </c>
      <c r="AO692">
        <v>41.869100000000003</v>
      </c>
      <c r="AP692">
        <v>1753.0207</v>
      </c>
      <c r="AQ692">
        <v>1.6884809999999999</v>
      </c>
      <c r="AR692">
        <v>2.0106120000000001</v>
      </c>
      <c r="AY692">
        <v>690</v>
      </c>
      <c r="AZ692">
        <v>689</v>
      </c>
      <c r="BA692">
        <v>4674.8599999999997</v>
      </c>
      <c r="BB692">
        <v>4632.9908999999998</v>
      </c>
      <c r="BC692">
        <v>41.869100000000003</v>
      </c>
      <c r="BD692">
        <v>1753.0207</v>
      </c>
      <c r="BE692">
        <v>474721</v>
      </c>
    </row>
    <row r="693" spans="1:57" x14ac:dyDescent="0.55000000000000004">
      <c r="A693">
        <v>1777347002</v>
      </c>
      <c r="B693" t="s">
        <v>72</v>
      </c>
      <c r="C693" t="s">
        <v>73</v>
      </c>
      <c r="D693">
        <v>4672.1099999999997</v>
      </c>
      <c r="E693">
        <v>4518.5928199999998</v>
      </c>
      <c r="F693">
        <v>4596.0559499999999</v>
      </c>
      <c r="G693">
        <v>4755.40355</v>
      </c>
      <c r="H693">
        <v>4792.7697200000002</v>
      </c>
      <c r="Q693">
        <v>4632.7233100000003</v>
      </c>
      <c r="R693">
        <v>4662.0865999999996</v>
      </c>
      <c r="S693">
        <v>4688.6753799999997</v>
      </c>
      <c r="V693">
        <v>4597.7835400000004</v>
      </c>
      <c r="W693">
        <v>4564.2185399999998</v>
      </c>
      <c r="AB693">
        <v>4673.0785900000001</v>
      </c>
      <c r="AC693">
        <v>4672.6985800000002</v>
      </c>
      <c r="AD693">
        <v>0</v>
      </c>
      <c r="AK693">
        <v>691</v>
      </c>
      <c r="AL693">
        <v>690</v>
      </c>
      <c r="AM693">
        <v>4672.1099999999997</v>
      </c>
      <c r="AN693">
        <v>4632.7232999999997</v>
      </c>
      <c r="AO693">
        <v>39.386699999999998</v>
      </c>
      <c r="AP693">
        <v>1551.3113000000001</v>
      </c>
      <c r="AQ693">
        <v>1.4056070000000001</v>
      </c>
      <c r="AR693">
        <v>1.5745340000000001</v>
      </c>
      <c r="AY693">
        <v>691</v>
      </c>
      <c r="AZ693">
        <v>690</v>
      </c>
      <c r="BA693">
        <v>4672.1099999999997</v>
      </c>
      <c r="BB693">
        <v>4632.7232999999997</v>
      </c>
      <c r="BC693">
        <v>39.386699999999998</v>
      </c>
      <c r="BD693">
        <v>1551.3113000000001</v>
      </c>
      <c r="BE693">
        <v>476100</v>
      </c>
    </row>
    <row r="694" spans="1:57" x14ac:dyDescent="0.55000000000000004">
      <c r="A694">
        <v>1777347902</v>
      </c>
      <c r="B694" t="s">
        <v>72</v>
      </c>
      <c r="C694" t="s">
        <v>73</v>
      </c>
      <c r="D694">
        <v>4671.0200000000004</v>
      </c>
      <c r="E694">
        <v>4518.5928199999998</v>
      </c>
      <c r="F694">
        <v>4596.0559499999999</v>
      </c>
      <c r="G694">
        <v>4755.40355</v>
      </c>
      <c r="H694">
        <v>4792.7697200000002</v>
      </c>
      <c r="Q694">
        <v>4632.4557000000004</v>
      </c>
      <c r="R694">
        <v>4661.8190000000004</v>
      </c>
      <c r="S694">
        <v>4688.4077699999998</v>
      </c>
      <c r="V694">
        <v>4597.5159299999996</v>
      </c>
      <c r="W694">
        <v>4563.95093</v>
      </c>
      <c r="AB694">
        <v>4673.1102899999996</v>
      </c>
      <c r="AC694">
        <v>4672.9044400000002</v>
      </c>
      <c r="AD694">
        <v>0</v>
      </c>
      <c r="AK694">
        <v>692</v>
      </c>
      <c r="AL694">
        <v>691</v>
      </c>
      <c r="AM694">
        <v>4671.0200000000004</v>
      </c>
      <c r="AN694">
        <v>4632.4557000000004</v>
      </c>
      <c r="AO694">
        <v>38.564300000000003</v>
      </c>
      <c r="AP694">
        <v>1487.2052000000001</v>
      </c>
      <c r="AQ694">
        <v>1.3193859999999999</v>
      </c>
      <c r="AR694">
        <v>1.4470909999999999</v>
      </c>
      <c r="AY694">
        <v>692</v>
      </c>
      <c r="AZ694">
        <v>691</v>
      </c>
      <c r="BA694">
        <v>4671.0200000000004</v>
      </c>
      <c r="BB694">
        <v>4632.4557000000004</v>
      </c>
      <c r="BC694">
        <v>38.564300000000003</v>
      </c>
      <c r="BD694">
        <v>1487.2052000000001</v>
      </c>
      <c r="BE694">
        <v>477481</v>
      </c>
    </row>
    <row r="695" spans="1:57" x14ac:dyDescent="0.55000000000000004">
      <c r="A695">
        <v>1777348802</v>
      </c>
      <c r="B695" t="s">
        <v>72</v>
      </c>
      <c r="C695" t="s">
        <v>73</v>
      </c>
      <c r="D695">
        <v>4669.93</v>
      </c>
      <c r="E695">
        <v>4518.5928199999998</v>
      </c>
      <c r="F695">
        <v>4596.0559499999999</v>
      </c>
      <c r="G695">
        <v>4755.40355</v>
      </c>
      <c r="H695">
        <v>4792.7697200000002</v>
      </c>
      <c r="Q695">
        <v>4632.1881000000003</v>
      </c>
      <c r="R695">
        <v>4661.5514000000003</v>
      </c>
      <c r="S695">
        <v>4688.1401699999997</v>
      </c>
      <c r="V695">
        <v>4597.2483300000004</v>
      </c>
      <c r="W695">
        <v>4563.6833299999998</v>
      </c>
      <c r="AB695">
        <v>4672.1329800000003</v>
      </c>
      <c r="AC695">
        <v>4672.5187100000003</v>
      </c>
      <c r="AD695">
        <v>1</v>
      </c>
      <c r="AK695">
        <v>693</v>
      </c>
      <c r="AL695">
        <v>692</v>
      </c>
      <c r="AM695">
        <v>4669.93</v>
      </c>
      <c r="AN695">
        <v>4632.1881000000003</v>
      </c>
      <c r="AO695">
        <v>37.741900000000001</v>
      </c>
      <c r="AP695">
        <v>1424.451</v>
      </c>
      <c r="AQ695">
        <v>1.236764</v>
      </c>
      <c r="AR695">
        <v>1.327545</v>
      </c>
      <c r="AY695">
        <v>693</v>
      </c>
      <c r="AZ695">
        <v>692</v>
      </c>
      <c r="BA695">
        <v>4669.93</v>
      </c>
      <c r="BB695">
        <v>4632.1881000000003</v>
      </c>
      <c r="BC695">
        <v>37.741900000000001</v>
      </c>
      <c r="BD695">
        <v>1424.451</v>
      </c>
      <c r="BE695">
        <v>478864</v>
      </c>
    </row>
    <row r="696" spans="1:57" x14ac:dyDescent="0.55000000000000004">
      <c r="A696">
        <v>1777349702</v>
      </c>
      <c r="B696" t="s">
        <v>72</v>
      </c>
      <c r="C696" t="s">
        <v>73</v>
      </c>
      <c r="D696">
        <v>4667.66</v>
      </c>
      <c r="E696">
        <v>4518.5928199999998</v>
      </c>
      <c r="F696">
        <v>4596.0559499999999</v>
      </c>
      <c r="G696">
        <v>4755.40355</v>
      </c>
      <c r="H696">
        <v>4792.7697200000002</v>
      </c>
      <c r="Q696">
        <v>4631.9204900000004</v>
      </c>
      <c r="R696">
        <v>4661.2837900000004</v>
      </c>
      <c r="S696">
        <v>4687.8725599999998</v>
      </c>
      <c r="V696">
        <v>4596.9807199999996</v>
      </c>
      <c r="W696">
        <v>4563.4157299999997</v>
      </c>
      <c r="AB696">
        <v>4669.8735900000001</v>
      </c>
      <c r="AC696">
        <v>4671.1961499999998</v>
      </c>
      <c r="AD696">
        <v>0</v>
      </c>
      <c r="AK696">
        <v>694</v>
      </c>
      <c r="AL696">
        <v>693</v>
      </c>
      <c r="AM696">
        <v>4667.66</v>
      </c>
      <c r="AN696">
        <v>4631.9205000000002</v>
      </c>
      <c r="AO696">
        <v>35.7395</v>
      </c>
      <c r="AP696">
        <v>1277.3126</v>
      </c>
      <c r="AQ696">
        <v>1.0501739999999999</v>
      </c>
      <c r="AR696">
        <v>1.0674520000000001</v>
      </c>
      <c r="AY696">
        <v>694</v>
      </c>
      <c r="AZ696">
        <v>693</v>
      </c>
      <c r="BA696">
        <v>4667.66</v>
      </c>
      <c r="BB696">
        <v>4631.9205000000002</v>
      </c>
      <c r="BC696">
        <v>35.7395</v>
      </c>
      <c r="BD696">
        <v>1277.3126</v>
      </c>
      <c r="BE696">
        <v>480249</v>
      </c>
    </row>
    <row r="697" spans="1:57" x14ac:dyDescent="0.55000000000000004">
      <c r="A697">
        <v>1777350602</v>
      </c>
      <c r="B697" t="s">
        <v>72</v>
      </c>
      <c r="C697" t="s">
        <v>73</v>
      </c>
      <c r="D697">
        <v>4669.92</v>
      </c>
      <c r="E697">
        <v>4518.5928199999998</v>
      </c>
      <c r="F697">
        <v>4596.0559499999999</v>
      </c>
      <c r="G697">
        <v>4755.40355</v>
      </c>
      <c r="H697">
        <v>4792.7697200000002</v>
      </c>
      <c r="Q697">
        <v>4631.6528900000003</v>
      </c>
      <c r="R697">
        <v>4661.0161900000003</v>
      </c>
      <c r="S697">
        <v>4687.6049599999997</v>
      </c>
      <c r="V697">
        <v>4596.7131200000003</v>
      </c>
      <c r="W697">
        <v>4563.1481199999998</v>
      </c>
      <c r="AB697">
        <v>4666.2113300000001</v>
      </c>
      <c r="AC697">
        <v>4668.7037399999999</v>
      </c>
      <c r="AD697">
        <v>0</v>
      </c>
      <c r="AK697">
        <v>695</v>
      </c>
      <c r="AL697">
        <v>694</v>
      </c>
      <c r="AM697">
        <v>4669.92</v>
      </c>
      <c r="AN697">
        <v>4631.6529</v>
      </c>
      <c r="AO697">
        <v>38.267099999999999</v>
      </c>
      <c r="AP697">
        <v>1464.3716999999999</v>
      </c>
      <c r="AQ697">
        <v>1.289118</v>
      </c>
      <c r="AR697">
        <v>1.402997</v>
      </c>
      <c r="AY697">
        <v>695</v>
      </c>
      <c r="AZ697">
        <v>694</v>
      </c>
      <c r="BA697">
        <v>4669.92</v>
      </c>
      <c r="BB697">
        <v>4631.6529</v>
      </c>
      <c r="BC697">
        <v>38.267099999999999</v>
      </c>
      <c r="BD697">
        <v>1464.3716999999999</v>
      </c>
      <c r="BE697">
        <v>481636</v>
      </c>
    </row>
    <row r="698" spans="1:57" x14ac:dyDescent="0.55000000000000004">
      <c r="A698">
        <v>1777351502</v>
      </c>
      <c r="B698" t="s">
        <v>72</v>
      </c>
      <c r="C698" t="s">
        <v>73</v>
      </c>
      <c r="D698">
        <v>4667.71</v>
      </c>
      <c r="E698">
        <v>4518.5928199999998</v>
      </c>
      <c r="F698">
        <v>4596.0559499999999</v>
      </c>
      <c r="G698">
        <v>4755.40355</v>
      </c>
      <c r="H698">
        <v>4792.7697200000002</v>
      </c>
      <c r="Q698">
        <v>4631.3852900000002</v>
      </c>
      <c r="R698">
        <v>4660.7485800000004</v>
      </c>
      <c r="S698">
        <v>4687.3373499999998</v>
      </c>
      <c r="V698">
        <v>4596.4455099999996</v>
      </c>
      <c r="W698">
        <v>4562.8805199999997</v>
      </c>
      <c r="AB698">
        <v>4661.0683900000004</v>
      </c>
      <c r="AC698">
        <v>4664.8860699999996</v>
      </c>
      <c r="AD698">
        <v>0</v>
      </c>
      <c r="AK698">
        <v>696</v>
      </c>
      <c r="AL698">
        <v>695</v>
      </c>
      <c r="AM698">
        <v>4667.71</v>
      </c>
      <c r="AN698">
        <v>4631.3852999999999</v>
      </c>
      <c r="AO698">
        <v>36.3247</v>
      </c>
      <c r="AP698">
        <v>1319.4846</v>
      </c>
      <c r="AQ698">
        <v>1.1026100000000001</v>
      </c>
      <c r="AR698">
        <v>1.1391020000000001</v>
      </c>
      <c r="AY698">
        <v>696</v>
      </c>
      <c r="AZ698">
        <v>695</v>
      </c>
      <c r="BA698">
        <v>4667.71</v>
      </c>
      <c r="BB698">
        <v>4631.3852999999999</v>
      </c>
      <c r="BC698">
        <v>36.3247</v>
      </c>
      <c r="BD698">
        <v>1319.4846</v>
      </c>
      <c r="BE698">
        <v>483025</v>
      </c>
    </row>
    <row r="699" spans="1:57" x14ac:dyDescent="0.55000000000000004">
      <c r="A699">
        <v>1777352402</v>
      </c>
      <c r="B699" t="s">
        <v>72</v>
      </c>
      <c r="C699" t="s">
        <v>73</v>
      </c>
      <c r="D699">
        <v>4652.57</v>
      </c>
      <c r="E699">
        <v>4518.5928199999998</v>
      </c>
      <c r="F699">
        <v>4596.0559499999999</v>
      </c>
      <c r="G699">
        <v>4755.40355</v>
      </c>
      <c r="H699">
        <v>4792.7697200000002</v>
      </c>
      <c r="Q699">
        <v>4631.1176800000003</v>
      </c>
      <c r="R699">
        <v>4660.4809800000003</v>
      </c>
      <c r="S699">
        <v>4687.0697499999997</v>
      </c>
      <c r="V699">
        <v>4596.1779100000003</v>
      </c>
      <c r="W699">
        <v>4562.6129099999998</v>
      </c>
      <c r="AB699">
        <v>4654.7678500000002</v>
      </c>
      <c r="AC699">
        <v>4659.8269600000003</v>
      </c>
      <c r="AD699">
        <v>0</v>
      </c>
      <c r="AK699">
        <v>697</v>
      </c>
      <c r="AL699">
        <v>696</v>
      </c>
      <c r="AM699">
        <v>4652.57</v>
      </c>
      <c r="AN699">
        <v>4631.1176999999998</v>
      </c>
      <c r="AO699">
        <v>21.452300000000001</v>
      </c>
      <c r="AP699">
        <v>460.202</v>
      </c>
      <c r="AQ699">
        <v>0.22711100000000001</v>
      </c>
      <c r="AR699">
        <v>0.13856399999999999</v>
      </c>
      <c r="AY699">
        <v>697</v>
      </c>
      <c r="AZ699">
        <v>696</v>
      </c>
      <c r="BA699">
        <v>4652.57</v>
      </c>
      <c r="BB699">
        <v>4631.1176999999998</v>
      </c>
      <c r="BC699">
        <v>21.452300000000001</v>
      </c>
      <c r="BD699">
        <v>460.202</v>
      </c>
      <c r="BE699">
        <v>484416</v>
      </c>
    </row>
    <row r="700" spans="1:57" x14ac:dyDescent="0.55000000000000004">
      <c r="A700">
        <v>1777353302</v>
      </c>
      <c r="B700" t="s">
        <v>72</v>
      </c>
      <c r="C700" t="s">
        <v>73</v>
      </c>
      <c r="D700">
        <v>4658.38</v>
      </c>
      <c r="E700">
        <v>4518.5928199999998</v>
      </c>
      <c r="F700">
        <v>4596.0559499999999</v>
      </c>
      <c r="G700">
        <v>4755.40355</v>
      </c>
      <c r="H700">
        <v>4792.7697200000002</v>
      </c>
      <c r="Q700">
        <v>4630.8500800000002</v>
      </c>
      <c r="R700">
        <v>4660.2133800000001</v>
      </c>
      <c r="S700">
        <v>4686.8021500000004</v>
      </c>
      <c r="V700">
        <v>4595.9103100000002</v>
      </c>
      <c r="W700">
        <v>4562.3453099999997</v>
      </c>
      <c r="AB700">
        <v>4648.1705099999999</v>
      </c>
      <c r="AC700">
        <v>4653.99874</v>
      </c>
      <c r="AD700">
        <v>0</v>
      </c>
      <c r="AK700">
        <v>698</v>
      </c>
      <c r="AL700">
        <v>697</v>
      </c>
      <c r="AM700">
        <v>4658.38</v>
      </c>
      <c r="AN700">
        <v>4630.8500999999997</v>
      </c>
      <c r="AO700">
        <v>27.529900000000001</v>
      </c>
      <c r="AP700">
        <v>757.89649999999995</v>
      </c>
      <c r="AQ700">
        <v>0.47998800000000003</v>
      </c>
      <c r="AR700">
        <v>0.37581500000000001</v>
      </c>
      <c r="AY700">
        <v>698</v>
      </c>
      <c r="AZ700">
        <v>697</v>
      </c>
      <c r="BA700">
        <v>4658.38</v>
      </c>
      <c r="BB700">
        <v>4630.8500999999997</v>
      </c>
      <c r="BC700">
        <v>27.529900000000001</v>
      </c>
      <c r="BD700">
        <v>757.89649999999995</v>
      </c>
      <c r="BE700">
        <v>485809</v>
      </c>
    </row>
    <row r="701" spans="1:57" x14ac:dyDescent="0.55000000000000004">
      <c r="A701">
        <v>1777354202</v>
      </c>
      <c r="B701" t="s">
        <v>72</v>
      </c>
      <c r="C701" t="s">
        <v>73</v>
      </c>
      <c r="D701">
        <v>4624.58</v>
      </c>
      <c r="E701">
        <v>4518.5928199999998</v>
      </c>
      <c r="F701">
        <v>4596.0559499999999</v>
      </c>
      <c r="G701">
        <v>4755.40355</v>
      </c>
      <c r="H701">
        <v>4792.7697200000002</v>
      </c>
      <c r="Q701">
        <v>4630.5824700000003</v>
      </c>
      <c r="R701">
        <v>4659.9457700000003</v>
      </c>
      <c r="S701">
        <v>4686.5345399999997</v>
      </c>
      <c r="V701">
        <v>4595.6427000000003</v>
      </c>
      <c r="W701">
        <v>4562.0777099999996</v>
      </c>
      <c r="AB701">
        <v>4641.6517100000001</v>
      </c>
      <c r="AC701">
        <v>4647.8252300000004</v>
      </c>
      <c r="AD701">
        <v>0</v>
      </c>
      <c r="AK701">
        <v>699</v>
      </c>
      <c r="AL701">
        <v>698</v>
      </c>
      <c r="AM701">
        <v>4624.58</v>
      </c>
      <c r="AN701">
        <v>4630.5825000000004</v>
      </c>
      <c r="AO701">
        <v>-6.0025000000000004</v>
      </c>
      <c r="AP701">
        <v>36.029600000000002</v>
      </c>
      <c r="AQ701">
        <v>-4.9750000000000003E-3</v>
      </c>
      <c r="AR701">
        <v>8.4900000000000004E-4</v>
      </c>
      <c r="AY701">
        <v>699</v>
      </c>
      <c r="AZ701">
        <v>698</v>
      </c>
      <c r="BA701">
        <v>4624.58</v>
      </c>
      <c r="BB701">
        <v>4630.5825000000004</v>
      </c>
      <c r="BC701">
        <v>-6.0025000000000004</v>
      </c>
      <c r="BD701">
        <v>36.029600000000002</v>
      </c>
      <c r="BE701">
        <v>487204</v>
      </c>
    </row>
    <row r="702" spans="1:57" x14ac:dyDescent="0.55000000000000004">
      <c r="A702">
        <v>1777355102</v>
      </c>
      <c r="B702" t="s">
        <v>72</v>
      </c>
      <c r="C702" t="s">
        <v>73</v>
      </c>
      <c r="D702">
        <v>4632.2299999999996</v>
      </c>
      <c r="E702">
        <v>4518.5928199999998</v>
      </c>
      <c r="F702">
        <v>4596.0559499999999</v>
      </c>
      <c r="G702">
        <v>4755.40355</v>
      </c>
      <c r="H702">
        <v>4792.7697200000002</v>
      </c>
      <c r="Q702">
        <v>4630.3148700000002</v>
      </c>
      <c r="R702">
        <v>4659.6781700000001</v>
      </c>
      <c r="S702">
        <v>4686.2669400000004</v>
      </c>
      <c r="V702">
        <v>4595.3751000000002</v>
      </c>
      <c r="W702">
        <v>4561.8100999999997</v>
      </c>
      <c r="AB702">
        <v>4636.6351199999999</v>
      </c>
      <c r="AC702">
        <v>4642.2301699999998</v>
      </c>
      <c r="AD702">
        <v>0</v>
      </c>
      <c r="AK702">
        <v>700</v>
      </c>
      <c r="AL702">
        <v>699</v>
      </c>
      <c r="AM702">
        <v>4632.2299999999996</v>
      </c>
      <c r="AN702">
        <v>4630.3149000000003</v>
      </c>
      <c r="AO702">
        <v>1.9151</v>
      </c>
      <c r="AP702">
        <v>3.6677</v>
      </c>
      <c r="AQ702">
        <v>1.6200000000000001E-4</v>
      </c>
      <c r="AR702">
        <v>9.0000000000000002E-6</v>
      </c>
      <c r="AY702">
        <v>700</v>
      </c>
      <c r="AZ702">
        <v>699</v>
      </c>
      <c r="BA702">
        <v>4632.2299999999996</v>
      </c>
      <c r="BB702">
        <v>4630.3149000000003</v>
      </c>
      <c r="BC702">
        <v>1.9151</v>
      </c>
      <c r="BD702">
        <v>3.6677</v>
      </c>
      <c r="BE702">
        <v>488601</v>
      </c>
    </row>
    <row r="703" spans="1:57" x14ac:dyDescent="0.55000000000000004">
      <c r="A703">
        <v>1777356002</v>
      </c>
      <c r="B703" t="s">
        <v>72</v>
      </c>
      <c r="C703" t="s">
        <v>73</v>
      </c>
      <c r="D703">
        <v>4640.6899999999996</v>
      </c>
      <c r="E703">
        <v>4518.5928199999998</v>
      </c>
      <c r="F703">
        <v>4596.0559499999999</v>
      </c>
      <c r="G703">
        <v>4755.40355</v>
      </c>
      <c r="H703">
        <v>4792.7697200000002</v>
      </c>
      <c r="Q703">
        <v>4630.0472600000003</v>
      </c>
      <c r="R703">
        <v>4659.4105600000003</v>
      </c>
      <c r="S703">
        <v>4685.9993299999996</v>
      </c>
      <c r="V703">
        <v>4595.1074900000003</v>
      </c>
      <c r="W703">
        <v>4561.5424999999996</v>
      </c>
      <c r="AB703">
        <v>4633.1456200000002</v>
      </c>
      <c r="AC703">
        <v>4637.6878999999999</v>
      </c>
      <c r="AD703">
        <v>0</v>
      </c>
      <c r="AK703">
        <v>701</v>
      </c>
      <c r="AL703">
        <v>700</v>
      </c>
      <c r="AM703">
        <v>4640.6899999999996</v>
      </c>
      <c r="AN703">
        <v>4630.0473000000002</v>
      </c>
      <c r="AO703">
        <v>10.6427</v>
      </c>
      <c r="AP703">
        <v>113.2679</v>
      </c>
      <c r="AQ703">
        <v>2.7732E-2</v>
      </c>
      <c r="AR703">
        <v>8.3940000000000004E-3</v>
      </c>
      <c r="AY703">
        <v>701</v>
      </c>
      <c r="AZ703">
        <v>700</v>
      </c>
      <c r="BA703">
        <v>4640.6899999999996</v>
      </c>
      <c r="BB703">
        <v>4630.0473000000002</v>
      </c>
      <c r="BC703">
        <v>10.6427</v>
      </c>
      <c r="BD703">
        <v>113.2679</v>
      </c>
      <c r="BE703">
        <v>490000</v>
      </c>
    </row>
    <row r="704" spans="1:57" x14ac:dyDescent="0.55000000000000004">
      <c r="A704">
        <v>1777356902</v>
      </c>
      <c r="B704" t="s">
        <v>72</v>
      </c>
      <c r="C704" t="s">
        <v>73</v>
      </c>
      <c r="D704">
        <v>4631.6400000000003</v>
      </c>
      <c r="E704">
        <v>4518.5928199999998</v>
      </c>
      <c r="F704">
        <v>4596.0559499999999</v>
      </c>
      <c r="G704">
        <v>4755.40355</v>
      </c>
      <c r="H704">
        <v>4792.7697200000002</v>
      </c>
      <c r="Q704">
        <v>4629.7796600000001</v>
      </c>
      <c r="R704">
        <v>4659.1429600000001</v>
      </c>
      <c r="S704">
        <v>4685.7317300000004</v>
      </c>
      <c r="V704">
        <v>4594.8398900000002</v>
      </c>
      <c r="W704">
        <v>4561.2748899999997</v>
      </c>
      <c r="AB704">
        <v>4630.9232099999999</v>
      </c>
      <c r="AC704">
        <v>4634.30555</v>
      </c>
      <c r="AD704">
        <v>0</v>
      </c>
      <c r="AK704">
        <v>702</v>
      </c>
      <c r="AL704">
        <v>701</v>
      </c>
      <c r="AM704">
        <v>4631.6400000000003</v>
      </c>
      <c r="AN704">
        <v>4629.7797</v>
      </c>
      <c r="AO704">
        <v>1.8603000000000001</v>
      </c>
      <c r="AP704">
        <v>3.4609000000000001</v>
      </c>
      <c r="AQ704">
        <v>1.4799999999999999E-4</v>
      </c>
      <c r="AR704">
        <v>7.9999999999999996E-6</v>
      </c>
      <c r="AY704">
        <v>702</v>
      </c>
      <c r="AZ704">
        <v>701</v>
      </c>
      <c r="BA704">
        <v>4631.6400000000003</v>
      </c>
      <c r="BB704">
        <v>4629.7797</v>
      </c>
      <c r="BC704">
        <v>1.8603000000000001</v>
      </c>
      <c r="BD704">
        <v>3.4609000000000001</v>
      </c>
      <c r="BE704">
        <v>491401</v>
      </c>
    </row>
    <row r="705" spans="1:57" x14ac:dyDescent="0.55000000000000004">
      <c r="A705">
        <v>1777357802</v>
      </c>
      <c r="B705" t="s">
        <v>72</v>
      </c>
      <c r="C705" t="s">
        <v>73</v>
      </c>
      <c r="D705">
        <v>4629.83</v>
      </c>
      <c r="E705">
        <v>4518.5928199999998</v>
      </c>
      <c r="F705">
        <v>4596.0559499999999</v>
      </c>
      <c r="G705">
        <v>4755.40355</v>
      </c>
      <c r="H705">
        <v>4792.7697200000002</v>
      </c>
      <c r="Q705">
        <v>4629.51206</v>
      </c>
      <c r="R705">
        <v>4658.87536</v>
      </c>
      <c r="S705">
        <v>4685.4641300000003</v>
      </c>
      <c r="V705">
        <v>4594.5722900000001</v>
      </c>
      <c r="W705">
        <v>4561.0072899999996</v>
      </c>
      <c r="AB705">
        <v>4629.9781999999996</v>
      </c>
      <c r="AC705">
        <v>4632.1418800000001</v>
      </c>
      <c r="AD705">
        <v>0</v>
      </c>
      <c r="AK705">
        <v>703</v>
      </c>
      <c r="AL705">
        <v>702</v>
      </c>
      <c r="AM705">
        <v>4629.83</v>
      </c>
      <c r="AN705">
        <v>4629.5120999999999</v>
      </c>
      <c r="AO705">
        <v>0.31790000000000002</v>
      </c>
      <c r="AP705">
        <v>0.1011</v>
      </c>
      <c r="AQ705">
        <v>9.9999999999999995E-7</v>
      </c>
      <c r="AR705">
        <v>0</v>
      </c>
      <c r="AY705">
        <v>703</v>
      </c>
      <c r="AZ705">
        <v>702</v>
      </c>
      <c r="BA705">
        <v>4629.83</v>
      </c>
      <c r="BB705">
        <v>4629.5120999999999</v>
      </c>
      <c r="BC705">
        <v>0.31790000000000002</v>
      </c>
      <c r="BD705">
        <v>0.1011</v>
      </c>
      <c r="BE705">
        <v>492804</v>
      </c>
    </row>
    <row r="706" spans="1:57" x14ac:dyDescent="0.55000000000000004">
      <c r="A706">
        <v>1777358702</v>
      </c>
      <c r="B706" t="s">
        <v>72</v>
      </c>
      <c r="C706" t="s">
        <v>73</v>
      </c>
      <c r="D706">
        <v>4628.99</v>
      </c>
      <c r="E706">
        <v>4518.5928199999998</v>
      </c>
      <c r="F706">
        <v>4596.0559499999999</v>
      </c>
      <c r="G706">
        <v>4755.40355</v>
      </c>
      <c r="H706">
        <v>4792.7697200000002</v>
      </c>
      <c r="Q706">
        <v>4629.2444500000001</v>
      </c>
      <c r="R706">
        <v>4658.6077500000001</v>
      </c>
      <c r="S706">
        <v>4685.1965200000004</v>
      </c>
      <c r="V706">
        <v>4594.3046800000002</v>
      </c>
      <c r="W706">
        <v>4560.7396900000003</v>
      </c>
      <c r="AB706">
        <v>4629.9734500000004</v>
      </c>
      <c r="AC706">
        <v>4631.0576600000004</v>
      </c>
      <c r="AD706">
        <v>0</v>
      </c>
      <c r="AK706">
        <v>704</v>
      </c>
      <c r="AL706">
        <v>703</v>
      </c>
      <c r="AM706">
        <v>4628.99</v>
      </c>
      <c r="AN706">
        <v>4629.2444999999998</v>
      </c>
      <c r="AO706">
        <v>-0.2545</v>
      </c>
      <c r="AP706">
        <v>6.4699999999999994E-2</v>
      </c>
      <c r="AQ706">
        <v>0</v>
      </c>
      <c r="AR706">
        <v>0</v>
      </c>
      <c r="AY706">
        <v>704</v>
      </c>
      <c r="AZ706">
        <v>703</v>
      </c>
      <c r="BA706">
        <v>4628.99</v>
      </c>
      <c r="BB706">
        <v>4629.2444999999998</v>
      </c>
      <c r="BC706">
        <v>-0.2545</v>
      </c>
      <c r="BD706">
        <v>6.4699999999999994E-2</v>
      </c>
      <c r="BE706">
        <v>494209</v>
      </c>
    </row>
    <row r="707" spans="1:57" x14ac:dyDescent="0.55000000000000004">
      <c r="A707">
        <v>1777359602</v>
      </c>
      <c r="B707" t="s">
        <v>72</v>
      </c>
      <c r="C707" t="s">
        <v>73</v>
      </c>
      <c r="D707">
        <v>4634.3</v>
      </c>
      <c r="E707">
        <v>4518.5928199999998</v>
      </c>
      <c r="F707">
        <v>4596.0559499999999</v>
      </c>
      <c r="G707">
        <v>4755.40355</v>
      </c>
      <c r="H707">
        <v>4792.7697200000002</v>
      </c>
      <c r="Q707">
        <v>4628.97685</v>
      </c>
      <c r="R707">
        <v>4658.34015</v>
      </c>
      <c r="S707">
        <v>4684.9289200000003</v>
      </c>
      <c r="V707">
        <v>4594.0370800000001</v>
      </c>
      <c r="W707">
        <v>4560.4720799999996</v>
      </c>
      <c r="AB707">
        <v>4630.4302200000002</v>
      </c>
      <c r="AC707">
        <v>4630.7439400000003</v>
      </c>
      <c r="AD707">
        <v>0</v>
      </c>
      <c r="AK707">
        <v>705</v>
      </c>
      <c r="AL707">
        <v>704</v>
      </c>
      <c r="AM707">
        <v>4634.3</v>
      </c>
      <c r="AN707">
        <v>4628.9768999999997</v>
      </c>
      <c r="AO707">
        <v>5.3231999999999999</v>
      </c>
      <c r="AP707">
        <v>28.335899999999999</v>
      </c>
      <c r="AQ707">
        <v>3.47E-3</v>
      </c>
      <c r="AR707">
        <v>5.2499999999999997E-4</v>
      </c>
      <c r="AY707">
        <v>705</v>
      </c>
      <c r="AZ707">
        <v>704</v>
      </c>
      <c r="BA707">
        <v>4634.3</v>
      </c>
      <c r="BB707">
        <v>4628.9768999999997</v>
      </c>
      <c r="BC707">
        <v>5.3231999999999999</v>
      </c>
      <c r="BD707">
        <v>28.335899999999999</v>
      </c>
      <c r="BE707">
        <v>495616</v>
      </c>
    </row>
    <row r="708" spans="1:57" x14ac:dyDescent="0.55000000000000004">
      <c r="A708">
        <v>1777360502</v>
      </c>
      <c r="B708" t="s">
        <v>72</v>
      </c>
      <c r="C708" t="s">
        <v>73</v>
      </c>
      <c r="D708">
        <v>4629.79</v>
      </c>
      <c r="E708">
        <v>4518.5928199999998</v>
      </c>
      <c r="F708">
        <v>4596.0559499999999</v>
      </c>
      <c r="G708">
        <v>4755.40355</v>
      </c>
      <c r="H708">
        <v>4792.7697200000002</v>
      </c>
      <c r="Q708">
        <v>4628.7092400000001</v>
      </c>
      <c r="R708">
        <v>4658.0725400000001</v>
      </c>
      <c r="S708">
        <v>4684.6613100000004</v>
      </c>
      <c r="V708">
        <v>4593.7694700000002</v>
      </c>
      <c r="W708">
        <v>4560.2044800000003</v>
      </c>
      <c r="AB708">
        <v>4630.7363299999997</v>
      </c>
      <c r="AC708">
        <v>4630.7401399999999</v>
      </c>
      <c r="AD708">
        <v>0</v>
      </c>
      <c r="AK708">
        <v>706</v>
      </c>
      <c r="AL708">
        <v>705</v>
      </c>
      <c r="AM708">
        <v>4629.79</v>
      </c>
      <c r="AN708">
        <v>4628.7092000000002</v>
      </c>
      <c r="AO708">
        <v>1.0808</v>
      </c>
      <c r="AP708">
        <v>1.1679999999999999</v>
      </c>
      <c r="AQ708">
        <v>2.9E-5</v>
      </c>
      <c r="AR708">
        <v>9.9999999999999995E-7</v>
      </c>
      <c r="AY708">
        <v>706</v>
      </c>
      <c r="AZ708">
        <v>705</v>
      </c>
      <c r="BA708">
        <v>4629.79</v>
      </c>
      <c r="BB708">
        <v>4628.7092000000002</v>
      </c>
      <c r="BC708">
        <v>1.0808</v>
      </c>
      <c r="BD708">
        <v>1.1679999999999999</v>
      </c>
      <c r="BE708">
        <v>497025</v>
      </c>
    </row>
    <row r="709" spans="1:57" x14ac:dyDescent="0.55000000000000004">
      <c r="A709">
        <v>1777361402</v>
      </c>
      <c r="B709" t="s">
        <v>72</v>
      </c>
      <c r="C709" t="s">
        <v>73</v>
      </c>
      <c r="D709">
        <v>4629.38</v>
      </c>
      <c r="E709">
        <v>4518.5928199999998</v>
      </c>
      <c r="F709">
        <v>4596.0559499999999</v>
      </c>
      <c r="G709">
        <v>4755.40355</v>
      </c>
      <c r="H709">
        <v>4792.7697200000002</v>
      </c>
      <c r="Q709">
        <v>4628.44164</v>
      </c>
      <c r="R709">
        <v>4657.80494</v>
      </c>
      <c r="S709">
        <v>4684.3937100000003</v>
      </c>
      <c r="V709">
        <v>4593.5018700000001</v>
      </c>
      <c r="W709">
        <v>4559.9368700000005</v>
      </c>
      <c r="AB709">
        <v>4630.6490100000001</v>
      </c>
      <c r="AC709">
        <v>4630.6945699999997</v>
      </c>
      <c r="AD709">
        <v>0</v>
      </c>
      <c r="AK709">
        <v>707</v>
      </c>
      <c r="AL709">
        <v>706</v>
      </c>
      <c r="AM709">
        <v>4629.38</v>
      </c>
      <c r="AN709">
        <v>4628.4416000000001</v>
      </c>
      <c r="AO709">
        <v>0.93840000000000001</v>
      </c>
      <c r="AP709">
        <v>0.88049999999999995</v>
      </c>
      <c r="AQ709">
        <v>1.9000000000000001E-5</v>
      </c>
      <c r="AR709">
        <v>9.9999999999999995E-7</v>
      </c>
      <c r="AY709">
        <v>707</v>
      </c>
      <c r="AZ709">
        <v>706</v>
      </c>
      <c r="BA709">
        <v>4629.38</v>
      </c>
      <c r="BB709">
        <v>4628.4416000000001</v>
      </c>
      <c r="BC709">
        <v>0.93840000000000001</v>
      </c>
      <c r="BD709">
        <v>0.88049999999999995</v>
      </c>
      <c r="BE709">
        <v>498436</v>
      </c>
    </row>
    <row r="710" spans="1:57" x14ac:dyDescent="0.55000000000000004">
      <c r="A710">
        <v>1777362302</v>
      </c>
      <c r="B710" t="s">
        <v>72</v>
      </c>
      <c r="C710" t="s">
        <v>73</v>
      </c>
      <c r="D710">
        <v>4633.24</v>
      </c>
      <c r="E710">
        <v>4518.5928199999998</v>
      </c>
      <c r="F710">
        <v>4596.0559499999999</v>
      </c>
      <c r="G710">
        <v>4755.40355</v>
      </c>
      <c r="H710">
        <v>4792.7697200000002</v>
      </c>
      <c r="Q710">
        <v>4628.1740399999999</v>
      </c>
      <c r="R710">
        <v>4657.5373300000001</v>
      </c>
      <c r="S710">
        <v>4684.1261100000002</v>
      </c>
      <c r="V710">
        <v>4593.2342699999999</v>
      </c>
      <c r="W710">
        <v>4559.6692700000003</v>
      </c>
      <c r="AB710">
        <v>4629.9938499999998</v>
      </c>
      <c r="AC710">
        <v>4630.3442100000002</v>
      </c>
      <c r="AD710">
        <v>0</v>
      </c>
      <c r="AK710">
        <v>708</v>
      </c>
      <c r="AL710">
        <v>707</v>
      </c>
      <c r="AM710">
        <v>4633.24</v>
      </c>
      <c r="AN710">
        <v>4628.174</v>
      </c>
      <c r="AO710">
        <v>5.0659999999999998</v>
      </c>
      <c r="AP710">
        <v>25.664000000000001</v>
      </c>
      <c r="AQ710">
        <v>2.9910000000000002E-3</v>
      </c>
      <c r="AR710">
        <v>4.3100000000000001E-4</v>
      </c>
      <c r="AY710">
        <v>708</v>
      </c>
      <c r="AZ710">
        <v>707</v>
      </c>
      <c r="BA710">
        <v>4633.24</v>
      </c>
      <c r="BB710">
        <v>4628.174</v>
      </c>
      <c r="BC710">
        <v>5.0659999999999998</v>
      </c>
      <c r="BD710">
        <v>25.664000000000001</v>
      </c>
      <c r="BE710">
        <v>499849</v>
      </c>
    </row>
    <row r="711" spans="1:57" x14ac:dyDescent="0.55000000000000004">
      <c r="A711">
        <v>1777363202</v>
      </c>
      <c r="B711" t="s">
        <v>72</v>
      </c>
      <c r="C711" t="s">
        <v>73</v>
      </c>
      <c r="D711">
        <v>4620.29</v>
      </c>
      <c r="E711">
        <v>4518.5928199999998</v>
      </c>
      <c r="F711">
        <v>4596.0559499999999</v>
      </c>
      <c r="G711">
        <v>4755.40355</v>
      </c>
      <c r="H711">
        <v>4792.7697200000002</v>
      </c>
      <c r="Q711">
        <v>4627.90643</v>
      </c>
      <c r="R711">
        <v>4657.26973</v>
      </c>
      <c r="S711">
        <v>4683.8585000000003</v>
      </c>
      <c r="V711">
        <v>4592.96666</v>
      </c>
      <c r="W711">
        <v>4559.4016700000002</v>
      </c>
      <c r="AB711">
        <v>4628.6672600000002</v>
      </c>
      <c r="AC711">
        <v>4629.5057299999999</v>
      </c>
      <c r="AD711">
        <v>0</v>
      </c>
      <c r="AK711">
        <v>709</v>
      </c>
      <c r="AL711">
        <v>708</v>
      </c>
      <c r="AM711">
        <v>4620.29</v>
      </c>
      <c r="AN711">
        <v>4627.9063999999998</v>
      </c>
      <c r="AO711">
        <v>-7.6163999999999996</v>
      </c>
      <c r="AP711">
        <v>58.01</v>
      </c>
      <c r="AQ711">
        <v>-1.0163999999999999E-2</v>
      </c>
      <c r="AR711">
        <v>2.202E-3</v>
      </c>
      <c r="AY711">
        <v>709</v>
      </c>
      <c r="AZ711">
        <v>708</v>
      </c>
      <c r="BA711">
        <v>4620.29</v>
      </c>
      <c r="BB711">
        <v>4627.9063999999998</v>
      </c>
      <c r="BC711">
        <v>-7.6163999999999996</v>
      </c>
      <c r="BD711">
        <v>58.01</v>
      </c>
      <c r="BE711">
        <v>501264</v>
      </c>
    </row>
    <row r="712" spans="1:57" x14ac:dyDescent="0.55000000000000004">
      <c r="A712">
        <v>1777364102</v>
      </c>
      <c r="B712" t="s">
        <v>72</v>
      </c>
      <c r="C712" t="s">
        <v>73</v>
      </c>
      <c r="D712">
        <v>4626.9799999999996</v>
      </c>
      <c r="E712">
        <v>4518.5928199999998</v>
      </c>
      <c r="F712">
        <v>4596.0559499999999</v>
      </c>
      <c r="G712">
        <v>4755.40355</v>
      </c>
      <c r="H712">
        <v>4792.7697200000002</v>
      </c>
      <c r="Q712">
        <v>4627.6388299999999</v>
      </c>
      <c r="R712">
        <v>4657.0021299999999</v>
      </c>
      <c r="S712">
        <v>4683.5909000000001</v>
      </c>
      <c r="V712">
        <v>4592.6990599999999</v>
      </c>
      <c r="W712">
        <v>4559.1340600000003</v>
      </c>
      <c r="AB712">
        <v>4627.1563900000001</v>
      </c>
      <c r="AC712">
        <v>4628.3310600000004</v>
      </c>
      <c r="AD712">
        <v>0</v>
      </c>
      <c r="AK712">
        <v>710</v>
      </c>
      <c r="AL712">
        <v>709</v>
      </c>
      <c r="AM712">
        <v>4626.9799999999996</v>
      </c>
      <c r="AN712">
        <v>4627.6387999999997</v>
      </c>
      <c r="AO712">
        <v>-0.65880000000000005</v>
      </c>
      <c r="AP712">
        <v>0.43409999999999999</v>
      </c>
      <c r="AQ712">
        <v>-6.9999999999999999E-6</v>
      </c>
      <c r="AR712">
        <v>0</v>
      </c>
      <c r="AY712">
        <v>710</v>
      </c>
      <c r="AZ712">
        <v>709</v>
      </c>
      <c r="BA712">
        <v>4626.9799999999996</v>
      </c>
      <c r="BB712">
        <v>4627.6387999999997</v>
      </c>
      <c r="BC712">
        <v>-0.65880000000000005</v>
      </c>
      <c r="BD712">
        <v>0.43409999999999999</v>
      </c>
      <c r="BE712">
        <v>502681</v>
      </c>
    </row>
    <row r="713" spans="1:57" x14ac:dyDescent="0.55000000000000004">
      <c r="A713">
        <v>1777365002</v>
      </c>
      <c r="B713" t="s">
        <v>72</v>
      </c>
      <c r="C713" t="s">
        <v>73</v>
      </c>
      <c r="D713">
        <v>4628.21</v>
      </c>
      <c r="E713">
        <v>4518.5928199999998</v>
      </c>
      <c r="F713">
        <v>4596.0559499999999</v>
      </c>
      <c r="G713">
        <v>4755.40355</v>
      </c>
      <c r="H713">
        <v>4792.7697200000002</v>
      </c>
      <c r="Q713">
        <v>4627.37122</v>
      </c>
      <c r="R713">
        <v>4656.73452</v>
      </c>
      <c r="S713">
        <v>4683.3232900000003</v>
      </c>
      <c r="V713">
        <v>4592.43145</v>
      </c>
      <c r="W713">
        <v>4558.8664600000002</v>
      </c>
      <c r="AB713">
        <v>4625.433</v>
      </c>
      <c r="AC713">
        <v>4626.8820299999998</v>
      </c>
      <c r="AD713">
        <v>0</v>
      </c>
      <c r="AK713">
        <v>711</v>
      </c>
      <c r="AL713">
        <v>710</v>
      </c>
      <c r="AM713">
        <v>4628.21</v>
      </c>
      <c r="AN713">
        <v>4627.3711999999996</v>
      </c>
      <c r="AO713">
        <v>0.83879999999999999</v>
      </c>
      <c r="AP713">
        <v>0.7036</v>
      </c>
      <c r="AQ713">
        <v>1.4E-5</v>
      </c>
      <c r="AR713">
        <v>0</v>
      </c>
      <c r="AY713">
        <v>711</v>
      </c>
      <c r="AZ713">
        <v>710</v>
      </c>
      <c r="BA713">
        <v>4628.21</v>
      </c>
      <c r="BB713">
        <v>4627.3711999999996</v>
      </c>
      <c r="BC713">
        <v>0.83879999999999999</v>
      </c>
      <c r="BD713">
        <v>0.7036</v>
      </c>
      <c r="BE713">
        <v>504100</v>
      </c>
    </row>
    <row r="714" spans="1:57" x14ac:dyDescent="0.55000000000000004">
      <c r="A714">
        <v>1777365902</v>
      </c>
      <c r="B714" t="s">
        <v>72</v>
      </c>
      <c r="C714" t="s">
        <v>73</v>
      </c>
      <c r="D714">
        <v>4629.62</v>
      </c>
      <c r="E714">
        <v>4518.5928199999998</v>
      </c>
      <c r="F714">
        <v>4596.0559499999999</v>
      </c>
      <c r="G714">
        <v>4755.40355</v>
      </c>
      <c r="H714">
        <v>4792.7697200000002</v>
      </c>
      <c r="Q714">
        <v>4627.1036199999999</v>
      </c>
      <c r="R714">
        <v>4656.4669199999998</v>
      </c>
      <c r="S714">
        <v>4683.0556900000001</v>
      </c>
      <c r="V714">
        <v>4592.1638499999999</v>
      </c>
      <c r="W714">
        <v>4558.5988500000003</v>
      </c>
      <c r="AB714">
        <v>4623.5956800000004</v>
      </c>
      <c r="AC714">
        <v>4625.2388499999997</v>
      </c>
      <c r="AD714">
        <v>0</v>
      </c>
      <c r="AK714">
        <v>712</v>
      </c>
      <c r="AL714">
        <v>711</v>
      </c>
      <c r="AM714">
        <v>4629.62</v>
      </c>
      <c r="AN714">
        <v>4627.1036000000004</v>
      </c>
      <c r="AO714">
        <v>2.5164</v>
      </c>
      <c r="AP714">
        <v>6.3322000000000003</v>
      </c>
      <c r="AQ714">
        <v>3.6699999999999998E-4</v>
      </c>
      <c r="AR714">
        <v>2.5999999999999998E-5</v>
      </c>
      <c r="AY714">
        <v>712</v>
      </c>
      <c r="AZ714">
        <v>711</v>
      </c>
      <c r="BA714">
        <v>4629.62</v>
      </c>
      <c r="BB714">
        <v>4627.1036000000004</v>
      </c>
      <c r="BC714">
        <v>2.5164</v>
      </c>
      <c r="BD714">
        <v>6.3322000000000003</v>
      </c>
      <c r="BE714">
        <v>505521</v>
      </c>
    </row>
    <row r="715" spans="1:57" x14ac:dyDescent="0.55000000000000004">
      <c r="A715">
        <v>1777366802</v>
      </c>
      <c r="B715" t="s">
        <v>72</v>
      </c>
      <c r="C715" t="s">
        <v>73</v>
      </c>
      <c r="D715">
        <v>4625.5200000000004</v>
      </c>
      <c r="E715">
        <v>4518.5928199999998</v>
      </c>
      <c r="F715">
        <v>4596.0559499999999</v>
      </c>
      <c r="G715">
        <v>4755.40355</v>
      </c>
      <c r="H715">
        <v>4792.7697200000002</v>
      </c>
      <c r="Q715">
        <v>4626.8360199999997</v>
      </c>
      <c r="R715">
        <v>4656.19931</v>
      </c>
      <c r="S715">
        <v>4682.78809</v>
      </c>
      <c r="V715">
        <v>4591.8962499999998</v>
      </c>
      <c r="W715">
        <v>4558.3312500000002</v>
      </c>
      <c r="AB715">
        <v>4621.6584199999998</v>
      </c>
      <c r="AC715">
        <v>4623.4486399999996</v>
      </c>
      <c r="AD715">
        <v>0</v>
      </c>
      <c r="AK715">
        <v>713</v>
      </c>
      <c r="AL715">
        <v>712</v>
      </c>
      <c r="AM715">
        <v>4625.5200000000004</v>
      </c>
      <c r="AN715">
        <v>4626.8360000000002</v>
      </c>
      <c r="AO715">
        <v>-1.3160000000000001</v>
      </c>
      <c r="AP715">
        <v>1.7319</v>
      </c>
      <c r="AQ715">
        <v>-5.1999999999999997E-5</v>
      </c>
      <c r="AR715">
        <v>1.9999999999999999E-6</v>
      </c>
      <c r="AY715">
        <v>713</v>
      </c>
      <c r="AZ715">
        <v>712</v>
      </c>
      <c r="BA715">
        <v>4625.5200000000004</v>
      </c>
      <c r="BB715">
        <v>4626.8360000000002</v>
      </c>
      <c r="BC715">
        <v>-1.3160000000000001</v>
      </c>
      <c r="BD715">
        <v>1.7319</v>
      </c>
      <c r="BE715">
        <v>506944</v>
      </c>
    </row>
    <row r="716" spans="1:57" x14ac:dyDescent="0.55000000000000004">
      <c r="A716">
        <v>1777367702</v>
      </c>
      <c r="B716" t="s">
        <v>72</v>
      </c>
      <c r="C716" t="s">
        <v>73</v>
      </c>
      <c r="D716">
        <v>4618.3100000000004</v>
      </c>
      <c r="E716">
        <v>4518.5928199999998</v>
      </c>
      <c r="F716">
        <v>4596.0559499999999</v>
      </c>
      <c r="G716">
        <v>4755.40355</v>
      </c>
      <c r="H716">
        <v>4792.7697200000002</v>
      </c>
      <c r="Q716">
        <v>4626.5684099999999</v>
      </c>
      <c r="R716">
        <v>4655.9317099999998</v>
      </c>
      <c r="S716">
        <v>4682.5204800000001</v>
      </c>
      <c r="V716">
        <v>4591.6286399999999</v>
      </c>
      <c r="W716">
        <v>4558.0636400000003</v>
      </c>
      <c r="AB716">
        <v>4619.6730699999998</v>
      </c>
      <c r="AC716">
        <v>4621.5608499999998</v>
      </c>
      <c r="AD716">
        <v>0</v>
      </c>
      <c r="AK716">
        <v>714</v>
      </c>
      <c r="AL716">
        <v>713</v>
      </c>
      <c r="AM716">
        <v>4618.3100000000004</v>
      </c>
      <c r="AN716">
        <v>4626.5684000000001</v>
      </c>
      <c r="AO716">
        <v>-8.2584</v>
      </c>
      <c r="AP716">
        <v>68.201300000000003</v>
      </c>
      <c r="AQ716">
        <v>-1.2957E-2</v>
      </c>
      <c r="AR716">
        <v>3.0430000000000001E-3</v>
      </c>
      <c r="AY716">
        <v>714</v>
      </c>
      <c r="AZ716">
        <v>713</v>
      </c>
      <c r="BA716">
        <v>4618.3100000000004</v>
      </c>
      <c r="BB716">
        <v>4626.5684000000001</v>
      </c>
      <c r="BC716">
        <v>-8.2584</v>
      </c>
      <c r="BD716">
        <v>68.201300000000003</v>
      </c>
      <c r="BE716">
        <v>508369</v>
      </c>
    </row>
    <row r="717" spans="1:57" x14ac:dyDescent="0.55000000000000004">
      <c r="A717">
        <v>1777368602</v>
      </c>
      <c r="B717" t="s">
        <v>72</v>
      </c>
      <c r="C717" t="s">
        <v>73</v>
      </c>
      <c r="D717">
        <v>4613.05</v>
      </c>
      <c r="E717">
        <v>4518.5928199999998</v>
      </c>
      <c r="F717">
        <v>4596.0559499999999</v>
      </c>
      <c r="G717">
        <v>4755.40355</v>
      </c>
      <c r="H717">
        <v>4792.7697200000002</v>
      </c>
      <c r="Q717">
        <v>4626.3008099999997</v>
      </c>
      <c r="R717">
        <v>4655.6641099999997</v>
      </c>
      <c r="S717">
        <v>4682.25288</v>
      </c>
      <c r="V717">
        <v>4591.3610399999998</v>
      </c>
      <c r="W717">
        <v>4557.7960400000002</v>
      </c>
      <c r="AB717">
        <v>4617.6780399999998</v>
      </c>
      <c r="AC717">
        <v>4619.6194500000001</v>
      </c>
      <c r="AD717">
        <v>0</v>
      </c>
      <c r="AK717">
        <v>715</v>
      </c>
      <c r="AL717">
        <v>714</v>
      </c>
      <c r="AM717">
        <v>4613.05</v>
      </c>
      <c r="AN717">
        <v>4626.3008</v>
      </c>
      <c r="AO717">
        <v>-13.2508</v>
      </c>
      <c r="AP717">
        <v>175.584</v>
      </c>
      <c r="AQ717">
        <v>-5.3523000000000001E-2</v>
      </c>
      <c r="AR717">
        <v>2.0171000000000001E-2</v>
      </c>
      <c r="AY717">
        <v>715</v>
      </c>
      <c r="AZ717">
        <v>714</v>
      </c>
      <c r="BA717">
        <v>4613.05</v>
      </c>
      <c r="BB717">
        <v>4626.3008</v>
      </c>
      <c r="BC717">
        <v>-13.2508</v>
      </c>
      <c r="BD717">
        <v>175.584</v>
      </c>
      <c r="BE717">
        <v>509796</v>
      </c>
    </row>
    <row r="718" spans="1:57" x14ac:dyDescent="0.55000000000000004">
      <c r="A718">
        <v>1777369502</v>
      </c>
      <c r="B718" t="s">
        <v>72</v>
      </c>
      <c r="C718" t="s">
        <v>73</v>
      </c>
      <c r="D718">
        <v>4604.84</v>
      </c>
      <c r="E718">
        <v>4518.5928199999998</v>
      </c>
      <c r="F718">
        <v>4596.0559499999999</v>
      </c>
      <c r="G718">
        <v>4755.40355</v>
      </c>
      <c r="H718">
        <v>4792.7697200000002</v>
      </c>
      <c r="Q718">
        <v>4626.0331999999999</v>
      </c>
      <c r="R718">
        <v>4655.3964999999998</v>
      </c>
      <c r="S718">
        <v>4681.9852700000001</v>
      </c>
      <c r="V718">
        <v>4591.0934299999999</v>
      </c>
      <c r="W718">
        <v>4557.52844</v>
      </c>
      <c r="AB718">
        <v>4615.5193600000002</v>
      </c>
      <c r="AC718">
        <v>4617.5694100000001</v>
      </c>
      <c r="AD718">
        <v>0</v>
      </c>
      <c r="AK718">
        <v>716</v>
      </c>
      <c r="AL718">
        <v>715</v>
      </c>
      <c r="AM718">
        <v>4604.84</v>
      </c>
      <c r="AN718">
        <v>4626.0331999999999</v>
      </c>
      <c r="AO718">
        <v>-21.193200000000001</v>
      </c>
      <c r="AP718">
        <v>449.15170000000001</v>
      </c>
      <c r="AQ718">
        <v>-0.21898000000000001</v>
      </c>
      <c r="AR718">
        <v>0.13199</v>
      </c>
      <c r="AY718">
        <v>716</v>
      </c>
      <c r="AZ718">
        <v>715</v>
      </c>
      <c r="BA718">
        <v>4604.84</v>
      </c>
      <c r="BB718">
        <v>4626.0331999999999</v>
      </c>
      <c r="BC718">
        <v>-21.193200000000001</v>
      </c>
      <c r="BD718">
        <v>449.15170000000001</v>
      </c>
      <c r="BE718">
        <v>511225</v>
      </c>
    </row>
    <row r="719" spans="1:57" x14ac:dyDescent="0.55000000000000004">
      <c r="A719">
        <v>1777370402</v>
      </c>
      <c r="B719" t="s">
        <v>72</v>
      </c>
      <c r="C719" t="s">
        <v>73</v>
      </c>
      <c r="D719">
        <v>4612.7</v>
      </c>
      <c r="E719">
        <v>4518.5928199999998</v>
      </c>
      <c r="F719">
        <v>4596.0559499999999</v>
      </c>
      <c r="G719">
        <v>4755.40355</v>
      </c>
      <c r="H719">
        <v>4792.7697200000002</v>
      </c>
      <c r="Q719">
        <v>4625.7655999999997</v>
      </c>
      <c r="R719">
        <v>4655.1288999999997</v>
      </c>
      <c r="S719">
        <v>4681.71767</v>
      </c>
      <c r="V719">
        <v>4590.8258299999998</v>
      </c>
      <c r="W719">
        <v>4557.2608300000002</v>
      </c>
      <c r="AB719">
        <v>4613.0637500000003</v>
      </c>
      <c r="AC719">
        <v>4615.3165799999997</v>
      </c>
      <c r="AD719">
        <v>0</v>
      </c>
      <c r="AK719">
        <v>717</v>
      </c>
      <c r="AL719">
        <v>716</v>
      </c>
      <c r="AM719">
        <v>4612.7</v>
      </c>
      <c r="AN719">
        <v>4625.7655999999997</v>
      </c>
      <c r="AO719">
        <v>-13.0656</v>
      </c>
      <c r="AP719">
        <v>170.7099</v>
      </c>
      <c r="AQ719">
        <v>-5.1310000000000001E-2</v>
      </c>
      <c r="AR719">
        <v>1.9067000000000001E-2</v>
      </c>
      <c r="AY719">
        <v>717</v>
      </c>
      <c r="AZ719">
        <v>716</v>
      </c>
      <c r="BA719">
        <v>4612.7</v>
      </c>
      <c r="BB719">
        <v>4625.7655999999997</v>
      </c>
      <c r="BC719">
        <v>-13.0656</v>
      </c>
      <c r="BD719">
        <v>170.7099</v>
      </c>
      <c r="BE719">
        <v>512656</v>
      </c>
    </row>
    <row r="720" spans="1:57" x14ac:dyDescent="0.55000000000000004">
      <c r="A720">
        <v>1777371302</v>
      </c>
      <c r="B720" t="s">
        <v>72</v>
      </c>
      <c r="C720" t="s">
        <v>73</v>
      </c>
      <c r="D720">
        <v>4611.7700000000004</v>
      </c>
      <c r="E720">
        <v>4518.5928199999998</v>
      </c>
      <c r="F720">
        <v>4596.0559499999999</v>
      </c>
      <c r="G720">
        <v>4755.40355</v>
      </c>
      <c r="H720">
        <v>4792.7697200000002</v>
      </c>
      <c r="Q720">
        <v>4625.4979999999996</v>
      </c>
      <c r="R720">
        <v>4654.8612899999998</v>
      </c>
      <c r="S720">
        <v>4681.4500600000001</v>
      </c>
      <c r="V720">
        <v>4590.5582199999999</v>
      </c>
      <c r="W720">
        <v>4556.99323</v>
      </c>
      <c r="AB720">
        <v>4609.7616399999997</v>
      </c>
      <c r="AC720">
        <v>4612.5391099999997</v>
      </c>
      <c r="AD720">
        <v>0</v>
      </c>
      <c r="AK720">
        <v>718</v>
      </c>
      <c r="AL720">
        <v>717</v>
      </c>
      <c r="AM720">
        <v>4611.7700000000004</v>
      </c>
      <c r="AN720">
        <v>4625.4979999999996</v>
      </c>
      <c r="AO720">
        <v>-13.728</v>
      </c>
      <c r="AP720">
        <v>188.458</v>
      </c>
      <c r="AQ720">
        <v>-5.9517E-2</v>
      </c>
      <c r="AR720">
        <v>2.3237000000000001E-2</v>
      </c>
      <c r="AY720">
        <v>718</v>
      </c>
      <c r="AZ720">
        <v>717</v>
      </c>
      <c r="BA720">
        <v>4611.7700000000004</v>
      </c>
      <c r="BB720">
        <v>4625.4979999999996</v>
      </c>
      <c r="BC720">
        <v>-13.728</v>
      </c>
      <c r="BD720">
        <v>188.458</v>
      </c>
      <c r="BE720">
        <v>514089</v>
      </c>
    </row>
    <row r="721" spans="1:57" x14ac:dyDescent="0.55000000000000004">
      <c r="A721">
        <v>1777372202</v>
      </c>
      <c r="B721" t="s">
        <v>72</v>
      </c>
      <c r="C721" t="s">
        <v>73</v>
      </c>
      <c r="D721">
        <v>4613.29</v>
      </c>
      <c r="E721">
        <v>4518.5928199999998</v>
      </c>
      <c r="F721">
        <v>4596.0559499999999</v>
      </c>
      <c r="G721">
        <v>4755.40355</v>
      </c>
      <c r="H721">
        <v>4792.7697200000002</v>
      </c>
      <c r="Q721">
        <v>4625.2303899999997</v>
      </c>
      <c r="R721">
        <v>4654.5936899999997</v>
      </c>
      <c r="S721">
        <v>4681.18246</v>
      </c>
      <c r="V721">
        <v>4590.2906199999998</v>
      </c>
      <c r="W721">
        <v>4556.7256200000002</v>
      </c>
      <c r="AB721">
        <v>4605.4652100000003</v>
      </c>
      <c r="AC721">
        <v>4609.00216</v>
      </c>
      <c r="AD721">
        <v>0</v>
      </c>
      <c r="AK721">
        <v>719</v>
      </c>
      <c r="AL721">
        <v>718</v>
      </c>
      <c r="AM721">
        <v>4613.29</v>
      </c>
      <c r="AN721">
        <v>4625.2304000000004</v>
      </c>
      <c r="AO721">
        <v>-11.9404</v>
      </c>
      <c r="AP721">
        <v>142.5729</v>
      </c>
      <c r="AQ721">
        <v>-3.9163000000000003E-2</v>
      </c>
      <c r="AR721">
        <v>1.3299E-2</v>
      </c>
      <c r="AY721">
        <v>719</v>
      </c>
      <c r="AZ721">
        <v>718</v>
      </c>
      <c r="BA721">
        <v>4613.29</v>
      </c>
      <c r="BB721">
        <v>4625.2304000000004</v>
      </c>
      <c r="BC721">
        <v>-11.9404</v>
      </c>
      <c r="BD721">
        <v>142.5729</v>
      </c>
      <c r="BE721">
        <v>515524</v>
      </c>
    </row>
    <row r="722" spans="1:57" x14ac:dyDescent="0.55000000000000004">
      <c r="A722">
        <v>1777373102</v>
      </c>
      <c r="B722" t="s">
        <v>72</v>
      </c>
      <c r="C722" t="s">
        <v>73</v>
      </c>
      <c r="D722">
        <v>4603.3</v>
      </c>
      <c r="E722">
        <v>4518.5928199999998</v>
      </c>
      <c r="F722">
        <v>4596.0559499999999</v>
      </c>
      <c r="G722">
        <v>4755.40355</v>
      </c>
      <c r="H722">
        <v>4792.7697200000002</v>
      </c>
      <c r="Q722">
        <v>4624.9627899999996</v>
      </c>
      <c r="R722">
        <v>4654.3260899999996</v>
      </c>
      <c r="S722">
        <v>4680.9148599999999</v>
      </c>
      <c r="V722">
        <v>4590.0230199999996</v>
      </c>
      <c r="W722">
        <v>4556.45802</v>
      </c>
      <c r="AB722">
        <v>4600.1769199999999</v>
      </c>
      <c r="AC722">
        <v>4604.5895399999999</v>
      </c>
      <c r="AD722">
        <v>0</v>
      </c>
      <c r="AK722">
        <v>720</v>
      </c>
      <c r="AL722">
        <v>719</v>
      </c>
      <c r="AM722">
        <v>4603.3</v>
      </c>
      <c r="AN722">
        <v>4624.9628000000002</v>
      </c>
      <c r="AO722">
        <v>-21.662800000000001</v>
      </c>
      <c r="AP722">
        <v>469.2765</v>
      </c>
      <c r="AQ722">
        <v>-0.23386199999999999</v>
      </c>
      <c r="AR722">
        <v>0.14408299999999999</v>
      </c>
      <c r="AY722">
        <v>720</v>
      </c>
      <c r="AZ722">
        <v>719</v>
      </c>
      <c r="BA722">
        <v>4603.3</v>
      </c>
      <c r="BB722">
        <v>4624.9628000000002</v>
      </c>
      <c r="BC722">
        <v>-21.662800000000001</v>
      </c>
      <c r="BD722">
        <v>469.2765</v>
      </c>
      <c r="BE722">
        <v>516961</v>
      </c>
    </row>
    <row r="723" spans="1:57" x14ac:dyDescent="0.55000000000000004">
      <c r="A723">
        <v>1777374002</v>
      </c>
      <c r="B723" t="s">
        <v>72</v>
      </c>
      <c r="C723" t="s">
        <v>73</v>
      </c>
      <c r="D723">
        <v>4598.6899999999996</v>
      </c>
      <c r="E723">
        <v>4518.5928199999998</v>
      </c>
      <c r="F723">
        <v>4596.0559499999999</v>
      </c>
      <c r="G723">
        <v>4755.40355</v>
      </c>
      <c r="H723">
        <v>4792.7697200000002</v>
      </c>
      <c r="Q723">
        <v>4624.6951799999997</v>
      </c>
      <c r="R723">
        <v>4654.0584799999997</v>
      </c>
      <c r="S723">
        <v>4680.64725</v>
      </c>
      <c r="V723">
        <v>4589.7554099999998</v>
      </c>
      <c r="W723">
        <v>4556.1904199999999</v>
      </c>
      <c r="AB723">
        <v>4594.4662900000003</v>
      </c>
      <c r="AC723">
        <v>4599.5279099999998</v>
      </c>
      <c r="AD723">
        <v>0</v>
      </c>
      <c r="AK723">
        <v>721</v>
      </c>
      <c r="AL723">
        <v>720</v>
      </c>
      <c r="AM723">
        <v>4598.6899999999996</v>
      </c>
      <c r="AN723">
        <v>4624.6952000000001</v>
      </c>
      <c r="AO723">
        <v>-26.005199999999999</v>
      </c>
      <c r="AP723">
        <v>676.26940000000002</v>
      </c>
      <c r="AQ723">
        <v>-0.40457100000000001</v>
      </c>
      <c r="AR723">
        <v>0.29922199999999999</v>
      </c>
      <c r="AY723">
        <v>721</v>
      </c>
      <c r="AZ723">
        <v>720</v>
      </c>
      <c r="BA723">
        <v>4598.6899999999996</v>
      </c>
      <c r="BB723">
        <v>4624.6952000000001</v>
      </c>
      <c r="BC723">
        <v>-26.005199999999999</v>
      </c>
      <c r="BD723">
        <v>676.26940000000002</v>
      </c>
      <c r="BE723">
        <v>518400</v>
      </c>
    </row>
    <row r="724" spans="1:57" x14ac:dyDescent="0.55000000000000004">
      <c r="A724">
        <v>1777374902</v>
      </c>
      <c r="B724" t="s">
        <v>72</v>
      </c>
      <c r="C724" t="s">
        <v>73</v>
      </c>
      <c r="D724">
        <v>4599.45</v>
      </c>
      <c r="E724">
        <v>4518.5928199999998</v>
      </c>
      <c r="F724">
        <v>4596.0559499999999</v>
      </c>
      <c r="G724">
        <v>4755.40355</v>
      </c>
      <c r="H724">
        <v>4792.7697200000002</v>
      </c>
      <c r="Q724">
        <v>4624.4275799999996</v>
      </c>
      <c r="R724">
        <v>4653.7908799999996</v>
      </c>
      <c r="S724">
        <v>4680.3796499999999</v>
      </c>
      <c r="V724">
        <v>4589.4878099999996</v>
      </c>
      <c r="W724">
        <v>4555.92281</v>
      </c>
      <c r="AB724">
        <v>4588.93887</v>
      </c>
      <c r="AC724">
        <v>4594.2333900000003</v>
      </c>
      <c r="AD724">
        <v>0</v>
      </c>
      <c r="AK724">
        <v>722</v>
      </c>
      <c r="AL724">
        <v>721</v>
      </c>
      <c r="AM724">
        <v>4599.45</v>
      </c>
      <c r="AN724">
        <v>4624.4276</v>
      </c>
      <c r="AO724">
        <v>-24.977599999999999</v>
      </c>
      <c r="AP724">
        <v>623.87950000000001</v>
      </c>
      <c r="AQ724">
        <v>-0.35848099999999999</v>
      </c>
      <c r="AR724">
        <v>0.25465700000000002</v>
      </c>
      <c r="AY724">
        <v>722</v>
      </c>
      <c r="AZ724">
        <v>721</v>
      </c>
      <c r="BA724">
        <v>4599.45</v>
      </c>
      <c r="BB724">
        <v>4624.4276</v>
      </c>
      <c r="BC724">
        <v>-24.977599999999999</v>
      </c>
      <c r="BD724">
        <v>623.87950000000001</v>
      </c>
      <c r="BE724">
        <v>519841</v>
      </c>
    </row>
    <row r="725" spans="1:57" x14ac:dyDescent="0.55000000000000004">
      <c r="A725">
        <v>1777375802</v>
      </c>
      <c r="B725" t="s">
        <v>72</v>
      </c>
      <c r="C725" t="s">
        <v>73</v>
      </c>
      <c r="D725">
        <v>4572.22</v>
      </c>
      <c r="E725">
        <v>4518.5928199999998</v>
      </c>
      <c r="F725">
        <v>4596.0559499999999</v>
      </c>
      <c r="G725">
        <v>4755.40355</v>
      </c>
      <c r="H725">
        <v>4792.7697200000002</v>
      </c>
      <c r="Q725">
        <v>4624.1599699999997</v>
      </c>
      <c r="R725">
        <v>4653.5232699999997</v>
      </c>
      <c r="S725">
        <v>4680.11204</v>
      </c>
      <c r="V725">
        <v>4589.2201999999997</v>
      </c>
      <c r="W725">
        <v>4555.6552099999999</v>
      </c>
      <c r="AB725">
        <v>4584.0894699999999</v>
      </c>
      <c r="AC725">
        <v>4589.1614300000001</v>
      </c>
      <c r="AD725">
        <v>0</v>
      </c>
      <c r="AK725">
        <v>723</v>
      </c>
      <c r="AL725">
        <v>722</v>
      </c>
      <c r="AM725">
        <v>4572.22</v>
      </c>
      <c r="AN725">
        <v>4624.16</v>
      </c>
      <c r="AO725">
        <v>-51.94</v>
      </c>
      <c r="AP725">
        <v>2697.7604999999999</v>
      </c>
      <c r="AQ725">
        <v>-3.2234479999999999</v>
      </c>
      <c r="AR725">
        <v>4.7616880000000004</v>
      </c>
      <c r="AY725">
        <v>723</v>
      </c>
      <c r="AZ725">
        <v>722</v>
      </c>
      <c r="BA725">
        <v>4572.22</v>
      </c>
      <c r="BB725">
        <v>4624.16</v>
      </c>
      <c r="BC725">
        <v>-51.94</v>
      </c>
      <c r="BD725">
        <v>2697.7604999999999</v>
      </c>
      <c r="BE725">
        <v>521284</v>
      </c>
    </row>
    <row r="726" spans="1:57" x14ac:dyDescent="0.55000000000000004">
      <c r="A726">
        <v>1777376702</v>
      </c>
      <c r="B726" t="s">
        <v>72</v>
      </c>
      <c r="C726" t="s">
        <v>73</v>
      </c>
      <c r="D726">
        <v>4562.88</v>
      </c>
      <c r="E726">
        <v>4518.5928199999998</v>
      </c>
      <c r="F726">
        <v>4596.0559499999999</v>
      </c>
      <c r="G726">
        <v>4755.40355</v>
      </c>
      <c r="H726">
        <v>4792.7697200000002</v>
      </c>
      <c r="Q726">
        <v>4623.8923699999996</v>
      </c>
      <c r="R726">
        <v>4653.2556699999996</v>
      </c>
      <c r="S726">
        <v>4679.8444399999998</v>
      </c>
      <c r="V726">
        <v>4588.9525999999996</v>
      </c>
      <c r="W726">
        <v>4555.3876</v>
      </c>
      <c r="AB726">
        <v>4581.0416299999997</v>
      </c>
      <c r="AC726">
        <v>4585.1015299999999</v>
      </c>
      <c r="AD726">
        <v>0</v>
      </c>
      <c r="AK726">
        <v>724</v>
      </c>
      <c r="AL726">
        <v>723</v>
      </c>
      <c r="AM726">
        <v>4562.88</v>
      </c>
      <c r="AN726">
        <v>4623.8923999999997</v>
      </c>
      <c r="AO726">
        <v>-61.0124</v>
      </c>
      <c r="AP726">
        <v>3722.5093000000002</v>
      </c>
      <c r="AQ726">
        <v>-5.2247950000000003</v>
      </c>
      <c r="AR726">
        <v>9.0662079999999996</v>
      </c>
      <c r="AY726">
        <v>724</v>
      </c>
      <c r="AZ726">
        <v>723</v>
      </c>
      <c r="BA726">
        <v>4562.88</v>
      </c>
      <c r="BB726">
        <v>4623.8923999999997</v>
      </c>
      <c r="BC726">
        <v>-61.0124</v>
      </c>
      <c r="BD726">
        <v>3722.5093000000002</v>
      </c>
      <c r="BE726">
        <v>522729</v>
      </c>
    </row>
    <row r="727" spans="1:57" x14ac:dyDescent="0.55000000000000004">
      <c r="A727">
        <v>1777377602</v>
      </c>
      <c r="B727" t="s">
        <v>72</v>
      </c>
      <c r="C727" t="s">
        <v>73</v>
      </c>
      <c r="D727">
        <v>4581.7299999999996</v>
      </c>
      <c r="E727">
        <v>4518.5928199999998</v>
      </c>
      <c r="F727">
        <v>4596.0559499999999</v>
      </c>
      <c r="G727">
        <v>4755.40355</v>
      </c>
      <c r="H727">
        <v>4792.7697200000002</v>
      </c>
      <c r="Q727">
        <v>4623.6247700000004</v>
      </c>
      <c r="R727">
        <v>4652.9880700000003</v>
      </c>
      <c r="S727">
        <v>4679.5768399999997</v>
      </c>
      <c r="V727">
        <v>4588.6850000000004</v>
      </c>
      <c r="W727">
        <v>4555.12</v>
      </c>
      <c r="AA727">
        <v>4555.12</v>
      </c>
      <c r="AB727">
        <v>4580.1010299999998</v>
      </c>
      <c r="AC727">
        <v>4582.6012799999999</v>
      </c>
      <c r="AD727">
        <v>0</v>
      </c>
      <c r="AK727">
        <v>725</v>
      </c>
      <c r="AL727">
        <v>724</v>
      </c>
      <c r="AM727">
        <v>4581.7299999999996</v>
      </c>
      <c r="AN727">
        <v>4623.6247999999996</v>
      </c>
      <c r="AO727">
        <v>-41.894799999999996</v>
      </c>
      <c r="AP727">
        <v>1755.1718000000001</v>
      </c>
      <c r="AQ727">
        <v>-1.6915899999999999</v>
      </c>
      <c r="AR727">
        <v>2.015549</v>
      </c>
      <c r="AY727">
        <v>725</v>
      </c>
      <c r="AZ727">
        <v>724</v>
      </c>
      <c r="BA727">
        <v>4581.7299999999996</v>
      </c>
      <c r="BB727">
        <v>4623.6247999999996</v>
      </c>
      <c r="BC727">
        <v>-41.894799999999996</v>
      </c>
      <c r="BD727">
        <v>1755.1718000000001</v>
      </c>
      <c r="BE727">
        <v>524176</v>
      </c>
    </row>
    <row r="728" spans="1:57" x14ac:dyDescent="0.55000000000000004">
      <c r="A728">
        <v>1777378502</v>
      </c>
      <c r="B728" t="s">
        <v>72</v>
      </c>
      <c r="C728" t="s">
        <v>73</v>
      </c>
      <c r="D728">
        <v>4580.32</v>
      </c>
      <c r="E728">
        <v>4518.5928199999998</v>
      </c>
      <c r="F728">
        <v>4596.0559499999999</v>
      </c>
      <c r="G728">
        <v>4755.40355</v>
      </c>
      <c r="H728">
        <v>4792.7697200000002</v>
      </c>
      <c r="Q728">
        <v>4623.3571599999996</v>
      </c>
      <c r="R728">
        <v>4652.7204599999995</v>
      </c>
      <c r="S728">
        <v>4679.3092299999998</v>
      </c>
      <c r="V728">
        <v>4588.4173899999996</v>
      </c>
      <c r="W728">
        <v>4554.8523999999998</v>
      </c>
      <c r="AB728">
        <v>4580.3985199999997</v>
      </c>
      <c r="AC728">
        <v>4581.4998999999998</v>
      </c>
      <c r="AD728">
        <v>0</v>
      </c>
      <c r="AK728">
        <v>726</v>
      </c>
      <c r="AL728">
        <v>725</v>
      </c>
      <c r="AM728">
        <v>4580.32</v>
      </c>
      <c r="AN728">
        <v>4623.3572000000004</v>
      </c>
      <c r="AO728">
        <v>-43.037199999999999</v>
      </c>
      <c r="AP728">
        <v>1852.1971000000001</v>
      </c>
      <c r="AQ728">
        <v>-1.8337760000000001</v>
      </c>
      <c r="AR728">
        <v>2.2445460000000002</v>
      </c>
      <c r="AY728">
        <v>726</v>
      </c>
      <c r="AZ728">
        <v>725</v>
      </c>
      <c r="BA728">
        <v>4580.32</v>
      </c>
      <c r="BB728">
        <v>4623.3572000000004</v>
      </c>
      <c r="BC728">
        <v>-43.037199999999999</v>
      </c>
      <c r="BD728">
        <v>1852.1971000000001</v>
      </c>
      <c r="BE728">
        <v>525625</v>
      </c>
    </row>
    <row r="729" spans="1:57" x14ac:dyDescent="0.55000000000000004">
      <c r="A729">
        <v>1777379402</v>
      </c>
      <c r="B729" t="s">
        <v>72</v>
      </c>
      <c r="C729" t="s">
        <v>73</v>
      </c>
      <c r="D729">
        <v>4586.96</v>
      </c>
      <c r="E729">
        <v>4518.5928199999998</v>
      </c>
      <c r="F729">
        <v>4596.0559499999999</v>
      </c>
      <c r="G729">
        <v>4755.40355</v>
      </c>
      <c r="H729">
        <v>4792.7697200000002</v>
      </c>
      <c r="Q729">
        <v>4623.0895600000003</v>
      </c>
      <c r="R729">
        <v>4652.4528600000003</v>
      </c>
      <c r="S729">
        <v>4679.0416299999997</v>
      </c>
      <c r="V729">
        <v>4588.1497900000004</v>
      </c>
      <c r="W729">
        <v>4554.5847899999999</v>
      </c>
      <c r="AB729">
        <v>4581.3809099999999</v>
      </c>
      <c r="AC729">
        <v>4581.4404100000002</v>
      </c>
      <c r="AD729">
        <v>0</v>
      </c>
      <c r="AK729">
        <v>727</v>
      </c>
      <c r="AL729">
        <v>726</v>
      </c>
      <c r="AM729">
        <v>4586.96</v>
      </c>
      <c r="AN729">
        <v>4623.0896000000002</v>
      </c>
      <c r="AO729">
        <v>-36.129600000000003</v>
      </c>
      <c r="AP729">
        <v>1305.3451</v>
      </c>
      <c r="AQ729">
        <v>-1.084935</v>
      </c>
      <c r="AR729">
        <v>1.1148199999999999</v>
      </c>
      <c r="AY729">
        <v>727</v>
      </c>
      <c r="AZ729">
        <v>726</v>
      </c>
      <c r="BA729">
        <v>4586.96</v>
      </c>
      <c r="BB729">
        <v>4623.0896000000002</v>
      </c>
      <c r="BC729">
        <v>-36.129600000000003</v>
      </c>
      <c r="BD729">
        <v>1305.3451</v>
      </c>
      <c r="BE729">
        <v>527076</v>
      </c>
    </row>
    <row r="730" spans="1:57" x14ac:dyDescent="0.55000000000000004">
      <c r="A730">
        <v>1777380302</v>
      </c>
      <c r="B730" t="s">
        <v>72</v>
      </c>
      <c r="C730" t="s">
        <v>73</v>
      </c>
      <c r="D730">
        <v>4593.9799999999996</v>
      </c>
      <c r="E730">
        <v>4518.5928199999998</v>
      </c>
      <c r="F730">
        <v>4596.0559499999999</v>
      </c>
      <c r="G730">
        <v>4755.40355</v>
      </c>
      <c r="H730">
        <v>4792.7697200000002</v>
      </c>
      <c r="Q730">
        <v>4622.8219499999996</v>
      </c>
      <c r="R730">
        <v>4652.1852500000005</v>
      </c>
      <c r="S730">
        <v>4678.7740199999998</v>
      </c>
      <c r="V730">
        <v>4587.8821799999996</v>
      </c>
      <c r="W730">
        <v>4554.3171899999998</v>
      </c>
      <c r="AB730">
        <v>4582.2172300000002</v>
      </c>
      <c r="AC730">
        <v>4581.8288199999997</v>
      </c>
      <c r="AD730">
        <v>1</v>
      </c>
      <c r="AK730">
        <v>728</v>
      </c>
      <c r="AL730">
        <v>727</v>
      </c>
      <c r="AM730">
        <v>4593.9799999999996</v>
      </c>
      <c r="AN730">
        <v>4622.8218999999999</v>
      </c>
      <c r="AO730">
        <v>-28.841999999999999</v>
      </c>
      <c r="AP730">
        <v>831.85810000000004</v>
      </c>
      <c r="AQ730">
        <v>-0.55193700000000001</v>
      </c>
      <c r="AR730">
        <v>0.45274399999999998</v>
      </c>
      <c r="AY730">
        <v>728</v>
      </c>
      <c r="AZ730">
        <v>727</v>
      </c>
      <c r="BA730">
        <v>4593.9799999999996</v>
      </c>
      <c r="BB730">
        <v>4622.8218999999999</v>
      </c>
      <c r="BC730">
        <v>-28.841999999999999</v>
      </c>
      <c r="BD730">
        <v>831.85810000000004</v>
      </c>
      <c r="BE730">
        <v>528529</v>
      </c>
    </row>
    <row r="731" spans="1:57" x14ac:dyDescent="0.55000000000000004">
      <c r="A731">
        <v>1777381202</v>
      </c>
      <c r="B731" t="s">
        <v>72</v>
      </c>
      <c r="C731" t="s">
        <v>73</v>
      </c>
      <c r="D731">
        <v>4576.38</v>
      </c>
      <c r="E731">
        <v>4518.5928199999998</v>
      </c>
      <c r="F731">
        <v>4596.0559499999999</v>
      </c>
      <c r="G731">
        <v>4755.40355</v>
      </c>
      <c r="H731">
        <v>4792.7697200000002</v>
      </c>
      <c r="Q731">
        <v>4622.5543500000003</v>
      </c>
      <c r="R731">
        <v>4651.9176500000003</v>
      </c>
      <c r="S731">
        <v>4678.5064199999997</v>
      </c>
      <c r="V731">
        <v>4587.6145800000004</v>
      </c>
      <c r="W731">
        <v>4554.0495799999999</v>
      </c>
      <c r="AB731">
        <v>4582.1519500000004</v>
      </c>
      <c r="AC731">
        <v>4581.9903899999999</v>
      </c>
      <c r="AD731">
        <v>0</v>
      </c>
      <c r="AK731">
        <v>729</v>
      </c>
      <c r="AL731">
        <v>728</v>
      </c>
      <c r="AM731">
        <v>4576.38</v>
      </c>
      <c r="AN731">
        <v>4622.5544</v>
      </c>
      <c r="AO731">
        <v>-46.174399999999999</v>
      </c>
      <c r="AP731">
        <v>2132.0706</v>
      </c>
      <c r="AQ731">
        <v>-2.2647379999999999</v>
      </c>
      <c r="AR731">
        <v>2.9741119999999999</v>
      </c>
      <c r="AY731">
        <v>729</v>
      </c>
      <c r="AZ731">
        <v>728</v>
      </c>
      <c r="BA731">
        <v>4576.38</v>
      </c>
      <c r="BB731">
        <v>4622.5544</v>
      </c>
      <c r="BC731">
        <v>-46.174399999999999</v>
      </c>
      <c r="BD731">
        <v>2132.0706</v>
      </c>
      <c r="BE731">
        <v>529984</v>
      </c>
    </row>
    <row r="732" spans="1:57" x14ac:dyDescent="0.55000000000000004">
      <c r="A732">
        <v>1777382102</v>
      </c>
      <c r="B732" t="s">
        <v>72</v>
      </c>
      <c r="C732" t="s">
        <v>73</v>
      </c>
      <c r="D732">
        <v>4581.88</v>
      </c>
      <c r="E732">
        <v>4518.5928199999998</v>
      </c>
      <c r="F732">
        <v>4596.0559499999999</v>
      </c>
      <c r="G732">
        <v>4755.40355</v>
      </c>
      <c r="H732">
        <v>4792.7697200000002</v>
      </c>
      <c r="Q732">
        <v>4622.2867500000002</v>
      </c>
      <c r="R732">
        <v>4651.6500400000004</v>
      </c>
      <c r="S732">
        <v>4678.2388199999996</v>
      </c>
      <c r="V732">
        <v>4587.3469800000003</v>
      </c>
      <c r="W732">
        <v>4553.7819799999997</v>
      </c>
      <c r="AB732">
        <v>4581.4012499999999</v>
      </c>
      <c r="AC732">
        <v>4581.6958199999999</v>
      </c>
      <c r="AD732">
        <v>1</v>
      </c>
      <c r="AK732">
        <v>730</v>
      </c>
      <c r="AL732">
        <v>729</v>
      </c>
      <c r="AM732">
        <v>4581.88</v>
      </c>
      <c r="AN732">
        <v>4622.2867999999999</v>
      </c>
      <c r="AO732">
        <v>-40.406799999999997</v>
      </c>
      <c r="AP732">
        <v>1632.7054000000001</v>
      </c>
      <c r="AQ732">
        <v>-1.5176700000000001</v>
      </c>
      <c r="AR732">
        <v>1.744094</v>
      </c>
      <c r="AY732">
        <v>730</v>
      </c>
      <c r="AZ732">
        <v>729</v>
      </c>
      <c r="BA732">
        <v>4581.88</v>
      </c>
      <c r="BB732">
        <v>4622.2867999999999</v>
      </c>
      <c r="BC732">
        <v>-40.406799999999997</v>
      </c>
      <c r="BD732">
        <v>1632.7054000000001</v>
      </c>
      <c r="BE732">
        <v>531441</v>
      </c>
    </row>
    <row r="733" spans="1:57" x14ac:dyDescent="0.55000000000000004">
      <c r="A733">
        <v>1777383002</v>
      </c>
      <c r="B733" t="s">
        <v>72</v>
      </c>
      <c r="C733" t="s">
        <v>73</v>
      </c>
      <c r="D733">
        <v>4581.7299999999996</v>
      </c>
      <c r="E733">
        <v>4518.5928199999998</v>
      </c>
      <c r="F733">
        <v>4596.0559499999999</v>
      </c>
      <c r="G733">
        <v>4755.40355</v>
      </c>
      <c r="H733">
        <v>4792.7697200000002</v>
      </c>
      <c r="Q733">
        <v>4622.0191400000003</v>
      </c>
      <c r="R733">
        <v>4651.3824400000003</v>
      </c>
      <c r="S733">
        <v>4677.9712099999997</v>
      </c>
      <c r="V733">
        <v>4587.0793700000004</v>
      </c>
      <c r="W733">
        <v>4553.5143799999996</v>
      </c>
      <c r="AB733">
        <v>4579.7271300000002</v>
      </c>
      <c r="AC733">
        <v>4580.7114700000002</v>
      </c>
      <c r="AD733">
        <v>0</v>
      </c>
      <c r="AK733">
        <v>731</v>
      </c>
      <c r="AL733">
        <v>730</v>
      </c>
      <c r="AM733">
        <v>4581.7299999999996</v>
      </c>
      <c r="AN733">
        <v>4622.0191000000004</v>
      </c>
      <c r="AO733">
        <v>-40.289099999999998</v>
      </c>
      <c r="AP733">
        <v>1623.2148</v>
      </c>
      <c r="AQ733">
        <v>-1.504456</v>
      </c>
      <c r="AR733">
        <v>1.723876</v>
      </c>
      <c r="AY733">
        <v>731</v>
      </c>
      <c r="AZ733">
        <v>730</v>
      </c>
      <c r="BA733">
        <v>4581.7299999999996</v>
      </c>
      <c r="BB733">
        <v>4622.0191000000004</v>
      </c>
      <c r="BC733">
        <v>-40.289099999999998</v>
      </c>
      <c r="BD733">
        <v>1623.2148</v>
      </c>
      <c r="BE733">
        <v>532900</v>
      </c>
    </row>
    <row r="734" spans="1:57" x14ac:dyDescent="0.55000000000000004">
      <c r="A734">
        <v>1777383902</v>
      </c>
      <c r="B734" t="s">
        <v>72</v>
      </c>
      <c r="C734" t="s">
        <v>73</v>
      </c>
      <c r="D734">
        <v>4580.32</v>
      </c>
      <c r="E734">
        <v>4518.5928199999998</v>
      </c>
      <c r="F734">
        <v>4596.0559499999999</v>
      </c>
      <c r="G734">
        <v>4755.40355</v>
      </c>
      <c r="H734">
        <v>4792.7697200000002</v>
      </c>
      <c r="Q734">
        <v>4621.7515400000002</v>
      </c>
      <c r="R734">
        <v>4651.1148400000002</v>
      </c>
      <c r="S734">
        <v>4677.7036099999996</v>
      </c>
      <c r="V734">
        <v>4586.8117700000003</v>
      </c>
      <c r="W734">
        <v>4553.2467699999997</v>
      </c>
      <c r="AB734">
        <v>4577.2992999999997</v>
      </c>
      <c r="AC734">
        <v>4579.0053900000003</v>
      </c>
      <c r="AD734">
        <v>0</v>
      </c>
      <c r="AK734">
        <v>732</v>
      </c>
      <c r="AL734">
        <v>731</v>
      </c>
      <c r="AM734">
        <v>4580.32</v>
      </c>
      <c r="AN734">
        <v>4621.7515000000003</v>
      </c>
      <c r="AO734">
        <v>-41.4315</v>
      </c>
      <c r="AP734">
        <v>1716.5725</v>
      </c>
      <c r="AQ734">
        <v>-1.636096</v>
      </c>
      <c r="AR734">
        <v>1.9278729999999999</v>
      </c>
      <c r="AY734">
        <v>732</v>
      </c>
      <c r="AZ734">
        <v>731</v>
      </c>
      <c r="BA734">
        <v>4580.32</v>
      </c>
      <c r="BB734">
        <v>4621.7515000000003</v>
      </c>
      <c r="BC734">
        <v>-41.4315</v>
      </c>
      <c r="BD734">
        <v>1716.5725</v>
      </c>
      <c r="BE734">
        <v>534361</v>
      </c>
    </row>
    <row r="735" spans="1:57" x14ac:dyDescent="0.55000000000000004">
      <c r="A735">
        <v>1777384802</v>
      </c>
      <c r="B735" t="s">
        <v>72</v>
      </c>
      <c r="C735" t="s">
        <v>73</v>
      </c>
      <c r="D735">
        <v>4568.29</v>
      </c>
      <c r="E735">
        <v>4518.5928199999998</v>
      </c>
      <c r="F735">
        <v>4596.0559499999999</v>
      </c>
      <c r="G735">
        <v>4755.40355</v>
      </c>
      <c r="H735">
        <v>4792.7697200000002</v>
      </c>
      <c r="Q735">
        <v>4621.4839300000003</v>
      </c>
      <c r="R735">
        <v>4650.8472300000003</v>
      </c>
      <c r="S735">
        <v>4677.4359999999997</v>
      </c>
      <c r="V735">
        <v>4586.5441600000004</v>
      </c>
      <c r="W735">
        <v>4552.9791699999996</v>
      </c>
      <c r="AB735">
        <v>4574.5724200000004</v>
      </c>
      <c r="AC735">
        <v>4576.7888999999996</v>
      </c>
      <c r="AD735">
        <v>0</v>
      </c>
      <c r="AK735">
        <v>733</v>
      </c>
      <c r="AL735">
        <v>732</v>
      </c>
      <c r="AM735">
        <v>4568.29</v>
      </c>
      <c r="AN735">
        <v>4621.4839000000002</v>
      </c>
      <c r="AO735">
        <v>-53.193899999999999</v>
      </c>
      <c r="AP735">
        <v>2829.5942</v>
      </c>
      <c r="AQ735">
        <v>-3.462596</v>
      </c>
      <c r="AR735">
        <v>5.2384449999999996</v>
      </c>
      <c r="AY735">
        <v>733</v>
      </c>
      <c r="AZ735">
        <v>732</v>
      </c>
      <c r="BA735">
        <v>4568.29</v>
      </c>
      <c r="BB735">
        <v>4621.4839000000002</v>
      </c>
      <c r="BC735">
        <v>-53.193899999999999</v>
      </c>
      <c r="BD735">
        <v>2829.5942</v>
      </c>
      <c r="BE735">
        <v>535824</v>
      </c>
    </row>
    <row r="736" spans="1:57" x14ac:dyDescent="0.55000000000000004">
      <c r="A736">
        <v>1777385702</v>
      </c>
      <c r="B736" t="s">
        <v>72</v>
      </c>
      <c r="C736" t="s">
        <v>73</v>
      </c>
      <c r="D736">
        <v>4571.47</v>
      </c>
      <c r="E736">
        <v>4518.5928199999998</v>
      </c>
      <c r="F736">
        <v>4596.0559499999999</v>
      </c>
      <c r="G736">
        <v>4755.40355</v>
      </c>
      <c r="H736">
        <v>4792.7697200000002</v>
      </c>
      <c r="Q736">
        <v>4621.2163300000002</v>
      </c>
      <c r="R736">
        <v>4650.5796300000002</v>
      </c>
      <c r="S736">
        <v>4677.1683999999996</v>
      </c>
      <c r="V736">
        <v>4586.2765600000002</v>
      </c>
      <c r="W736">
        <v>4552.7115599999997</v>
      </c>
      <c r="AB736">
        <v>4572.3813899999996</v>
      </c>
      <c r="AC736">
        <v>4574.5851400000001</v>
      </c>
      <c r="AD736">
        <v>0</v>
      </c>
      <c r="AK736">
        <v>734</v>
      </c>
      <c r="AL736">
        <v>733</v>
      </c>
      <c r="AM736">
        <v>4571.47</v>
      </c>
      <c r="AN736">
        <v>4621.2163</v>
      </c>
      <c r="AO736">
        <v>-49.746299999999998</v>
      </c>
      <c r="AP736">
        <v>2474.6972999999998</v>
      </c>
      <c r="AQ736">
        <v>-2.832036</v>
      </c>
      <c r="AR736">
        <v>4.0068060000000001</v>
      </c>
      <c r="AY736">
        <v>734</v>
      </c>
      <c r="AZ736">
        <v>733</v>
      </c>
      <c r="BA736">
        <v>4571.47</v>
      </c>
      <c r="BB736">
        <v>4621.2163</v>
      </c>
      <c r="BC736">
        <v>-49.746299999999998</v>
      </c>
      <c r="BD736">
        <v>2474.6972999999998</v>
      </c>
      <c r="BE736">
        <v>537289</v>
      </c>
    </row>
    <row r="737" spans="1:57" x14ac:dyDescent="0.55000000000000004">
      <c r="A737">
        <v>1777386602</v>
      </c>
      <c r="B737" t="s">
        <v>72</v>
      </c>
      <c r="C737" t="s">
        <v>73</v>
      </c>
      <c r="D737">
        <v>4564.18</v>
      </c>
      <c r="E737">
        <v>4518.5928199999998</v>
      </c>
      <c r="F737">
        <v>4596.0559499999999</v>
      </c>
      <c r="G737">
        <v>4755.40355</v>
      </c>
      <c r="H737">
        <v>4792.7697200000002</v>
      </c>
      <c r="Q737">
        <v>4620.9487300000001</v>
      </c>
      <c r="R737">
        <v>4650.3120200000003</v>
      </c>
      <c r="S737">
        <v>4676.9008000000003</v>
      </c>
      <c r="V737">
        <v>4586.0089600000001</v>
      </c>
      <c r="W737">
        <v>4552.4439599999996</v>
      </c>
      <c r="AB737">
        <v>4571.0868</v>
      </c>
      <c r="AC737">
        <v>4572.8359700000001</v>
      </c>
      <c r="AD737">
        <v>0</v>
      </c>
      <c r="AK737">
        <v>735</v>
      </c>
      <c r="AL737">
        <v>734</v>
      </c>
      <c r="AM737">
        <v>4564.18</v>
      </c>
      <c r="AN737">
        <v>4620.9486999999999</v>
      </c>
      <c r="AO737">
        <v>-56.768700000000003</v>
      </c>
      <c r="AP737">
        <v>3222.6887000000002</v>
      </c>
      <c r="AQ737">
        <v>-4.208653</v>
      </c>
      <c r="AR737">
        <v>6.7950210000000002</v>
      </c>
      <c r="AY737">
        <v>735</v>
      </c>
      <c r="AZ737">
        <v>734</v>
      </c>
      <c r="BA737">
        <v>4564.18</v>
      </c>
      <c r="BB737">
        <v>4620.9486999999999</v>
      </c>
      <c r="BC737">
        <v>-56.768700000000003</v>
      </c>
      <c r="BD737">
        <v>3222.6887000000002</v>
      </c>
      <c r="BE737">
        <v>538756</v>
      </c>
    </row>
    <row r="738" spans="1:57" x14ac:dyDescent="0.55000000000000004">
      <c r="A738">
        <v>1777387502</v>
      </c>
      <c r="B738" t="s">
        <v>72</v>
      </c>
      <c r="C738" t="s">
        <v>73</v>
      </c>
      <c r="D738">
        <v>4574.6000000000004</v>
      </c>
      <c r="E738">
        <v>4518.5928199999998</v>
      </c>
      <c r="F738">
        <v>4596.0559499999999</v>
      </c>
      <c r="G738">
        <v>4755.40355</v>
      </c>
      <c r="H738">
        <v>4792.7697200000002</v>
      </c>
      <c r="Q738">
        <v>4620.6811200000002</v>
      </c>
      <c r="R738">
        <v>4650.0444200000002</v>
      </c>
      <c r="S738">
        <v>4676.6331899999996</v>
      </c>
      <c r="V738">
        <v>4585.7413500000002</v>
      </c>
      <c r="W738">
        <v>4552.1763600000004</v>
      </c>
      <c r="AB738">
        <v>4571.1620300000004</v>
      </c>
      <c r="AC738">
        <v>4571.9989999999998</v>
      </c>
      <c r="AD738">
        <v>0</v>
      </c>
      <c r="AK738">
        <v>736</v>
      </c>
      <c r="AL738">
        <v>735</v>
      </c>
      <c r="AM738">
        <v>4574.6000000000004</v>
      </c>
      <c r="AN738">
        <v>4620.6810999999998</v>
      </c>
      <c r="AO738">
        <v>-46.081099999999999</v>
      </c>
      <c r="AP738">
        <v>2123.4695999999999</v>
      </c>
      <c r="AQ738">
        <v>-2.2510479999999999</v>
      </c>
      <c r="AR738">
        <v>2.950164</v>
      </c>
      <c r="AY738">
        <v>736</v>
      </c>
      <c r="AZ738">
        <v>735</v>
      </c>
      <c r="BA738">
        <v>4574.6000000000004</v>
      </c>
      <c r="BB738">
        <v>4620.6810999999998</v>
      </c>
      <c r="BC738">
        <v>-46.081099999999999</v>
      </c>
      <c r="BD738">
        <v>2123.4695999999999</v>
      </c>
      <c r="BE738">
        <v>540225</v>
      </c>
    </row>
    <row r="739" spans="1:57" x14ac:dyDescent="0.55000000000000004">
      <c r="A739">
        <v>1777388402</v>
      </c>
      <c r="B739" t="s">
        <v>72</v>
      </c>
      <c r="C739" t="s">
        <v>73</v>
      </c>
      <c r="D739">
        <v>4572.7299999999996</v>
      </c>
      <c r="E739">
        <v>4518.5928199999998</v>
      </c>
      <c r="F739">
        <v>4596.0559499999999</v>
      </c>
      <c r="G739">
        <v>4755.40355</v>
      </c>
      <c r="H739">
        <v>4792.7697200000002</v>
      </c>
      <c r="Q739">
        <v>4620.4135200000001</v>
      </c>
      <c r="R739">
        <v>4649.77682</v>
      </c>
      <c r="S739">
        <v>4676.3655900000003</v>
      </c>
      <c r="V739">
        <v>4585.4737500000001</v>
      </c>
      <c r="W739">
        <v>4551.9087499999996</v>
      </c>
      <c r="AB739">
        <v>4572.3874900000001</v>
      </c>
      <c r="AC739">
        <v>4572.1932500000003</v>
      </c>
      <c r="AD739">
        <v>1</v>
      </c>
      <c r="AK739">
        <v>737</v>
      </c>
      <c r="AL739">
        <v>736</v>
      </c>
      <c r="AM739">
        <v>4572.7299999999996</v>
      </c>
      <c r="AN739">
        <v>4620.4134999999997</v>
      </c>
      <c r="AO739">
        <v>-47.683500000000002</v>
      </c>
      <c r="AP739">
        <v>2273.7181</v>
      </c>
      <c r="AQ739">
        <v>-2.494138</v>
      </c>
      <c r="AR739">
        <v>3.3824190000000001</v>
      </c>
      <c r="AY739">
        <v>737</v>
      </c>
      <c r="AZ739">
        <v>736</v>
      </c>
      <c r="BA739">
        <v>4572.7299999999996</v>
      </c>
      <c r="BB739">
        <v>4620.4134999999997</v>
      </c>
      <c r="BC739">
        <v>-47.683500000000002</v>
      </c>
      <c r="BD739">
        <v>2273.7181</v>
      </c>
      <c r="BE739">
        <v>541696</v>
      </c>
    </row>
    <row r="740" spans="1:57" x14ac:dyDescent="0.55000000000000004">
      <c r="A740">
        <v>1777389302</v>
      </c>
      <c r="B740" t="s">
        <v>72</v>
      </c>
      <c r="C740" t="s">
        <v>73</v>
      </c>
      <c r="D740">
        <v>4577.09</v>
      </c>
      <c r="E740">
        <v>4518.5928199999998</v>
      </c>
      <c r="F740">
        <v>4596.0559499999999</v>
      </c>
      <c r="G740">
        <v>4755.40355</v>
      </c>
      <c r="H740">
        <v>4792.7697200000002</v>
      </c>
      <c r="Q740">
        <v>4620.1459100000002</v>
      </c>
      <c r="R740">
        <v>4649.5092100000002</v>
      </c>
      <c r="S740">
        <v>4676.0979799999996</v>
      </c>
      <c r="V740">
        <v>4585.2061400000002</v>
      </c>
      <c r="W740">
        <v>4551.6411500000004</v>
      </c>
      <c r="AB740">
        <v>4574.6882900000001</v>
      </c>
      <c r="AC740">
        <v>4573.4407700000002</v>
      </c>
      <c r="AD740">
        <v>0</v>
      </c>
      <c r="AK740">
        <v>738</v>
      </c>
      <c r="AL740">
        <v>737</v>
      </c>
      <c r="AM740">
        <v>4577.09</v>
      </c>
      <c r="AN740">
        <v>4620.1459000000004</v>
      </c>
      <c r="AO740">
        <v>-43.055900000000001</v>
      </c>
      <c r="AP740">
        <v>1853.8114</v>
      </c>
      <c r="AQ740">
        <v>-1.836174</v>
      </c>
      <c r="AR740">
        <v>2.2484600000000001</v>
      </c>
      <c r="AY740">
        <v>738</v>
      </c>
      <c r="AZ740">
        <v>737</v>
      </c>
      <c r="BA740">
        <v>4577.09</v>
      </c>
      <c r="BB740">
        <v>4620.1459000000004</v>
      </c>
      <c r="BC740">
        <v>-43.055900000000001</v>
      </c>
      <c r="BD740">
        <v>1853.8114</v>
      </c>
      <c r="BE740">
        <v>543169</v>
      </c>
    </row>
    <row r="741" spans="1:57" x14ac:dyDescent="0.55000000000000004">
      <c r="A741">
        <v>1777390202</v>
      </c>
      <c r="B741" t="s">
        <v>72</v>
      </c>
      <c r="C741" t="s">
        <v>73</v>
      </c>
      <c r="D741">
        <v>4577.82</v>
      </c>
      <c r="E741">
        <v>4518.5928199999998</v>
      </c>
      <c r="F741">
        <v>4596.0559499999999</v>
      </c>
      <c r="G741">
        <v>4755.40355</v>
      </c>
      <c r="H741">
        <v>4792.7697200000002</v>
      </c>
      <c r="Q741">
        <v>4619.8783100000001</v>
      </c>
      <c r="R741">
        <v>4649.24161</v>
      </c>
      <c r="S741">
        <v>4675.8303800000003</v>
      </c>
      <c r="V741">
        <v>4584.9385400000001</v>
      </c>
      <c r="W741">
        <v>4551.3735399999996</v>
      </c>
      <c r="AB741">
        <v>4577.6675500000001</v>
      </c>
      <c r="AC741">
        <v>4575.5541599999997</v>
      </c>
      <c r="AD741">
        <v>0</v>
      </c>
      <c r="AK741">
        <v>739</v>
      </c>
      <c r="AL741">
        <v>738</v>
      </c>
      <c r="AM741">
        <v>4577.82</v>
      </c>
      <c r="AN741">
        <v>4619.8783000000003</v>
      </c>
      <c r="AO741">
        <v>-42.058300000000003</v>
      </c>
      <c r="AP741">
        <v>1768.9014</v>
      </c>
      <c r="AQ741">
        <v>-1.7114769999999999</v>
      </c>
      <c r="AR741">
        <v>2.0472049999999999</v>
      </c>
      <c r="AY741">
        <v>739</v>
      </c>
      <c r="AZ741">
        <v>738</v>
      </c>
      <c r="BA741">
        <v>4577.82</v>
      </c>
      <c r="BB741">
        <v>4619.8783000000003</v>
      </c>
      <c r="BC741">
        <v>-42.058300000000003</v>
      </c>
      <c r="BD741">
        <v>1768.9014</v>
      </c>
      <c r="BE741">
        <v>544644</v>
      </c>
    </row>
    <row r="742" spans="1:57" x14ac:dyDescent="0.55000000000000004">
      <c r="A742">
        <v>1777391102</v>
      </c>
      <c r="B742" t="s">
        <v>72</v>
      </c>
      <c r="C742" t="s">
        <v>73</v>
      </c>
      <c r="D742">
        <v>4586.4799999999996</v>
      </c>
      <c r="E742">
        <v>4518.5928199999998</v>
      </c>
      <c r="F742">
        <v>4596.0559499999999</v>
      </c>
      <c r="G742">
        <v>4755.40355</v>
      </c>
      <c r="H742">
        <v>4792.7697200000002</v>
      </c>
      <c r="Q742">
        <v>4619.6107099999999</v>
      </c>
      <c r="R742">
        <v>4648.9740000000002</v>
      </c>
      <c r="S742">
        <v>4675.5627699999995</v>
      </c>
      <c r="V742">
        <v>4584.6709300000002</v>
      </c>
      <c r="W742">
        <v>4551.1059400000004</v>
      </c>
      <c r="AB742">
        <v>4580.9931500000002</v>
      </c>
      <c r="AC742">
        <v>4578.2736500000001</v>
      </c>
      <c r="AD742">
        <v>0</v>
      </c>
      <c r="AK742">
        <v>740</v>
      </c>
      <c r="AL742">
        <v>739</v>
      </c>
      <c r="AM742">
        <v>4586.4799999999996</v>
      </c>
      <c r="AN742">
        <v>4619.6107000000002</v>
      </c>
      <c r="AO742">
        <v>-33.130699999999997</v>
      </c>
      <c r="AP742">
        <v>1097.6439</v>
      </c>
      <c r="AQ742">
        <v>-0.83658100000000002</v>
      </c>
      <c r="AR742">
        <v>0.78827400000000003</v>
      </c>
      <c r="AY742">
        <v>740</v>
      </c>
      <c r="AZ742">
        <v>739</v>
      </c>
      <c r="BA742">
        <v>4586.4799999999996</v>
      </c>
      <c r="BB742">
        <v>4619.6107000000002</v>
      </c>
      <c r="BC742">
        <v>-33.130699999999997</v>
      </c>
      <c r="BD742">
        <v>1097.6439</v>
      </c>
      <c r="BE742">
        <v>546121</v>
      </c>
    </row>
    <row r="743" spans="1:57" x14ac:dyDescent="0.55000000000000004">
      <c r="A743">
        <v>1777392002</v>
      </c>
      <c r="B743" t="s">
        <v>72</v>
      </c>
      <c r="C743" t="s">
        <v>73</v>
      </c>
      <c r="D743">
        <v>4585.3999999999996</v>
      </c>
      <c r="E743">
        <v>4518.5928199999998</v>
      </c>
      <c r="F743">
        <v>4596.0559499999999</v>
      </c>
      <c r="G743">
        <v>4755.40355</v>
      </c>
      <c r="H743">
        <v>4792.7697200000002</v>
      </c>
      <c r="Q743">
        <v>4619.3431</v>
      </c>
      <c r="R743">
        <v>4648.7064</v>
      </c>
      <c r="S743">
        <v>4675.2951700000003</v>
      </c>
      <c r="V743">
        <v>4584.4033300000001</v>
      </c>
      <c r="W743">
        <v>4550.8383299999996</v>
      </c>
      <c r="AB743">
        <v>4584.1483399999997</v>
      </c>
      <c r="AC743">
        <v>4581.2110000000002</v>
      </c>
      <c r="AD743">
        <v>0</v>
      </c>
      <c r="AK743">
        <v>741</v>
      </c>
      <c r="AL743">
        <v>740</v>
      </c>
      <c r="AM743">
        <v>4585.3999999999996</v>
      </c>
      <c r="AN743">
        <v>4619.3431</v>
      </c>
      <c r="AO743">
        <v>-33.943100000000001</v>
      </c>
      <c r="AP743">
        <v>1152.134</v>
      </c>
      <c r="AQ743">
        <v>-0.89964299999999997</v>
      </c>
      <c r="AR743">
        <v>0.86848099999999995</v>
      </c>
      <c r="AY743">
        <v>741</v>
      </c>
      <c r="AZ743">
        <v>740</v>
      </c>
      <c r="BA743">
        <v>4585.3999999999996</v>
      </c>
      <c r="BB743">
        <v>4619.3431</v>
      </c>
      <c r="BC743">
        <v>-33.943100000000001</v>
      </c>
      <c r="BD743">
        <v>1152.134</v>
      </c>
      <c r="BE743">
        <v>547600</v>
      </c>
    </row>
    <row r="744" spans="1:57" x14ac:dyDescent="0.55000000000000004">
      <c r="A744">
        <v>1777392902</v>
      </c>
      <c r="B744" t="s">
        <v>72</v>
      </c>
      <c r="C744" t="s">
        <v>73</v>
      </c>
      <c r="D744">
        <v>4582.74</v>
      </c>
      <c r="E744">
        <v>4518.5928199999998</v>
      </c>
      <c r="F744">
        <v>4596.0559499999999</v>
      </c>
      <c r="G744">
        <v>4755.40355</v>
      </c>
      <c r="H744">
        <v>4792.7697200000002</v>
      </c>
      <c r="Q744">
        <v>4619.0754999999999</v>
      </c>
      <c r="R744">
        <v>4648.4387999999999</v>
      </c>
      <c r="S744">
        <v>4675.0275700000002</v>
      </c>
      <c r="V744">
        <v>4584.13573</v>
      </c>
      <c r="W744">
        <v>4550.5707300000004</v>
      </c>
      <c r="AB744">
        <v>4586.9702500000003</v>
      </c>
      <c r="AC744">
        <v>4584.0906299999997</v>
      </c>
      <c r="AD744">
        <v>0</v>
      </c>
      <c r="AK744">
        <v>742</v>
      </c>
      <c r="AL744">
        <v>741</v>
      </c>
      <c r="AM744">
        <v>4582.74</v>
      </c>
      <c r="AN744">
        <v>4619.0754999999999</v>
      </c>
      <c r="AO744">
        <v>-36.335500000000003</v>
      </c>
      <c r="AP744">
        <v>1320.2686000000001</v>
      </c>
      <c r="AQ744">
        <v>-1.103593</v>
      </c>
      <c r="AR744">
        <v>1.1404559999999999</v>
      </c>
      <c r="AY744">
        <v>742</v>
      </c>
      <c r="AZ744">
        <v>741</v>
      </c>
      <c r="BA744">
        <v>4582.74</v>
      </c>
      <c r="BB744">
        <v>4619.0754999999999</v>
      </c>
      <c r="BC744">
        <v>-36.335500000000003</v>
      </c>
      <c r="BD744">
        <v>1320.2686000000001</v>
      </c>
      <c r="BE744">
        <v>549081</v>
      </c>
    </row>
    <row r="745" spans="1:57" x14ac:dyDescent="0.55000000000000004">
      <c r="A745">
        <v>1777393802</v>
      </c>
      <c r="B745" t="s">
        <v>72</v>
      </c>
      <c r="C745" t="s">
        <v>73</v>
      </c>
      <c r="D745">
        <v>4585.0600000000004</v>
      </c>
      <c r="E745">
        <v>4518.5928199999998</v>
      </c>
      <c r="F745">
        <v>4596.0559499999999</v>
      </c>
      <c r="G745">
        <v>4755.40355</v>
      </c>
      <c r="H745">
        <v>4792.7697200000002</v>
      </c>
      <c r="Q745">
        <v>4618.80789</v>
      </c>
      <c r="R745">
        <v>4648.17119</v>
      </c>
      <c r="S745">
        <v>4674.7599600000003</v>
      </c>
      <c r="V745">
        <v>4583.8681200000001</v>
      </c>
      <c r="W745">
        <v>4550.3031300000002</v>
      </c>
      <c r="AB745">
        <v>4589.4663399999999</v>
      </c>
      <c r="AC745">
        <v>4586.7784799999999</v>
      </c>
      <c r="AD745">
        <v>0</v>
      </c>
      <c r="AK745">
        <v>743</v>
      </c>
      <c r="AL745">
        <v>742</v>
      </c>
      <c r="AM745">
        <v>4585.0600000000004</v>
      </c>
      <c r="AN745">
        <v>4618.8078999999998</v>
      </c>
      <c r="AO745">
        <v>-33.747900000000001</v>
      </c>
      <c r="AP745">
        <v>1138.9201</v>
      </c>
      <c r="AQ745">
        <v>-0.88421000000000005</v>
      </c>
      <c r="AR745">
        <v>0.84867300000000001</v>
      </c>
      <c r="AY745">
        <v>743</v>
      </c>
      <c r="AZ745">
        <v>742</v>
      </c>
      <c r="BA745">
        <v>4585.0600000000004</v>
      </c>
      <c r="BB745">
        <v>4618.8078999999998</v>
      </c>
      <c r="BC745">
        <v>-33.747900000000001</v>
      </c>
      <c r="BD745">
        <v>1138.9201</v>
      </c>
      <c r="BE745">
        <v>550564</v>
      </c>
    </row>
    <row r="746" spans="1:57" x14ac:dyDescent="0.55000000000000004">
      <c r="A746">
        <v>1777394702</v>
      </c>
      <c r="B746" t="s">
        <v>72</v>
      </c>
      <c r="C746" t="s">
        <v>73</v>
      </c>
      <c r="D746">
        <v>4592.2</v>
      </c>
      <c r="E746">
        <v>4518.5928199999998</v>
      </c>
      <c r="F746">
        <v>4596.0559499999999</v>
      </c>
      <c r="G746">
        <v>4755.40355</v>
      </c>
      <c r="H746">
        <v>4792.7697200000002</v>
      </c>
      <c r="Q746">
        <v>4618.5402899999999</v>
      </c>
      <c r="R746">
        <v>4647.9035899999999</v>
      </c>
      <c r="S746">
        <v>4674.4923600000002</v>
      </c>
      <c r="V746">
        <v>4583.60052</v>
      </c>
      <c r="W746">
        <v>4550.0355200000004</v>
      </c>
      <c r="AB746">
        <v>4591.6179400000001</v>
      </c>
      <c r="AC746">
        <v>4589.1982099999996</v>
      </c>
      <c r="AD746">
        <v>0</v>
      </c>
      <c r="AK746">
        <v>744</v>
      </c>
      <c r="AL746">
        <v>743</v>
      </c>
      <c r="AM746">
        <v>4592.2</v>
      </c>
      <c r="AN746">
        <v>4618.5402999999997</v>
      </c>
      <c r="AO746">
        <v>-26.340299999999999</v>
      </c>
      <c r="AP746">
        <v>693.81089999999995</v>
      </c>
      <c r="AQ746">
        <v>-0.42041400000000001</v>
      </c>
      <c r="AR746">
        <v>0.314946</v>
      </c>
      <c r="AY746">
        <v>744</v>
      </c>
      <c r="AZ746">
        <v>743</v>
      </c>
      <c r="BA746">
        <v>4592.2</v>
      </c>
      <c r="BB746">
        <v>4618.5402999999997</v>
      </c>
      <c r="BC746">
        <v>-26.340299999999999</v>
      </c>
      <c r="BD746">
        <v>693.81089999999995</v>
      </c>
      <c r="BE746">
        <v>552049</v>
      </c>
    </row>
    <row r="747" spans="1:57" x14ac:dyDescent="0.55000000000000004">
      <c r="A747">
        <v>1777395602</v>
      </c>
      <c r="B747" t="s">
        <v>72</v>
      </c>
      <c r="C747" t="s">
        <v>73</v>
      </c>
      <c r="D747">
        <v>4593.67</v>
      </c>
      <c r="E747">
        <v>4518.5928199999998</v>
      </c>
      <c r="F747">
        <v>4596.0559499999999</v>
      </c>
      <c r="G747">
        <v>4755.40355</v>
      </c>
      <c r="H747">
        <v>4792.7697200000002</v>
      </c>
      <c r="Q747">
        <v>4618.27268</v>
      </c>
      <c r="R747">
        <v>4647.63598</v>
      </c>
      <c r="S747">
        <v>4674.2247500000003</v>
      </c>
      <c r="V747">
        <v>4583.3329100000001</v>
      </c>
      <c r="W747">
        <v>4549.7679200000002</v>
      </c>
      <c r="AB747">
        <v>4593.2970699999996</v>
      </c>
      <c r="AC747">
        <v>4591.2476399999996</v>
      </c>
      <c r="AD747">
        <v>0</v>
      </c>
      <c r="AK747">
        <v>745</v>
      </c>
      <c r="AL747">
        <v>744</v>
      </c>
      <c r="AM747">
        <v>4593.67</v>
      </c>
      <c r="AN747">
        <v>4618.2727000000004</v>
      </c>
      <c r="AO747">
        <v>-24.602699999999999</v>
      </c>
      <c r="AP747">
        <v>605.29190000000006</v>
      </c>
      <c r="AQ747">
        <v>-0.34258100000000002</v>
      </c>
      <c r="AR747">
        <v>0.23970900000000001</v>
      </c>
      <c r="AY747">
        <v>745</v>
      </c>
      <c r="AZ747">
        <v>744</v>
      </c>
      <c r="BA747">
        <v>4593.67</v>
      </c>
      <c r="BB747">
        <v>4618.2727000000004</v>
      </c>
      <c r="BC747">
        <v>-24.602699999999999</v>
      </c>
      <c r="BD747">
        <v>605.29190000000006</v>
      </c>
      <c r="BE747">
        <v>553536</v>
      </c>
    </row>
    <row r="748" spans="1:57" x14ac:dyDescent="0.55000000000000004">
      <c r="A748">
        <v>1777396502</v>
      </c>
      <c r="B748" t="s">
        <v>72</v>
      </c>
      <c r="C748" t="s">
        <v>73</v>
      </c>
      <c r="D748">
        <v>4593.49</v>
      </c>
      <c r="E748">
        <v>4518.5928199999998</v>
      </c>
      <c r="F748">
        <v>4596.0559499999999</v>
      </c>
      <c r="G748">
        <v>4755.40355</v>
      </c>
      <c r="H748">
        <v>4792.7697200000002</v>
      </c>
      <c r="Q748">
        <v>4618.0050799999999</v>
      </c>
      <c r="R748">
        <v>4647.3683799999999</v>
      </c>
      <c r="S748">
        <v>4673.9571500000002</v>
      </c>
      <c r="V748">
        <v>4583.06531</v>
      </c>
      <c r="W748">
        <v>4549.5003100000004</v>
      </c>
      <c r="AB748">
        <v>4594.5428400000001</v>
      </c>
      <c r="AC748">
        <v>4592.8952399999998</v>
      </c>
      <c r="AD748">
        <v>0</v>
      </c>
      <c r="AK748">
        <v>746</v>
      </c>
      <c r="AL748">
        <v>745</v>
      </c>
      <c r="AM748">
        <v>4593.49</v>
      </c>
      <c r="AN748">
        <v>4618.0051000000003</v>
      </c>
      <c r="AO748">
        <v>-24.5151</v>
      </c>
      <c r="AP748">
        <v>600.98910000000001</v>
      </c>
      <c r="AQ748">
        <v>-0.33893400000000001</v>
      </c>
      <c r="AR748">
        <v>0.236313</v>
      </c>
      <c r="AY748">
        <v>746</v>
      </c>
      <c r="AZ748">
        <v>745</v>
      </c>
      <c r="BA748">
        <v>4593.49</v>
      </c>
      <c r="BB748">
        <v>4618.0051000000003</v>
      </c>
      <c r="BC748">
        <v>-24.5151</v>
      </c>
      <c r="BD748">
        <v>600.98910000000001</v>
      </c>
      <c r="BE748">
        <v>555025</v>
      </c>
    </row>
    <row r="749" spans="1:57" x14ac:dyDescent="0.55000000000000004">
      <c r="A749">
        <v>1777397402</v>
      </c>
      <c r="B749" t="s">
        <v>72</v>
      </c>
      <c r="C749" t="s">
        <v>73</v>
      </c>
      <c r="D749">
        <v>4599.0200000000004</v>
      </c>
      <c r="E749">
        <v>4518.5928199999998</v>
      </c>
      <c r="F749">
        <v>4596.0559499999999</v>
      </c>
      <c r="G749">
        <v>4755.40355</v>
      </c>
      <c r="H749">
        <v>4792.7697200000002</v>
      </c>
      <c r="Q749">
        <v>4617.7374799999998</v>
      </c>
      <c r="R749">
        <v>4647.1007799999998</v>
      </c>
      <c r="S749">
        <v>4673.6895500000001</v>
      </c>
      <c r="V749">
        <v>4582.7977099999998</v>
      </c>
      <c r="W749">
        <v>4549.2327100000002</v>
      </c>
      <c r="Z749">
        <v>4601.49</v>
      </c>
      <c r="AB749">
        <v>4595.4841100000003</v>
      </c>
      <c r="AC749">
        <v>4594.1896699999998</v>
      </c>
      <c r="AD749">
        <v>0</v>
      </c>
      <c r="AK749">
        <v>747</v>
      </c>
      <c r="AL749">
        <v>746</v>
      </c>
      <c r="AM749">
        <v>4599.0200000000004</v>
      </c>
      <c r="AN749">
        <v>4617.7375000000002</v>
      </c>
      <c r="AO749">
        <v>-18.717500000000001</v>
      </c>
      <c r="AP749">
        <v>350.34410000000003</v>
      </c>
      <c r="AQ749">
        <v>-0.15085399999999999</v>
      </c>
      <c r="AR749">
        <v>8.0305000000000001E-2</v>
      </c>
      <c r="AY749">
        <v>747</v>
      </c>
      <c r="AZ749">
        <v>746</v>
      </c>
      <c r="BA749">
        <v>4599.0200000000004</v>
      </c>
      <c r="BB749">
        <v>4617.7375000000002</v>
      </c>
      <c r="BC749">
        <v>-18.717500000000001</v>
      </c>
      <c r="BD749">
        <v>350.34410000000003</v>
      </c>
      <c r="BE749">
        <v>556516</v>
      </c>
    </row>
    <row r="750" spans="1:57" x14ac:dyDescent="0.55000000000000004">
      <c r="A750">
        <v>1777398302</v>
      </c>
      <c r="B750" t="s">
        <v>72</v>
      </c>
      <c r="C750" t="s">
        <v>73</v>
      </c>
      <c r="D750">
        <v>4594.7700000000004</v>
      </c>
      <c r="E750">
        <v>4518.5928199999998</v>
      </c>
      <c r="F750">
        <v>4596.0559499999999</v>
      </c>
      <c r="G750">
        <v>4755.40355</v>
      </c>
      <c r="H750">
        <v>4792.7697200000002</v>
      </c>
      <c r="Q750">
        <v>4617.4698699999999</v>
      </c>
      <c r="R750">
        <v>4646.8331699999999</v>
      </c>
      <c r="S750">
        <v>4673.4219400000002</v>
      </c>
      <c r="V750">
        <v>4582.5300999999999</v>
      </c>
      <c r="W750">
        <v>4548.9651100000001</v>
      </c>
      <c r="AB750">
        <v>4596.0270200000004</v>
      </c>
      <c r="AC750">
        <v>4595.1083399999998</v>
      </c>
      <c r="AD750">
        <v>0</v>
      </c>
      <c r="AK750">
        <v>748</v>
      </c>
      <c r="AL750">
        <v>747</v>
      </c>
      <c r="AM750">
        <v>4594.7700000000004</v>
      </c>
      <c r="AN750">
        <v>4617.4699000000001</v>
      </c>
      <c r="AO750">
        <v>-22.6999</v>
      </c>
      <c r="AP750">
        <v>515.28409999999997</v>
      </c>
      <c r="AQ750">
        <v>-0.26908300000000002</v>
      </c>
      <c r="AR750">
        <v>0.17371900000000001</v>
      </c>
      <c r="AY750">
        <v>748</v>
      </c>
      <c r="AZ750">
        <v>747</v>
      </c>
      <c r="BA750">
        <v>4594.7700000000004</v>
      </c>
      <c r="BB750">
        <v>4617.4699000000001</v>
      </c>
      <c r="BC750">
        <v>-22.6999</v>
      </c>
      <c r="BD750">
        <v>515.28409999999997</v>
      </c>
      <c r="BE750">
        <v>558009</v>
      </c>
    </row>
    <row r="751" spans="1:57" x14ac:dyDescent="0.55000000000000004">
      <c r="A751">
        <v>1777399202</v>
      </c>
      <c r="B751" t="s">
        <v>72</v>
      </c>
      <c r="C751" t="s">
        <v>73</v>
      </c>
      <c r="D751">
        <v>4596.1000000000004</v>
      </c>
      <c r="E751">
        <v>4518.5928199999998</v>
      </c>
      <c r="F751">
        <v>4596.0559499999999</v>
      </c>
      <c r="G751">
        <v>4755.40355</v>
      </c>
      <c r="H751">
        <v>4792.7697200000002</v>
      </c>
      <c r="Q751">
        <v>4617.2022699999998</v>
      </c>
      <c r="R751">
        <v>4646.5655699999998</v>
      </c>
      <c r="S751">
        <v>4673.15434</v>
      </c>
      <c r="V751">
        <v>4582.2624999999998</v>
      </c>
      <c r="W751">
        <v>4548.6975000000002</v>
      </c>
      <c r="AB751">
        <v>4596.3835300000001</v>
      </c>
      <c r="AC751">
        <v>4595.74593</v>
      </c>
      <c r="AD751">
        <v>0</v>
      </c>
      <c r="AK751">
        <v>749</v>
      </c>
      <c r="AL751">
        <v>748</v>
      </c>
      <c r="AM751">
        <v>4596.1000000000004</v>
      </c>
      <c r="AN751">
        <v>4617.2022999999999</v>
      </c>
      <c r="AO751">
        <v>-21.1023</v>
      </c>
      <c r="AP751">
        <v>445.30579999999998</v>
      </c>
      <c r="AQ751">
        <v>-0.21617400000000001</v>
      </c>
      <c r="AR751">
        <v>0.12973899999999999</v>
      </c>
      <c r="AY751">
        <v>749</v>
      </c>
      <c r="AZ751">
        <v>748</v>
      </c>
      <c r="BA751">
        <v>4596.1000000000004</v>
      </c>
      <c r="BB751">
        <v>4617.2022999999999</v>
      </c>
      <c r="BC751">
        <v>-21.1023</v>
      </c>
      <c r="BD751">
        <v>445.30579999999998</v>
      </c>
      <c r="BE751">
        <v>559504</v>
      </c>
    </row>
    <row r="752" spans="1:57" x14ac:dyDescent="0.55000000000000004">
      <c r="A752">
        <v>1777400102</v>
      </c>
      <c r="B752" t="s">
        <v>72</v>
      </c>
      <c r="C752" t="s">
        <v>73</v>
      </c>
      <c r="D752">
        <v>4598.91</v>
      </c>
      <c r="E752">
        <v>4518.5928199999998</v>
      </c>
      <c r="F752">
        <v>4596.0559499999999</v>
      </c>
      <c r="G752">
        <v>4755.40355</v>
      </c>
      <c r="H752">
        <v>4792.7697200000002</v>
      </c>
      <c r="Q752">
        <v>4616.9346599999999</v>
      </c>
      <c r="R752">
        <v>4646.2979599999999</v>
      </c>
      <c r="S752">
        <v>4672.8867300000002</v>
      </c>
      <c r="V752">
        <v>4581.9948899999999</v>
      </c>
      <c r="W752">
        <v>4548.4299000000001</v>
      </c>
      <c r="AB752">
        <v>4596.5889999999999</v>
      </c>
      <c r="AC752">
        <v>4596.1674700000003</v>
      </c>
      <c r="AD752">
        <v>0</v>
      </c>
      <c r="AK752">
        <v>750</v>
      </c>
      <c r="AL752">
        <v>749</v>
      </c>
      <c r="AM752">
        <v>4598.91</v>
      </c>
      <c r="AN752">
        <v>4616.9346999999998</v>
      </c>
      <c r="AO752">
        <v>-18.024699999999999</v>
      </c>
      <c r="AP752">
        <v>324.88839999999999</v>
      </c>
      <c r="AQ752">
        <v>-0.134715</v>
      </c>
      <c r="AR752">
        <v>6.9058999999999995E-2</v>
      </c>
      <c r="AY752">
        <v>750</v>
      </c>
      <c r="AZ752">
        <v>749</v>
      </c>
      <c r="BA752">
        <v>4598.91</v>
      </c>
      <c r="BB752">
        <v>4616.9346999999998</v>
      </c>
      <c r="BC752">
        <v>-18.024699999999999</v>
      </c>
      <c r="BD752">
        <v>324.88839999999999</v>
      </c>
      <c r="BE752">
        <v>561001</v>
      </c>
    </row>
    <row r="753" spans="1:57" x14ac:dyDescent="0.55000000000000004">
      <c r="A753">
        <v>1777401002</v>
      </c>
      <c r="B753" t="s">
        <v>72</v>
      </c>
      <c r="C753" t="s">
        <v>73</v>
      </c>
      <c r="D753">
        <v>4597.74</v>
      </c>
      <c r="E753">
        <v>4518.5928199999998</v>
      </c>
      <c r="F753">
        <v>4596.0559499999999</v>
      </c>
      <c r="G753">
        <v>4755.40355</v>
      </c>
      <c r="H753">
        <v>4792.7697200000002</v>
      </c>
      <c r="Q753">
        <v>4616.6670599999998</v>
      </c>
      <c r="R753">
        <v>4646.0303599999997</v>
      </c>
      <c r="S753">
        <v>4672.61913</v>
      </c>
      <c r="V753">
        <v>4581.7272899999998</v>
      </c>
      <c r="W753">
        <v>4548.1622900000002</v>
      </c>
      <c r="AB753">
        <v>4596.6368700000003</v>
      </c>
      <c r="AC753">
        <v>4596.4021700000003</v>
      </c>
      <c r="AD753">
        <v>0</v>
      </c>
      <c r="AK753">
        <v>751</v>
      </c>
      <c r="AL753">
        <v>750</v>
      </c>
      <c r="AM753">
        <v>4597.74</v>
      </c>
      <c r="AN753">
        <v>4616.6670999999997</v>
      </c>
      <c r="AO753">
        <v>-18.927099999999999</v>
      </c>
      <c r="AP753">
        <v>358.23360000000002</v>
      </c>
      <c r="AQ753">
        <v>-0.15597900000000001</v>
      </c>
      <c r="AR753">
        <v>8.3962999999999996E-2</v>
      </c>
      <c r="AY753">
        <v>751</v>
      </c>
      <c r="AZ753">
        <v>750</v>
      </c>
      <c r="BA753">
        <v>4597.74</v>
      </c>
      <c r="BB753">
        <v>4616.6670999999997</v>
      </c>
      <c r="BC753">
        <v>-18.927099999999999</v>
      </c>
      <c r="BD753">
        <v>358.23360000000002</v>
      </c>
      <c r="BE753">
        <v>562500</v>
      </c>
    </row>
    <row r="754" spans="1:57" x14ac:dyDescent="0.55000000000000004">
      <c r="A754">
        <v>1777401902</v>
      </c>
      <c r="B754" t="s">
        <v>72</v>
      </c>
      <c r="C754" t="s">
        <v>73</v>
      </c>
      <c r="D754">
        <v>4594.2</v>
      </c>
      <c r="E754">
        <v>4518.5928199999998</v>
      </c>
      <c r="F754">
        <v>4596.0559499999999</v>
      </c>
      <c r="G754">
        <v>4755.40355</v>
      </c>
      <c r="H754">
        <v>4792.7697200000002</v>
      </c>
      <c r="Q754">
        <v>4616.3994599999996</v>
      </c>
      <c r="R754">
        <v>4645.7627499999999</v>
      </c>
      <c r="S754">
        <v>4672.3515299999999</v>
      </c>
      <c r="V754">
        <v>4581.4596899999997</v>
      </c>
      <c r="W754">
        <v>4547.8946900000001</v>
      </c>
      <c r="AB754">
        <v>4596.5945499999998</v>
      </c>
      <c r="AC754">
        <v>4596.4983599999996</v>
      </c>
      <c r="AD754">
        <v>0</v>
      </c>
      <c r="AK754">
        <v>752</v>
      </c>
      <c r="AL754">
        <v>751</v>
      </c>
      <c r="AM754">
        <v>4594.2</v>
      </c>
      <c r="AN754">
        <v>4616.3995000000004</v>
      </c>
      <c r="AO754">
        <v>-22.1995</v>
      </c>
      <c r="AP754">
        <v>492.81599999999997</v>
      </c>
      <c r="AQ754">
        <v>-0.25167699999999998</v>
      </c>
      <c r="AR754">
        <v>0.15890000000000001</v>
      </c>
      <c r="AY754">
        <v>752</v>
      </c>
      <c r="AZ754">
        <v>751</v>
      </c>
      <c r="BA754">
        <v>4594.2</v>
      </c>
      <c r="BB754">
        <v>4616.3995000000004</v>
      </c>
      <c r="BC754">
        <v>-22.1995</v>
      </c>
      <c r="BD754">
        <v>492.81599999999997</v>
      </c>
      <c r="BE754">
        <v>564001</v>
      </c>
    </row>
    <row r="755" spans="1:57" x14ac:dyDescent="0.55000000000000004">
      <c r="A755">
        <v>1777402802</v>
      </c>
      <c r="B755" t="s">
        <v>72</v>
      </c>
      <c r="C755" t="s">
        <v>73</v>
      </c>
      <c r="D755">
        <v>4595.75</v>
      </c>
      <c r="E755">
        <v>4518.5928199999998</v>
      </c>
      <c r="F755">
        <v>4596.0559499999999</v>
      </c>
      <c r="G755">
        <v>4755.40355</v>
      </c>
      <c r="H755">
        <v>4792.7697200000002</v>
      </c>
      <c r="Q755">
        <v>4616.1318499999998</v>
      </c>
      <c r="R755">
        <v>4645.4951499999997</v>
      </c>
      <c r="S755">
        <v>4672.08392</v>
      </c>
      <c r="V755">
        <v>4581.1920799999998</v>
      </c>
      <c r="W755">
        <v>4547.62709</v>
      </c>
      <c r="AB755">
        <v>4596.5907399999996</v>
      </c>
      <c r="AC755">
        <v>4596.5445499999996</v>
      </c>
      <c r="AD755">
        <v>0</v>
      </c>
      <c r="AK755">
        <v>753</v>
      </c>
      <c r="AL755">
        <v>752</v>
      </c>
      <c r="AM755">
        <v>4595.75</v>
      </c>
      <c r="AN755">
        <v>4616.1318000000001</v>
      </c>
      <c r="AO755">
        <v>-20.381799999999998</v>
      </c>
      <c r="AP755">
        <v>415.41980000000001</v>
      </c>
      <c r="AQ755">
        <v>-0.19478100000000001</v>
      </c>
      <c r="AR755">
        <v>0.112909</v>
      </c>
      <c r="AY755">
        <v>753</v>
      </c>
      <c r="AZ755">
        <v>752</v>
      </c>
      <c r="BA755">
        <v>4595.75</v>
      </c>
      <c r="BB755">
        <v>4616.1318000000001</v>
      </c>
      <c r="BC755">
        <v>-20.381799999999998</v>
      </c>
      <c r="BD755">
        <v>415.41980000000001</v>
      </c>
      <c r="BE755">
        <v>565504</v>
      </c>
    </row>
    <row r="756" spans="1:57" x14ac:dyDescent="0.55000000000000004">
      <c r="A756">
        <v>1777403702</v>
      </c>
      <c r="B756" t="s">
        <v>72</v>
      </c>
      <c r="C756" t="s">
        <v>73</v>
      </c>
      <c r="D756">
        <v>4596.22</v>
      </c>
      <c r="E756">
        <v>4518.5928199999998</v>
      </c>
      <c r="F756">
        <v>4596.0559499999999</v>
      </c>
      <c r="G756">
        <v>4755.40355</v>
      </c>
      <c r="H756">
        <v>4792.7697200000002</v>
      </c>
      <c r="Q756">
        <v>4615.8642499999996</v>
      </c>
      <c r="R756">
        <v>4645.2275499999996</v>
      </c>
      <c r="S756">
        <v>4671.8163199999999</v>
      </c>
      <c r="V756">
        <v>4580.9244799999997</v>
      </c>
      <c r="W756">
        <v>4547.3594800000001</v>
      </c>
      <c r="AB756">
        <v>4596.6380600000002</v>
      </c>
      <c r="AC756">
        <v>4596.5913</v>
      </c>
      <c r="AD756">
        <v>0</v>
      </c>
      <c r="AK756">
        <v>754</v>
      </c>
      <c r="AL756">
        <v>753</v>
      </c>
      <c r="AM756">
        <v>4596.22</v>
      </c>
      <c r="AN756">
        <v>4615.8642</v>
      </c>
      <c r="AO756">
        <v>-19.644200000000001</v>
      </c>
      <c r="AP756">
        <v>385.89659999999998</v>
      </c>
      <c r="AQ756">
        <v>-0.17438999999999999</v>
      </c>
      <c r="AR756">
        <v>9.7431000000000004E-2</v>
      </c>
      <c r="AY756">
        <v>754</v>
      </c>
      <c r="AZ756">
        <v>753</v>
      </c>
      <c r="BA756">
        <v>4596.22</v>
      </c>
      <c r="BB756">
        <v>4615.8642</v>
      </c>
      <c r="BC756">
        <v>-19.644200000000001</v>
      </c>
      <c r="BD756">
        <v>385.89659999999998</v>
      </c>
      <c r="BE756">
        <v>567009</v>
      </c>
    </row>
    <row r="757" spans="1:57" x14ac:dyDescent="0.55000000000000004">
      <c r="A757">
        <v>1777404602</v>
      </c>
      <c r="B757" t="s">
        <v>72</v>
      </c>
      <c r="C757" t="s">
        <v>73</v>
      </c>
      <c r="D757">
        <v>4598.5200000000004</v>
      </c>
      <c r="E757">
        <v>4518.5928199999998</v>
      </c>
      <c r="F757">
        <v>4596.0559499999999</v>
      </c>
      <c r="G757">
        <v>4755.40355</v>
      </c>
      <c r="H757">
        <v>4792.7697200000002</v>
      </c>
      <c r="Q757">
        <v>4615.5966399999998</v>
      </c>
      <c r="R757">
        <v>4644.9599399999997</v>
      </c>
      <c r="S757">
        <v>4671.54871</v>
      </c>
      <c r="V757">
        <v>4580.6568699999998</v>
      </c>
      <c r="W757">
        <v>4547.0918799999999</v>
      </c>
      <c r="AB757">
        <v>4596.6971700000004</v>
      </c>
      <c r="AC757">
        <v>4596.6442399999996</v>
      </c>
      <c r="AD757">
        <v>0</v>
      </c>
      <c r="AK757">
        <v>755</v>
      </c>
      <c r="AL757">
        <v>754</v>
      </c>
      <c r="AM757">
        <v>4598.5200000000004</v>
      </c>
      <c r="AN757">
        <v>4615.5965999999999</v>
      </c>
      <c r="AO757">
        <v>-17.076599999999999</v>
      </c>
      <c r="AP757">
        <v>291.61160000000001</v>
      </c>
      <c r="AQ757">
        <v>-0.11455700000000001</v>
      </c>
      <c r="AR757">
        <v>5.5636999999999999E-2</v>
      </c>
      <c r="AY757">
        <v>755</v>
      </c>
      <c r="AZ757">
        <v>754</v>
      </c>
      <c r="BA757">
        <v>4598.5200000000004</v>
      </c>
      <c r="BB757">
        <v>4615.5965999999999</v>
      </c>
      <c r="BC757">
        <v>-17.076599999999999</v>
      </c>
      <c r="BD757">
        <v>291.61160000000001</v>
      </c>
      <c r="BE757">
        <v>568516</v>
      </c>
    </row>
    <row r="758" spans="1:57" x14ac:dyDescent="0.55000000000000004">
      <c r="A758">
        <v>1777405502</v>
      </c>
      <c r="B758" t="s">
        <v>72</v>
      </c>
      <c r="C758" t="s">
        <v>73</v>
      </c>
      <c r="D758">
        <v>4595.7</v>
      </c>
      <c r="E758">
        <v>4518.5928199999998</v>
      </c>
      <c r="F758">
        <v>4596.0559499999999</v>
      </c>
      <c r="G758">
        <v>4755.40355</v>
      </c>
      <c r="H758">
        <v>4792.7697200000002</v>
      </c>
      <c r="Q758">
        <v>4615.3290399999996</v>
      </c>
      <c r="R758">
        <v>4644.6923399999996</v>
      </c>
      <c r="S758">
        <v>4671.2811099999999</v>
      </c>
      <c r="V758">
        <v>4580.3892699999997</v>
      </c>
      <c r="W758">
        <v>4546.8242700000001</v>
      </c>
      <c r="AB758">
        <v>4596.59339</v>
      </c>
      <c r="AC758">
        <v>4596.6188099999999</v>
      </c>
      <c r="AD758">
        <v>1</v>
      </c>
      <c r="AK758">
        <v>756</v>
      </c>
      <c r="AL758">
        <v>755</v>
      </c>
      <c r="AM758">
        <v>4595.7</v>
      </c>
      <c r="AN758">
        <v>4615.3289999999997</v>
      </c>
      <c r="AO758">
        <v>-19.629000000000001</v>
      </c>
      <c r="AP758">
        <v>385.29919999999998</v>
      </c>
      <c r="AQ758">
        <v>-0.173985</v>
      </c>
      <c r="AR758">
        <v>9.7128999999999993E-2</v>
      </c>
      <c r="AY758">
        <v>756</v>
      </c>
      <c r="AZ758">
        <v>755</v>
      </c>
      <c r="BA758">
        <v>4595.7</v>
      </c>
      <c r="BB758">
        <v>4615.3289999999997</v>
      </c>
      <c r="BC758">
        <v>-19.629000000000001</v>
      </c>
      <c r="BD758">
        <v>385.29919999999998</v>
      </c>
      <c r="BE758">
        <v>570025</v>
      </c>
    </row>
    <row r="759" spans="1:57" x14ac:dyDescent="0.55000000000000004">
      <c r="A759">
        <v>1777406402</v>
      </c>
      <c r="B759" t="s">
        <v>72</v>
      </c>
      <c r="C759" t="s">
        <v>73</v>
      </c>
      <c r="D759">
        <v>4597.28</v>
      </c>
      <c r="E759">
        <v>4518.5928199999998</v>
      </c>
      <c r="F759">
        <v>4596.0559499999999</v>
      </c>
      <c r="G759">
        <v>4755.40355</v>
      </c>
      <c r="H759">
        <v>4792.7697200000002</v>
      </c>
      <c r="Q759">
        <v>4615.0614400000004</v>
      </c>
      <c r="R759">
        <v>4644.4247299999997</v>
      </c>
      <c r="S759">
        <v>4671.0135099999998</v>
      </c>
      <c r="V759">
        <v>4580.1216700000004</v>
      </c>
      <c r="W759">
        <v>4546.5566699999999</v>
      </c>
      <c r="AB759">
        <v>4596.3382099999999</v>
      </c>
      <c r="AC759">
        <v>4596.4785099999999</v>
      </c>
      <c r="AD759">
        <v>0</v>
      </c>
      <c r="AK759">
        <v>757</v>
      </c>
      <c r="AL759">
        <v>756</v>
      </c>
      <c r="AM759">
        <v>4597.28</v>
      </c>
      <c r="AN759">
        <v>4615.0613999999996</v>
      </c>
      <c r="AO759">
        <v>-17.781400000000001</v>
      </c>
      <c r="AP759">
        <v>316.17959999999999</v>
      </c>
      <c r="AQ759">
        <v>-0.12933500000000001</v>
      </c>
      <c r="AR759">
        <v>6.5407000000000007E-2</v>
      </c>
      <c r="AY759">
        <v>757</v>
      </c>
      <c r="AZ759">
        <v>756</v>
      </c>
      <c r="BA759">
        <v>4597.28</v>
      </c>
      <c r="BB759">
        <v>4615.0613999999996</v>
      </c>
      <c r="BC759">
        <v>-17.781400000000001</v>
      </c>
      <c r="BD759">
        <v>316.17959999999999</v>
      </c>
      <c r="BE759">
        <v>571536</v>
      </c>
    </row>
    <row r="760" spans="1:57" x14ac:dyDescent="0.55000000000000004">
      <c r="A760">
        <v>1777407302</v>
      </c>
      <c r="B760" t="s">
        <v>72</v>
      </c>
      <c r="C760" t="s">
        <v>73</v>
      </c>
      <c r="D760">
        <v>4592.8500000000004</v>
      </c>
      <c r="E760">
        <v>4518.5928199999998</v>
      </c>
      <c r="F760">
        <v>4596.0559499999999</v>
      </c>
      <c r="G760">
        <v>4755.40355</v>
      </c>
      <c r="H760">
        <v>4792.7697200000002</v>
      </c>
      <c r="Q760">
        <v>4614.7938299999996</v>
      </c>
      <c r="R760">
        <v>4644.1571299999996</v>
      </c>
      <c r="S760">
        <v>4670.7458999999999</v>
      </c>
      <c r="V760">
        <v>4579.8540599999997</v>
      </c>
      <c r="W760">
        <v>4546.2890699999998</v>
      </c>
      <c r="AB760">
        <v>4595.8461600000001</v>
      </c>
      <c r="AC760">
        <v>4596.1623300000001</v>
      </c>
      <c r="AD760">
        <v>0</v>
      </c>
      <c r="AK760">
        <v>758</v>
      </c>
      <c r="AL760">
        <v>757</v>
      </c>
      <c r="AM760">
        <v>4592.8500000000004</v>
      </c>
      <c r="AN760">
        <v>4614.7938000000004</v>
      </c>
      <c r="AO760">
        <v>-21.9438</v>
      </c>
      <c r="AP760">
        <v>481.5317</v>
      </c>
      <c r="AQ760">
        <v>-0.24308199999999999</v>
      </c>
      <c r="AR760">
        <v>0.15170600000000001</v>
      </c>
      <c r="AY760">
        <v>758</v>
      </c>
      <c r="AZ760">
        <v>757</v>
      </c>
      <c r="BA760">
        <v>4592.8500000000004</v>
      </c>
      <c r="BB760">
        <v>4614.7938000000004</v>
      </c>
      <c r="BC760">
        <v>-21.9438</v>
      </c>
      <c r="BD760">
        <v>481.5317</v>
      </c>
      <c r="BE760">
        <v>573049</v>
      </c>
    </row>
    <row r="761" spans="1:57" x14ac:dyDescent="0.55000000000000004">
      <c r="A761">
        <v>1777408202</v>
      </c>
      <c r="B761" t="s">
        <v>72</v>
      </c>
      <c r="C761" t="s">
        <v>73</v>
      </c>
      <c r="D761">
        <v>4593.4399999999996</v>
      </c>
      <c r="E761">
        <v>4518.5928199999998</v>
      </c>
      <c r="F761">
        <v>4596.0559499999999</v>
      </c>
      <c r="G761">
        <v>4755.40355</v>
      </c>
      <c r="H761">
        <v>4792.7697200000002</v>
      </c>
      <c r="Q761">
        <v>4614.5262300000004</v>
      </c>
      <c r="R761">
        <v>4643.8895300000004</v>
      </c>
      <c r="S761">
        <v>4670.4782999999998</v>
      </c>
      <c r="V761">
        <v>4579.5864600000004</v>
      </c>
      <c r="W761">
        <v>4546.0214599999999</v>
      </c>
      <c r="AB761">
        <v>4595.2431800000004</v>
      </c>
      <c r="AC761">
        <v>4595.7027600000001</v>
      </c>
      <c r="AD761">
        <v>0</v>
      </c>
      <c r="AK761">
        <v>759</v>
      </c>
      <c r="AL761">
        <v>758</v>
      </c>
      <c r="AM761">
        <v>4593.4399999999996</v>
      </c>
      <c r="AN761">
        <v>4614.5262000000002</v>
      </c>
      <c r="AO761">
        <v>-21.086200000000002</v>
      </c>
      <c r="AP761">
        <v>444.62909999999999</v>
      </c>
      <c r="AQ761">
        <v>-0.21568100000000001</v>
      </c>
      <c r="AR761">
        <v>0.12934499999999999</v>
      </c>
      <c r="AY761">
        <v>759</v>
      </c>
      <c r="AZ761">
        <v>758</v>
      </c>
      <c r="BA761">
        <v>4593.4399999999996</v>
      </c>
      <c r="BB761">
        <v>4614.5262000000002</v>
      </c>
      <c r="BC761">
        <v>-21.086200000000002</v>
      </c>
      <c r="BD761">
        <v>444.62909999999999</v>
      </c>
      <c r="BE761">
        <v>574564</v>
      </c>
    </row>
    <row r="762" spans="1:57" x14ac:dyDescent="0.55000000000000004">
      <c r="A762">
        <v>1777409102</v>
      </c>
      <c r="B762" t="s">
        <v>72</v>
      </c>
      <c r="C762" t="s">
        <v>73</v>
      </c>
      <c r="D762">
        <v>4597.18</v>
      </c>
      <c r="E762">
        <v>4518.5928199999998</v>
      </c>
      <c r="F762">
        <v>4596.0559499999999</v>
      </c>
      <c r="G762">
        <v>4755.40355</v>
      </c>
      <c r="H762">
        <v>4792.7697200000002</v>
      </c>
      <c r="Q762">
        <v>4614.2586199999996</v>
      </c>
      <c r="R762">
        <v>4643.6219199999996</v>
      </c>
      <c r="S762">
        <v>4670.2106899999999</v>
      </c>
      <c r="V762">
        <v>4579.3188499999997</v>
      </c>
      <c r="W762">
        <v>4545.7538599999998</v>
      </c>
      <c r="AB762">
        <v>4594.6213200000002</v>
      </c>
      <c r="AC762">
        <v>4595.1620400000002</v>
      </c>
      <c r="AD762">
        <v>0</v>
      </c>
      <c r="AK762">
        <v>760</v>
      </c>
      <c r="AL762">
        <v>759</v>
      </c>
      <c r="AM762">
        <v>4597.18</v>
      </c>
      <c r="AN762">
        <v>4614.2586000000001</v>
      </c>
      <c r="AO762">
        <v>-17.078600000000002</v>
      </c>
      <c r="AP762">
        <v>291.67930000000001</v>
      </c>
      <c r="AQ762">
        <v>-0.114597</v>
      </c>
      <c r="AR762">
        <v>5.5662999999999997E-2</v>
      </c>
      <c r="AY762">
        <v>760</v>
      </c>
      <c r="AZ762">
        <v>759</v>
      </c>
      <c r="BA762">
        <v>4597.18</v>
      </c>
      <c r="BB762">
        <v>4614.2586000000001</v>
      </c>
      <c r="BC762">
        <v>-17.078600000000002</v>
      </c>
      <c r="BD762">
        <v>291.67930000000001</v>
      </c>
      <c r="BE762">
        <v>576081</v>
      </c>
    </row>
    <row r="763" spans="1:57" x14ac:dyDescent="0.55000000000000004">
      <c r="A763">
        <v>1777413602</v>
      </c>
      <c r="B763" t="s">
        <v>72</v>
      </c>
      <c r="C763" t="s">
        <v>73</v>
      </c>
      <c r="D763">
        <v>4596.42</v>
      </c>
      <c r="E763">
        <v>4518.5928199999998</v>
      </c>
      <c r="F763">
        <v>4596.0559499999999</v>
      </c>
      <c r="G763">
        <v>4755.40355</v>
      </c>
      <c r="H763">
        <v>4792.7697200000002</v>
      </c>
      <c r="Q763">
        <v>4613.9910200000004</v>
      </c>
      <c r="R763">
        <v>4643.3543200000004</v>
      </c>
      <c r="S763">
        <v>4669.9430899999998</v>
      </c>
      <c r="V763">
        <v>4579.0512500000004</v>
      </c>
      <c r="W763">
        <v>4545.4862499999999</v>
      </c>
      <c r="AB763">
        <v>4593.9779500000004</v>
      </c>
      <c r="AC763">
        <v>4594.57</v>
      </c>
      <c r="AD763">
        <v>0</v>
      </c>
      <c r="AK763">
        <v>761</v>
      </c>
      <c r="AL763">
        <v>760</v>
      </c>
      <c r="AM763">
        <v>4596.42</v>
      </c>
      <c r="AN763">
        <v>4613.991</v>
      </c>
      <c r="AO763">
        <v>-17.571000000000002</v>
      </c>
      <c r="AP763">
        <v>308.7407</v>
      </c>
      <c r="AQ763">
        <v>-0.12479800000000001</v>
      </c>
      <c r="AR763">
        <v>6.2364999999999997E-2</v>
      </c>
      <c r="AY763">
        <v>761</v>
      </c>
      <c r="AZ763">
        <v>760</v>
      </c>
      <c r="BA763">
        <v>4596.42</v>
      </c>
      <c r="BB763">
        <v>4613.991</v>
      </c>
      <c r="BC763">
        <v>-17.571000000000002</v>
      </c>
      <c r="BD763">
        <v>308.7407</v>
      </c>
      <c r="BE763">
        <v>577600</v>
      </c>
    </row>
    <row r="764" spans="1:57" x14ac:dyDescent="0.55000000000000004">
      <c r="A764">
        <v>1777414502</v>
      </c>
      <c r="B764" t="s">
        <v>72</v>
      </c>
      <c r="C764" t="s">
        <v>73</v>
      </c>
      <c r="D764">
        <v>4595.82</v>
      </c>
      <c r="E764">
        <v>4518.5928199999998</v>
      </c>
      <c r="F764">
        <v>4596.0559499999999</v>
      </c>
      <c r="G764">
        <v>4755.40355</v>
      </c>
      <c r="H764">
        <v>4792.7697200000002</v>
      </c>
      <c r="Q764">
        <v>4613.7234200000003</v>
      </c>
      <c r="R764">
        <v>4643.0867099999996</v>
      </c>
      <c r="S764">
        <v>4669.6754799999999</v>
      </c>
      <c r="V764">
        <v>4578.7836399999997</v>
      </c>
      <c r="W764">
        <v>4545.2186499999998</v>
      </c>
      <c r="AB764">
        <v>4593.4692699999996</v>
      </c>
      <c r="AC764">
        <v>4594.0196299999998</v>
      </c>
      <c r="AD764">
        <v>0</v>
      </c>
      <c r="AK764">
        <v>762</v>
      </c>
      <c r="AL764">
        <v>761</v>
      </c>
      <c r="AM764">
        <v>4595.82</v>
      </c>
      <c r="AN764">
        <v>4613.7233999999999</v>
      </c>
      <c r="AO764">
        <v>-17.903400000000001</v>
      </c>
      <c r="AP764">
        <v>320.5324</v>
      </c>
      <c r="AQ764">
        <v>-0.13201499999999999</v>
      </c>
      <c r="AR764">
        <v>6.7220000000000002E-2</v>
      </c>
      <c r="AY764">
        <v>762</v>
      </c>
      <c r="AZ764">
        <v>761</v>
      </c>
      <c r="BA764">
        <v>4595.82</v>
      </c>
      <c r="BB764">
        <v>4613.7233999999999</v>
      </c>
      <c r="BC764">
        <v>-17.903400000000001</v>
      </c>
      <c r="BD764">
        <v>320.5324</v>
      </c>
      <c r="BE764">
        <v>579121</v>
      </c>
    </row>
    <row r="765" spans="1:57" x14ac:dyDescent="0.55000000000000004">
      <c r="A765">
        <v>1777415402</v>
      </c>
      <c r="B765" t="s">
        <v>72</v>
      </c>
      <c r="C765" t="s">
        <v>73</v>
      </c>
      <c r="D765">
        <v>4593.71</v>
      </c>
      <c r="E765">
        <v>4518.5928199999998</v>
      </c>
      <c r="F765">
        <v>4596.0559499999999</v>
      </c>
      <c r="G765">
        <v>4755.40355</v>
      </c>
      <c r="H765">
        <v>4792.7697200000002</v>
      </c>
      <c r="Q765">
        <v>4613.4558100000004</v>
      </c>
      <c r="R765">
        <v>4642.8191100000004</v>
      </c>
      <c r="S765">
        <v>4669.4078799999997</v>
      </c>
      <c r="V765">
        <v>4578.5160400000004</v>
      </c>
      <c r="W765">
        <v>4544.9510399999999</v>
      </c>
      <c r="AB765">
        <v>4593.2575699999998</v>
      </c>
      <c r="AC765">
        <v>4593.6386000000002</v>
      </c>
      <c r="AD765">
        <v>0</v>
      </c>
      <c r="AK765">
        <v>763</v>
      </c>
      <c r="AL765">
        <v>762</v>
      </c>
      <c r="AM765">
        <v>4593.71</v>
      </c>
      <c r="AN765">
        <v>4613.4557999999997</v>
      </c>
      <c r="AO765">
        <v>-19.745799999999999</v>
      </c>
      <c r="AP765">
        <v>389.89699999999999</v>
      </c>
      <c r="AQ765">
        <v>-0.17710899999999999</v>
      </c>
      <c r="AR765">
        <v>9.9460999999999994E-2</v>
      </c>
      <c r="AY765">
        <v>763</v>
      </c>
      <c r="AZ765">
        <v>762</v>
      </c>
      <c r="BA765">
        <v>4593.71</v>
      </c>
      <c r="BB765">
        <v>4613.4557999999997</v>
      </c>
      <c r="BC765">
        <v>-19.745799999999999</v>
      </c>
      <c r="BD765">
        <v>389.89699999999999</v>
      </c>
      <c r="BE765">
        <v>580644</v>
      </c>
    </row>
    <row r="766" spans="1:57" x14ac:dyDescent="0.55000000000000004">
      <c r="A766">
        <v>1777416302</v>
      </c>
      <c r="B766" t="s">
        <v>72</v>
      </c>
      <c r="C766" t="s">
        <v>73</v>
      </c>
      <c r="D766">
        <v>4594.16</v>
      </c>
      <c r="E766">
        <v>4518.5928199999998</v>
      </c>
      <c r="F766">
        <v>4596.0559499999999</v>
      </c>
      <c r="G766">
        <v>4755.40355</v>
      </c>
      <c r="H766">
        <v>4792.7697200000002</v>
      </c>
      <c r="Q766">
        <v>4613.1882100000003</v>
      </c>
      <c r="R766">
        <v>4642.5515100000002</v>
      </c>
      <c r="S766">
        <v>4669.1402799999996</v>
      </c>
      <c r="V766">
        <v>4578.2484400000003</v>
      </c>
      <c r="W766">
        <v>4544.6834399999998</v>
      </c>
      <c r="AB766">
        <v>4593.5015700000004</v>
      </c>
      <c r="AC766">
        <v>4593.5700900000002</v>
      </c>
      <c r="AD766">
        <v>0</v>
      </c>
      <c r="AK766">
        <v>764</v>
      </c>
      <c r="AL766">
        <v>763</v>
      </c>
      <c r="AM766">
        <v>4594.16</v>
      </c>
      <c r="AN766">
        <v>4613.1881999999996</v>
      </c>
      <c r="AO766">
        <v>-19.028199999999998</v>
      </c>
      <c r="AP766">
        <v>362.07279999999997</v>
      </c>
      <c r="AQ766">
        <v>-0.15849299999999999</v>
      </c>
      <c r="AR766">
        <v>8.5772000000000001E-2</v>
      </c>
      <c r="AY766">
        <v>764</v>
      </c>
      <c r="AZ766">
        <v>763</v>
      </c>
      <c r="BA766">
        <v>4594.16</v>
      </c>
      <c r="BB766">
        <v>4613.1881999999996</v>
      </c>
      <c r="BC766">
        <v>-19.028199999999998</v>
      </c>
      <c r="BD766">
        <v>362.07279999999997</v>
      </c>
      <c r="BE766">
        <v>582169</v>
      </c>
    </row>
    <row r="767" spans="1:57" x14ac:dyDescent="0.55000000000000004">
      <c r="A767">
        <v>1777417202</v>
      </c>
      <c r="B767" t="s">
        <v>72</v>
      </c>
      <c r="C767" t="s">
        <v>73</v>
      </c>
      <c r="D767">
        <v>4590.84</v>
      </c>
      <c r="E767">
        <v>4518.5928199999998</v>
      </c>
      <c r="F767">
        <v>4596.0559499999999</v>
      </c>
      <c r="G767">
        <v>4755.40355</v>
      </c>
      <c r="H767">
        <v>4792.7697200000002</v>
      </c>
      <c r="Q767">
        <v>4612.9206000000004</v>
      </c>
      <c r="R767">
        <v>4642.2839000000004</v>
      </c>
      <c r="S767">
        <v>4668.8726699999997</v>
      </c>
      <c r="V767">
        <v>4577.9808300000004</v>
      </c>
      <c r="W767">
        <v>4544.4158399999997</v>
      </c>
      <c r="AB767">
        <v>4594.1765299999997</v>
      </c>
      <c r="AC767">
        <v>4593.8733099999999</v>
      </c>
      <c r="AD767">
        <v>1</v>
      </c>
      <c r="AK767">
        <v>765</v>
      </c>
      <c r="AL767">
        <v>764</v>
      </c>
      <c r="AM767">
        <v>4590.84</v>
      </c>
      <c r="AN767">
        <v>4612.9206000000004</v>
      </c>
      <c r="AO767">
        <v>-22.0806</v>
      </c>
      <c r="AP767">
        <v>487.55290000000002</v>
      </c>
      <c r="AQ767">
        <v>-0.24765599999999999</v>
      </c>
      <c r="AR767">
        <v>0.155524</v>
      </c>
      <c r="AY767">
        <v>765</v>
      </c>
      <c r="AZ767">
        <v>764</v>
      </c>
      <c r="BA767">
        <v>4590.84</v>
      </c>
      <c r="BB767">
        <v>4612.9206000000004</v>
      </c>
      <c r="BC767">
        <v>-22.0806</v>
      </c>
      <c r="BD767">
        <v>487.55290000000002</v>
      </c>
      <c r="BE767">
        <v>583696</v>
      </c>
    </row>
    <row r="768" spans="1:57" x14ac:dyDescent="0.55000000000000004">
      <c r="A768">
        <v>1777418102</v>
      </c>
      <c r="B768" t="s">
        <v>72</v>
      </c>
      <c r="C768" t="s">
        <v>73</v>
      </c>
      <c r="D768">
        <v>4592.2</v>
      </c>
      <c r="E768">
        <v>4518.5928199999998</v>
      </c>
      <c r="F768">
        <v>4596.0559499999999</v>
      </c>
      <c r="G768">
        <v>4755.40355</v>
      </c>
      <c r="H768">
        <v>4792.7697200000002</v>
      </c>
      <c r="Q768">
        <v>4612.6530000000002</v>
      </c>
      <c r="R768">
        <v>4642.0163000000002</v>
      </c>
      <c r="S768">
        <v>4668.6050699999996</v>
      </c>
      <c r="V768">
        <v>4577.7132300000003</v>
      </c>
      <c r="W768">
        <v>4544.1482299999998</v>
      </c>
      <c r="AB768">
        <v>4595.2578800000001</v>
      </c>
      <c r="AC768">
        <v>4594.5655900000002</v>
      </c>
      <c r="AD768">
        <v>0</v>
      </c>
      <c r="AK768">
        <v>766</v>
      </c>
      <c r="AL768">
        <v>765</v>
      </c>
      <c r="AM768">
        <v>4592.2</v>
      </c>
      <c r="AN768">
        <v>4612.6530000000002</v>
      </c>
      <c r="AO768">
        <v>-20.452999999999999</v>
      </c>
      <c r="AP768">
        <v>418.3252</v>
      </c>
      <c r="AQ768">
        <v>-0.196828</v>
      </c>
      <c r="AR768">
        <v>0.114494</v>
      </c>
      <c r="AY768">
        <v>766</v>
      </c>
      <c r="AZ768">
        <v>765</v>
      </c>
      <c r="BA768">
        <v>4592.2</v>
      </c>
      <c r="BB768">
        <v>4612.6530000000002</v>
      </c>
      <c r="BC768">
        <v>-20.452999999999999</v>
      </c>
      <c r="BD768">
        <v>418.3252</v>
      </c>
      <c r="BE768">
        <v>585225</v>
      </c>
    </row>
    <row r="769" spans="1:57" x14ac:dyDescent="0.55000000000000004">
      <c r="A769">
        <v>1777419002</v>
      </c>
      <c r="B769" t="s">
        <v>72</v>
      </c>
      <c r="C769" t="s">
        <v>73</v>
      </c>
      <c r="D769">
        <v>4589.91</v>
      </c>
      <c r="E769">
        <v>4518.5928199999998</v>
      </c>
      <c r="F769">
        <v>4596.0559499999999</v>
      </c>
      <c r="G769">
        <v>4755.40355</v>
      </c>
      <c r="H769">
        <v>4792.7697200000002</v>
      </c>
      <c r="Q769">
        <v>4612.3853900000004</v>
      </c>
      <c r="R769">
        <v>4641.7486900000004</v>
      </c>
      <c r="S769">
        <v>4668.3374599999997</v>
      </c>
      <c r="V769">
        <v>4577.4456200000004</v>
      </c>
      <c r="W769">
        <v>4543.8806299999997</v>
      </c>
      <c r="AB769">
        <v>4596.4596799999999</v>
      </c>
      <c r="AC769">
        <v>4595.5126399999999</v>
      </c>
      <c r="AD769">
        <v>0</v>
      </c>
      <c r="AK769">
        <v>767</v>
      </c>
      <c r="AL769">
        <v>766</v>
      </c>
      <c r="AM769">
        <v>4589.91</v>
      </c>
      <c r="AN769">
        <v>4612.3854000000001</v>
      </c>
      <c r="AO769">
        <v>-22.4754</v>
      </c>
      <c r="AP769">
        <v>505.14319999999998</v>
      </c>
      <c r="AQ769">
        <v>-0.26117800000000002</v>
      </c>
      <c r="AR769">
        <v>0.16694899999999999</v>
      </c>
      <c r="AY769">
        <v>767</v>
      </c>
      <c r="AZ769">
        <v>766</v>
      </c>
      <c r="BA769">
        <v>4589.91</v>
      </c>
      <c r="BB769">
        <v>4612.3854000000001</v>
      </c>
      <c r="BC769">
        <v>-22.4754</v>
      </c>
      <c r="BD769">
        <v>505.14319999999998</v>
      </c>
      <c r="BE769">
        <v>586756</v>
      </c>
    </row>
    <row r="770" spans="1:57" x14ac:dyDescent="0.55000000000000004">
      <c r="A770">
        <v>1777419902</v>
      </c>
      <c r="B770" t="s">
        <v>72</v>
      </c>
      <c r="C770" t="s">
        <v>73</v>
      </c>
      <c r="D770">
        <v>4595.51</v>
      </c>
      <c r="E770">
        <v>4518.5928199999998</v>
      </c>
      <c r="F770">
        <v>4596.0559499999999</v>
      </c>
      <c r="G770">
        <v>4755.40355</v>
      </c>
      <c r="H770">
        <v>4792.7697200000002</v>
      </c>
      <c r="Q770">
        <v>4612.1177900000002</v>
      </c>
      <c r="R770">
        <v>4641.4810900000002</v>
      </c>
      <c r="S770">
        <v>4668.0698599999996</v>
      </c>
      <c r="V770">
        <v>4577.1780200000003</v>
      </c>
      <c r="W770">
        <v>4543.6130199999998</v>
      </c>
      <c r="AB770">
        <v>4597.5664999999999</v>
      </c>
      <c r="AC770">
        <v>4596.5395699999999</v>
      </c>
      <c r="AD770">
        <v>0</v>
      </c>
      <c r="AK770">
        <v>768</v>
      </c>
      <c r="AL770">
        <v>767</v>
      </c>
      <c r="AM770">
        <v>4595.51</v>
      </c>
      <c r="AN770">
        <v>4612.1178</v>
      </c>
      <c r="AO770">
        <v>-16.607800000000001</v>
      </c>
      <c r="AP770">
        <v>275.81869999999998</v>
      </c>
      <c r="AQ770">
        <v>-0.105378</v>
      </c>
      <c r="AR770">
        <v>4.9773999999999999E-2</v>
      </c>
      <c r="AY770">
        <v>768</v>
      </c>
      <c r="AZ770">
        <v>767</v>
      </c>
      <c r="BA770">
        <v>4595.51</v>
      </c>
      <c r="BB770">
        <v>4612.1178</v>
      </c>
      <c r="BC770">
        <v>-16.607800000000001</v>
      </c>
      <c r="BD770">
        <v>275.81869999999998</v>
      </c>
      <c r="BE770">
        <v>588289</v>
      </c>
    </row>
    <row r="771" spans="1:57" x14ac:dyDescent="0.55000000000000004">
      <c r="A771">
        <v>1777420802</v>
      </c>
      <c r="B771" t="s">
        <v>72</v>
      </c>
      <c r="C771" t="s">
        <v>73</v>
      </c>
      <c r="D771">
        <v>4607.37</v>
      </c>
      <c r="E771">
        <v>4518.5928199999998</v>
      </c>
      <c r="F771">
        <v>4596.0559499999999</v>
      </c>
      <c r="G771">
        <v>4755.40355</v>
      </c>
      <c r="H771">
        <v>4792.7697200000002</v>
      </c>
      <c r="Q771">
        <v>4611.8501900000001</v>
      </c>
      <c r="R771">
        <v>4641.2134900000001</v>
      </c>
      <c r="S771">
        <v>4667.8022600000004</v>
      </c>
      <c r="V771">
        <v>4576.9104200000002</v>
      </c>
      <c r="W771">
        <v>4543.3454199999996</v>
      </c>
      <c r="Z771">
        <v>4610.1499999999996</v>
      </c>
      <c r="AB771">
        <v>4598.1404499999999</v>
      </c>
      <c r="AC771">
        <v>4597.3400099999999</v>
      </c>
      <c r="AD771">
        <v>0</v>
      </c>
      <c r="AK771">
        <v>769</v>
      </c>
      <c r="AL771">
        <v>768</v>
      </c>
      <c r="AM771">
        <v>4607.37</v>
      </c>
      <c r="AN771">
        <v>4611.8501999999999</v>
      </c>
      <c r="AO771">
        <v>-4.4802</v>
      </c>
      <c r="AP771">
        <v>20.072099999999999</v>
      </c>
      <c r="AQ771">
        <v>-2.0690000000000001E-3</v>
      </c>
      <c r="AR771">
        <v>2.6400000000000002E-4</v>
      </c>
      <c r="AY771">
        <v>769</v>
      </c>
      <c r="AZ771">
        <v>768</v>
      </c>
      <c r="BA771">
        <v>4607.37</v>
      </c>
      <c r="BB771">
        <v>4611.8501999999999</v>
      </c>
      <c r="BC771">
        <v>-4.4802</v>
      </c>
      <c r="BD771">
        <v>20.072099999999999</v>
      </c>
      <c r="BE771">
        <v>589824</v>
      </c>
    </row>
    <row r="772" spans="1:57" x14ac:dyDescent="0.55000000000000004">
      <c r="A772">
        <v>1777421702</v>
      </c>
      <c r="B772" t="s">
        <v>72</v>
      </c>
      <c r="C772" t="s">
        <v>73</v>
      </c>
      <c r="D772">
        <v>4600.13</v>
      </c>
      <c r="E772">
        <v>4518.5928199999998</v>
      </c>
      <c r="F772">
        <v>4596.0559499999999</v>
      </c>
      <c r="G772">
        <v>4755.40355</v>
      </c>
      <c r="H772">
        <v>4792.7697200000002</v>
      </c>
      <c r="Q772">
        <v>4611.5825800000002</v>
      </c>
      <c r="R772">
        <v>4640.9458800000002</v>
      </c>
      <c r="S772">
        <v>4667.5346499999996</v>
      </c>
      <c r="V772">
        <v>4576.6428100000003</v>
      </c>
      <c r="W772">
        <v>4543.0778200000004</v>
      </c>
      <c r="AB772">
        <v>4597.69103</v>
      </c>
      <c r="AC772">
        <v>4597.5155199999999</v>
      </c>
      <c r="AD772">
        <v>0</v>
      </c>
      <c r="AK772">
        <v>770</v>
      </c>
      <c r="AL772">
        <v>769</v>
      </c>
      <c r="AM772">
        <v>4600.13</v>
      </c>
      <c r="AN772">
        <v>4611.5825999999997</v>
      </c>
      <c r="AO772">
        <v>-11.4526</v>
      </c>
      <c r="AP772">
        <v>131.16159999999999</v>
      </c>
      <c r="AQ772">
        <v>-3.4556000000000003E-2</v>
      </c>
      <c r="AR772">
        <v>1.1256E-2</v>
      </c>
      <c r="AY772">
        <v>770</v>
      </c>
      <c r="AZ772">
        <v>769</v>
      </c>
      <c r="BA772">
        <v>4600.13</v>
      </c>
      <c r="BB772">
        <v>4611.5825999999997</v>
      </c>
      <c r="BC772">
        <v>-11.4526</v>
      </c>
      <c r="BD772">
        <v>131.16159999999999</v>
      </c>
      <c r="BE772">
        <v>591361</v>
      </c>
    </row>
    <row r="773" spans="1:57" x14ac:dyDescent="0.55000000000000004">
      <c r="A773">
        <v>1777422602</v>
      </c>
      <c r="B773" t="s">
        <v>72</v>
      </c>
      <c r="C773" t="s">
        <v>73</v>
      </c>
      <c r="D773">
        <v>4603.88</v>
      </c>
      <c r="E773">
        <v>4518.5928199999998</v>
      </c>
      <c r="F773">
        <v>4596.0559499999999</v>
      </c>
      <c r="G773">
        <v>4755.40355</v>
      </c>
      <c r="H773">
        <v>4792.7697200000002</v>
      </c>
      <c r="Q773">
        <v>4611.3149800000001</v>
      </c>
      <c r="R773">
        <v>4640.6782800000001</v>
      </c>
      <c r="S773">
        <v>4667.2670500000004</v>
      </c>
      <c r="V773">
        <v>4576.3752100000002</v>
      </c>
      <c r="W773">
        <v>4542.8102099999996</v>
      </c>
      <c r="AB773">
        <v>4596.4324100000003</v>
      </c>
      <c r="AC773">
        <v>4596.97397</v>
      </c>
      <c r="AD773">
        <v>1</v>
      </c>
      <c r="AK773">
        <v>771</v>
      </c>
      <c r="AL773">
        <v>770</v>
      </c>
      <c r="AM773">
        <v>4603.88</v>
      </c>
      <c r="AN773">
        <v>4611.3149999999996</v>
      </c>
      <c r="AO773">
        <v>-7.4349999999999996</v>
      </c>
      <c r="AP773">
        <v>55.2789</v>
      </c>
      <c r="AQ773">
        <v>-9.4549999999999999E-3</v>
      </c>
      <c r="AR773">
        <v>1.9989999999999999E-3</v>
      </c>
      <c r="AY773">
        <v>771</v>
      </c>
      <c r="AZ773">
        <v>770</v>
      </c>
      <c r="BA773">
        <v>4603.88</v>
      </c>
      <c r="BB773">
        <v>4611.3149999999996</v>
      </c>
      <c r="BC773">
        <v>-7.4349999999999996</v>
      </c>
      <c r="BD773">
        <v>55.2789</v>
      </c>
      <c r="BE773">
        <v>592900</v>
      </c>
    </row>
    <row r="774" spans="1:57" x14ac:dyDescent="0.55000000000000004">
      <c r="A774">
        <v>1777423502</v>
      </c>
      <c r="B774" t="s">
        <v>72</v>
      </c>
      <c r="C774" t="s">
        <v>73</v>
      </c>
      <c r="D774">
        <v>4600.2700000000004</v>
      </c>
      <c r="E774">
        <v>4518.5928199999998</v>
      </c>
      <c r="F774">
        <v>4596.0559499999999</v>
      </c>
      <c r="G774">
        <v>4755.40355</v>
      </c>
      <c r="H774">
        <v>4792.7697200000002</v>
      </c>
      <c r="Q774">
        <v>4611.0473700000002</v>
      </c>
      <c r="R774">
        <v>4640.4106700000002</v>
      </c>
      <c r="S774">
        <v>4666.9994399999996</v>
      </c>
      <c r="V774">
        <v>4576.1076000000003</v>
      </c>
      <c r="W774">
        <v>4542.5426100000004</v>
      </c>
      <c r="AB774">
        <v>4594.4966299999996</v>
      </c>
      <c r="AC774">
        <v>4595.7353000000003</v>
      </c>
      <c r="AD774">
        <v>0</v>
      </c>
      <c r="AK774">
        <v>772</v>
      </c>
      <c r="AL774">
        <v>771</v>
      </c>
      <c r="AM774">
        <v>4600.2700000000004</v>
      </c>
      <c r="AN774">
        <v>4611.0474000000004</v>
      </c>
      <c r="AO774">
        <v>-10.7774</v>
      </c>
      <c r="AP774">
        <v>116.15170000000001</v>
      </c>
      <c r="AQ774">
        <v>-2.8797E-2</v>
      </c>
      <c r="AR774">
        <v>8.8269999999999998E-3</v>
      </c>
      <c r="AY774">
        <v>772</v>
      </c>
      <c r="AZ774">
        <v>771</v>
      </c>
      <c r="BA774">
        <v>4600.2700000000004</v>
      </c>
      <c r="BB774">
        <v>4611.0474000000004</v>
      </c>
      <c r="BC774">
        <v>-10.7774</v>
      </c>
      <c r="BD774">
        <v>116.15170000000001</v>
      </c>
      <c r="BE774">
        <v>594441</v>
      </c>
    </row>
    <row r="775" spans="1:57" x14ac:dyDescent="0.55000000000000004">
      <c r="A775">
        <v>1777424402</v>
      </c>
      <c r="B775" t="s">
        <v>72</v>
      </c>
      <c r="C775" t="s">
        <v>73</v>
      </c>
      <c r="D775">
        <v>4582.6499999999996</v>
      </c>
      <c r="E775">
        <v>4518.5928199999998</v>
      </c>
      <c r="F775">
        <v>4596.0559499999999</v>
      </c>
      <c r="G775">
        <v>4755.40355</v>
      </c>
      <c r="H775">
        <v>4792.7697200000002</v>
      </c>
      <c r="Q775">
        <v>4610.7797700000001</v>
      </c>
      <c r="R775">
        <v>4640.1430700000001</v>
      </c>
      <c r="S775">
        <v>4666.7318400000004</v>
      </c>
      <c r="V775">
        <v>4575.84</v>
      </c>
      <c r="W775">
        <v>4542.2749999999996</v>
      </c>
      <c r="AA775">
        <v>4575.84</v>
      </c>
      <c r="AB775">
        <v>4592.3675199999998</v>
      </c>
      <c r="AC775">
        <v>4594.05141</v>
      </c>
      <c r="AD775">
        <v>0</v>
      </c>
      <c r="AK775">
        <v>773</v>
      </c>
      <c r="AL775">
        <v>772</v>
      </c>
      <c r="AM775">
        <v>4582.6499999999996</v>
      </c>
      <c r="AN775">
        <v>4610.7798000000003</v>
      </c>
      <c r="AO775">
        <v>-28.129799999999999</v>
      </c>
      <c r="AP775">
        <v>791.28399999999999</v>
      </c>
      <c r="AQ775">
        <v>-0.51205199999999995</v>
      </c>
      <c r="AR775">
        <v>0.40965600000000002</v>
      </c>
      <c r="AY775">
        <v>773</v>
      </c>
      <c r="AZ775">
        <v>772</v>
      </c>
      <c r="BA775">
        <v>4582.6499999999996</v>
      </c>
      <c r="BB775">
        <v>4610.7798000000003</v>
      </c>
      <c r="BC775">
        <v>-28.129799999999999</v>
      </c>
      <c r="BD775">
        <v>791.28399999999999</v>
      </c>
      <c r="BE775">
        <v>595984</v>
      </c>
    </row>
    <row r="776" spans="1:57" x14ac:dyDescent="0.55000000000000004">
      <c r="A776">
        <v>1777425302</v>
      </c>
      <c r="B776" t="s">
        <v>72</v>
      </c>
      <c r="C776" t="s">
        <v>73</v>
      </c>
      <c r="D776">
        <v>4580.4799999999996</v>
      </c>
      <c r="E776">
        <v>4518.5928199999998</v>
      </c>
      <c r="F776">
        <v>4596.0559499999999</v>
      </c>
      <c r="G776">
        <v>4755.40355</v>
      </c>
      <c r="H776">
        <v>4792.7697200000002</v>
      </c>
      <c r="Q776">
        <v>4610.51217</v>
      </c>
      <c r="R776">
        <v>4639.8754600000002</v>
      </c>
      <c r="S776">
        <v>4666.4642400000002</v>
      </c>
      <c r="V776">
        <v>4575.5724</v>
      </c>
      <c r="W776">
        <v>4542.0074000000004</v>
      </c>
      <c r="AB776">
        <v>4590.9354199999998</v>
      </c>
      <c r="AC776">
        <v>4592.49341</v>
      </c>
      <c r="AD776">
        <v>0</v>
      </c>
      <c r="AK776">
        <v>774</v>
      </c>
      <c r="AL776">
        <v>773</v>
      </c>
      <c r="AM776">
        <v>4580.4799999999996</v>
      </c>
      <c r="AN776">
        <v>4610.5122000000001</v>
      </c>
      <c r="AO776">
        <v>-30.0322</v>
      </c>
      <c r="AP776">
        <v>901.93119999999999</v>
      </c>
      <c r="AQ776">
        <v>-0.62312599999999996</v>
      </c>
      <c r="AR776">
        <v>0.53223200000000004</v>
      </c>
      <c r="AY776">
        <v>774</v>
      </c>
      <c r="AZ776">
        <v>773</v>
      </c>
      <c r="BA776">
        <v>4580.4799999999996</v>
      </c>
      <c r="BB776">
        <v>4610.5122000000001</v>
      </c>
      <c r="BC776">
        <v>-30.0322</v>
      </c>
      <c r="BD776">
        <v>901.93119999999999</v>
      </c>
      <c r="BE776">
        <v>597529</v>
      </c>
    </row>
    <row r="777" spans="1:57" x14ac:dyDescent="0.55000000000000004">
      <c r="A777">
        <v>1777426202</v>
      </c>
      <c r="B777" t="s">
        <v>72</v>
      </c>
      <c r="C777" t="s">
        <v>73</v>
      </c>
      <c r="D777">
        <v>4590.5600000000004</v>
      </c>
      <c r="E777">
        <v>4518.5928199999998</v>
      </c>
      <c r="F777">
        <v>4596.0559499999999</v>
      </c>
      <c r="G777">
        <v>4755.40355</v>
      </c>
      <c r="H777">
        <v>4792.7697200000002</v>
      </c>
      <c r="Q777">
        <v>4610.2445600000001</v>
      </c>
      <c r="R777">
        <v>4639.6078600000001</v>
      </c>
      <c r="S777">
        <v>4666.1966300000004</v>
      </c>
      <c r="V777">
        <v>4575.3047900000001</v>
      </c>
      <c r="W777">
        <v>4541.7398000000003</v>
      </c>
      <c r="AB777">
        <v>4590.5241800000003</v>
      </c>
      <c r="AC777">
        <v>4591.5087999999996</v>
      </c>
      <c r="AD777">
        <v>0</v>
      </c>
      <c r="AK777">
        <v>775</v>
      </c>
      <c r="AL777">
        <v>774</v>
      </c>
      <c r="AM777">
        <v>4590.5600000000004</v>
      </c>
      <c r="AN777">
        <v>4610.2446</v>
      </c>
      <c r="AO777">
        <v>-19.6846</v>
      </c>
      <c r="AP777">
        <v>387.4819</v>
      </c>
      <c r="AQ777">
        <v>-0.17546600000000001</v>
      </c>
      <c r="AR777">
        <v>9.8233000000000001E-2</v>
      </c>
      <c r="AY777">
        <v>775</v>
      </c>
      <c r="AZ777">
        <v>774</v>
      </c>
      <c r="BA777">
        <v>4590.5600000000004</v>
      </c>
      <c r="BB777">
        <v>4610.2446</v>
      </c>
      <c r="BC777">
        <v>-19.6846</v>
      </c>
      <c r="BD777">
        <v>387.4819</v>
      </c>
      <c r="BE777">
        <v>599076</v>
      </c>
    </row>
    <row r="778" spans="1:57" x14ac:dyDescent="0.55000000000000004">
      <c r="A778">
        <v>1777427102</v>
      </c>
      <c r="B778" t="s">
        <v>72</v>
      </c>
      <c r="C778" t="s">
        <v>73</v>
      </c>
      <c r="D778">
        <v>4584.9799999999996</v>
      </c>
      <c r="E778">
        <v>4518.5928199999998</v>
      </c>
      <c r="F778">
        <v>4596.0559499999999</v>
      </c>
      <c r="G778">
        <v>4755.40355</v>
      </c>
      <c r="H778">
        <v>4792.7697200000002</v>
      </c>
      <c r="Q778">
        <v>4609.97696</v>
      </c>
      <c r="R778">
        <v>4639.3402599999999</v>
      </c>
      <c r="S778">
        <v>4665.9290300000002</v>
      </c>
      <c r="V778">
        <v>4575.03719</v>
      </c>
      <c r="W778">
        <v>4541.4721900000004</v>
      </c>
      <c r="AB778">
        <v>4590.93588</v>
      </c>
      <c r="AC778">
        <v>4591.2223400000003</v>
      </c>
      <c r="AD778">
        <v>0</v>
      </c>
      <c r="AK778">
        <v>776</v>
      </c>
      <c r="AL778">
        <v>775</v>
      </c>
      <c r="AM778">
        <v>4584.9799999999996</v>
      </c>
      <c r="AN778">
        <v>4609.9769999999999</v>
      </c>
      <c r="AO778">
        <v>-24.997</v>
      </c>
      <c r="AP778">
        <v>624.84799999999996</v>
      </c>
      <c r="AQ778">
        <v>-0.359317</v>
      </c>
      <c r="AR778">
        <v>0.25544800000000001</v>
      </c>
      <c r="AY778">
        <v>776</v>
      </c>
      <c r="AZ778">
        <v>775</v>
      </c>
      <c r="BA778">
        <v>4584.9799999999996</v>
      </c>
      <c r="BB778">
        <v>4609.9769999999999</v>
      </c>
      <c r="BC778">
        <v>-24.997</v>
      </c>
      <c r="BD778">
        <v>624.84799999999996</v>
      </c>
      <c r="BE778">
        <v>600625</v>
      </c>
    </row>
    <row r="779" spans="1:57" x14ac:dyDescent="0.55000000000000004">
      <c r="A779">
        <v>1777428002</v>
      </c>
      <c r="B779" t="s">
        <v>72</v>
      </c>
      <c r="C779" t="s">
        <v>73</v>
      </c>
      <c r="D779">
        <v>4600.87</v>
      </c>
      <c r="E779">
        <v>4518.5928199999998</v>
      </c>
      <c r="F779">
        <v>4596.0559499999999</v>
      </c>
      <c r="G779">
        <v>4755.40355</v>
      </c>
      <c r="H779">
        <v>4792.7697200000002</v>
      </c>
      <c r="Q779">
        <v>4609.7093500000001</v>
      </c>
      <c r="R779">
        <v>4639.0726500000001</v>
      </c>
      <c r="S779">
        <v>4665.6614200000004</v>
      </c>
      <c r="V779">
        <v>4574.7695800000001</v>
      </c>
      <c r="W779">
        <v>4541.2045900000003</v>
      </c>
      <c r="AB779">
        <v>4592.2322700000004</v>
      </c>
      <c r="AC779">
        <v>4591.7272999999996</v>
      </c>
      <c r="AD779">
        <v>1</v>
      </c>
      <c r="AK779">
        <v>777</v>
      </c>
      <c r="AL779">
        <v>776</v>
      </c>
      <c r="AM779">
        <v>4600.87</v>
      </c>
      <c r="AN779">
        <v>4609.7093999999997</v>
      </c>
      <c r="AO779">
        <v>-8.8393999999999995</v>
      </c>
      <c r="AP779">
        <v>78.134100000000004</v>
      </c>
      <c r="AQ779">
        <v>-1.5887999999999999E-2</v>
      </c>
      <c r="AR779">
        <v>3.9940000000000002E-3</v>
      </c>
      <c r="AY779">
        <v>777</v>
      </c>
      <c r="AZ779">
        <v>776</v>
      </c>
      <c r="BA779">
        <v>4600.87</v>
      </c>
      <c r="BB779">
        <v>4609.7093999999997</v>
      </c>
      <c r="BC779">
        <v>-8.8393999999999995</v>
      </c>
      <c r="BD779">
        <v>78.134100000000004</v>
      </c>
      <c r="BE779">
        <v>602176</v>
      </c>
    </row>
    <row r="780" spans="1:57" x14ac:dyDescent="0.55000000000000004">
      <c r="A780">
        <v>1777428902</v>
      </c>
      <c r="B780" t="s">
        <v>72</v>
      </c>
      <c r="C780" t="s">
        <v>73</v>
      </c>
      <c r="D780">
        <v>4598.93</v>
      </c>
      <c r="E780">
        <v>4518.5928199999998</v>
      </c>
      <c r="F780">
        <v>4596.0559499999999</v>
      </c>
      <c r="G780">
        <v>4755.40355</v>
      </c>
      <c r="H780">
        <v>4792.7697200000002</v>
      </c>
      <c r="Q780">
        <v>4609.44175</v>
      </c>
      <c r="R780">
        <v>4638.8050499999999</v>
      </c>
      <c r="S780">
        <v>4665.3938200000002</v>
      </c>
      <c r="V780">
        <v>4574.50198</v>
      </c>
      <c r="W780">
        <v>4540.9369800000004</v>
      </c>
      <c r="AB780">
        <v>4593.74089</v>
      </c>
      <c r="AC780">
        <v>4592.7340999999997</v>
      </c>
      <c r="AD780">
        <v>0</v>
      </c>
      <c r="AK780">
        <v>778</v>
      </c>
      <c r="AL780">
        <v>777</v>
      </c>
      <c r="AM780">
        <v>4598.93</v>
      </c>
      <c r="AN780">
        <v>4609.4417000000003</v>
      </c>
      <c r="AO780">
        <v>-10.511699999999999</v>
      </c>
      <c r="AP780">
        <v>110.4969</v>
      </c>
      <c r="AQ780">
        <v>-2.6720000000000001E-2</v>
      </c>
      <c r="AR780">
        <v>7.9880000000000003E-3</v>
      </c>
      <c r="AY780">
        <v>778</v>
      </c>
      <c r="AZ780">
        <v>777</v>
      </c>
      <c r="BA780">
        <v>4598.93</v>
      </c>
      <c r="BB780">
        <v>4609.4417000000003</v>
      </c>
      <c r="BC780">
        <v>-10.511699999999999</v>
      </c>
      <c r="BD780">
        <v>110.4969</v>
      </c>
      <c r="BE780">
        <v>603729</v>
      </c>
    </row>
    <row r="781" spans="1:57" x14ac:dyDescent="0.55000000000000004">
      <c r="A781">
        <v>1777429802</v>
      </c>
      <c r="B781" t="s">
        <v>72</v>
      </c>
      <c r="C781" t="s">
        <v>73</v>
      </c>
      <c r="D781">
        <v>4596.92</v>
      </c>
      <c r="E781">
        <v>4518.5928199999998</v>
      </c>
      <c r="F781">
        <v>4596.0559499999999</v>
      </c>
      <c r="G781">
        <v>4755.40355</v>
      </c>
      <c r="H781">
        <v>4792.7697200000002</v>
      </c>
      <c r="Q781">
        <v>4609.1741499999998</v>
      </c>
      <c r="R781">
        <v>4638.5374400000001</v>
      </c>
      <c r="S781">
        <v>4665.1262200000001</v>
      </c>
      <c r="V781">
        <v>4574.2343799999999</v>
      </c>
      <c r="W781">
        <v>4540.6693800000003</v>
      </c>
      <c r="AB781">
        <v>4595.2604899999997</v>
      </c>
      <c r="AC781">
        <v>4593.9972900000002</v>
      </c>
      <c r="AD781">
        <v>0</v>
      </c>
      <c r="AK781">
        <v>779</v>
      </c>
      <c r="AL781">
        <v>778</v>
      </c>
      <c r="AM781">
        <v>4596.92</v>
      </c>
      <c r="AN781">
        <v>4609.1741000000002</v>
      </c>
      <c r="AO781">
        <v>-12.254099999999999</v>
      </c>
      <c r="AP781">
        <v>150.16419999999999</v>
      </c>
      <c r="AQ781">
        <v>-4.2332000000000002E-2</v>
      </c>
      <c r="AR781">
        <v>1.4753E-2</v>
      </c>
      <c r="AY781">
        <v>779</v>
      </c>
      <c r="AZ781">
        <v>778</v>
      </c>
      <c r="BA781">
        <v>4596.92</v>
      </c>
      <c r="BB781">
        <v>4609.1741000000002</v>
      </c>
      <c r="BC781">
        <v>-12.254099999999999</v>
      </c>
      <c r="BD781">
        <v>150.16419999999999</v>
      </c>
      <c r="BE781">
        <v>605284</v>
      </c>
    </row>
    <row r="782" spans="1:57" x14ac:dyDescent="0.55000000000000004">
      <c r="A782">
        <v>1777430702</v>
      </c>
      <c r="B782" t="s">
        <v>72</v>
      </c>
      <c r="C782" t="s">
        <v>73</v>
      </c>
      <c r="D782">
        <v>4593.75</v>
      </c>
      <c r="E782">
        <v>4518.5928199999998</v>
      </c>
      <c r="F782">
        <v>4596.0559499999999</v>
      </c>
      <c r="G782">
        <v>4755.40355</v>
      </c>
      <c r="H782">
        <v>4792.7697200000002</v>
      </c>
      <c r="Q782">
        <v>4608.9065399999999</v>
      </c>
      <c r="R782">
        <v>4638.2698399999999</v>
      </c>
      <c r="S782">
        <v>4664.8586100000002</v>
      </c>
      <c r="V782">
        <v>4573.96677</v>
      </c>
      <c r="W782">
        <v>4540.4017800000001</v>
      </c>
      <c r="AB782">
        <v>4596.6190900000001</v>
      </c>
      <c r="AC782">
        <v>4595.3081899999997</v>
      </c>
      <c r="AD782">
        <v>0</v>
      </c>
      <c r="AK782">
        <v>780</v>
      </c>
      <c r="AL782">
        <v>779</v>
      </c>
      <c r="AM782">
        <v>4593.75</v>
      </c>
      <c r="AN782">
        <v>4608.9065000000001</v>
      </c>
      <c r="AO782">
        <v>-15.156499999999999</v>
      </c>
      <c r="AP782">
        <v>229.72069999999999</v>
      </c>
      <c r="AQ782">
        <v>-8.0097000000000002E-2</v>
      </c>
      <c r="AR782">
        <v>3.4527000000000002E-2</v>
      </c>
      <c r="AY782">
        <v>780</v>
      </c>
      <c r="AZ782">
        <v>779</v>
      </c>
      <c r="BA782">
        <v>4593.75</v>
      </c>
      <c r="BB782">
        <v>4608.9065000000001</v>
      </c>
      <c r="BC782">
        <v>-15.156499999999999</v>
      </c>
      <c r="BD782">
        <v>229.72069999999999</v>
      </c>
      <c r="BE782">
        <v>606841</v>
      </c>
    </row>
    <row r="783" spans="1:57" x14ac:dyDescent="0.55000000000000004">
      <c r="A783">
        <v>1777431602</v>
      </c>
      <c r="B783" t="s">
        <v>72</v>
      </c>
      <c r="C783" t="s">
        <v>73</v>
      </c>
      <c r="D783">
        <v>4601.8900000000003</v>
      </c>
      <c r="E783">
        <v>4518.5928199999998</v>
      </c>
      <c r="F783">
        <v>4596.0559499999999</v>
      </c>
      <c r="G783">
        <v>4755.40355</v>
      </c>
      <c r="H783">
        <v>4792.7697200000002</v>
      </c>
      <c r="Q783">
        <v>4608.6389399999998</v>
      </c>
      <c r="R783">
        <v>4638.0022399999998</v>
      </c>
      <c r="S783">
        <v>4664.5910100000001</v>
      </c>
      <c r="V783">
        <v>4573.6991699999999</v>
      </c>
      <c r="W783">
        <v>4540.1341700000003</v>
      </c>
      <c r="AB783">
        <v>4597.7829099999999</v>
      </c>
      <c r="AC783">
        <v>4596.5455499999998</v>
      </c>
      <c r="AD783">
        <v>0</v>
      </c>
      <c r="AK783">
        <v>781</v>
      </c>
      <c r="AL783">
        <v>780</v>
      </c>
      <c r="AM783">
        <v>4601.8900000000003</v>
      </c>
      <c r="AN783">
        <v>4608.6388999999999</v>
      </c>
      <c r="AO783">
        <v>-6.7488999999999999</v>
      </c>
      <c r="AP783">
        <v>45.548200000000001</v>
      </c>
      <c r="AQ783">
        <v>-7.0720000000000002E-3</v>
      </c>
      <c r="AR783">
        <v>1.3569999999999999E-3</v>
      </c>
      <c r="AY783">
        <v>781</v>
      </c>
      <c r="AZ783">
        <v>780</v>
      </c>
      <c r="BA783">
        <v>4601.8900000000003</v>
      </c>
      <c r="BB783">
        <v>4608.6388999999999</v>
      </c>
      <c r="BC783">
        <v>-6.7488999999999999</v>
      </c>
      <c r="BD783">
        <v>45.548200000000001</v>
      </c>
      <c r="BE783">
        <v>608400</v>
      </c>
    </row>
    <row r="784" spans="1:57" x14ac:dyDescent="0.55000000000000004">
      <c r="A784">
        <v>1777432502</v>
      </c>
      <c r="B784" t="s">
        <v>72</v>
      </c>
      <c r="C784" t="s">
        <v>73</v>
      </c>
      <c r="D784">
        <v>4598.67</v>
      </c>
      <c r="E784">
        <v>4518.5928199999998</v>
      </c>
      <c r="F784">
        <v>4596.0559499999999</v>
      </c>
      <c r="G784">
        <v>4755.40355</v>
      </c>
      <c r="H784">
        <v>4792.7697200000002</v>
      </c>
      <c r="Q784">
        <v>4608.3713299999999</v>
      </c>
      <c r="R784">
        <v>4637.7346299999999</v>
      </c>
      <c r="S784">
        <v>4664.3234000000002</v>
      </c>
      <c r="V784">
        <v>4573.43156</v>
      </c>
      <c r="W784">
        <v>4539.8665700000001</v>
      </c>
      <c r="AB784">
        <v>4598.5412399999996</v>
      </c>
      <c r="AC784">
        <v>4597.5433999999996</v>
      </c>
      <c r="AD784">
        <v>0</v>
      </c>
      <c r="AK784">
        <v>782</v>
      </c>
      <c r="AL784">
        <v>781</v>
      </c>
      <c r="AM784">
        <v>4598.67</v>
      </c>
      <c r="AN784">
        <v>4608.3712999999998</v>
      </c>
      <c r="AO784">
        <v>-9.7012999999999998</v>
      </c>
      <c r="AP784">
        <v>94.115799999999993</v>
      </c>
      <c r="AQ784">
        <v>-2.1003999999999998E-2</v>
      </c>
      <c r="AR784">
        <v>5.7949999999999998E-3</v>
      </c>
      <c r="AY784">
        <v>782</v>
      </c>
      <c r="AZ784">
        <v>781</v>
      </c>
      <c r="BA784">
        <v>4598.67</v>
      </c>
      <c r="BB784">
        <v>4608.3712999999998</v>
      </c>
      <c r="BC784">
        <v>-9.7012999999999998</v>
      </c>
      <c r="BD784">
        <v>94.115799999999993</v>
      </c>
      <c r="BE784">
        <v>609961</v>
      </c>
    </row>
    <row r="785" spans="1:57" x14ac:dyDescent="0.55000000000000004">
      <c r="A785">
        <v>1777433402</v>
      </c>
      <c r="B785" t="s">
        <v>72</v>
      </c>
      <c r="C785" t="s">
        <v>73</v>
      </c>
      <c r="D785">
        <v>4593.91</v>
      </c>
      <c r="E785">
        <v>4518.5928199999998</v>
      </c>
      <c r="F785">
        <v>4596.0559499999999</v>
      </c>
      <c r="G785">
        <v>4755.40355</v>
      </c>
      <c r="H785">
        <v>4792.7697200000002</v>
      </c>
      <c r="Q785">
        <v>4608.1037299999998</v>
      </c>
      <c r="R785">
        <v>4637.4670299999998</v>
      </c>
      <c r="S785">
        <v>4664.0558000000001</v>
      </c>
      <c r="V785">
        <v>4573.1639599999999</v>
      </c>
      <c r="W785">
        <v>4539.5989600000003</v>
      </c>
      <c r="AB785">
        <v>4599.0819600000004</v>
      </c>
      <c r="AC785">
        <v>4598.31268</v>
      </c>
      <c r="AD785">
        <v>0</v>
      </c>
      <c r="AK785">
        <v>783</v>
      </c>
      <c r="AL785">
        <v>782</v>
      </c>
      <c r="AM785">
        <v>4593.91</v>
      </c>
      <c r="AN785">
        <v>4608.1036999999997</v>
      </c>
      <c r="AO785">
        <v>-14.1937</v>
      </c>
      <c r="AP785">
        <v>201.46199999999999</v>
      </c>
      <c r="AQ785">
        <v>-6.5781999999999993E-2</v>
      </c>
      <c r="AR785">
        <v>2.6554999999999999E-2</v>
      </c>
      <c r="AY785">
        <v>783</v>
      </c>
      <c r="AZ785">
        <v>782</v>
      </c>
      <c r="BA785">
        <v>4593.91</v>
      </c>
      <c r="BB785">
        <v>4608.1036999999997</v>
      </c>
      <c r="BC785">
        <v>-14.1937</v>
      </c>
      <c r="BD785">
        <v>201.46199999999999</v>
      </c>
      <c r="BE785">
        <v>611524</v>
      </c>
    </row>
    <row r="786" spans="1:57" x14ac:dyDescent="0.55000000000000004">
      <c r="A786">
        <v>1777434302</v>
      </c>
      <c r="B786" t="s">
        <v>72</v>
      </c>
      <c r="C786" t="s">
        <v>73</v>
      </c>
      <c r="D786">
        <v>4595.4799999999996</v>
      </c>
      <c r="E786">
        <v>4518.5928199999998</v>
      </c>
      <c r="F786">
        <v>4596.0559499999999</v>
      </c>
      <c r="G786">
        <v>4755.40355</v>
      </c>
      <c r="H786">
        <v>4792.7697200000002</v>
      </c>
      <c r="Q786">
        <v>4607.8361299999997</v>
      </c>
      <c r="R786">
        <v>4637.1994199999999</v>
      </c>
      <c r="S786">
        <v>4663.7881900000002</v>
      </c>
      <c r="V786">
        <v>4572.8963599999997</v>
      </c>
      <c r="W786">
        <v>4539.3313600000001</v>
      </c>
      <c r="AB786">
        <v>4599.6711599999999</v>
      </c>
      <c r="AC786">
        <v>4598.9919200000004</v>
      </c>
      <c r="AD786">
        <v>0</v>
      </c>
      <c r="AK786">
        <v>784</v>
      </c>
      <c r="AL786">
        <v>783</v>
      </c>
      <c r="AM786">
        <v>4595.4799999999996</v>
      </c>
      <c r="AN786">
        <v>4607.8361000000004</v>
      </c>
      <c r="AO786">
        <v>-12.3561</v>
      </c>
      <c r="AP786">
        <v>152.6739</v>
      </c>
      <c r="AQ786">
        <v>-4.3396999999999998E-2</v>
      </c>
      <c r="AR786">
        <v>1.525E-2</v>
      </c>
      <c r="AY786">
        <v>784</v>
      </c>
      <c r="AZ786">
        <v>783</v>
      </c>
      <c r="BA786">
        <v>4595.4799999999996</v>
      </c>
      <c r="BB786">
        <v>4607.8361000000004</v>
      </c>
      <c r="BC786">
        <v>-12.3561</v>
      </c>
      <c r="BD786">
        <v>152.6739</v>
      </c>
      <c r="BE786">
        <v>613089</v>
      </c>
    </row>
    <row r="787" spans="1:57" x14ac:dyDescent="0.55000000000000004">
      <c r="A787">
        <v>1777435202</v>
      </c>
      <c r="B787" t="s">
        <v>72</v>
      </c>
      <c r="C787" t="s">
        <v>73</v>
      </c>
      <c r="D787">
        <v>4600.68</v>
      </c>
      <c r="E787">
        <v>4518.5928199999998</v>
      </c>
      <c r="F787">
        <v>4596.0559499999999</v>
      </c>
      <c r="G787">
        <v>4755.40355</v>
      </c>
      <c r="H787">
        <v>4792.7697200000002</v>
      </c>
      <c r="Q787">
        <v>4607.5685199999998</v>
      </c>
      <c r="R787">
        <v>4636.9318199999998</v>
      </c>
      <c r="S787">
        <v>4663.5205900000001</v>
      </c>
      <c r="V787">
        <v>4572.6287499999999</v>
      </c>
      <c r="W787">
        <v>4539.0637500000003</v>
      </c>
      <c r="AB787">
        <v>4600.3533200000002</v>
      </c>
      <c r="AC787">
        <v>4599.6726200000003</v>
      </c>
      <c r="AD787">
        <v>0</v>
      </c>
      <c r="AK787">
        <v>785</v>
      </c>
      <c r="AL787">
        <v>784</v>
      </c>
      <c r="AM787">
        <v>4600.68</v>
      </c>
      <c r="AN787">
        <v>4607.5685000000003</v>
      </c>
      <c r="AO787">
        <v>-6.8884999999999996</v>
      </c>
      <c r="AP787">
        <v>47.451700000000002</v>
      </c>
      <c r="AQ787">
        <v>-7.5199999999999998E-3</v>
      </c>
      <c r="AR787">
        <v>1.4729999999999999E-3</v>
      </c>
      <c r="AY787">
        <v>785</v>
      </c>
      <c r="AZ787">
        <v>784</v>
      </c>
      <c r="BA787">
        <v>4600.68</v>
      </c>
      <c r="BB787">
        <v>4607.5685000000003</v>
      </c>
      <c r="BC787">
        <v>-6.8884999999999996</v>
      </c>
      <c r="BD787">
        <v>47.451700000000002</v>
      </c>
      <c r="BE787">
        <v>614656</v>
      </c>
    </row>
    <row r="788" spans="1:57" x14ac:dyDescent="0.55000000000000004">
      <c r="A788">
        <v>1777436102</v>
      </c>
      <c r="B788" t="s">
        <v>72</v>
      </c>
      <c r="C788" t="s">
        <v>73</v>
      </c>
      <c r="D788">
        <v>4601.8599999999997</v>
      </c>
      <c r="E788">
        <v>4518.5928199999998</v>
      </c>
      <c r="F788">
        <v>4596.0559499999999</v>
      </c>
      <c r="G788">
        <v>4755.40355</v>
      </c>
      <c r="H788">
        <v>4792.7697200000002</v>
      </c>
      <c r="Q788">
        <v>4607.3009199999997</v>
      </c>
      <c r="R788">
        <v>4636.6642199999997</v>
      </c>
      <c r="S788">
        <v>4663.25299</v>
      </c>
      <c r="V788">
        <v>4572.3611499999997</v>
      </c>
      <c r="W788">
        <v>4538.7961500000001</v>
      </c>
      <c r="AB788">
        <v>4600.96576</v>
      </c>
      <c r="AC788">
        <v>4600.3191900000002</v>
      </c>
      <c r="AD788">
        <v>0</v>
      </c>
      <c r="AK788">
        <v>786</v>
      </c>
      <c r="AL788">
        <v>785</v>
      </c>
      <c r="AM788">
        <v>4601.8599999999997</v>
      </c>
      <c r="AN788">
        <v>4607.3009000000002</v>
      </c>
      <c r="AO788">
        <v>-5.4409000000000001</v>
      </c>
      <c r="AP788">
        <v>29.6036</v>
      </c>
      <c r="AQ788">
        <v>-3.705E-3</v>
      </c>
      <c r="AR788">
        <v>5.7300000000000005E-4</v>
      </c>
      <c r="AY788">
        <v>786</v>
      </c>
      <c r="AZ788">
        <v>785</v>
      </c>
      <c r="BA788">
        <v>4601.8599999999997</v>
      </c>
      <c r="BB788">
        <v>4607.3009000000002</v>
      </c>
      <c r="BC788">
        <v>-5.4409000000000001</v>
      </c>
      <c r="BD788">
        <v>29.6036</v>
      </c>
      <c r="BE788">
        <v>616225</v>
      </c>
    </row>
    <row r="789" spans="1:57" x14ac:dyDescent="0.55000000000000004">
      <c r="A789">
        <v>1777437002</v>
      </c>
      <c r="B789" t="s">
        <v>72</v>
      </c>
      <c r="C789" t="s">
        <v>73</v>
      </c>
      <c r="D789">
        <v>4602.1499999999996</v>
      </c>
      <c r="E789">
        <v>4518.5928199999998</v>
      </c>
      <c r="F789">
        <v>4596.0559499999999</v>
      </c>
      <c r="G789">
        <v>4755.40355</v>
      </c>
      <c r="H789">
        <v>4792.7697200000002</v>
      </c>
      <c r="Q789">
        <v>4607.0333099999998</v>
      </c>
      <c r="R789">
        <v>4636.3966099999998</v>
      </c>
      <c r="S789">
        <v>4662.9853800000001</v>
      </c>
      <c r="V789">
        <v>4572.0935399999998</v>
      </c>
      <c r="W789">
        <v>4538.52855</v>
      </c>
      <c r="AB789">
        <v>4601.3865900000001</v>
      </c>
      <c r="AC789">
        <v>4600.8528900000001</v>
      </c>
      <c r="AD789">
        <v>0</v>
      </c>
      <c r="AK789">
        <v>787</v>
      </c>
      <c r="AL789">
        <v>786</v>
      </c>
      <c r="AM789">
        <v>4602.1499999999996</v>
      </c>
      <c r="AN789">
        <v>4607.0333000000001</v>
      </c>
      <c r="AO789">
        <v>-4.8833000000000002</v>
      </c>
      <c r="AP789">
        <v>23.846699999999998</v>
      </c>
      <c r="AQ789">
        <v>-2.679E-3</v>
      </c>
      <c r="AR789">
        <v>3.7199999999999999E-4</v>
      </c>
      <c r="AY789">
        <v>787</v>
      </c>
      <c r="AZ789">
        <v>786</v>
      </c>
      <c r="BA789">
        <v>4602.1499999999996</v>
      </c>
      <c r="BB789">
        <v>4607.0333000000001</v>
      </c>
      <c r="BC789">
        <v>-4.8833000000000002</v>
      </c>
      <c r="BD789">
        <v>23.846699999999998</v>
      </c>
      <c r="BE789">
        <v>617796</v>
      </c>
    </row>
    <row r="790" spans="1:57" x14ac:dyDescent="0.55000000000000004">
      <c r="A790">
        <v>1777437902</v>
      </c>
      <c r="B790" t="s">
        <v>72</v>
      </c>
      <c r="C790" t="s">
        <v>73</v>
      </c>
      <c r="D790">
        <v>4604.8500000000004</v>
      </c>
      <c r="E790">
        <v>4518.5928199999998</v>
      </c>
      <c r="F790">
        <v>4596.0559499999999</v>
      </c>
      <c r="G790">
        <v>4755.40355</v>
      </c>
      <c r="H790">
        <v>4792.7697200000002</v>
      </c>
      <c r="Q790">
        <v>4606.7657099999997</v>
      </c>
      <c r="R790">
        <v>4636.1290099999997</v>
      </c>
      <c r="S790">
        <v>4662.7177799999999</v>
      </c>
      <c r="V790">
        <v>4571.8259399999997</v>
      </c>
      <c r="W790">
        <v>4538.2609400000001</v>
      </c>
      <c r="AB790">
        <v>4601.4311799999996</v>
      </c>
      <c r="AC790">
        <v>4601.1420399999997</v>
      </c>
      <c r="AD790">
        <v>0</v>
      </c>
      <c r="AK790">
        <v>788</v>
      </c>
      <c r="AL790">
        <v>787</v>
      </c>
      <c r="AM790">
        <v>4604.8500000000004</v>
      </c>
      <c r="AN790">
        <v>4606.7656999999999</v>
      </c>
      <c r="AO790">
        <v>-1.9157</v>
      </c>
      <c r="AP790">
        <v>3.6699000000000002</v>
      </c>
      <c r="AQ790">
        <v>-1.6200000000000001E-4</v>
      </c>
      <c r="AR790">
        <v>9.0000000000000002E-6</v>
      </c>
      <c r="AY790">
        <v>788</v>
      </c>
      <c r="AZ790">
        <v>787</v>
      </c>
      <c r="BA790">
        <v>4604.8500000000004</v>
      </c>
      <c r="BB790">
        <v>4606.7656999999999</v>
      </c>
      <c r="BC790">
        <v>-1.9157</v>
      </c>
      <c r="BD790">
        <v>3.6699000000000002</v>
      </c>
      <c r="BE790">
        <v>619369</v>
      </c>
    </row>
    <row r="791" spans="1:57" x14ac:dyDescent="0.55000000000000004">
      <c r="A791">
        <v>1777438802</v>
      </c>
      <c r="B791" t="s">
        <v>72</v>
      </c>
      <c r="C791" t="s">
        <v>73</v>
      </c>
      <c r="D791">
        <v>4601.1499999999996</v>
      </c>
      <c r="E791">
        <v>4518.5928199999998</v>
      </c>
      <c r="F791">
        <v>4596.0559499999999</v>
      </c>
      <c r="G791">
        <v>4755.40355</v>
      </c>
      <c r="H791">
        <v>4792.7697200000002</v>
      </c>
      <c r="Q791">
        <v>4606.4980999999998</v>
      </c>
      <c r="R791">
        <v>4635.8613999999998</v>
      </c>
      <c r="S791">
        <v>4662.4501700000001</v>
      </c>
      <c r="V791">
        <v>4571.5583299999998</v>
      </c>
      <c r="W791">
        <v>4537.99334</v>
      </c>
      <c r="Z791">
        <v>4607.7700000000004</v>
      </c>
      <c r="AB791">
        <v>4600.8451599999999</v>
      </c>
      <c r="AC791">
        <v>4600.9935999999998</v>
      </c>
      <c r="AD791">
        <v>1</v>
      </c>
      <c r="AK791">
        <v>789</v>
      </c>
      <c r="AL791">
        <v>788</v>
      </c>
      <c r="AM791">
        <v>4601.1499999999996</v>
      </c>
      <c r="AN791">
        <v>4606.4980999999998</v>
      </c>
      <c r="AO791">
        <v>-5.3480999999999996</v>
      </c>
      <c r="AP791">
        <v>28.6022</v>
      </c>
      <c r="AQ791">
        <v>-3.519E-3</v>
      </c>
      <c r="AR791">
        <v>5.3499999999999999E-4</v>
      </c>
      <c r="AY791">
        <v>789</v>
      </c>
      <c r="AZ791">
        <v>788</v>
      </c>
      <c r="BA791">
        <v>4601.1499999999996</v>
      </c>
      <c r="BB791">
        <v>4606.4980999999998</v>
      </c>
      <c r="BC791">
        <v>-5.3480999999999996</v>
      </c>
      <c r="BD791">
        <v>28.6022</v>
      </c>
      <c r="BE791">
        <v>620944</v>
      </c>
    </row>
    <row r="792" spans="1:57" x14ac:dyDescent="0.55000000000000004">
      <c r="A792">
        <v>1777439702</v>
      </c>
      <c r="B792" t="s">
        <v>72</v>
      </c>
      <c r="C792" t="s">
        <v>73</v>
      </c>
      <c r="D792">
        <v>4600.72</v>
      </c>
      <c r="E792">
        <v>4518.5928199999998</v>
      </c>
      <c r="F792">
        <v>4596.0559499999999</v>
      </c>
      <c r="G792">
        <v>4755.40355</v>
      </c>
      <c r="H792">
        <v>4792.7697200000002</v>
      </c>
      <c r="Q792">
        <v>4606.2304999999997</v>
      </c>
      <c r="R792">
        <v>4635.5937999999996</v>
      </c>
      <c r="S792">
        <v>4662.1825699999999</v>
      </c>
      <c r="V792">
        <v>4571.2907299999997</v>
      </c>
      <c r="W792">
        <v>4537.7257300000001</v>
      </c>
      <c r="AB792">
        <v>4599.5549799999999</v>
      </c>
      <c r="AC792">
        <v>4600.2742900000003</v>
      </c>
      <c r="AD792">
        <v>0</v>
      </c>
      <c r="AK792">
        <v>790</v>
      </c>
      <c r="AL792">
        <v>789</v>
      </c>
      <c r="AM792">
        <v>4600.72</v>
      </c>
      <c r="AN792">
        <v>4606.2304999999997</v>
      </c>
      <c r="AO792">
        <v>-5.5105000000000004</v>
      </c>
      <c r="AP792">
        <v>30.365600000000001</v>
      </c>
      <c r="AQ792">
        <v>-3.849E-3</v>
      </c>
      <c r="AR792">
        <v>6.0300000000000002E-4</v>
      </c>
      <c r="AY792">
        <v>790</v>
      </c>
      <c r="AZ792">
        <v>789</v>
      </c>
      <c r="BA792">
        <v>4600.72</v>
      </c>
      <c r="BB792">
        <v>4606.2304999999997</v>
      </c>
      <c r="BC792">
        <v>-5.5105000000000004</v>
      </c>
      <c r="BD792">
        <v>30.365600000000001</v>
      </c>
      <c r="BE792">
        <v>622521</v>
      </c>
    </row>
    <row r="793" spans="1:57" x14ac:dyDescent="0.55000000000000004">
      <c r="A793">
        <v>1777440602</v>
      </c>
      <c r="B793" t="s">
        <v>72</v>
      </c>
      <c r="C793" t="s">
        <v>73</v>
      </c>
      <c r="D793">
        <v>4599.05</v>
      </c>
      <c r="E793">
        <v>4518.5928199999998</v>
      </c>
      <c r="F793">
        <v>4596.0559499999999</v>
      </c>
      <c r="G793">
        <v>4755.40355</v>
      </c>
      <c r="H793">
        <v>4792.7697200000002</v>
      </c>
      <c r="Q793">
        <v>4605.9629000000004</v>
      </c>
      <c r="R793">
        <v>4635.3262000000004</v>
      </c>
      <c r="S793">
        <v>4661.9149699999998</v>
      </c>
      <c r="V793">
        <v>4571.0231299999996</v>
      </c>
      <c r="W793">
        <v>4537.45813</v>
      </c>
      <c r="AB793">
        <v>4597.46432</v>
      </c>
      <c r="AC793">
        <v>4598.86931</v>
      </c>
      <c r="AD793">
        <v>0</v>
      </c>
      <c r="AK793">
        <v>791</v>
      </c>
      <c r="AL793">
        <v>790</v>
      </c>
      <c r="AM793">
        <v>4599.05</v>
      </c>
      <c r="AN793">
        <v>4605.9629000000004</v>
      </c>
      <c r="AO793">
        <v>-6.9128999999999996</v>
      </c>
      <c r="AP793">
        <v>47.788200000000003</v>
      </c>
      <c r="AQ793">
        <v>-7.6E-3</v>
      </c>
      <c r="AR793">
        <v>1.4940000000000001E-3</v>
      </c>
      <c r="AY793">
        <v>791</v>
      </c>
      <c r="AZ793">
        <v>790</v>
      </c>
      <c r="BA793">
        <v>4599.05</v>
      </c>
      <c r="BB793">
        <v>4605.9629000000004</v>
      </c>
      <c r="BC793">
        <v>-6.9128999999999996</v>
      </c>
      <c r="BD793">
        <v>47.788200000000003</v>
      </c>
      <c r="BE793">
        <v>624100</v>
      </c>
    </row>
    <row r="794" spans="1:57" x14ac:dyDescent="0.55000000000000004">
      <c r="A794">
        <v>1777441502</v>
      </c>
      <c r="B794" t="s">
        <v>72</v>
      </c>
      <c r="C794" t="s">
        <v>73</v>
      </c>
      <c r="D794">
        <v>4590.8999999999996</v>
      </c>
      <c r="E794">
        <v>4518.5928199999998</v>
      </c>
      <c r="F794">
        <v>4596.0559499999999</v>
      </c>
      <c r="G794">
        <v>4755.40355</v>
      </c>
      <c r="H794">
        <v>4792.7697200000002</v>
      </c>
      <c r="Q794">
        <v>4605.6952899999997</v>
      </c>
      <c r="R794">
        <v>4635.0585899999996</v>
      </c>
      <c r="S794">
        <v>4661.6473599999999</v>
      </c>
      <c r="V794">
        <v>4570.7555199999997</v>
      </c>
      <c r="W794">
        <v>4537.1905299999999</v>
      </c>
      <c r="AB794">
        <v>4594.5773399999998</v>
      </c>
      <c r="AC794">
        <v>4596.7233200000001</v>
      </c>
      <c r="AD794">
        <v>0</v>
      </c>
      <c r="AK794">
        <v>792</v>
      </c>
      <c r="AL794">
        <v>791</v>
      </c>
      <c r="AM794">
        <v>4590.8999999999996</v>
      </c>
      <c r="AN794">
        <v>4605.6953000000003</v>
      </c>
      <c r="AO794">
        <v>-14.795299999999999</v>
      </c>
      <c r="AP794">
        <v>218.9006</v>
      </c>
      <c r="AQ794">
        <v>-7.4505000000000002E-2</v>
      </c>
      <c r="AR794">
        <v>3.1350999999999997E-2</v>
      </c>
      <c r="AY794">
        <v>792</v>
      </c>
      <c r="AZ794">
        <v>791</v>
      </c>
      <c r="BA794">
        <v>4590.8999999999996</v>
      </c>
      <c r="BB794">
        <v>4605.6953000000003</v>
      </c>
      <c r="BC794">
        <v>-14.795299999999999</v>
      </c>
      <c r="BD794">
        <v>218.9006</v>
      </c>
      <c r="BE794">
        <v>625681</v>
      </c>
    </row>
    <row r="795" spans="1:57" x14ac:dyDescent="0.55000000000000004">
      <c r="A795">
        <v>1777442402</v>
      </c>
      <c r="B795" t="s">
        <v>72</v>
      </c>
      <c r="C795" t="s">
        <v>73</v>
      </c>
      <c r="D795">
        <v>4588.7299999999996</v>
      </c>
      <c r="E795">
        <v>4518.5928199999998</v>
      </c>
      <c r="F795">
        <v>4596.0559499999999</v>
      </c>
      <c r="G795">
        <v>4755.40355</v>
      </c>
      <c r="H795">
        <v>4792.7697200000002</v>
      </c>
      <c r="Q795">
        <v>4605.4276900000004</v>
      </c>
      <c r="R795">
        <v>4634.7909900000004</v>
      </c>
      <c r="S795">
        <v>4661.3797599999998</v>
      </c>
      <c r="V795">
        <v>4570.4879199999996</v>
      </c>
      <c r="W795">
        <v>4536.92292</v>
      </c>
      <c r="AB795">
        <v>4591.2011400000001</v>
      </c>
      <c r="AC795">
        <v>4593.9622300000001</v>
      </c>
      <c r="AD795">
        <v>0</v>
      </c>
      <c r="AK795">
        <v>793</v>
      </c>
      <c r="AL795">
        <v>792</v>
      </c>
      <c r="AM795">
        <v>4588.7299999999996</v>
      </c>
      <c r="AN795">
        <v>4605.4277000000002</v>
      </c>
      <c r="AO795">
        <v>-16.697700000000001</v>
      </c>
      <c r="AP795">
        <v>278.81290000000001</v>
      </c>
      <c r="AQ795">
        <v>-0.107099</v>
      </c>
      <c r="AR795">
        <v>5.0860000000000002E-2</v>
      </c>
      <c r="AY795">
        <v>793</v>
      </c>
      <c r="AZ795">
        <v>792</v>
      </c>
      <c r="BA795">
        <v>4588.7299999999996</v>
      </c>
      <c r="BB795">
        <v>4605.4277000000002</v>
      </c>
      <c r="BC795">
        <v>-16.697700000000001</v>
      </c>
      <c r="BD795">
        <v>278.81290000000001</v>
      </c>
      <c r="BE795">
        <v>627264</v>
      </c>
    </row>
    <row r="796" spans="1:57" x14ac:dyDescent="0.55000000000000004">
      <c r="A796">
        <v>1777443302</v>
      </c>
      <c r="B796" t="s">
        <v>72</v>
      </c>
      <c r="C796" t="s">
        <v>73</v>
      </c>
      <c r="D796">
        <v>4585.04</v>
      </c>
      <c r="E796">
        <v>4518.5928199999998</v>
      </c>
      <c r="F796">
        <v>4596.0559499999999</v>
      </c>
      <c r="G796">
        <v>4755.40355</v>
      </c>
      <c r="H796">
        <v>4792.7697200000002</v>
      </c>
      <c r="Q796">
        <v>4605.1600799999997</v>
      </c>
      <c r="R796">
        <v>4634.5233799999996</v>
      </c>
      <c r="S796">
        <v>4661.1121499999999</v>
      </c>
      <c r="V796">
        <v>4570.2203099999997</v>
      </c>
      <c r="W796">
        <v>4536.6553199999998</v>
      </c>
      <c r="AB796">
        <v>4587.5540499999997</v>
      </c>
      <c r="AC796">
        <v>4590.7581399999999</v>
      </c>
      <c r="AD796">
        <v>0</v>
      </c>
      <c r="AK796">
        <v>794</v>
      </c>
      <c r="AL796">
        <v>793</v>
      </c>
      <c r="AM796">
        <v>4585.04</v>
      </c>
      <c r="AN796">
        <v>4605.1601000000001</v>
      </c>
      <c r="AO796">
        <v>-20.120100000000001</v>
      </c>
      <c r="AP796">
        <v>404.81760000000003</v>
      </c>
      <c r="AQ796">
        <v>-0.18737200000000001</v>
      </c>
      <c r="AR796">
        <v>0.10721899999999999</v>
      </c>
      <c r="AY796">
        <v>794</v>
      </c>
      <c r="AZ796">
        <v>793</v>
      </c>
      <c r="BA796">
        <v>4585.04</v>
      </c>
      <c r="BB796">
        <v>4605.1601000000001</v>
      </c>
      <c r="BC796">
        <v>-20.120100000000001</v>
      </c>
      <c r="BD796">
        <v>404.81760000000003</v>
      </c>
      <c r="BE796">
        <v>628849</v>
      </c>
    </row>
    <row r="797" spans="1:57" x14ac:dyDescent="0.55000000000000004">
      <c r="A797">
        <v>1777444202</v>
      </c>
      <c r="B797" t="s">
        <v>72</v>
      </c>
      <c r="C797" t="s">
        <v>73</v>
      </c>
      <c r="D797">
        <v>4585.03</v>
      </c>
      <c r="E797">
        <v>4518.5928199999998</v>
      </c>
      <c r="F797">
        <v>4596.0559499999999</v>
      </c>
      <c r="G797">
        <v>4755.40355</v>
      </c>
      <c r="H797">
        <v>4792.7697200000002</v>
      </c>
      <c r="Q797">
        <v>4604.8924800000004</v>
      </c>
      <c r="R797">
        <v>4634.2557800000004</v>
      </c>
      <c r="S797">
        <v>4660.8445499999998</v>
      </c>
      <c r="V797">
        <v>4569.9527099999996</v>
      </c>
      <c r="W797">
        <v>4536.38771</v>
      </c>
      <c r="AB797">
        <v>4583.8602300000002</v>
      </c>
      <c r="AC797">
        <v>4587.3091800000002</v>
      </c>
      <c r="AD797">
        <v>0</v>
      </c>
      <c r="AK797">
        <v>795</v>
      </c>
      <c r="AL797">
        <v>794</v>
      </c>
      <c r="AM797">
        <v>4585.03</v>
      </c>
      <c r="AN797">
        <v>4604.8924999999999</v>
      </c>
      <c r="AO797">
        <v>-19.862500000000001</v>
      </c>
      <c r="AP797">
        <v>394.5181</v>
      </c>
      <c r="AQ797">
        <v>-0.18026700000000001</v>
      </c>
      <c r="AR797">
        <v>0.10183300000000001</v>
      </c>
      <c r="AY797">
        <v>795</v>
      </c>
      <c r="AZ797">
        <v>794</v>
      </c>
      <c r="BA797">
        <v>4585.03</v>
      </c>
      <c r="BB797">
        <v>4604.8924999999999</v>
      </c>
      <c r="BC797">
        <v>-19.862500000000001</v>
      </c>
      <c r="BD797">
        <v>394.5181</v>
      </c>
      <c r="BE797">
        <v>630436</v>
      </c>
    </row>
    <row r="798" spans="1:57" x14ac:dyDescent="0.55000000000000004">
      <c r="A798">
        <v>1777445102</v>
      </c>
      <c r="B798" t="s">
        <v>72</v>
      </c>
      <c r="C798" t="s">
        <v>73</v>
      </c>
      <c r="D798">
        <v>4584.5200000000004</v>
      </c>
      <c r="E798">
        <v>4518.5928199999998</v>
      </c>
      <c r="F798">
        <v>4596.0559499999999</v>
      </c>
      <c r="G798">
        <v>4755.40355</v>
      </c>
      <c r="H798">
        <v>4792.7697200000002</v>
      </c>
      <c r="Q798">
        <v>4604.6248800000003</v>
      </c>
      <c r="R798">
        <v>4633.9881800000003</v>
      </c>
      <c r="S798">
        <v>4660.5769499999997</v>
      </c>
      <c r="V798">
        <v>4569.6851100000003</v>
      </c>
      <c r="W798">
        <v>4536.1201099999998</v>
      </c>
      <c r="AB798">
        <v>4580.2565400000003</v>
      </c>
      <c r="AC798">
        <v>4583.7828600000003</v>
      </c>
      <c r="AD798">
        <v>0</v>
      </c>
      <c r="AK798">
        <v>796</v>
      </c>
      <c r="AL798">
        <v>795</v>
      </c>
      <c r="AM798">
        <v>4584.5200000000004</v>
      </c>
      <c r="AN798">
        <v>4604.6248999999998</v>
      </c>
      <c r="AO798">
        <v>-20.104900000000001</v>
      </c>
      <c r="AP798">
        <v>404.20620000000002</v>
      </c>
      <c r="AQ798">
        <v>-0.186948</v>
      </c>
      <c r="AR798">
        <v>0.106896</v>
      </c>
      <c r="AY798">
        <v>796</v>
      </c>
      <c r="AZ798">
        <v>795</v>
      </c>
      <c r="BA798">
        <v>4584.5200000000004</v>
      </c>
      <c r="BB798">
        <v>4604.6248999999998</v>
      </c>
      <c r="BC798">
        <v>-20.104900000000001</v>
      </c>
      <c r="BD798">
        <v>404.20620000000002</v>
      </c>
      <c r="BE798">
        <v>632025</v>
      </c>
    </row>
    <row r="799" spans="1:57" x14ac:dyDescent="0.55000000000000004">
      <c r="A799">
        <v>1777446002</v>
      </c>
      <c r="B799" t="s">
        <v>72</v>
      </c>
      <c r="C799" t="s">
        <v>73</v>
      </c>
      <c r="D799">
        <v>4578.72</v>
      </c>
      <c r="E799">
        <v>4518.5928199999998</v>
      </c>
      <c r="F799">
        <v>4596.0559499999999</v>
      </c>
      <c r="G799">
        <v>4755.40355</v>
      </c>
      <c r="H799">
        <v>4792.7697200000002</v>
      </c>
      <c r="Q799">
        <v>4604.3572700000004</v>
      </c>
      <c r="R799">
        <v>4633.7205700000004</v>
      </c>
      <c r="S799">
        <v>4660.3093399999998</v>
      </c>
      <c r="V799">
        <v>4569.4174999999996</v>
      </c>
      <c r="W799">
        <v>4535.8525099999997</v>
      </c>
      <c r="AB799">
        <v>4576.8773099999999</v>
      </c>
      <c r="AC799">
        <v>4580.3300900000004</v>
      </c>
      <c r="AD799">
        <v>0</v>
      </c>
      <c r="AK799">
        <v>797</v>
      </c>
      <c r="AL799">
        <v>796</v>
      </c>
      <c r="AM799">
        <v>4578.72</v>
      </c>
      <c r="AN799">
        <v>4604.3572999999997</v>
      </c>
      <c r="AO799">
        <v>-25.6373</v>
      </c>
      <c r="AP799">
        <v>657.26959999999997</v>
      </c>
      <c r="AQ799">
        <v>-0.38764199999999999</v>
      </c>
      <c r="AR799">
        <v>0.28264499999999998</v>
      </c>
      <c r="AY799">
        <v>797</v>
      </c>
      <c r="AZ799">
        <v>796</v>
      </c>
      <c r="BA799">
        <v>4578.72</v>
      </c>
      <c r="BB799">
        <v>4604.3572999999997</v>
      </c>
      <c r="BC799">
        <v>-25.6373</v>
      </c>
      <c r="BD799">
        <v>657.26959999999997</v>
      </c>
      <c r="BE799">
        <v>633616</v>
      </c>
    </row>
    <row r="800" spans="1:57" x14ac:dyDescent="0.55000000000000004">
      <c r="A800">
        <v>1777446902</v>
      </c>
      <c r="B800" t="s">
        <v>72</v>
      </c>
      <c r="C800" t="s">
        <v>73</v>
      </c>
      <c r="D800">
        <v>4575.1099999999997</v>
      </c>
      <c r="E800">
        <v>4518.5928199999998</v>
      </c>
      <c r="F800">
        <v>4596.0559499999999</v>
      </c>
      <c r="G800">
        <v>4755.40355</v>
      </c>
      <c r="H800">
        <v>4792.7697200000002</v>
      </c>
      <c r="Q800">
        <v>4604.0896700000003</v>
      </c>
      <c r="R800">
        <v>4633.4529700000003</v>
      </c>
      <c r="S800">
        <v>4660.0417399999997</v>
      </c>
      <c r="V800">
        <v>4569.1499000000003</v>
      </c>
      <c r="W800">
        <v>4535.5848999999998</v>
      </c>
      <c r="AB800">
        <v>4573.9874900000004</v>
      </c>
      <c r="AC800">
        <v>4577.1587900000004</v>
      </c>
      <c r="AD800">
        <v>0</v>
      </c>
      <c r="AK800">
        <v>798</v>
      </c>
      <c r="AL800">
        <v>797</v>
      </c>
      <c r="AM800">
        <v>4575.1099999999997</v>
      </c>
      <c r="AN800">
        <v>4604.0897000000004</v>
      </c>
      <c r="AO800">
        <v>-28.979700000000001</v>
      </c>
      <c r="AP800">
        <v>839.82129999999995</v>
      </c>
      <c r="AQ800">
        <v>-0.55988099999999996</v>
      </c>
      <c r="AR800">
        <v>0.461453</v>
      </c>
      <c r="AY800">
        <v>798</v>
      </c>
      <c r="AZ800">
        <v>797</v>
      </c>
      <c r="BA800">
        <v>4575.1099999999997</v>
      </c>
      <c r="BB800">
        <v>4604.0897000000004</v>
      </c>
      <c r="BC800">
        <v>-28.979700000000001</v>
      </c>
      <c r="BD800">
        <v>839.82129999999995</v>
      </c>
      <c r="BE800">
        <v>635209</v>
      </c>
    </row>
    <row r="801" spans="1:57" x14ac:dyDescent="0.55000000000000004">
      <c r="A801">
        <v>1777447802</v>
      </c>
      <c r="B801" t="s">
        <v>72</v>
      </c>
      <c r="C801" t="s">
        <v>73</v>
      </c>
      <c r="D801">
        <v>4570.5600000000004</v>
      </c>
      <c r="E801">
        <v>4518.5928199999998</v>
      </c>
      <c r="F801">
        <v>4596.0559499999999</v>
      </c>
      <c r="G801">
        <v>4755.40355</v>
      </c>
      <c r="H801">
        <v>4792.7697200000002</v>
      </c>
      <c r="Q801">
        <v>4603.8220600000004</v>
      </c>
      <c r="R801">
        <v>4633.1853600000004</v>
      </c>
      <c r="S801">
        <v>4659.7741299999998</v>
      </c>
      <c r="V801">
        <v>4568.8822899999996</v>
      </c>
      <c r="W801">
        <v>4535.3172999999997</v>
      </c>
      <c r="AB801">
        <v>4571.7233699999997</v>
      </c>
      <c r="AC801">
        <v>4574.4410799999996</v>
      </c>
      <c r="AD801">
        <v>0</v>
      </c>
      <c r="AK801">
        <v>799</v>
      </c>
      <c r="AL801">
        <v>798</v>
      </c>
      <c r="AM801">
        <v>4570.5600000000004</v>
      </c>
      <c r="AN801">
        <v>4603.8221000000003</v>
      </c>
      <c r="AO801">
        <v>-33.262099999999997</v>
      </c>
      <c r="AP801">
        <v>1106.3646000000001</v>
      </c>
      <c r="AQ801">
        <v>-0.84657000000000004</v>
      </c>
      <c r="AR801">
        <v>0.80084900000000003</v>
      </c>
      <c r="AY801">
        <v>799</v>
      </c>
      <c r="AZ801">
        <v>798</v>
      </c>
      <c r="BA801">
        <v>4570.5600000000004</v>
      </c>
      <c r="BB801">
        <v>4603.8221000000003</v>
      </c>
      <c r="BC801">
        <v>-33.262099999999997</v>
      </c>
      <c r="BD801">
        <v>1106.3646000000001</v>
      </c>
      <c r="BE801">
        <v>636804</v>
      </c>
    </row>
    <row r="802" spans="1:57" x14ac:dyDescent="0.55000000000000004">
      <c r="A802">
        <v>1777448702</v>
      </c>
      <c r="B802" t="s">
        <v>72</v>
      </c>
      <c r="C802" t="s">
        <v>73</v>
      </c>
      <c r="D802">
        <v>4567.92</v>
      </c>
      <c r="E802">
        <v>4518.5928199999998</v>
      </c>
      <c r="F802">
        <v>4596.0559499999999</v>
      </c>
      <c r="G802">
        <v>4755.40355</v>
      </c>
      <c r="H802">
        <v>4792.7697200000002</v>
      </c>
      <c r="Q802">
        <v>4603.5544600000003</v>
      </c>
      <c r="R802">
        <v>4632.9177600000003</v>
      </c>
      <c r="S802">
        <v>4659.5065299999997</v>
      </c>
      <c r="V802">
        <v>4568.6146900000003</v>
      </c>
      <c r="W802">
        <v>4535.0496899999998</v>
      </c>
      <c r="AB802">
        <v>4570.1388399999996</v>
      </c>
      <c r="AC802">
        <v>4572.2899600000001</v>
      </c>
      <c r="AD802">
        <v>0</v>
      </c>
      <c r="AK802">
        <v>800</v>
      </c>
      <c r="AL802">
        <v>799</v>
      </c>
      <c r="AM802">
        <v>4567.92</v>
      </c>
      <c r="AN802">
        <v>4603.5545000000002</v>
      </c>
      <c r="AO802">
        <v>-35.634500000000003</v>
      </c>
      <c r="AP802">
        <v>1269.8146999999999</v>
      </c>
      <c r="AQ802">
        <v>-1.0409409999999999</v>
      </c>
      <c r="AR802">
        <v>1.0549569999999999</v>
      </c>
      <c r="AY802">
        <v>800</v>
      </c>
      <c r="AZ802">
        <v>799</v>
      </c>
      <c r="BA802">
        <v>4567.92</v>
      </c>
      <c r="BB802">
        <v>4603.5545000000002</v>
      </c>
      <c r="BC802">
        <v>-35.634500000000003</v>
      </c>
      <c r="BD802">
        <v>1269.8146999999999</v>
      </c>
      <c r="BE802">
        <v>638401</v>
      </c>
    </row>
    <row r="803" spans="1:57" x14ac:dyDescent="0.55000000000000004">
      <c r="A803">
        <v>1777449602</v>
      </c>
      <c r="B803" t="s">
        <v>72</v>
      </c>
      <c r="C803" t="s">
        <v>73</v>
      </c>
      <c r="D803">
        <v>4565.4399999999996</v>
      </c>
      <c r="E803">
        <v>4518.5928199999998</v>
      </c>
      <c r="F803">
        <v>4596.0559499999999</v>
      </c>
      <c r="G803">
        <v>4755.40355</v>
      </c>
      <c r="H803">
        <v>4792.7697200000002</v>
      </c>
      <c r="Q803">
        <v>4603.2868600000002</v>
      </c>
      <c r="R803">
        <v>4632.6501500000004</v>
      </c>
      <c r="S803">
        <v>4659.2389300000004</v>
      </c>
      <c r="V803">
        <v>4568.3470900000002</v>
      </c>
      <c r="W803">
        <v>4534.7820899999997</v>
      </c>
      <c r="AB803">
        <v>4569.1603299999997</v>
      </c>
      <c r="AC803">
        <v>4570.7251500000002</v>
      </c>
      <c r="AD803">
        <v>0</v>
      </c>
      <c r="AK803">
        <v>801</v>
      </c>
      <c r="AL803">
        <v>800</v>
      </c>
      <c r="AM803">
        <v>4565.4399999999996</v>
      </c>
      <c r="AN803">
        <v>4603.2869000000001</v>
      </c>
      <c r="AO803">
        <v>-37.846899999999998</v>
      </c>
      <c r="AP803">
        <v>1432.3848</v>
      </c>
      <c r="AQ803">
        <v>-1.2471110000000001</v>
      </c>
      <c r="AR803">
        <v>1.342374</v>
      </c>
      <c r="AY803">
        <v>801</v>
      </c>
      <c r="AZ803">
        <v>800</v>
      </c>
      <c r="BA803">
        <v>4565.4399999999996</v>
      </c>
      <c r="BB803">
        <v>4603.2869000000001</v>
      </c>
      <c r="BC803">
        <v>-37.846899999999998</v>
      </c>
      <c r="BD803">
        <v>1432.3848</v>
      </c>
      <c r="BE803">
        <v>640000</v>
      </c>
    </row>
    <row r="804" spans="1:57" x14ac:dyDescent="0.55000000000000004">
      <c r="A804">
        <v>1777450502</v>
      </c>
      <c r="B804" t="s">
        <v>72</v>
      </c>
      <c r="C804" t="s">
        <v>73</v>
      </c>
      <c r="D804">
        <v>4566.6499999999996</v>
      </c>
      <c r="E804">
        <v>4518.5928199999998</v>
      </c>
      <c r="F804">
        <v>4596.0559499999999</v>
      </c>
      <c r="G804">
        <v>4755.40355</v>
      </c>
      <c r="H804">
        <v>4792.7697200000002</v>
      </c>
      <c r="Q804">
        <v>4603.0192500000003</v>
      </c>
      <c r="R804">
        <v>4632.3825500000003</v>
      </c>
      <c r="S804">
        <v>4658.9713199999997</v>
      </c>
      <c r="V804">
        <v>4568.0794800000003</v>
      </c>
      <c r="W804">
        <v>4534.5144899999996</v>
      </c>
      <c r="AB804">
        <v>4568.6155699999999</v>
      </c>
      <c r="AC804">
        <v>4569.6703600000001</v>
      </c>
      <c r="AD804">
        <v>0</v>
      </c>
      <c r="AK804">
        <v>802</v>
      </c>
      <c r="AL804">
        <v>801</v>
      </c>
      <c r="AM804">
        <v>4566.6499999999996</v>
      </c>
      <c r="AN804">
        <v>4603.0192999999999</v>
      </c>
      <c r="AO804">
        <v>-36.369300000000003</v>
      </c>
      <c r="AP804">
        <v>1322.7222999999999</v>
      </c>
      <c r="AQ804">
        <v>-1.106671</v>
      </c>
      <c r="AR804">
        <v>1.1447000000000001</v>
      </c>
      <c r="AY804">
        <v>802</v>
      </c>
      <c r="AZ804">
        <v>801</v>
      </c>
      <c r="BA804">
        <v>4566.6499999999996</v>
      </c>
      <c r="BB804">
        <v>4603.0192999999999</v>
      </c>
      <c r="BC804">
        <v>-36.369300000000003</v>
      </c>
      <c r="BD804">
        <v>1322.7222999999999</v>
      </c>
      <c r="BE804">
        <v>641601</v>
      </c>
    </row>
    <row r="805" spans="1:57" x14ac:dyDescent="0.55000000000000004">
      <c r="A805">
        <v>1777451402</v>
      </c>
      <c r="B805" t="s">
        <v>72</v>
      </c>
      <c r="C805" t="s">
        <v>73</v>
      </c>
      <c r="D805">
        <v>4568.37</v>
      </c>
      <c r="E805">
        <v>4518.5928199999998</v>
      </c>
      <c r="F805">
        <v>4596.0559499999999</v>
      </c>
      <c r="G805">
        <v>4755.40355</v>
      </c>
      <c r="H805">
        <v>4792.7697200000002</v>
      </c>
      <c r="Q805">
        <v>4602.7516500000002</v>
      </c>
      <c r="R805">
        <v>4632.1149500000001</v>
      </c>
      <c r="S805">
        <v>4658.7037200000004</v>
      </c>
      <c r="V805">
        <v>4567.8118800000002</v>
      </c>
      <c r="W805">
        <v>4534.2468799999997</v>
      </c>
      <c r="AB805">
        <v>4568.24917</v>
      </c>
      <c r="AC805">
        <v>4568.9597599999997</v>
      </c>
      <c r="AD805">
        <v>0</v>
      </c>
      <c r="AK805">
        <v>803</v>
      </c>
      <c r="AL805">
        <v>802</v>
      </c>
      <c r="AM805">
        <v>4568.37</v>
      </c>
      <c r="AN805">
        <v>4602.7516999999998</v>
      </c>
      <c r="AO805">
        <v>-34.381700000000002</v>
      </c>
      <c r="AP805">
        <v>1182.0979</v>
      </c>
      <c r="AQ805">
        <v>-0.93496599999999996</v>
      </c>
      <c r="AR805">
        <v>0.914242</v>
      </c>
      <c r="AY805">
        <v>803</v>
      </c>
      <c r="AZ805">
        <v>802</v>
      </c>
      <c r="BA805">
        <v>4568.37</v>
      </c>
      <c r="BB805">
        <v>4602.7516999999998</v>
      </c>
      <c r="BC805">
        <v>-34.381700000000002</v>
      </c>
      <c r="BD805">
        <v>1182.0979</v>
      </c>
      <c r="BE805">
        <v>643204</v>
      </c>
    </row>
    <row r="806" spans="1:57" x14ac:dyDescent="0.55000000000000004">
      <c r="A806">
        <v>1777452302</v>
      </c>
      <c r="B806" t="s">
        <v>72</v>
      </c>
      <c r="C806" t="s">
        <v>73</v>
      </c>
      <c r="D806">
        <v>4573.2</v>
      </c>
      <c r="E806">
        <v>4518.5928199999998</v>
      </c>
      <c r="F806">
        <v>4596.0559499999999</v>
      </c>
      <c r="G806">
        <v>4755.40355</v>
      </c>
      <c r="H806">
        <v>4792.7697200000002</v>
      </c>
      <c r="Q806">
        <v>4602.4840400000003</v>
      </c>
      <c r="R806">
        <v>4631.8473400000003</v>
      </c>
      <c r="S806">
        <v>4658.4361099999996</v>
      </c>
      <c r="V806">
        <v>4567.5442700000003</v>
      </c>
      <c r="W806">
        <v>4533.9792799999996</v>
      </c>
      <c r="AB806">
        <v>4567.8281500000003</v>
      </c>
      <c r="AC806">
        <v>4568.3939499999997</v>
      </c>
      <c r="AD806">
        <v>0</v>
      </c>
      <c r="AK806">
        <v>804</v>
      </c>
      <c r="AL806">
        <v>803</v>
      </c>
      <c r="AM806">
        <v>4573.2</v>
      </c>
      <c r="AN806">
        <v>4602.4840000000004</v>
      </c>
      <c r="AO806">
        <v>-29.283999999999999</v>
      </c>
      <c r="AP806">
        <v>857.55499999999995</v>
      </c>
      <c r="AQ806">
        <v>-0.577708</v>
      </c>
      <c r="AR806">
        <v>0.48114699999999999</v>
      </c>
      <c r="AY806">
        <v>804</v>
      </c>
      <c r="AZ806">
        <v>803</v>
      </c>
      <c r="BA806">
        <v>4573.2</v>
      </c>
      <c r="BB806">
        <v>4602.4840000000004</v>
      </c>
      <c r="BC806">
        <v>-29.283999999999999</v>
      </c>
      <c r="BD806">
        <v>857.55499999999995</v>
      </c>
      <c r="BE806">
        <v>644809</v>
      </c>
    </row>
    <row r="807" spans="1:57" x14ac:dyDescent="0.55000000000000004">
      <c r="A807">
        <v>1777453202</v>
      </c>
      <c r="B807" t="s">
        <v>72</v>
      </c>
      <c r="C807" t="s">
        <v>73</v>
      </c>
      <c r="D807">
        <v>4574.2</v>
      </c>
      <c r="E807">
        <v>4518.5928199999998</v>
      </c>
      <c r="F807">
        <v>4596.0559499999999</v>
      </c>
      <c r="G807">
        <v>4755.40355</v>
      </c>
      <c r="H807">
        <v>4792.7697200000002</v>
      </c>
      <c r="Q807">
        <v>4602.2164400000001</v>
      </c>
      <c r="R807">
        <v>4631.5797400000001</v>
      </c>
      <c r="S807">
        <v>4658.1685100000004</v>
      </c>
      <c r="V807">
        <v>4567.2766700000002</v>
      </c>
      <c r="W807">
        <v>4533.7116699999997</v>
      </c>
      <c r="AB807">
        <v>4567.1260300000004</v>
      </c>
      <c r="AC807">
        <v>4567.7599899999996</v>
      </c>
      <c r="AD807">
        <v>0</v>
      </c>
      <c r="AK807">
        <v>805</v>
      </c>
      <c r="AL807">
        <v>804</v>
      </c>
      <c r="AM807">
        <v>4574.2</v>
      </c>
      <c r="AN807">
        <v>4602.2164000000002</v>
      </c>
      <c r="AO807">
        <v>-28.016400000000001</v>
      </c>
      <c r="AP807">
        <v>784.92089999999996</v>
      </c>
      <c r="AQ807">
        <v>-0.505888</v>
      </c>
      <c r="AR807">
        <v>0.40309400000000001</v>
      </c>
      <c r="AY807">
        <v>805</v>
      </c>
      <c r="AZ807">
        <v>804</v>
      </c>
      <c r="BA807">
        <v>4574.2</v>
      </c>
      <c r="BB807">
        <v>4602.2164000000002</v>
      </c>
      <c r="BC807">
        <v>-28.016400000000001</v>
      </c>
      <c r="BD807">
        <v>784.92089999999996</v>
      </c>
      <c r="BE807">
        <v>646416</v>
      </c>
    </row>
    <row r="808" spans="1:57" x14ac:dyDescent="0.55000000000000004">
      <c r="A808">
        <v>1777454102</v>
      </c>
      <c r="B808" t="s">
        <v>72</v>
      </c>
      <c r="C808" t="s">
        <v>73</v>
      </c>
      <c r="D808">
        <v>4565.6899999999996</v>
      </c>
      <c r="E808">
        <v>4518.5928199999998</v>
      </c>
      <c r="F808">
        <v>4596.0559499999999</v>
      </c>
      <c r="G808">
        <v>4755.40355</v>
      </c>
      <c r="H808">
        <v>4792.7697200000002</v>
      </c>
      <c r="Q808">
        <v>4601.94884</v>
      </c>
      <c r="R808">
        <v>4631.3121300000003</v>
      </c>
      <c r="S808">
        <v>4657.9008999999996</v>
      </c>
      <c r="V808">
        <v>4567.0090700000001</v>
      </c>
      <c r="W808">
        <v>4533.4440699999996</v>
      </c>
      <c r="AB808">
        <v>4566.1486599999998</v>
      </c>
      <c r="AC808">
        <v>4566.9543299999996</v>
      </c>
      <c r="AD808">
        <v>0</v>
      </c>
      <c r="AK808">
        <v>806</v>
      </c>
      <c r="AL808">
        <v>805</v>
      </c>
      <c r="AM808">
        <v>4565.6899999999996</v>
      </c>
      <c r="AN808">
        <v>4601.9488000000001</v>
      </c>
      <c r="AO808">
        <v>-36.258800000000001</v>
      </c>
      <c r="AP808">
        <v>1314.7035000000001</v>
      </c>
      <c r="AQ808">
        <v>-1.0966229999999999</v>
      </c>
      <c r="AR808">
        <v>1.130862</v>
      </c>
      <c r="AY808">
        <v>806</v>
      </c>
      <c r="AZ808">
        <v>805</v>
      </c>
      <c r="BA808">
        <v>4565.6899999999996</v>
      </c>
      <c r="BB808">
        <v>4601.9488000000001</v>
      </c>
      <c r="BC808">
        <v>-36.258800000000001</v>
      </c>
      <c r="BD808">
        <v>1314.7035000000001</v>
      </c>
      <c r="BE808">
        <v>648025</v>
      </c>
    </row>
    <row r="809" spans="1:57" x14ac:dyDescent="0.55000000000000004">
      <c r="A809">
        <v>1777455002</v>
      </c>
      <c r="B809" t="s">
        <v>72</v>
      </c>
      <c r="C809" t="s">
        <v>73</v>
      </c>
      <c r="D809">
        <v>4558.8599999999997</v>
      </c>
      <c r="E809">
        <v>4518.5928199999998</v>
      </c>
      <c r="F809">
        <v>4596.0559499999999</v>
      </c>
      <c r="G809">
        <v>4755.40355</v>
      </c>
      <c r="H809">
        <v>4792.7697200000002</v>
      </c>
      <c r="Q809">
        <v>4601.6812300000001</v>
      </c>
      <c r="R809">
        <v>4631.0445300000001</v>
      </c>
      <c r="S809">
        <v>4657.6333000000004</v>
      </c>
      <c r="V809">
        <v>4566.7414600000002</v>
      </c>
      <c r="W809">
        <v>4533.1764599999997</v>
      </c>
      <c r="AB809">
        <v>4565.2868799999997</v>
      </c>
      <c r="AC809">
        <v>4566.1206000000002</v>
      </c>
      <c r="AD809">
        <v>0</v>
      </c>
      <c r="AK809">
        <v>807</v>
      </c>
      <c r="AL809">
        <v>806</v>
      </c>
      <c r="AM809">
        <v>4558.8599999999997</v>
      </c>
      <c r="AN809">
        <v>4601.6812</v>
      </c>
      <c r="AO809">
        <v>-42.821199999999997</v>
      </c>
      <c r="AP809">
        <v>1833.6577</v>
      </c>
      <c r="AQ809">
        <v>-1.8063130000000001</v>
      </c>
      <c r="AR809">
        <v>2.1998380000000002</v>
      </c>
      <c r="AY809">
        <v>807</v>
      </c>
      <c r="AZ809">
        <v>806</v>
      </c>
      <c r="BA809">
        <v>4558.8599999999997</v>
      </c>
      <c r="BB809">
        <v>4601.6812</v>
      </c>
      <c r="BC809">
        <v>-42.821199999999997</v>
      </c>
      <c r="BD809">
        <v>1833.6577</v>
      </c>
      <c r="BE809">
        <v>649636</v>
      </c>
    </row>
    <row r="810" spans="1:57" x14ac:dyDescent="0.55000000000000004">
      <c r="A810">
        <v>1777455902</v>
      </c>
      <c r="B810" t="s">
        <v>72</v>
      </c>
      <c r="C810" t="s">
        <v>73</v>
      </c>
      <c r="D810">
        <v>4555.9399999999996</v>
      </c>
      <c r="E810">
        <v>4518.5928199999998</v>
      </c>
      <c r="F810">
        <v>4596.0559499999999</v>
      </c>
      <c r="G810">
        <v>4755.40355</v>
      </c>
      <c r="H810">
        <v>4792.7697200000002</v>
      </c>
      <c r="Q810">
        <v>4601.41363</v>
      </c>
      <c r="R810">
        <v>4630.77693</v>
      </c>
      <c r="S810">
        <v>4657.3657000000003</v>
      </c>
      <c r="V810">
        <v>4566.4738600000001</v>
      </c>
      <c r="W810">
        <v>4532.9088599999995</v>
      </c>
      <c r="AB810">
        <v>4564.8613500000001</v>
      </c>
      <c r="AC810">
        <v>4565.4909799999996</v>
      </c>
      <c r="AD810">
        <v>0</v>
      </c>
      <c r="AK810">
        <v>808</v>
      </c>
      <c r="AL810">
        <v>807</v>
      </c>
      <c r="AM810">
        <v>4555.9399999999996</v>
      </c>
      <c r="AN810">
        <v>4601.4135999999999</v>
      </c>
      <c r="AO810">
        <v>-45.473599999999998</v>
      </c>
      <c r="AP810">
        <v>2067.8510000000001</v>
      </c>
      <c r="AQ810">
        <v>-2.163189</v>
      </c>
      <c r="AR810">
        <v>2.7976450000000002</v>
      </c>
      <c r="AY810">
        <v>808</v>
      </c>
      <c r="AZ810">
        <v>807</v>
      </c>
      <c r="BA810">
        <v>4555.9399999999996</v>
      </c>
      <c r="BB810">
        <v>4601.4135999999999</v>
      </c>
      <c r="BC810">
        <v>-45.473599999999998</v>
      </c>
      <c r="BD810">
        <v>2067.8510000000001</v>
      </c>
      <c r="BE810">
        <v>651249</v>
      </c>
    </row>
    <row r="811" spans="1:57" x14ac:dyDescent="0.55000000000000004">
      <c r="A811">
        <v>1777456802</v>
      </c>
      <c r="B811" t="s">
        <v>72</v>
      </c>
      <c r="C811" t="s">
        <v>73</v>
      </c>
      <c r="D811">
        <v>4568.04</v>
      </c>
      <c r="E811">
        <v>4518.5928199999998</v>
      </c>
      <c r="F811">
        <v>4596.0559499999999</v>
      </c>
      <c r="G811">
        <v>4755.40355</v>
      </c>
      <c r="H811">
        <v>4792.7697200000002</v>
      </c>
      <c r="Q811">
        <v>4601.1460200000001</v>
      </c>
      <c r="R811">
        <v>4630.5093200000001</v>
      </c>
      <c r="S811">
        <v>4657.0980900000004</v>
      </c>
      <c r="V811">
        <v>4566.2062500000002</v>
      </c>
      <c r="W811">
        <v>4532.6412600000003</v>
      </c>
      <c r="AB811">
        <v>4565.07204</v>
      </c>
      <c r="AC811">
        <v>4565.2815099999998</v>
      </c>
      <c r="AD811">
        <v>0</v>
      </c>
      <c r="AK811">
        <v>809</v>
      </c>
      <c r="AL811">
        <v>808</v>
      </c>
      <c r="AM811">
        <v>4568.04</v>
      </c>
      <c r="AN811">
        <v>4601.1459999999997</v>
      </c>
      <c r="AO811">
        <v>-33.106000000000002</v>
      </c>
      <c r="AP811">
        <v>1096.0085999999999</v>
      </c>
      <c r="AQ811">
        <v>-0.83471200000000001</v>
      </c>
      <c r="AR811">
        <v>0.78592700000000004</v>
      </c>
      <c r="AY811">
        <v>809</v>
      </c>
      <c r="AZ811">
        <v>808</v>
      </c>
      <c r="BA811">
        <v>4568.04</v>
      </c>
      <c r="BB811">
        <v>4601.1459999999997</v>
      </c>
      <c r="BC811">
        <v>-33.106000000000002</v>
      </c>
      <c r="BD811">
        <v>1096.0085999999999</v>
      </c>
      <c r="BE811">
        <v>652864</v>
      </c>
    </row>
    <row r="812" spans="1:57" x14ac:dyDescent="0.55000000000000004">
      <c r="A812">
        <v>1777457702</v>
      </c>
      <c r="B812" t="s">
        <v>72</v>
      </c>
      <c r="C812" t="s">
        <v>73</v>
      </c>
      <c r="D812">
        <v>4571.78</v>
      </c>
      <c r="E812">
        <v>4518.5928199999998</v>
      </c>
      <c r="F812">
        <v>4596.0559499999999</v>
      </c>
      <c r="G812">
        <v>4755.40355</v>
      </c>
      <c r="H812">
        <v>4792.7697200000002</v>
      </c>
      <c r="Q812">
        <v>4600.87842</v>
      </c>
      <c r="R812">
        <v>4630.24172</v>
      </c>
      <c r="S812">
        <v>4656.8304900000003</v>
      </c>
      <c r="V812">
        <v>4565.9386500000001</v>
      </c>
      <c r="W812">
        <v>4532.3736500000005</v>
      </c>
      <c r="AB812">
        <v>4565.6078900000002</v>
      </c>
      <c r="AC812">
        <v>4565.4447</v>
      </c>
      <c r="AD812">
        <v>1</v>
      </c>
      <c r="AK812">
        <v>810</v>
      </c>
      <c r="AL812">
        <v>809</v>
      </c>
      <c r="AM812">
        <v>4571.78</v>
      </c>
      <c r="AN812">
        <v>4600.8783999999996</v>
      </c>
      <c r="AO812">
        <v>-29.098400000000002</v>
      </c>
      <c r="AP812">
        <v>846.71799999999996</v>
      </c>
      <c r="AQ812">
        <v>-0.56679199999999996</v>
      </c>
      <c r="AR812">
        <v>0.46906399999999998</v>
      </c>
      <c r="AY812">
        <v>810</v>
      </c>
      <c r="AZ812">
        <v>809</v>
      </c>
      <c r="BA812">
        <v>4571.78</v>
      </c>
      <c r="BB812">
        <v>4600.8783999999996</v>
      </c>
      <c r="BC812">
        <v>-29.098400000000002</v>
      </c>
      <c r="BD812">
        <v>846.71799999999996</v>
      </c>
      <c r="BE812">
        <v>654481</v>
      </c>
    </row>
    <row r="813" spans="1:57" x14ac:dyDescent="0.55000000000000004">
      <c r="A813">
        <v>1777458602</v>
      </c>
      <c r="B813" t="s">
        <v>72</v>
      </c>
      <c r="C813" t="s">
        <v>73</v>
      </c>
      <c r="D813">
        <v>4566.3599999999997</v>
      </c>
      <c r="E813">
        <v>4518.5928199999998</v>
      </c>
      <c r="F813">
        <v>4596.0559499999999</v>
      </c>
      <c r="G813">
        <v>4755.40355</v>
      </c>
      <c r="H813">
        <v>4792.7697200000002</v>
      </c>
      <c r="Q813">
        <v>4600.6108100000001</v>
      </c>
      <c r="R813">
        <v>4629.9741100000001</v>
      </c>
      <c r="S813">
        <v>4656.5628800000004</v>
      </c>
      <c r="V813">
        <v>4565.6710400000002</v>
      </c>
      <c r="W813">
        <v>4532.1060500000003</v>
      </c>
      <c r="AB813">
        <v>4566.29792</v>
      </c>
      <c r="AC813">
        <v>4565.8713100000004</v>
      </c>
      <c r="AD813">
        <v>0</v>
      </c>
      <c r="AK813">
        <v>811</v>
      </c>
      <c r="AL813">
        <v>810</v>
      </c>
      <c r="AM813">
        <v>4566.3599999999997</v>
      </c>
      <c r="AN813">
        <v>4600.6108000000004</v>
      </c>
      <c r="AO813">
        <v>-34.250799999999998</v>
      </c>
      <c r="AP813">
        <v>1173.1179999999999</v>
      </c>
      <c r="AQ813">
        <v>-0.92433200000000004</v>
      </c>
      <c r="AR813">
        <v>0.90040399999999998</v>
      </c>
      <c r="AY813">
        <v>811</v>
      </c>
      <c r="AZ813">
        <v>810</v>
      </c>
      <c r="BA813">
        <v>4566.3599999999997</v>
      </c>
      <c r="BB813">
        <v>4600.6108000000004</v>
      </c>
      <c r="BC813">
        <v>-34.250799999999998</v>
      </c>
      <c r="BD813">
        <v>1173.1179999999999</v>
      </c>
      <c r="BE813">
        <v>656100</v>
      </c>
    </row>
    <row r="814" spans="1:57" x14ac:dyDescent="0.55000000000000004">
      <c r="A814">
        <v>1777459502</v>
      </c>
      <c r="B814" t="s">
        <v>72</v>
      </c>
      <c r="C814" t="s">
        <v>73</v>
      </c>
      <c r="D814">
        <v>4569.9799999999996</v>
      </c>
      <c r="E814">
        <v>4518.5928199999998</v>
      </c>
      <c r="F814">
        <v>4596.0559499999999</v>
      </c>
      <c r="G814">
        <v>4755.40355</v>
      </c>
      <c r="H814">
        <v>4792.7697200000002</v>
      </c>
      <c r="Q814">
        <v>4600.34321</v>
      </c>
      <c r="R814">
        <v>4629.70651</v>
      </c>
      <c r="S814">
        <v>4656.2952800000003</v>
      </c>
      <c r="V814">
        <v>4565.40344</v>
      </c>
      <c r="W814">
        <v>4531.8384400000004</v>
      </c>
      <c r="AB814">
        <v>4567.1635399999996</v>
      </c>
      <c r="AC814">
        <v>4566.5174200000001</v>
      </c>
      <c r="AD814">
        <v>0</v>
      </c>
      <c r="AK814">
        <v>812</v>
      </c>
      <c r="AL814">
        <v>811</v>
      </c>
      <c r="AM814">
        <v>4569.9799999999996</v>
      </c>
      <c r="AN814">
        <v>4600.3432000000003</v>
      </c>
      <c r="AO814">
        <v>-30.363199999999999</v>
      </c>
      <c r="AP814">
        <v>921.92449999999997</v>
      </c>
      <c r="AQ814">
        <v>-0.64395999999999998</v>
      </c>
      <c r="AR814">
        <v>0.55608999999999997</v>
      </c>
      <c r="AY814">
        <v>812</v>
      </c>
      <c r="AZ814">
        <v>811</v>
      </c>
      <c r="BA814">
        <v>4569.9799999999996</v>
      </c>
      <c r="BB814">
        <v>4600.3432000000003</v>
      </c>
      <c r="BC814">
        <v>-30.363199999999999</v>
      </c>
      <c r="BD814">
        <v>921.92449999999997</v>
      </c>
      <c r="BE814">
        <v>657721</v>
      </c>
    </row>
    <row r="815" spans="1:57" x14ac:dyDescent="0.55000000000000004">
      <c r="A815">
        <v>1777460402</v>
      </c>
      <c r="B815" t="s">
        <v>72</v>
      </c>
      <c r="C815" t="s">
        <v>73</v>
      </c>
      <c r="D815">
        <v>4568.0200000000004</v>
      </c>
      <c r="E815">
        <v>4518.5928199999998</v>
      </c>
      <c r="F815">
        <v>4596.0559499999999</v>
      </c>
      <c r="G815">
        <v>4755.40355</v>
      </c>
      <c r="H815">
        <v>4792.7697200000002</v>
      </c>
      <c r="Q815">
        <v>4600.0756099999999</v>
      </c>
      <c r="R815">
        <v>4629.4389099999999</v>
      </c>
      <c r="S815">
        <v>4656.0276800000001</v>
      </c>
      <c r="V815">
        <v>4565.1358399999999</v>
      </c>
      <c r="W815">
        <v>4531.5708400000003</v>
      </c>
      <c r="AB815">
        <v>4567.8545599999998</v>
      </c>
      <c r="AC815">
        <v>4567.1859899999999</v>
      </c>
      <c r="AD815">
        <v>0</v>
      </c>
      <c r="AK815">
        <v>813</v>
      </c>
      <c r="AL815">
        <v>812</v>
      </c>
      <c r="AM815">
        <v>4568.0200000000004</v>
      </c>
      <c r="AN815">
        <v>4600.0756000000001</v>
      </c>
      <c r="AO815">
        <v>-32.055599999999998</v>
      </c>
      <c r="AP815">
        <v>1027.5621000000001</v>
      </c>
      <c r="AQ815">
        <v>-0.75775300000000001</v>
      </c>
      <c r="AR815">
        <v>0.69082900000000003</v>
      </c>
      <c r="AY815">
        <v>813</v>
      </c>
      <c r="AZ815">
        <v>812</v>
      </c>
      <c r="BA815">
        <v>4568.0200000000004</v>
      </c>
      <c r="BB815">
        <v>4600.0756000000001</v>
      </c>
      <c r="BC815">
        <v>-32.055599999999998</v>
      </c>
      <c r="BD815">
        <v>1027.5621000000001</v>
      </c>
      <c r="BE815">
        <v>659344</v>
      </c>
    </row>
    <row r="816" spans="1:57" x14ac:dyDescent="0.55000000000000004">
      <c r="A816">
        <v>1777461302</v>
      </c>
      <c r="B816" t="s">
        <v>72</v>
      </c>
      <c r="C816" t="s">
        <v>73</v>
      </c>
      <c r="D816">
        <v>4564.76</v>
      </c>
      <c r="E816">
        <v>4518.5928199999998</v>
      </c>
      <c r="F816">
        <v>4596.0559499999999</v>
      </c>
      <c r="G816">
        <v>4755.40355</v>
      </c>
      <c r="H816">
        <v>4792.7697200000002</v>
      </c>
      <c r="Q816">
        <v>4599.808</v>
      </c>
      <c r="R816">
        <v>4629.1713</v>
      </c>
      <c r="S816">
        <v>4655.7600700000003</v>
      </c>
      <c r="V816">
        <v>4564.86823</v>
      </c>
      <c r="W816">
        <v>4531.3032400000002</v>
      </c>
      <c r="AB816">
        <v>4568.1324000000004</v>
      </c>
      <c r="AC816">
        <v>4567.6591900000003</v>
      </c>
      <c r="AD816">
        <v>0</v>
      </c>
      <c r="AK816">
        <v>814</v>
      </c>
      <c r="AL816">
        <v>813</v>
      </c>
      <c r="AM816">
        <v>4564.76</v>
      </c>
      <c r="AN816">
        <v>4599.808</v>
      </c>
      <c r="AO816">
        <v>-35.048000000000002</v>
      </c>
      <c r="AP816">
        <v>1228.3623</v>
      </c>
      <c r="AQ816">
        <v>-0.99038800000000005</v>
      </c>
      <c r="AR816">
        <v>0.98720399999999997</v>
      </c>
      <c r="AY816">
        <v>814</v>
      </c>
      <c r="AZ816">
        <v>813</v>
      </c>
      <c r="BA816">
        <v>4564.76</v>
      </c>
      <c r="BB816">
        <v>4599.808</v>
      </c>
      <c r="BC816">
        <v>-35.048000000000002</v>
      </c>
      <c r="BD816">
        <v>1228.3623</v>
      </c>
      <c r="BE816">
        <v>660969</v>
      </c>
    </row>
    <row r="817" spans="1:57" x14ac:dyDescent="0.55000000000000004">
      <c r="A817">
        <v>1777462202</v>
      </c>
      <c r="B817" t="s">
        <v>72</v>
      </c>
      <c r="C817" t="s">
        <v>73</v>
      </c>
      <c r="D817">
        <v>4567.03</v>
      </c>
      <c r="E817">
        <v>4518.5928199999998</v>
      </c>
      <c r="F817">
        <v>4596.0559499999999</v>
      </c>
      <c r="G817">
        <v>4755.40355</v>
      </c>
      <c r="H817">
        <v>4792.7697200000002</v>
      </c>
      <c r="Q817">
        <v>4599.5403999999999</v>
      </c>
      <c r="R817">
        <v>4628.9036999999998</v>
      </c>
      <c r="S817">
        <v>4655.4924700000001</v>
      </c>
      <c r="V817">
        <v>4564.6006299999999</v>
      </c>
      <c r="W817">
        <v>4531.0356300000003</v>
      </c>
      <c r="AB817">
        <v>4567.6928099999996</v>
      </c>
      <c r="AC817">
        <v>4567.6760000000004</v>
      </c>
      <c r="AD817">
        <v>0</v>
      </c>
      <c r="AK817">
        <v>815</v>
      </c>
      <c r="AL817">
        <v>814</v>
      </c>
      <c r="AM817">
        <v>4567.03</v>
      </c>
      <c r="AN817">
        <v>4599.5403999999999</v>
      </c>
      <c r="AO817">
        <v>-32.510399999999997</v>
      </c>
      <c r="AP817">
        <v>1056.9260999999999</v>
      </c>
      <c r="AQ817">
        <v>-0.79046499999999997</v>
      </c>
      <c r="AR817">
        <v>0.73087500000000005</v>
      </c>
      <c r="AY817">
        <v>815</v>
      </c>
      <c r="AZ817">
        <v>814</v>
      </c>
      <c r="BA817">
        <v>4567.03</v>
      </c>
      <c r="BB817">
        <v>4599.5403999999999</v>
      </c>
      <c r="BC817">
        <v>-32.510399999999997</v>
      </c>
      <c r="BD817">
        <v>1056.9260999999999</v>
      </c>
      <c r="BE817">
        <v>662596</v>
      </c>
    </row>
    <row r="818" spans="1:57" x14ac:dyDescent="0.55000000000000004">
      <c r="A818">
        <v>1777463102</v>
      </c>
      <c r="B818" t="s">
        <v>72</v>
      </c>
      <c r="C818" t="s">
        <v>73</v>
      </c>
      <c r="D818">
        <v>4561.87</v>
      </c>
      <c r="E818">
        <v>4518.5928199999998</v>
      </c>
      <c r="F818">
        <v>4596.0559499999999</v>
      </c>
      <c r="G818">
        <v>4755.40355</v>
      </c>
      <c r="H818">
        <v>4792.7697200000002</v>
      </c>
      <c r="Q818">
        <v>4599.27279</v>
      </c>
      <c r="R818">
        <v>4628.63609</v>
      </c>
      <c r="S818">
        <v>4655.2248600000003</v>
      </c>
      <c r="V818">
        <v>4564.33302</v>
      </c>
      <c r="W818">
        <v>4530.7680300000002</v>
      </c>
      <c r="AB818">
        <v>4566.1014500000001</v>
      </c>
      <c r="AC818">
        <v>4566.8887299999997</v>
      </c>
      <c r="AD818">
        <v>1</v>
      </c>
      <c r="AK818">
        <v>816</v>
      </c>
      <c r="AL818">
        <v>815</v>
      </c>
      <c r="AM818">
        <v>4561.87</v>
      </c>
      <c r="AN818">
        <v>4599.2727999999997</v>
      </c>
      <c r="AO818">
        <v>-37.402799999999999</v>
      </c>
      <c r="AP818">
        <v>1398.9686999999999</v>
      </c>
      <c r="AQ818">
        <v>-1.2037260000000001</v>
      </c>
      <c r="AR818">
        <v>1.2804720000000001</v>
      </c>
      <c r="AY818">
        <v>816</v>
      </c>
      <c r="AZ818">
        <v>815</v>
      </c>
      <c r="BA818">
        <v>4561.87</v>
      </c>
      <c r="BB818">
        <v>4599.2727999999997</v>
      </c>
      <c r="BC818">
        <v>-37.402799999999999</v>
      </c>
      <c r="BD818">
        <v>1398.9686999999999</v>
      </c>
      <c r="BE818">
        <v>664225</v>
      </c>
    </row>
    <row r="819" spans="1:57" x14ac:dyDescent="0.55000000000000004">
      <c r="A819">
        <v>1777464002</v>
      </c>
      <c r="B819" t="s">
        <v>72</v>
      </c>
      <c r="C819" t="s">
        <v>73</v>
      </c>
      <c r="D819">
        <v>4564.41</v>
      </c>
      <c r="E819">
        <v>4518.5928199999998</v>
      </c>
      <c r="F819">
        <v>4596.0559499999999</v>
      </c>
      <c r="G819">
        <v>4755.40355</v>
      </c>
      <c r="H819">
        <v>4792.7697200000002</v>
      </c>
      <c r="Q819">
        <v>4599.0051899999999</v>
      </c>
      <c r="R819">
        <v>4628.3684899999998</v>
      </c>
      <c r="S819">
        <v>4654.9572600000001</v>
      </c>
      <c r="V819">
        <v>4564.0654199999999</v>
      </c>
      <c r="W819">
        <v>4530.5004200000003</v>
      </c>
      <c r="AB819">
        <v>4563.2493599999998</v>
      </c>
      <c r="AC819">
        <v>4565.0690400000003</v>
      </c>
      <c r="AD819">
        <v>0</v>
      </c>
      <c r="AK819">
        <v>817</v>
      </c>
      <c r="AL819">
        <v>816</v>
      </c>
      <c r="AM819">
        <v>4564.41</v>
      </c>
      <c r="AN819">
        <v>4599.0051999999996</v>
      </c>
      <c r="AO819">
        <v>-34.595199999999998</v>
      </c>
      <c r="AP819">
        <v>1196.8271999999999</v>
      </c>
      <c r="AQ819">
        <v>-0.95249499999999998</v>
      </c>
      <c r="AR819">
        <v>0.93716699999999997</v>
      </c>
      <c r="AY819">
        <v>817</v>
      </c>
      <c r="AZ819">
        <v>816</v>
      </c>
      <c r="BA819">
        <v>4564.41</v>
      </c>
      <c r="BB819">
        <v>4599.0051999999996</v>
      </c>
      <c r="BC819">
        <v>-34.595199999999998</v>
      </c>
      <c r="BD819">
        <v>1196.8271999999999</v>
      </c>
      <c r="BE819">
        <v>665856</v>
      </c>
    </row>
    <row r="820" spans="1:57" x14ac:dyDescent="0.55000000000000004">
      <c r="A820">
        <v>1777464902</v>
      </c>
      <c r="B820" t="s">
        <v>72</v>
      </c>
      <c r="C820" t="s">
        <v>73</v>
      </c>
      <c r="D820">
        <v>4559.3999999999996</v>
      </c>
      <c r="E820">
        <v>4518.5928199999998</v>
      </c>
      <c r="F820">
        <v>4596.0559499999999</v>
      </c>
      <c r="G820">
        <v>4755.40355</v>
      </c>
      <c r="H820">
        <v>4792.7697200000002</v>
      </c>
      <c r="Q820">
        <v>4598.7375899999997</v>
      </c>
      <c r="R820">
        <v>4628.1008899999997</v>
      </c>
      <c r="S820">
        <v>4654.68966</v>
      </c>
      <c r="V820">
        <v>4563.7978199999998</v>
      </c>
      <c r="W820">
        <v>4530.2328200000002</v>
      </c>
      <c r="AB820">
        <v>4558.9606999999996</v>
      </c>
      <c r="AC820">
        <v>4562.01487</v>
      </c>
      <c r="AD820">
        <v>0</v>
      </c>
      <c r="AK820">
        <v>818</v>
      </c>
      <c r="AL820">
        <v>817</v>
      </c>
      <c r="AM820">
        <v>4559.3999999999996</v>
      </c>
      <c r="AN820">
        <v>4598.7376000000004</v>
      </c>
      <c r="AO820">
        <v>-39.337600000000002</v>
      </c>
      <c r="AP820">
        <v>1547.4459999999999</v>
      </c>
      <c r="AQ820">
        <v>-1.4003570000000001</v>
      </c>
      <c r="AR820">
        <v>1.566697</v>
      </c>
      <c r="AY820">
        <v>818</v>
      </c>
      <c r="AZ820">
        <v>817</v>
      </c>
      <c r="BA820">
        <v>4559.3999999999996</v>
      </c>
      <c r="BB820">
        <v>4598.7376000000004</v>
      </c>
      <c r="BC820">
        <v>-39.337600000000002</v>
      </c>
      <c r="BD820">
        <v>1547.4459999999999</v>
      </c>
      <c r="BE820">
        <v>667489</v>
      </c>
    </row>
    <row r="821" spans="1:57" x14ac:dyDescent="0.55000000000000004">
      <c r="A821">
        <v>1777465802</v>
      </c>
      <c r="B821" t="s">
        <v>72</v>
      </c>
      <c r="C821" t="s">
        <v>73</v>
      </c>
      <c r="D821">
        <v>4557.62</v>
      </c>
      <c r="E821">
        <v>4518.5928199999998</v>
      </c>
      <c r="F821">
        <v>4596.0559499999999</v>
      </c>
      <c r="G821">
        <v>4755.40355</v>
      </c>
      <c r="H821">
        <v>4792.7697200000002</v>
      </c>
      <c r="Q821">
        <v>4598.4699799999999</v>
      </c>
      <c r="R821">
        <v>4627.8332799999998</v>
      </c>
      <c r="S821">
        <v>4654.4220500000001</v>
      </c>
      <c r="V821">
        <v>4563.5302099999999</v>
      </c>
      <c r="W821">
        <v>4529.96522</v>
      </c>
      <c r="AB821">
        <v>4553.4335600000004</v>
      </c>
      <c r="AC821">
        <v>4557.7242200000001</v>
      </c>
      <c r="AD821">
        <v>0</v>
      </c>
      <c r="AK821">
        <v>819</v>
      </c>
      <c r="AL821">
        <v>818</v>
      </c>
      <c r="AM821">
        <v>4557.62</v>
      </c>
      <c r="AN821">
        <v>4598.47</v>
      </c>
      <c r="AO821">
        <v>-40.85</v>
      </c>
      <c r="AP821">
        <v>1668.7209</v>
      </c>
      <c r="AQ821">
        <v>-1.568163</v>
      </c>
      <c r="AR821">
        <v>1.821887</v>
      </c>
      <c r="AY821">
        <v>819</v>
      </c>
      <c r="AZ821">
        <v>818</v>
      </c>
      <c r="BA821">
        <v>4557.62</v>
      </c>
      <c r="BB821">
        <v>4598.47</v>
      </c>
      <c r="BC821">
        <v>-40.85</v>
      </c>
      <c r="BD821">
        <v>1668.7209</v>
      </c>
      <c r="BE821">
        <v>669124</v>
      </c>
    </row>
    <row r="822" spans="1:57" x14ac:dyDescent="0.55000000000000004">
      <c r="A822">
        <v>1777466702</v>
      </c>
      <c r="B822" t="s">
        <v>72</v>
      </c>
      <c r="C822" t="s">
        <v>73</v>
      </c>
      <c r="D822">
        <v>4544.8999999999996</v>
      </c>
      <c r="E822">
        <v>4518.5928199999998</v>
      </c>
      <c r="F822">
        <v>4596.0559499999999</v>
      </c>
      <c r="G822">
        <v>4755.40355</v>
      </c>
      <c r="H822">
        <v>4792.7697200000002</v>
      </c>
      <c r="Q822">
        <v>4598.2023799999997</v>
      </c>
      <c r="R822">
        <v>4627.5656799999997</v>
      </c>
      <c r="S822">
        <v>4654.15445</v>
      </c>
      <c r="V822">
        <v>4563.2626099999998</v>
      </c>
      <c r="W822">
        <v>4529.6976100000002</v>
      </c>
      <c r="AB822">
        <v>4547.0148499999996</v>
      </c>
      <c r="AC822">
        <v>4552.3695299999999</v>
      </c>
      <c r="AD822">
        <v>0</v>
      </c>
      <c r="AK822">
        <v>820</v>
      </c>
      <c r="AL822">
        <v>819</v>
      </c>
      <c r="AM822">
        <v>4544.8999999999996</v>
      </c>
      <c r="AN822">
        <v>4598.2024000000001</v>
      </c>
      <c r="AO822">
        <v>-53.302399999999999</v>
      </c>
      <c r="AP822">
        <v>2841.1437000000001</v>
      </c>
      <c r="AQ822">
        <v>-3.4838170000000002</v>
      </c>
      <c r="AR822">
        <v>5.2812960000000002</v>
      </c>
      <c r="AY822">
        <v>820</v>
      </c>
      <c r="AZ822">
        <v>819</v>
      </c>
      <c r="BA822">
        <v>4544.8999999999996</v>
      </c>
      <c r="BB822">
        <v>4598.2024000000001</v>
      </c>
      <c r="BC822">
        <v>-53.302399999999999</v>
      </c>
      <c r="BD822">
        <v>2841.1437000000001</v>
      </c>
      <c r="BE822">
        <v>670761</v>
      </c>
    </row>
    <row r="823" spans="1:57" x14ac:dyDescent="0.55000000000000004">
      <c r="A823">
        <v>1777467602</v>
      </c>
      <c r="B823" t="s">
        <v>72</v>
      </c>
      <c r="C823" t="s">
        <v>73</v>
      </c>
      <c r="D823">
        <v>4549.8</v>
      </c>
      <c r="E823">
        <v>4518.5928199999998</v>
      </c>
      <c r="F823">
        <v>4596.0559499999999</v>
      </c>
      <c r="G823">
        <v>4755.40355</v>
      </c>
      <c r="H823">
        <v>4792.7697200000002</v>
      </c>
      <c r="Q823">
        <v>4597.9347699999998</v>
      </c>
      <c r="R823">
        <v>4627.2980699999998</v>
      </c>
      <c r="S823">
        <v>4653.8868400000001</v>
      </c>
      <c r="V823">
        <v>4562.9949999999999</v>
      </c>
      <c r="W823">
        <v>4529.43001</v>
      </c>
      <c r="AB823">
        <v>4540.5200199999999</v>
      </c>
      <c r="AC823">
        <v>4546.4447700000001</v>
      </c>
      <c r="AD823">
        <v>0</v>
      </c>
      <c r="AK823">
        <v>821</v>
      </c>
      <c r="AL823">
        <v>820</v>
      </c>
      <c r="AM823">
        <v>4549.8</v>
      </c>
      <c r="AN823">
        <v>4597.9348</v>
      </c>
      <c r="AO823">
        <v>-48.134799999999998</v>
      </c>
      <c r="AP823">
        <v>2316.9560999999999</v>
      </c>
      <c r="AQ823">
        <v>-2.56562</v>
      </c>
      <c r="AR823">
        <v>3.5122849999999999</v>
      </c>
      <c r="AY823">
        <v>821</v>
      </c>
      <c r="AZ823">
        <v>820</v>
      </c>
      <c r="BA823">
        <v>4549.8</v>
      </c>
      <c r="BB823">
        <v>4597.9348</v>
      </c>
      <c r="BC823">
        <v>-48.134799999999998</v>
      </c>
      <c r="BD823">
        <v>2316.9560999999999</v>
      </c>
      <c r="BE823">
        <v>672400</v>
      </c>
    </row>
    <row r="824" spans="1:57" x14ac:dyDescent="0.55000000000000004">
      <c r="A824">
        <v>1777468502</v>
      </c>
      <c r="B824" t="s">
        <v>72</v>
      </c>
      <c r="C824" t="s">
        <v>73</v>
      </c>
      <c r="D824">
        <v>4537.82</v>
      </c>
      <c r="E824">
        <v>4518.5928199999998</v>
      </c>
      <c r="F824">
        <v>4596.0559499999999</v>
      </c>
      <c r="G824">
        <v>4755.40355</v>
      </c>
      <c r="H824">
        <v>4792.7697200000002</v>
      </c>
      <c r="Q824">
        <v>4597.6671699999997</v>
      </c>
      <c r="R824">
        <v>4627.0304699999997</v>
      </c>
      <c r="S824">
        <v>4653.61924</v>
      </c>
      <c r="V824">
        <v>4562.7273999999998</v>
      </c>
      <c r="W824">
        <v>4529.1624000000002</v>
      </c>
      <c r="AB824">
        <v>4534.37601</v>
      </c>
      <c r="AC824">
        <v>4540.41039</v>
      </c>
      <c r="AD824">
        <v>0</v>
      </c>
      <c r="AK824">
        <v>822</v>
      </c>
      <c r="AL824">
        <v>821</v>
      </c>
      <c r="AM824">
        <v>4537.82</v>
      </c>
      <c r="AN824">
        <v>4597.6671999999999</v>
      </c>
      <c r="AO824">
        <v>-59.847200000000001</v>
      </c>
      <c r="AP824">
        <v>3581.6837999999998</v>
      </c>
      <c r="AQ824">
        <v>-4.9311299999999996</v>
      </c>
      <c r="AR824">
        <v>8.3932199999999995</v>
      </c>
      <c r="AY824">
        <v>822</v>
      </c>
      <c r="AZ824">
        <v>821</v>
      </c>
      <c r="BA824">
        <v>4537.82</v>
      </c>
      <c r="BB824">
        <v>4597.6671999999999</v>
      </c>
      <c r="BC824">
        <v>-59.847200000000001</v>
      </c>
      <c r="BD824">
        <v>3581.6837999999998</v>
      </c>
      <c r="BE824">
        <v>674041</v>
      </c>
    </row>
    <row r="825" spans="1:57" x14ac:dyDescent="0.55000000000000004">
      <c r="A825">
        <v>1777469402</v>
      </c>
      <c r="B825" t="s">
        <v>72</v>
      </c>
      <c r="C825" t="s">
        <v>73</v>
      </c>
      <c r="D825">
        <v>4514.8100000000004</v>
      </c>
      <c r="E825">
        <v>4518.5928199999998</v>
      </c>
      <c r="F825">
        <v>4596.0559499999999</v>
      </c>
      <c r="G825">
        <v>4755.40355</v>
      </c>
      <c r="H825">
        <v>4792.7697200000002</v>
      </c>
      <c r="Q825">
        <v>4597.3995699999996</v>
      </c>
      <c r="R825">
        <v>4626.7628599999998</v>
      </c>
      <c r="S825">
        <v>4653.3516399999999</v>
      </c>
      <c r="V825">
        <v>4562.4597999999996</v>
      </c>
      <c r="W825">
        <v>4528.8948</v>
      </c>
      <c r="AB825">
        <v>4529.4993199999999</v>
      </c>
      <c r="AC825">
        <v>4534.9548599999998</v>
      </c>
      <c r="AD825">
        <v>0</v>
      </c>
      <c r="AK825">
        <v>823</v>
      </c>
      <c r="AL825">
        <v>822</v>
      </c>
      <c r="AM825">
        <v>4514.8100000000004</v>
      </c>
      <c r="AN825">
        <v>4597.3995999999997</v>
      </c>
      <c r="AO825">
        <v>-82.589600000000004</v>
      </c>
      <c r="AP825">
        <v>6821.0370999999996</v>
      </c>
      <c r="AQ825">
        <v>-12.959588</v>
      </c>
      <c r="AR825">
        <v>30.440721</v>
      </c>
      <c r="AY825">
        <v>823</v>
      </c>
      <c r="AZ825">
        <v>822</v>
      </c>
      <c r="BA825">
        <v>4514.8100000000004</v>
      </c>
      <c r="BB825">
        <v>4597.3995999999997</v>
      </c>
      <c r="BC825">
        <v>-82.589600000000004</v>
      </c>
      <c r="BD825">
        <v>6821.0370999999996</v>
      </c>
      <c r="BE825">
        <v>675684</v>
      </c>
    </row>
    <row r="826" spans="1:57" x14ac:dyDescent="0.55000000000000004">
      <c r="A826">
        <v>1777470302</v>
      </c>
      <c r="B826" t="s">
        <v>72</v>
      </c>
      <c r="C826" t="s">
        <v>73</v>
      </c>
      <c r="D826">
        <v>4521.71</v>
      </c>
      <c r="E826">
        <v>4518.5928199999998</v>
      </c>
      <c r="F826">
        <v>4596.0559499999999</v>
      </c>
      <c r="G826">
        <v>4755.40355</v>
      </c>
      <c r="H826">
        <v>4792.7697200000002</v>
      </c>
      <c r="Q826">
        <v>4597.1319599999997</v>
      </c>
      <c r="R826">
        <v>4626.4952599999997</v>
      </c>
      <c r="S826">
        <v>4653.08403</v>
      </c>
      <c r="V826">
        <v>4562.1921899999998</v>
      </c>
      <c r="W826">
        <v>4528.6271999999999</v>
      </c>
      <c r="AA826">
        <v>4510.28</v>
      </c>
      <c r="AB826">
        <v>4526.9640399999998</v>
      </c>
      <c r="AC826">
        <v>4530.9594500000003</v>
      </c>
      <c r="AD826">
        <v>0</v>
      </c>
      <c r="AK826">
        <v>824</v>
      </c>
      <c r="AL826">
        <v>823</v>
      </c>
      <c r="AM826">
        <v>4521.71</v>
      </c>
      <c r="AN826">
        <v>4597.1319999999996</v>
      </c>
      <c r="AO826">
        <v>-75.421999999999997</v>
      </c>
      <c r="AP826">
        <v>5688.4721</v>
      </c>
      <c r="AQ826">
        <v>-9.8698149999999991</v>
      </c>
      <c r="AR826">
        <v>21.171195000000001</v>
      </c>
      <c r="AY826">
        <v>824</v>
      </c>
      <c r="AZ826">
        <v>823</v>
      </c>
      <c r="BA826">
        <v>4521.71</v>
      </c>
      <c r="BB826">
        <v>4597.1319999999996</v>
      </c>
      <c r="BC826">
        <v>-75.421999999999997</v>
      </c>
      <c r="BD826">
        <v>5688.4721</v>
      </c>
      <c r="BE826">
        <v>677329</v>
      </c>
    </row>
    <row r="827" spans="1:57" x14ac:dyDescent="0.55000000000000004">
      <c r="A827">
        <v>1777471202</v>
      </c>
      <c r="B827" t="s">
        <v>72</v>
      </c>
      <c r="C827" t="s">
        <v>73</v>
      </c>
      <c r="D827">
        <v>4526.1499999999996</v>
      </c>
      <c r="E827">
        <v>4518.5928199999998</v>
      </c>
      <c r="F827">
        <v>4596.0559499999999</v>
      </c>
      <c r="G827">
        <v>4755.40355</v>
      </c>
      <c r="H827">
        <v>4792.7697200000002</v>
      </c>
      <c r="Q827">
        <v>4596.8643599999996</v>
      </c>
      <c r="R827">
        <v>4626.2276599999996</v>
      </c>
      <c r="S827">
        <v>4652.8164299999999</v>
      </c>
      <c r="V827">
        <v>4561.9245899999996</v>
      </c>
      <c r="W827">
        <v>4528.35959</v>
      </c>
      <c r="AB827">
        <v>4526.7546400000001</v>
      </c>
      <c r="AC827">
        <v>4528.8570499999996</v>
      </c>
      <c r="AD827">
        <v>0</v>
      </c>
      <c r="AK827">
        <v>825</v>
      </c>
      <c r="AL827">
        <v>824</v>
      </c>
      <c r="AM827">
        <v>4526.1499999999996</v>
      </c>
      <c r="AN827">
        <v>4596.8644000000004</v>
      </c>
      <c r="AO827">
        <v>-70.714399999999998</v>
      </c>
      <c r="AP827">
        <v>5000.5207</v>
      </c>
      <c r="AQ827">
        <v>-8.1346419999999995</v>
      </c>
      <c r="AR827">
        <v>16.360047999999999</v>
      </c>
      <c r="AY827">
        <v>825</v>
      </c>
      <c r="AZ827">
        <v>824</v>
      </c>
      <c r="BA827">
        <v>4526.1499999999996</v>
      </c>
      <c r="BB827">
        <v>4596.8644000000004</v>
      </c>
      <c r="BC827">
        <v>-70.714399999999998</v>
      </c>
      <c r="BD827">
        <v>5000.5207</v>
      </c>
      <c r="BE827">
        <v>678976</v>
      </c>
    </row>
    <row r="828" spans="1:57" x14ac:dyDescent="0.55000000000000004">
      <c r="A828">
        <v>1777472102</v>
      </c>
      <c r="B828" t="s">
        <v>72</v>
      </c>
      <c r="C828" t="s">
        <v>73</v>
      </c>
      <c r="D828">
        <v>4533.2</v>
      </c>
      <c r="E828">
        <v>4518.5928199999998</v>
      </c>
      <c r="F828">
        <v>4596.0559499999999</v>
      </c>
      <c r="G828">
        <v>4755.40355</v>
      </c>
      <c r="H828">
        <v>4792.7697200000002</v>
      </c>
      <c r="Q828">
        <v>4596.5967499999997</v>
      </c>
      <c r="R828">
        <v>4625.9600499999997</v>
      </c>
      <c r="S828">
        <v>4652.54882</v>
      </c>
      <c r="V828">
        <v>4561.6569799999997</v>
      </c>
      <c r="W828">
        <v>4528.0919899999999</v>
      </c>
      <c r="AB828">
        <v>4528.6333999999997</v>
      </c>
      <c r="AC828">
        <v>4528.7452199999998</v>
      </c>
      <c r="AD828">
        <v>0</v>
      </c>
      <c r="AK828">
        <v>826</v>
      </c>
      <c r="AL828">
        <v>825</v>
      </c>
      <c r="AM828">
        <v>4533.2</v>
      </c>
      <c r="AN828">
        <v>4596.5967000000001</v>
      </c>
      <c r="AO828">
        <v>-63.396700000000003</v>
      </c>
      <c r="AP828">
        <v>4019.1478999999999</v>
      </c>
      <c r="AQ828">
        <v>-5.861605</v>
      </c>
      <c r="AR828">
        <v>10.568713000000001</v>
      </c>
      <c r="AY828">
        <v>826</v>
      </c>
      <c r="AZ828">
        <v>825</v>
      </c>
      <c r="BA828">
        <v>4533.2</v>
      </c>
      <c r="BB828">
        <v>4596.5967000000001</v>
      </c>
      <c r="BC828">
        <v>-63.396700000000003</v>
      </c>
      <c r="BD828">
        <v>4019.1478999999999</v>
      </c>
      <c r="BE828">
        <v>680625</v>
      </c>
    </row>
    <row r="829" spans="1:57" x14ac:dyDescent="0.55000000000000004">
      <c r="A829">
        <v>1777473002</v>
      </c>
      <c r="B829" t="s">
        <v>72</v>
      </c>
      <c r="C829" t="s">
        <v>73</v>
      </c>
      <c r="D829">
        <v>4538.6899999999996</v>
      </c>
      <c r="E829">
        <v>4518.5928199999998</v>
      </c>
      <c r="F829">
        <v>4596.0559499999999</v>
      </c>
      <c r="G829">
        <v>4755.40355</v>
      </c>
      <c r="H829">
        <v>4792.7697200000002</v>
      </c>
      <c r="Q829">
        <v>4596.3291499999996</v>
      </c>
      <c r="R829">
        <v>4625.6924499999996</v>
      </c>
      <c r="S829">
        <v>4652.2812199999998</v>
      </c>
      <c r="V829">
        <v>4561.3893799999996</v>
      </c>
      <c r="W829">
        <v>4527.82438</v>
      </c>
      <c r="AB829">
        <v>4532.0677599999999</v>
      </c>
      <c r="AC829">
        <v>4530.4064900000003</v>
      </c>
      <c r="AD829">
        <v>1</v>
      </c>
      <c r="AK829">
        <v>827</v>
      </c>
      <c r="AL829">
        <v>826</v>
      </c>
      <c r="AM829">
        <v>4538.6899999999996</v>
      </c>
      <c r="AN829">
        <v>4596.3290999999999</v>
      </c>
      <c r="AO829">
        <v>-57.639099999999999</v>
      </c>
      <c r="AP829">
        <v>3322.2716</v>
      </c>
      <c r="AQ829">
        <v>-4.405227</v>
      </c>
      <c r="AR829">
        <v>7.2214499999999999</v>
      </c>
      <c r="AY829">
        <v>827</v>
      </c>
      <c r="AZ829">
        <v>826</v>
      </c>
      <c r="BA829">
        <v>4538.6899999999996</v>
      </c>
      <c r="BB829">
        <v>4596.3290999999999</v>
      </c>
      <c r="BC829">
        <v>-57.639099999999999</v>
      </c>
      <c r="BD829">
        <v>3322.2716</v>
      </c>
      <c r="BE829">
        <v>682276</v>
      </c>
    </row>
    <row r="830" spans="1:57" x14ac:dyDescent="0.55000000000000004">
      <c r="A830">
        <v>1777473902</v>
      </c>
      <c r="B830" t="s">
        <v>72</v>
      </c>
      <c r="C830" t="s">
        <v>73</v>
      </c>
      <c r="D830">
        <v>4539.25</v>
      </c>
      <c r="E830">
        <v>4518.5928199999998</v>
      </c>
      <c r="F830">
        <v>4596.0559499999999</v>
      </c>
      <c r="G830">
        <v>4755.40355</v>
      </c>
      <c r="H830">
        <v>4792.7697200000002</v>
      </c>
      <c r="Q830">
        <v>4596.0615500000004</v>
      </c>
      <c r="R830">
        <v>4625.4248399999997</v>
      </c>
      <c r="S830">
        <v>4652.0136199999997</v>
      </c>
      <c r="V830">
        <v>4561.1217800000004</v>
      </c>
      <c r="W830">
        <v>4527.5567799999999</v>
      </c>
      <c r="AB830">
        <v>4536.4642899999999</v>
      </c>
      <c r="AC830">
        <v>4533.4353899999996</v>
      </c>
      <c r="AD830">
        <v>0</v>
      </c>
      <c r="AK830">
        <v>828</v>
      </c>
      <c r="AL830">
        <v>827</v>
      </c>
      <c r="AM830">
        <v>4539.25</v>
      </c>
      <c r="AN830">
        <v>4596.0616</v>
      </c>
      <c r="AO830">
        <v>-56.811599999999999</v>
      </c>
      <c r="AP830">
        <v>3227.5522000000001</v>
      </c>
      <c r="AQ830">
        <v>-4.2181839999999999</v>
      </c>
      <c r="AR830">
        <v>6.8155460000000003</v>
      </c>
      <c r="AY830">
        <v>828</v>
      </c>
      <c r="AZ830">
        <v>827</v>
      </c>
      <c r="BA830">
        <v>4539.25</v>
      </c>
      <c r="BB830">
        <v>4596.0616</v>
      </c>
      <c r="BC830">
        <v>-56.811599999999999</v>
      </c>
      <c r="BD830">
        <v>3227.5522000000001</v>
      </c>
      <c r="BE830">
        <v>683929</v>
      </c>
    </row>
    <row r="831" spans="1:57" x14ac:dyDescent="0.55000000000000004">
      <c r="A831">
        <v>1777474802</v>
      </c>
      <c r="B831" t="s">
        <v>72</v>
      </c>
      <c r="C831" t="s">
        <v>73</v>
      </c>
      <c r="D831">
        <v>4538.08</v>
      </c>
      <c r="E831">
        <v>4518.5928199999998</v>
      </c>
      <c r="F831">
        <v>4596.0559499999999</v>
      </c>
      <c r="G831">
        <v>4755.40355</v>
      </c>
      <c r="H831">
        <v>4792.7697200000002</v>
      </c>
      <c r="Q831">
        <v>4595.7939399999996</v>
      </c>
      <c r="R831">
        <v>4625.1572399999995</v>
      </c>
      <c r="S831">
        <v>4651.7460099999998</v>
      </c>
      <c r="V831">
        <v>4560.8541699999996</v>
      </c>
      <c r="W831">
        <v>4527.28917</v>
      </c>
      <c r="AB831">
        <v>4541.3311299999996</v>
      </c>
      <c r="AC831">
        <v>4537.3832599999996</v>
      </c>
      <c r="AD831">
        <v>0</v>
      </c>
      <c r="AK831">
        <v>829</v>
      </c>
      <c r="AL831">
        <v>828</v>
      </c>
      <c r="AM831">
        <v>4538.08</v>
      </c>
      <c r="AN831">
        <v>4595.7938999999997</v>
      </c>
      <c r="AO831">
        <v>-57.713900000000002</v>
      </c>
      <c r="AP831">
        <v>3330.8989000000001</v>
      </c>
      <c r="AQ831">
        <v>-4.4223970000000001</v>
      </c>
      <c r="AR831">
        <v>7.259004</v>
      </c>
      <c r="AY831">
        <v>829</v>
      </c>
      <c r="AZ831">
        <v>828</v>
      </c>
      <c r="BA831">
        <v>4538.08</v>
      </c>
      <c r="BB831">
        <v>4595.7938999999997</v>
      </c>
      <c r="BC831">
        <v>-57.713900000000002</v>
      </c>
      <c r="BD831">
        <v>3330.8989000000001</v>
      </c>
      <c r="BE831">
        <v>685584</v>
      </c>
    </row>
    <row r="832" spans="1:57" x14ac:dyDescent="0.55000000000000004">
      <c r="A832">
        <v>1777475702</v>
      </c>
      <c r="B832" t="s">
        <v>72</v>
      </c>
      <c r="C832" t="s">
        <v>73</v>
      </c>
      <c r="D832">
        <v>4543.6099999999997</v>
      </c>
      <c r="E832">
        <v>4518.5928199999998</v>
      </c>
      <c r="F832">
        <v>4596.0559499999999</v>
      </c>
      <c r="G832">
        <v>4755.40355</v>
      </c>
      <c r="H832">
        <v>4792.7697200000002</v>
      </c>
      <c r="Q832">
        <v>4595.5263400000003</v>
      </c>
      <c r="R832">
        <v>4624.8896400000003</v>
      </c>
      <c r="S832">
        <v>4651.4784099999997</v>
      </c>
      <c r="V832">
        <v>4560.5865700000004</v>
      </c>
      <c r="W832">
        <v>4527.0215699999999</v>
      </c>
      <c r="AB832">
        <v>4546.2277999999997</v>
      </c>
      <c r="AC832">
        <v>4541.8055299999996</v>
      </c>
      <c r="AD832">
        <v>0</v>
      </c>
      <c r="AK832">
        <v>830</v>
      </c>
      <c r="AL832">
        <v>829</v>
      </c>
      <c r="AM832">
        <v>4543.6099999999997</v>
      </c>
      <c r="AN832">
        <v>4595.5263000000004</v>
      </c>
      <c r="AO832">
        <v>-51.9163</v>
      </c>
      <c r="AP832">
        <v>2695.3063999999999</v>
      </c>
      <c r="AQ832">
        <v>-3.2190500000000002</v>
      </c>
      <c r="AR832">
        <v>4.7530279999999996</v>
      </c>
      <c r="AY832">
        <v>830</v>
      </c>
      <c r="AZ832">
        <v>829</v>
      </c>
      <c r="BA832">
        <v>4543.6099999999997</v>
      </c>
      <c r="BB832">
        <v>4595.5263000000004</v>
      </c>
      <c r="BC832">
        <v>-51.9163</v>
      </c>
      <c r="BD832">
        <v>2695.3063999999999</v>
      </c>
      <c r="BE832">
        <v>687241</v>
      </c>
    </row>
    <row r="833" spans="1:57" x14ac:dyDescent="0.55000000000000004">
      <c r="A833">
        <v>1777476602</v>
      </c>
      <c r="B833" t="s">
        <v>72</v>
      </c>
      <c r="C833" t="s">
        <v>73</v>
      </c>
      <c r="D833">
        <v>4553.17</v>
      </c>
      <c r="E833">
        <v>4518.5928199999998</v>
      </c>
      <c r="F833">
        <v>4596.0559499999999</v>
      </c>
      <c r="G833">
        <v>4755.40355</v>
      </c>
      <c r="H833">
        <v>4792.7697200000002</v>
      </c>
      <c r="Q833">
        <v>4595.2587299999996</v>
      </c>
      <c r="R833">
        <v>4624.6220300000004</v>
      </c>
      <c r="S833">
        <v>4651.2107999999998</v>
      </c>
      <c r="V833">
        <v>4560.3189599999996</v>
      </c>
      <c r="W833">
        <v>4526.7539699999998</v>
      </c>
      <c r="AB833">
        <v>4550.5558700000001</v>
      </c>
      <c r="AC833">
        <v>4546.1806999999999</v>
      </c>
      <c r="AD833">
        <v>0</v>
      </c>
      <c r="AK833">
        <v>831</v>
      </c>
      <c r="AL833">
        <v>830</v>
      </c>
      <c r="AM833">
        <v>4553.17</v>
      </c>
      <c r="AN833">
        <v>4595.2587000000003</v>
      </c>
      <c r="AO833">
        <v>-42.088700000000003</v>
      </c>
      <c r="AP833">
        <v>1771.4612</v>
      </c>
      <c r="AQ833">
        <v>-1.715193</v>
      </c>
      <c r="AR833">
        <v>2.053134</v>
      </c>
      <c r="AY833">
        <v>831</v>
      </c>
      <c r="AZ833">
        <v>830</v>
      </c>
      <c r="BA833">
        <v>4553.17</v>
      </c>
      <c r="BB833">
        <v>4595.2587000000003</v>
      </c>
      <c r="BC833">
        <v>-42.088700000000003</v>
      </c>
      <c r="BD833">
        <v>1771.4612</v>
      </c>
      <c r="BE833">
        <v>688900</v>
      </c>
    </row>
    <row r="834" spans="1:57" x14ac:dyDescent="0.55000000000000004">
      <c r="A834">
        <v>1777477502</v>
      </c>
      <c r="B834" t="s">
        <v>72</v>
      </c>
      <c r="C834" t="s">
        <v>73</v>
      </c>
      <c r="D834">
        <v>4547.4799999999996</v>
      </c>
      <c r="E834">
        <v>4518.5928199999998</v>
      </c>
      <c r="F834">
        <v>4596.0559499999999</v>
      </c>
      <c r="G834">
        <v>4755.40355</v>
      </c>
      <c r="H834">
        <v>4792.7697200000002</v>
      </c>
      <c r="Q834">
        <v>4594.9911300000003</v>
      </c>
      <c r="R834">
        <v>4624.3544300000003</v>
      </c>
      <c r="S834">
        <v>4650.9431999999997</v>
      </c>
      <c r="V834">
        <v>4560.0513600000004</v>
      </c>
      <c r="W834">
        <v>4526.4863599999999</v>
      </c>
      <c r="AB834">
        <v>4553.7088299999996</v>
      </c>
      <c r="AC834">
        <v>4549.9447700000001</v>
      </c>
      <c r="AD834">
        <v>0</v>
      </c>
      <c r="AK834">
        <v>832</v>
      </c>
      <c r="AL834">
        <v>831</v>
      </c>
      <c r="AM834">
        <v>4547.4799999999996</v>
      </c>
      <c r="AN834">
        <v>4594.9911000000002</v>
      </c>
      <c r="AO834">
        <v>-47.511099999999999</v>
      </c>
      <c r="AP834">
        <v>2257.3074999999999</v>
      </c>
      <c r="AQ834">
        <v>-2.4671850000000002</v>
      </c>
      <c r="AR834">
        <v>3.3337690000000002</v>
      </c>
      <c r="AY834">
        <v>832</v>
      </c>
      <c r="AZ834">
        <v>831</v>
      </c>
      <c r="BA834">
        <v>4547.4799999999996</v>
      </c>
      <c r="BB834">
        <v>4594.9911000000002</v>
      </c>
      <c r="BC834">
        <v>-47.511099999999999</v>
      </c>
      <c r="BD834">
        <v>2257.3074999999999</v>
      </c>
      <c r="BE834">
        <v>690561</v>
      </c>
    </row>
    <row r="835" spans="1:57" x14ac:dyDescent="0.55000000000000004">
      <c r="A835">
        <v>1777478402</v>
      </c>
      <c r="B835" t="s">
        <v>72</v>
      </c>
      <c r="C835" t="s">
        <v>73</v>
      </c>
      <c r="D835">
        <v>4559.1000000000004</v>
      </c>
      <c r="E835">
        <v>4518.5928199999998</v>
      </c>
      <c r="F835">
        <v>4596.0559499999999</v>
      </c>
      <c r="G835">
        <v>4755.40355</v>
      </c>
      <c r="H835">
        <v>4792.7697200000002</v>
      </c>
      <c r="Q835">
        <v>4594.7235199999996</v>
      </c>
      <c r="R835">
        <v>4624.0868200000004</v>
      </c>
      <c r="S835">
        <v>4650.6755899999998</v>
      </c>
      <c r="V835">
        <v>4559.7837499999996</v>
      </c>
      <c r="W835">
        <v>4526.2187599999997</v>
      </c>
      <c r="AB835">
        <v>4555.59548</v>
      </c>
      <c r="AC835">
        <v>4552.7701200000001</v>
      </c>
      <c r="AD835">
        <v>0</v>
      </c>
      <c r="AK835">
        <v>833</v>
      </c>
      <c r="AL835">
        <v>832</v>
      </c>
      <c r="AM835">
        <v>4559.1000000000004</v>
      </c>
      <c r="AN835">
        <v>4594.7235000000001</v>
      </c>
      <c r="AO835">
        <v>-35.6235</v>
      </c>
      <c r="AP835">
        <v>1269.0352</v>
      </c>
      <c r="AQ835">
        <v>-1.0399830000000001</v>
      </c>
      <c r="AR835">
        <v>1.0536620000000001</v>
      </c>
      <c r="AY835">
        <v>833</v>
      </c>
      <c r="AZ835">
        <v>832</v>
      </c>
      <c r="BA835">
        <v>4559.1000000000004</v>
      </c>
      <c r="BB835">
        <v>4594.7235000000001</v>
      </c>
      <c r="BC835">
        <v>-35.6235</v>
      </c>
      <c r="BD835">
        <v>1269.0352</v>
      </c>
      <c r="BE835">
        <v>692224</v>
      </c>
    </row>
    <row r="836" spans="1:57" x14ac:dyDescent="0.55000000000000004">
      <c r="A836">
        <v>1777479302</v>
      </c>
      <c r="B836" t="s">
        <v>72</v>
      </c>
      <c r="C836" t="s">
        <v>73</v>
      </c>
      <c r="D836">
        <v>4560.2299999999996</v>
      </c>
      <c r="E836">
        <v>4518.5928199999998</v>
      </c>
      <c r="F836">
        <v>4596.0559499999999</v>
      </c>
      <c r="G836">
        <v>4755.40355</v>
      </c>
      <c r="H836">
        <v>4792.7697200000002</v>
      </c>
      <c r="Q836">
        <v>4594.4559200000003</v>
      </c>
      <c r="R836">
        <v>4623.8192200000003</v>
      </c>
      <c r="S836">
        <v>4650.4079899999997</v>
      </c>
      <c r="V836">
        <v>4559.5161500000004</v>
      </c>
      <c r="W836">
        <v>4525.9511499999999</v>
      </c>
      <c r="AB836">
        <v>4555.7869000000001</v>
      </c>
      <c r="AC836">
        <v>4554.2785100000001</v>
      </c>
      <c r="AD836">
        <v>0</v>
      </c>
      <c r="AK836">
        <v>834</v>
      </c>
      <c r="AL836">
        <v>833</v>
      </c>
      <c r="AM836">
        <v>4560.2299999999996</v>
      </c>
      <c r="AN836">
        <v>4594.4558999999999</v>
      </c>
      <c r="AO836">
        <v>-34.225900000000003</v>
      </c>
      <c r="AP836">
        <v>1171.4136000000001</v>
      </c>
      <c r="AQ836">
        <v>-0.922319</v>
      </c>
      <c r="AR836">
        <v>0.89778999999999998</v>
      </c>
      <c r="AY836">
        <v>834</v>
      </c>
      <c r="AZ836">
        <v>833</v>
      </c>
      <c r="BA836">
        <v>4560.2299999999996</v>
      </c>
      <c r="BB836">
        <v>4594.4558999999999</v>
      </c>
      <c r="BC836">
        <v>-34.225900000000003</v>
      </c>
      <c r="BD836">
        <v>1171.4136000000001</v>
      </c>
      <c r="BE836">
        <v>693889</v>
      </c>
    </row>
    <row r="837" spans="1:57" x14ac:dyDescent="0.55000000000000004">
      <c r="A837">
        <v>1777480202</v>
      </c>
      <c r="B837" t="s">
        <v>72</v>
      </c>
      <c r="C837" t="s">
        <v>73</v>
      </c>
      <c r="D837">
        <v>4550.51</v>
      </c>
      <c r="E837">
        <v>4518.5928199999998</v>
      </c>
      <c r="F837">
        <v>4596.0559499999999</v>
      </c>
      <c r="G837">
        <v>4755.40355</v>
      </c>
      <c r="H837">
        <v>4792.7697200000002</v>
      </c>
      <c r="Q837">
        <v>4594.1883200000002</v>
      </c>
      <c r="R837">
        <v>4623.5516200000002</v>
      </c>
      <c r="S837">
        <v>4650.1403899999996</v>
      </c>
      <c r="V837">
        <v>4559.2485500000003</v>
      </c>
      <c r="W837">
        <v>4525.6835499999997</v>
      </c>
      <c r="AB837">
        <v>4554.3081599999996</v>
      </c>
      <c r="AC837">
        <v>4554.2933400000002</v>
      </c>
      <c r="AD837">
        <v>0</v>
      </c>
      <c r="AK837">
        <v>835</v>
      </c>
      <c r="AL837">
        <v>834</v>
      </c>
      <c r="AM837">
        <v>4550.51</v>
      </c>
      <c r="AN837">
        <v>4594.1882999999998</v>
      </c>
      <c r="AO837">
        <v>-43.6783</v>
      </c>
      <c r="AP837">
        <v>1907.7955999999999</v>
      </c>
      <c r="AQ837">
        <v>-1.9169609999999999</v>
      </c>
      <c r="AR837">
        <v>2.3813200000000001</v>
      </c>
      <c r="AY837">
        <v>835</v>
      </c>
      <c r="AZ837">
        <v>834</v>
      </c>
      <c r="BA837">
        <v>4550.51</v>
      </c>
      <c r="BB837">
        <v>4594.1882999999998</v>
      </c>
      <c r="BC837">
        <v>-43.6783</v>
      </c>
      <c r="BD837">
        <v>1907.7955999999999</v>
      </c>
      <c r="BE837">
        <v>695556</v>
      </c>
    </row>
    <row r="838" spans="1:57" x14ac:dyDescent="0.55000000000000004">
      <c r="A838">
        <v>1777481102</v>
      </c>
      <c r="B838" t="s">
        <v>72</v>
      </c>
      <c r="C838" t="s">
        <v>73</v>
      </c>
      <c r="D838">
        <v>4545.3599999999997</v>
      </c>
      <c r="E838">
        <v>4518.5928199999998</v>
      </c>
      <c r="F838">
        <v>4596.0559499999999</v>
      </c>
      <c r="G838">
        <v>4755.40355</v>
      </c>
      <c r="H838">
        <v>4792.7697200000002</v>
      </c>
      <c r="Q838">
        <v>4593.9207100000003</v>
      </c>
      <c r="R838">
        <v>4623.2840100000003</v>
      </c>
      <c r="S838">
        <v>4649.8727799999997</v>
      </c>
      <c r="V838">
        <v>4558.9809400000004</v>
      </c>
      <c r="W838">
        <v>4525.4159499999996</v>
      </c>
      <c r="AB838">
        <v>4551.6611000000003</v>
      </c>
      <c r="AC838">
        <v>4552.9772199999998</v>
      </c>
      <c r="AD838">
        <v>1</v>
      </c>
      <c r="AK838">
        <v>836</v>
      </c>
      <c r="AL838">
        <v>835</v>
      </c>
      <c r="AM838">
        <v>4545.3599999999997</v>
      </c>
      <c r="AN838">
        <v>4593.9206999999997</v>
      </c>
      <c r="AO838">
        <v>-48.560699999999997</v>
      </c>
      <c r="AP838">
        <v>2358.1426000000001</v>
      </c>
      <c r="AQ838">
        <v>-2.6343329999999998</v>
      </c>
      <c r="AR838">
        <v>3.6382639999999999</v>
      </c>
      <c r="AY838">
        <v>836</v>
      </c>
      <c r="AZ838">
        <v>835</v>
      </c>
      <c r="BA838">
        <v>4545.3599999999997</v>
      </c>
      <c r="BB838">
        <v>4593.9206999999997</v>
      </c>
      <c r="BC838">
        <v>-48.560699999999997</v>
      </c>
      <c r="BD838">
        <v>2358.1426000000001</v>
      </c>
      <c r="BE838">
        <v>697225</v>
      </c>
    </row>
    <row r="839" spans="1:57" x14ac:dyDescent="0.55000000000000004">
      <c r="A839">
        <v>1777482002</v>
      </c>
      <c r="B839" t="s">
        <v>72</v>
      </c>
      <c r="C839" t="s">
        <v>73</v>
      </c>
      <c r="D839">
        <v>4550.68</v>
      </c>
      <c r="E839">
        <v>4518.5928199999998</v>
      </c>
      <c r="F839">
        <v>4596.0559499999999</v>
      </c>
      <c r="G839">
        <v>4755.40355</v>
      </c>
      <c r="H839">
        <v>4792.7697200000002</v>
      </c>
      <c r="Q839">
        <v>4593.6531100000002</v>
      </c>
      <c r="R839">
        <v>4623.0164100000002</v>
      </c>
      <c r="S839">
        <v>4649.6051799999996</v>
      </c>
      <c r="V839">
        <v>4558.7133400000002</v>
      </c>
      <c r="W839">
        <v>4525.1483399999997</v>
      </c>
      <c r="AB839">
        <v>4548.3213800000003</v>
      </c>
      <c r="AC839">
        <v>4550.6493</v>
      </c>
      <c r="AD839">
        <v>0</v>
      </c>
      <c r="AK839">
        <v>837</v>
      </c>
      <c r="AL839">
        <v>836</v>
      </c>
      <c r="AM839">
        <v>4550.68</v>
      </c>
      <c r="AN839">
        <v>4593.6531000000004</v>
      </c>
      <c r="AO839">
        <v>-42.973100000000002</v>
      </c>
      <c r="AP839">
        <v>1846.6882000000001</v>
      </c>
      <c r="AQ839">
        <v>-1.825601</v>
      </c>
      <c r="AR839">
        <v>2.231214</v>
      </c>
      <c r="AY839">
        <v>837</v>
      </c>
      <c r="AZ839">
        <v>836</v>
      </c>
      <c r="BA839">
        <v>4550.68</v>
      </c>
      <c r="BB839">
        <v>4593.6531000000004</v>
      </c>
      <c r="BC839">
        <v>-42.973100000000002</v>
      </c>
      <c r="BD839">
        <v>1846.6882000000001</v>
      </c>
      <c r="BE839">
        <v>698896</v>
      </c>
    </row>
    <row r="840" spans="1:57" x14ac:dyDescent="0.55000000000000004">
      <c r="A840">
        <v>1777482902</v>
      </c>
      <c r="B840" t="s">
        <v>72</v>
      </c>
      <c r="C840" t="s">
        <v>73</v>
      </c>
      <c r="D840">
        <v>4547.2299999999996</v>
      </c>
      <c r="E840">
        <v>4518.5928199999998</v>
      </c>
      <c r="F840">
        <v>4596.0559499999999</v>
      </c>
      <c r="G840">
        <v>4755.40355</v>
      </c>
      <c r="H840">
        <v>4792.7697200000002</v>
      </c>
      <c r="Q840">
        <v>4593.3855000000003</v>
      </c>
      <c r="R840">
        <v>4622.7488000000003</v>
      </c>
      <c r="S840">
        <v>4649.3375699999997</v>
      </c>
      <c r="V840">
        <v>4558.4457300000004</v>
      </c>
      <c r="W840">
        <v>4524.8807399999996</v>
      </c>
      <c r="AB840">
        <v>4544.5477600000004</v>
      </c>
      <c r="AC840">
        <v>4547.5985300000002</v>
      </c>
      <c r="AD840">
        <v>0</v>
      </c>
      <c r="AK840">
        <v>838</v>
      </c>
      <c r="AL840">
        <v>837</v>
      </c>
      <c r="AM840">
        <v>4547.2299999999996</v>
      </c>
      <c r="AN840">
        <v>4593.3855000000003</v>
      </c>
      <c r="AO840">
        <v>-46.155500000000004</v>
      </c>
      <c r="AP840">
        <v>2130.3301999999999</v>
      </c>
      <c r="AQ840">
        <v>-2.261965</v>
      </c>
      <c r="AR840">
        <v>2.969258</v>
      </c>
      <c r="AY840">
        <v>838</v>
      </c>
      <c r="AZ840">
        <v>837</v>
      </c>
      <c r="BA840">
        <v>4547.2299999999996</v>
      </c>
      <c r="BB840">
        <v>4593.3855000000003</v>
      </c>
      <c r="BC840">
        <v>-46.155500000000004</v>
      </c>
      <c r="BD840">
        <v>2130.3301999999999</v>
      </c>
      <c r="BE840">
        <v>700569</v>
      </c>
    </row>
    <row r="841" spans="1:57" x14ac:dyDescent="0.55000000000000004">
      <c r="A841">
        <v>1777483802</v>
      </c>
      <c r="B841" t="s">
        <v>72</v>
      </c>
      <c r="C841" t="s">
        <v>73</v>
      </c>
      <c r="D841">
        <v>4544.75</v>
      </c>
      <c r="E841">
        <v>4518.5928199999998</v>
      </c>
      <c r="F841">
        <v>4596.0559499999999</v>
      </c>
      <c r="G841">
        <v>4755.40355</v>
      </c>
      <c r="H841">
        <v>4792.7697200000002</v>
      </c>
      <c r="Q841">
        <v>4593.1179000000002</v>
      </c>
      <c r="R841">
        <v>4622.4812000000002</v>
      </c>
      <c r="S841">
        <v>4649.0699699999996</v>
      </c>
      <c r="V841">
        <v>4558.1781300000002</v>
      </c>
      <c r="W841">
        <v>4524.6131299999997</v>
      </c>
      <c r="AB841">
        <v>4540.8317800000004</v>
      </c>
      <c r="AC841">
        <v>4544.2151599999997</v>
      </c>
      <c r="AD841">
        <v>0</v>
      </c>
      <c r="AK841">
        <v>839</v>
      </c>
      <c r="AL841">
        <v>838</v>
      </c>
      <c r="AM841">
        <v>4544.75</v>
      </c>
      <c r="AN841">
        <v>4593.1179000000002</v>
      </c>
      <c r="AO841">
        <v>-48.367899999999999</v>
      </c>
      <c r="AP841">
        <v>2339.4537999999998</v>
      </c>
      <c r="AQ841">
        <v>-2.6030790000000001</v>
      </c>
      <c r="AR841">
        <v>3.5808249999999999</v>
      </c>
      <c r="AY841">
        <v>839</v>
      </c>
      <c r="AZ841">
        <v>838</v>
      </c>
      <c r="BA841">
        <v>4544.75</v>
      </c>
      <c r="BB841">
        <v>4593.1179000000002</v>
      </c>
      <c r="BC841">
        <v>-48.367899999999999</v>
      </c>
      <c r="BD841">
        <v>2339.4537999999998</v>
      </c>
      <c r="BE841">
        <v>702244</v>
      </c>
    </row>
    <row r="842" spans="1:57" x14ac:dyDescent="0.55000000000000004">
      <c r="A842">
        <v>1777484702</v>
      </c>
      <c r="B842" t="s">
        <v>72</v>
      </c>
      <c r="C842" t="s">
        <v>73</v>
      </c>
      <c r="D842">
        <v>4547.33</v>
      </c>
      <c r="E842">
        <v>4518.5928199999998</v>
      </c>
      <c r="F842">
        <v>4596.0559499999999</v>
      </c>
      <c r="G842">
        <v>4755.40355</v>
      </c>
      <c r="H842">
        <v>4792.7697200000002</v>
      </c>
      <c r="Q842">
        <v>4592.8503000000001</v>
      </c>
      <c r="R842">
        <v>4622.2136</v>
      </c>
      <c r="S842">
        <v>4648.8023700000003</v>
      </c>
      <c r="V842">
        <v>4557.9105300000001</v>
      </c>
      <c r="W842">
        <v>4524.3455299999996</v>
      </c>
      <c r="AB842">
        <v>4537.5840799999996</v>
      </c>
      <c r="AC842">
        <v>4540.8996200000001</v>
      </c>
      <c r="AD842">
        <v>0</v>
      </c>
      <c r="AK842">
        <v>840</v>
      </c>
      <c r="AL842">
        <v>839</v>
      </c>
      <c r="AM842">
        <v>4547.33</v>
      </c>
      <c r="AN842">
        <v>4592.8503000000001</v>
      </c>
      <c r="AO842">
        <v>-45.520299999999999</v>
      </c>
      <c r="AP842">
        <v>2072.0976999999998</v>
      </c>
      <c r="AQ842">
        <v>-2.1698559999999998</v>
      </c>
      <c r="AR842">
        <v>2.809148</v>
      </c>
      <c r="AY842">
        <v>840</v>
      </c>
      <c r="AZ842">
        <v>839</v>
      </c>
      <c r="BA842">
        <v>4547.33</v>
      </c>
      <c r="BB842">
        <v>4592.8503000000001</v>
      </c>
      <c r="BC842">
        <v>-45.520299999999999</v>
      </c>
      <c r="BD842">
        <v>2072.0976999999998</v>
      </c>
      <c r="BE842">
        <v>703921</v>
      </c>
    </row>
    <row r="843" spans="1:57" x14ac:dyDescent="0.55000000000000004">
      <c r="A843">
        <v>1777485602</v>
      </c>
      <c r="B843" t="s">
        <v>72</v>
      </c>
      <c r="C843" t="s">
        <v>73</v>
      </c>
      <c r="D843">
        <v>4525.75</v>
      </c>
      <c r="E843">
        <v>4518.5928199999998</v>
      </c>
      <c r="F843">
        <v>4596.0559499999999</v>
      </c>
      <c r="G843">
        <v>4755.40355</v>
      </c>
      <c r="H843">
        <v>4792.7697200000002</v>
      </c>
      <c r="Q843">
        <v>4592.5826900000002</v>
      </c>
      <c r="R843">
        <v>4621.9459900000002</v>
      </c>
      <c r="S843">
        <v>4648.5347599999996</v>
      </c>
      <c r="V843">
        <v>4557.6429200000002</v>
      </c>
      <c r="W843">
        <v>4524.0779300000004</v>
      </c>
      <c r="AB843">
        <v>4535.0429899999999</v>
      </c>
      <c r="AC843">
        <v>4537.9713099999999</v>
      </c>
      <c r="AD843">
        <v>0</v>
      </c>
      <c r="AK843">
        <v>841</v>
      </c>
      <c r="AL843">
        <v>840</v>
      </c>
      <c r="AM843">
        <v>4525.75</v>
      </c>
      <c r="AN843">
        <v>4592.5826999999999</v>
      </c>
      <c r="AO843">
        <v>-66.832700000000003</v>
      </c>
      <c r="AP843">
        <v>4466.6085000000003</v>
      </c>
      <c r="AQ843">
        <v>-6.8672430000000002</v>
      </c>
      <c r="AR843">
        <v>13.052986000000001</v>
      </c>
      <c r="AY843">
        <v>841</v>
      </c>
      <c r="AZ843">
        <v>840</v>
      </c>
      <c r="BA843">
        <v>4525.75</v>
      </c>
      <c r="BB843">
        <v>4592.5826999999999</v>
      </c>
      <c r="BC843">
        <v>-66.832700000000003</v>
      </c>
      <c r="BD843">
        <v>4466.6085000000003</v>
      </c>
      <c r="BE843">
        <v>705600</v>
      </c>
    </row>
    <row r="844" spans="1:57" x14ac:dyDescent="0.55000000000000004">
      <c r="A844">
        <v>1777486502</v>
      </c>
      <c r="B844" t="s">
        <v>72</v>
      </c>
      <c r="C844" t="s">
        <v>73</v>
      </c>
      <c r="D844">
        <v>4532.95</v>
      </c>
      <c r="E844">
        <v>4518.5928199999998</v>
      </c>
      <c r="F844">
        <v>4596.0559499999999</v>
      </c>
      <c r="G844">
        <v>4755.40355</v>
      </c>
      <c r="H844">
        <v>4792.7697200000002</v>
      </c>
      <c r="Q844">
        <v>4592.3150900000001</v>
      </c>
      <c r="R844">
        <v>4621.67839</v>
      </c>
      <c r="S844">
        <v>4648.2671600000003</v>
      </c>
      <c r="V844">
        <v>4557.3753200000001</v>
      </c>
      <c r="W844">
        <v>4523.8103199999996</v>
      </c>
      <c r="AB844">
        <v>4534.0129800000004</v>
      </c>
      <c r="AC844">
        <v>4535.9921400000003</v>
      </c>
      <c r="AD844">
        <v>0</v>
      </c>
      <c r="AK844">
        <v>842</v>
      </c>
      <c r="AL844">
        <v>841</v>
      </c>
      <c r="AM844">
        <v>4532.95</v>
      </c>
      <c r="AN844">
        <v>4592.3150999999998</v>
      </c>
      <c r="AO844">
        <v>-59.365099999999998</v>
      </c>
      <c r="AP844">
        <v>3524.2139000000002</v>
      </c>
      <c r="AQ844">
        <v>-4.8129239999999998</v>
      </c>
      <c r="AR844">
        <v>8.1260340000000006</v>
      </c>
      <c r="AY844">
        <v>842</v>
      </c>
      <c r="AZ844">
        <v>841</v>
      </c>
      <c r="BA844">
        <v>4532.95</v>
      </c>
      <c r="BB844">
        <v>4592.3150999999998</v>
      </c>
      <c r="BC844">
        <v>-59.365099999999998</v>
      </c>
      <c r="BD844">
        <v>3524.2139000000002</v>
      </c>
      <c r="BE844">
        <v>707281</v>
      </c>
    </row>
    <row r="845" spans="1:57" x14ac:dyDescent="0.55000000000000004">
      <c r="A845">
        <v>1777487402</v>
      </c>
      <c r="B845" t="s">
        <v>72</v>
      </c>
      <c r="C845" t="s">
        <v>73</v>
      </c>
      <c r="D845">
        <v>4520.8100000000004</v>
      </c>
      <c r="E845">
        <v>4518.5928199999998</v>
      </c>
      <c r="F845">
        <v>4596.0559499999999</v>
      </c>
      <c r="G845">
        <v>4755.40355</v>
      </c>
      <c r="H845">
        <v>4792.7697200000002</v>
      </c>
      <c r="Q845">
        <v>4592.0474800000002</v>
      </c>
      <c r="R845">
        <v>4621.4107800000002</v>
      </c>
      <c r="S845">
        <v>4647.9995500000005</v>
      </c>
      <c r="V845">
        <v>4557.1077100000002</v>
      </c>
      <c r="W845">
        <v>4523.5427200000004</v>
      </c>
      <c r="AB845">
        <v>4534.2783499999996</v>
      </c>
      <c r="AC845">
        <v>4535.1352500000003</v>
      </c>
      <c r="AD845">
        <v>0</v>
      </c>
      <c r="AK845">
        <v>843</v>
      </c>
      <c r="AL845">
        <v>842</v>
      </c>
      <c r="AM845">
        <v>4520.8100000000004</v>
      </c>
      <c r="AN845">
        <v>4592.0474999999997</v>
      </c>
      <c r="AO845">
        <v>-71.237499999999997</v>
      </c>
      <c r="AP845">
        <v>5074.7785999999996</v>
      </c>
      <c r="AQ845">
        <v>-8.3165119999999995</v>
      </c>
      <c r="AR845">
        <v>16.849550000000001</v>
      </c>
      <c r="AY845">
        <v>843</v>
      </c>
      <c r="AZ845">
        <v>842</v>
      </c>
      <c r="BA845">
        <v>4520.8100000000004</v>
      </c>
      <c r="BB845">
        <v>4592.0474999999997</v>
      </c>
      <c r="BC845">
        <v>-71.237499999999997</v>
      </c>
      <c r="BD845">
        <v>5074.7785999999996</v>
      </c>
      <c r="BE845">
        <v>708964</v>
      </c>
    </row>
    <row r="846" spans="1:57" x14ac:dyDescent="0.55000000000000004">
      <c r="A846">
        <v>1777488302</v>
      </c>
      <c r="B846" t="s">
        <v>72</v>
      </c>
      <c r="C846" t="s">
        <v>73</v>
      </c>
      <c r="D846">
        <v>4538.1899999999996</v>
      </c>
      <c r="E846">
        <v>4518.5928199999998</v>
      </c>
      <c r="F846">
        <v>4596.0559499999999</v>
      </c>
      <c r="G846">
        <v>4755.40355</v>
      </c>
      <c r="H846">
        <v>4792.7697200000002</v>
      </c>
      <c r="Q846">
        <v>4591.77988</v>
      </c>
      <c r="R846">
        <v>4621.14318</v>
      </c>
      <c r="S846">
        <v>4647.7319500000003</v>
      </c>
      <c r="V846">
        <v>4556.8401100000001</v>
      </c>
      <c r="W846">
        <v>4523.2751099999996</v>
      </c>
      <c r="AA846">
        <v>4518.41</v>
      </c>
      <c r="AB846">
        <v>4535.9611299999997</v>
      </c>
      <c r="AC846">
        <v>4535.5481900000004</v>
      </c>
      <c r="AD846">
        <v>1</v>
      </c>
      <c r="AK846">
        <v>844</v>
      </c>
      <c r="AL846">
        <v>843</v>
      </c>
      <c r="AM846">
        <v>4538.1899999999996</v>
      </c>
      <c r="AN846">
        <v>4591.7799000000005</v>
      </c>
      <c r="AO846">
        <v>-53.5899</v>
      </c>
      <c r="AP846">
        <v>2871.8751999999999</v>
      </c>
      <c r="AQ846">
        <v>-3.5404949999999999</v>
      </c>
      <c r="AR846">
        <v>5.3961649999999999</v>
      </c>
      <c r="AY846">
        <v>844</v>
      </c>
      <c r="AZ846">
        <v>843</v>
      </c>
      <c r="BA846">
        <v>4538.1899999999996</v>
      </c>
      <c r="BB846">
        <v>4591.7799000000005</v>
      </c>
      <c r="BC846">
        <v>-53.5899</v>
      </c>
      <c r="BD846">
        <v>2871.8751999999999</v>
      </c>
      <c r="BE846">
        <v>710649</v>
      </c>
    </row>
    <row r="847" spans="1:57" x14ac:dyDescent="0.55000000000000004">
      <c r="A847">
        <v>1777489202</v>
      </c>
      <c r="B847" t="s">
        <v>72</v>
      </c>
      <c r="C847" t="s">
        <v>73</v>
      </c>
      <c r="D847">
        <v>4547.72</v>
      </c>
      <c r="E847">
        <v>4518.5928199999998</v>
      </c>
      <c r="F847">
        <v>4596.0559499999999</v>
      </c>
      <c r="G847">
        <v>4755.40355</v>
      </c>
      <c r="H847">
        <v>4792.7697200000002</v>
      </c>
      <c r="Q847">
        <v>4591.5122799999999</v>
      </c>
      <c r="R847">
        <v>4620.8755700000002</v>
      </c>
      <c r="S847">
        <v>4647.4643500000002</v>
      </c>
      <c r="V847">
        <v>4556.57251</v>
      </c>
      <c r="W847">
        <v>4523.0075100000004</v>
      </c>
      <c r="AB847">
        <v>4538.2261900000003</v>
      </c>
      <c r="AC847">
        <v>4536.8871900000004</v>
      </c>
      <c r="AD847">
        <v>0</v>
      </c>
      <c r="AK847">
        <v>845</v>
      </c>
      <c r="AL847">
        <v>844</v>
      </c>
      <c r="AM847">
        <v>4547.72</v>
      </c>
      <c r="AN847">
        <v>4591.5123000000003</v>
      </c>
      <c r="AO847">
        <v>-43.792299999999997</v>
      </c>
      <c r="AP847">
        <v>1917.7637999999999</v>
      </c>
      <c r="AQ847">
        <v>-1.932005</v>
      </c>
      <c r="AR847">
        <v>2.4062700000000001</v>
      </c>
      <c r="AY847">
        <v>845</v>
      </c>
      <c r="AZ847">
        <v>844</v>
      </c>
      <c r="BA847">
        <v>4547.72</v>
      </c>
      <c r="BB847">
        <v>4591.5123000000003</v>
      </c>
      <c r="BC847">
        <v>-43.792299999999997</v>
      </c>
      <c r="BD847">
        <v>1917.7637999999999</v>
      </c>
      <c r="BE847">
        <v>712336</v>
      </c>
    </row>
    <row r="848" spans="1:57" x14ac:dyDescent="0.55000000000000004">
      <c r="A848">
        <v>1777490102</v>
      </c>
      <c r="B848" t="s">
        <v>72</v>
      </c>
      <c r="C848" t="s">
        <v>73</v>
      </c>
      <c r="D848">
        <v>4542.84</v>
      </c>
      <c r="E848">
        <v>4518.5928199999998</v>
      </c>
      <c r="F848">
        <v>4596.0559499999999</v>
      </c>
      <c r="G848">
        <v>4755.40355</v>
      </c>
      <c r="H848">
        <v>4792.7697200000002</v>
      </c>
      <c r="Q848">
        <v>4591.24467</v>
      </c>
      <c r="R848">
        <v>4620.60797</v>
      </c>
      <c r="S848">
        <v>4647.1967400000003</v>
      </c>
      <c r="V848">
        <v>4556.3049000000001</v>
      </c>
      <c r="W848">
        <v>4522.7399100000002</v>
      </c>
      <c r="AB848">
        <v>4540.4152599999998</v>
      </c>
      <c r="AC848">
        <v>4538.6512300000004</v>
      </c>
      <c r="AD848">
        <v>0</v>
      </c>
      <c r="AK848">
        <v>846</v>
      </c>
      <c r="AL848">
        <v>845</v>
      </c>
      <c r="AM848">
        <v>4542.84</v>
      </c>
      <c r="AN848">
        <v>4591.2447000000002</v>
      </c>
      <c r="AO848">
        <v>-48.404699999999998</v>
      </c>
      <c r="AP848">
        <v>2343.0120999999999</v>
      </c>
      <c r="AQ848">
        <v>-2.6090200000000001</v>
      </c>
      <c r="AR848">
        <v>3.591726</v>
      </c>
      <c r="AY848">
        <v>846</v>
      </c>
      <c r="AZ848">
        <v>845</v>
      </c>
      <c r="BA848">
        <v>4542.84</v>
      </c>
      <c r="BB848">
        <v>4591.2447000000002</v>
      </c>
      <c r="BC848">
        <v>-48.404699999999998</v>
      </c>
      <c r="BD848">
        <v>2343.0120999999999</v>
      </c>
      <c r="BE848">
        <v>714025</v>
      </c>
    </row>
    <row r="849" spans="1:57" x14ac:dyDescent="0.55000000000000004">
      <c r="A849">
        <v>1777491002</v>
      </c>
      <c r="B849" t="s">
        <v>72</v>
      </c>
      <c r="C849" t="s">
        <v>73</v>
      </c>
      <c r="D849">
        <v>4539.6099999999997</v>
      </c>
      <c r="E849">
        <v>4518.5928199999998</v>
      </c>
      <c r="F849">
        <v>4596.0559499999999</v>
      </c>
      <c r="G849">
        <v>4755.40355</v>
      </c>
      <c r="H849">
        <v>4792.7697200000002</v>
      </c>
      <c r="Q849">
        <v>4590.9770699999999</v>
      </c>
      <c r="R849">
        <v>4620.3403699999999</v>
      </c>
      <c r="S849">
        <v>4646.9291400000002</v>
      </c>
      <c r="V849">
        <v>4556.0373</v>
      </c>
      <c r="W849">
        <v>4522.4723000000004</v>
      </c>
      <c r="AB849">
        <v>4542.3771699999998</v>
      </c>
      <c r="AC849">
        <v>4540.5141999999996</v>
      </c>
      <c r="AD849">
        <v>0</v>
      </c>
      <c r="AK849">
        <v>847</v>
      </c>
      <c r="AL849">
        <v>846</v>
      </c>
      <c r="AM849">
        <v>4539.6099999999997</v>
      </c>
      <c r="AN849">
        <v>4590.9771000000001</v>
      </c>
      <c r="AO849">
        <v>-51.367100000000001</v>
      </c>
      <c r="AP849">
        <v>2638.5758999999998</v>
      </c>
      <c r="AQ849">
        <v>-3.1179559999999999</v>
      </c>
      <c r="AR849">
        <v>4.5550509999999997</v>
      </c>
      <c r="AY849">
        <v>847</v>
      </c>
      <c r="AZ849">
        <v>846</v>
      </c>
      <c r="BA849">
        <v>4539.6099999999997</v>
      </c>
      <c r="BB849">
        <v>4590.9771000000001</v>
      </c>
      <c r="BC849">
        <v>-51.367100000000001</v>
      </c>
      <c r="BD849">
        <v>2638.5758999999998</v>
      </c>
      <c r="BE849">
        <v>715716</v>
      </c>
    </row>
    <row r="850" spans="1:57" x14ac:dyDescent="0.55000000000000004">
      <c r="A850">
        <v>1777491902</v>
      </c>
      <c r="B850" t="s">
        <v>72</v>
      </c>
      <c r="C850" t="s">
        <v>73</v>
      </c>
      <c r="D850">
        <v>4547.05</v>
      </c>
      <c r="E850">
        <v>4518.5928199999998</v>
      </c>
      <c r="F850">
        <v>4596.0559499999999</v>
      </c>
      <c r="G850">
        <v>4755.40355</v>
      </c>
      <c r="H850">
        <v>4792.7697200000002</v>
      </c>
      <c r="Q850">
        <v>4590.70946</v>
      </c>
      <c r="R850">
        <v>4620.07276</v>
      </c>
      <c r="S850">
        <v>4646.6615300000003</v>
      </c>
      <c r="V850">
        <v>4555.7696900000001</v>
      </c>
      <c r="W850">
        <v>4522.2047000000002</v>
      </c>
      <c r="AB850">
        <v>4544.0156299999999</v>
      </c>
      <c r="AC850">
        <v>4542.2649099999999</v>
      </c>
      <c r="AD850">
        <v>0</v>
      </c>
      <c r="AK850">
        <v>848</v>
      </c>
      <c r="AL850">
        <v>847</v>
      </c>
      <c r="AM850">
        <v>4547.05</v>
      </c>
      <c r="AN850">
        <v>4590.7094999999999</v>
      </c>
      <c r="AO850">
        <v>-43.659500000000001</v>
      </c>
      <c r="AP850">
        <v>1906.1484</v>
      </c>
      <c r="AQ850">
        <v>-1.914479</v>
      </c>
      <c r="AR850">
        <v>2.3772099999999998</v>
      </c>
      <c r="AY850">
        <v>848</v>
      </c>
      <c r="AZ850">
        <v>847</v>
      </c>
      <c r="BA850">
        <v>4547.05</v>
      </c>
      <c r="BB850">
        <v>4590.7094999999999</v>
      </c>
      <c r="BC850">
        <v>-43.659500000000001</v>
      </c>
      <c r="BD850">
        <v>1906.1484</v>
      </c>
      <c r="BE850">
        <v>717409</v>
      </c>
    </row>
    <row r="851" spans="1:57" x14ac:dyDescent="0.55000000000000004">
      <c r="A851">
        <v>1777492802</v>
      </c>
      <c r="B851" t="s">
        <v>72</v>
      </c>
      <c r="C851" t="s">
        <v>73</v>
      </c>
      <c r="D851">
        <v>4546.25</v>
      </c>
      <c r="E851">
        <v>4518.5928199999998</v>
      </c>
      <c r="F851">
        <v>4596.0559499999999</v>
      </c>
      <c r="G851">
        <v>4755.40355</v>
      </c>
      <c r="H851">
        <v>4792.7697200000002</v>
      </c>
      <c r="Q851">
        <v>4590.4418599999999</v>
      </c>
      <c r="R851">
        <v>4619.8051599999999</v>
      </c>
      <c r="S851">
        <v>4646.3939300000002</v>
      </c>
      <c r="V851">
        <v>4555.50209</v>
      </c>
      <c r="W851">
        <v>4521.9370900000004</v>
      </c>
      <c r="AB851">
        <v>4545.0830500000002</v>
      </c>
      <c r="AC851">
        <v>4543.6739799999996</v>
      </c>
      <c r="AD851">
        <v>0</v>
      </c>
      <c r="AK851">
        <v>849</v>
      </c>
      <c r="AL851">
        <v>848</v>
      </c>
      <c r="AM851">
        <v>4546.25</v>
      </c>
      <c r="AN851">
        <v>4590.4418999999998</v>
      </c>
      <c r="AO851">
        <v>-44.191899999999997</v>
      </c>
      <c r="AP851">
        <v>1952.9204999999999</v>
      </c>
      <c r="AQ851">
        <v>-1.985374</v>
      </c>
      <c r="AR851">
        <v>2.4953029999999998</v>
      </c>
      <c r="AY851">
        <v>849</v>
      </c>
      <c r="AZ851">
        <v>848</v>
      </c>
      <c r="BA851">
        <v>4546.25</v>
      </c>
      <c r="BB851">
        <v>4590.4418999999998</v>
      </c>
      <c r="BC851">
        <v>-44.191899999999997</v>
      </c>
      <c r="BD851">
        <v>1952.9204999999999</v>
      </c>
      <c r="BE851">
        <v>719104</v>
      </c>
    </row>
    <row r="852" spans="1:57" x14ac:dyDescent="0.55000000000000004">
      <c r="A852">
        <v>1777493702</v>
      </c>
      <c r="B852" t="s">
        <v>72</v>
      </c>
      <c r="C852" t="s">
        <v>73</v>
      </c>
      <c r="D852">
        <v>4543.25</v>
      </c>
      <c r="E852">
        <v>4518.5928199999998</v>
      </c>
      <c r="F852">
        <v>4596.0559499999999</v>
      </c>
      <c r="G852">
        <v>4755.40355</v>
      </c>
      <c r="H852">
        <v>4792.7697200000002</v>
      </c>
      <c r="Q852">
        <v>4590.1742599999998</v>
      </c>
      <c r="R852">
        <v>4619.53755</v>
      </c>
      <c r="S852">
        <v>4646.1263300000001</v>
      </c>
      <c r="V852">
        <v>4555.2344899999998</v>
      </c>
      <c r="W852">
        <v>4521.6694900000002</v>
      </c>
      <c r="AB852">
        <v>4545.6661800000002</v>
      </c>
      <c r="AC852">
        <v>4544.6700799999999</v>
      </c>
      <c r="AD852">
        <v>0</v>
      </c>
      <c r="AK852">
        <v>850</v>
      </c>
      <c r="AL852">
        <v>849</v>
      </c>
      <c r="AM852">
        <v>4543.25</v>
      </c>
      <c r="AN852">
        <v>4590.1742999999997</v>
      </c>
      <c r="AO852">
        <v>-46.924300000000002</v>
      </c>
      <c r="AP852">
        <v>2201.8861999999999</v>
      </c>
      <c r="AQ852">
        <v>-2.3768829999999999</v>
      </c>
      <c r="AR852">
        <v>3.172078</v>
      </c>
      <c r="AY852">
        <v>850</v>
      </c>
      <c r="AZ852">
        <v>849</v>
      </c>
      <c r="BA852">
        <v>4543.25</v>
      </c>
      <c r="BB852">
        <v>4590.1742999999997</v>
      </c>
      <c r="BC852">
        <v>-46.924300000000002</v>
      </c>
      <c r="BD852">
        <v>2201.8861999999999</v>
      </c>
      <c r="BE852">
        <v>720801</v>
      </c>
    </row>
    <row r="853" spans="1:57" x14ac:dyDescent="0.55000000000000004">
      <c r="A853">
        <v>1777494602</v>
      </c>
      <c r="B853" t="s">
        <v>72</v>
      </c>
      <c r="C853" t="s">
        <v>73</v>
      </c>
      <c r="D853">
        <v>4543.79</v>
      </c>
      <c r="E853">
        <v>4518.5928199999998</v>
      </c>
      <c r="F853">
        <v>4596.0559499999999</v>
      </c>
      <c r="G853">
        <v>4755.40355</v>
      </c>
      <c r="H853">
        <v>4792.7697200000002</v>
      </c>
      <c r="Q853">
        <v>4589.9066499999999</v>
      </c>
      <c r="R853">
        <v>4619.2699499999999</v>
      </c>
      <c r="S853">
        <v>4645.8587200000002</v>
      </c>
      <c r="V853">
        <v>4554.9668799999999</v>
      </c>
      <c r="W853">
        <v>4521.4018800000003</v>
      </c>
      <c r="AB853">
        <v>4546.0234099999998</v>
      </c>
      <c r="AC853">
        <v>4545.3467499999997</v>
      </c>
      <c r="AD853">
        <v>0</v>
      </c>
      <c r="AK853">
        <v>851</v>
      </c>
      <c r="AL853">
        <v>850</v>
      </c>
      <c r="AM853">
        <v>4543.79</v>
      </c>
      <c r="AN853">
        <v>4589.9066000000003</v>
      </c>
      <c r="AO853">
        <v>-46.116599999999998</v>
      </c>
      <c r="AP853">
        <v>2126.7453999999998</v>
      </c>
      <c r="AQ853">
        <v>-2.2562579999999999</v>
      </c>
      <c r="AR853">
        <v>2.9592740000000002</v>
      </c>
      <c r="AY853">
        <v>851</v>
      </c>
      <c r="AZ853">
        <v>850</v>
      </c>
      <c r="BA853">
        <v>4543.79</v>
      </c>
      <c r="BB853">
        <v>4589.9066000000003</v>
      </c>
      <c r="BC853">
        <v>-46.116599999999998</v>
      </c>
      <c r="BD853">
        <v>2126.7453999999998</v>
      </c>
      <c r="BE853">
        <v>722500</v>
      </c>
    </row>
    <row r="854" spans="1:57" x14ac:dyDescent="0.55000000000000004">
      <c r="A854">
        <v>1777495502</v>
      </c>
      <c r="B854" t="s">
        <v>72</v>
      </c>
      <c r="C854" t="s">
        <v>73</v>
      </c>
      <c r="D854">
        <v>4543.57</v>
      </c>
      <c r="E854">
        <v>4518.5928199999998</v>
      </c>
      <c r="F854">
        <v>4596.0559499999999</v>
      </c>
      <c r="G854">
        <v>4755.40355</v>
      </c>
      <c r="H854">
        <v>4792.7697200000002</v>
      </c>
      <c r="Q854">
        <v>4589.6390499999998</v>
      </c>
      <c r="R854">
        <v>4619.0023499999998</v>
      </c>
      <c r="S854">
        <v>4645.59112</v>
      </c>
      <c r="V854">
        <v>4554.6992799999998</v>
      </c>
      <c r="W854">
        <v>4521.1342800000002</v>
      </c>
      <c r="AB854">
        <v>4546.3025500000003</v>
      </c>
      <c r="AC854">
        <v>4545.8246499999996</v>
      </c>
      <c r="AD854">
        <v>0</v>
      </c>
      <c r="AK854">
        <v>852</v>
      </c>
      <c r="AL854">
        <v>851</v>
      </c>
      <c r="AM854">
        <v>4543.57</v>
      </c>
      <c r="AN854">
        <v>4589.6390000000001</v>
      </c>
      <c r="AO854">
        <v>-46.069099999999999</v>
      </c>
      <c r="AP854">
        <v>2122.3573999999999</v>
      </c>
      <c r="AQ854">
        <v>-2.249279</v>
      </c>
      <c r="AR854">
        <v>2.9470749999999999</v>
      </c>
      <c r="AY854">
        <v>852</v>
      </c>
      <c r="AZ854">
        <v>851</v>
      </c>
      <c r="BA854">
        <v>4543.57</v>
      </c>
      <c r="BB854">
        <v>4589.6390000000001</v>
      </c>
      <c r="BC854">
        <v>-46.069099999999999</v>
      </c>
      <c r="BD854">
        <v>2122.3573999999999</v>
      </c>
      <c r="BE854">
        <v>724201</v>
      </c>
    </row>
    <row r="855" spans="1:57" x14ac:dyDescent="0.55000000000000004">
      <c r="A855">
        <v>1777500002</v>
      </c>
      <c r="B855" t="s">
        <v>72</v>
      </c>
      <c r="C855" t="s">
        <v>73</v>
      </c>
      <c r="D855">
        <v>4546.3999999999996</v>
      </c>
      <c r="E855">
        <v>4518.5928199999998</v>
      </c>
      <c r="F855">
        <v>4596.0559499999999</v>
      </c>
      <c r="G855">
        <v>4755.40355</v>
      </c>
      <c r="H855">
        <v>4792.7697200000002</v>
      </c>
      <c r="Q855">
        <v>4589.3714399999999</v>
      </c>
      <c r="R855">
        <v>4618.7347399999999</v>
      </c>
      <c r="S855">
        <v>4645.3235100000002</v>
      </c>
      <c r="V855">
        <v>4554.4316699999999</v>
      </c>
      <c r="W855">
        <v>4520.8666800000001</v>
      </c>
      <c r="AB855">
        <v>4546.7222700000002</v>
      </c>
      <c r="AC855">
        <v>4546.2734600000003</v>
      </c>
      <c r="AD855">
        <v>0</v>
      </c>
      <c r="AK855">
        <v>853</v>
      </c>
      <c r="AL855">
        <v>852</v>
      </c>
      <c r="AM855">
        <v>4546.3999999999996</v>
      </c>
      <c r="AN855">
        <v>4589.3714</v>
      </c>
      <c r="AO855">
        <v>-42.971400000000003</v>
      </c>
      <c r="AP855">
        <v>1846.5446999999999</v>
      </c>
      <c r="AQ855">
        <v>-1.825388</v>
      </c>
      <c r="AR855">
        <v>2.2308669999999999</v>
      </c>
      <c r="AY855">
        <v>853</v>
      </c>
      <c r="AZ855">
        <v>852</v>
      </c>
      <c r="BA855">
        <v>4546.3999999999996</v>
      </c>
      <c r="BB855">
        <v>4589.3714</v>
      </c>
      <c r="BC855">
        <v>-42.971400000000003</v>
      </c>
      <c r="BD855">
        <v>1846.5446999999999</v>
      </c>
      <c r="BE855">
        <v>725904</v>
      </c>
    </row>
    <row r="856" spans="1:57" x14ac:dyDescent="0.55000000000000004">
      <c r="A856">
        <v>1777500902</v>
      </c>
      <c r="B856" t="s">
        <v>72</v>
      </c>
      <c r="C856" t="s">
        <v>73</v>
      </c>
      <c r="D856">
        <v>4549.1400000000003</v>
      </c>
      <c r="E856">
        <v>4518.5928199999998</v>
      </c>
      <c r="F856">
        <v>4596.0559499999999</v>
      </c>
      <c r="G856">
        <v>4755.40355</v>
      </c>
      <c r="H856">
        <v>4792.7697200000002</v>
      </c>
      <c r="Q856">
        <v>4589.1038399999998</v>
      </c>
      <c r="R856">
        <v>4618.4671399999997</v>
      </c>
      <c r="S856">
        <v>4645.05591</v>
      </c>
      <c r="V856">
        <v>4554.1640699999998</v>
      </c>
      <c r="W856">
        <v>4520.5990700000002</v>
      </c>
      <c r="AB856">
        <v>4547.4023299999999</v>
      </c>
      <c r="AC856">
        <v>4546.8378899999998</v>
      </c>
      <c r="AD856">
        <v>0</v>
      </c>
      <c r="AK856">
        <v>854</v>
      </c>
      <c r="AL856">
        <v>853</v>
      </c>
      <c r="AM856">
        <v>4549.1400000000003</v>
      </c>
      <c r="AN856">
        <v>4589.1037999999999</v>
      </c>
      <c r="AO856">
        <v>-39.963799999999999</v>
      </c>
      <c r="AP856">
        <v>1597.1085</v>
      </c>
      <c r="AQ856">
        <v>-1.4683079999999999</v>
      </c>
      <c r="AR856">
        <v>1.6688719999999999</v>
      </c>
      <c r="AY856">
        <v>854</v>
      </c>
      <c r="AZ856">
        <v>853</v>
      </c>
      <c r="BA856">
        <v>4549.1400000000003</v>
      </c>
      <c r="BB856">
        <v>4589.1037999999999</v>
      </c>
      <c r="BC856">
        <v>-39.963799999999999</v>
      </c>
      <c r="BD856">
        <v>1597.1085</v>
      </c>
      <c r="BE856">
        <v>727609</v>
      </c>
    </row>
    <row r="857" spans="1:57" x14ac:dyDescent="0.55000000000000004">
      <c r="A857">
        <v>1777501802</v>
      </c>
      <c r="B857" t="s">
        <v>72</v>
      </c>
      <c r="C857" t="s">
        <v>73</v>
      </c>
      <c r="D857">
        <v>4548.51</v>
      </c>
      <c r="E857">
        <v>4518.5928199999998</v>
      </c>
      <c r="F857">
        <v>4596.0559499999999</v>
      </c>
      <c r="G857">
        <v>4755.40355</v>
      </c>
      <c r="H857">
        <v>4792.7697200000002</v>
      </c>
      <c r="Q857">
        <v>4588.8362299999999</v>
      </c>
      <c r="R857">
        <v>4618.1995299999999</v>
      </c>
      <c r="S857">
        <v>4644.7883000000002</v>
      </c>
      <c r="V857">
        <v>4553.8964599999999</v>
      </c>
      <c r="W857">
        <v>4520.3314700000001</v>
      </c>
      <c r="AB857">
        <v>4548.38375</v>
      </c>
      <c r="AC857">
        <v>4547.6108199999999</v>
      </c>
      <c r="AD857">
        <v>0</v>
      </c>
      <c r="AK857">
        <v>855</v>
      </c>
      <c r="AL857">
        <v>854</v>
      </c>
      <c r="AM857">
        <v>4548.51</v>
      </c>
      <c r="AN857">
        <v>4588.8361999999997</v>
      </c>
      <c r="AO857">
        <v>-40.3262</v>
      </c>
      <c r="AP857">
        <v>1626.2048</v>
      </c>
      <c r="AQ857">
        <v>-1.508615</v>
      </c>
      <c r="AR857">
        <v>1.7302329999999999</v>
      </c>
      <c r="AY857">
        <v>855</v>
      </c>
      <c r="AZ857">
        <v>854</v>
      </c>
      <c r="BA857">
        <v>4548.51</v>
      </c>
      <c r="BB857">
        <v>4588.8361999999997</v>
      </c>
      <c r="BC857">
        <v>-40.3262</v>
      </c>
      <c r="BD857">
        <v>1626.2048</v>
      </c>
      <c r="BE857">
        <v>729316</v>
      </c>
    </row>
    <row r="858" spans="1:57" x14ac:dyDescent="0.55000000000000004">
      <c r="A858">
        <v>1777502702</v>
      </c>
      <c r="B858" t="s">
        <v>72</v>
      </c>
      <c r="C858" t="s">
        <v>73</v>
      </c>
      <c r="D858">
        <v>4552.08</v>
      </c>
      <c r="E858">
        <v>4518.5928199999998</v>
      </c>
      <c r="F858">
        <v>4596.0559499999999</v>
      </c>
      <c r="G858">
        <v>4755.40355</v>
      </c>
      <c r="H858">
        <v>4792.7697200000002</v>
      </c>
      <c r="Q858">
        <v>4588.5686299999998</v>
      </c>
      <c r="R858">
        <v>4617.9319299999997</v>
      </c>
      <c r="S858">
        <v>4644.5207</v>
      </c>
      <c r="V858">
        <v>4553.6288599999998</v>
      </c>
      <c r="W858">
        <v>4520.0638600000002</v>
      </c>
      <c r="AB858">
        <v>4549.7461899999998</v>
      </c>
      <c r="AC858">
        <v>4548.6785099999997</v>
      </c>
      <c r="AD858">
        <v>0</v>
      </c>
      <c r="AK858">
        <v>856</v>
      </c>
      <c r="AL858">
        <v>855</v>
      </c>
      <c r="AM858">
        <v>4552.08</v>
      </c>
      <c r="AN858">
        <v>4588.5685999999996</v>
      </c>
      <c r="AO858">
        <v>-36.488599999999998</v>
      </c>
      <c r="AP858">
        <v>1331.4201</v>
      </c>
      <c r="AQ858">
        <v>-1.117605</v>
      </c>
      <c r="AR858">
        <v>1.1598029999999999</v>
      </c>
      <c r="AY858">
        <v>856</v>
      </c>
      <c r="AZ858">
        <v>855</v>
      </c>
      <c r="BA858">
        <v>4552.08</v>
      </c>
      <c r="BB858">
        <v>4588.5685999999996</v>
      </c>
      <c r="BC858">
        <v>-36.488599999999998</v>
      </c>
      <c r="BD858">
        <v>1331.4201</v>
      </c>
      <c r="BE858">
        <v>731025</v>
      </c>
    </row>
    <row r="859" spans="1:57" x14ac:dyDescent="0.55000000000000004">
      <c r="A859">
        <v>1777503602</v>
      </c>
      <c r="B859" t="s">
        <v>72</v>
      </c>
      <c r="C859" t="s">
        <v>73</v>
      </c>
      <c r="D859">
        <v>4553.33</v>
      </c>
      <c r="E859">
        <v>4518.5928199999998</v>
      </c>
      <c r="F859">
        <v>4596.0559499999999</v>
      </c>
      <c r="G859">
        <v>4755.40355</v>
      </c>
      <c r="H859">
        <v>4792.7697200000002</v>
      </c>
      <c r="Q859">
        <v>4588.3010299999996</v>
      </c>
      <c r="R859">
        <v>4617.6643299999996</v>
      </c>
      <c r="S859">
        <v>4644.2530999999999</v>
      </c>
      <c r="V859">
        <v>4553.3612599999997</v>
      </c>
      <c r="W859">
        <v>4519.7962600000001</v>
      </c>
      <c r="AB859">
        <v>4551.4153800000004</v>
      </c>
      <c r="AC859">
        <v>4550.0469400000002</v>
      </c>
      <c r="AD859">
        <v>0</v>
      </c>
      <c r="AK859">
        <v>857</v>
      </c>
      <c r="AL859">
        <v>856</v>
      </c>
      <c r="AM859">
        <v>4553.33</v>
      </c>
      <c r="AN859">
        <v>4588.3010000000004</v>
      </c>
      <c r="AO859">
        <v>-34.970999999999997</v>
      </c>
      <c r="AP859">
        <v>1222.9729</v>
      </c>
      <c r="AQ859">
        <v>-0.983877</v>
      </c>
      <c r="AR859">
        <v>0.97856100000000001</v>
      </c>
      <c r="AY859">
        <v>857</v>
      </c>
      <c r="AZ859">
        <v>856</v>
      </c>
      <c r="BA859">
        <v>4553.33</v>
      </c>
      <c r="BB859">
        <v>4588.3010000000004</v>
      </c>
      <c r="BC859">
        <v>-34.970999999999997</v>
      </c>
      <c r="BD859">
        <v>1222.9729</v>
      </c>
      <c r="BE859">
        <v>732736</v>
      </c>
    </row>
    <row r="860" spans="1:57" x14ac:dyDescent="0.55000000000000004">
      <c r="A860">
        <v>1777504502</v>
      </c>
      <c r="B860" t="s">
        <v>72</v>
      </c>
      <c r="C860" t="s">
        <v>73</v>
      </c>
      <c r="D860">
        <v>4551.63</v>
      </c>
      <c r="E860">
        <v>4518.5928199999998</v>
      </c>
      <c r="F860">
        <v>4596.0559499999999</v>
      </c>
      <c r="G860">
        <v>4755.40355</v>
      </c>
      <c r="H860">
        <v>4792.7697200000002</v>
      </c>
      <c r="Q860">
        <v>4588.0334199999998</v>
      </c>
      <c r="R860">
        <v>4617.3967199999997</v>
      </c>
      <c r="S860">
        <v>4643.98549</v>
      </c>
      <c r="V860">
        <v>4553.0936499999998</v>
      </c>
      <c r="W860">
        <v>4519.5286599999999</v>
      </c>
      <c r="AB860">
        <v>4553.3715700000002</v>
      </c>
      <c r="AC860">
        <v>4551.7092599999996</v>
      </c>
      <c r="AD860">
        <v>0</v>
      </c>
      <c r="AK860">
        <v>858</v>
      </c>
      <c r="AL860">
        <v>857</v>
      </c>
      <c r="AM860">
        <v>4551.63</v>
      </c>
      <c r="AN860">
        <v>4588.0334000000003</v>
      </c>
      <c r="AO860">
        <v>-36.403399999999998</v>
      </c>
      <c r="AP860">
        <v>1325.2090000000001</v>
      </c>
      <c r="AQ860">
        <v>-1.109793</v>
      </c>
      <c r="AR860">
        <v>1.1490069999999999</v>
      </c>
      <c r="AY860">
        <v>858</v>
      </c>
      <c r="AZ860">
        <v>857</v>
      </c>
      <c r="BA860">
        <v>4551.63</v>
      </c>
      <c r="BB860">
        <v>4588.0334000000003</v>
      </c>
      <c r="BC860">
        <v>-36.403399999999998</v>
      </c>
      <c r="BD860">
        <v>1325.2090000000001</v>
      </c>
      <c r="BE860">
        <v>734449</v>
      </c>
    </row>
    <row r="861" spans="1:57" x14ac:dyDescent="0.55000000000000004">
      <c r="A861">
        <v>1777505402</v>
      </c>
      <c r="B861" t="s">
        <v>72</v>
      </c>
      <c r="C861" t="s">
        <v>73</v>
      </c>
      <c r="D861">
        <v>4554.4399999999996</v>
      </c>
      <c r="E861">
        <v>4518.5928199999998</v>
      </c>
      <c r="F861">
        <v>4596.0559499999999</v>
      </c>
      <c r="G861">
        <v>4755.40355</v>
      </c>
      <c r="H861">
        <v>4792.7697200000002</v>
      </c>
      <c r="Q861">
        <v>4587.7658199999996</v>
      </c>
      <c r="R861">
        <v>4617.1291199999996</v>
      </c>
      <c r="S861">
        <v>4643.7178899999999</v>
      </c>
      <c r="V861">
        <v>4552.8260499999997</v>
      </c>
      <c r="W861">
        <v>4519.2610500000001</v>
      </c>
      <c r="AB861">
        <v>4555.6797699999997</v>
      </c>
      <c r="AC861">
        <v>4553.6945100000003</v>
      </c>
      <c r="AD861">
        <v>0</v>
      </c>
      <c r="AK861">
        <v>859</v>
      </c>
      <c r="AL861">
        <v>858</v>
      </c>
      <c r="AM861">
        <v>4554.4399999999996</v>
      </c>
      <c r="AN861">
        <v>4587.7658000000001</v>
      </c>
      <c r="AO861">
        <v>-33.325800000000001</v>
      </c>
      <c r="AP861">
        <v>1110.6103000000001</v>
      </c>
      <c r="AQ861">
        <v>-0.85144799999999998</v>
      </c>
      <c r="AR861">
        <v>0.80700700000000003</v>
      </c>
      <c r="AY861">
        <v>859</v>
      </c>
      <c r="AZ861">
        <v>858</v>
      </c>
      <c r="BA861">
        <v>4554.4399999999996</v>
      </c>
      <c r="BB861">
        <v>4587.7658000000001</v>
      </c>
      <c r="BC861">
        <v>-33.325800000000001</v>
      </c>
      <c r="BD861">
        <v>1110.6103000000001</v>
      </c>
      <c r="BE861">
        <v>736164</v>
      </c>
    </row>
    <row r="862" spans="1:57" x14ac:dyDescent="0.55000000000000004">
      <c r="A862">
        <v>1777506302</v>
      </c>
      <c r="B862" t="s">
        <v>72</v>
      </c>
      <c r="C862" t="s">
        <v>73</v>
      </c>
      <c r="D862">
        <v>4561.66</v>
      </c>
      <c r="E862">
        <v>4518.5928199999998</v>
      </c>
      <c r="F862">
        <v>4596.0559499999999</v>
      </c>
      <c r="G862">
        <v>4755.40355</v>
      </c>
      <c r="H862">
        <v>4792.7697200000002</v>
      </c>
      <c r="Q862">
        <v>4587.4982099999997</v>
      </c>
      <c r="R862">
        <v>4616.8615099999997</v>
      </c>
      <c r="S862">
        <v>4643.45028</v>
      </c>
      <c r="V862">
        <v>4552.5584399999998</v>
      </c>
      <c r="W862">
        <v>4518.9934499999999</v>
      </c>
      <c r="AB862">
        <v>4558.3107900000005</v>
      </c>
      <c r="AC862">
        <v>4556.0026500000004</v>
      </c>
      <c r="AD862">
        <v>0</v>
      </c>
      <c r="AK862">
        <v>860</v>
      </c>
      <c r="AL862">
        <v>859</v>
      </c>
      <c r="AM862">
        <v>4561.66</v>
      </c>
      <c r="AN862">
        <v>4587.4982</v>
      </c>
      <c r="AO862">
        <v>-25.838200000000001</v>
      </c>
      <c r="AP862">
        <v>667.61310000000003</v>
      </c>
      <c r="AQ862">
        <v>-0.39682899999999999</v>
      </c>
      <c r="AR862">
        <v>0.29161100000000001</v>
      </c>
      <c r="AY862">
        <v>860</v>
      </c>
      <c r="AZ862">
        <v>859</v>
      </c>
      <c r="BA862">
        <v>4561.66</v>
      </c>
      <c r="BB862">
        <v>4587.4982</v>
      </c>
      <c r="BC862">
        <v>-25.838200000000001</v>
      </c>
      <c r="BD862">
        <v>667.61310000000003</v>
      </c>
      <c r="BE862">
        <v>737881</v>
      </c>
    </row>
    <row r="863" spans="1:57" x14ac:dyDescent="0.55000000000000004">
      <c r="A863">
        <v>1777507202</v>
      </c>
      <c r="B863" t="s">
        <v>72</v>
      </c>
      <c r="C863" t="s">
        <v>73</v>
      </c>
      <c r="D863">
        <v>4557.93</v>
      </c>
      <c r="E863">
        <v>4518.5928199999998</v>
      </c>
      <c r="F863">
        <v>4596.0559499999999</v>
      </c>
      <c r="G863">
        <v>4755.40355</v>
      </c>
      <c r="H863">
        <v>4792.7697200000002</v>
      </c>
      <c r="Q863">
        <v>4587.2306099999996</v>
      </c>
      <c r="R863">
        <v>4616.5939099999996</v>
      </c>
      <c r="S863">
        <v>4643.1826799999999</v>
      </c>
      <c r="V863">
        <v>4552.2908399999997</v>
      </c>
      <c r="W863">
        <v>4518.7258400000001</v>
      </c>
      <c r="AB863">
        <v>4561.0976199999996</v>
      </c>
      <c r="AC863">
        <v>4558.5501400000003</v>
      </c>
      <c r="AD863">
        <v>0</v>
      </c>
      <c r="AK863">
        <v>861</v>
      </c>
      <c r="AL863">
        <v>860</v>
      </c>
      <c r="AM863">
        <v>4557.93</v>
      </c>
      <c r="AN863">
        <v>4587.2305999999999</v>
      </c>
      <c r="AO863">
        <v>-29.300599999999999</v>
      </c>
      <c r="AP863">
        <v>858.52570000000003</v>
      </c>
      <c r="AQ863">
        <v>-0.57868900000000001</v>
      </c>
      <c r="AR863">
        <v>0.48223700000000003</v>
      </c>
      <c r="AY863">
        <v>861</v>
      </c>
      <c r="AZ863">
        <v>860</v>
      </c>
      <c r="BA863">
        <v>4557.93</v>
      </c>
      <c r="BB863">
        <v>4587.2305999999999</v>
      </c>
      <c r="BC863">
        <v>-29.300599999999999</v>
      </c>
      <c r="BD863">
        <v>858.52570000000003</v>
      </c>
      <c r="BE863">
        <v>739600</v>
      </c>
    </row>
    <row r="864" spans="1:57" x14ac:dyDescent="0.55000000000000004">
      <c r="A864">
        <v>1777508102</v>
      </c>
      <c r="B864" t="s">
        <v>72</v>
      </c>
      <c r="C864" t="s">
        <v>73</v>
      </c>
      <c r="D864">
        <v>4563.57</v>
      </c>
      <c r="E864">
        <v>4518.5928199999998</v>
      </c>
      <c r="F864">
        <v>4596.0559499999999</v>
      </c>
      <c r="G864">
        <v>4755.40355</v>
      </c>
      <c r="H864">
        <v>4792.7697200000002</v>
      </c>
      <c r="Q864">
        <v>4586.9630100000004</v>
      </c>
      <c r="R864">
        <v>4616.3263100000004</v>
      </c>
      <c r="S864">
        <v>4642.9150799999998</v>
      </c>
      <c r="V864">
        <v>4552.0232400000004</v>
      </c>
      <c r="W864">
        <v>4518.4582399999999</v>
      </c>
      <c r="AB864">
        <v>4564.1343399999996</v>
      </c>
      <c r="AC864">
        <v>4561.3422399999999</v>
      </c>
      <c r="AD864">
        <v>0</v>
      </c>
      <c r="AK864">
        <v>862</v>
      </c>
      <c r="AL864">
        <v>861</v>
      </c>
      <c r="AM864">
        <v>4563.57</v>
      </c>
      <c r="AN864">
        <v>4586.9629999999997</v>
      </c>
      <c r="AO864">
        <v>-23.393000000000001</v>
      </c>
      <c r="AP864">
        <v>547.23289999999997</v>
      </c>
      <c r="AQ864">
        <v>-0.29449199999999998</v>
      </c>
      <c r="AR864">
        <v>0.19592899999999999</v>
      </c>
      <c r="AY864">
        <v>862</v>
      </c>
      <c r="AZ864">
        <v>861</v>
      </c>
      <c r="BA864">
        <v>4563.57</v>
      </c>
      <c r="BB864">
        <v>4586.9629999999997</v>
      </c>
      <c r="BC864">
        <v>-23.393000000000001</v>
      </c>
      <c r="BD864">
        <v>547.23289999999997</v>
      </c>
      <c r="BE864">
        <v>741321</v>
      </c>
    </row>
    <row r="865" spans="1:57" x14ac:dyDescent="0.55000000000000004">
      <c r="A865">
        <v>1777509002</v>
      </c>
      <c r="B865" t="s">
        <v>72</v>
      </c>
      <c r="C865" t="s">
        <v>73</v>
      </c>
      <c r="D865">
        <v>4567.1099999999997</v>
      </c>
      <c r="E865">
        <v>4518.5928199999998</v>
      </c>
      <c r="F865">
        <v>4596.0559499999999</v>
      </c>
      <c r="G865">
        <v>4755.40355</v>
      </c>
      <c r="H865">
        <v>4792.7697200000002</v>
      </c>
      <c r="Q865">
        <v>4586.6953999999996</v>
      </c>
      <c r="R865">
        <v>4616.0586999999996</v>
      </c>
      <c r="S865">
        <v>4642.6474699999999</v>
      </c>
      <c r="V865">
        <v>4551.7556299999997</v>
      </c>
      <c r="W865">
        <v>4518.1906399999998</v>
      </c>
      <c r="AB865">
        <v>4567.2409500000003</v>
      </c>
      <c r="AC865">
        <v>4564.2915899999998</v>
      </c>
      <c r="AD865">
        <v>0</v>
      </c>
      <c r="AK865">
        <v>863</v>
      </c>
      <c r="AL865">
        <v>862</v>
      </c>
      <c r="AM865">
        <v>4567.1099999999997</v>
      </c>
      <c r="AN865">
        <v>4586.6953999999996</v>
      </c>
      <c r="AO865">
        <v>-19.5854</v>
      </c>
      <c r="AP865">
        <v>383.58789999999999</v>
      </c>
      <c r="AQ865">
        <v>-0.17282800000000001</v>
      </c>
      <c r="AR865">
        <v>9.6268000000000006E-2</v>
      </c>
      <c r="AY865">
        <v>863</v>
      </c>
      <c r="AZ865">
        <v>862</v>
      </c>
      <c r="BA865">
        <v>4567.1099999999997</v>
      </c>
      <c r="BB865">
        <v>4586.6953999999996</v>
      </c>
      <c r="BC865">
        <v>-19.5854</v>
      </c>
      <c r="BD865">
        <v>383.58789999999999</v>
      </c>
      <c r="BE865">
        <v>743044</v>
      </c>
    </row>
    <row r="866" spans="1:57" x14ac:dyDescent="0.55000000000000004">
      <c r="A866">
        <v>1777509902</v>
      </c>
      <c r="B866" t="s">
        <v>72</v>
      </c>
      <c r="C866" t="s">
        <v>73</v>
      </c>
      <c r="D866">
        <v>4569.83</v>
      </c>
      <c r="E866">
        <v>4518.5928199999998</v>
      </c>
      <c r="F866">
        <v>4596.0559499999999</v>
      </c>
      <c r="G866">
        <v>4755.40355</v>
      </c>
      <c r="H866">
        <v>4792.7697200000002</v>
      </c>
      <c r="Q866">
        <v>4586.4278000000004</v>
      </c>
      <c r="R866">
        <v>4615.7911000000004</v>
      </c>
      <c r="S866">
        <v>4642.3798699999998</v>
      </c>
      <c r="V866">
        <v>4551.4880300000004</v>
      </c>
      <c r="W866">
        <v>4517.9230299999999</v>
      </c>
      <c r="AB866">
        <v>4570.1818899999998</v>
      </c>
      <c r="AC866">
        <v>4567.2367400000003</v>
      </c>
      <c r="AD866">
        <v>0</v>
      </c>
      <c r="AK866">
        <v>864</v>
      </c>
      <c r="AL866">
        <v>863</v>
      </c>
      <c r="AM866">
        <v>4569.83</v>
      </c>
      <c r="AN866">
        <v>4586.4278000000004</v>
      </c>
      <c r="AO866">
        <v>-16.597799999999999</v>
      </c>
      <c r="AP866">
        <v>275.48700000000002</v>
      </c>
      <c r="AQ866">
        <v>-0.105188</v>
      </c>
      <c r="AR866">
        <v>4.9653999999999997E-2</v>
      </c>
      <c r="AY866">
        <v>864</v>
      </c>
      <c r="AZ866">
        <v>863</v>
      </c>
      <c r="BA866">
        <v>4569.83</v>
      </c>
      <c r="BB866">
        <v>4586.4278000000004</v>
      </c>
      <c r="BC866">
        <v>-16.597799999999999</v>
      </c>
      <c r="BD866">
        <v>275.48700000000002</v>
      </c>
      <c r="BE866">
        <v>744769</v>
      </c>
    </row>
    <row r="867" spans="1:57" x14ac:dyDescent="0.55000000000000004">
      <c r="A867">
        <v>1777510802</v>
      </c>
      <c r="B867" t="s">
        <v>72</v>
      </c>
      <c r="C867" t="s">
        <v>73</v>
      </c>
      <c r="D867">
        <v>4568.5200000000004</v>
      </c>
      <c r="E867">
        <v>4518.5928199999998</v>
      </c>
      <c r="F867">
        <v>4596.0559499999999</v>
      </c>
      <c r="G867">
        <v>4755.40355</v>
      </c>
      <c r="H867">
        <v>4792.7697200000002</v>
      </c>
      <c r="Q867">
        <v>4586.1601899999996</v>
      </c>
      <c r="R867">
        <v>4615.5234899999996</v>
      </c>
      <c r="S867">
        <v>4642.1122599999999</v>
      </c>
      <c r="V867">
        <v>4551.2204199999996</v>
      </c>
      <c r="W867">
        <v>4517.6554299999998</v>
      </c>
      <c r="AB867">
        <v>4572.7669500000002</v>
      </c>
      <c r="AC867">
        <v>4570.0018399999999</v>
      </c>
      <c r="AD867">
        <v>0</v>
      </c>
      <c r="AK867">
        <v>865</v>
      </c>
      <c r="AL867">
        <v>864</v>
      </c>
      <c r="AM867">
        <v>4568.5200000000004</v>
      </c>
      <c r="AN867">
        <v>4586.1602000000003</v>
      </c>
      <c r="AO867">
        <v>-17.6402</v>
      </c>
      <c r="AP867">
        <v>311.17630000000003</v>
      </c>
      <c r="AQ867">
        <v>-0.126277</v>
      </c>
      <c r="AR867">
        <v>6.3353000000000007E-2</v>
      </c>
      <c r="AY867">
        <v>865</v>
      </c>
      <c r="AZ867">
        <v>864</v>
      </c>
      <c r="BA867">
        <v>4568.5200000000004</v>
      </c>
      <c r="BB867">
        <v>4586.1602000000003</v>
      </c>
      <c r="BC867">
        <v>-17.6402</v>
      </c>
      <c r="BD867">
        <v>311.17630000000003</v>
      </c>
      <c r="BE867">
        <v>746496</v>
      </c>
    </row>
    <row r="868" spans="1:57" x14ac:dyDescent="0.55000000000000004">
      <c r="A868">
        <v>1777511702</v>
      </c>
      <c r="B868" t="s">
        <v>72</v>
      </c>
      <c r="C868" t="s">
        <v>73</v>
      </c>
      <c r="D868">
        <v>4579.79</v>
      </c>
      <c r="E868">
        <v>4518.5928199999998</v>
      </c>
      <c r="F868">
        <v>4596.0559499999999</v>
      </c>
      <c r="G868">
        <v>4755.40355</v>
      </c>
      <c r="H868">
        <v>4792.7697200000002</v>
      </c>
      <c r="Q868">
        <v>4585.8925900000004</v>
      </c>
      <c r="R868">
        <v>4615.2558900000004</v>
      </c>
      <c r="S868">
        <v>4641.8446599999997</v>
      </c>
      <c r="V868">
        <v>4550.9528200000004</v>
      </c>
      <c r="W868">
        <v>4517.3878199999999</v>
      </c>
      <c r="AB868">
        <v>4574.9108999999999</v>
      </c>
      <c r="AC868">
        <v>4572.4563699999999</v>
      </c>
      <c r="AD868">
        <v>0</v>
      </c>
      <c r="AK868">
        <v>866</v>
      </c>
      <c r="AL868">
        <v>865</v>
      </c>
      <c r="AM868">
        <v>4579.79</v>
      </c>
      <c r="AN868">
        <v>4585.8926000000001</v>
      </c>
      <c r="AO868">
        <v>-6.1025999999999998</v>
      </c>
      <c r="AP868">
        <v>37.241599999999998</v>
      </c>
      <c r="AQ868">
        <v>-5.228E-3</v>
      </c>
      <c r="AR868">
        <v>9.0700000000000004E-4</v>
      </c>
      <c r="AY868">
        <v>866</v>
      </c>
      <c r="AZ868">
        <v>865</v>
      </c>
      <c r="BA868">
        <v>4579.79</v>
      </c>
      <c r="BB868">
        <v>4585.8926000000001</v>
      </c>
      <c r="BC868">
        <v>-6.1025999999999998</v>
      </c>
      <c r="BD868">
        <v>37.241599999999998</v>
      </c>
      <c r="BE868">
        <v>748225</v>
      </c>
    </row>
    <row r="869" spans="1:57" x14ac:dyDescent="0.55000000000000004">
      <c r="A869">
        <v>1777512602</v>
      </c>
      <c r="B869" t="s">
        <v>72</v>
      </c>
      <c r="C869" t="s">
        <v>73</v>
      </c>
      <c r="D869">
        <v>4576.3100000000004</v>
      </c>
      <c r="E869">
        <v>4518.5928199999998</v>
      </c>
      <c r="F869">
        <v>4596.0559499999999</v>
      </c>
      <c r="G869">
        <v>4755.40355</v>
      </c>
      <c r="H869">
        <v>4792.7697200000002</v>
      </c>
      <c r="Q869">
        <v>4585.6249900000003</v>
      </c>
      <c r="R869">
        <v>4614.9882799999996</v>
      </c>
      <c r="S869">
        <v>4641.5770599999996</v>
      </c>
      <c r="V869">
        <v>4550.6852200000003</v>
      </c>
      <c r="W869">
        <v>4517.1202199999998</v>
      </c>
      <c r="AB869">
        <v>4576.1533399999998</v>
      </c>
      <c r="AC869">
        <v>4574.3048600000002</v>
      </c>
      <c r="AD869">
        <v>0</v>
      </c>
      <c r="AK869">
        <v>867</v>
      </c>
      <c r="AL869">
        <v>866</v>
      </c>
      <c r="AM869">
        <v>4576.3100000000004</v>
      </c>
      <c r="AN869">
        <v>4585.625</v>
      </c>
      <c r="AO869">
        <v>-9.3149999999999995</v>
      </c>
      <c r="AP869">
        <v>86.769000000000005</v>
      </c>
      <c r="AQ869">
        <v>-1.8593999999999999E-2</v>
      </c>
      <c r="AR869">
        <v>4.9259999999999998E-3</v>
      </c>
      <c r="AY869">
        <v>867</v>
      </c>
      <c r="AZ869">
        <v>866</v>
      </c>
      <c r="BA869">
        <v>4576.3100000000004</v>
      </c>
      <c r="BB869">
        <v>4585.625</v>
      </c>
      <c r="BC869">
        <v>-9.3149999999999995</v>
      </c>
      <c r="BD869">
        <v>86.769000000000005</v>
      </c>
      <c r="BE869">
        <v>749956</v>
      </c>
    </row>
    <row r="870" spans="1:57" x14ac:dyDescent="0.55000000000000004">
      <c r="A870">
        <v>1777513502</v>
      </c>
      <c r="B870" t="s">
        <v>72</v>
      </c>
      <c r="C870" t="s">
        <v>73</v>
      </c>
      <c r="D870">
        <v>4579.13</v>
      </c>
      <c r="E870">
        <v>4518.5928199999998</v>
      </c>
      <c r="F870">
        <v>4596.0559499999999</v>
      </c>
      <c r="G870">
        <v>4755.40355</v>
      </c>
      <c r="H870">
        <v>4792.7697200000002</v>
      </c>
      <c r="Q870">
        <v>4585.3573800000004</v>
      </c>
      <c r="R870">
        <v>4614.7206800000004</v>
      </c>
      <c r="S870">
        <v>4641.3094499999997</v>
      </c>
      <c r="V870">
        <v>4550.4176100000004</v>
      </c>
      <c r="W870">
        <v>4516.8526199999997</v>
      </c>
      <c r="Z870">
        <v>4582.32</v>
      </c>
      <c r="AB870">
        <v>4576.4413100000002</v>
      </c>
      <c r="AC870">
        <v>4575.3730800000003</v>
      </c>
      <c r="AD870">
        <v>0</v>
      </c>
      <c r="AK870">
        <v>868</v>
      </c>
      <c r="AL870">
        <v>867</v>
      </c>
      <c r="AM870">
        <v>4579.13</v>
      </c>
      <c r="AN870">
        <v>4585.3573999999999</v>
      </c>
      <c r="AO870">
        <v>-6.2274000000000003</v>
      </c>
      <c r="AP870">
        <v>38.780299999999997</v>
      </c>
      <c r="AQ870">
        <v>-5.5560000000000002E-3</v>
      </c>
      <c r="AR870">
        <v>9.8400000000000007E-4</v>
      </c>
      <c r="AY870">
        <v>868</v>
      </c>
      <c r="AZ870">
        <v>867</v>
      </c>
      <c r="BA870">
        <v>4579.13</v>
      </c>
      <c r="BB870">
        <v>4585.3573999999999</v>
      </c>
      <c r="BC870">
        <v>-6.2274000000000003</v>
      </c>
      <c r="BD870">
        <v>38.780299999999997</v>
      </c>
      <c r="BE870">
        <v>751689</v>
      </c>
    </row>
    <row r="871" spans="1:57" x14ac:dyDescent="0.55000000000000004">
      <c r="A871">
        <v>1777514402</v>
      </c>
      <c r="B871" t="s">
        <v>72</v>
      </c>
      <c r="C871" t="s">
        <v>73</v>
      </c>
      <c r="D871">
        <v>4579.74</v>
      </c>
      <c r="E871">
        <v>4518.5928199999998</v>
      </c>
      <c r="F871">
        <v>4596.0559499999999</v>
      </c>
      <c r="G871">
        <v>4755.40355</v>
      </c>
      <c r="H871">
        <v>4792.7697200000002</v>
      </c>
      <c r="Q871">
        <v>4585.0897800000002</v>
      </c>
      <c r="R871">
        <v>4614.4530800000002</v>
      </c>
      <c r="S871">
        <v>4641.0418499999996</v>
      </c>
      <c r="V871">
        <v>4550.1500100000003</v>
      </c>
      <c r="W871">
        <v>4516.5850099999998</v>
      </c>
      <c r="AB871">
        <v>4575.6206499999998</v>
      </c>
      <c r="AC871">
        <v>4575.4968699999999</v>
      </c>
      <c r="AD871">
        <v>0</v>
      </c>
      <c r="AK871">
        <v>869</v>
      </c>
      <c r="AL871">
        <v>868</v>
      </c>
      <c r="AM871">
        <v>4579.74</v>
      </c>
      <c r="AN871">
        <v>4585.0897999999997</v>
      </c>
      <c r="AO871">
        <v>-5.3498000000000001</v>
      </c>
      <c r="AP871">
        <v>28.620100000000001</v>
      </c>
      <c r="AQ871">
        <v>-3.522E-3</v>
      </c>
      <c r="AR871">
        <v>5.3600000000000002E-4</v>
      </c>
      <c r="AY871">
        <v>869</v>
      </c>
      <c r="AZ871">
        <v>868</v>
      </c>
      <c r="BA871">
        <v>4579.74</v>
      </c>
      <c r="BB871">
        <v>4585.0897999999997</v>
      </c>
      <c r="BC871">
        <v>-5.3498000000000001</v>
      </c>
      <c r="BD871">
        <v>28.620100000000001</v>
      </c>
      <c r="BE871">
        <v>753424</v>
      </c>
    </row>
    <row r="872" spans="1:57" x14ac:dyDescent="0.55000000000000004">
      <c r="A872">
        <v>1777515302</v>
      </c>
      <c r="B872" t="s">
        <v>72</v>
      </c>
      <c r="C872" t="s">
        <v>73</v>
      </c>
      <c r="D872">
        <v>4573.13</v>
      </c>
      <c r="E872">
        <v>4518.5928199999998</v>
      </c>
      <c r="F872">
        <v>4596.0559499999999</v>
      </c>
      <c r="G872">
        <v>4755.40355</v>
      </c>
      <c r="H872">
        <v>4792.7697200000002</v>
      </c>
      <c r="Q872">
        <v>4584.8221700000004</v>
      </c>
      <c r="R872">
        <v>4614.1854700000004</v>
      </c>
      <c r="S872">
        <v>4640.7742399999997</v>
      </c>
      <c r="V872">
        <v>4549.8824000000004</v>
      </c>
      <c r="W872">
        <v>4516.3174099999997</v>
      </c>
      <c r="AB872">
        <v>4573.7037200000004</v>
      </c>
      <c r="AC872">
        <v>4574.6002900000003</v>
      </c>
      <c r="AD872">
        <v>1</v>
      </c>
      <c r="AK872">
        <v>870</v>
      </c>
      <c r="AL872">
        <v>869</v>
      </c>
      <c r="AM872">
        <v>4573.13</v>
      </c>
      <c r="AN872">
        <v>4584.8221999999996</v>
      </c>
      <c r="AO872">
        <v>-11.6922</v>
      </c>
      <c r="AP872">
        <v>136.70679999999999</v>
      </c>
      <c r="AQ872">
        <v>-3.6770999999999998E-2</v>
      </c>
      <c r="AR872">
        <v>1.2227E-2</v>
      </c>
      <c r="AY872">
        <v>870</v>
      </c>
      <c r="AZ872">
        <v>869</v>
      </c>
      <c r="BA872">
        <v>4573.13</v>
      </c>
      <c r="BB872">
        <v>4584.8221999999996</v>
      </c>
      <c r="BC872">
        <v>-11.6922</v>
      </c>
      <c r="BD872">
        <v>136.70679999999999</v>
      </c>
      <c r="BE872">
        <v>755161</v>
      </c>
    </row>
    <row r="873" spans="1:57" x14ac:dyDescent="0.55000000000000004">
      <c r="A873">
        <v>1777516202</v>
      </c>
      <c r="B873" t="s">
        <v>72</v>
      </c>
      <c r="C873" t="s">
        <v>73</v>
      </c>
      <c r="D873">
        <v>4562.53</v>
      </c>
      <c r="E873">
        <v>4518.5928199999998</v>
      </c>
      <c r="F873">
        <v>4596.0559499999999</v>
      </c>
      <c r="G873">
        <v>4755.40355</v>
      </c>
      <c r="H873">
        <v>4792.7697200000002</v>
      </c>
      <c r="Q873">
        <v>4584.5545700000002</v>
      </c>
      <c r="R873">
        <v>4613.9178700000002</v>
      </c>
      <c r="S873">
        <v>4640.5066399999996</v>
      </c>
      <c r="V873">
        <v>4549.6148000000003</v>
      </c>
      <c r="W873">
        <v>4516.0497999999998</v>
      </c>
      <c r="AB873">
        <v>4570.9660800000001</v>
      </c>
      <c r="AC873">
        <v>4572.7831900000001</v>
      </c>
      <c r="AD873">
        <v>0</v>
      </c>
      <c r="AK873">
        <v>871</v>
      </c>
      <c r="AL873">
        <v>870</v>
      </c>
      <c r="AM873">
        <v>4562.53</v>
      </c>
      <c r="AN873">
        <v>4584.5546000000004</v>
      </c>
      <c r="AO873">
        <v>-22.0246</v>
      </c>
      <c r="AP873">
        <v>485.08170000000001</v>
      </c>
      <c r="AQ873">
        <v>-0.24577499999999999</v>
      </c>
      <c r="AR873">
        <v>0.153951</v>
      </c>
      <c r="AY873">
        <v>871</v>
      </c>
      <c r="AZ873">
        <v>870</v>
      </c>
      <c r="BA873">
        <v>4562.53</v>
      </c>
      <c r="BB873">
        <v>4584.5546000000004</v>
      </c>
      <c r="BC873">
        <v>-22.0246</v>
      </c>
      <c r="BD873">
        <v>485.08170000000001</v>
      </c>
      <c r="BE873">
        <v>756900</v>
      </c>
    </row>
    <row r="874" spans="1:57" x14ac:dyDescent="0.55000000000000004">
      <c r="A874">
        <v>1777517102</v>
      </c>
      <c r="B874" t="s">
        <v>72</v>
      </c>
      <c r="C874" t="s">
        <v>73</v>
      </c>
      <c r="D874">
        <v>4565.0200000000004</v>
      </c>
      <c r="E874">
        <v>4518.5928199999998</v>
      </c>
      <c r="F874">
        <v>4596.0559499999999</v>
      </c>
      <c r="G874">
        <v>4755.40355</v>
      </c>
      <c r="H874">
        <v>4792.7697200000002</v>
      </c>
      <c r="Q874">
        <v>4584.2869700000001</v>
      </c>
      <c r="R874">
        <v>4613.6502600000003</v>
      </c>
      <c r="S874">
        <v>4640.2390400000004</v>
      </c>
      <c r="V874">
        <v>4549.3472000000002</v>
      </c>
      <c r="W874">
        <v>4515.7821999999996</v>
      </c>
      <c r="AB874">
        <v>4567.8880799999997</v>
      </c>
      <c r="AC874">
        <v>4570.3356299999996</v>
      </c>
      <c r="AD874">
        <v>0</v>
      </c>
      <c r="AK874">
        <v>872</v>
      </c>
      <c r="AL874">
        <v>871</v>
      </c>
      <c r="AM874">
        <v>4565.0200000000004</v>
      </c>
      <c r="AN874">
        <v>4584.2870000000003</v>
      </c>
      <c r="AO874">
        <v>-19.266999999999999</v>
      </c>
      <c r="AP874">
        <v>371.21609999999998</v>
      </c>
      <c r="AQ874">
        <v>-0.16453400000000001</v>
      </c>
      <c r="AR874">
        <v>9.0159000000000003E-2</v>
      </c>
      <c r="AY874">
        <v>872</v>
      </c>
      <c r="AZ874">
        <v>871</v>
      </c>
      <c r="BA874">
        <v>4565.0200000000004</v>
      </c>
      <c r="BB874">
        <v>4584.2870000000003</v>
      </c>
      <c r="BC874">
        <v>-19.266999999999999</v>
      </c>
      <c r="BD874">
        <v>371.21609999999998</v>
      </c>
      <c r="BE874">
        <v>758641</v>
      </c>
    </row>
    <row r="875" spans="1:57" x14ac:dyDescent="0.55000000000000004">
      <c r="A875">
        <v>1777518002</v>
      </c>
      <c r="B875" t="s">
        <v>72</v>
      </c>
      <c r="C875" t="s">
        <v>73</v>
      </c>
      <c r="D875">
        <v>4564.9799999999996</v>
      </c>
      <c r="E875">
        <v>4518.5928199999998</v>
      </c>
      <c r="F875">
        <v>4596.0559499999999</v>
      </c>
      <c r="G875">
        <v>4755.40355</v>
      </c>
      <c r="H875">
        <v>4792.7697200000002</v>
      </c>
      <c r="Q875">
        <v>4584.0193600000002</v>
      </c>
      <c r="R875">
        <v>4613.3826600000002</v>
      </c>
      <c r="S875">
        <v>4639.9714299999996</v>
      </c>
      <c r="V875">
        <v>4549.0795900000003</v>
      </c>
      <c r="W875">
        <v>4515.5145899999998</v>
      </c>
      <c r="AB875">
        <v>4564.5158600000004</v>
      </c>
      <c r="AC875">
        <v>4567.4257500000003</v>
      </c>
      <c r="AD875">
        <v>0</v>
      </c>
      <c r="AK875">
        <v>873</v>
      </c>
      <c r="AL875">
        <v>872</v>
      </c>
      <c r="AM875">
        <v>4564.9799999999996</v>
      </c>
      <c r="AN875">
        <v>4584.0194000000001</v>
      </c>
      <c r="AO875">
        <v>-19.039400000000001</v>
      </c>
      <c r="AP875">
        <v>362.49720000000002</v>
      </c>
      <c r="AQ875">
        <v>-0.158772</v>
      </c>
      <c r="AR875">
        <v>8.5972999999999994E-2</v>
      </c>
      <c r="AY875">
        <v>873</v>
      </c>
      <c r="AZ875">
        <v>872</v>
      </c>
      <c r="BA875">
        <v>4564.9799999999996</v>
      </c>
      <c r="BB875">
        <v>4584.0194000000001</v>
      </c>
      <c r="BC875">
        <v>-19.039400000000001</v>
      </c>
      <c r="BD875">
        <v>362.49720000000002</v>
      </c>
      <c r="BE875">
        <v>760384</v>
      </c>
    </row>
    <row r="876" spans="1:57" x14ac:dyDescent="0.55000000000000004">
      <c r="A876">
        <v>1777518902</v>
      </c>
      <c r="B876" t="s">
        <v>72</v>
      </c>
      <c r="C876" t="s">
        <v>73</v>
      </c>
      <c r="D876">
        <v>4563.32</v>
      </c>
      <c r="E876">
        <v>4518.5928199999998</v>
      </c>
      <c r="F876">
        <v>4596.0559499999999</v>
      </c>
      <c r="G876">
        <v>4755.40355</v>
      </c>
      <c r="H876">
        <v>4792.7697200000002</v>
      </c>
      <c r="Q876">
        <v>4583.7517600000001</v>
      </c>
      <c r="R876">
        <v>4613.1150600000001</v>
      </c>
      <c r="S876">
        <v>4639.7038300000004</v>
      </c>
      <c r="V876">
        <v>4548.8119900000002</v>
      </c>
      <c r="W876">
        <v>4515.2469899999996</v>
      </c>
      <c r="AB876">
        <v>4561.0269099999996</v>
      </c>
      <c r="AC876">
        <v>4564.2263300000004</v>
      </c>
      <c r="AD876">
        <v>0</v>
      </c>
      <c r="AK876">
        <v>874</v>
      </c>
      <c r="AL876">
        <v>873</v>
      </c>
      <c r="AM876">
        <v>4563.32</v>
      </c>
      <c r="AN876">
        <v>4583.7518</v>
      </c>
      <c r="AO876">
        <v>-20.431799999999999</v>
      </c>
      <c r="AP876">
        <v>417.45679999999999</v>
      </c>
      <c r="AQ876">
        <v>-0.196215</v>
      </c>
      <c r="AR876">
        <v>0.114019</v>
      </c>
      <c r="AY876">
        <v>874</v>
      </c>
      <c r="AZ876">
        <v>873</v>
      </c>
      <c r="BA876">
        <v>4563.32</v>
      </c>
      <c r="BB876">
        <v>4583.7518</v>
      </c>
      <c r="BC876">
        <v>-20.431799999999999</v>
      </c>
      <c r="BD876">
        <v>417.45679999999999</v>
      </c>
      <c r="BE876">
        <v>762129</v>
      </c>
    </row>
    <row r="877" spans="1:57" x14ac:dyDescent="0.55000000000000004">
      <c r="A877">
        <v>1777519802</v>
      </c>
      <c r="B877" t="s">
        <v>72</v>
      </c>
      <c r="C877" t="s">
        <v>73</v>
      </c>
      <c r="D877">
        <v>4561.66</v>
      </c>
      <c r="E877">
        <v>4518.5928199999998</v>
      </c>
      <c r="F877">
        <v>4596.0559499999999</v>
      </c>
      <c r="G877">
        <v>4755.40355</v>
      </c>
      <c r="H877">
        <v>4792.7697200000002</v>
      </c>
      <c r="Q877">
        <v>4583.4841500000002</v>
      </c>
      <c r="R877">
        <v>4612.8474500000002</v>
      </c>
      <c r="S877">
        <v>4639.4362199999996</v>
      </c>
      <c r="V877">
        <v>4548.5443800000003</v>
      </c>
      <c r="W877">
        <v>4514.9793900000004</v>
      </c>
      <c r="AB877">
        <v>4557.5726999999997</v>
      </c>
      <c r="AC877">
        <v>4560.8995100000002</v>
      </c>
      <c r="AD877">
        <v>0</v>
      </c>
      <c r="AK877">
        <v>875</v>
      </c>
      <c r="AL877">
        <v>874</v>
      </c>
      <c r="AM877">
        <v>4561.66</v>
      </c>
      <c r="AN877">
        <v>4583.4841999999999</v>
      </c>
      <c r="AO877">
        <v>-21.824200000000001</v>
      </c>
      <c r="AP877">
        <v>476.29349999999999</v>
      </c>
      <c r="AQ877">
        <v>-0.23912600000000001</v>
      </c>
      <c r="AR877">
        <v>0.148424</v>
      </c>
      <c r="AY877">
        <v>875</v>
      </c>
      <c r="AZ877">
        <v>874</v>
      </c>
      <c r="BA877">
        <v>4561.66</v>
      </c>
      <c r="BB877">
        <v>4583.4841999999999</v>
      </c>
      <c r="BC877">
        <v>-21.824200000000001</v>
      </c>
      <c r="BD877">
        <v>476.29349999999999</v>
      </c>
      <c r="BE877">
        <v>763876</v>
      </c>
    </row>
    <row r="878" spans="1:57" x14ac:dyDescent="0.55000000000000004">
      <c r="A878">
        <v>1777520702</v>
      </c>
      <c r="B878" t="s">
        <v>72</v>
      </c>
      <c r="C878" t="s">
        <v>73</v>
      </c>
      <c r="D878">
        <v>4556.09</v>
      </c>
      <c r="E878">
        <v>4518.5928199999998</v>
      </c>
      <c r="F878">
        <v>4596.0559499999999</v>
      </c>
      <c r="G878">
        <v>4755.40355</v>
      </c>
      <c r="H878">
        <v>4792.7697200000002</v>
      </c>
      <c r="Q878">
        <v>4583.2165500000001</v>
      </c>
      <c r="R878">
        <v>4612.5798500000001</v>
      </c>
      <c r="S878">
        <v>4639.1686200000004</v>
      </c>
      <c r="V878">
        <v>4548.2767800000001</v>
      </c>
      <c r="W878">
        <v>4514.7117799999996</v>
      </c>
      <c r="AB878">
        <v>4554.3384400000004</v>
      </c>
      <c r="AC878">
        <v>4557.6189800000002</v>
      </c>
      <c r="AD878">
        <v>0</v>
      </c>
      <c r="AK878">
        <v>876</v>
      </c>
      <c r="AL878">
        <v>875</v>
      </c>
      <c r="AM878">
        <v>4556.09</v>
      </c>
      <c r="AN878">
        <v>4583.2165999999997</v>
      </c>
      <c r="AO878">
        <v>-27.1265</v>
      </c>
      <c r="AP878">
        <v>735.84969999999998</v>
      </c>
      <c r="AQ878">
        <v>-0.45919700000000002</v>
      </c>
      <c r="AR878">
        <v>0.35426800000000003</v>
      </c>
      <c r="AY878">
        <v>876</v>
      </c>
      <c r="AZ878">
        <v>875</v>
      </c>
      <c r="BA878">
        <v>4556.09</v>
      </c>
      <c r="BB878">
        <v>4583.2165999999997</v>
      </c>
      <c r="BC878">
        <v>-27.1265</v>
      </c>
      <c r="BD878">
        <v>735.84969999999998</v>
      </c>
      <c r="BE878">
        <v>765625</v>
      </c>
    </row>
    <row r="879" spans="1:57" x14ac:dyDescent="0.55000000000000004">
      <c r="A879">
        <v>1777521602</v>
      </c>
      <c r="B879" t="s">
        <v>72</v>
      </c>
      <c r="C879" t="s">
        <v>73</v>
      </c>
      <c r="D879">
        <v>4555.41</v>
      </c>
      <c r="E879">
        <v>4518.5928199999998</v>
      </c>
      <c r="F879">
        <v>4596.0559499999999</v>
      </c>
      <c r="G879">
        <v>4755.40355</v>
      </c>
      <c r="H879">
        <v>4792.7697200000002</v>
      </c>
      <c r="Q879">
        <v>4582.94895</v>
      </c>
      <c r="R879">
        <v>4612.3122400000002</v>
      </c>
      <c r="S879">
        <v>4638.9010099999996</v>
      </c>
      <c r="V879">
        <v>4548.0091700000003</v>
      </c>
      <c r="W879">
        <v>4514.4441800000004</v>
      </c>
      <c r="AB879">
        <v>4551.6532800000004</v>
      </c>
      <c r="AC879">
        <v>4554.6361299999999</v>
      </c>
      <c r="AD879">
        <v>0</v>
      </c>
      <c r="AK879">
        <v>877</v>
      </c>
      <c r="AL879">
        <v>876</v>
      </c>
      <c r="AM879">
        <v>4555.41</v>
      </c>
      <c r="AN879">
        <v>4582.9489000000003</v>
      </c>
      <c r="AO879">
        <v>-27.539000000000001</v>
      </c>
      <c r="AP879">
        <v>758.39380000000006</v>
      </c>
      <c r="AQ879">
        <v>-0.48046100000000003</v>
      </c>
      <c r="AR879">
        <v>0.37630799999999998</v>
      </c>
      <c r="AY879">
        <v>877</v>
      </c>
      <c r="AZ879">
        <v>876</v>
      </c>
      <c r="BA879">
        <v>4555.41</v>
      </c>
      <c r="BB879">
        <v>4582.9489000000003</v>
      </c>
      <c r="BC879">
        <v>-27.539000000000001</v>
      </c>
      <c r="BD879">
        <v>758.39380000000006</v>
      </c>
      <c r="BE879">
        <v>767376</v>
      </c>
    </row>
    <row r="880" spans="1:57" x14ac:dyDescent="0.55000000000000004">
      <c r="A880">
        <v>1777522502</v>
      </c>
      <c r="B880" t="s">
        <v>72</v>
      </c>
      <c r="C880" t="s">
        <v>73</v>
      </c>
      <c r="D880">
        <v>4547.28</v>
      </c>
      <c r="E880">
        <v>4518.5928199999998</v>
      </c>
      <c r="F880">
        <v>4596.0559499999999</v>
      </c>
      <c r="G880">
        <v>4755.40355</v>
      </c>
      <c r="H880">
        <v>4792.7697200000002</v>
      </c>
      <c r="Q880">
        <v>4582.6813400000001</v>
      </c>
      <c r="R880">
        <v>4612.0446400000001</v>
      </c>
      <c r="S880">
        <v>4638.6334100000004</v>
      </c>
      <c r="V880">
        <v>4547.7415700000001</v>
      </c>
      <c r="W880">
        <v>4514.1765699999996</v>
      </c>
      <c r="AB880">
        <v>4549.7284200000004</v>
      </c>
      <c r="AC880">
        <v>4552.18228</v>
      </c>
      <c r="AD880">
        <v>0</v>
      </c>
      <c r="AK880">
        <v>878</v>
      </c>
      <c r="AL880">
        <v>877</v>
      </c>
      <c r="AM880">
        <v>4547.28</v>
      </c>
      <c r="AN880">
        <v>4582.6813000000002</v>
      </c>
      <c r="AO880">
        <v>-35.401299999999999</v>
      </c>
      <c r="AP880">
        <v>1253.2548999999999</v>
      </c>
      <c r="AQ880">
        <v>-1.020645</v>
      </c>
      <c r="AR880">
        <v>1.0276209999999999</v>
      </c>
      <c r="AY880">
        <v>878</v>
      </c>
      <c r="AZ880">
        <v>877</v>
      </c>
      <c r="BA880">
        <v>4547.28</v>
      </c>
      <c r="BB880">
        <v>4582.6813000000002</v>
      </c>
      <c r="BC880">
        <v>-35.401299999999999</v>
      </c>
      <c r="BD880">
        <v>1253.2548999999999</v>
      </c>
      <c r="BE880">
        <v>769129</v>
      </c>
    </row>
    <row r="881" spans="1:57" x14ac:dyDescent="0.55000000000000004">
      <c r="A881">
        <v>1777523402</v>
      </c>
      <c r="B881" t="s">
        <v>72</v>
      </c>
      <c r="C881" t="s">
        <v>73</v>
      </c>
      <c r="D881">
        <v>4544.74</v>
      </c>
      <c r="E881">
        <v>4518.5928199999998</v>
      </c>
      <c r="F881">
        <v>4596.0559499999999</v>
      </c>
      <c r="G881">
        <v>4755.40355</v>
      </c>
      <c r="H881">
        <v>4792.7697200000002</v>
      </c>
      <c r="Q881">
        <v>4582.41374</v>
      </c>
      <c r="R881">
        <v>4611.7770399999999</v>
      </c>
      <c r="S881">
        <v>4638.3658100000002</v>
      </c>
      <c r="V881">
        <v>4547.47397</v>
      </c>
      <c r="W881">
        <v>4513.9089700000004</v>
      </c>
      <c r="AA881">
        <v>4540.82</v>
      </c>
      <c r="AB881">
        <v>4548.9211400000004</v>
      </c>
      <c r="AC881">
        <v>4550.5517099999997</v>
      </c>
      <c r="AD881">
        <v>0</v>
      </c>
      <c r="AK881">
        <v>879</v>
      </c>
      <c r="AL881">
        <v>878</v>
      </c>
      <c r="AM881">
        <v>4544.74</v>
      </c>
      <c r="AN881">
        <v>4582.4137000000001</v>
      </c>
      <c r="AO881">
        <v>-37.673699999999997</v>
      </c>
      <c r="AP881">
        <v>1419.3107</v>
      </c>
      <c r="AQ881">
        <v>-1.2300759999999999</v>
      </c>
      <c r="AR881">
        <v>1.3179810000000001</v>
      </c>
      <c r="AY881">
        <v>879</v>
      </c>
      <c r="AZ881">
        <v>878</v>
      </c>
      <c r="BA881">
        <v>4544.74</v>
      </c>
      <c r="BB881">
        <v>4582.4137000000001</v>
      </c>
      <c r="BC881">
        <v>-37.673699999999997</v>
      </c>
      <c r="BD881">
        <v>1419.3107</v>
      </c>
      <c r="BE881">
        <v>770884</v>
      </c>
    </row>
    <row r="882" spans="1:57" x14ac:dyDescent="0.55000000000000004">
      <c r="A882">
        <v>1777524302</v>
      </c>
      <c r="B882" t="s">
        <v>72</v>
      </c>
      <c r="C882" t="s">
        <v>73</v>
      </c>
      <c r="D882">
        <v>4541.91</v>
      </c>
      <c r="E882">
        <v>4518.5928199999998</v>
      </c>
      <c r="F882">
        <v>4596.0559499999999</v>
      </c>
      <c r="G882">
        <v>4755.40355</v>
      </c>
      <c r="H882">
        <v>4792.7697200000002</v>
      </c>
      <c r="Q882">
        <v>4582.1461300000001</v>
      </c>
      <c r="R882">
        <v>4611.5094300000001</v>
      </c>
      <c r="S882">
        <v>4638.0982000000004</v>
      </c>
      <c r="V882">
        <v>4547.2063600000001</v>
      </c>
      <c r="W882">
        <v>4513.6413700000003</v>
      </c>
      <c r="AB882">
        <v>4549.3872000000001</v>
      </c>
      <c r="AC882">
        <v>4549.9694499999996</v>
      </c>
      <c r="AD882">
        <v>0</v>
      </c>
      <c r="AK882">
        <v>880</v>
      </c>
      <c r="AL882">
        <v>879</v>
      </c>
      <c r="AM882">
        <v>4541.91</v>
      </c>
      <c r="AN882">
        <v>4582.1460999999999</v>
      </c>
      <c r="AO882">
        <v>-40.2361</v>
      </c>
      <c r="AP882">
        <v>1618.9462000000001</v>
      </c>
      <c r="AQ882">
        <v>-1.498526</v>
      </c>
      <c r="AR882">
        <v>1.7148220000000001</v>
      </c>
      <c r="AY882">
        <v>880</v>
      </c>
      <c r="AZ882">
        <v>879</v>
      </c>
      <c r="BA882">
        <v>4541.91</v>
      </c>
      <c r="BB882">
        <v>4582.1460999999999</v>
      </c>
      <c r="BC882">
        <v>-40.2361</v>
      </c>
      <c r="BD882">
        <v>1618.9462000000001</v>
      </c>
      <c r="BE882">
        <v>772641</v>
      </c>
    </row>
    <row r="883" spans="1:57" x14ac:dyDescent="0.55000000000000004">
      <c r="A883">
        <v>1777525202</v>
      </c>
      <c r="B883" t="s">
        <v>72</v>
      </c>
      <c r="C883" t="s">
        <v>73</v>
      </c>
      <c r="D883">
        <v>4553.22</v>
      </c>
      <c r="E883">
        <v>4518.5928199999998</v>
      </c>
      <c r="F883">
        <v>4596.0559499999999</v>
      </c>
      <c r="G883">
        <v>4755.40355</v>
      </c>
      <c r="H883">
        <v>4792.7697200000002</v>
      </c>
      <c r="Q883">
        <v>4581.87853</v>
      </c>
      <c r="R883">
        <v>4611.2418299999999</v>
      </c>
      <c r="S883">
        <v>4637.8306000000002</v>
      </c>
      <c r="V883">
        <v>4546.93876</v>
      </c>
      <c r="W883">
        <v>4513.3737600000004</v>
      </c>
      <c r="AB883">
        <v>4551.2341100000003</v>
      </c>
      <c r="AC883">
        <v>4550.60178</v>
      </c>
      <c r="AD883">
        <v>1</v>
      </c>
      <c r="AK883">
        <v>881</v>
      </c>
      <c r="AL883">
        <v>880</v>
      </c>
      <c r="AM883">
        <v>4553.22</v>
      </c>
      <c r="AN883">
        <v>4581.8784999999998</v>
      </c>
      <c r="AO883">
        <v>-28.6585</v>
      </c>
      <c r="AP883">
        <v>821.31129999999996</v>
      </c>
      <c r="AQ883">
        <v>-0.54147400000000001</v>
      </c>
      <c r="AR883">
        <v>0.44133600000000001</v>
      </c>
      <c r="AY883">
        <v>881</v>
      </c>
      <c r="AZ883">
        <v>880</v>
      </c>
      <c r="BA883">
        <v>4553.22</v>
      </c>
      <c r="BB883">
        <v>4581.8784999999998</v>
      </c>
      <c r="BC883">
        <v>-28.6585</v>
      </c>
      <c r="BD883">
        <v>821.31129999999996</v>
      </c>
      <c r="BE883">
        <v>774400</v>
      </c>
    </row>
    <row r="884" spans="1:57" x14ac:dyDescent="0.55000000000000004">
      <c r="A884">
        <v>1777526102</v>
      </c>
      <c r="B884" t="s">
        <v>72</v>
      </c>
      <c r="C884" t="s">
        <v>73</v>
      </c>
      <c r="D884">
        <v>4555.7299999999996</v>
      </c>
      <c r="E884">
        <v>4518.5928199999998</v>
      </c>
      <c r="F884">
        <v>4596.0559499999999</v>
      </c>
      <c r="G884">
        <v>4755.40355</v>
      </c>
      <c r="H884">
        <v>4792.7697200000002</v>
      </c>
      <c r="Q884">
        <v>4581.6109200000001</v>
      </c>
      <c r="R884">
        <v>4610.9742200000001</v>
      </c>
      <c r="S884">
        <v>4637.5629900000004</v>
      </c>
      <c r="V884">
        <v>4546.6711500000001</v>
      </c>
      <c r="W884">
        <v>4513.1061600000003</v>
      </c>
      <c r="AB884">
        <v>4554.1030199999996</v>
      </c>
      <c r="AC884">
        <v>4552.3523999999998</v>
      </c>
      <c r="AD884">
        <v>0</v>
      </c>
      <c r="AK884">
        <v>882</v>
      </c>
      <c r="AL884">
        <v>881</v>
      </c>
      <c r="AM884">
        <v>4555.7299999999996</v>
      </c>
      <c r="AN884">
        <v>4581.6108999999997</v>
      </c>
      <c r="AO884">
        <v>-25.8809</v>
      </c>
      <c r="AP884">
        <v>669.822</v>
      </c>
      <c r="AQ884">
        <v>-0.39879999999999999</v>
      </c>
      <c r="AR884">
        <v>0.29354400000000003</v>
      </c>
      <c r="AY884">
        <v>882</v>
      </c>
      <c r="AZ884">
        <v>881</v>
      </c>
      <c r="BA884">
        <v>4555.7299999999996</v>
      </c>
      <c r="BB884">
        <v>4581.6108999999997</v>
      </c>
      <c r="BC884">
        <v>-25.8809</v>
      </c>
      <c r="BD884">
        <v>669.822</v>
      </c>
      <c r="BE884">
        <v>776161</v>
      </c>
    </row>
    <row r="885" spans="1:57" x14ac:dyDescent="0.55000000000000004">
      <c r="A885">
        <v>1777527002</v>
      </c>
      <c r="B885" t="s">
        <v>72</v>
      </c>
      <c r="C885" t="s">
        <v>73</v>
      </c>
      <c r="D885">
        <v>4564.04</v>
      </c>
      <c r="E885">
        <v>4518.5928199999998</v>
      </c>
      <c r="F885">
        <v>4596.0559499999999</v>
      </c>
      <c r="G885">
        <v>4755.40355</v>
      </c>
      <c r="H885">
        <v>4792.7697200000002</v>
      </c>
      <c r="Q885">
        <v>4581.3433199999999</v>
      </c>
      <c r="R885">
        <v>4610.7066199999999</v>
      </c>
      <c r="S885">
        <v>4637.2953900000002</v>
      </c>
      <c r="V885">
        <v>4546.40355</v>
      </c>
      <c r="W885">
        <v>4512.8385500000004</v>
      </c>
      <c r="AB885">
        <v>4557.8219900000004</v>
      </c>
      <c r="AC885">
        <v>4555.0871999999999</v>
      </c>
      <c r="AD885">
        <v>0</v>
      </c>
      <c r="AK885">
        <v>883</v>
      </c>
      <c r="AL885">
        <v>882</v>
      </c>
      <c r="AM885">
        <v>4564.04</v>
      </c>
      <c r="AN885">
        <v>4581.3433000000005</v>
      </c>
      <c r="AO885">
        <v>-17.3033</v>
      </c>
      <c r="AP885">
        <v>299.4049</v>
      </c>
      <c r="AQ885">
        <v>-0.11917999999999999</v>
      </c>
      <c r="AR885">
        <v>5.8651000000000002E-2</v>
      </c>
      <c r="AY885">
        <v>883</v>
      </c>
      <c r="AZ885">
        <v>882</v>
      </c>
      <c r="BA885">
        <v>4564.04</v>
      </c>
      <c r="BB885">
        <v>4581.3433000000005</v>
      </c>
      <c r="BC885">
        <v>-17.3033</v>
      </c>
      <c r="BD885">
        <v>299.4049</v>
      </c>
      <c r="BE885">
        <v>777924</v>
      </c>
    </row>
    <row r="886" spans="1:57" x14ac:dyDescent="0.55000000000000004">
      <c r="A886">
        <v>1777527902</v>
      </c>
      <c r="B886" t="s">
        <v>72</v>
      </c>
      <c r="C886" t="s">
        <v>73</v>
      </c>
      <c r="D886">
        <v>4562.71</v>
      </c>
      <c r="E886">
        <v>4518.5928199999998</v>
      </c>
      <c r="F886">
        <v>4596.0559499999999</v>
      </c>
      <c r="G886">
        <v>4755.40355</v>
      </c>
      <c r="H886">
        <v>4792.7697200000002</v>
      </c>
      <c r="Q886">
        <v>4581.0757199999998</v>
      </c>
      <c r="R886">
        <v>4610.4390199999998</v>
      </c>
      <c r="S886">
        <v>4637.0277900000001</v>
      </c>
      <c r="V886">
        <v>4546.1359499999999</v>
      </c>
      <c r="W886">
        <v>4512.5709500000003</v>
      </c>
      <c r="AB886">
        <v>4562.1063899999999</v>
      </c>
      <c r="AC886">
        <v>4558.5967899999996</v>
      </c>
      <c r="AD886">
        <v>0</v>
      </c>
      <c r="AK886">
        <v>884</v>
      </c>
      <c r="AL886">
        <v>883</v>
      </c>
      <c r="AM886">
        <v>4562.71</v>
      </c>
      <c r="AN886">
        <v>4581.0757000000003</v>
      </c>
      <c r="AO886">
        <v>-18.3657</v>
      </c>
      <c r="AP886">
        <v>337.29969999999997</v>
      </c>
      <c r="AQ886">
        <v>-0.142508</v>
      </c>
      <c r="AR886">
        <v>7.4437000000000003E-2</v>
      </c>
      <c r="AY886">
        <v>884</v>
      </c>
      <c r="AZ886">
        <v>883</v>
      </c>
      <c r="BA886">
        <v>4562.71</v>
      </c>
      <c r="BB886">
        <v>4581.0757000000003</v>
      </c>
      <c r="BC886">
        <v>-18.3657</v>
      </c>
      <c r="BD886">
        <v>337.29969999999997</v>
      </c>
      <c r="BE886">
        <v>779689</v>
      </c>
    </row>
    <row r="887" spans="1:57" x14ac:dyDescent="0.55000000000000004">
      <c r="A887">
        <v>1777528802</v>
      </c>
      <c r="B887" t="s">
        <v>72</v>
      </c>
      <c r="C887" t="s">
        <v>73</v>
      </c>
      <c r="D887">
        <v>4566.21</v>
      </c>
      <c r="E887">
        <v>4518.5928199999998</v>
      </c>
      <c r="F887">
        <v>4596.0559499999999</v>
      </c>
      <c r="G887">
        <v>4755.40355</v>
      </c>
      <c r="H887">
        <v>4792.7697200000002</v>
      </c>
      <c r="Q887">
        <v>4580.8081099999999</v>
      </c>
      <c r="R887">
        <v>4610.1714099999999</v>
      </c>
      <c r="S887">
        <v>4636.7601800000002</v>
      </c>
      <c r="V887">
        <v>4545.86834</v>
      </c>
      <c r="W887">
        <v>4512.3033500000001</v>
      </c>
      <c r="AB887">
        <v>4566.9917299999997</v>
      </c>
      <c r="AC887">
        <v>4562.7942599999997</v>
      </c>
      <c r="AD887">
        <v>0</v>
      </c>
      <c r="AK887">
        <v>885</v>
      </c>
      <c r="AL887">
        <v>884</v>
      </c>
      <c r="AM887">
        <v>4566.21</v>
      </c>
      <c r="AN887">
        <v>4580.8081000000002</v>
      </c>
      <c r="AO887">
        <v>-14.598100000000001</v>
      </c>
      <c r="AP887">
        <v>213.10480000000001</v>
      </c>
      <c r="AQ887">
        <v>-7.1566000000000005E-2</v>
      </c>
      <c r="AR887">
        <v>2.9713E-2</v>
      </c>
      <c r="AY887">
        <v>885</v>
      </c>
      <c r="AZ887">
        <v>884</v>
      </c>
      <c r="BA887">
        <v>4566.21</v>
      </c>
      <c r="BB887">
        <v>4580.8081000000002</v>
      </c>
      <c r="BC887">
        <v>-14.598100000000001</v>
      </c>
      <c r="BD887">
        <v>213.10480000000001</v>
      </c>
      <c r="BE887">
        <v>781456</v>
      </c>
    </row>
    <row r="888" spans="1:57" x14ac:dyDescent="0.55000000000000004">
      <c r="A888">
        <v>1777529702</v>
      </c>
      <c r="B888" t="s">
        <v>72</v>
      </c>
      <c r="C888" t="s">
        <v>73</v>
      </c>
      <c r="D888">
        <v>4569.57</v>
      </c>
      <c r="E888">
        <v>4518.5928199999998</v>
      </c>
      <c r="F888">
        <v>4596.0559499999999</v>
      </c>
      <c r="G888">
        <v>4755.40355</v>
      </c>
      <c r="H888">
        <v>4792.7697200000002</v>
      </c>
      <c r="Q888">
        <v>4580.5405099999998</v>
      </c>
      <c r="R888">
        <v>4609.9038099999998</v>
      </c>
      <c r="S888">
        <v>4636.4925800000001</v>
      </c>
      <c r="V888">
        <v>4545.6007399999999</v>
      </c>
      <c r="W888">
        <v>4512.0357400000003</v>
      </c>
      <c r="AB888">
        <v>4572.4006499999996</v>
      </c>
      <c r="AC888">
        <v>4567.5974500000002</v>
      </c>
      <c r="AD888">
        <v>0</v>
      </c>
      <c r="AK888">
        <v>886</v>
      </c>
      <c r="AL888">
        <v>885</v>
      </c>
      <c r="AM888">
        <v>4569.57</v>
      </c>
      <c r="AN888">
        <v>4580.5405000000001</v>
      </c>
      <c r="AO888">
        <v>-10.970499999999999</v>
      </c>
      <c r="AP888">
        <v>120.35209999999999</v>
      </c>
      <c r="AQ888">
        <v>-3.0374000000000002E-2</v>
      </c>
      <c r="AR888">
        <v>9.4769999999999993E-3</v>
      </c>
      <c r="AY888">
        <v>886</v>
      </c>
      <c r="AZ888">
        <v>885</v>
      </c>
      <c r="BA888">
        <v>4569.57</v>
      </c>
      <c r="BB888">
        <v>4580.5405000000001</v>
      </c>
      <c r="BC888">
        <v>-10.970499999999999</v>
      </c>
      <c r="BD888">
        <v>120.35209999999999</v>
      </c>
      <c r="BE888">
        <v>783225</v>
      </c>
    </row>
    <row r="889" spans="1:57" x14ac:dyDescent="0.55000000000000004">
      <c r="A889">
        <v>1777530602</v>
      </c>
      <c r="B889" t="s">
        <v>72</v>
      </c>
      <c r="C889" t="s">
        <v>73</v>
      </c>
      <c r="D889">
        <v>4575.2299999999996</v>
      </c>
      <c r="E889">
        <v>4518.5928199999998</v>
      </c>
      <c r="F889">
        <v>4596.0559499999999</v>
      </c>
      <c r="G889">
        <v>4755.40355</v>
      </c>
      <c r="H889">
        <v>4792.7697200000002</v>
      </c>
      <c r="Q889">
        <v>4580.2728999999999</v>
      </c>
      <c r="R889">
        <v>4609.6361999999999</v>
      </c>
      <c r="S889">
        <v>4636.2249700000002</v>
      </c>
      <c r="V889">
        <v>4545.33313</v>
      </c>
      <c r="W889">
        <v>4511.7681400000001</v>
      </c>
      <c r="AB889">
        <v>4578.2314500000002</v>
      </c>
      <c r="AC889">
        <v>4572.9144500000002</v>
      </c>
      <c r="AD889">
        <v>0</v>
      </c>
      <c r="AK889">
        <v>887</v>
      </c>
      <c r="AL889">
        <v>886</v>
      </c>
      <c r="AM889">
        <v>4575.2299999999996</v>
      </c>
      <c r="AN889">
        <v>4580.2728999999999</v>
      </c>
      <c r="AO889">
        <v>-5.0429000000000004</v>
      </c>
      <c r="AP889">
        <v>25.430800000000001</v>
      </c>
      <c r="AQ889">
        <v>-2.9499999999999999E-3</v>
      </c>
      <c r="AR889">
        <v>4.2299999999999998E-4</v>
      </c>
      <c r="AY889">
        <v>887</v>
      </c>
      <c r="AZ889">
        <v>886</v>
      </c>
      <c r="BA889">
        <v>4575.2299999999996</v>
      </c>
      <c r="BB889">
        <v>4580.2728999999999</v>
      </c>
      <c r="BC889">
        <v>-5.0429000000000004</v>
      </c>
      <c r="BD889">
        <v>25.430800000000001</v>
      </c>
      <c r="BE889">
        <v>784996</v>
      </c>
    </row>
    <row r="890" spans="1:57" x14ac:dyDescent="0.55000000000000004">
      <c r="A890">
        <v>1777531502</v>
      </c>
      <c r="B890" t="s">
        <v>72</v>
      </c>
      <c r="C890" t="s">
        <v>73</v>
      </c>
      <c r="D890">
        <v>4589.4399999999996</v>
      </c>
      <c r="E890">
        <v>4518.5928199999998</v>
      </c>
      <c r="F890">
        <v>4596.0559499999999</v>
      </c>
      <c r="G890">
        <v>4755.40355</v>
      </c>
      <c r="H890">
        <v>4792.7697200000002</v>
      </c>
      <c r="Q890">
        <v>4580.0052999999998</v>
      </c>
      <c r="R890">
        <v>4609.3685999999998</v>
      </c>
      <c r="S890">
        <v>4635.9573700000001</v>
      </c>
      <c r="V890">
        <v>4545.0655299999999</v>
      </c>
      <c r="W890">
        <v>4511.5005300000003</v>
      </c>
      <c r="AB890">
        <v>4584.2400699999998</v>
      </c>
      <c r="AC890">
        <v>4578.57726</v>
      </c>
      <c r="AD890">
        <v>0</v>
      </c>
      <c r="AK890">
        <v>888</v>
      </c>
      <c r="AL890">
        <v>887</v>
      </c>
      <c r="AM890">
        <v>4589.4399999999996</v>
      </c>
      <c r="AN890">
        <v>4580.0052999999998</v>
      </c>
      <c r="AO890">
        <v>9.4346999999999994</v>
      </c>
      <c r="AP890">
        <v>89.013599999999997</v>
      </c>
      <c r="AQ890">
        <v>1.932E-2</v>
      </c>
      <c r="AR890">
        <v>5.1840000000000002E-3</v>
      </c>
      <c r="AY890">
        <v>888</v>
      </c>
      <c r="AZ890">
        <v>887</v>
      </c>
      <c r="BA890">
        <v>4589.4399999999996</v>
      </c>
      <c r="BB890">
        <v>4580.0052999999998</v>
      </c>
      <c r="BC890">
        <v>9.4346999999999994</v>
      </c>
      <c r="BD890">
        <v>89.013599999999997</v>
      </c>
      <c r="BE890">
        <v>786769</v>
      </c>
    </row>
    <row r="891" spans="1:57" x14ac:dyDescent="0.55000000000000004">
      <c r="A891">
        <v>1777532402</v>
      </c>
      <c r="B891" t="s">
        <v>72</v>
      </c>
      <c r="C891" t="s">
        <v>73</v>
      </c>
      <c r="D891">
        <v>4591.59</v>
      </c>
      <c r="E891">
        <v>4518.5928199999998</v>
      </c>
      <c r="F891">
        <v>4596.0559499999999</v>
      </c>
      <c r="G891">
        <v>4755.40355</v>
      </c>
      <c r="H891">
        <v>4792.7697200000002</v>
      </c>
      <c r="Q891">
        <v>4579.7376999999997</v>
      </c>
      <c r="R891">
        <v>4609.1009899999999</v>
      </c>
      <c r="S891">
        <v>4635.68977</v>
      </c>
      <c r="V891">
        <v>4544.7979299999997</v>
      </c>
      <c r="W891">
        <v>4511.2329300000001</v>
      </c>
      <c r="AB891">
        <v>4589.9597999999996</v>
      </c>
      <c r="AC891">
        <v>4584.2685300000003</v>
      </c>
      <c r="AD891">
        <v>0</v>
      </c>
      <c r="AK891">
        <v>889</v>
      </c>
      <c r="AL891">
        <v>888</v>
      </c>
      <c r="AM891">
        <v>4591.59</v>
      </c>
      <c r="AN891">
        <v>4579.7376999999997</v>
      </c>
      <c r="AO891">
        <v>11.8523</v>
      </c>
      <c r="AP891">
        <v>140.477</v>
      </c>
      <c r="AQ891">
        <v>3.8302000000000003E-2</v>
      </c>
      <c r="AR891">
        <v>1.2911000000000001E-2</v>
      </c>
      <c r="AY891">
        <v>889</v>
      </c>
      <c r="AZ891">
        <v>888</v>
      </c>
      <c r="BA891">
        <v>4591.59</v>
      </c>
      <c r="BB891">
        <v>4579.7376999999997</v>
      </c>
      <c r="BC891">
        <v>11.8523</v>
      </c>
      <c r="BD891">
        <v>140.477</v>
      </c>
      <c r="BE891">
        <v>788544</v>
      </c>
    </row>
    <row r="892" spans="1:57" x14ac:dyDescent="0.55000000000000004">
      <c r="A892">
        <v>1777533302</v>
      </c>
      <c r="B892" t="s">
        <v>72</v>
      </c>
      <c r="C892" t="s">
        <v>73</v>
      </c>
      <c r="D892">
        <v>4591.59</v>
      </c>
      <c r="E892">
        <v>4518.5928199999998</v>
      </c>
      <c r="F892">
        <v>4596.0559499999999</v>
      </c>
      <c r="G892">
        <v>4755.40355</v>
      </c>
      <c r="H892">
        <v>4792.7697200000002</v>
      </c>
      <c r="Q892">
        <v>4579.4700899999998</v>
      </c>
      <c r="R892">
        <v>4608.8333899999998</v>
      </c>
      <c r="S892">
        <v>4635.4221600000001</v>
      </c>
      <c r="V892">
        <v>4544.5303199999998</v>
      </c>
      <c r="W892">
        <v>4510.96533</v>
      </c>
      <c r="AB892">
        <v>4595.30501</v>
      </c>
      <c r="AC892">
        <v>4589.7867699999997</v>
      </c>
      <c r="AD892">
        <v>0</v>
      </c>
      <c r="AK892">
        <v>890</v>
      </c>
      <c r="AL892">
        <v>889</v>
      </c>
      <c r="AM892">
        <v>4591.59</v>
      </c>
      <c r="AN892">
        <v>4579.4700999999995</v>
      </c>
      <c r="AO892">
        <v>12.119899999999999</v>
      </c>
      <c r="AP892">
        <v>146.8922</v>
      </c>
      <c r="AQ892">
        <v>4.0955999999999999E-2</v>
      </c>
      <c r="AR892">
        <v>1.4116999999999999E-2</v>
      </c>
      <c r="AY892">
        <v>890</v>
      </c>
      <c r="AZ892">
        <v>889</v>
      </c>
      <c r="BA892">
        <v>4591.59</v>
      </c>
      <c r="BB892">
        <v>4579.4700999999995</v>
      </c>
      <c r="BC892">
        <v>12.119899999999999</v>
      </c>
      <c r="BD892">
        <v>146.8922</v>
      </c>
      <c r="BE892">
        <v>790321</v>
      </c>
    </row>
    <row r="893" spans="1:57" x14ac:dyDescent="0.55000000000000004">
      <c r="A893">
        <v>1777534202</v>
      </c>
      <c r="B893" t="s">
        <v>72</v>
      </c>
      <c r="C893" t="s">
        <v>73</v>
      </c>
      <c r="D893">
        <v>4596.6899999999996</v>
      </c>
      <c r="E893">
        <v>4518.5928199999998</v>
      </c>
      <c r="F893">
        <v>4596.0559499999999</v>
      </c>
      <c r="G893">
        <v>4755.40355</v>
      </c>
      <c r="H893">
        <v>4792.7697200000002</v>
      </c>
      <c r="Q893">
        <v>4579.2024899999997</v>
      </c>
      <c r="R893">
        <v>4608.5657899999997</v>
      </c>
      <c r="S893">
        <v>4635.1545599999999</v>
      </c>
      <c r="V893">
        <v>4544.2627199999997</v>
      </c>
      <c r="W893">
        <v>4510.6977200000001</v>
      </c>
      <c r="AB893">
        <v>4600.2811600000005</v>
      </c>
      <c r="AC893">
        <v>4595.0339599999998</v>
      </c>
      <c r="AD893">
        <v>0</v>
      </c>
      <c r="AK893">
        <v>891</v>
      </c>
      <c r="AL893">
        <v>890</v>
      </c>
      <c r="AM893">
        <v>4596.6899999999996</v>
      </c>
      <c r="AN893">
        <v>4579.2025000000003</v>
      </c>
      <c r="AO893">
        <v>17.487500000000001</v>
      </c>
      <c r="AP893">
        <v>305.81299999999999</v>
      </c>
      <c r="AQ893">
        <v>0.123027</v>
      </c>
      <c r="AR893">
        <v>6.1187999999999999E-2</v>
      </c>
      <c r="AY893">
        <v>891</v>
      </c>
      <c r="AZ893">
        <v>890</v>
      </c>
      <c r="BA893">
        <v>4596.6899999999996</v>
      </c>
      <c r="BB893">
        <v>4579.2025000000003</v>
      </c>
      <c r="BC893">
        <v>17.487500000000001</v>
      </c>
      <c r="BD893">
        <v>305.81299999999999</v>
      </c>
      <c r="BE893">
        <v>792100</v>
      </c>
    </row>
    <row r="894" spans="1:57" x14ac:dyDescent="0.55000000000000004">
      <c r="A894">
        <v>1777535102</v>
      </c>
      <c r="B894" t="s">
        <v>72</v>
      </c>
      <c r="C894" t="s">
        <v>73</v>
      </c>
      <c r="D894">
        <v>4598.4399999999996</v>
      </c>
      <c r="E894">
        <v>4518.5928199999998</v>
      </c>
      <c r="F894">
        <v>4596.0559499999999</v>
      </c>
      <c r="G894">
        <v>4755.40355</v>
      </c>
      <c r="H894">
        <v>4792.7697200000002</v>
      </c>
      <c r="Q894">
        <v>4578.9348799999998</v>
      </c>
      <c r="R894">
        <v>4608.2981799999998</v>
      </c>
      <c r="S894">
        <v>4634.8869500000001</v>
      </c>
      <c r="V894">
        <v>4543.9951099999998</v>
      </c>
      <c r="W894">
        <v>4510.43012</v>
      </c>
      <c r="AB894">
        <v>4604.81754</v>
      </c>
      <c r="AC894">
        <v>4599.9257500000003</v>
      </c>
      <c r="AD894">
        <v>0</v>
      </c>
      <c r="AK894">
        <v>892</v>
      </c>
      <c r="AL894">
        <v>891</v>
      </c>
      <c r="AM894">
        <v>4598.4399999999996</v>
      </c>
      <c r="AN894">
        <v>4578.9349000000002</v>
      </c>
      <c r="AO894">
        <v>19.505099999999999</v>
      </c>
      <c r="AP894">
        <v>380.44970000000001</v>
      </c>
      <c r="AQ894">
        <v>0.170711</v>
      </c>
      <c r="AR894">
        <v>9.4700000000000006E-2</v>
      </c>
      <c r="AY894">
        <v>892</v>
      </c>
      <c r="AZ894">
        <v>891</v>
      </c>
      <c r="BA894">
        <v>4598.4399999999996</v>
      </c>
      <c r="BB894">
        <v>4578.9349000000002</v>
      </c>
      <c r="BC894">
        <v>19.505099999999999</v>
      </c>
      <c r="BD894">
        <v>380.44970000000001</v>
      </c>
      <c r="BE894">
        <v>793881</v>
      </c>
    </row>
    <row r="895" spans="1:57" x14ac:dyDescent="0.55000000000000004">
      <c r="A895">
        <v>1777536002</v>
      </c>
      <c r="B895" t="s">
        <v>72</v>
      </c>
      <c r="C895" t="s">
        <v>73</v>
      </c>
      <c r="D895">
        <v>4618.7</v>
      </c>
      <c r="E895">
        <v>4518.5928199999998</v>
      </c>
      <c r="F895">
        <v>4596.0559499999999</v>
      </c>
      <c r="G895">
        <v>4755.40355</v>
      </c>
      <c r="H895">
        <v>4792.7697200000002</v>
      </c>
      <c r="Q895">
        <v>4578.6672799999997</v>
      </c>
      <c r="R895">
        <v>4608.0305799999996</v>
      </c>
      <c r="S895">
        <v>4634.6193499999999</v>
      </c>
      <c r="V895">
        <v>4543.7275099999997</v>
      </c>
      <c r="W895">
        <v>4510.1625100000001</v>
      </c>
      <c r="AB895">
        <v>4608.9498599999997</v>
      </c>
      <c r="AC895">
        <v>4604.4378100000004</v>
      </c>
      <c r="AD895">
        <v>0</v>
      </c>
      <c r="AK895">
        <v>893</v>
      </c>
      <c r="AL895">
        <v>892</v>
      </c>
      <c r="AM895">
        <v>4618.7</v>
      </c>
      <c r="AN895">
        <v>4578.6673000000001</v>
      </c>
      <c r="AO895">
        <v>40.032699999999998</v>
      </c>
      <c r="AP895">
        <v>1602.6187</v>
      </c>
      <c r="AQ895">
        <v>1.475913</v>
      </c>
      <c r="AR895">
        <v>1.680407</v>
      </c>
      <c r="AY895">
        <v>893</v>
      </c>
      <c r="AZ895">
        <v>892</v>
      </c>
      <c r="BA895">
        <v>4618.7</v>
      </c>
      <c r="BB895">
        <v>4578.6673000000001</v>
      </c>
      <c r="BC895">
        <v>40.032699999999998</v>
      </c>
      <c r="BD895">
        <v>1602.6187</v>
      </c>
      <c r="BE895">
        <v>795664</v>
      </c>
    </row>
    <row r="896" spans="1:57" x14ac:dyDescent="0.55000000000000004">
      <c r="A896">
        <v>1777536902</v>
      </c>
      <c r="B896" t="s">
        <v>72</v>
      </c>
      <c r="C896" t="s">
        <v>73</v>
      </c>
      <c r="D896">
        <v>4617.3500000000004</v>
      </c>
      <c r="E896">
        <v>4518.5928199999998</v>
      </c>
      <c r="F896">
        <v>4596.0559499999999</v>
      </c>
      <c r="G896">
        <v>4755.40355</v>
      </c>
      <c r="H896">
        <v>4792.7697200000002</v>
      </c>
      <c r="Q896">
        <v>4578.3996800000004</v>
      </c>
      <c r="R896">
        <v>4607.7629699999998</v>
      </c>
      <c r="S896">
        <v>4634.3517499999998</v>
      </c>
      <c r="V896">
        <v>4543.4599099999996</v>
      </c>
      <c r="W896">
        <v>4509.89491</v>
      </c>
      <c r="AB896">
        <v>4612.2766199999996</v>
      </c>
      <c r="AC896">
        <v>4608.3572100000001</v>
      </c>
      <c r="AD896">
        <v>0</v>
      </c>
      <c r="AK896">
        <v>894</v>
      </c>
      <c r="AL896">
        <v>893</v>
      </c>
      <c r="AM896">
        <v>4617.3500000000004</v>
      </c>
      <c r="AN896">
        <v>4578.3996999999999</v>
      </c>
      <c r="AO896">
        <v>38.950299999999999</v>
      </c>
      <c r="AP896">
        <v>1517.1274000000001</v>
      </c>
      <c r="AQ896">
        <v>1.3594040000000001</v>
      </c>
      <c r="AR896">
        <v>1.5059070000000001</v>
      </c>
      <c r="AY896">
        <v>894</v>
      </c>
      <c r="AZ896">
        <v>893</v>
      </c>
      <c r="BA896">
        <v>4617.3500000000004</v>
      </c>
      <c r="BB896">
        <v>4578.3996999999999</v>
      </c>
      <c r="BC896">
        <v>38.950299999999999</v>
      </c>
      <c r="BD896">
        <v>1517.1274000000001</v>
      </c>
      <c r="BE896">
        <v>797449</v>
      </c>
    </row>
    <row r="897" spans="1:57" x14ac:dyDescent="0.55000000000000004">
      <c r="A897">
        <v>1777537802</v>
      </c>
      <c r="B897" t="s">
        <v>72</v>
      </c>
      <c r="C897" t="s">
        <v>73</v>
      </c>
      <c r="D897">
        <v>4614.82</v>
      </c>
      <c r="E897">
        <v>4518.5928199999998</v>
      </c>
      <c r="F897">
        <v>4596.0559499999999</v>
      </c>
      <c r="G897">
        <v>4755.40355</v>
      </c>
      <c r="H897">
        <v>4792.7697200000002</v>
      </c>
      <c r="Q897">
        <v>4578.1320699999997</v>
      </c>
      <c r="R897">
        <v>4607.4953699999996</v>
      </c>
      <c r="S897">
        <v>4634.0841399999999</v>
      </c>
      <c r="V897">
        <v>4543.1922999999997</v>
      </c>
      <c r="W897">
        <v>4509.6273000000001</v>
      </c>
      <c r="AB897">
        <v>4615.0588299999999</v>
      </c>
      <c r="AC897">
        <v>4611.70802</v>
      </c>
      <c r="AD897">
        <v>0</v>
      </c>
      <c r="AK897">
        <v>895</v>
      </c>
      <c r="AL897">
        <v>894</v>
      </c>
      <c r="AM897">
        <v>4614.82</v>
      </c>
      <c r="AN897">
        <v>4578.1320999999998</v>
      </c>
      <c r="AO897">
        <v>36.687899999999999</v>
      </c>
      <c r="AP897">
        <v>1346.0042000000001</v>
      </c>
      <c r="AQ897">
        <v>1.136018</v>
      </c>
      <c r="AR897">
        <v>1.185351</v>
      </c>
      <c r="AY897">
        <v>895</v>
      </c>
      <c r="AZ897">
        <v>894</v>
      </c>
      <c r="BA897">
        <v>4614.82</v>
      </c>
      <c r="BB897">
        <v>4578.1320999999998</v>
      </c>
      <c r="BC897">
        <v>36.687899999999999</v>
      </c>
      <c r="BD897">
        <v>1346.0042000000001</v>
      </c>
      <c r="BE897">
        <v>799236</v>
      </c>
    </row>
    <row r="898" spans="1:57" x14ac:dyDescent="0.55000000000000004">
      <c r="A898">
        <v>1777538702</v>
      </c>
      <c r="B898" t="s">
        <v>72</v>
      </c>
      <c r="C898" t="s">
        <v>73</v>
      </c>
      <c r="D898">
        <v>4616</v>
      </c>
      <c r="E898">
        <v>4518.5928199999998</v>
      </c>
      <c r="F898">
        <v>4596.0559499999999</v>
      </c>
      <c r="G898">
        <v>4755.40355</v>
      </c>
      <c r="H898">
        <v>4792.7697200000002</v>
      </c>
      <c r="Q898">
        <v>4577.8644700000004</v>
      </c>
      <c r="R898">
        <v>4607.2277700000004</v>
      </c>
      <c r="S898">
        <v>4633.8165399999998</v>
      </c>
      <c r="V898">
        <v>4542.9246999999996</v>
      </c>
      <c r="W898">
        <v>4509.3597</v>
      </c>
      <c r="AB898">
        <v>4617.6513400000003</v>
      </c>
      <c r="AC898">
        <v>4614.6796800000002</v>
      </c>
      <c r="AD898">
        <v>0</v>
      </c>
      <c r="AK898">
        <v>896</v>
      </c>
      <c r="AL898">
        <v>895</v>
      </c>
      <c r="AM898">
        <v>4616</v>
      </c>
      <c r="AN898">
        <v>4577.8644999999997</v>
      </c>
      <c r="AO898">
        <v>38.1355</v>
      </c>
      <c r="AP898">
        <v>1454.3186000000001</v>
      </c>
      <c r="AQ898">
        <v>1.2758659999999999</v>
      </c>
      <c r="AR898">
        <v>1.3837999999999999</v>
      </c>
      <c r="AY898">
        <v>896</v>
      </c>
      <c r="AZ898">
        <v>895</v>
      </c>
      <c r="BA898">
        <v>4616</v>
      </c>
      <c r="BB898">
        <v>4577.8644999999997</v>
      </c>
      <c r="BC898">
        <v>38.1355</v>
      </c>
      <c r="BD898">
        <v>1454.3186000000001</v>
      </c>
      <c r="BE898">
        <v>801025</v>
      </c>
    </row>
    <row r="899" spans="1:57" x14ac:dyDescent="0.55000000000000004">
      <c r="A899">
        <v>1777539602</v>
      </c>
      <c r="B899" t="s">
        <v>72</v>
      </c>
      <c r="C899" t="s">
        <v>73</v>
      </c>
      <c r="D899">
        <v>4618.96</v>
      </c>
      <c r="E899">
        <v>4518.5928199999998</v>
      </c>
      <c r="F899">
        <v>4596.0559499999999</v>
      </c>
      <c r="G899">
        <v>4755.40355</v>
      </c>
      <c r="H899">
        <v>4792.7697200000002</v>
      </c>
      <c r="Q899">
        <v>4577.5968599999997</v>
      </c>
      <c r="R899">
        <v>4606.9601599999996</v>
      </c>
      <c r="S899">
        <v>4633.5489299999999</v>
      </c>
      <c r="V899">
        <v>4542.6570899999997</v>
      </c>
      <c r="W899">
        <v>4509.0920999999998</v>
      </c>
      <c r="AB899">
        <v>4620.2543699999997</v>
      </c>
      <c r="AC899">
        <v>4617.4670299999998</v>
      </c>
      <c r="AD899">
        <v>0</v>
      </c>
      <c r="AK899">
        <v>897</v>
      </c>
      <c r="AL899">
        <v>896</v>
      </c>
      <c r="AM899">
        <v>4618.96</v>
      </c>
      <c r="AN899">
        <v>4577.5968999999996</v>
      </c>
      <c r="AO899">
        <v>41.363100000000003</v>
      </c>
      <c r="AP899">
        <v>1710.9094</v>
      </c>
      <c r="AQ899">
        <v>1.6280060000000001</v>
      </c>
      <c r="AR899">
        <v>1.915173</v>
      </c>
      <c r="AY899">
        <v>897</v>
      </c>
      <c r="AZ899">
        <v>896</v>
      </c>
      <c r="BA899">
        <v>4618.96</v>
      </c>
      <c r="BB899">
        <v>4577.5968999999996</v>
      </c>
      <c r="BC899">
        <v>41.363100000000003</v>
      </c>
      <c r="BD899">
        <v>1710.9094</v>
      </c>
      <c r="BE899">
        <v>802816</v>
      </c>
    </row>
    <row r="900" spans="1:57" x14ac:dyDescent="0.55000000000000004">
      <c r="A900">
        <v>1777540502</v>
      </c>
      <c r="B900" t="s">
        <v>72</v>
      </c>
      <c r="C900" t="s">
        <v>73</v>
      </c>
      <c r="D900">
        <v>4625.41</v>
      </c>
      <c r="E900">
        <v>4518.5928199999998</v>
      </c>
      <c r="F900">
        <v>4596.0559499999999</v>
      </c>
      <c r="G900">
        <v>4755.40355</v>
      </c>
      <c r="H900">
        <v>4792.7697200000002</v>
      </c>
      <c r="Q900">
        <v>4577.3292600000004</v>
      </c>
      <c r="R900">
        <v>4606.6925600000004</v>
      </c>
      <c r="S900">
        <v>4633.2813299999998</v>
      </c>
      <c r="V900">
        <v>4542.3894899999996</v>
      </c>
      <c r="W900">
        <v>4508.82449</v>
      </c>
      <c r="AB900">
        <v>4622.9544800000003</v>
      </c>
      <c r="AC900">
        <v>4620.2107500000002</v>
      </c>
      <c r="AD900">
        <v>0</v>
      </c>
      <c r="AK900">
        <v>898</v>
      </c>
      <c r="AL900">
        <v>897</v>
      </c>
      <c r="AM900">
        <v>4625.41</v>
      </c>
      <c r="AN900">
        <v>4577.3293000000003</v>
      </c>
      <c r="AO900">
        <v>48.0807</v>
      </c>
      <c r="AP900">
        <v>2311.7575999999999</v>
      </c>
      <c r="AQ900">
        <v>2.5569899999999999</v>
      </c>
      <c r="AR900">
        <v>3.4965410000000001</v>
      </c>
      <c r="AY900">
        <v>898</v>
      </c>
      <c r="AZ900">
        <v>897</v>
      </c>
      <c r="BA900">
        <v>4625.41</v>
      </c>
      <c r="BB900">
        <v>4577.3293000000003</v>
      </c>
      <c r="BC900">
        <v>48.0807</v>
      </c>
      <c r="BD900">
        <v>2311.7575999999999</v>
      </c>
      <c r="BE900">
        <v>804609</v>
      </c>
    </row>
    <row r="901" spans="1:57" x14ac:dyDescent="0.55000000000000004">
      <c r="A901">
        <v>1777541402</v>
      </c>
      <c r="B901" t="s">
        <v>72</v>
      </c>
      <c r="C901" t="s">
        <v>73</v>
      </c>
      <c r="D901">
        <v>4619.3500000000004</v>
      </c>
      <c r="E901">
        <v>4518.5928199999998</v>
      </c>
      <c r="F901">
        <v>4596.0559499999999</v>
      </c>
      <c r="G901">
        <v>4755.40355</v>
      </c>
      <c r="H901">
        <v>4792.7697200000002</v>
      </c>
      <c r="Q901">
        <v>4577.0616600000003</v>
      </c>
      <c r="R901">
        <v>4606.4249499999996</v>
      </c>
      <c r="S901">
        <v>4633.0137199999999</v>
      </c>
      <c r="V901">
        <v>4542.1218799999997</v>
      </c>
      <c r="W901">
        <v>4508.5568899999998</v>
      </c>
      <c r="AB901">
        <v>4625.6464400000004</v>
      </c>
      <c r="AC901">
        <v>4622.9286000000002</v>
      </c>
      <c r="AD901">
        <v>0</v>
      </c>
      <c r="AK901">
        <v>899</v>
      </c>
      <c r="AL901">
        <v>898</v>
      </c>
      <c r="AM901">
        <v>4619.3500000000004</v>
      </c>
      <c r="AN901">
        <v>4577.0617000000002</v>
      </c>
      <c r="AO901">
        <v>42.2883</v>
      </c>
      <c r="AP901">
        <v>1788.3036999999999</v>
      </c>
      <c r="AQ901">
        <v>1.7397130000000001</v>
      </c>
      <c r="AR901">
        <v>2.0923609999999999</v>
      </c>
      <c r="AY901">
        <v>899</v>
      </c>
      <c r="AZ901">
        <v>898</v>
      </c>
      <c r="BA901">
        <v>4619.3500000000004</v>
      </c>
      <c r="BB901">
        <v>4577.0617000000002</v>
      </c>
      <c r="BC901">
        <v>42.2883</v>
      </c>
      <c r="BD901">
        <v>1788.3036999999999</v>
      </c>
      <c r="BE901">
        <v>806404</v>
      </c>
    </row>
    <row r="902" spans="1:57" x14ac:dyDescent="0.55000000000000004">
      <c r="A902">
        <v>1777542302</v>
      </c>
      <c r="B902" t="s">
        <v>72</v>
      </c>
      <c r="C902" t="s">
        <v>73</v>
      </c>
      <c r="D902">
        <v>4624.91</v>
      </c>
      <c r="E902">
        <v>4518.5928199999998</v>
      </c>
      <c r="F902">
        <v>4596.0559499999999</v>
      </c>
      <c r="G902">
        <v>4755.40355</v>
      </c>
      <c r="H902">
        <v>4792.7697200000002</v>
      </c>
      <c r="Q902">
        <v>4576.7940500000004</v>
      </c>
      <c r="R902">
        <v>4606.1573500000004</v>
      </c>
      <c r="S902">
        <v>4632.7461199999998</v>
      </c>
      <c r="V902">
        <v>4541.8542799999996</v>
      </c>
      <c r="W902">
        <v>4508.28928</v>
      </c>
      <c r="AB902">
        <v>4628.4679100000003</v>
      </c>
      <c r="AC902">
        <v>4625.6982500000004</v>
      </c>
      <c r="AD902">
        <v>0</v>
      </c>
      <c r="AK902">
        <v>900</v>
      </c>
      <c r="AL902">
        <v>899</v>
      </c>
      <c r="AM902">
        <v>4624.91</v>
      </c>
      <c r="AN902">
        <v>4576.7941000000001</v>
      </c>
      <c r="AO902">
        <v>48.115900000000003</v>
      </c>
      <c r="AP902">
        <v>2315.1446000000001</v>
      </c>
      <c r="AQ902">
        <v>2.5626120000000001</v>
      </c>
      <c r="AR902">
        <v>3.5067949999999999</v>
      </c>
      <c r="AY902">
        <v>900</v>
      </c>
      <c r="AZ902">
        <v>899</v>
      </c>
      <c r="BA902">
        <v>4624.91</v>
      </c>
      <c r="BB902">
        <v>4576.7941000000001</v>
      </c>
      <c r="BC902">
        <v>48.115900000000003</v>
      </c>
      <c r="BD902">
        <v>2315.1446000000001</v>
      </c>
      <c r="BE902">
        <v>808201</v>
      </c>
    </row>
    <row r="903" spans="1:57" x14ac:dyDescent="0.55000000000000004">
      <c r="A903">
        <v>1777543202</v>
      </c>
      <c r="B903" t="s">
        <v>72</v>
      </c>
      <c r="C903" t="s">
        <v>73</v>
      </c>
      <c r="D903">
        <v>4626.92</v>
      </c>
      <c r="E903">
        <v>4518.5928199999998</v>
      </c>
      <c r="F903">
        <v>4596.0559499999999</v>
      </c>
      <c r="G903">
        <v>4755.40355</v>
      </c>
      <c r="H903">
        <v>4792.7697200000002</v>
      </c>
      <c r="Q903">
        <v>4576.5264500000003</v>
      </c>
      <c r="R903">
        <v>4605.8897500000003</v>
      </c>
      <c r="S903">
        <v>4632.4785199999997</v>
      </c>
      <c r="V903">
        <v>4541.5866800000003</v>
      </c>
      <c r="W903">
        <v>4508.0216799999998</v>
      </c>
      <c r="AB903">
        <v>4631.1871600000004</v>
      </c>
      <c r="AC903">
        <v>4628.4427100000003</v>
      </c>
      <c r="AD903">
        <v>0</v>
      </c>
      <c r="AK903">
        <v>901</v>
      </c>
      <c r="AL903">
        <v>900</v>
      </c>
      <c r="AM903">
        <v>4626.92</v>
      </c>
      <c r="AN903">
        <v>4576.5264999999999</v>
      </c>
      <c r="AO903">
        <v>50.393500000000003</v>
      </c>
      <c r="AP903">
        <v>2539.5099</v>
      </c>
      <c r="AQ903">
        <v>2.9440179999999998</v>
      </c>
      <c r="AR903">
        <v>4.2194310000000002</v>
      </c>
      <c r="AY903">
        <v>901</v>
      </c>
      <c r="AZ903">
        <v>900</v>
      </c>
      <c r="BA903">
        <v>4626.92</v>
      </c>
      <c r="BB903">
        <v>4576.5264999999999</v>
      </c>
      <c r="BC903">
        <v>50.393500000000003</v>
      </c>
      <c r="BD903">
        <v>2539.5099</v>
      </c>
      <c r="BE903">
        <v>810000</v>
      </c>
    </row>
    <row r="904" spans="1:57" x14ac:dyDescent="0.55000000000000004">
      <c r="A904">
        <v>1777544102</v>
      </c>
      <c r="B904" t="s">
        <v>72</v>
      </c>
      <c r="C904" t="s">
        <v>73</v>
      </c>
      <c r="D904">
        <v>4643.78</v>
      </c>
      <c r="E904">
        <v>4518.5928199999998</v>
      </c>
      <c r="F904">
        <v>4596.0559499999999</v>
      </c>
      <c r="G904">
        <v>4755.40355</v>
      </c>
      <c r="H904">
        <v>4792.7697200000002</v>
      </c>
      <c r="Q904">
        <v>4576.2588400000004</v>
      </c>
      <c r="R904">
        <v>4605.6221400000004</v>
      </c>
      <c r="S904">
        <v>4632.2109099999998</v>
      </c>
      <c r="V904">
        <v>4541.3190699999996</v>
      </c>
      <c r="W904">
        <v>4507.7540799999997</v>
      </c>
      <c r="AB904">
        <v>4633.6301700000004</v>
      </c>
      <c r="AC904">
        <v>4631.0364399999999</v>
      </c>
      <c r="AD904">
        <v>0</v>
      </c>
      <c r="AK904">
        <v>902</v>
      </c>
      <c r="AL904">
        <v>901</v>
      </c>
      <c r="AM904">
        <v>4643.78</v>
      </c>
      <c r="AN904">
        <v>4576.2587999999996</v>
      </c>
      <c r="AO904">
        <v>67.521199999999993</v>
      </c>
      <c r="AP904">
        <v>4559.107</v>
      </c>
      <c r="AQ904">
        <v>7.0816629999999998</v>
      </c>
      <c r="AR904">
        <v>13.599209999999999</v>
      </c>
      <c r="AY904">
        <v>902</v>
      </c>
      <c r="AZ904">
        <v>901</v>
      </c>
      <c r="BA904">
        <v>4643.78</v>
      </c>
      <c r="BB904">
        <v>4576.2587999999996</v>
      </c>
      <c r="BC904">
        <v>67.521199999999993</v>
      </c>
      <c r="BD904">
        <v>4559.107</v>
      </c>
      <c r="BE904">
        <v>811801</v>
      </c>
    </row>
    <row r="905" spans="1:57" x14ac:dyDescent="0.55000000000000004">
      <c r="A905">
        <v>1777545002</v>
      </c>
      <c r="B905" t="s">
        <v>72</v>
      </c>
      <c r="C905" t="s">
        <v>73</v>
      </c>
      <c r="D905">
        <v>4636.62</v>
      </c>
      <c r="E905">
        <v>4518.5928199999998</v>
      </c>
      <c r="F905">
        <v>4596.0559499999999</v>
      </c>
      <c r="G905">
        <v>4755.40355</v>
      </c>
      <c r="H905">
        <v>4792.7697200000002</v>
      </c>
      <c r="Q905">
        <v>4575.9912400000003</v>
      </c>
      <c r="R905">
        <v>4605.3545400000003</v>
      </c>
      <c r="S905">
        <v>4631.9433099999997</v>
      </c>
      <c r="V905">
        <v>4541.0514700000003</v>
      </c>
      <c r="W905">
        <v>4507.4864699999998</v>
      </c>
      <c r="Z905">
        <v>4647.1000000000004</v>
      </c>
      <c r="AB905">
        <v>4635.2101400000001</v>
      </c>
      <c r="AC905">
        <v>4633.1232900000005</v>
      </c>
      <c r="AD905">
        <v>0</v>
      </c>
      <c r="AK905">
        <v>903</v>
      </c>
      <c r="AL905">
        <v>902</v>
      </c>
      <c r="AM905">
        <v>4636.62</v>
      </c>
      <c r="AN905">
        <v>4575.9912000000004</v>
      </c>
      <c r="AO905">
        <v>60.628799999999998</v>
      </c>
      <c r="AP905">
        <v>3675.8465000000001</v>
      </c>
      <c r="AQ905">
        <v>5.126862</v>
      </c>
      <c r="AR905">
        <v>8.8403379999999991</v>
      </c>
      <c r="AY905">
        <v>903</v>
      </c>
      <c r="AZ905">
        <v>902</v>
      </c>
      <c r="BA905">
        <v>4636.62</v>
      </c>
      <c r="BB905">
        <v>4575.9912000000004</v>
      </c>
      <c r="BC905">
        <v>60.628799999999998</v>
      </c>
      <c r="BD905">
        <v>3675.8465000000001</v>
      </c>
      <c r="BE905">
        <v>813604</v>
      </c>
    </row>
    <row r="906" spans="1:57" x14ac:dyDescent="0.55000000000000004">
      <c r="A906">
        <v>1777545902</v>
      </c>
      <c r="B906" t="s">
        <v>72</v>
      </c>
      <c r="C906" t="s">
        <v>73</v>
      </c>
      <c r="D906">
        <v>4639.68</v>
      </c>
      <c r="E906">
        <v>4518.5928199999998</v>
      </c>
      <c r="F906">
        <v>4596.0559499999999</v>
      </c>
      <c r="G906">
        <v>4755.40355</v>
      </c>
      <c r="H906">
        <v>4792.7697200000002</v>
      </c>
      <c r="Q906">
        <v>4575.7236300000004</v>
      </c>
      <c r="R906">
        <v>4605.0869300000004</v>
      </c>
      <c r="S906">
        <v>4631.6756999999998</v>
      </c>
      <c r="V906">
        <v>4540.7838599999995</v>
      </c>
      <c r="W906">
        <v>4507.2188699999997</v>
      </c>
      <c r="AB906">
        <v>4636.0804399999997</v>
      </c>
      <c r="AC906">
        <v>4634.6018599999998</v>
      </c>
      <c r="AD906">
        <v>0</v>
      </c>
      <c r="AK906">
        <v>904</v>
      </c>
      <c r="AL906">
        <v>903</v>
      </c>
      <c r="AM906">
        <v>4639.68</v>
      </c>
      <c r="AN906">
        <v>4575.7236000000003</v>
      </c>
      <c r="AO906">
        <v>63.956400000000002</v>
      </c>
      <c r="AP906">
        <v>4090.4173000000001</v>
      </c>
      <c r="AQ906">
        <v>6.018205</v>
      </c>
      <c r="AR906">
        <v>10.946854</v>
      </c>
      <c r="AY906">
        <v>904</v>
      </c>
      <c r="AZ906">
        <v>903</v>
      </c>
      <c r="BA906">
        <v>4639.68</v>
      </c>
      <c r="BB906">
        <v>4575.7236000000003</v>
      </c>
      <c r="BC906">
        <v>63.956400000000002</v>
      </c>
      <c r="BD906">
        <v>4090.4173000000001</v>
      </c>
      <c r="BE906">
        <v>815409</v>
      </c>
    </row>
    <row r="907" spans="1:57" x14ac:dyDescent="0.55000000000000004">
      <c r="A907">
        <v>1777546802</v>
      </c>
      <c r="B907" t="s">
        <v>72</v>
      </c>
      <c r="C907" t="s">
        <v>73</v>
      </c>
      <c r="D907">
        <v>4635.99</v>
      </c>
      <c r="E907">
        <v>4518.5928199999998</v>
      </c>
      <c r="F907">
        <v>4596.0559499999999</v>
      </c>
      <c r="G907">
        <v>4755.40355</v>
      </c>
      <c r="H907">
        <v>4792.7697200000002</v>
      </c>
      <c r="Q907">
        <v>4575.4560300000003</v>
      </c>
      <c r="R907">
        <v>4604.8193300000003</v>
      </c>
      <c r="S907">
        <v>4631.4080999999996</v>
      </c>
      <c r="V907">
        <v>4540.5162600000003</v>
      </c>
      <c r="W907">
        <v>4506.9512599999998</v>
      </c>
      <c r="AB907">
        <v>4636.2276899999997</v>
      </c>
      <c r="AC907">
        <v>4635.4147800000001</v>
      </c>
      <c r="AD907">
        <v>0</v>
      </c>
      <c r="AK907">
        <v>905</v>
      </c>
      <c r="AL907">
        <v>904</v>
      </c>
      <c r="AM907">
        <v>4635.99</v>
      </c>
      <c r="AN907">
        <v>4575.4560000000001</v>
      </c>
      <c r="AO907">
        <v>60.533999999999999</v>
      </c>
      <c r="AP907">
        <v>3664.3615</v>
      </c>
      <c r="AQ907">
        <v>5.1028529999999996</v>
      </c>
      <c r="AR907">
        <v>8.7851820000000007</v>
      </c>
      <c r="AY907">
        <v>905</v>
      </c>
      <c r="AZ907">
        <v>904</v>
      </c>
      <c r="BA907">
        <v>4635.99</v>
      </c>
      <c r="BB907">
        <v>4575.4560000000001</v>
      </c>
      <c r="BC907">
        <v>60.533999999999999</v>
      </c>
      <c r="BD907">
        <v>3664.3615</v>
      </c>
      <c r="BE907">
        <v>817216</v>
      </c>
    </row>
    <row r="908" spans="1:57" x14ac:dyDescent="0.55000000000000004">
      <c r="A908">
        <v>1777547702</v>
      </c>
      <c r="B908" t="s">
        <v>72</v>
      </c>
      <c r="C908" t="s">
        <v>73</v>
      </c>
      <c r="D908">
        <v>4637.7</v>
      </c>
      <c r="E908">
        <v>4518.5928199999998</v>
      </c>
      <c r="F908">
        <v>4596.0559499999999</v>
      </c>
      <c r="G908">
        <v>4755.40355</v>
      </c>
      <c r="H908">
        <v>4792.7697200000002</v>
      </c>
      <c r="Q908">
        <v>4575.1884300000002</v>
      </c>
      <c r="R908">
        <v>4604.5517300000001</v>
      </c>
      <c r="S908">
        <v>4631.1405000000004</v>
      </c>
      <c r="V908">
        <v>4540.2486600000002</v>
      </c>
      <c r="W908">
        <v>4506.6836599999997</v>
      </c>
      <c r="AB908">
        <v>4635.8996299999999</v>
      </c>
      <c r="AC908">
        <v>4635.6571999999996</v>
      </c>
      <c r="AD908">
        <v>0</v>
      </c>
      <c r="AK908">
        <v>906</v>
      </c>
      <c r="AL908">
        <v>905</v>
      </c>
      <c r="AM908">
        <v>4637.7</v>
      </c>
      <c r="AN908">
        <v>4575.1884</v>
      </c>
      <c r="AO908">
        <v>62.511600000000001</v>
      </c>
      <c r="AP908">
        <v>3907.6963999999998</v>
      </c>
      <c r="AQ908">
        <v>5.6194889999999997</v>
      </c>
      <c r="AR908">
        <v>9.9906959999999998</v>
      </c>
      <c r="AY908">
        <v>906</v>
      </c>
      <c r="AZ908">
        <v>905</v>
      </c>
      <c r="BA908">
        <v>4637.7</v>
      </c>
      <c r="BB908">
        <v>4575.1884</v>
      </c>
      <c r="BC908">
        <v>62.511600000000001</v>
      </c>
      <c r="BD908">
        <v>3907.6963999999998</v>
      </c>
      <c r="BE908">
        <v>819025</v>
      </c>
    </row>
    <row r="909" spans="1:57" x14ac:dyDescent="0.55000000000000004">
      <c r="A909">
        <v>1777548602</v>
      </c>
      <c r="B909" t="s">
        <v>72</v>
      </c>
      <c r="C909" t="s">
        <v>73</v>
      </c>
      <c r="D909">
        <v>4629.82</v>
      </c>
      <c r="E909">
        <v>4518.5928199999998</v>
      </c>
      <c r="F909">
        <v>4596.0559499999999</v>
      </c>
      <c r="G909">
        <v>4755.40355</v>
      </c>
      <c r="H909">
        <v>4792.7697200000002</v>
      </c>
      <c r="Q909">
        <v>4574.9208200000003</v>
      </c>
      <c r="R909">
        <v>4604.2841200000003</v>
      </c>
      <c r="S909">
        <v>4630.8728899999996</v>
      </c>
      <c r="V909">
        <v>4539.9810500000003</v>
      </c>
      <c r="W909">
        <v>4506.4160599999996</v>
      </c>
      <c r="AB909">
        <v>4635.2303899999997</v>
      </c>
      <c r="AC909">
        <v>4635.4438</v>
      </c>
      <c r="AD909">
        <v>1</v>
      </c>
      <c r="AK909">
        <v>907</v>
      </c>
      <c r="AL909">
        <v>906</v>
      </c>
      <c r="AM909">
        <v>4629.82</v>
      </c>
      <c r="AN909">
        <v>4574.9207999999999</v>
      </c>
      <c r="AO909">
        <v>54.8992</v>
      </c>
      <c r="AP909">
        <v>3013.92</v>
      </c>
      <c r="AQ909">
        <v>3.8063889999999998</v>
      </c>
      <c r="AR909">
        <v>5.9431620000000001</v>
      </c>
      <c r="AY909">
        <v>907</v>
      </c>
      <c r="AZ909">
        <v>906</v>
      </c>
      <c r="BA909">
        <v>4629.82</v>
      </c>
      <c r="BB909">
        <v>4574.9207999999999</v>
      </c>
      <c r="BC909">
        <v>54.8992</v>
      </c>
      <c r="BD909">
        <v>3013.92</v>
      </c>
      <c r="BE909">
        <v>820836</v>
      </c>
    </row>
    <row r="910" spans="1:57" x14ac:dyDescent="0.55000000000000004">
      <c r="A910">
        <v>1777549502</v>
      </c>
      <c r="B910" t="s">
        <v>72</v>
      </c>
      <c r="C910" t="s">
        <v>73</v>
      </c>
      <c r="D910">
        <v>4630.21</v>
      </c>
      <c r="E910">
        <v>4518.5928199999998</v>
      </c>
      <c r="F910">
        <v>4596.0559499999999</v>
      </c>
      <c r="G910">
        <v>4755.40355</v>
      </c>
      <c r="H910">
        <v>4792.7697200000002</v>
      </c>
      <c r="Q910">
        <v>4574.6532200000001</v>
      </c>
      <c r="R910">
        <v>4604.0165200000001</v>
      </c>
      <c r="S910">
        <v>4630.6052900000004</v>
      </c>
      <c r="V910">
        <v>4539.7134500000002</v>
      </c>
      <c r="W910">
        <v>4506.1484499999997</v>
      </c>
      <c r="AB910">
        <v>4634.5854099999997</v>
      </c>
      <c r="AC910">
        <v>4635.0146100000002</v>
      </c>
      <c r="AD910">
        <v>0</v>
      </c>
      <c r="AK910">
        <v>908</v>
      </c>
      <c r="AL910">
        <v>907</v>
      </c>
      <c r="AM910">
        <v>4630.21</v>
      </c>
      <c r="AN910">
        <v>4574.6531999999997</v>
      </c>
      <c r="AO910">
        <v>55.556800000000003</v>
      </c>
      <c r="AP910">
        <v>3086.5558000000001</v>
      </c>
      <c r="AQ910">
        <v>3.9448159999999999</v>
      </c>
      <c r="AR910">
        <v>6.2330750000000004</v>
      </c>
      <c r="AY910">
        <v>908</v>
      </c>
      <c r="AZ910">
        <v>907</v>
      </c>
      <c r="BA910">
        <v>4630.21</v>
      </c>
      <c r="BB910">
        <v>4574.6531999999997</v>
      </c>
      <c r="BC910">
        <v>55.556800000000003</v>
      </c>
      <c r="BD910">
        <v>3086.5558000000001</v>
      </c>
      <c r="BE910">
        <v>822649</v>
      </c>
    </row>
    <row r="911" spans="1:57" x14ac:dyDescent="0.55000000000000004">
      <c r="A911">
        <v>1777550402</v>
      </c>
      <c r="B911" t="s">
        <v>72</v>
      </c>
      <c r="C911" t="s">
        <v>73</v>
      </c>
      <c r="D911">
        <v>4635.8100000000004</v>
      </c>
      <c r="E911">
        <v>4518.5928199999998</v>
      </c>
      <c r="F911">
        <v>4596.0559499999999</v>
      </c>
      <c r="G911">
        <v>4755.40355</v>
      </c>
      <c r="H911">
        <v>4792.7697200000002</v>
      </c>
      <c r="Q911">
        <v>4574.3856100000003</v>
      </c>
      <c r="R911">
        <v>4603.7489100000003</v>
      </c>
      <c r="S911">
        <v>4630.3376799999996</v>
      </c>
      <c r="V911">
        <v>4539.4458400000003</v>
      </c>
      <c r="W911">
        <v>4505.8808499999996</v>
      </c>
      <c r="AB911">
        <v>4634.0489900000002</v>
      </c>
      <c r="AC911">
        <v>4634.5317999999997</v>
      </c>
      <c r="AD911">
        <v>0</v>
      </c>
      <c r="AK911">
        <v>909</v>
      </c>
      <c r="AL911">
        <v>908</v>
      </c>
      <c r="AM911">
        <v>4635.8100000000004</v>
      </c>
      <c r="AN911">
        <v>4574.3855999999996</v>
      </c>
      <c r="AO911">
        <v>61.424399999999999</v>
      </c>
      <c r="AP911">
        <v>3772.9557</v>
      </c>
      <c r="AQ911">
        <v>5.3313620000000004</v>
      </c>
      <c r="AR911">
        <v>9.313599</v>
      </c>
      <c r="AY911">
        <v>909</v>
      </c>
      <c r="AZ911">
        <v>908</v>
      </c>
      <c r="BA911">
        <v>4635.8100000000004</v>
      </c>
      <c r="BB911">
        <v>4574.3855999999996</v>
      </c>
      <c r="BC911">
        <v>61.424399999999999</v>
      </c>
      <c r="BD911">
        <v>3772.9557</v>
      </c>
      <c r="BE911">
        <v>824464</v>
      </c>
    </row>
    <row r="912" spans="1:57" x14ac:dyDescent="0.55000000000000004">
      <c r="A912">
        <v>1777551302</v>
      </c>
      <c r="B912" t="s">
        <v>72</v>
      </c>
      <c r="C912" t="s">
        <v>73</v>
      </c>
      <c r="D912">
        <v>4630.51</v>
      </c>
      <c r="E912">
        <v>4518.5928199999998</v>
      </c>
      <c r="F912">
        <v>4596.0559499999999</v>
      </c>
      <c r="G912">
        <v>4755.40355</v>
      </c>
      <c r="H912">
        <v>4792.7697200000002</v>
      </c>
      <c r="Q912">
        <v>4574.1180100000001</v>
      </c>
      <c r="R912">
        <v>4603.4813100000001</v>
      </c>
      <c r="S912">
        <v>4630.0700800000004</v>
      </c>
      <c r="V912">
        <v>4539.1782400000002</v>
      </c>
      <c r="W912">
        <v>4505.6132399999997</v>
      </c>
      <c r="AB912">
        <v>4633.4363899999998</v>
      </c>
      <c r="AC912">
        <v>4633.9840899999999</v>
      </c>
      <c r="AD912">
        <v>0</v>
      </c>
      <c r="AK912">
        <v>910</v>
      </c>
      <c r="AL912">
        <v>909</v>
      </c>
      <c r="AM912">
        <v>4630.51</v>
      </c>
      <c r="AN912">
        <v>4574.1180000000004</v>
      </c>
      <c r="AO912">
        <v>56.392000000000003</v>
      </c>
      <c r="AP912">
        <v>3180.0565000000001</v>
      </c>
      <c r="AQ912">
        <v>4.1254169999999997</v>
      </c>
      <c r="AR912">
        <v>6.6164310000000004</v>
      </c>
      <c r="AY912">
        <v>910</v>
      </c>
      <c r="AZ912">
        <v>909</v>
      </c>
      <c r="BA912">
        <v>4630.51</v>
      </c>
      <c r="BB912">
        <v>4574.1180000000004</v>
      </c>
      <c r="BC912">
        <v>56.392000000000003</v>
      </c>
      <c r="BD912">
        <v>3180.0565000000001</v>
      </c>
      <c r="BE912">
        <v>826281</v>
      </c>
    </row>
    <row r="913" spans="1:57" x14ac:dyDescent="0.55000000000000004">
      <c r="A913">
        <v>1777552202</v>
      </c>
      <c r="B913" t="s">
        <v>72</v>
      </c>
      <c r="C913" t="s">
        <v>73</v>
      </c>
      <c r="D913">
        <v>4625.92</v>
      </c>
      <c r="E913">
        <v>4518.5928199999998</v>
      </c>
      <c r="F913">
        <v>4596.0559499999999</v>
      </c>
      <c r="G913">
        <v>4755.40355</v>
      </c>
      <c r="H913">
        <v>4792.7697200000002</v>
      </c>
      <c r="Q913">
        <v>4573.85041</v>
      </c>
      <c r="R913">
        <v>4603.2137000000002</v>
      </c>
      <c r="S913">
        <v>4629.8024800000003</v>
      </c>
      <c r="V913">
        <v>4538.9106400000001</v>
      </c>
      <c r="W913">
        <v>4505.3456399999995</v>
      </c>
      <c r="AB913">
        <v>4632.8060699999996</v>
      </c>
      <c r="AC913">
        <v>4633.3950800000002</v>
      </c>
      <c r="AD913">
        <v>0</v>
      </c>
      <c r="AK913">
        <v>911</v>
      </c>
      <c r="AL913">
        <v>910</v>
      </c>
      <c r="AM913">
        <v>4625.92</v>
      </c>
      <c r="AN913">
        <v>4573.8504000000003</v>
      </c>
      <c r="AO913">
        <v>52.069600000000001</v>
      </c>
      <c r="AP913">
        <v>2711.2422000000001</v>
      </c>
      <c r="AQ913">
        <v>3.2476409999999998</v>
      </c>
      <c r="AR913">
        <v>4.8093979999999998</v>
      </c>
      <c r="AY913">
        <v>911</v>
      </c>
      <c r="AZ913">
        <v>910</v>
      </c>
      <c r="BA913">
        <v>4625.92</v>
      </c>
      <c r="BB913">
        <v>4573.8504000000003</v>
      </c>
      <c r="BC913">
        <v>52.069600000000001</v>
      </c>
      <c r="BD913">
        <v>2711.2422000000001</v>
      </c>
      <c r="BE913">
        <v>828100</v>
      </c>
    </row>
    <row r="914" spans="1:57" x14ac:dyDescent="0.55000000000000004">
      <c r="A914">
        <v>1777553102</v>
      </c>
      <c r="B914" t="s">
        <v>72</v>
      </c>
      <c r="C914" t="s">
        <v>73</v>
      </c>
      <c r="D914">
        <v>4639.57</v>
      </c>
      <c r="E914">
        <v>4518.5928199999998</v>
      </c>
      <c r="F914">
        <v>4596.0559499999999</v>
      </c>
      <c r="G914">
        <v>4755.40355</v>
      </c>
      <c r="H914">
        <v>4792.7697200000002</v>
      </c>
      <c r="Q914">
        <v>4573.5828000000001</v>
      </c>
      <c r="R914">
        <v>4602.9461000000001</v>
      </c>
      <c r="S914">
        <v>4629.5348700000004</v>
      </c>
      <c r="V914">
        <v>4538.6430300000002</v>
      </c>
      <c r="W914">
        <v>4505.0780400000003</v>
      </c>
      <c r="AB914">
        <v>4632.1084000000001</v>
      </c>
      <c r="AC914">
        <v>4632.7517399999997</v>
      </c>
      <c r="AD914">
        <v>0</v>
      </c>
      <c r="AK914">
        <v>912</v>
      </c>
      <c r="AL914">
        <v>911</v>
      </c>
      <c r="AM914">
        <v>4639.57</v>
      </c>
      <c r="AN914">
        <v>4573.5828000000001</v>
      </c>
      <c r="AO914">
        <v>65.987200000000001</v>
      </c>
      <c r="AP914">
        <v>4354.3105999999998</v>
      </c>
      <c r="AQ914">
        <v>6.6098970000000001</v>
      </c>
      <c r="AR914">
        <v>12.40489</v>
      </c>
      <c r="AY914">
        <v>912</v>
      </c>
      <c r="AZ914">
        <v>911</v>
      </c>
      <c r="BA914">
        <v>4639.57</v>
      </c>
      <c r="BB914">
        <v>4573.5828000000001</v>
      </c>
      <c r="BC914">
        <v>65.987200000000001</v>
      </c>
      <c r="BD914">
        <v>4354.3105999999998</v>
      </c>
      <c r="BE914">
        <v>829921</v>
      </c>
    </row>
    <row r="915" spans="1:57" x14ac:dyDescent="0.55000000000000004">
      <c r="A915">
        <v>1777554002</v>
      </c>
      <c r="B915" t="s">
        <v>72</v>
      </c>
      <c r="C915" t="s">
        <v>73</v>
      </c>
      <c r="D915">
        <v>4641.5</v>
      </c>
      <c r="E915">
        <v>4518.5928199999998</v>
      </c>
      <c r="F915">
        <v>4596.0559499999999</v>
      </c>
      <c r="G915">
        <v>4755.40355</v>
      </c>
      <c r="H915">
        <v>4792.7697200000002</v>
      </c>
      <c r="Q915">
        <v>4573.3152</v>
      </c>
      <c r="R915">
        <v>4602.6785</v>
      </c>
      <c r="S915">
        <v>4629.2672700000003</v>
      </c>
      <c r="V915">
        <v>4538.3754300000001</v>
      </c>
      <c r="W915">
        <v>4504.8104300000005</v>
      </c>
      <c r="AB915">
        <v>4630.8108199999997</v>
      </c>
      <c r="AC915">
        <v>4631.7812800000002</v>
      </c>
      <c r="AD915">
        <v>0</v>
      </c>
      <c r="AK915">
        <v>913</v>
      </c>
      <c r="AL915">
        <v>912</v>
      </c>
      <c r="AM915">
        <v>4641.5</v>
      </c>
      <c r="AN915">
        <v>4573.3152</v>
      </c>
      <c r="AO915">
        <v>68.184799999999996</v>
      </c>
      <c r="AP915">
        <v>4649.1670000000004</v>
      </c>
      <c r="AQ915">
        <v>7.2925310000000003</v>
      </c>
      <c r="AR915">
        <v>14.14179</v>
      </c>
      <c r="AY915">
        <v>913</v>
      </c>
      <c r="AZ915">
        <v>912</v>
      </c>
      <c r="BA915">
        <v>4641.5</v>
      </c>
      <c r="BB915">
        <v>4573.3152</v>
      </c>
      <c r="BC915">
        <v>68.184799999999996</v>
      </c>
      <c r="BD915">
        <v>4649.1670000000004</v>
      </c>
      <c r="BE915">
        <v>831744</v>
      </c>
    </row>
    <row r="916" spans="1:57" x14ac:dyDescent="0.55000000000000004">
      <c r="A916">
        <v>1777554902</v>
      </c>
      <c r="B916" t="s">
        <v>72</v>
      </c>
      <c r="C916" t="s">
        <v>73</v>
      </c>
      <c r="D916">
        <v>4633.5</v>
      </c>
      <c r="E916">
        <v>4518.5928199999998</v>
      </c>
      <c r="F916">
        <v>4596.0559499999999</v>
      </c>
      <c r="G916">
        <v>4755.40355</v>
      </c>
      <c r="H916">
        <v>4792.7697200000002</v>
      </c>
      <c r="Q916">
        <v>4573.0475900000001</v>
      </c>
      <c r="R916">
        <v>4602.4108900000001</v>
      </c>
      <c r="S916">
        <v>4628.9996600000004</v>
      </c>
      <c r="V916">
        <v>4538.1078200000002</v>
      </c>
      <c r="W916">
        <v>4504.5428300000003</v>
      </c>
      <c r="AB916">
        <v>4628.8019000000004</v>
      </c>
      <c r="AC916">
        <v>4630.2915899999998</v>
      </c>
      <c r="AD916">
        <v>0</v>
      </c>
      <c r="AK916">
        <v>914</v>
      </c>
      <c r="AL916">
        <v>913</v>
      </c>
      <c r="AM916">
        <v>4633.5</v>
      </c>
      <c r="AN916">
        <v>4573.0475999999999</v>
      </c>
      <c r="AO916">
        <v>60.452399999999997</v>
      </c>
      <c r="AP916">
        <v>3654.4938999999999</v>
      </c>
      <c r="AQ916">
        <v>5.082255</v>
      </c>
      <c r="AR916">
        <v>8.7379309999999997</v>
      </c>
      <c r="AY916">
        <v>914</v>
      </c>
      <c r="AZ916">
        <v>913</v>
      </c>
      <c r="BA916">
        <v>4633.5</v>
      </c>
      <c r="BB916">
        <v>4573.0475999999999</v>
      </c>
      <c r="BC916">
        <v>60.452399999999997</v>
      </c>
      <c r="BD916">
        <v>3654.4938999999999</v>
      </c>
      <c r="BE916">
        <v>833569</v>
      </c>
    </row>
    <row r="917" spans="1:57" x14ac:dyDescent="0.55000000000000004">
      <c r="A917">
        <v>1777555802</v>
      </c>
      <c r="B917" t="s">
        <v>72</v>
      </c>
      <c r="C917" t="s">
        <v>73</v>
      </c>
      <c r="D917">
        <v>4625.4399999999996</v>
      </c>
      <c r="E917">
        <v>4518.5928199999998</v>
      </c>
      <c r="F917">
        <v>4596.0559499999999</v>
      </c>
      <c r="G917">
        <v>4755.40355</v>
      </c>
      <c r="H917">
        <v>4792.7697200000002</v>
      </c>
      <c r="Q917">
        <v>4572.77999</v>
      </c>
      <c r="R917">
        <v>4602.14329</v>
      </c>
      <c r="S917">
        <v>4628.7320600000003</v>
      </c>
      <c r="V917">
        <v>4537.84022</v>
      </c>
      <c r="W917">
        <v>4504.2752200000004</v>
      </c>
      <c r="AB917">
        <v>4626.4072200000001</v>
      </c>
      <c r="AC917">
        <v>4628.3494000000001</v>
      </c>
      <c r="AD917">
        <v>0</v>
      </c>
      <c r="AK917">
        <v>915</v>
      </c>
      <c r="AL917">
        <v>914</v>
      </c>
      <c r="AM917">
        <v>4625.4399999999996</v>
      </c>
      <c r="AN917">
        <v>4572.78</v>
      </c>
      <c r="AO917">
        <v>52.66</v>
      </c>
      <c r="AP917">
        <v>2773.0767000000001</v>
      </c>
      <c r="AQ917">
        <v>3.3593739999999999</v>
      </c>
      <c r="AR917">
        <v>5.0312729999999997</v>
      </c>
      <c r="AY917">
        <v>915</v>
      </c>
      <c r="AZ917">
        <v>914</v>
      </c>
      <c r="BA917">
        <v>4625.4399999999996</v>
      </c>
      <c r="BB917">
        <v>4572.78</v>
      </c>
      <c r="BC917">
        <v>52.66</v>
      </c>
      <c r="BD917">
        <v>2773.0767000000001</v>
      </c>
      <c r="BE917">
        <v>835396</v>
      </c>
    </row>
    <row r="918" spans="1:57" x14ac:dyDescent="0.55000000000000004">
      <c r="A918">
        <v>1777556702</v>
      </c>
      <c r="B918" t="s">
        <v>72</v>
      </c>
      <c r="C918" t="s">
        <v>73</v>
      </c>
      <c r="D918">
        <v>4610.99</v>
      </c>
      <c r="E918">
        <v>4518.5928199999998</v>
      </c>
      <c r="F918">
        <v>4596.0559499999999</v>
      </c>
      <c r="G918">
        <v>4755.40355</v>
      </c>
      <c r="H918">
        <v>4792.7697200000002</v>
      </c>
      <c r="Q918">
        <v>4572.5123899999999</v>
      </c>
      <c r="R918">
        <v>4601.8756800000001</v>
      </c>
      <c r="S918">
        <v>4628.4644600000001</v>
      </c>
      <c r="V918">
        <v>4537.5726199999999</v>
      </c>
      <c r="W918">
        <v>4504.0076200000003</v>
      </c>
      <c r="AB918">
        <v>4624.0361199999998</v>
      </c>
      <c r="AC918">
        <v>4626.1927599999999</v>
      </c>
      <c r="AD918">
        <v>0</v>
      </c>
      <c r="AK918">
        <v>916</v>
      </c>
      <c r="AL918">
        <v>915</v>
      </c>
      <c r="AM918">
        <v>4610.99</v>
      </c>
      <c r="AN918">
        <v>4572.5123999999996</v>
      </c>
      <c r="AO918">
        <v>38.477600000000002</v>
      </c>
      <c r="AP918">
        <v>1480.5264999999999</v>
      </c>
      <c r="AQ918">
        <v>1.3105089999999999</v>
      </c>
      <c r="AR918">
        <v>1.434123</v>
      </c>
      <c r="AY918">
        <v>916</v>
      </c>
      <c r="AZ918">
        <v>915</v>
      </c>
      <c r="BA918">
        <v>4610.99</v>
      </c>
      <c r="BB918">
        <v>4572.5123999999996</v>
      </c>
      <c r="BC918">
        <v>38.477600000000002</v>
      </c>
      <c r="BD918">
        <v>1480.5264999999999</v>
      </c>
      <c r="BE918">
        <v>837225</v>
      </c>
    </row>
    <row r="919" spans="1:57" x14ac:dyDescent="0.55000000000000004">
      <c r="A919">
        <v>1777557602</v>
      </c>
      <c r="B919" t="s">
        <v>72</v>
      </c>
      <c r="C919" t="s">
        <v>73</v>
      </c>
      <c r="D919">
        <v>4620.3900000000003</v>
      </c>
      <c r="E919">
        <v>4518.5928199999998</v>
      </c>
      <c r="F919">
        <v>4596.0559499999999</v>
      </c>
      <c r="G919">
        <v>4755.40355</v>
      </c>
      <c r="H919">
        <v>4792.7697200000002</v>
      </c>
      <c r="Q919">
        <v>4572.24478</v>
      </c>
      <c r="R919">
        <v>4601.60808</v>
      </c>
      <c r="S919">
        <v>4628.1968500000003</v>
      </c>
      <c r="V919">
        <v>4537.30501</v>
      </c>
      <c r="W919">
        <v>4503.7400100000004</v>
      </c>
      <c r="AB919">
        <v>4622.27171</v>
      </c>
      <c r="AC919">
        <v>4624.2322400000003</v>
      </c>
      <c r="AD919">
        <v>0</v>
      </c>
      <c r="AK919">
        <v>917</v>
      </c>
      <c r="AL919">
        <v>916</v>
      </c>
      <c r="AM919">
        <v>4620.3900000000003</v>
      </c>
      <c r="AN919">
        <v>4572.2448000000004</v>
      </c>
      <c r="AO919">
        <v>48.145200000000003</v>
      </c>
      <c r="AP919">
        <v>2317.9621999999999</v>
      </c>
      <c r="AQ919">
        <v>2.567291</v>
      </c>
      <c r="AR919">
        <v>3.515336</v>
      </c>
      <c r="AY919">
        <v>917</v>
      </c>
      <c r="AZ919">
        <v>916</v>
      </c>
      <c r="BA919">
        <v>4620.3900000000003</v>
      </c>
      <c r="BB919">
        <v>4572.2448000000004</v>
      </c>
      <c r="BC919">
        <v>48.145200000000003</v>
      </c>
      <c r="BD919">
        <v>2317.9621999999999</v>
      </c>
      <c r="BE919">
        <v>839056</v>
      </c>
    </row>
    <row r="920" spans="1:57" x14ac:dyDescent="0.55000000000000004">
      <c r="A920">
        <v>1777558502</v>
      </c>
      <c r="B920" t="s">
        <v>72</v>
      </c>
      <c r="C920" t="s">
        <v>73</v>
      </c>
      <c r="D920">
        <v>4622.8100000000004</v>
      </c>
      <c r="E920">
        <v>4518.5928199999998</v>
      </c>
      <c r="F920">
        <v>4596.0559499999999</v>
      </c>
      <c r="G920">
        <v>4755.40355</v>
      </c>
      <c r="H920">
        <v>4792.7697200000002</v>
      </c>
      <c r="Q920">
        <v>4571.9771799999999</v>
      </c>
      <c r="R920">
        <v>4601.3404799999998</v>
      </c>
      <c r="S920">
        <v>4627.9292500000001</v>
      </c>
      <c r="V920">
        <v>4537.0374099999999</v>
      </c>
      <c r="W920">
        <v>4503.4724100000003</v>
      </c>
      <c r="AB920">
        <v>4620.9202699999996</v>
      </c>
      <c r="AC920">
        <v>4622.5762500000001</v>
      </c>
      <c r="AD920">
        <v>0</v>
      </c>
      <c r="AK920">
        <v>918</v>
      </c>
      <c r="AL920">
        <v>917</v>
      </c>
      <c r="AM920">
        <v>4622.8100000000004</v>
      </c>
      <c r="AN920">
        <v>4571.9772000000003</v>
      </c>
      <c r="AO920">
        <v>50.832799999999999</v>
      </c>
      <c r="AP920">
        <v>2583.9756000000002</v>
      </c>
      <c r="AQ920">
        <v>3.0216780000000001</v>
      </c>
      <c r="AR920">
        <v>4.3684859999999999</v>
      </c>
      <c r="AY920">
        <v>918</v>
      </c>
      <c r="AZ920">
        <v>917</v>
      </c>
      <c r="BA920">
        <v>4622.8100000000004</v>
      </c>
      <c r="BB920">
        <v>4571.9772000000003</v>
      </c>
      <c r="BC920">
        <v>50.832799999999999</v>
      </c>
      <c r="BD920">
        <v>2583.9756000000002</v>
      </c>
      <c r="BE920">
        <v>840889</v>
      </c>
    </row>
    <row r="921" spans="1:57" x14ac:dyDescent="0.55000000000000004">
      <c r="A921">
        <v>1777559402</v>
      </c>
      <c r="B921" t="s">
        <v>72</v>
      </c>
      <c r="C921" t="s">
        <v>73</v>
      </c>
      <c r="D921">
        <v>4617.7</v>
      </c>
      <c r="E921">
        <v>4518.5928199999998</v>
      </c>
      <c r="F921">
        <v>4596.0559499999999</v>
      </c>
      <c r="G921">
        <v>4755.40355</v>
      </c>
      <c r="H921">
        <v>4792.7697200000002</v>
      </c>
      <c r="Q921">
        <v>4571.70957</v>
      </c>
      <c r="R921">
        <v>4601.07287</v>
      </c>
      <c r="S921">
        <v>4627.6616400000003</v>
      </c>
      <c r="V921">
        <v>4536.7698</v>
      </c>
      <c r="W921">
        <v>4503.2048100000002</v>
      </c>
      <c r="AB921">
        <v>4619.8394900000003</v>
      </c>
      <c r="AC921">
        <v>4621.2078700000002</v>
      </c>
      <c r="AD921">
        <v>0</v>
      </c>
      <c r="AK921">
        <v>919</v>
      </c>
      <c r="AL921">
        <v>918</v>
      </c>
      <c r="AM921">
        <v>4617.7</v>
      </c>
      <c r="AN921">
        <v>4571.7096000000001</v>
      </c>
      <c r="AO921">
        <v>45.990400000000001</v>
      </c>
      <c r="AP921">
        <v>2115.1197000000002</v>
      </c>
      <c r="AQ921">
        <v>2.2377829999999999</v>
      </c>
      <c r="AR921">
        <v>2.927009</v>
      </c>
      <c r="AY921">
        <v>919</v>
      </c>
      <c r="AZ921">
        <v>918</v>
      </c>
      <c r="BA921">
        <v>4617.7</v>
      </c>
      <c r="BB921">
        <v>4571.7096000000001</v>
      </c>
      <c r="BC921">
        <v>45.990400000000001</v>
      </c>
      <c r="BD921">
        <v>2115.1197000000002</v>
      </c>
      <c r="BE921">
        <v>842724</v>
      </c>
    </row>
    <row r="922" spans="1:57" x14ac:dyDescent="0.55000000000000004">
      <c r="A922">
        <v>1777560302</v>
      </c>
      <c r="B922" t="s">
        <v>72</v>
      </c>
      <c r="C922" t="s">
        <v>73</v>
      </c>
      <c r="D922">
        <v>4619.59</v>
      </c>
      <c r="E922">
        <v>4518.5928199999998</v>
      </c>
      <c r="F922">
        <v>4596.0559499999999</v>
      </c>
      <c r="G922">
        <v>4755.40355</v>
      </c>
      <c r="H922">
        <v>4792.7697200000002</v>
      </c>
      <c r="Q922">
        <v>4571.4419699999999</v>
      </c>
      <c r="R922">
        <v>4600.8052699999998</v>
      </c>
      <c r="S922">
        <v>4627.3940400000001</v>
      </c>
      <c r="V922">
        <v>4536.5021999999999</v>
      </c>
      <c r="W922">
        <v>4502.9372000000003</v>
      </c>
      <c r="AB922">
        <v>4619.0256900000004</v>
      </c>
      <c r="AC922">
        <v>4620.1167800000003</v>
      </c>
      <c r="AD922">
        <v>0</v>
      </c>
      <c r="AK922">
        <v>920</v>
      </c>
      <c r="AL922">
        <v>919</v>
      </c>
      <c r="AM922">
        <v>4619.59</v>
      </c>
      <c r="AN922">
        <v>4571.442</v>
      </c>
      <c r="AO922">
        <v>48.148000000000003</v>
      </c>
      <c r="AP922">
        <v>2318.2328000000002</v>
      </c>
      <c r="AQ922">
        <v>2.5677409999999998</v>
      </c>
      <c r="AR922">
        <v>3.5161570000000002</v>
      </c>
      <c r="AY922">
        <v>920</v>
      </c>
      <c r="AZ922">
        <v>919</v>
      </c>
      <c r="BA922">
        <v>4619.59</v>
      </c>
      <c r="BB922">
        <v>4571.442</v>
      </c>
      <c r="BC922">
        <v>48.148000000000003</v>
      </c>
      <c r="BD922">
        <v>2318.2328000000002</v>
      </c>
      <c r="BE922">
        <v>844561</v>
      </c>
    </row>
    <row r="923" spans="1:57" x14ac:dyDescent="0.55000000000000004">
      <c r="A923">
        <v>1777561202</v>
      </c>
      <c r="B923" t="s">
        <v>72</v>
      </c>
      <c r="C923" t="s">
        <v>73</v>
      </c>
      <c r="D923">
        <v>4620.13</v>
      </c>
      <c r="E923">
        <v>4518.5928199999998</v>
      </c>
      <c r="F923">
        <v>4596.0559499999999</v>
      </c>
      <c r="G923">
        <v>4755.40355</v>
      </c>
      <c r="H923">
        <v>4792.7697200000002</v>
      </c>
      <c r="Q923">
        <v>4571.1743699999997</v>
      </c>
      <c r="R923">
        <v>4600.53766</v>
      </c>
      <c r="S923">
        <v>4627.1264300000003</v>
      </c>
      <c r="V923">
        <v>4536.23459</v>
      </c>
      <c r="W923">
        <v>4502.6696000000002</v>
      </c>
      <c r="AB923">
        <v>4618.23207</v>
      </c>
      <c r="AC923">
        <v>4619.17443</v>
      </c>
      <c r="AD923">
        <v>0</v>
      </c>
      <c r="AK923">
        <v>921</v>
      </c>
      <c r="AL923">
        <v>920</v>
      </c>
      <c r="AM923">
        <v>4620.13</v>
      </c>
      <c r="AN923">
        <v>4571.1743999999999</v>
      </c>
      <c r="AO923">
        <v>48.955599999999997</v>
      </c>
      <c r="AP923">
        <v>2396.6536999999998</v>
      </c>
      <c r="AQ923">
        <v>2.699128</v>
      </c>
      <c r="AR923">
        <v>3.7580680000000002</v>
      </c>
      <c r="AY923">
        <v>921</v>
      </c>
      <c r="AZ923">
        <v>920</v>
      </c>
      <c r="BA923">
        <v>4620.13</v>
      </c>
      <c r="BB923">
        <v>4571.1743999999999</v>
      </c>
      <c r="BC923">
        <v>48.955599999999997</v>
      </c>
      <c r="BD923">
        <v>2396.6536999999998</v>
      </c>
      <c r="BE923">
        <v>846400</v>
      </c>
    </row>
    <row r="924" spans="1:57" x14ac:dyDescent="0.55000000000000004">
      <c r="A924">
        <v>1777562102</v>
      </c>
      <c r="B924" t="s">
        <v>72</v>
      </c>
      <c r="C924" t="s">
        <v>73</v>
      </c>
      <c r="D924">
        <v>4623.09</v>
      </c>
      <c r="E924">
        <v>4518.5928199999998</v>
      </c>
      <c r="F924">
        <v>4596.0559499999999</v>
      </c>
      <c r="G924">
        <v>4755.40355</v>
      </c>
      <c r="H924">
        <v>4792.7697200000002</v>
      </c>
      <c r="Q924">
        <v>4570.9067599999998</v>
      </c>
      <c r="R924">
        <v>4600.2700599999998</v>
      </c>
      <c r="S924">
        <v>4626.8588300000001</v>
      </c>
      <c r="V924">
        <v>4535.9669899999999</v>
      </c>
      <c r="W924">
        <v>4502.4019900000003</v>
      </c>
      <c r="AB924">
        <v>4617.2481699999998</v>
      </c>
      <c r="AC924">
        <v>4618.2112999999999</v>
      </c>
      <c r="AD924">
        <v>0</v>
      </c>
      <c r="AK924">
        <v>922</v>
      </c>
      <c r="AL924">
        <v>921</v>
      </c>
      <c r="AM924">
        <v>4623.09</v>
      </c>
      <c r="AN924">
        <v>4570.9067999999997</v>
      </c>
      <c r="AO924">
        <v>52.183199999999999</v>
      </c>
      <c r="AP924">
        <v>2723.0904999999998</v>
      </c>
      <c r="AQ924">
        <v>3.2689530000000002</v>
      </c>
      <c r="AR924">
        <v>4.8515249999999996</v>
      </c>
      <c r="AY924">
        <v>922</v>
      </c>
      <c r="AZ924">
        <v>921</v>
      </c>
      <c r="BA924">
        <v>4623.09</v>
      </c>
      <c r="BB924">
        <v>4570.9067999999997</v>
      </c>
      <c r="BC924">
        <v>52.183199999999999</v>
      </c>
      <c r="BD924">
        <v>2723.0904999999998</v>
      </c>
      <c r="BE924">
        <v>848241</v>
      </c>
    </row>
    <row r="925" spans="1:57" x14ac:dyDescent="0.55000000000000004">
      <c r="A925">
        <v>1777563002</v>
      </c>
      <c r="B925" t="s">
        <v>72</v>
      </c>
      <c r="C925" t="s">
        <v>73</v>
      </c>
      <c r="D925">
        <v>4615.6499999999996</v>
      </c>
      <c r="E925">
        <v>4518.5928199999998</v>
      </c>
      <c r="F925">
        <v>4596.0559499999999</v>
      </c>
      <c r="G925">
        <v>4755.40355</v>
      </c>
      <c r="H925">
        <v>4792.7697200000002</v>
      </c>
      <c r="Q925">
        <v>4570.6391599999997</v>
      </c>
      <c r="R925">
        <v>4600.0024599999997</v>
      </c>
      <c r="S925">
        <v>4626.59123</v>
      </c>
      <c r="V925">
        <v>4535.6993899999998</v>
      </c>
      <c r="W925">
        <v>4502.1343900000002</v>
      </c>
      <c r="AB925">
        <v>4615.8920699999999</v>
      </c>
      <c r="AC925">
        <v>4617.0516799999996</v>
      </c>
      <c r="AD925">
        <v>0</v>
      </c>
      <c r="AK925">
        <v>923</v>
      </c>
      <c r="AL925">
        <v>922</v>
      </c>
      <c r="AM925">
        <v>4615.6499999999996</v>
      </c>
      <c r="AN925">
        <v>4570.6391999999996</v>
      </c>
      <c r="AO925">
        <v>45.010800000000003</v>
      </c>
      <c r="AP925">
        <v>2025.9757</v>
      </c>
      <c r="AQ925">
        <v>2.0978140000000001</v>
      </c>
      <c r="AR925">
        <v>2.6854840000000002</v>
      </c>
      <c r="AY925">
        <v>923</v>
      </c>
      <c r="AZ925">
        <v>922</v>
      </c>
      <c r="BA925">
        <v>4615.6499999999996</v>
      </c>
      <c r="BB925">
        <v>4570.6391999999996</v>
      </c>
      <c r="BC925">
        <v>45.010800000000003</v>
      </c>
      <c r="BD925">
        <v>2025.9757</v>
      </c>
      <c r="BE925">
        <v>850084</v>
      </c>
    </row>
    <row r="926" spans="1:57" x14ac:dyDescent="0.55000000000000004">
      <c r="A926">
        <v>1777563902</v>
      </c>
      <c r="B926" t="s">
        <v>72</v>
      </c>
      <c r="C926" t="s">
        <v>73</v>
      </c>
      <c r="D926">
        <v>4615.3500000000004</v>
      </c>
      <c r="E926">
        <v>4518.5928199999998</v>
      </c>
      <c r="F926">
        <v>4596.0559499999999</v>
      </c>
      <c r="G926">
        <v>4755.40355</v>
      </c>
      <c r="H926">
        <v>4792.7697200000002</v>
      </c>
      <c r="Q926">
        <v>4570.3715499999998</v>
      </c>
      <c r="R926">
        <v>4599.7348499999998</v>
      </c>
      <c r="S926">
        <v>4626.3236200000001</v>
      </c>
      <c r="V926">
        <v>4535.4317799999999</v>
      </c>
      <c r="W926">
        <v>4501.86679</v>
      </c>
      <c r="AB926">
        <v>4614.3570600000003</v>
      </c>
      <c r="AC926">
        <v>4615.7043700000004</v>
      </c>
      <c r="AD926">
        <v>0</v>
      </c>
      <c r="AK926">
        <v>924</v>
      </c>
      <c r="AL926">
        <v>923</v>
      </c>
      <c r="AM926">
        <v>4615.3500000000004</v>
      </c>
      <c r="AN926">
        <v>4570.3715000000002</v>
      </c>
      <c r="AO926">
        <v>44.978499999999997</v>
      </c>
      <c r="AP926">
        <v>2023.0609999999999</v>
      </c>
      <c r="AQ926">
        <v>2.0932879999999998</v>
      </c>
      <c r="AR926">
        <v>2.677762</v>
      </c>
      <c r="AY926">
        <v>924</v>
      </c>
      <c r="AZ926">
        <v>923</v>
      </c>
      <c r="BA926">
        <v>4615.3500000000004</v>
      </c>
      <c r="BB926">
        <v>4570.3715000000002</v>
      </c>
      <c r="BC926">
        <v>44.978499999999997</v>
      </c>
      <c r="BD926">
        <v>2023.0609999999999</v>
      </c>
      <c r="BE926">
        <v>851929</v>
      </c>
    </row>
    <row r="927" spans="1:57" x14ac:dyDescent="0.55000000000000004">
      <c r="A927">
        <v>1777564802</v>
      </c>
      <c r="B927" t="s">
        <v>72</v>
      </c>
      <c r="C927" t="s">
        <v>73</v>
      </c>
      <c r="D927">
        <v>4611.63</v>
      </c>
      <c r="E927">
        <v>4518.5928199999998</v>
      </c>
      <c r="F927">
        <v>4596.0559499999999</v>
      </c>
      <c r="G927">
        <v>4755.40355</v>
      </c>
      <c r="H927">
        <v>4792.7697200000002</v>
      </c>
      <c r="Q927">
        <v>4570.1039499999997</v>
      </c>
      <c r="R927">
        <v>4599.4672499999997</v>
      </c>
      <c r="S927">
        <v>4626.05602</v>
      </c>
      <c r="V927">
        <v>4535.1641799999998</v>
      </c>
      <c r="W927">
        <v>4501.5991800000002</v>
      </c>
      <c r="AB927">
        <v>4612.7963099999997</v>
      </c>
      <c r="AC927">
        <v>4614.2503399999996</v>
      </c>
      <c r="AD927">
        <v>0</v>
      </c>
      <c r="AK927">
        <v>925</v>
      </c>
      <c r="AL927">
        <v>924</v>
      </c>
      <c r="AM927">
        <v>4611.63</v>
      </c>
      <c r="AN927">
        <v>4570.1039000000001</v>
      </c>
      <c r="AO927">
        <v>41.5261</v>
      </c>
      <c r="AP927">
        <v>1724.4128000000001</v>
      </c>
      <c r="AQ927">
        <v>1.6473180000000001</v>
      </c>
      <c r="AR927">
        <v>1.945524</v>
      </c>
      <c r="AY927">
        <v>925</v>
      </c>
      <c r="AZ927">
        <v>924</v>
      </c>
      <c r="BA927">
        <v>4611.63</v>
      </c>
      <c r="BB927">
        <v>4570.1039000000001</v>
      </c>
      <c r="BC927">
        <v>41.5261</v>
      </c>
      <c r="BD927">
        <v>1724.4128000000001</v>
      </c>
      <c r="BE927">
        <v>853776</v>
      </c>
    </row>
    <row r="928" spans="1:57" x14ac:dyDescent="0.55000000000000004">
      <c r="A928">
        <v>1777565702</v>
      </c>
      <c r="B928" t="s">
        <v>72</v>
      </c>
      <c r="C928" t="s">
        <v>73</v>
      </c>
      <c r="D928">
        <v>4608.08</v>
      </c>
      <c r="E928">
        <v>4518.5928199999998</v>
      </c>
      <c r="F928">
        <v>4596.0559499999999</v>
      </c>
      <c r="G928">
        <v>4755.40355</v>
      </c>
      <c r="H928">
        <v>4792.7697200000002</v>
      </c>
      <c r="Q928">
        <v>4569.8363399999998</v>
      </c>
      <c r="R928">
        <v>4599.1996399999998</v>
      </c>
      <c r="S928">
        <v>4625.7884100000001</v>
      </c>
      <c r="V928">
        <v>4534.8965699999999</v>
      </c>
      <c r="W928">
        <v>4501.33158</v>
      </c>
      <c r="AB928">
        <v>4611.5588399999997</v>
      </c>
      <c r="AC928">
        <v>4612.9045900000001</v>
      </c>
      <c r="AD928">
        <v>0</v>
      </c>
      <c r="AK928">
        <v>926</v>
      </c>
      <c r="AL928">
        <v>925</v>
      </c>
      <c r="AM928">
        <v>4608.08</v>
      </c>
      <c r="AN928">
        <v>4569.8362999999999</v>
      </c>
      <c r="AO928">
        <v>38.243699999999997</v>
      </c>
      <c r="AP928">
        <v>1462.5775000000001</v>
      </c>
      <c r="AQ928">
        <v>1.2867489999999999</v>
      </c>
      <c r="AR928">
        <v>1.3995610000000001</v>
      </c>
      <c r="AY928">
        <v>926</v>
      </c>
      <c r="AZ928">
        <v>925</v>
      </c>
      <c r="BA928">
        <v>4608.08</v>
      </c>
      <c r="BB928">
        <v>4569.8362999999999</v>
      </c>
      <c r="BC928">
        <v>38.243699999999997</v>
      </c>
      <c r="BD928">
        <v>1462.5775000000001</v>
      </c>
      <c r="BE928">
        <v>855625</v>
      </c>
    </row>
    <row r="929" spans="1:57" x14ac:dyDescent="0.55000000000000004">
      <c r="A929">
        <v>1777566602</v>
      </c>
      <c r="B929" t="s">
        <v>72</v>
      </c>
      <c r="C929" t="s">
        <v>73</v>
      </c>
      <c r="D929">
        <v>4609.12</v>
      </c>
      <c r="E929">
        <v>4518.5928199999998</v>
      </c>
      <c r="F929">
        <v>4596.0559499999999</v>
      </c>
      <c r="G929">
        <v>4755.40355</v>
      </c>
      <c r="H929">
        <v>4792.7697200000002</v>
      </c>
      <c r="Q929">
        <v>4569.5687399999997</v>
      </c>
      <c r="R929">
        <v>4598.9320399999997</v>
      </c>
      <c r="S929">
        <v>4625.52081</v>
      </c>
      <c r="V929">
        <v>4534.6289699999998</v>
      </c>
      <c r="W929">
        <v>4501.0639700000002</v>
      </c>
      <c r="AB929">
        <v>4610.9964399999999</v>
      </c>
      <c r="AC929">
        <v>4611.9505099999997</v>
      </c>
      <c r="AD929">
        <v>0</v>
      </c>
      <c r="AK929">
        <v>927</v>
      </c>
      <c r="AL929">
        <v>926</v>
      </c>
      <c r="AM929">
        <v>4609.12</v>
      </c>
      <c r="AN929">
        <v>4569.5686999999998</v>
      </c>
      <c r="AO929">
        <v>39.551299999999998</v>
      </c>
      <c r="AP929">
        <v>1564.3022000000001</v>
      </c>
      <c r="AQ929">
        <v>1.4233</v>
      </c>
      <c r="AR929">
        <v>1.6010150000000001</v>
      </c>
      <c r="AY929">
        <v>927</v>
      </c>
      <c r="AZ929">
        <v>926</v>
      </c>
      <c r="BA929">
        <v>4609.12</v>
      </c>
      <c r="BB929">
        <v>4569.5686999999998</v>
      </c>
      <c r="BC929">
        <v>39.551299999999998</v>
      </c>
      <c r="BD929">
        <v>1564.3022000000001</v>
      </c>
      <c r="BE929">
        <v>857476</v>
      </c>
    </row>
    <row r="930" spans="1:57" x14ac:dyDescent="0.55000000000000004">
      <c r="A930">
        <v>1777567502</v>
      </c>
      <c r="B930" t="s">
        <v>72</v>
      </c>
      <c r="C930" t="s">
        <v>73</v>
      </c>
      <c r="D930">
        <v>4607.62</v>
      </c>
      <c r="E930">
        <v>4518.5928199999998</v>
      </c>
      <c r="F930">
        <v>4596.0559499999999</v>
      </c>
      <c r="G930">
        <v>4755.40355</v>
      </c>
      <c r="H930">
        <v>4792.7697200000002</v>
      </c>
      <c r="Q930">
        <v>4569.3011399999996</v>
      </c>
      <c r="R930">
        <v>4598.6644399999996</v>
      </c>
      <c r="S930">
        <v>4625.2532099999999</v>
      </c>
      <c r="V930">
        <v>4534.3613699999996</v>
      </c>
      <c r="W930">
        <v>4500.79637</v>
      </c>
      <c r="AA930">
        <v>4605.5600000000004</v>
      </c>
      <c r="AB930">
        <v>4611.2679500000004</v>
      </c>
      <c r="AC930">
        <v>4611.60923</v>
      </c>
      <c r="AD930">
        <v>0</v>
      </c>
      <c r="AK930">
        <v>928</v>
      </c>
      <c r="AL930">
        <v>927</v>
      </c>
      <c r="AM930">
        <v>4607.62</v>
      </c>
      <c r="AN930">
        <v>4569.3010999999997</v>
      </c>
      <c r="AO930">
        <v>38.318899999999999</v>
      </c>
      <c r="AP930">
        <v>1468.335</v>
      </c>
      <c r="AQ930">
        <v>1.2943549999999999</v>
      </c>
      <c r="AR930">
        <v>1.4106019999999999</v>
      </c>
      <c r="AY930">
        <v>928</v>
      </c>
      <c r="AZ930">
        <v>927</v>
      </c>
      <c r="BA930">
        <v>4607.62</v>
      </c>
      <c r="BB930">
        <v>4569.3010999999997</v>
      </c>
      <c r="BC930">
        <v>38.318899999999999</v>
      </c>
      <c r="BD930">
        <v>1468.335</v>
      </c>
      <c r="BE930">
        <v>859329</v>
      </c>
    </row>
    <row r="931" spans="1:57" x14ac:dyDescent="0.55000000000000004">
      <c r="A931">
        <v>1777568402</v>
      </c>
      <c r="B931" t="s">
        <v>72</v>
      </c>
      <c r="C931" t="s">
        <v>73</v>
      </c>
      <c r="D931">
        <v>4615.95</v>
      </c>
      <c r="E931">
        <v>4518.5928199999998</v>
      </c>
      <c r="F931">
        <v>4596.0559499999999</v>
      </c>
      <c r="G931">
        <v>4755.40355</v>
      </c>
      <c r="H931">
        <v>4792.7697200000002</v>
      </c>
      <c r="Q931">
        <v>4569.0335299999997</v>
      </c>
      <c r="R931">
        <v>4598.3968299999997</v>
      </c>
      <c r="S931">
        <v>4624.9856</v>
      </c>
      <c r="V931">
        <v>4534.0937599999997</v>
      </c>
      <c r="W931">
        <v>4500.5287699999999</v>
      </c>
      <c r="AB931">
        <v>4612.4702600000001</v>
      </c>
      <c r="AC931">
        <v>4612.0397499999999</v>
      </c>
      <c r="AD931">
        <v>1</v>
      </c>
      <c r="AK931">
        <v>929</v>
      </c>
      <c r="AL931">
        <v>928</v>
      </c>
      <c r="AM931">
        <v>4615.95</v>
      </c>
      <c r="AN931">
        <v>4569.0334999999995</v>
      </c>
      <c r="AO931">
        <v>46.916499999999999</v>
      </c>
      <c r="AP931">
        <v>2201.1552000000001</v>
      </c>
      <c r="AQ931">
        <v>2.3757000000000001</v>
      </c>
      <c r="AR931">
        <v>3.169972</v>
      </c>
      <c r="AY931">
        <v>929</v>
      </c>
      <c r="AZ931">
        <v>928</v>
      </c>
      <c r="BA931">
        <v>4615.95</v>
      </c>
      <c r="BB931">
        <v>4569.0334999999995</v>
      </c>
      <c r="BC931">
        <v>46.916499999999999</v>
      </c>
      <c r="BD931">
        <v>2201.1552000000001</v>
      </c>
      <c r="BE931">
        <v>861184</v>
      </c>
    </row>
    <row r="932" spans="1:57" x14ac:dyDescent="0.55000000000000004">
      <c r="A932">
        <v>1777569302</v>
      </c>
      <c r="B932" t="s">
        <v>72</v>
      </c>
      <c r="C932" t="s">
        <v>73</v>
      </c>
      <c r="D932">
        <v>4618</v>
      </c>
      <c r="E932">
        <v>4518.5928199999998</v>
      </c>
      <c r="F932">
        <v>4596.0559499999999</v>
      </c>
      <c r="G932">
        <v>4755.40355</v>
      </c>
      <c r="H932">
        <v>4792.7697200000002</v>
      </c>
      <c r="Q932">
        <v>4568.7659299999996</v>
      </c>
      <c r="R932">
        <v>4598.1292299999996</v>
      </c>
      <c r="S932">
        <v>4624.7179999999998</v>
      </c>
      <c r="V932">
        <v>4533.8261599999996</v>
      </c>
      <c r="W932">
        <v>4500.26116</v>
      </c>
      <c r="AB932">
        <v>4614.2954900000004</v>
      </c>
      <c r="AC932">
        <v>4613.1676200000002</v>
      </c>
      <c r="AD932">
        <v>0</v>
      </c>
      <c r="AK932">
        <v>930</v>
      </c>
      <c r="AL932">
        <v>929</v>
      </c>
      <c r="AM932">
        <v>4618</v>
      </c>
      <c r="AN932">
        <v>4568.7659000000003</v>
      </c>
      <c r="AO932">
        <v>49.234099999999998</v>
      </c>
      <c r="AP932">
        <v>2423.9935999999998</v>
      </c>
      <c r="AQ932">
        <v>2.7454450000000001</v>
      </c>
      <c r="AR932">
        <v>3.8442980000000002</v>
      </c>
      <c r="AY932">
        <v>930</v>
      </c>
      <c r="AZ932">
        <v>929</v>
      </c>
      <c r="BA932">
        <v>4618</v>
      </c>
      <c r="BB932">
        <v>4568.7659000000003</v>
      </c>
      <c r="BC932">
        <v>49.234099999999998</v>
      </c>
      <c r="BD932">
        <v>2423.9935999999998</v>
      </c>
      <c r="BE932">
        <v>863041</v>
      </c>
    </row>
    <row r="933" spans="1:57" x14ac:dyDescent="0.55000000000000004">
      <c r="A933">
        <v>1777570202</v>
      </c>
      <c r="B933" t="s">
        <v>72</v>
      </c>
      <c r="C933" t="s">
        <v>73</v>
      </c>
      <c r="D933">
        <v>4617.8599999999997</v>
      </c>
      <c r="E933">
        <v>4518.5928199999998</v>
      </c>
      <c r="F933">
        <v>4596.0559499999999</v>
      </c>
      <c r="G933">
        <v>4755.40355</v>
      </c>
      <c r="H933">
        <v>4792.7697200000002</v>
      </c>
      <c r="Q933">
        <v>4568.4983199999997</v>
      </c>
      <c r="R933">
        <v>4597.8616199999997</v>
      </c>
      <c r="S933">
        <v>4624.45039</v>
      </c>
      <c r="V933">
        <v>4533.5585499999997</v>
      </c>
      <c r="W933">
        <v>4499.9935599999999</v>
      </c>
      <c r="AB933">
        <v>4616.4691199999997</v>
      </c>
      <c r="AC933">
        <v>4614.81837</v>
      </c>
      <c r="AD933">
        <v>0</v>
      </c>
      <c r="AK933">
        <v>931</v>
      </c>
      <c r="AL933">
        <v>930</v>
      </c>
      <c r="AM933">
        <v>4617.8599999999997</v>
      </c>
      <c r="AN933">
        <v>4568.4983000000002</v>
      </c>
      <c r="AO933">
        <v>49.361699999999999</v>
      </c>
      <c r="AP933">
        <v>2436.5754999999999</v>
      </c>
      <c r="AQ933">
        <v>2.7668490000000001</v>
      </c>
      <c r="AR933">
        <v>3.8843100000000002</v>
      </c>
      <c r="AY933">
        <v>931</v>
      </c>
      <c r="AZ933">
        <v>930</v>
      </c>
      <c r="BA933">
        <v>4617.8599999999997</v>
      </c>
      <c r="BB933">
        <v>4568.4983000000002</v>
      </c>
      <c r="BC933">
        <v>49.361699999999999</v>
      </c>
      <c r="BD933">
        <v>2436.5754999999999</v>
      </c>
      <c r="BE933">
        <v>864900</v>
      </c>
    </row>
    <row r="934" spans="1:57" x14ac:dyDescent="0.55000000000000004">
      <c r="A934">
        <v>1777571102</v>
      </c>
      <c r="B934" t="s">
        <v>72</v>
      </c>
      <c r="C934" t="s">
        <v>73</v>
      </c>
      <c r="D934">
        <v>4616.8599999999997</v>
      </c>
      <c r="E934">
        <v>4518.5928199999998</v>
      </c>
      <c r="F934">
        <v>4596.0559499999999</v>
      </c>
      <c r="G934">
        <v>4755.40355</v>
      </c>
      <c r="H934">
        <v>4792.7697200000002</v>
      </c>
      <c r="Q934">
        <v>4568.2307199999996</v>
      </c>
      <c r="R934">
        <v>4597.5940199999995</v>
      </c>
      <c r="S934">
        <v>4624.1827899999998</v>
      </c>
      <c r="V934">
        <v>4533.2909499999996</v>
      </c>
      <c r="W934">
        <v>4499.72595</v>
      </c>
      <c r="AB934">
        <v>4618.6906300000001</v>
      </c>
      <c r="AC934">
        <v>4616.7545</v>
      </c>
      <c r="AD934">
        <v>0</v>
      </c>
      <c r="AK934">
        <v>932</v>
      </c>
      <c r="AL934">
        <v>931</v>
      </c>
      <c r="AM934">
        <v>4616.8599999999997</v>
      </c>
      <c r="AN934">
        <v>4568.2307000000001</v>
      </c>
      <c r="AO934">
        <v>48.629300000000001</v>
      </c>
      <c r="AP934">
        <v>2364.8069</v>
      </c>
      <c r="AQ934">
        <v>2.645508</v>
      </c>
      <c r="AR934">
        <v>3.6588569999999998</v>
      </c>
      <c r="AY934">
        <v>932</v>
      </c>
      <c r="AZ934">
        <v>931</v>
      </c>
      <c r="BA934">
        <v>4616.8599999999997</v>
      </c>
      <c r="BB934">
        <v>4568.2307000000001</v>
      </c>
      <c r="BC934">
        <v>48.629300000000001</v>
      </c>
      <c r="BD934">
        <v>2364.8069</v>
      </c>
      <c r="BE934">
        <v>866761</v>
      </c>
    </row>
    <row r="935" spans="1:57" x14ac:dyDescent="0.55000000000000004">
      <c r="A935">
        <v>1777572002</v>
      </c>
      <c r="B935" t="s">
        <v>72</v>
      </c>
      <c r="C935" t="s">
        <v>73</v>
      </c>
      <c r="D935">
        <v>4620.57</v>
      </c>
      <c r="E935">
        <v>4518.5928199999998</v>
      </c>
      <c r="F935">
        <v>4596.0559499999999</v>
      </c>
      <c r="G935">
        <v>4755.40355</v>
      </c>
      <c r="H935">
        <v>4792.7697200000002</v>
      </c>
      <c r="Q935">
        <v>4567.9631200000003</v>
      </c>
      <c r="R935">
        <v>4597.3264099999997</v>
      </c>
      <c r="S935">
        <v>4623.9151899999997</v>
      </c>
      <c r="V935">
        <v>4533.0233500000004</v>
      </c>
      <c r="W935">
        <v>4499.4583499999999</v>
      </c>
      <c r="AB935">
        <v>4620.6531599999998</v>
      </c>
      <c r="AC935">
        <v>4618.7038300000004</v>
      </c>
      <c r="AD935">
        <v>0</v>
      </c>
      <c r="AK935">
        <v>933</v>
      </c>
      <c r="AL935">
        <v>932</v>
      </c>
      <c r="AM935">
        <v>4620.57</v>
      </c>
      <c r="AN935">
        <v>4567.9630999999999</v>
      </c>
      <c r="AO935">
        <v>52.606900000000003</v>
      </c>
      <c r="AP935">
        <v>2767.4838</v>
      </c>
      <c r="AQ935">
        <v>3.3492160000000002</v>
      </c>
      <c r="AR935">
        <v>5.010999</v>
      </c>
      <c r="AY935">
        <v>933</v>
      </c>
      <c r="AZ935">
        <v>932</v>
      </c>
      <c r="BA935">
        <v>4620.57</v>
      </c>
      <c r="BB935">
        <v>4567.9630999999999</v>
      </c>
      <c r="BC935">
        <v>52.606900000000003</v>
      </c>
      <c r="BD935">
        <v>2767.4838</v>
      </c>
      <c r="BE935">
        <v>868624</v>
      </c>
    </row>
    <row r="936" spans="1:57" x14ac:dyDescent="0.55000000000000004">
      <c r="A936">
        <v>1777572902</v>
      </c>
      <c r="B936" t="s">
        <v>72</v>
      </c>
      <c r="C936" t="s">
        <v>73</v>
      </c>
      <c r="D936">
        <v>4620.79</v>
      </c>
      <c r="E936">
        <v>4518.5928199999998</v>
      </c>
      <c r="F936">
        <v>4596.0559499999999</v>
      </c>
      <c r="G936">
        <v>4755.40355</v>
      </c>
      <c r="H936">
        <v>4792.7697200000002</v>
      </c>
      <c r="Q936">
        <v>4567.6955099999996</v>
      </c>
      <c r="R936">
        <v>4597.0588100000004</v>
      </c>
      <c r="S936">
        <v>4623.6475799999998</v>
      </c>
      <c r="V936">
        <v>4532.7557399999996</v>
      </c>
      <c r="W936">
        <v>4499.1907499999998</v>
      </c>
      <c r="AB936">
        <v>4622.0027099999998</v>
      </c>
      <c r="AC936">
        <v>4620.3532699999996</v>
      </c>
      <c r="AD936">
        <v>0</v>
      </c>
      <c r="AK936">
        <v>934</v>
      </c>
      <c r="AL936">
        <v>933</v>
      </c>
      <c r="AM936">
        <v>4620.79</v>
      </c>
      <c r="AN936">
        <v>4567.6954999999998</v>
      </c>
      <c r="AO936">
        <v>53.094499999999996</v>
      </c>
      <c r="AP936">
        <v>2819.0248999999999</v>
      </c>
      <c r="AQ936">
        <v>3.4432130000000001</v>
      </c>
      <c r="AR936">
        <v>5.1993840000000002</v>
      </c>
      <c r="AY936">
        <v>934</v>
      </c>
      <c r="AZ936">
        <v>933</v>
      </c>
      <c r="BA936">
        <v>4620.79</v>
      </c>
      <c r="BB936">
        <v>4567.6954999999998</v>
      </c>
      <c r="BC936">
        <v>53.094499999999996</v>
      </c>
      <c r="BD936">
        <v>2819.0248999999999</v>
      </c>
      <c r="BE936">
        <v>870489</v>
      </c>
    </row>
    <row r="937" spans="1:57" x14ac:dyDescent="0.55000000000000004">
      <c r="A937">
        <v>1777573802</v>
      </c>
      <c r="B937" t="s">
        <v>72</v>
      </c>
      <c r="C937" t="s">
        <v>73</v>
      </c>
      <c r="D937">
        <v>4620.7</v>
      </c>
      <c r="E937">
        <v>4518.5928199999998</v>
      </c>
      <c r="F937">
        <v>4596.0559499999999</v>
      </c>
      <c r="G937">
        <v>4755.40355</v>
      </c>
      <c r="H937">
        <v>4792.7697200000002</v>
      </c>
      <c r="Q937">
        <v>4567.4279100000003</v>
      </c>
      <c r="R937">
        <v>4596.7912100000003</v>
      </c>
      <c r="S937">
        <v>4623.3799799999997</v>
      </c>
      <c r="V937">
        <v>4532.4881400000004</v>
      </c>
      <c r="W937">
        <v>4498.9231399999999</v>
      </c>
      <c r="AB937">
        <v>4622.5640599999997</v>
      </c>
      <c r="AC937">
        <v>4621.4586600000002</v>
      </c>
      <c r="AD937">
        <v>0</v>
      </c>
      <c r="AK937">
        <v>935</v>
      </c>
      <c r="AL937">
        <v>934</v>
      </c>
      <c r="AM937">
        <v>4620.7</v>
      </c>
      <c r="AN937">
        <v>4567.4278999999997</v>
      </c>
      <c r="AO937">
        <v>53.272100000000002</v>
      </c>
      <c r="AP937">
        <v>2837.9155999999998</v>
      </c>
      <c r="AQ937">
        <v>3.4778820000000001</v>
      </c>
      <c r="AR937">
        <v>5.2693019999999997</v>
      </c>
      <c r="AY937">
        <v>935</v>
      </c>
      <c r="AZ937">
        <v>934</v>
      </c>
      <c r="BA937">
        <v>4620.7</v>
      </c>
      <c r="BB937">
        <v>4567.4278999999997</v>
      </c>
      <c r="BC937">
        <v>53.272100000000002</v>
      </c>
      <c r="BD937">
        <v>2837.9155999999998</v>
      </c>
      <c r="BE937">
        <v>872356</v>
      </c>
    </row>
    <row r="938" spans="1:57" x14ac:dyDescent="0.55000000000000004">
      <c r="A938">
        <v>1777574702</v>
      </c>
      <c r="B938" t="s">
        <v>72</v>
      </c>
      <c r="C938" t="s">
        <v>73</v>
      </c>
      <c r="D938">
        <v>4622.4799999999996</v>
      </c>
      <c r="E938">
        <v>4518.5928199999998</v>
      </c>
      <c r="F938">
        <v>4596.0559499999999</v>
      </c>
      <c r="G938">
        <v>4755.40355</v>
      </c>
      <c r="H938">
        <v>4792.7697200000002</v>
      </c>
      <c r="Q938">
        <v>4567.1602999999996</v>
      </c>
      <c r="R938">
        <v>4596.5236000000004</v>
      </c>
      <c r="S938">
        <v>4623.1123699999998</v>
      </c>
      <c r="V938">
        <v>4532.2205299999996</v>
      </c>
      <c r="W938">
        <v>4498.6555399999997</v>
      </c>
      <c r="AB938">
        <v>4622.31167</v>
      </c>
      <c r="AC938">
        <v>4621.8851699999996</v>
      </c>
      <c r="AD938">
        <v>0</v>
      </c>
      <c r="AK938">
        <v>936</v>
      </c>
      <c r="AL938">
        <v>935</v>
      </c>
      <c r="AM938">
        <v>4622.4799999999996</v>
      </c>
      <c r="AN938">
        <v>4567.1602999999996</v>
      </c>
      <c r="AO938">
        <v>55.319699999999997</v>
      </c>
      <c r="AP938">
        <v>3060.2692000000002</v>
      </c>
      <c r="AQ938">
        <v>3.89453</v>
      </c>
      <c r="AR938">
        <v>6.1273600000000004</v>
      </c>
      <c r="AY938">
        <v>936</v>
      </c>
      <c r="AZ938">
        <v>935</v>
      </c>
      <c r="BA938">
        <v>4622.4799999999996</v>
      </c>
      <c r="BB938">
        <v>4567.1602999999996</v>
      </c>
      <c r="BC938">
        <v>55.319699999999997</v>
      </c>
      <c r="BD938">
        <v>3060.2692000000002</v>
      </c>
      <c r="BE938">
        <v>874225</v>
      </c>
    </row>
    <row r="939" spans="1:57" x14ac:dyDescent="0.55000000000000004">
      <c r="A939">
        <v>1777575602</v>
      </c>
      <c r="B939" t="s">
        <v>72</v>
      </c>
      <c r="C939" t="s">
        <v>73</v>
      </c>
      <c r="D939">
        <v>4624.33</v>
      </c>
      <c r="E939">
        <v>4518.5928199999998</v>
      </c>
      <c r="F939">
        <v>4596.0559499999999</v>
      </c>
      <c r="G939">
        <v>4755.40355</v>
      </c>
      <c r="H939">
        <v>4792.7697200000002</v>
      </c>
      <c r="Q939">
        <v>4566.8927000000003</v>
      </c>
      <c r="R939">
        <v>4596.2560000000003</v>
      </c>
      <c r="S939">
        <v>4622.8447699999997</v>
      </c>
      <c r="V939">
        <v>4531.9529300000004</v>
      </c>
      <c r="W939">
        <v>4498.3879299999999</v>
      </c>
      <c r="AB939">
        <v>4621.3179</v>
      </c>
      <c r="AC939">
        <v>4621.6015299999999</v>
      </c>
      <c r="AD939">
        <v>1</v>
      </c>
      <c r="AK939">
        <v>937</v>
      </c>
      <c r="AL939">
        <v>936</v>
      </c>
      <c r="AM939">
        <v>4624.33</v>
      </c>
      <c r="AN939">
        <v>4566.8927000000003</v>
      </c>
      <c r="AO939">
        <v>57.4373</v>
      </c>
      <c r="AP939">
        <v>3299.0434</v>
      </c>
      <c r="AQ939">
        <v>4.359108</v>
      </c>
      <c r="AR939">
        <v>7.1208229999999997</v>
      </c>
      <c r="AY939">
        <v>937</v>
      </c>
      <c r="AZ939">
        <v>936</v>
      </c>
      <c r="BA939">
        <v>4624.33</v>
      </c>
      <c r="BB939">
        <v>4566.8927000000003</v>
      </c>
      <c r="BC939">
        <v>57.4373</v>
      </c>
      <c r="BD939">
        <v>3299.0434</v>
      </c>
      <c r="BE939">
        <v>876096</v>
      </c>
    </row>
    <row r="940" spans="1:57" x14ac:dyDescent="0.55000000000000004">
      <c r="A940">
        <v>1777576502</v>
      </c>
      <c r="B940" t="s">
        <v>72</v>
      </c>
      <c r="C940" t="s">
        <v>73</v>
      </c>
      <c r="D940">
        <v>4617.7700000000004</v>
      </c>
      <c r="E940">
        <v>4518.5928199999998</v>
      </c>
      <c r="F940">
        <v>4596.0559499999999</v>
      </c>
      <c r="G940">
        <v>4755.40355</v>
      </c>
      <c r="H940">
        <v>4792.7697200000002</v>
      </c>
      <c r="Q940">
        <v>4566.6251000000002</v>
      </c>
      <c r="R940">
        <v>4595.9883900000004</v>
      </c>
      <c r="S940">
        <v>4622.5771699999996</v>
      </c>
      <c r="V940">
        <v>4531.6853300000002</v>
      </c>
      <c r="W940">
        <v>4498.1203299999997</v>
      </c>
      <c r="AB940">
        <v>4619.8425100000004</v>
      </c>
      <c r="AC940">
        <v>4620.7220200000002</v>
      </c>
      <c r="AD940">
        <v>0</v>
      </c>
      <c r="AK940">
        <v>938</v>
      </c>
      <c r="AL940">
        <v>937</v>
      </c>
      <c r="AM940">
        <v>4617.7700000000004</v>
      </c>
      <c r="AN940">
        <v>4566.6251000000002</v>
      </c>
      <c r="AO940">
        <v>51.1449</v>
      </c>
      <c r="AP940">
        <v>2615.8008</v>
      </c>
      <c r="AQ940">
        <v>3.077674</v>
      </c>
      <c r="AR940">
        <v>4.476756</v>
      </c>
      <c r="AY940">
        <v>938</v>
      </c>
      <c r="AZ940">
        <v>937</v>
      </c>
      <c r="BA940">
        <v>4617.7700000000004</v>
      </c>
      <c r="BB940">
        <v>4566.6251000000002</v>
      </c>
      <c r="BC940">
        <v>51.1449</v>
      </c>
      <c r="BD940">
        <v>2615.8008</v>
      </c>
      <c r="BE940">
        <v>877969</v>
      </c>
    </row>
    <row r="941" spans="1:57" x14ac:dyDescent="0.55000000000000004">
      <c r="A941">
        <v>1777577402</v>
      </c>
      <c r="B941" t="s">
        <v>72</v>
      </c>
      <c r="C941" t="s">
        <v>73</v>
      </c>
      <c r="D941">
        <v>4622.49</v>
      </c>
      <c r="E941">
        <v>4518.5928199999998</v>
      </c>
      <c r="F941">
        <v>4596.0559499999999</v>
      </c>
      <c r="G941">
        <v>4755.40355</v>
      </c>
      <c r="H941">
        <v>4792.7697200000002</v>
      </c>
      <c r="Q941">
        <v>4566.3574900000003</v>
      </c>
      <c r="R941">
        <v>4595.7207900000003</v>
      </c>
      <c r="S941">
        <v>4622.3095599999997</v>
      </c>
      <c r="V941">
        <v>4531.4177200000004</v>
      </c>
      <c r="W941">
        <v>4497.8527299999996</v>
      </c>
      <c r="AB941">
        <v>4618.4684100000004</v>
      </c>
      <c r="AC941">
        <v>4619.5952200000002</v>
      </c>
      <c r="AD941">
        <v>0</v>
      </c>
      <c r="AK941">
        <v>939</v>
      </c>
      <c r="AL941">
        <v>938</v>
      </c>
      <c r="AM941">
        <v>4622.49</v>
      </c>
      <c r="AN941">
        <v>4566.3575000000001</v>
      </c>
      <c r="AO941">
        <v>56.1325</v>
      </c>
      <c r="AP941">
        <v>3150.8587000000002</v>
      </c>
      <c r="AQ941">
        <v>4.0687309999999997</v>
      </c>
      <c r="AR941">
        <v>6.4954910000000003</v>
      </c>
      <c r="AY941">
        <v>939</v>
      </c>
      <c r="AZ941">
        <v>938</v>
      </c>
      <c r="BA941">
        <v>4622.49</v>
      </c>
      <c r="BB941">
        <v>4566.3575000000001</v>
      </c>
      <c r="BC941">
        <v>56.1325</v>
      </c>
      <c r="BD941">
        <v>3150.8587000000002</v>
      </c>
      <c r="BE941">
        <v>879844</v>
      </c>
    </row>
    <row r="942" spans="1:57" x14ac:dyDescent="0.55000000000000004">
      <c r="A942">
        <v>1777578302</v>
      </c>
      <c r="B942" t="s">
        <v>72</v>
      </c>
      <c r="C942" t="s">
        <v>73</v>
      </c>
      <c r="D942">
        <v>4617.07</v>
      </c>
      <c r="E942">
        <v>4518.5928199999998</v>
      </c>
      <c r="F942">
        <v>4596.0559499999999</v>
      </c>
      <c r="G942">
        <v>4755.40355</v>
      </c>
      <c r="H942">
        <v>4792.7697200000002</v>
      </c>
      <c r="Q942">
        <v>4566.0898900000002</v>
      </c>
      <c r="R942">
        <v>4595.4531900000002</v>
      </c>
      <c r="S942">
        <v>4622.0419599999996</v>
      </c>
      <c r="V942">
        <v>4531.1501200000002</v>
      </c>
      <c r="W942">
        <v>4497.5851199999997</v>
      </c>
      <c r="AB942">
        <v>4617.4831899999999</v>
      </c>
      <c r="AC942">
        <v>4618.5392000000002</v>
      </c>
      <c r="AD942">
        <v>0</v>
      </c>
      <c r="AK942">
        <v>940</v>
      </c>
      <c r="AL942">
        <v>939</v>
      </c>
      <c r="AM942">
        <v>4617.07</v>
      </c>
      <c r="AN942">
        <v>4566.0898999999999</v>
      </c>
      <c r="AO942">
        <v>50.9801</v>
      </c>
      <c r="AP942">
        <v>2598.9715999999999</v>
      </c>
      <c r="AQ942">
        <v>3.0480209999999999</v>
      </c>
      <c r="AR942">
        <v>4.4193379999999998</v>
      </c>
      <c r="AY942">
        <v>940</v>
      </c>
      <c r="AZ942">
        <v>939</v>
      </c>
      <c r="BA942">
        <v>4617.07</v>
      </c>
      <c r="BB942">
        <v>4566.0898999999999</v>
      </c>
      <c r="BC942">
        <v>50.9801</v>
      </c>
      <c r="BD942">
        <v>2598.9715999999999</v>
      </c>
      <c r="BE942">
        <v>881721</v>
      </c>
    </row>
    <row r="943" spans="1:57" x14ac:dyDescent="0.55000000000000004">
      <c r="A943">
        <v>1777579202</v>
      </c>
      <c r="B943" t="s">
        <v>72</v>
      </c>
      <c r="C943" t="s">
        <v>73</v>
      </c>
      <c r="D943">
        <v>4616.16</v>
      </c>
      <c r="E943">
        <v>4518.5928199999998</v>
      </c>
      <c r="F943">
        <v>4596.0559499999999</v>
      </c>
      <c r="G943">
        <v>4755.40355</v>
      </c>
      <c r="H943">
        <v>4792.7697200000002</v>
      </c>
      <c r="Q943">
        <v>4565.8222800000003</v>
      </c>
      <c r="R943">
        <v>4595.1855800000003</v>
      </c>
      <c r="S943">
        <v>4621.7743499999997</v>
      </c>
      <c r="V943">
        <v>4530.8825100000004</v>
      </c>
      <c r="W943">
        <v>4497.3175199999996</v>
      </c>
      <c r="AB943">
        <v>4617.39455</v>
      </c>
      <c r="AC943">
        <v>4617.9668799999999</v>
      </c>
      <c r="AD943">
        <v>0</v>
      </c>
      <c r="AK943">
        <v>941</v>
      </c>
      <c r="AL943">
        <v>940</v>
      </c>
      <c r="AM943">
        <v>4616.16</v>
      </c>
      <c r="AN943">
        <v>4565.8222999999998</v>
      </c>
      <c r="AO943">
        <v>50.337699999999998</v>
      </c>
      <c r="AP943">
        <v>2533.8861000000002</v>
      </c>
      <c r="AQ943">
        <v>2.9342440000000001</v>
      </c>
      <c r="AR943">
        <v>4.2007640000000004</v>
      </c>
      <c r="AY943">
        <v>941</v>
      </c>
      <c r="AZ943">
        <v>940</v>
      </c>
      <c r="BA943">
        <v>4616.16</v>
      </c>
      <c r="BB943">
        <v>4565.8222999999998</v>
      </c>
      <c r="BC943">
        <v>50.337699999999998</v>
      </c>
      <c r="BD943">
        <v>2533.8861000000002</v>
      </c>
      <c r="BE943">
        <v>883600</v>
      </c>
    </row>
    <row r="944" spans="1:57" x14ac:dyDescent="0.55000000000000004">
      <c r="A944">
        <v>1777580102</v>
      </c>
      <c r="B944" t="s">
        <v>72</v>
      </c>
      <c r="C944" t="s">
        <v>73</v>
      </c>
      <c r="D944">
        <v>4616.72</v>
      </c>
      <c r="E944">
        <v>4518.5928199999998</v>
      </c>
      <c r="F944">
        <v>4596.0559499999999</v>
      </c>
      <c r="G944">
        <v>4755.40355</v>
      </c>
      <c r="H944">
        <v>4792.7697200000002</v>
      </c>
      <c r="Q944">
        <v>4565.5546800000002</v>
      </c>
      <c r="R944">
        <v>4594.9179800000002</v>
      </c>
      <c r="S944">
        <v>4621.5067499999996</v>
      </c>
      <c r="V944">
        <v>4530.6149100000002</v>
      </c>
      <c r="W944">
        <v>4497.0499099999997</v>
      </c>
      <c r="AB944">
        <v>4618.4206599999998</v>
      </c>
      <c r="AC944">
        <v>4618.1937699999999</v>
      </c>
      <c r="AD944">
        <v>1</v>
      </c>
      <c r="AK944">
        <v>942</v>
      </c>
      <c r="AL944">
        <v>941</v>
      </c>
      <c r="AM944">
        <v>4616.72</v>
      </c>
      <c r="AN944">
        <v>4565.5546999999997</v>
      </c>
      <c r="AO944">
        <v>51.165300000000002</v>
      </c>
      <c r="AP944">
        <v>2617.89</v>
      </c>
      <c r="AQ944">
        <v>3.0813619999999999</v>
      </c>
      <c r="AR944">
        <v>4.4839099999999998</v>
      </c>
      <c r="AY944">
        <v>942</v>
      </c>
      <c r="AZ944">
        <v>941</v>
      </c>
      <c r="BA944">
        <v>4616.72</v>
      </c>
      <c r="BB944">
        <v>4565.5546999999997</v>
      </c>
      <c r="BC944">
        <v>51.165300000000002</v>
      </c>
      <c r="BD944">
        <v>2617.89</v>
      </c>
      <c r="BE944">
        <v>885481</v>
      </c>
    </row>
    <row r="945" spans="1:57" x14ac:dyDescent="0.55000000000000004">
      <c r="A945">
        <v>1777581002</v>
      </c>
      <c r="B945" t="s">
        <v>72</v>
      </c>
      <c r="C945" t="s">
        <v>73</v>
      </c>
      <c r="D945">
        <v>4617.33</v>
      </c>
      <c r="E945">
        <v>4518.5928199999998</v>
      </c>
      <c r="F945">
        <v>4596.0559499999999</v>
      </c>
      <c r="G945">
        <v>4755.40355</v>
      </c>
      <c r="H945">
        <v>4792.7697200000002</v>
      </c>
      <c r="Q945">
        <v>4565.2870800000001</v>
      </c>
      <c r="R945">
        <v>4594.6503700000003</v>
      </c>
      <c r="S945">
        <v>4621.2391399999997</v>
      </c>
      <c r="V945">
        <v>4530.3473000000004</v>
      </c>
      <c r="W945">
        <v>4496.7823099999996</v>
      </c>
      <c r="AB945">
        <v>4620.4877699999997</v>
      </c>
      <c r="AC945">
        <v>4619.3407699999998</v>
      </c>
      <c r="AD945">
        <v>0</v>
      </c>
      <c r="AK945">
        <v>943</v>
      </c>
      <c r="AL945">
        <v>942</v>
      </c>
      <c r="AM945">
        <v>4617.33</v>
      </c>
      <c r="AN945">
        <v>4565.2870999999996</v>
      </c>
      <c r="AO945">
        <v>52.042900000000003</v>
      </c>
      <c r="AP945">
        <v>2708.4654999999998</v>
      </c>
      <c r="AQ945">
        <v>3.2426539999999999</v>
      </c>
      <c r="AR945">
        <v>4.7995520000000003</v>
      </c>
      <c r="AY945">
        <v>943</v>
      </c>
      <c r="AZ945">
        <v>942</v>
      </c>
      <c r="BA945">
        <v>4617.33</v>
      </c>
      <c r="BB945">
        <v>4565.2870999999996</v>
      </c>
      <c r="BC945">
        <v>52.042900000000003</v>
      </c>
      <c r="BD945">
        <v>2708.4654999999998</v>
      </c>
      <c r="BE945">
        <v>887364</v>
      </c>
    </row>
    <row r="946" spans="1:57" x14ac:dyDescent="0.55000000000000004">
      <c r="A946">
        <v>1777581902</v>
      </c>
      <c r="B946" t="s">
        <v>72</v>
      </c>
      <c r="C946" t="s">
        <v>73</v>
      </c>
      <c r="D946">
        <v>4621.8100000000004</v>
      </c>
      <c r="E946">
        <v>4518.5928199999998</v>
      </c>
      <c r="F946">
        <v>4596.0559499999999</v>
      </c>
      <c r="G946">
        <v>4755.40355</v>
      </c>
      <c r="H946">
        <v>4792.7697200000002</v>
      </c>
      <c r="Q946">
        <v>4565.0194700000002</v>
      </c>
      <c r="R946">
        <v>4594.3827700000002</v>
      </c>
      <c r="S946">
        <v>4620.9715399999995</v>
      </c>
      <c r="V946">
        <v>4530.0797000000002</v>
      </c>
      <c r="W946">
        <v>4496.5146999999997</v>
      </c>
      <c r="AB946">
        <v>4623.3206499999997</v>
      </c>
      <c r="AC946">
        <v>4621.3307100000002</v>
      </c>
      <c r="AD946">
        <v>0</v>
      </c>
      <c r="AK946">
        <v>944</v>
      </c>
      <c r="AL946">
        <v>943</v>
      </c>
      <c r="AM946">
        <v>4621.8100000000004</v>
      </c>
      <c r="AN946">
        <v>4565.0195000000003</v>
      </c>
      <c r="AO946">
        <v>56.790500000000002</v>
      </c>
      <c r="AP946">
        <v>3225.1642999999999</v>
      </c>
      <c r="AQ946">
        <v>4.2135030000000002</v>
      </c>
      <c r="AR946">
        <v>6.8054649999999999</v>
      </c>
      <c r="AY946">
        <v>944</v>
      </c>
      <c r="AZ946">
        <v>943</v>
      </c>
      <c r="BA946">
        <v>4621.8100000000004</v>
      </c>
      <c r="BB946">
        <v>4565.0195000000003</v>
      </c>
      <c r="BC946">
        <v>56.790500000000002</v>
      </c>
      <c r="BD946">
        <v>3225.1642999999999</v>
      </c>
      <c r="BE946">
        <v>889249</v>
      </c>
    </row>
    <row r="947" spans="1:57" x14ac:dyDescent="0.55000000000000004">
      <c r="A947">
        <v>1777586402</v>
      </c>
      <c r="B947" t="s">
        <v>72</v>
      </c>
      <c r="C947" t="s">
        <v>73</v>
      </c>
      <c r="D947">
        <v>4631.38</v>
      </c>
      <c r="E947">
        <v>4518.5928199999998</v>
      </c>
      <c r="F947">
        <v>4596.0559499999999</v>
      </c>
      <c r="G947">
        <v>4755.40355</v>
      </c>
      <c r="H947">
        <v>4792.7697200000002</v>
      </c>
      <c r="Q947">
        <v>4564.7518700000001</v>
      </c>
      <c r="R947">
        <v>4594.11517</v>
      </c>
      <c r="S947">
        <v>4620.7039400000003</v>
      </c>
      <c r="V947">
        <v>4529.8121000000001</v>
      </c>
      <c r="W947">
        <v>4496.2470999999996</v>
      </c>
      <c r="AB947">
        <v>4626.4276200000004</v>
      </c>
      <c r="AC947">
        <v>4623.8791700000002</v>
      </c>
      <c r="AD947">
        <v>0</v>
      </c>
      <c r="AK947">
        <v>945</v>
      </c>
      <c r="AL947">
        <v>944</v>
      </c>
      <c r="AM947">
        <v>4631.38</v>
      </c>
      <c r="AN947">
        <v>4564.7519000000002</v>
      </c>
      <c r="AO947">
        <v>66.628100000000003</v>
      </c>
      <c r="AP947">
        <v>4439.3077000000003</v>
      </c>
      <c r="AQ947">
        <v>6.8043779999999998</v>
      </c>
      <c r="AR947">
        <v>12.893909000000001</v>
      </c>
      <c r="AY947">
        <v>945</v>
      </c>
      <c r="AZ947">
        <v>944</v>
      </c>
      <c r="BA947">
        <v>4631.38</v>
      </c>
      <c r="BB947">
        <v>4564.7519000000002</v>
      </c>
      <c r="BC947">
        <v>66.628100000000003</v>
      </c>
      <c r="BD947">
        <v>4439.3077000000003</v>
      </c>
      <c r="BE947">
        <v>891136</v>
      </c>
    </row>
    <row r="948" spans="1:57" x14ac:dyDescent="0.55000000000000004">
      <c r="A948">
        <v>1777587302</v>
      </c>
      <c r="B948" t="s">
        <v>72</v>
      </c>
      <c r="C948" t="s">
        <v>73</v>
      </c>
      <c r="D948">
        <v>4631.38</v>
      </c>
      <c r="E948">
        <v>4518.5928199999998</v>
      </c>
      <c r="F948">
        <v>4596.0559499999999</v>
      </c>
      <c r="G948">
        <v>4755.40355</v>
      </c>
      <c r="H948">
        <v>4792.7697200000002</v>
      </c>
      <c r="Q948">
        <v>4564.4842600000002</v>
      </c>
      <c r="R948">
        <v>4593.8475600000002</v>
      </c>
      <c r="S948">
        <v>4620.4363300000005</v>
      </c>
      <c r="V948">
        <v>4529.5444900000002</v>
      </c>
      <c r="W948">
        <v>4495.9795000000004</v>
      </c>
      <c r="AB948">
        <v>4629.1487999999999</v>
      </c>
      <c r="AC948">
        <v>4626.5139799999997</v>
      </c>
      <c r="AD948">
        <v>0</v>
      </c>
      <c r="AK948">
        <v>946</v>
      </c>
      <c r="AL948">
        <v>945</v>
      </c>
      <c r="AM948">
        <v>4631.38</v>
      </c>
      <c r="AN948">
        <v>4564.4843000000001</v>
      </c>
      <c r="AO948">
        <v>66.895700000000005</v>
      </c>
      <c r="AP948">
        <v>4475.04</v>
      </c>
      <c r="AQ948">
        <v>6.8866969999999998</v>
      </c>
      <c r="AR948">
        <v>13.102313000000001</v>
      </c>
      <c r="AY948">
        <v>946</v>
      </c>
      <c r="AZ948">
        <v>945</v>
      </c>
      <c r="BA948">
        <v>4631.38</v>
      </c>
      <c r="BB948">
        <v>4564.4843000000001</v>
      </c>
      <c r="BC948">
        <v>66.895700000000005</v>
      </c>
      <c r="BD948">
        <v>4475.04</v>
      </c>
      <c r="BE948">
        <v>893025</v>
      </c>
    </row>
    <row r="949" spans="1:57" x14ac:dyDescent="0.55000000000000004">
      <c r="A949">
        <v>1777588202</v>
      </c>
      <c r="B949" t="s">
        <v>72</v>
      </c>
      <c r="C949" t="s">
        <v>73</v>
      </c>
      <c r="D949">
        <v>4631.75</v>
      </c>
      <c r="E949">
        <v>4518.5928199999998</v>
      </c>
      <c r="F949">
        <v>4596.0559499999999</v>
      </c>
      <c r="G949">
        <v>4755.40355</v>
      </c>
      <c r="H949">
        <v>4792.7697200000002</v>
      </c>
      <c r="Q949">
        <v>4564.21666</v>
      </c>
      <c r="R949">
        <v>4593.57996</v>
      </c>
      <c r="S949">
        <v>4620.1687300000003</v>
      </c>
      <c r="V949">
        <v>4529.2768900000001</v>
      </c>
      <c r="W949">
        <v>4495.7118899999996</v>
      </c>
      <c r="AB949">
        <v>4631.1587300000001</v>
      </c>
      <c r="AC949">
        <v>4628.8363600000002</v>
      </c>
      <c r="AD949">
        <v>0</v>
      </c>
      <c r="AK949">
        <v>947</v>
      </c>
      <c r="AL949">
        <v>946</v>
      </c>
      <c r="AM949">
        <v>4631.75</v>
      </c>
      <c r="AN949">
        <v>4564.2166999999999</v>
      </c>
      <c r="AO949">
        <v>67.533299999999997</v>
      </c>
      <c r="AP949">
        <v>4560.7520000000004</v>
      </c>
      <c r="AQ949">
        <v>7.085496</v>
      </c>
      <c r="AR949">
        <v>13.609026</v>
      </c>
      <c r="AY949">
        <v>947</v>
      </c>
      <c r="AZ949">
        <v>946</v>
      </c>
      <c r="BA949">
        <v>4631.75</v>
      </c>
      <c r="BB949">
        <v>4564.2166999999999</v>
      </c>
      <c r="BC949">
        <v>67.533299999999997</v>
      </c>
      <c r="BD949">
        <v>4560.7520000000004</v>
      </c>
      <c r="BE949">
        <v>894916</v>
      </c>
    </row>
    <row r="950" spans="1:57" x14ac:dyDescent="0.55000000000000004">
      <c r="A950">
        <v>1777589102</v>
      </c>
      <c r="B950" t="s">
        <v>72</v>
      </c>
      <c r="C950" t="s">
        <v>73</v>
      </c>
      <c r="D950">
        <v>4630.51</v>
      </c>
      <c r="E950">
        <v>4518.5928199999998</v>
      </c>
      <c r="F950">
        <v>4596.0559499999999</v>
      </c>
      <c r="G950">
        <v>4755.40355</v>
      </c>
      <c r="H950">
        <v>4792.7697200000002</v>
      </c>
      <c r="Q950">
        <v>4563.9490500000002</v>
      </c>
      <c r="R950">
        <v>4593.3123500000002</v>
      </c>
      <c r="S950">
        <v>4619.9011200000004</v>
      </c>
      <c r="V950">
        <v>4529.0092800000002</v>
      </c>
      <c r="W950">
        <v>4495.4442900000004</v>
      </c>
      <c r="AB950">
        <v>4632.1926999999996</v>
      </c>
      <c r="AC950">
        <v>4630.5145300000004</v>
      </c>
      <c r="AD950">
        <v>0</v>
      </c>
      <c r="AK950">
        <v>948</v>
      </c>
      <c r="AL950">
        <v>947</v>
      </c>
      <c r="AM950">
        <v>4630.51</v>
      </c>
      <c r="AN950">
        <v>4563.9490999999998</v>
      </c>
      <c r="AO950">
        <v>66.561000000000007</v>
      </c>
      <c r="AP950">
        <v>4430.3600999999999</v>
      </c>
      <c r="AQ950">
        <v>6.783817</v>
      </c>
      <c r="AR950">
        <v>12.841984999999999</v>
      </c>
      <c r="AY950">
        <v>948</v>
      </c>
      <c r="AZ950">
        <v>947</v>
      </c>
      <c r="BA950">
        <v>4630.51</v>
      </c>
      <c r="BB950">
        <v>4563.9490999999998</v>
      </c>
      <c r="BC950">
        <v>66.561000000000007</v>
      </c>
      <c r="BD950">
        <v>4430.3600999999999</v>
      </c>
      <c r="BE950">
        <v>896809</v>
      </c>
    </row>
    <row r="951" spans="1:57" x14ac:dyDescent="0.55000000000000004">
      <c r="A951">
        <v>1777590002</v>
      </c>
      <c r="B951" t="s">
        <v>72</v>
      </c>
      <c r="C951" t="s">
        <v>73</v>
      </c>
      <c r="D951">
        <v>4630.26</v>
      </c>
      <c r="E951">
        <v>4518.5928199999998</v>
      </c>
      <c r="F951">
        <v>4596.0559499999999</v>
      </c>
      <c r="G951">
        <v>4755.40355</v>
      </c>
      <c r="H951">
        <v>4792.7697200000002</v>
      </c>
      <c r="Q951">
        <v>4563.68145</v>
      </c>
      <c r="R951">
        <v>4593.04475</v>
      </c>
      <c r="S951">
        <v>4619.6335200000003</v>
      </c>
      <c r="V951">
        <v>4528.7416800000001</v>
      </c>
      <c r="W951">
        <v>4495.1766799999996</v>
      </c>
      <c r="AB951">
        <v>4632.1855100000002</v>
      </c>
      <c r="AC951">
        <v>4631.3500199999999</v>
      </c>
      <c r="AD951">
        <v>0</v>
      </c>
      <c r="AK951">
        <v>949</v>
      </c>
      <c r="AL951">
        <v>948</v>
      </c>
      <c r="AM951">
        <v>4630.26</v>
      </c>
      <c r="AN951">
        <v>4563.6814999999997</v>
      </c>
      <c r="AO951">
        <v>66.578599999999994</v>
      </c>
      <c r="AP951">
        <v>4432.7033000000001</v>
      </c>
      <c r="AQ951">
        <v>6.7892000000000001</v>
      </c>
      <c r="AR951">
        <v>12.855573</v>
      </c>
      <c r="AY951">
        <v>949</v>
      </c>
      <c r="AZ951">
        <v>948</v>
      </c>
      <c r="BA951">
        <v>4630.26</v>
      </c>
      <c r="BB951">
        <v>4563.6814999999997</v>
      </c>
      <c r="BC951">
        <v>66.578599999999994</v>
      </c>
      <c r="BD951">
        <v>4432.7033000000001</v>
      </c>
      <c r="BE951">
        <v>898704</v>
      </c>
    </row>
    <row r="952" spans="1:57" x14ac:dyDescent="0.55000000000000004">
      <c r="A952">
        <v>1777590902</v>
      </c>
      <c r="B952" t="s">
        <v>72</v>
      </c>
      <c r="C952" t="s">
        <v>73</v>
      </c>
      <c r="D952">
        <v>4630.75</v>
      </c>
      <c r="E952">
        <v>4518.5928199999998</v>
      </c>
      <c r="F952">
        <v>4596.0559499999999</v>
      </c>
      <c r="G952">
        <v>4755.40355</v>
      </c>
      <c r="H952">
        <v>4792.7697200000002</v>
      </c>
      <c r="Q952">
        <v>4563.4138499999999</v>
      </c>
      <c r="R952">
        <v>4592.7771499999999</v>
      </c>
      <c r="S952">
        <v>4619.3659200000002</v>
      </c>
      <c r="V952">
        <v>4528.47408</v>
      </c>
      <c r="W952">
        <v>4494.9090800000004</v>
      </c>
      <c r="AB952">
        <v>4631.1862300000003</v>
      </c>
      <c r="AC952">
        <v>4631.2681300000004</v>
      </c>
      <c r="AD952">
        <v>1</v>
      </c>
      <c r="AK952">
        <v>950</v>
      </c>
      <c r="AL952">
        <v>949</v>
      </c>
      <c r="AM952">
        <v>4630.75</v>
      </c>
      <c r="AN952">
        <v>4563.4138000000003</v>
      </c>
      <c r="AO952">
        <v>67.336200000000005</v>
      </c>
      <c r="AP952">
        <v>4534.1571000000004</v>
      </c>
      <c r="AQ952">
        <v>7.0236109999999998</v>
      </c>
      <c r="AR952">
        <v>13.450773</v>
      </c>
      <c r="AY952">
        <v>950</v>
      </c>
      <c r="AZ952">
        <v>949</v>
      </c>
      <c r="BA952">
        <v>4630.75</v>
      </c>
      <c r="BB952">
        <v>4563.4138000000003</v>
      </c>
      <c r="BC952">
        <v>67.336200000000005</v>
      </c>
      <c r="BD952">
        <v>4534.1571000000004</v>
      </c>
      <c r="BE952">
        <v>900601</v>
      </c>
    </row>
    <row r="953" spans="1:57" x14ac:dyDescent="0.55000000000000004">
      <c r="A953">
        <v>1777591802</v>
      </c>
      <c r="B953" t="s">
        <v>72</v>
      </c>
      <c r="C953" t="s">
        <v>73</v>
      </c>
      <c r="D953">
        <v>4631.3100000000004</v>
      </c>
      <c r="E953">
        <v>4518.5928199999998</v>
      </c>
      <c r="F953">
        <v>4596.0559499999999</v>
      </c>
      <c r="G953">
        <v>4755.40355</v>
      </c>
      <c r="H953">
        <v>4792.7697200000002</v>
      </c>
      <c r="Q953">
        <v>4563.14624</v>
      </c>
      <c r="R953">
        <v>4592.50954</v>
      </c>
      <c r="S953">
        <v>4619.0983100000003</v>
      </c>
      <c r="V953">
        <v>4528.2064700000001</v>
      </c>
      <c r="W953">
        <v>4494.6414800000002</v>
      </c>
      <c r="AB953">
        <v>4629.3369400000001</v>
      </c>
      <c r="AC953">
        <v>4630.3025299999999</v>
      </c>
      <c r="AD953">
        <v>0</v>
      </c>
      <c r="AK953">
        <v>951</v>
      </c>
      <c r="AL953">
        <v>950</v>
      </c>
      <c r="AM953">
        <v>4631.3100000000004</v>
      </c>
      <c r="AN953">
        <v>4563.1462000000001</v>
      </c>
      <c r="AO953">
        <v>68.163799999999995</v>
      </c>
      <c r="AP953">
        <v>4646.2982000000002</v>
      </c>
      <c r="AQ953">
        <v>7.2857820000000002</v>
      </c>
      <c r="AR953">
        <v>14.124343</v>
      </c>
      <c r="AY953">
        <v>951</v>
      </c>
      <c r="AZ953">
        <v>950</v>
      </c>
      <c r="BA953">
        <v>4631.3100000000004</v>
      </c>
      <c r="BB953">
        <v>4563.1462000000001</v>
      </c>
      <c r="BC953">
        <v>68.163799999999995</v>
      </c>
      <c r="BD953">
        <v>4646.2982000000002</v>
      </c>
      <c r="BE953">
        <v>902500</v>
      </c>
    </row>
    <row r="954" spans="1:57" x14ac:dyDescent="0.55000000000000004">
      <c r="A954">
        <v>1777592702</v>
      </c>
      <c r="B954" t="s">
        <v>72</v>
      </c>
      <c r="C954" t="s">
        <v>73</v>
      </c>
      <c r="D954">
        <v>4626.71</v>
      </c>
      <c r="E954">
        <v>4518.5928199999998</v>
      </c>
      <c r="F954">
        <v>4596.0559499999999</v>
      </c>
      <c r="G954">
        <v>4755.40355</v>
      </c>
      <c r="H954">
        <v>4792.7697200000002</v>
      </c>
      <c r="Q954">
        <v>4562.8786399999999</v>
      </c>
      <c r="R954">
        <v>4592.2419399999999</v>
      </c>
      <c r="S954">
        <v>4618.8307100000002</v>
      </c>
      <c r="V954">
        <v>4527.93887</v>
      </c>
      <c r="W954">
        <v>4494.3738700000004</v>
      </c>
      <c r="AB954">
        <v>4626.8860999999997</v>
      </c>
      <c r="AC954">
        <v>4628.5943100000004</v>
      </c>
      <c r="AD954">
        <v>0</v>
      </c>
      <c r="AK954">
        <v>952</v>
      </c>
      <c r="AL954">
        <v>951</v>
      </c>
      <c r="AM954">
        <v>4626.71</v>
      </c>
      <c r="AN954">
        <v>4562.8786</v>
      </c>
      <c r="AO954">
        <v>63.831400000000002</v>
      </c>
      <c r="AP954">
        <v>4074.4425000000001</v>
      </c>
      <c r="AQ954">
        <v>5.9829840000000001</v>
      </c>
      <c r="AR954">
        <v>10.861516999999999</v>
      </c>
      <c r="AY954">
        <v>952</v>
      </c>
      <c r="AZ954">
        <v>951</v>
      </c>
      <c r="BA954">
        <v>4626.71</v>
      </c>
      <c r="BB954">
        <v>4562.8786</v>
      </c>
      <c r="BC954">
        <v>63.831400000000002</v>
      </c>
      <c r="BD954">
        <v>4074.4425000000001</v>
      </c>
      <c r="BE954">
        <v>904401</v>
      </c>
    </row>
    <row r="955" spans="1:57" x14ac:dyDescent="0.55000000000000004">
      <c r="A955">
        <v>1777593602</v>
      </c>
      <c r="B955" t="s">
        <v>72</v>
      </c>
      <c r="C955" t="s">
        <v>73</v>
      </c>
      <c r="D955">
        <v>4622.55</v>
      </c>
      <c r="E955">
        <v>4518.5928199999998</v>
      </c>
      <c r="F955">
        <v>4596.0559499999999</v>
      </c>
      <c r="G955">
        <v>4755.40355</v>
      </c>
      <c r="H955">
        <v>4792.7697200000002</v>
      </c>
      <c r="Q955">
        <v>4562.61103</v>
      </c>
      <c r="R955">
        <v>4591.97433</v>
      </c>
      <c r="S955">
        <v>4618.5631000000003</v>
      </c>
      <c r="V955">
        <v>4527.6712600000001</v>
      </c>
      <c r="W955">
        <v>4494.1062700000002</v>
      </c>
      <c r="AB955">
        <v>4624.29223</v>
      </c>
      <c r="AC955">
        <v>4626.4432699999998</v>
      </c>
      <c r="AD955">
        <v>0</v>
      </c>
      <c r="AK955">
        <v>953</v>
      </c>
      <c r="AL955">
        <v>952</v>
      </c>
      <c r="AM955">
        <v>4622.55</v>
      </c>
      <c r="AN955">
        <v>4562.6109999999999</v>
      </c>
      <c r="AO955">
        <v>59.939</v>
      </c>
      <c r="AP955">
        <v>3592.6801</v>
      </c>
      <c r="AQ955">
        <v>4.953856</v>
      </c>
      <c r="AR955">
        <v>8.4448360000000005</v>
      </c>
      <c r="AY955">
        <v>953</v>
      </c>
      <c r="AZ955">
        <v>952</v>
      </c>
      <c r="BA955">
        <v>4622.55</v>
      </c>
      <c r="BB955">
        <v>4562.6109999999999</v>
      </c>
      <c r="BC955">
        <v>59.939</v>
      </c>
      <c r="BD955">
        <v>3592.6801</v>
      </c>
      <c r="BE955">
        <v>906304</v>
      </c>
    </row>
    <row r="956" spans="1:57" x14ac:dyDescent="0.55000000000000004">
      <c r="A956">
        <v>1777594502</v>
      </c>
      <c r="B956" t="s">
        <v>72</v>
      </c>
      <c r="C956" t="s">
        <v>73</v>
      </c>
      <c r="D956">
        <v>4623.6499999999996</v>
      </c>
      <c r="E956">
        <v>4518.5928199999998</v>
      </c>
      <c r="F956">
        <v>4596.0559499999999</v>
      </c>
      <c r="G956">
        <v>4755.40355</v>
      </c>
      <c r="H956">
        <v>4792.7697200000002</v>
      </c>
      <c r="Q956">
        <v>4562.3434299999999</v>
      </c>
      <c r="R956">
        <v>4591.7067299999999</v>
      </c>
      <c r="S956">
        <v>4618.2955000000002</v>
      </c>
      <c r="V956">
        <v>4527.4036599999999</v>
      </c>
      <c r="W956">
        <v>4493.8386600000003</v>
      </c>
      <c r="AB956">
        <v>4622.0189200000004</v>
      </c>
      <c r="AC956">
        <v>4624.2311</v>
      </c>
      <c r="AD956">
        <v>0</v>
      </c>
      <c r="AK956">
        <v>954</v>
      </c>
      <c r="AL956">
        <v>953</v>
      </c>
      <c r="AM956">
        <v>4623.6499999999996</v>
      </c>
      <c r="AN956">
        <v>4562.3433999999997</v>
      </c>
      <c r="AO956">
        <v>61.306600000000003</v>
      </c>
      <c r="AP956">
        <v>3758.4955</v>
      </c>
      <c r="AQ956">
        <v>5.3007419999999996</v>
      </c>
      <c r="AR956">
        <v>9.2423450000000003</v>
      </c>
      <c r="AY956">
        <v>954</v>
      </c>
      <c r="AZ956">
        <v>953</v>
      </c>
      <c r="BA956">
        <v>4623.6499999999996</v>
      </c>
      <c r="BB956">
        <v>4562.3433999999997</v>
      </c>
      <c r="BC956">
        <v>61.306600000000003</v>
      </c>
      <c r="BD956">
        <v>3758.4955</v>
      </c>
      <c r="BE956">
        <v>908209</v>
      </c>
    </row>
    <row r="957" spans="1:57" x14ac:dyDescent="0.55000000000000004">
      <c r="A957">
        <v>1777595402</v>
      </c>
      <c r="B957" t="s">
        <v>72</v>
      </c>
      <c r="C957" t="s">
        <v>73</v>
      </c>
      <c r="D957">
        <v>4620.8999999999996</v>
      </c>
      <c r="E957">
        <v>4518.5928199999998</v>
      </c>
      <c r="F957">
        <v>4596.0559499999999</v>
      </c>
      <c r="G957">
        <v>4755.40355</v>
      </c>
      <c r="H957">
        <v>4792.7697200000002</v>
      </c>
      <c r="Q957">
        <v>4562.0758299999998</v>
      </c>
      <c r="R957">
        <v>4591.43912</v>
      </c>
      <c r="S957">
        <v>4618.0279</v>
      </c>
      <c r="V957">
        <v>4527.1360599999998</v>
      </c>
      <c r="W957">
        <v>4493.5710600000002</v>
      </c>
      <c r="AB957">
        <v>4620.3006699999996</v>
      </c>
      <c r="AC957">
        <v>4622.2658799999999</v>
      </c>
      <c r="AD957">
        <v>0</v>
      </c>
      <c r="AK957">
        <v>955</v>
      </c>
      <c r="AL957">
        <v>954</v>
      </c>
      <c r="AM957">
        <v>4620.8999999999996</v>
      </c>
      <c r="AN957">
        <v>4562.0757999999996</v>
      </c>
      <c r="AO957">
        <v>58.824199999999998</v>
      </c>
      <c r="AP957">
        <v>3460.2829999999999</v>
      </c>
      <c r="AQ957">
        <v>4.6825559999999999</v>
      </c>
      <c r="AR957">
        <v>7.833888</v>
      </c>
      <c r="AY957">
        <v>955</v>
      </c>
      <c r="AZ957">
        <v>954</v>
      </c>
      <c r="BA957">
        <v>4620.8999999999996</v>
      </c>
      <c r="BB957">
        <v>4562.0757999999996</v>
      </c>
      <c r="BC957">
        <v>58.824199999999998</v>
      </c>
      <c r="BD957">
        <v>3460.2829999999999</v>
      </c>
      <c r="BE957">
        <v>910116</v>
      </c>
    </row>
    <row r="958" spans="1:57" x14ac:dyDescent="0.55000000000000004">
      <c r="A958">
        <v>1777596302</v>
      </c>
      <c r="B958" t="s">
        <v>72</v>
      </c>
      <c r="C958" t="s">
        <v>73</v>
      </c>
      <c r="D958">
        <v>4620.0200000000004</v>
      </c>
      <c r="E958">
        <v>4518.5928199999998</v>
      </c>
      <c r="F958">
        <v>4596.0559499999999</v>
      </c>
      <c r="G958">
        <v>4755.40355</v>
      </c>
      <c r="H958">
        <v>4792.7697200000002</v>
      </c>
      <c r="Q958">
        <v>4561.8082199999999</v>
      </c>
      <c r="R958">
        <v>4591.1715199999999</v>
      </c>
      <c r="S958">
        <v>4617.7602900000002</v>
      </c>
      <c r="V958">
        <v>4526.8684499999999</v>
      </c>
      <c r="W958">
        <v>4493.3034600000001</v>
      </c>
      <c r="AB958">
        <v>4619.3652000000002</v>
      </c>
      <c r="AC958">
        <v>4620.8155399999996</v>
      </c>
      <c r="AD958">
        <v>0</v>
      </c>
      <c r="AK958">
        <v>956</v>
      </c>
      <c r="AL958">
        <v>955</v>
      </c>
      <c r="AM958">
        <v>4620.0200000000004</v>
      </c>
      <c r="AN958">
        <v>4561.8082000000004</v>
      </c>
      <c r="AO958">
        <v>58.211799999999997</v>
      </c>
      <c r="AP958">
        <v>3388.6113</v>
      </c>
      <c r="AQ958">
        <v>4.5378299999999996</v>
      </c>
      <c r="AR958">
        <v>7.5127269999999999</v>
      </c>
      <c r="AY958">
        <v>956</v>
      </c>
      <c r="AZ958">
        <v>955</v>
      </c>
      <c r="BA958">
        <v>4620.0200000000004</v>
      </c>
      <c r="BB958">
        <v>4561.8082000000004</v>
      </c>
      <c r="BC958">
        <v>58.211799999999997</v>
      </c>
      <c r="BD958">
        <v>3388.6113</v>
      </c>
      <c r="BE958">
        <v>912025</v>
      </c>
    </row>
    <row r="959" spans="1:57" x14ac:dyDescent="0.55000000000000004">
      <c r="A959">
        <v>1777597202</v>
      </c>
      <c r="B959" t="s">
        <v>72</v>
      </c>
      <c r="C959" t="s">
        <v>73</v>
      </c>
      <c r="D959">
        <v>4618.7</v>
      </c>
      <c r="E959">
        <v>4518.5928199999998</v>
      </c>
      <c r="F959">
        <v>4596.0559499999999</v>
      </c>
      <c r="G959">
        <v>4755.40355</v>
      </c>
      <c r="H959">
        <v>4792.7697200000002</v>
      </c>
      <c r="Q959">
        <v>4561.5406199999998</v>
      </c>
      <c r="R959">
        <v>4590.9039199999997</v>
      </c>
      <c r="S959">
        <v>4617.49269</v>
      </c>
      <c r="V959">
        <v>4526.6008499999998</v>
      </c>
      <c r="W959">
        <v>4493.0358500000002</v>
      </c>
      <c r="AB959">
        <v>4619.2654499999999</v>
      </c>
      <c r="AC959">
        <v>4620.0404900000003</v>
      </c>
      <c r="AD959">
        <v>0</v>
      </c>
      <c r="AK959">
        <v>957</v>
      </c>
      <c r="AL959">
        <v>956</v>
      </c>
      <c r="AM959">
        <v>4618.7</v>
      </c>
      <c r="AN959">
        <v>4561.5406000000003</v>
      </c>
      <c r="AO959">
        <v>57.159399999999998</v>
      </c>
      <c r="AP959">
        <v>3267.1947</v>
      </c>
      <c r="AQ959">
        <v>4.2961369999999999</v>
      </c>
      <c r="AR959">
        <v>6.9839989999999998</v>
      </c>
      <c r="AY959">
        <v>957</v>
      </c>
      <c r="AZ959">
        <v>956</v>
      </c>
      <c r="BA959">
        <v>4618.7</v>
      </c>
      <c r="BB959">
        <v>4561.5406000000003</v>
      </c>
      <c r="BC959">
        <v>57.159399999999998</v>
      </c>
      <c r="BD959">
        <v>3267.1947</v>
      </c>
      <c r="BE959">
        <v>913936</v>
      </c>
    </row>
    <row r="960" spans="1:57" x14ac:dyDescent="0.55000000000000004">
      <c r="A960">
        <v>1777598102</v>
      </c>
      <c r="B960" t="s">
        <v>72</v>
      </c>
      <c r="C960" t="s">
        <v>73</v>
      </c>
      <c r="D960">
        <v>4616.68</v>
      </c>
      <c r="E960">
        <v>4518.5928199999998</v>
      </c>
      <c r="F960">
        <v>4596.0559499999999</v>
      </c>
      <c r="G960">
        <v>4755.40355</v>
      </c>
      <c r="H960">
        <v>4792.7697200000002</v>
      </c>
      <c r="Q960">
        <v>4561.2730099999999</v>
      </c>
      <c r="R960">
        <v>4590.6363099999999</v>
      </c>
      <c r="S960">
        <v>4617.2250800000002</v>
      </c>
      <c r="V960">
        <v>4526.3332399999999</v>
      </c>
      <c r="W960">
        <v>4492.7682500000001</v>
      </c>
      <c r="AB960">
        <v>4619.9177300000001</v>
      </c>
      <c r="AC960">
        <v>4619.9791100000002</v>
      </c>
      <c r="AD960">
        <v>0</v>
      </c>
      <c r="AK960">
        <v>958</v>
      </c>
      <c r="AL960">
        <v>957</v>
      </c>
      <c r="AM960">
        <v>4616.68</v>
      </c>
      <c r="AN960">
        <v>4561.2730000000001</v>
      </c>
      <c r="AO960">
        <v>55.406999999999996</v>
      </c>
      <c r="AP960">
        <v>3069.9344999999998</v>
      </c>
      <c r="AQ960">
        <v>3.912995</v>
      </c>
      <c r="AR960">
        <v>6.1661250000000001</v>
      </c>
      <c r="AY960">
        <v>958</v>
      </c>
      <c r="AZ960">
        <v>957</v>
      </c>
      <c r="BA960">
        <v>4616.68</v>
      </c>
      <c r="BB960">
        <v>4561.2730000000001</v>
      </c>
      <c r="BC960">
        <v>55.406999999999996</v>
      </c>
      <c r="BD960">
        <v>3069.9344999999998</v>
      </c>
      <c r="BE960">
        <v>915849</v>
      </c>
    </row>
    <row r="961" spans="1:57" x14ac:dyDescent="0.55000000000000004">
      <c r="A961">
        <v>1777599002</v>
      </c>
      <c r="B961" t="s">
        <v>72</v>
      </c>
      <c r="C961" t="s">
        <v>73</v>
      </c>
      <c r="D961">
        <v>4620.2</v>
      </c>
      <c r="E961">
        <v>4518.5928199999998</v>
      </c>
      <c r="F961">
        <v>4596.0559499999999</v>
      </c>
      <c r="G961">
        <v>4755.40355</v>
      </c>
      <c r="H961">
        <v>4792.7697200000002</v>
      </c>
      <c r="Q961">
        <v>4561.0054099999998</v>
      </c>
      <c r="R961">
        <v>4590.3687099999997</v>
      </c>
      <c r="S961">
        <v>4616.95748</v>
      </c>
      <c r="V961">
        <v>4526.0656399999998</v>
      </c>
      <c r="W961">
        <v>4492.5006400000002</v>
      </c>
      <c r="AB961">
        <v>4621.1766399999997</v>
      </c>
      <c r="AC961">
        <v>4620.5778700000001</v>
      </c>
      <c r="AD961">
        <v>1</v>
      </c>
      <c r="AK961">
        <v>959</v>
      </c>
      <c r="AL961">
        <v>958</v>
      </c>
      <c r="AM961">
        <v>4620.2</v>
      </c>
      <c r="AN961">
        <v>4561.0054</v>
      </c>
      <c r="AO961">
        <v>59.194600000000001</v>
      </c>
      <c r="AP961">
        <v>3503.9994999999999</v>
      </c>
      <c r="AQ961">
        <v>4.7715740000000002</v>
      </c>
      <c r="AR961">
        <v>8.0330820000000003</v>
      </c>
      <c r="AY961">
        <v>959</v>
      </c>
      <c r="AZ961">
        <v>958</v>
      </c>
      <c r="BA961">
        <v>4620.2</v>
      </c>
      <c r="BB961">
        <v>4561.0054</v>
      </c>
      <c r="BC961">
        <v>59.194600000000001</v>
      </c>
      <c r="BD961">
        <v>3503.9994999999999</v>
      </c>
      <c r="BE961">
        <v>917764</v>
      </c>
    </row>
    <row r="962" spans="1:57" x14ac:dyDescent="0.55000000000000004">
      <c r="A962">
        <v>1777599902</v>
      </c>
      <c r="B962" t="s">
        <v>72</v>
      </c>
      <c r="C962" t="s">
        <v>73</v>
      </c>
      <c r="D962">
        <v>4621.05</v>
      </c>
      <c r="E962">
        <v>4518.5928199999998</v>
      </c>
      <c r="F962">
        <v>4596.0559499999999</v>
      </c>
      <c r="G962">
        <v>4755.40355</v>
      </c>
      <c r="H962">
        <v>4792.7697200000002</v>
      </c>
      <c r="Q962">
        <v>4560.7378099999996</v>
      </c>
      <c r="R962">
        <v>4590.1010999999999</v>
      </c>
      <c r="S962">
        <v>4616.6898799999999</v>
      </c>
      <c r="V962">
        <v>4525.7980399999997</v>
      </c>
      <c r="W962">
        <v>4492.2330400000001</v>
      </c>
      <c r="AB962">
        <v>4622.6710899999998</v>
      </c>
      <c r="AC962">
        <v>4621.6244800000004</v>
      </c>
      <c r="AD962">
        <v>0</v>
      </c>
      <c r="AK962">
        <v>960</v>
      </c>
      <c r="AL962">
        <v>959</v>
      </c>
      <c r="AM962">
        <v>4621.05</v>
      </c>
      <c r="AN962">
        <v>4560.7377999999999</v>
      </c>
      <c r="AO962">
        <v>60.312199999999997</v>
      </c>
      <c r="AP962">
        <v>3637.5603000000001</v>
      </c>
      <c r="AQ962">
        <v>5.0469720000000002</v>
      </c>
      <c r="AR962">
        <v>8.6571409999999993</v>
      </c>
      <c r="AY962">
        <v>960</v>
      </c>
      <c r="AZ962">
        <v>959</v>
      </c>
      <c r="BA962">
        <v>4621.05</v>
      </c>
      <c r="BB962">
        <v>4560.7377999999999</v>
      </c>
      <c r="BC962">
        <v>60.312199999999997</v>
      </c>
      <c r="BD962">
        <v>3637.5603000000001</v>
      </c>
      <c r="BE962">
        <v>919681</v>
      </c>
    </row>
    <row r="963" spans="1:57" x14ac:dyDescent="0.55000000000000004">
      <c r="A963">
        <v>1777600802</v>
      </c>
      <c r="B963" t="s">
        <v>72</v>
      </c>
      <c r="C963" t="s">
        <v>73</v>
      </c>
      <c r="D963">
        <v>4630.8900000000003</v>
      </c>
      <c r="E963">
        <v>4518.5928199999998</v>
      </c>
      <c r="F963">
        <v>4596.0559499999999</v>
      </c>
      <c r="G963">
        <v>4755.40355</v>
      </c>
      <c r="H963">
        <v>4792.7697200000002</v>
      </c>
      <c r="Q963">
        <v>4560.4701999999997</v>
      </c>
      <c r="R963">
        <v>4589.8334999999997</v>
      </c>
      <c r="S963">
        <v>4616.42227</v>
      </c>
      <c r="V963">
        <v>4525.5304299999998</v>
      </c>
      <c r="W963">
        <v>4491.9654399999999</v>
      </c>
      <c r="AB963">
        <v>4624.1071000000002</v>
      </c>
      <c r="AC963">
        <v>4622.8657899999998</v>
      </c>
      <c r="AD963">
        <v>0</v>
      </c>
      <c r="AK963">
        <v>961</v>
      </c>
      <c r="AL963">
        <v>960</v>
      </c>
      <c r="AM963">
        <v>4630.8900000000003</v>
      </c>
      <c r="AN963">
        <v>4560.4701999999997</v>
      </c>
      <c r="AO963">
        <v>70.419799999999995</v>
      </c>
      <c r="AP963">
        <v>4958.9481999999998</v>
      </c>
      <c r="AQ963">
        <v>8.0334099999999999</v>
      </c>
      <c r="AR963">
        <v>16.089155999999999</v>
      </c>
      <c r="AY963">
        <v>961</v>
      </c>
      <c r="AZ963">
        <v>960</v>
      </c>
      <c r="BA963">
        <v>4630.8900000000003</v>
      </c>
      <c r="BB963">
        <v>4560.4701999999997</v>
      </c>
      <c r="BC963">
        <v>70.419799999999995</v>
      </c>
      <c r="BD963">
        <v>4958.9481999999998</v>
      </c>
      <c r="BE963">
        <v>921600</v>
      </c>
    </row>
    <row r="964" spans="1:57" x14ac:dyDescent="0.55000000000000004">
      <c r="A964">
        <v>1777601702</v>
      </c>
      <c r="B964" t="s">
        <v>72</v>
      </c>
      <c r="C964" t="s">
        <v>73</v>
      </c>
      <c r="D964">
        <v>4629.3900000000003</v>
      </c>
      <c r="E964">
        <v>4518.5928199999998</v>
      </c>
      <c r="F964">
        <v>4596.0559499999999</v>
      </c>
      <c r="G964">
        <v>4755.40355</v>
      </c>
      <c r="H964">
        <v>4792.7697200000002</v>
      </c>
      <c r="Q964">
        <v>4560.2025999999996</v>
      </c>
      <c r="R964">
        <v>4589.5658999999996</v>
      </c>
      <c r="S964">
        <v>4616.1546699999999</v>
      </c>
      <c r="V964">
        <v>4525.2628299999997</v>
      </c>
      <c r="W964">
        <v>4491.6978300000001</v>
      </c>
      <c r="Z964">
        <v>4635.83</v>
      </c>
      <c r="AB964">
        <v>4625.0241599999999</v>
      </c>
      <c r="AC964">
        <v>4623.9449699999996</v>
      </c>
      <c r="AD964">
        <v>0</v>
      </c>
      <c r="AK964">
        <v>962</v>
      </c>
      <c r="AL964">
        <v>961</v>
      </c>
      <c r="AM964">
        <v>4629.3900000000003</v>
      </c>
      <c r="AN964">
        <v>4560.2025999999996</v>
      </c>
      <c r="AO964">
        <v>69.187399999999997</v>
      </c>
      <c r="AP964">
        <v>4786.8963000000003</v>
      </c>
      <c r="AQ964">
        <v>7.618976</v>
      </c>
      <c r="AR964">
        <v>14.992089</v>
      </c>
      <c r="AY964">
        <v>962</v>
      </c>
      <c r="AZ964">
        <v>961</v>
      </c>
      <c r="BA964">
        <v>4629.3900000000003</v>
      </c>
      <c r="BB964">
        <v>4560.2025999999996</v>
      </c>
      <c r="BC964">
        <v>69.187399999999997</v>
      </c>
      <c r="BD964">
        <v>4786.8963000000003</v>
      </c>
      <c r="BE964">
        <v>923521</v>
      </c>
    </row>
    <row r="965" spans="1:57" x14ac:dyDescent="0.55000000000000004">
      <c r="A965">
        <v>1777602602</v>
      </c>
      <c r="B965" t="s">
        <v>72</v>
      </c>
      <c r="C965" t="s">
        <v>73</v>
      </c>
      <c r="D965">
        <v>4624.38</v>
      </c>
      <c r="E965">
        <v>4518.5928199999998</v>
      </c>
      <c r="F965">
        <v>4596.0559499999999</v>
      </c>
      <c r="G965">
        <v>4755.40355</v>
      </c>
      <c r="H965">
        <v>4792.7697200000002</v>
      </c>
      <c r="Q965">
        <v>4559.9349899999997</v>
      </c>
      <c r="R965">
        <v>4589.2982899999997</v>
      </c>
      <c r="S965">
        <v>4615.88706</v>
      </c>
      <c r="V965">
        <v>4524.9952199999998</v>
      </c>
      <c r="W965">
        <v>4491.4302299999999</v>
      </c>
      <c r="AB965">
        <v>4625.4026700000004</v>
      </c>
      <c r="AC965">
        <v>4624.67382</v>
      </c>
      <c r="AD965">
        <v>0</v>
      </c>
      <c r="AK965">
        <v>963</v>
      </c>
      <c r="AL965">
        <v>962</v>
      </c>
      <c r="AM965">
        <v>4624.38</v>
      </c>
      <c r="AN965">
        <v>4559.9350000000004</v>
      </c>
      <c r="AO965">
        <v>64.444999999999993</v>
      </c>
      <c r="AP965">
        <v>4153.1593000000003</v>
      </c>
      <c r="AQ965">
        <v>6.157203</v>
      </c>
      <c r="AR965">
        <v>11.285253000000001</v>
      </c>
      <c r="AY965">
        <v>963</v>
      </c>
      <c r="AZ965">
        <v>962</v>
      </c>
      <c r="BA965">
        <v>4624.38</v>
      </c>
      <c r="BB965">
        <v>4559.9350000000004</v>
      </c>
      <c r="BC965">
        <v>64.444999999999993</v>
      </c>
      <c r="BD965">
        <v>4153.1593000000003</v>
      </c>
      <c r="BE965">
        <v>925444</v>
      </c>
    </row>
    <row r="966" spans="1:57" x14ac:dyDescent="0.55000000000000004">
      <c r="A966">
        <v>1777603502</v>
      </c>
      <c r="B966" t="s">
        <v>72</v>
      </c>
      <c r="C966" t="s">
        <v>73</v>
      </c>
      <c r="D966">
        <v>4619.1499999999996</v>
      </c>
      <c r="E966">
        <v>4518.5928199999998</v>
      </c>
      <c r="F966">
        <v>4596.0559499999999</v>
      </c>
      <c r="G966">
        <v>4755.40355</v>
      </c>
      <c r="H966">
        <v>4792.7697200000002</v>
      </c>
      <c r="Q966">
        <v>4559.6673899999996</v>
      </c>
      <c r="R966">
        <v>4589.0306899999996</v>
      </c>
      <c r="S966">
        <v>4615.6194599999999</v>
      </c>
      <c r="V966">
        <v>4524.7276199999997</v>
      </c>
      <c r="W966">
        <v>4491.1626200000001</v>
      </c>
      <c r="AB966">
        <v>4625.3862600000002</v>
      </c>
      <c r="AC966">
        <v>4625.0300399999996</v>
      </c>
      <c r="AD966">
        <v>0</v>
      </c>
      <c r="AK966">
        <v>964</v>
      </c>
      <c r="AL966">
        <v>963</v>
      </c>
      <c r="AM966">
        <v>4619.1499999999996</v>
      </c>
      <c r="AN966">
        <v>4559.6674000000003</v>
      </c>
      <c r="AO966">
        <v>59.482599999999998</v>
      </c>
      <c r="AP966">
        <v>3538.1808999999998</v>
      </c>
      <c r="AQ966">
        <v>4.841564</v>
      </c>
      <c r="AR966">
        <v>8.1905710000000003</v>
      </c>
      <c r="AY966">
        <v>964</v>
      </c>
      <c r="AZ966">
        <v>963</v>
      </c>
      <c r="BA966">
        <v>4619.1499999999996</v>
      </c>
      <c r="BB966">
        <v>4559.6674000000003</v>
      </c>
      <c r="BC966">
        <v>59.482599999999998</v>
      </c>
      <c r="BD966">
        <v>3538.1808999999998</v>
      </c>
      <c r="BE966">
        <v>927369</v>
      </c>
    </row>
    <row r="967" spans="1:57" x14ac:dyDescent="0.55000000000000004">
      <c r="A967">
        <v>1777604402</v>
      </c>
      <c r="B967" t="s">
        <v>72</v>
      </c>
      <c r="C967" t="s">
        <v>73</v>
      </c>
      <c r="D967">
        <v>4620.8500000000004</v>
      </c>
      <c r="E967">
        <v>4518.5928199999998</v>
      </c>
      <c r="F967">
        <v>4596.0559499999999</v>
      </c>
      <c r="G967">
        <v>4755.40355</v>
      </c>
      <c r="H967">
        <v>4792.7697200000002</v>
      </c>
      <c r="Q967">
        <v>4559.3997900000004</v>
      </c>
      <c r="R967">
        <v>4588.7630799999997</v>
      </c>
      <c r="S967">
        <v>4615.35185</v>
      </c>
      <c r="V967">
        <v>4524.4600099999998</v>
      </c>
      <c r="W967">
        <v>4490.8950199999999</v>
      </c>
      <c r="AB967">
        <v>4625.1593400000002</v>
      </c>
      <c r="AC967">
        <v>4625.0946899999999</v>
      </c>
      <c r="AD967">
        <v>0</v>
      </c>
      <c r="AK967">
        <v>965</v>
      </c>
      <c r="AL967">
        <v>964</v>
      </c>
      <c r="AM967">
        <v>4620.8500000000004</v>
      </c>
      <c r="AN967">
        <v>4559.3998000000001</v>
      </c>
      <c r="AO967">
        <v>61.450200000000002</v>
      </c>
      <c r="AP967">
        <v>3776.1282999999999</v>
      </c>
      <c r="AQ967">
        <v>5.3380879999999999</v>
      </c>
      <c r="AR967">
        <v>9.329269</v>
      </c>
      <c r="AY967">
        <v>965</v>
      </c>
      <c r="AZ967">
        <v>964</v>
      </c>
      <c r="BA967">
        <v>4620.8500000000004</v>
      </c>
      <c r="BB967">
        <v>4559.3998000000001</v>
      </c>
      <c r="BC967">
        <v>61.450200000000002</v>
      </c>
      <c r="BD967">
        <v>3776.1282999999999</v>
      </c>
      <c r="BE967">
        <v>929296</v>
      </c>
    </row>
    <row r="968" spans="1:57" x14ac:dyDescent="0.55000000000000004">
      <c r="A968">
        <v>1777605302</v>
      </c>
      <c r="B968" t="s">
        <v>72</v>
      </c>
      <c r="C968" t="s">
        <v>73</v>
      </c>
      <c r="D968">
        <v>4626.13</v>
      </c>
      <c r="E968">
        <v>4518.5928199999998</v>
      </c>
      <c r="F968">
        <v>4596.0559499999999</v>
      </c>
      <c r="G968">
        <v>4755.40355</v>
      </c>
      <c r="H968">
        <v>4792.7697200000002</v>
      </c>
      <c r="Q968">
        <v>4559.1321799999996</v>
      </c>
      <c r="R968">
        <v>4588.4954799999996</v>
      </c>
      <c r="S968">
        <v>4615.0842499999999</v>
      </c>
      <c r="V968">
        <v>4524.1924099999997</v>
      </c>
      <c r="W968">
        <v>4490.6274100000001</v>
      </c>
      <c r="AB968">
        <v>4624.7018699999999</v>
      </c>
      <c r="AC968">
        <v>4624.8982800000003</v>
      </c>
      <c r="AD968">
        <v>1</v>
      </c>
      <c r="AK968">
        <v>966</v>
      </c>
      <c r="AL968">
        <v>965</v>
      </c>
      <c r="AM968">
        <v>4626.13</v>
      </c>
      <c r="AN968">
        <v>4559.1322</v>
      </c>
      <c r="AO968">
        <v>66.997799999999998</v>
      </c>
      <c r="AP968">
        <v>4488.7079000000003</v>
      </c>
      <c r="AQ968">
        <v>6.9182709999999998</v>
      </c>
      <c r="AR968">
        <v>13.18247</v>
      </c>
      <c r="AY968">
        <v>966</v>
      </c>
      <c r="AZ968">
        <v>965</v>
      </c>
      <c r="BA968">
        <v>4626.13</v>
      </c>
      <c r="BB968">
        <v>4559.1322</v>
      </c>
      <c r="BC968">
        <v>66.997799999999998</v>
      </c>
      <c r="BD968">
        <v>4488.7079000000003</v>
      </c>
      <c r="BE968">
        <v>931225</v>
      </c>
    </row>
    <row r="969" spans="1:57" x14ac:dyDescent="0.55000000000000004">
      <c r="A969">
        <v>1777606202</v>
      </c>
      <c r="B969" t="s">
        <v>72</v>
      </c>
      <c r="C969" t="s">
        <v>73</v>
      </c>
      <c r="D969">
        <v>4626.21</v>
      </c>
      <c r="E969">
        <v>4518.5928199999998</v>
      </c>
      <c r="F969">
        <v>4596.0559499999999</v>
      </c>
      <c r="G969">
        <v>4755.40355</v>
      </c>
      <c r="H969">
        <v>4792.7697200000002</v>
      </c>
      <c r="Q969">
        <v>4558.8645800000004</v>
      </c>
      <c r="R969">
        <v>4588.2278800000004</v>
      </c>
      <c r="S969">
        <v>4614.8166499999998</v>
      </c>
      <c r="V969">
        <v>4523.9248100000004</v>
      </c>
      <c r="W969">
        <v>4490.3598099999999</v>
      </c>
      <c r="AB969">
        <v>4623.8541100000002</v>
      </c>
      <c r="AC969">
        <v>4624.37619</v>
      </c>
      <c r="AD969">
        <v>0</v>
      </c>
      <c r="AK969">
        <v>967</v>
      </c>
      <c r="AL969">
        <v>966</v>
      </c>
      <c r="AM969">
        <v>4626.21</v>
      </c>
      <c r="AN969">
        <v>4558.8645999999999</v>
      </c>
      <c r="AO969">
        <v>67.345399999999998</v>
      </c>
      <c r="AP969">
        <v>4535.4056</v>
      </c>
      <c r="AQ969">
        <v>7.0265120000000003</v>
      </c>
      <c r="AR969">
        <v>13.458181</v>
      </c>
      <c r="AY969">
        <v>967</v>
      </c>
      <c r="AZ969">
        <v>966</v>
      </c>
      <c r="BA969">
        <v>4626.21</v>
      </c>
      <c r="BB969">
        <v>4558.8645999999999</v>
      </c>
      <c r="BC969">
        <v>67.345399999999998</v>
      </c>
      <c r="BD969">
        <v>4535.4056</v>
      </c>
      <c r="BE969">
        <v>933156</v>
      </c>
    </row>
    <row r="970" spans="1:57" x14ac:dyDescent="0.55000000000000004">
      <c r="A970">
        <v>1777607102</v>
      </c>
      <c r="B970" t="s">
        <v>72</v>
      </c>
      <c r="C970" t="s">
        <v>73</v>
      </c>
      <c r="D970">
        <v>4626.67</v>
      </c>
      <c r="E970">
        <v>4518.5928199999998</v>
      </c>
      <c r="F970">
        <v>4596.0559499999999</v>
      </c>
      <c r="G970">
        <v>4755.40355</v>
      </c>
      <c r="H970">
        <v>4792.7697200000002</v>
      </c>
      <c r="Q970">
        <v>4558.5969699999996</v>
      </c>
      <c r="R970">
        <v>4587.9602699999996</v>
      </c>
      <c r="S970">
        <v>4614.5490399999999</v>
      </c>
      <c r="V970">
        <v>4523.6571999999996</v>
      </c>
      <c r="W970">
        <v>4490.0922099999998</v>
      </c>
      <c r="AB970">
        <v>4622.5755600000002</v>
      </c>
      <c r="AC970">
        <v>4623.47588</v>
      </c>
      <c r="AD970">
        <v>0</v>
      </c>
      <c r="AK970">
        <v>968</v>
      </c>
      <c r="AL970">
        <v>967</v>
      </c>
      <c r="AM970">
        <v>4626.67</v>
      </c>
      <c r="AN970">
        <v>4558.5969999999998</v>
      </c>
      <c r="AO970">
        <v>68.072999999999993</v>
      </c>
      <c r="AP970">
        <v>4633.9373999999998</v>
      </c>
      <c r="AQ970">
        <v>7.2567279999999998</v>
      </c>
      <c r="AR970">
        <v>14.049291999999999</v>
      </c>
      <c r="AY970">
        <v>968</v>
      </c>
      <c r="AZ970">
        <v>967</v>
      </c>
      <c r="BA970">
        <v>4626.67</v>
      </c>
      <c r="BB970">
        <v>4558.5969999999998</v>
      </c>
      <c r="BC970">
        <v>68.072999999999993</v>
      </c>
      <c r="BD970">
        <v>4633.9373999999998</v>
      </c>
      <c r="BE970">
        <v>935089</v>
      </c>
    </row>
    <row r="971" spans="1:57" x14ac:dyDescent="0.55000000000000004">
      <c r="A971">
        <v>1777608002</v>
      </c>
      <c r="B971" t="s">
        <v>72</v>
      </c>
      <c r="C971" t="s">
        <v>73</v>
      </c>
      <c r="D971">
        <v>4621.93</v>
      </c>
      <c r="E971">
        <v>4518.5928199999998</v>
      </c>
      <c r="F971">
        <v>4596.0559499999999</v>
      </c>
      <c r="G971">
        <v>4755.40355</v>
      </c>
      <c r="H971">
        <v>4792.7697200000002</v>
      </c>
      <c r="Q971">
        <v>4558.3293700000004</v>
      </c>
      <c r="R971">
        <v>4587.6926700000004</v>
      </c>
      <c r="S971">
        <v>4614.2814399999997</v>
      </c>
      <c r="V971">
        <v>4523.3896000000004</v>
      </c>
      <c r="W971">
        <v>4489.8245999999999</v>
      </c>
      <c r="AB971">
        <v>4620.8327600000002</v>
      </c>
      <c r="AC971">
        <v>4622.1543199999996</v>
      </c>
      <c r="AD971">
        <v>0</v>
      </c>
      <c r="AK971">
        <v>969</v>
      </c>
      <c r="AL971">
        <v>968</v>
      </c>
      <c r="AM971">
        <v>4621.93</v>
      </c>
      <c r="AN971">
        <v>4558.3293999999996</v>
      </c>
      <c r="AO971">
        <v>63.6006</v>
      </c>
      <c r="AP971">
        <v>4045.0401000000002</v>
      </c>
      <c r="AQ971">
        <v>5.9183389999999996</v>
      </c>
      <c r="AR971">
        <v>10.705323</v>
      </c>
      <c r="AY971">
        <v>969</v>
      </c>
      <c r="AZ971">
        <v>968</v>
      </c>
      <c r="BA971">
        <v>4621.93</v>
      </c>
      <c r="BB971">
        <v>4558.3293999999996</v>
      </c>
      <c r="BC971">
        <v>63.6006</v>
      </c>
      <c r="BD971">
        <v>4045.0401000000002</v>
      </c>
      <c r="BE971">
        <v>937024</v>
      </c>
    </row>
    <row r="972" spans="1:57" x14ac:dyDescent="0.55000000000000004">
      <c r="A972">
        <v>1777608902</v>
      </c>
      <c r="B972" t="s">
        <v>72</v>
      </c>
      <c r="C972" t="s">
        <v>73</v>
      </c>
      <c r="D972">
        <v>4617.53</v>
      </c>
      <c r="E972">
        <v>4518.5928199999998</v>
      </c>
      <c r="F972">
        <v>4596.0559499999999</v>
      </c>
      <c r="G972">
        <v>4755.40355</v>
      </c>
      <c r="H972">
        <v>4792.7697200000002</v>
      </c>
      <c r="Q972">
        <v>4558.0617599999996</v>
      </c>
      <c r="R972">
        <v>4587.4250599999996</v>
      </c>
      <c r="S972">
        <v>4614.0138299999999</v>
      </c>
      <c r="V972">
        <v>4523.1219899999996</v>
      </c>
      <c r="W972">
        <v>4489.5569999999998</v>
      </c>
      <c r="AB972">
        <v>4618.7514899999996</v>
      </c>
      <c r="AC972">
        <v>4620.4529000000002</v>
      </c>
      <c r="AD972">
        <v>0</v>
      </c>
      <c r="AK972">
        <v>970</v>
      </c>
      <c r="AL972">
        <v>969</v>
      </c>
      <c r="AM972">
        <v>4617.53</v>
      </c>
      <c r="AN972">
        <v>4558.0618000000004</v>
      </c>
      <c r="AO972">
        <v>59.468200000000003</v>
      </c>
      <c r="AP972">
        <v>3536.4715999999999</v>
      </c>
      <c r="AQ972">
        <v>4.8380549999999998</v>
      </c>
      <c r="AR972">
        <v>8.1826589999999992</v>
      </c>
      <c r="AY972">
        <v>970</v>
      </c>
      <c r="AZ972">
        <v>969</v>
      </c>
      <c r="BA972">
        <v>4617.53</v>
      </c>
      <c r="BB972">
        <v>4558.0618000000004</v>
      </c>
      <c r="BC972">
        <v>59.468200000000003</v>
      </c>
      <c r="BD972">
        <v>3536.4715999999999</v>
      </c>
      <c r="BE972">
        <v>938961</v>
      </c>
    </row>
    <row r="973" spans="1:57" x14ac:dyDescent="0.55000000000000004">
      <c r="A973">
        <v>1777609802</v>
      </c>
      <c r="B973" t="s">
        <v>72</v>
      </c>
      <c r="C973" t="s">
        <v>73</v>
      </c>
      <c r="D973">
        <v>4613.51</v>
      </c>
      <c r="E973">
        <v>4518.5928199999998</v>
      </c>
      <c r="F973">
        <v>4596.0559499999999</v>
      </c>
      <c r="G973">
        <v>4755.40355</v>
      </c>
      <c r="H973">
        <v>4792.7697200000002</v>
      </c>
      <c r="Q973">
        <v>4557.7941600000004</v>
      </c>
      <c r="R973">
        <v>4587.1574600000004</v>
      </c>
      <c r="S973">
        <v>4613.7462299999997</v>
      </c>
      <c r="V973">
        <v>4522.8543900000004</v>
      </c>
      <c r="W973">
        <v>4489.2893899999999</v>
      </c>
      <c r="AB973">
        <v>4616.4932799999997</v>
      </c>
      <c r="AC973">
        <v>4618.4730900000004</v>
      </c>
      <c r="AD973">
        <v>0</v>
      </c>
      <c r="AK973">
        <v>971</v>
      </c>
      <c r="AL973">
        <v>970</v>
      </c>
      <c r="AM973">
        <v>4613.51</v>
      </c>
      <c r="AN973">
        <v>4557.7942000000003</v>
      </c>
      <c r="AO973">
        <v>55.715800000000002</v>
      </c>
      <c r="AP973">
        <v>3104.2548000000002</v>
      </c>
      <c r="AQ973">
        <v>3.978796</v>
      </c>
      <c r="AR973">
        <v>6.3047639999999996</v>
      </c>
      <c r="AY973">
        <v>971</v>
      </c>
      <c r="AZ973">
        <v>970</v>
      </c>
      <c r="BA973">
        <v>4613.51</v>
      </c>
      <c r="BB973">
        <v>4557.7942000000003</v>
      </c>
      <c r="BC973">
        <v>55.715800000000002</v>
      </c>
      <c r="BD973">
        <v>3104.2548000000002</v>
      </c>
      <c r="BE973">
        <v>940900</v>
      </c>
    </row>
    <row r="974" spans="1:57" x14ac:dyDescent="0.55000000000000004">
      <c r="A974">
        <v>1777610702</v>
      </c>
      <c r="B974" t="s">
        <v>72</v>
      </c>
      <c r="C974" t="s">
        <v>73</v>
      </c>
      <c r="D974">
        <v>4609.18</v>
      </c>
      <c r="E974">
        <v>4518.5928199999998</v>
      </c>
      <c r="F974">
        <v>4596.0559499999999</v>
      </c>
      <c r="G974">
        <v>4755.40355</v>
      </c>
      <c r="H974">
        <v>4792.7697200000002</v>
      </c>
      <c r="Q974">
        <v>4557.5265600000002</v>
      </c>
      <c r="R974">
        <v>4586.8898600000002</v>
      </c>
      <c r="S974">
        <v>4613.4786299999996</v>
      </c>
      <c r="V974">
        <v>4522.5867900000003</v>
      </c>
      <c r="W974">
        <v>4489.0217899999998</v>
      </c>
      <c r="AB974">
        <v>4614.2007100000001</v>
      </c>
      <c r="AC974">
        <v>4616.3369000000002</v>
      </c>
      <c r="AD974">
        <v>0</v>
      </c>
      <c r="AK974">
        <v>972</v>
      </c>
      <c r="AL974">
        <v>971</v>
      </c>
      <c r="AM974">
        <v>4609.18</v>
      </c>
      <c r="AN974">
        <v>4557.5266000000001</v>
      </c>
      <c r="AO974">
        <v>51.653399999999998</v>
      </c>
      <c r="AP974">
        <v>2668.0779000000002</v>
      </c>
      <c r="AQ974">
        <v>3.1703950000000001</v>
      </c>
      <c r="AR974">
        <v>4.6574809999999998</v>
      </c>
      <c r="AY974">
        <v>972</v>
      </c>
      <c r="AZ974">
        <v>971</v>
      </c>
      <c r="BA974">
        <v>4609.18</v>
      </c>
      <c r="BB974">
        <v>4557.5266000000001</v>
      </c>
      <c r="BC974">
        <v>51.653399999999998</v>
      </c>
      <c r="BD974">
        <v>2668.0779000000002</v>
      </c>
      <c r="BE974">
        <v>942841</v>
      </c>
    </row>
    <row r="975" spans="1:57" x14ac:dyDescent="0.55000000000000004">
      <c r="A975">
        <v>1777611602</v>
      </c>
      <c r="B975" t="s">
        <v>72</v>
      </c>
      <c r="C975" t="s">
        <v>73</v>
      </c>
      <c r="D975">
        <v>4614.29</v>
      </c>
      <c r="E975">
        <v>4518.5928199999998</v>
      </c>
      <c r="F975">
        <v>4596.0559499999999</v>
      </c>
      <c r="G975">
        <v>4755.40355</v>
      </c>
      <c r="H975">
        <v>4792.7697200000002</v>
      </c>
      <c r="Q975">
        <v>4557.2589500000004</v>
      </c>
      <c r="R975">
        <v>4586.6222500000003</v>
      </c>
      <c r="S975">
        <v>4613.2110199999997</v>
      </c>
      <c r="V975">
        <v>4522.3191800000004</v>
      </c>
      <c r="W975">
        <v>4488.7541899999997</v>
      </c>
      <c r="AB975">
        <v>4611.9819200000002</v>
      </c>
      <c r="AC975">
        <v>4614.1594100000002</v>
      </c>
      <c r="AD975">
        <v>0</v>
      </c>
      <c r="AK975">
        <v>973</v>
      </c>
      <c r="AL975">
        <v>972</v>
      </c>
      <c r="AM975">
        <v>4614.29</v>
      </c>
      <c r="AN975">
        <v>4557.259</v>
      </c>
      <c r="AO975">
        <v>57.030999999999999</v>
      </c>
      <c r="AP975">
        <v>3252.5407</v>
      </c>
      <c r="AQ975">
        <v>4.2672660000000002</v>
      </c>
      <c r="AR975">
        <v>6.9214900000000004</v>
      </c>
      <c r="AY975">
        <v>973</v>
      </c>
      <c r="AZ975">
        <v>972</v>
      </c>
      <c r="BA975">
        <v>4614.29</v>
      </c>
      <c r="BB975">
        <v>4557.259</v>
      </c>
      <c r="BC975">
        <v>57.030999999999999</v>
      </c>
      <c r="BD975">
        <v>3252.5407</v>
      </c>
      <c r="BE975">
        <v>944784</v>
      </c>
    </row>
    <row r="976" spans="1:57" x14ac:dyDescent="0.55000000000000004">
      <c r="A976">
        <v>1777612502</v>
      </c>
      <c r="B976" t="s">
        <v>72</v>
      </c>
      <c r="C976" t="s">
        <v>73</v>
      </c>
      <c r="D976">
        <v>4614.6400000000003</v>
      </c>
      <c r="E976">
        <v>4518.5928199999998</v>
      </c>
      <c r="F976">
        <v>4596.0559499999999</v>
      </c>
      <c r="G976">
        <v>4755.40355</v>
      </c>
      <c r="H976">
        <v>4792.7697200000002</v>
      </c>
      <c r="Q976">
        <v>4556.9913500000002</v>
      </c>
      <c r="R976">
        <v>4586.3546500000002</v>
      </c>
      <c r="S976">
        <v>4612.9434199999996</v>
      </c>
      <c r="V976">
        <v>4522.0515800000003</v>
      </c>
      <c r="W976">
        <v>4488.4865799999998</v>
      </c>
      <c r="AB976">
        <v>4609.7021800000002</v>
      </c>
      <c r="AC976">
        <v>4611.9308000000001</v>
      </c>
      <c r="AD976">
        <v>0</v>
      </c>
      <c r="AK976">
        <v>974</v>
      </c>
      <c r="AL976">
        <v>973</v>
      </c>
      <c r="AM976">
        <v>4614.6400000000003</v>
      </c>
      <c r="AN976">
        <v>4556.9913999999999</v>
      </c>
      <c r="AO976">
        <v>57.648699999999998</v>
      </c>
      <c r="AP976">
        <v>3323.3667999999998</v>
      </c>
      <c r="AQ976">
        <v>4.4074049999999998</v>
      </c>
      <c r="AR976">
        <v>7.2262120000000003</v>
      </c>
      <c r="AY976">
        <v>974</v>
      </c>
      <c r="AZ976">
        <v>973</v>
      </c>
      <c r="BA976">
        <v>4614.6400000000003</v>
      </c>
      <c r="BB976">
        <v>4556.9913999999999</v>
      </c>
      <c r="BC976">
        <v>57.648699999999998</v>
      </c>
      <c r="BD976">
        <v>3323.3667999999998</v>
      </c>
      <c r="BE976">
        <v>946729</v>
      </c>
    </row>
    <row r="977" spans="1:57" x14ac:dyDescent="0.55000000000000004">
      <c r="A977">
        <v>1777613402</v>
      </c>
      <c r="B977" t="s">
        <v>72</v>
      </c>
      <c r="C977" t="s">
        <v>73</v>
      </c>
      <c r="D977">
        <v>4610</v>
      </c>
      <c r="E977">
        <v>4518.5928199999998</v>
      </c>
      <c r="F977">
        <v>4596.0559499999999</v>
      </c>
      <c r="G977">
        <v>4755.40355</v>
      </c>
      <c r="H977">
        <v>4792.7697200000002</v>
      </c>
      <c r="Q977">
        <v>4556.7237400000004</v>
      </c>
      <c r="R977">
        <v>4586.0870400000003</v>
      </c>
      <c r="S977">
        <v>4612.6758099999997</v>
      </c>
      <c r="V977">
        <v>4521.7839700000004</v>
      </c>
      <c r="W977">
        <v>4488.2189799999996</v>
      </c>
      <c r="AB977">
        <v>4607.3039699999999</v>
      </c>
      <c r="AC977">
        <v>4609.6173799999997</v>
      </c>
      <c r="AD977">
        <v>0</v>
      </c>
      <c r="AK977">
        <v>975</v>
      </c>
      <c r="AL977">
        <v>974</v>
      </c>
      <c r="AM977">
        <v>4610</v>
      </c>
      <c r="AN977">
        <v>4556.7236999999996</v>
      </c>
      <c r="AO977">
        <v>53.276299999999999</v>
      </c>
      <c r="AP977">
        <v>2838.3598999999999</v>
      </c>
      <c r="AQ977">
        <v>3.4786980000000001</v>
      </c>
      <c r="AR977">
        <v>5.2709520000000003</v>
      </c>
      <c r="AY977">
        <v>975</v>
      </c>
      <c r="AZ977">
        <v>974</v>
      </c>
      <c r="BA977">
        <v>4610</v>
      </c>
      <c r="BB977">
        <v>4556.7236999999996</v>
      </c>
      <c r="BC977">
        <v>53.276299999999999</v>
      </c>
      <c r="BD977">
        <v>2838.3598999999999</v>
      </c>
      <c r="BE977">
        <v>948676</v>
      </c>
    </row>
    <row r="978" spans="1:57" x14ac:dyDescent="0.55000000000000004">
      <c r="A978">
        <v>1777614302</v>
      </c>
      <c r="B978" t="s">
        <v>72</v>
      </c>
      <c r="C978" t="s">
        <v>73</v>
      </c>
      <c r="D978">
        <v>4605.03</v>
      </c>
      <c r="E978">
        <v>4518.5928199999998</v>
      </c>
      <c r="F978">
        <v>4596.0559499999999</v>
      </c>
      <c r="G978">
        <v>4755.40355</v>
      </c>
      <c r="H978">
        <v>4792.7697200000002</v>
      </c>
      <c r="Q978">
        <v>4556.4561400000002</v>
      </c>
      <c r="R978">
        <v>4585.8194400000002</v>
      </c>
      <c r="S978">
        <v>4612.4082099999996</v>
      </c>
      <c r="V978">
        <v>4521.5163700000003</v>
      </c>
      <c r="W978">
        <v>4487.9513699999998</v>
      </c>
      <c r="AB978">
        <v>4604.8331600000001</v>
      </c>
      <c r="AC978">
        <v>4607.2252699999999</v>
      </c>
      <c r="AD978">
        <v>0</v>
      </c>
      <c r="AK978">
        <v>976</v>
      </c>
      <c r="AL978">
        <v>975</v>
      </c>
      <c r="AM978">
        <v>4605.03</v>
      </c>
      <c r="AN978">
        <v>4556.4561000000003</v>
      </c>
      <c r="AO978">
        <v>48.573900000000002</v>
      </c>
      <c r="AP978">
        <v>2359.4198999999999</v>
      </c>
      <c r="AQ978">
        <v>2.6364740000000002</v>
      </c>
      <c r="AR978">
        <v>3.642207</v>
      </c>
      <c r="AY978">
        <v>976</v>
      </c>
      <c r="AZ978">
        <v>975</v>
      </c>
      <c r="BA978">
        <v>4605.03</v>
      </c>
      <c r="BB978">
        <v>4556.4561000000003</v>
      </c>
      <c r="BC978">
        <v>48.573900000000002</v>
      </c>
      <c r="BD978">
        <v>2359.4198999999999</v>
      </c>
      <c r="BE978">
        <v>950625</v>
      </c>
    </row>
    <row r="979" spans="1:57" x14ac:dyDescent="0.55000000000000004">
      <c r="A979">
        <v>1777615202</v>
      </c>
      <c r="B979" t="s">
        <v>72</v>
      </c>
      <c r="C979" t="s">
        <v>73</v>
      </c>
      <c r="D979">
        <v>4601.49</v>
      </c>
      <c r="E979">
        <v>4518.5928199999998</v>
      </c>
      <c r="F979">
        <v>4596.0559499999999</v>
      </c>
      <c r="G979">
        <v>4755.40355</v>
      </c>
      <c r="H979">
        <v>4792.7697200000002</v>
      </c>
      <c r="Q979">
        <v>4556.1885400000001</v>
      </c>
      <c r="R979">
        <v>4585.5518300000003</v>
      </c>
      <c r="S979">
        <v>4612.1406100000004</v>
      </c>
      <c r="V979">
        <v>4521.2487700000001</v>
      </c>
      <c r="W979">
        <v>4487.6837699999996</v>
      </c>
      <c r="AB979">
        <v>4602.3359200000004</v>
      </c>
      <c r="AC979">
        <v>4604.7806</v>
      </c>
      <c r="AD979">
        <v>0</v>
      </c>
      <c r="AK979">
        <v>977</v>
      </c>
      <c r="AL979">
        <v>976</v>
      </c>
      <c r="AM979">
        <v>4601.49</v>
      </c>
      <c r="AN979">
        <v>4556.1885000000002</v>
      </c>
      <c r="AO979">
        <v>45.301499999999997</v>
      </c>
      <c r="AP979">
        <v>2052.2222999999999</v>
      </c>
      <c r="AQ979">
        <v>2.1387109999999998</v>
      </c>
      <c r="AR979">
        <v>2.7555160000000001</v>
      </c>
      <c r="AY979">
        <v>977</v>
      </c>
      <c r="AZ979">
        <v>976</v>
      </c>
      <c r="BA979">
        <v>4601.49</v>
      </c>
      <c r="BB979">
        <v>4556.1885000000002</v>
      </c>
      <c r="BC979">
        <v>45.301499999999997</v>
      </c>
      <c r="BD979">
        <v>2052.2222999999999</v>
      </c>
      <c r="BE979">
        <v>952576</v>
      </c>
    </row>
    <row r="980" spans="1:57" x14ac:dyDescent="0.55000000000000004">
      <c r="A980">
        <v>1777616102</v>
      </c>
      <c r="B980" t="s">
        <v>72</v>
      </c>
      <c r="C980" t="s">
        <v>73</v>
      </c>
      <c r="D980">
        <v>4593.4399999999996</v>
      </c>
      <c r="E980">
        <v>4518.5928199999998</v>
      </c>
      <c r="F980">
        <v>4596.0559499999999</v>
      </c>
      <c r="G980">
        <v>4755.40355</v>
      </c>
      <c r="H980">
        <v>4792.7697200000002</v>
      </c>
      <c r="Q980">
        <v>4555.9209300000002</v>
      </c>
      <c r="R980">
        <v>4585.2842300000002</v>
      </c>
      <c r="S980">
        <v>4611.8729999999996</v>
      </c>
      <c r="V980">
        <v>4520.9811600000003</v>
      </c>
      <c r="W980">
        <v>4487.4161700000004</v>
      </c>
      <c r="AB980">
        <v>4599.7534699999997</v>
      </c>
      <c r="AC980">
        <v>4602.26703</v>
      </c>
      <c r="AD980">
        <v>0</v>
      </c>
      <c r="AK980">
        <v>978</v>
      </c>
      <c r="AL980">
        <v>977</v>
      </c>
      <c r="AM980">
        <v>4593.4399999999996</v>
      </c>
      <c r="AN980">
        <v>4555.9209000000001</v>
      </c>
      <c r="AO980">
        <v>37.519100000000002</v>
      </c>
      <c r="AP980">
        <v>1407.6805999999999</v>
      </c>
      <c r="AQ980">
        <v>1.214987</v>
      </c>
      <c r="AR980">
        <v>1.29647</v>
      </c>
      <c r="AY980">
        <v>978</v>
      </c>
      <c r="AZ980">
        <v>977</v>
      </c>
      <c r="BA980">
        <v>4593.4399999999996</v>
      </c>
      <c r="BB980">
        <v>4555.9209000000001</v>
      </c>
      <c r="BC980">
        <v>37.519100000000002</v>
      </c>
      <c r="BD980">
        <v>1407.6805999999999</v>
      </c>
      <c r="BE980">
        <v>954529</v>
      </c>
    </row>
    <row r="981" spans="1:57" x14ac:dyDescent="0.55000000000000004">
      <c r="A981">
        <v>1777617002</v>
      </c>
      <c r="B981" t="s">
        <v>72</v>
      </c>
      <c r="C981" t="s">
        <v>73</v>
      </c>
      <c r="D981">
        <v>4593.3599999999997</v>
      </c>
      <c r="E981">
        <v>4518.5928199999998</v>
      </c>
      <c r="F981">
        <v>4596.0559499999999</v>
      </c>
      <c r="G981">
        <v>4755.40355</v>
      </c>
      <c r="H981">
        <v>4792.7697200000002</v>
      </c>
      <c r="Q981">
        <v>4555.6533300000001</v>
      </c>
      <c r="R981">
        <v>4585.0166300000001</v>
      </c>
      <c r="S981">
        <v>4611.6054000000004</v>
      </c>
      <c r="V981">
        <v>4520.7135600000001</v>
      </c>
      <c r="W981">
        <v>4487.1485599999996</v>
      </c>
      <c r="AB981">
        <v>4597.1360299999997</v>
      </c>
      <c r="AC981">
        <v>4599.7015300000003</v>
      </c>
      <c r="AD981">
        <v>0</v>
      </c>
      <c r="AK981">
        <v>979</v>
      </c>
      <c r="AL981">
        <v>978</v>
      </c>
      <c r="AM981">
        <v>4593.3599999999997</v>
      </c>
      <c r="AN981">
        <v>4555.6532999999999</v>
      </c>
      <c r="AO981">
        <v>37.706699999999998</v>
      </c>
      <c r="AP981">
        <v>1421.7929999999999</v>
      </c>
      <c r="AQ981">
        <v>1.233304</v>
      </c>
      <c r="AR981">
        <v>1.322595</v>
      </c>
      <c r="AY981">
        <v>979</v>
      </c>
      <c r="AZ981">
        <v>978</v>
      </c>
      <c r="BA981">
        <v>4593.3599999999997</v>
      </c>
      <c r="BB981">
        <v>4555.6532999999999</v>
      </c>
      <c r="BC981">
        <v>37.706699999999998</v>
      </c>
      <c r="BD981">
        <v>1421.7929999999999</v>
      </c>
      <c r="BE981">
        <v>956484</v>
      </c>
    </row>
    <row r="982" spans="1:57" x14ac:dyDescent="0.55000000000000004">
      <c r="A982">
        <v>1777617902</v>
      </c>
      <c r="B982" t="s">
        <v>72</v>
      </c>
      <c r="C982" t="s">
        <v>73</v>
      </c>
      <c r="D982">
        <v>4594.7700000000004</v>
      </c>
      <c r="E982">
        <v>4518.5928199999998</v>
      </c>
      <c r="F982">
        <v>4596.0559499999999</v>
      </c>
      <c r="G982">
        <v>4755.40355</v>
      </c>
      <c r="H982">
        <v>4792.7697200000002</v>
      </c>
      <c r="Q982">
        <v>4555.3857200000002</v>
      </c>
      <c r="R982">
        <v>4584.7490200000002</v>
      </c>
      <c r="S982">
        <v>4611.3377899999996</v>
      </c>
      <c r="V982">
        <v>4520.4459500000003</v>
      </c>
      <c r="W982">
        <v>4486.8809600000004</v>
      </c>
      <c r="AB982">
        <v>4594.2933800000001</v>
      </c>
      <c r="AC982">
        <v>4596.9974499999998</v>
      </c>
      <c r="AD982">
        <v>0</v>
      </c>
      <c r="AK982">
        <v>980</v>
      </c>
      <c r="AL982">
        <v>979</v>
      </c>
      <c r="AM982">
        <v>4594.7700000000004</v>
      </c>
      <c r="AN982">
        <v>4555.3856999999998</v>
      </c>
      <c r="AO982">
        <v>39.384300000000003</v>
      </c>
      <c r="AP982">
        <v>1551.1215</v>
      </c>
      <c r="AQ982">
        <v>1.405349</v>
      </c>
      <c r="AR982">
        <v>1.574149</v>
      </c>
      <c r="AY982">
        <v>980</v>
      </c>
      <c r="AZ982">
        <v>979</v>
      </c>
      <c r="BA982">
        <v>4594.7700000000004</v>
      </c>
      <c r="BB982">
        <v>4555.3856999999998</v>
      </c>
      <c r="BC982">
        <v>39.384300000000003</v>
      </c>
      <c r="BD982">
        <v>1551.1215</v>
      </c>
      <c r="BE982">
        <v>958441</v>
      </c>
    </row>
    <row r="983" spans="1:57" x14ac:dyDescent="0.55000000000000004">
      <c r="A983">
        <v>1777618802</v>
      </c>
      <c r="B983" t="s">
        <v>72</v>
      </c>
      <c r="C983" t="s">
        <v>73</v>
      </c>
      <c r="D983">
        <v>4595.97</v>
      </c>
      <c r="E983">
        <v>4518.5928199999998</v>
      </c>
      <c r="F983">
        <v>4596.0559499999999</v>
      </c>
      <c r="G983">
        <v>4755.40355</v>
      </c>
      <c r="H983">
        <v>4792.7697200000002</v>
      </c>
      <c r="Q983">
        <v>4555.1181200000001</v>
      </c>
      <c r="R983">
        <v>4584.4814200000001</v>
      </c>
      <c r="S983">
        <v>4611.0701900000004</v>
      </c>
      <c r="V983">
        <v>4520.1783500000001</v>
      </c>
      <c r="W983">
        <v>4486.6133499999996</v>
      </c>
      <c r="AB983">
        <v>4591.0964899999999</v>
      </c>
      <c r="AC983">
        <v>4594.0469700000003</v>
      </c>
      <c r="AD983">
        <v>0</v>
      </c>
      <c r="AK983">
        <v>981</v>
      </c>
      <c r="AL983">
        <v>980</v>
      </c>
      <c r="AM983">
        <v>4595.97</v>
      </c>
      <c r="AN983">
        <v>4555.1180999999997</v>
      </c>
      <c r="AO983">
        <v>40.851900000000001</v>
      </c>
      <c r="AP983">
        <v>1668.8761</v>
      </c>
      <c r="AQ983">
        <v>1.5683819999999999</v>
      </c>
      <c r="AR983">
        <v>1.8222259999999999</v>
      </c>
      <c r="AY983">
        <v>981</v>
      </c>
      <c r="AZ983">
        <v>980</v>
      </c>
      <c r="BA983">
        <v>4595.97</v>
      </c>
      <c r="BB983">
        <v>4555.1180999999997</v>
      </c>
      <c r="BC983">
        <v>40.851900000000001</v>
      </c>
      <c r="BD983">
        <v>1668.8761</v>
      </c>
      <c r="BE983">
        <v>960400</v>
      </c>
    </row>
    <row r="984" spans="1:57" x14ac:dyDescent="0.55000000000000004">
      <c r="A984">
        <v>1777619702</v>
      </c>
      <c r="B984" t="s">
        <v>72</v>
      </c>
      <c r="C984" t="s">
        <v>73</v>
      </c>
      <c r="D984">
        <v>4592.32</v>
      </c>
      <c r="E984">
        <v>4518.5928199999998</v>
      </c>
      <c r="F984">
        <v>4596.0559499999999</v>
      </c>
      <c r="G984">
        <v>4755.40355</v>
      </c>
      <c r="H984">
        <v>4792.7697200000002</v>
      </c>
      <c r="Q984">
        <v>4554.85052</v>
      </c>
      <c r="R984">
        <v>4584.2138100000002</v>
      </c>
      <c r="S984">
        <v>4610.8025900000002</v>
      </c>
      <c r="V984">
        <v>4519.91075</v>
      </c>
      <c r="W984">
        <v>4486.3457500000004</v>
      </c>
      <c r="AB984">
        <v>4587.4814200000001</v>
      </c>
      <c r="AC984">
        <v>4590.7641999999996</v>
      </c>
      <c r="AD984">
        <v>0</v>
      </c>
      <c r="AK984">
        <v>982</v>
      </c>
      <c r="AL984">
        <v>981</v>
      </c>
      <c r="AM984">
        <v>4592.32</v>
      </c>
      <c r="AN984">
        <v>4554.8504999999996</v>
      </c>
      <c r="AO984">
        <v>37.469499999999996</v>
      </c>
      <c r="AP984">
        <v>1403.9619</v>
      </c>
      <c r="AQ984">
        <v>1.2101759999999999</v>
      </c>
      <c r="AR984">
        <v>1.2896289999999999</v>
      </c>
      <c r="AY984">
        <v>982</v>
      </c>
      <c r="AZ984">
        <v>981</v>
      </c>
      <c r="BA984">
        <v>4592.32</v>
      </c>
      <c r="BB984">
        <v>4554.8504999999996</v>
      </c>
      <c r="BC984">
        <v>37.469499999999996</v>
      </c>
      <c r="BD984">
        <v>1403.9619</v>
      </c>
      <c r="BE984">
        <v>962361</v>
      </c>
    </row>
    <row r="985" spans="1:57" x14ac:dyDescent="0.55000000000000004">
      <c r="A985">
        <v>1777620602</v>
      </c>
      <c r="B985" t="s">
        <v>72</v>
      </c>
      <c r="C985" t="s">
        <v>73</v>
      </c>
      <c r="D985">
        <v>4585.41</v>
      </c>
      <c r="E985">
        <v>4518.5928199999998</v>
      </c>
      <c r="F985">
        <v>4596.0559499999999</v>
      </c>
      <c r="G985">
        <v>4755.40355</v>
      </c>
      <c r="H985">
        <v>4792.7697200000002</v>
      </c>
      <c r="Q985">
        <v>4554.5829100000001</v>
      </c>
      <c r="R985">
        <v>4583.9462100000001</v>
      </c>
      <c r="S985">
        <v>4610.5349800000004</v>
      </c>
      <c r="V985">
        <v>4519.6431400000001</v>
      </c>
      <c r="W985">
        <v>4486.0781500000003</v>
      </c>
      <c r="AB985">
        <v>4583.5784700000004</v>
      </c>
      <c r="AC985">
        <v>4587.1713300000001</v>
      </c>
      <c r="AD985">
        <v>0</v>
      </c>
      <c r="AK985">
        <v>983</v>
      </c>
      <c r="AL985">
        <v>982</v>
      </c>
      <c r="AM985">
        <v>4585.41</v>
      </c>
      <c r="AN985">
        <v>4554.5829000000003</v>
      </c>
      <c r="AO985">
        <v>30.827100000000002</v>
      </c>
      <c r="AP985">
        <v>950.30949999999996</v>
      </c>
      <c r="AQ985">
        <v>0.67392700000000005</v>
      </c>
      <c r="AR985">
        <v>0.59086000000000005</v>
      </c>
      <c r="AY985">
        <v>983</v>
      </c>
      <c r="AZ985">
        <v>982</v>
      </c>
      <c r="BA985">
        <v>4585.41</v>
      </c>
      <c r="BB985">
        <v>4554.5829000000003</v>
      </c>
      <c r="BC985">
        <v>30.827100000000002</v>
      </c>
      <c r="BD985">
        <v>950.30949999999996</v>
      </c>
      <c r="BE985">
        <v>964324</v>
      </c>
    </row>
    <row r="986" spans="1:57" x14ac:dyDescent="0.55000000000000004">
      <c r="A986">
        <v>1777621502</v>
      </c>
      <c r="B986" t="s">
        <v>72</v>
      </c>
      <c r="C986" t="s">
        <v>73</v>
      </c>
      <c r="D986">
        <v>4578.16</v>
      </c>
      <c r="E986">
        <v>4518.5928199999998</v>
      </c>
      <c r="F986">
        <v>4596.0559499999999</v>
      </c>
      <c r="G986">
        <v>4755.40355</v>
      </c>
      <c r="H986">
        <v>4792.7697200000002</v>
      </c>
      <c r="Q986">
        <v>4554.31531</v>
      </c>
      <c r="R986">
        <v>4583.6786099999999</v>
      </c>
      <c r="S986">
        <v>4610.2673800000002</v>
      </c>
      <c r="V986">
        <v>4519.37554</v>
      </c>
      <c r="W986">
        <v>4485.8105400000004</v>
      </c>
      <c r="AB986">
        <v>4579.6577900000002</v>
      </c>
      <c r="AC986">
        <v>4583.4145600000002</v>
      </c>
      <c r="AD986">
        <v>0</v>
      </c>
      <c r="AK986">
        <v>984</v>
      </c>
      <c r="AL986">
        <v>983</v>
      </c>
      <c r="AM986">
        <v>4578.16</v>
      </c>
      <c r="AN986">
        <v>4554.3153000000002</v>
      </c>
      <c r="AO986">
        <v>23.8447</v>
      </c>
      <c r="AP986">
        <v>568.56920000000002</v>
      </c>
      <c r="AQ986">
        <v>0.31188199999999999</v>
      </c>
      <c r="AR986">
        <v>0.211505</v>
      </c>
      <c r="AY986">
        <v>984</v>
      </c>
      <c r="AZ986">
        <v>983</v>
      </c>
      <c r="BA986">
        <v>4578.16</v>
      </c>
      <c r="BB986">
        <v>4554.3153000000002</v>
      </c>
      <c r="BC986">
        <v>23.8447</v>
      </c>
      <c r="BD986">
        <v>568.56920000000002</v>
      </c>
      <c r="BE986">
        <v>966289</v>
      </c>
    </row>
    <row r="987" spans="1:57" x14ac:dyDescent="0.55000000000000004">
      <c r="A987">
        <v>1777622402</v>
      </c>
      <c r="B987" t="s">
        <v>72</v>
      </c>
      <c r="C987" t="s">
        <v>73</v>
      </c>
      <c r="D987">
        <v>4574.0600000000004</v>
      </c>
      <c r="E987">
        <v>4518.5928199999998</v>
      </c>
      <c r="F987">
        <v>4596.0559499999999</v>
      </c>
      <c r="G987">
        <v>4755.40355</v>
      </c>
      <c r="H987">
        <v>4792.7697200000002</v>
      </c>
      <c r="Q987">
        <v>4554.0477000000001</v>
      </c>
      <c r="R987">
        <v>4583.4110000000001</v>
      </c>
      <c r="S987">
        <v>4609.9997700000004</v>
      </c>
      <c r="V987">
        <v>4519.1079300000001</v>
      </c>
      <c r="W987">
        <v>4485.5429400000003</v>
      </c>
      <c r="AB987">
        <v>4576.0184799999997</v>
      </c>
      <c r="AC987">
        <v>4579.7165199999999</v>
      </c>
      <c r="AD987">
        <v>0</v>
      </c>
      <c r="AK987">
        <v>985</v>
      </c>
      <c r="AL987">
        <v>984</v>
      </c>
      <c r="AM987">
        <v>4574.0600000000004</v>
      </c>
      <c r="AN987">
        <v>4554.0477000000001</v>
      </c>
      <c r="AO987">
        <v>20.0123</v>
      </c>
      <c r="AP987">
        <v>400.49220000000003</v>
      </c>
      <c r="AQ987">
        <v>0.18437700000000001</v>
      </c>
      <c r="AR987">
        <v>0.10494000000000001</v>
      </c>
      <c r="AY987">
        <v>985</v>
      </c>
      <c r="AZ987">
        <v>984</v>
      </c>
      <c r="BA987">
        <v>4574.0600000000004</v>
      </c>
      <c r="BB987">
        <v>4554.0477000000001</v>
      </c>
      <c r="BC987">
        <v>20.0123</v>
      </c>
      <c r="BD987">
        <v>400.49220000000003</v>
      </c>
      <c r="BE987">
        <v>968256</v>
      </c>
    </row>
    <row r="988" spans="1:57" x14ac:dyDescent="0.55000000000000004">
      <c r="A988">
        <v>1777623302</v>
      </c>
      <c r="B988" t="s">
        <v>72</v>
      </c>
      <c r="C988" t="s">
        <v>73</v>
      </c>
      <c r="D988">
        <v>4567.37</v>
      </c>
      <c r="E988">
        <v>4518.5928199999998</v>
      </c>
      <c r="F988">
        <v>4596.0559499999999</v>
      </c>
      <c r="G988">
        <v>4755.40355</v>
      </c>
      <c r="H988">
        <v>4792.7697200000002</v>
      </c>
      <c r="Q988">
        <v>4553.7800999999999</v>
      </c>
      <c r="R988">
        <v>4583.1433999999999</v>
      </c>
      <c r="S988">
        <v>4609.7321700000002</v>
      </c>
      <c r="V988">
        <v>4518.84033</v>
      </c>
      <c r="W988">
        <v>4485.2753300000004</v>
      </c>
      <c r="AB988">
        <v>4572.8526899999997</v>
      </c>
      <c r="AC988">
        <v>4576.2846</v>
      </c>
      <c r="AD988">
        <v>0</v>
      </c>
      <c r="AK988">
        <v>986</v>
      </c>
      <c r="AL988">
        <v>985</v>
      </c>
      <c r="AM988">
        <v>4567.37</v>
      </c>
      <c r="AN988">
        <v>4553.7800999999999</v>
      </c>
      <c r="AO988">
        <v>13.5899</v>
      </c>
      <c r="AP988">
        <v>184.68539999999999</v>
      </c>
      <c r="AQ988">
        <v>5.7737999999999998E-2</v>
      </c>
      <c r="AR988">
        <v>2.2315999999999999E-2</v>
      </c>
      <c r="AY988">
        <v>986</v>
      </c>
      <c r="AZ988">
        <v>985</v>
      </c>
      <c r="BA988">
        <v>4567.37</v>
      </c>
      <c r="BB988">
        <v>4553.7800999999999</v>
      </c>
      <c r="BC988">
        <v>13.5899</v>
      </c>
      <c r="BD988">
        <v>184.68539999999999</v>
      </c>
      <c r="BE988">
        <v>970225</v>
      </c>
    </row>
    <row r="989" spans="1:57" x14ac:dyDescent="0.55000000000000004">
      <c r="A989">
        <v>1777624202</v>
      </c>
      <c r="B989" t="s">
        <v>72</v>
      </c>
      <c r="C989" t="s">
        <v>73</v>
      </c>
      <c r="D989">
        <v>4571.29</v>
      </c>
      <c r="E989">
        <v>4518.5928199999998</v>
      </c>
      <c r="F989">
        <v>4596.0559499999999</v>
      </c>
      <c r="G989">
        <v>4755.40355</v>
      </c>
      <c r="H989">
        <v>4792.7697200000002</v>
      </c>
      <c r="Q989">
        <v>4553.5124999999998</v>
      </c>
      <c r="R989">
        <v>4582.8757900000001</v>
      </c>
      <c r="S989">
        <v>4609.4645600000003</v>
      </c>
      <c r="V989">
        <v>4518.5727299999999</v>
      </c>
      <c r="W989">
        <v>4485.0077300000003</v>
      </c>
      <c r="AB989">
        <v>4570.3896599999998</v>
      </c>
      <c r="AC989">
        <v>4573.3371299999999</v>
      </c>
      <c r="AD989">
        <v>0</v>
      </c>
      <c r="AK989">
        <v>987</v>
      </c>
      <c r="AL989">
        <v>986</v>
      </c>
      <c r="AM989">
        <v>4571.29</v>
      </c>
      <c r="AN989">
        <v>4553.5124999999998</v>
      </c>
      <c r="AO989">
        <v>17.7775</v>
      </c>
      <c r="AP989">
        <v>316.03949999999998</v>
      </c>
      <c r="AQ989">
        <v>0.129249</v>
      </c>
      <c r="AR989">
        <v>6.5349000000000004E-2</v>
      </c>
      <c r="AY989">
        <v>987</v>
      </c>
      <c r="AZ989">
        <v>986</v>
      </c>
      <c r="BA989">
        <v>4571.29</v>
      </c>
      <c r="BB989">
        <v>4553.5124999999998</v>
      </c>
      <c r="BC989">
        <v>17.7775</v>
      </c>
      <c r="BD989">
        <v>316.03949999999998</v>
      </c>
      <c r="BE989">
        <v>972196</v>
      </c>
    </row>
    <row r="990" spans="1:57" x14ac:dyDescent="0.55000000000000004">
      <c r="A990">
        <v>1777625102</v>
      </c>
      <c r="B990" t="s">
        <v>72</v>
      </c>
      <c r="C990" t="s">
        <v>73</v>
      </c>
      <c r="D990">
        <v>4568.51</v>
      </c>
      <c r="E990">
        <v>4518.5928199999998</v>
      </c>
      <c r="F990">
        <v>4596.0559499999999</v>
      </c>
      <c r="G990">
        <v>4755.40355</v>
      </c>
      <c r="H990">
        <v>4792.7697200000002</v>
      </c>
      <c r="Q990">
        <v>4553.2448899999999</v>
      </c>
      <c r="R990">
        <v>4582.6081899999999</v>
      </c>
      <c r="S990">
        <v>4609.1969600000002</v>
      </c>
      <c r="V990">
        <v>4518.30512</v>
      </c>
      <c r="W990">
        <v>4484.7401200000004</v>
      </c>
      <c r="AB990">
        <v>4568.5133100000003</v>
      </c>
      <c r="AC990">
        <v>4570.9252200000001</v>
      </c>
      <c r="AD990">
        <v>0</v>
      </c>
      <c r="AK990">
        <v>988</v>
      </c>
      <c r="AL990">
        <v>987</v>
      </c>
      <c r="AM990">
        <v>4568.51</v>
      </c>
      <c r="AN990">
        <v>4553.2448999999997</v>
      </c>
      <c r="AO990">
        <v>15.2651</v>
      </c>
      <c r="AP990">
        <v>233.02359999999999</v>
      </c>
      <c r="AQ990">
        <v>8.1831000000000001E-2</v>
      </c>
      <c r="AR990">
        <v>3.5527000000000003E-2</v>
      </c>
      <c r="AY990">
        <v>988</v>
      </c>
      <c r="AZ990">
        <v>987</v>
      </c>
      <c r="BA990">
        <v>4568.51</v>
      </c>
      <c r="BB990">
        <v>4553.2448999999997</v>
      </c>
      <c r="BC990">
        <v>15.2651</v>
      </c>
      <c r="BD990">
        <v>233.02359999999999</v>
      </c>
      <c r="BE990">
        <v>974169</v>
      </c>
    </row>
    <row r="991" spans="1:57" x14ac:dyDescent="0.55000000000000004">
      <c r="A991">
        <v>1777626002</v>
      </c>
      <c r="B991" t="s">
        <v>72</v>
      </c>
      <c r="C991" t="s">
        <v>73</v>
      </c>
      <c r="D991">
        <v>4565.87</v>
      </c>
      <c r="E991">
        <v>4518.5928199999998</v>
      </c>
      <c r="F991">
        <v>4596.0559499999999</v>
      </c>
      <c r="G991">
        <v>4755.40355</v>
      </c>
      <c r="H991">
        <v>4792.7697200000002</v>
      </c>
      <c r="Q991">
        <v>4552.9772899999998</v>
      </c>
      <c r="R991">
        <v>4582.3405899999998</v>
      </c>
      <c r="S991">
        <v>4608.9293600000001</v>
      </c>
      <c r="V991">
        <v>4518.0375199999999</v>
      </c>
      <c r="W991">
        <v>4484.4725200000003</v>
      </c>
      <c r="AB991">
        <v>4567.2565500000001</v>
      </c>
      <c r="AC991">
        <v>4569.0908799999997</v>
      </c>
      <c r="AD991">
        <v>0</v>
      </c>
      <c r="AK991">
        <v>989</v>
      </c>
      <c r="AL991">
        <v>988</v>
      </c>
      <c r="AM991">
        <v>4565.87</v>
      </c>
      <c r="AN991">
        <v>4552.9772999999996</v>
      </c>
      <c r="AO991">
        <v>12.8927</v>
      </c>
      <c r="AP991">
        <v>166.22200000000001</v>
      </c>
      <c r="AQ991">
        <v>4.9299999999999997E-2</v>
      </c>
      <c r="AR991">
        <v>1.8076999999999999E-2</v>
      </c>
      <c r="AY991">
        <v>989</v>
      </c>
      <c r="AZ991">
        <v>988</v>
      </c>
      <c r="BA991">
        <v>4565.87</v>
      </c>
      <c r="BB991">
        <v>4552.9772999999996</v>
      </c>
      <c r="BC991">
        <v>12.8927</v>
      </c>
      <c r="BD991">
        <v>166.22200000000001</v>
      </c>
      <c r="BE991">
        <v>976144</v>
      </c>
    </row>
    <row r="992" spans="1:57" x14ac:dyDescent="0.55000000000000004">
      <c r="A992">
        <v>1777626902</v>
      </c>
      <c r="B992" t="s">
        <v>72</v>
      </c>
      <c r="C992" t="s">
        <v>73</v>
      </c>
      <c r="D992">
        <v>4569.29</v>
      </c>
      <c r="E992">
        <v>4518.5928199999998</v>
      </c>
      <c r="F992">
        <v>4596.0559499999999</v>
      </c>
      <c r="G992">
        <v>4755.40355</v>
      </c>
      <c r="H992">
        <v>4792.7697200000002</v>
      </c>
      <c r="Q992">
        <v>4552.7096799999999</v>
      </c>
      <c r="R992">
        <v>4582.0729799999999</v>
      </c>
      <c r="S992">
        <v>4608.6617500000002</v>
      </c>
      <c r="V992">
        <v>4517.76991</v>
      </c>
      <c r="W992">
        <v>4484.2049200000001</v>
      </c>
      <c r="AB992">
        <v>4566.6020099999996</v>
      </c>
      <c r="AC992">
        <v>4567.84645</v>
      </c>
      <c r="AD992">
        <v>0</v>
      </c>
      <c r="AK992">
        <v>990</v>
      </c>
      <c r="AL992">
        <v>989</v>
      </c>
      <c r="AM992">
        <v>4569.29</v>
      </c>
      <c r="AN992">
        <v>4552.7097000000003</v>
      </c>
      <c r="AO992">
        <v>16.580300000000001</v>
      </c>
      <c r="AP992">
        <v>274.90699999999998</v>
      </c>
      <c r="AQ992">
        <v>0.104856</v>
      </c>
      <c r="AR992">
        <v>4.9445000000000003E-2</v>
      </c>
      <c r="AY992">
        <v>990</v>
      </c>
      <c r="AZ992">
        <v>989</v>
      </c>
      <c r="BA992">
        <v>4569.29</v>
      </c>
      <c r="BB992">
        <v>4552.7097000000003</v>
      </c>
      <c r="BC992">
        <v>16.580300000000001</v>
      </c>
      <c r="BD992">
        <v>274.90699999999998</v>
      </c>
      <c r="BE992">
        <v>978121</v>
      </c>
    </row>
    <row r="993" spans="1:57" x14ac:dyDescent="0.55000000000000004">
      <c r="A993">
        <v>1777627802</v>
      </c>
      <c r="B993" t="s">
        <v>72</v>
      </c>
      <c r="C993" t="s">
        <v>73</v>
      </c>
      <c r="D993">
        <v>4570.62</v>
      </c>
      <c r="E993">
        <v>4518.5928199999998</v>
      </c>
      <c r="F993">
        <v>4596.0559499999999</v>
      </c>
      <c r="G993">
        <v>4755.40355</v>
      </c>
      <c r="H993">
        <v>4792.7697200000002</v>
      </c>
      <c r="Q993">
        <v>4552.4420799999998</v>
      </c>
      <c r="R993">
        <v>4581.8053799999998</v>
      </c>
      <c r="S993">
        <v>4608.3941500000001</v>
      </c>
      <c r="V993">
        <v>4517.5023099999999</v>
      </c>
      <c r="W993">
        <v>4483.9373100000003</v>
      </c>
      <c r="AB993">
        <v>4566.3613500000001</v>
      </c>
      <c r="AC993">
        <v>4567.1039000000001</v>
      </c>
      <c r="AD993">
        <v>0</v>
      </c>
      <c r="AK993">
        <v>991</v>
      </c>
      <c r="AL993">
        <v>990</v>
      </c>
      <c r="AM993">
        <v>4570.62</v>
      </c>
      <c r="AN993">
        <v>4552.4421000000002</v>
      </c>
      <c r="AO993">
        <v>18.177900000000001</v>
      </c>
      <c r="AP993">
        <v>330.43680000000001</v>
      </c>
      <c r="AQ993">
        <v>0.138181</v>
      </c>
      <c r="AR993">
        <v>7.1438000000000001E-2</v>
      </c>
      <c r="AY993">
        <v>991</v>
      </c>
      <c r="AZ993">
        <v>990</v>
      </c>
      <c r="BA993">
        <v>4570.62</v>
      </c>
      <c r="BB993">
        <v>4552.4421000000002</v>
      </c>
      <c r="BC993">
        <v>18.177900000000001</v>
      </c>
      <c r="BD993">
        <v>330.43680000000001</v>
      </c>
      <c r="BE993">
        <v>980100</v>
      </c>
    </row>
    <row r="994" spans="1:57" x14ac:dyDescent="0.55000000000000004">
      <c r="A994">
        <v>1777628702</v>
      </c>
      <c r="B994" t="s">
        <v>72</v>
      </c>
      <c r="C994" t="s">
        <v>73</v>
      </c>
      <c r="D994">
        <v>4563.12</v>
      </c>
      <c r="E994">
        <v>4518.5928199999998</v>
      </c>
      <c r="F994">
        <v>4596.0559499999999</v>
      </c>
      <c r="G994">
        <v>4755.40355</v>
      </c>
      <c r="H994">
        <v>4792.7697200000002</v>
      </c>
      <c r="Q994">
        <v>4552.1744699999999</v>
      </c>
      <c r="R994">
        <v>4581.5377699999999</v>
      </c>
      <c r="S994">
        <v>4608.1265400000002</v>
      </c>
      <c r="V994">
        <v>4517.2347</v>
      </c>
      <c r="W994">
        <v>4483.6697100000001</v>
      </c>
      <c r="AA994">
        <v>4560.4399999999996</v>
      </c>
      <c r="AB994">
        <v>4566.4096099999997</v>
      </c>
      <c r="AC994">
        <v>4566.7567600000002</v>
      </c>
      <c r="AD994">
        <v>0</v>
      </c>
      <c r="AK994">
        <v>992</v>
      </c>
      <c r="AL994">
        <v>991</v>
      </c>
      <c r="AM994">
        <v>4563.12</v>
      </c>
      <c r="AN994">
        <v>4552.1745000000001</v>
      </c>
      <c r="AO994">
        <v>10.945499999999999</v>
      </c>
      <c r="AP994">
        <v>119.80459999999999</v>
      </c>
      <c r="AQ994">
        <v>3.0166999999999999E-2</v>
      </c>
      <c r="AR994">
        <v>9.391E-3</v>
      </c>
      <c r="AY994">
        <v>992</v>
      </c>
      <c r="AZ994">
        <v>991</v>
      </c>
      <c r="BA994">
        <v>4563.12</v>
      </c>
      <c r="BB994">
        <v>4552.1745000000001</v>
      </c>
      <c r="BC994">
        <v>10.945499999999999</v>
      </c>
      <c r="BD994">
        <v>119.80459999999999</v>
      </c>
      <c r="BE994">
        <v>982081</v>
      </c>
    </row>
    <row r="995" spans="1:57" x14ac:dyDescent="0.55000000000000004">
      <c r="A995">
        <v>1777629602</v>
      </c>
      <c r="B995" t="s">
        <v>72</v>
      </c>
      <c r="C995" t="s">
        <v>73</v>
      </c>
      <c r="D995">
        <v>4566.78</v>
      </c>
      <c r="E995">
        <v>4518.5928199999998</v>
      </c>
      <c r="F995">
        <v>4596.0559499999999</v>
      </c>
      <c r="G995">
        <v>4755.40355</v>
      </c>
      <c r="H995">
        <v>4792.7697200000002</v>
      </c>
      <c r="Q995">
        <v>4551.9068699999998</v>
      </c>
      <c r="R995">
        <v>4581.2701699999998</v>
      </c>
      <c r="S995">
        <v>4607.8589400000001</v>
      </c>
      <c r="V995">
        <v>4516.9670999999998</v>
      </c>
      <c r="W995">
        <v>4483.4021000000002</v>
      </c>
      <c r="AB995">
        <v>4566.9336300000004</v>
      </c>
      <c r="AC995">
        <v>4566.84519</v>
      </c>
      <c r="AD995">
        <v>1</v>
      </c>
      <c r="AK995">
        <v>993</v>
      </c>
      <c r="AL995">
        <v>992</v>
      </c>
      <c r="AM995">
        <v>4566.78</v>
      </c>
      <c r="AN995">
        <v>4551.9069</v>
      </c>
      <c r="AO995">
        <v>14.873100000000001</v>
      </c>
      <c r="AP995">
        <v>221.21</v>
      </c>
      <c r="AQ995">
        <v>7.5687000000000004E-2</v>
      </c>
      <c r="AR995">
        <v>3.2016000000000003E-2</v>
      </c>
      <c r="AY995">
        <v>993</v>
      </c>
      <c r="AZ995">
        <v>992</v>
      </c>
      <c r="BA995">
        <v>4566.78</v>
      </c>
      <c r="BB995">
        <v>4551.9069</v>
      </c>
      <c r="BC995">
        <v>14.873100000000001</v>
      </c>
      <c r="BD995">
        <v>221.21</v>
      </c>
      <c r="BE995">
        <v>984064</v>
      </c>
    </row>
    <row r="996" spans="1:57" x14ac:dyDescent="0.55000000000000004">
      <c r="A996">
        <v>1777630502</v>
      </c>
      <c r="B996" t="s">
        <v>72</v>
      </c>
      <c r="C996" t="s">
        <v>73</v>
      </c>
      <c r="D996">
        <v>4572.18</v>
      </c>
      <c r="E996">
        <v>4518.5928199999998</v>
      </c>
      <c r="F996">
        <v>4596.0559499999999</v>
      </c>
      <c r="G996">
        <v>4755.40355</v>
      </c>
      <c r="H996">
        <v>4792.7697200000002</v>
      </c>
      <c r="Q996">
        <v>4551.6392699999997</v>
      </c>
      <c r="R996">
        <v>4581.0025699999997</v>
      </c>
      <c r="S996">
        <v>4607.5913399999999</v>
      </c>
      <c r="V996">
        <v>4516.6994999999997</v>
      </c>
      <c r="W996">
        <v>4483.1345000000001</v>
      </c>
      <c r="AB996">
        <v>4567.8218399999996</v>
      </c>
      <c r="AC996">
        <v>4567.3335200000001</v>
      </c>
      <c r="AD996">
        <v>0</v>
      </c>
      <c r="AK996">
        <v>994</v>
      </c>
      <c r="AL996">
        <v>993</v>
      </c>
      <c r="AM996">
        <v>4572.18</v>
      </c>
      <c r="AN996">
        <v>4551.6392999999998</v>
      </c>
      <c r="AO996">
        <v>20.540700000000001</v>
      </c>
      <c r="AP996">
        <v>421.92160000000001</v>
      </c>
      <c r="AQ996">
        <v>0.19937199999999999</v>
      </c>
      <c r="AR996">
        <v>0.11647100000000001</v>
      </c>
      <c r="AY996">
        <v>994</v>
      </c>
      <c r="AZ996">
        <v>993</v>
      </c>
      <c r="BA996">
        <v>4572.18</v>
      </c>
      <c r="BB996">
        <v>4551.6392999999998</v>
      </c>
      <c r="BC996">
        <v>20.540700000000001</v>
      </c>
      <c r="BD996">
        <v>421.92160000000001</v>
      </c>
      <c r="BE996">
        <v>986049</v>
      </c>
    </row>
    <row r="997" spans="1:57" x14ac:dyDescent="0.55000000000000004">
      <c r="A997">
        <v>1777631402</v>
      </c>
      <c r="B997" t="s">
        <v>72</v>
      </c>
      <c r="C997" t="s">
        <v>73</v>
      </c>
      <c r="D997">
        <v>4570.49</v>
      </c>
      <c r="E997">
        <v>4518.5928199999998</v>
      </c>
      <c r="F997">
        <v>4596.0559499999999</v>
      </c>
      <c r="G997">
        <v>4755.40355</v>
      </c>
      <c r="H997">
        <v>4792.7697200000002</v>
      </c>
      <c r="Q997">
        <v>4551.3716599999998</v>
      </c>
      <c r="R997">
        <v>4580.7349599999998</v>
      </c>
      <c r="S997">
        <v>4607.3237300000001</v>
      </c>
      <c r="V997">
        <v>4516.4318899999998</v>
      </c>
      <c r="W997">
        <v>4482.8669</v>
      </c>
      <c r="AB997">
        <v>4568.9182700000001</v>
      </c>
      <c r="AC997">
        <v>4568.1258900000003</v>
      </c>
      <c r="AD997">
        <v>0</v>
      </c>
      <c r="AK997">
        <v>995</v>
      </c>
      <c r="AL997">
        <v>994</v>
      </c>
      <c r="AM997">
        <v>4570.49</v>
      </c>
      <c r="AN997">
        <v>4551.3716999999997</v>
      </c>
      <c r="AO997">
        <v>19.118300000000001</v>
      </c>
      <c r="AP997">
        <v>365.51089999999999</v>
      </c>
      <c r="AQ997">
        <v>0.16075600000000001</v>
      </c>
      <c r="AR997">
        <v>8.7409000000000001E-2</v>
      </c>
      <c r="AY997">
        <v>995</v>
      </c>
      <c r="AZ997">
        <v>994</v>
      </c>
      <c r="BA997">
        <v>4570.49</v>
      </c>
      <c r="BB997">
        <v>4551.3716999999997</v>
      </c>
      <c r="BC997">
        <v>19.118300000000001</v>
      </c>
      <c r="BD997">
        <v>365.51089999999999</v>
      </c>
      <c r="BE997">
        <v>988036</v>
      </c>
    </row>
    <row r="998" spans="1:57" x14ac:dyDescent="0.55000000000000004">
      <c r="A998">
        <v>1777632302</v>
      </c>
      <c r="B998" t="s">
        <v>72</v>
      </c>
      <c r="C998" t="s">
        <v>73</v>
      </c>
      <c r="D998">
        <v>4566.67</v>
      </c>
      <c r="E998">
        <v>4518.5928199999998</v>
      </c>
      <c r="F998">
        <v>4596.0559499999999</v>
      </c>
      <c r="G998">
        <v>4755.40355</v>
      </c>
      <c r="H998">
        <v>4792.7697200000002</v>
      </c>
      <c r="Q998">
        <v>4551.1040599999997</v>
      </c>
      <c r="R998">
        <v>4580.4673599999996</v>
      </c>
      <c r="S998">
        <v>4607.0561299999999</v>
      </c>
      <c r="V998">
        <v>4516.1642899999997</v>
      </c>
      <c r="W998">
        <v>4482.5992900000001</v>
      </c>
      <c r="AB998">
        <v>4570.2925500000001</v>
      </c>
      <c r="AC998">
        <v>4569.2092199999997</v>
      </c>
      <c r="AD998">
        <v>0</v>
      </c>
      <c r="AK998">
        <v>996</v>
      </c>
      <c r="AL998">
        <v>995</v>
      </c>
      <c r="AM998">
        <v>4566.67</v>
      </c>
      <c r="AN998">
        <v>4551.1040999999996</v>
      </c>
      <c r="AO998">
        <v>15.565899999999999</v>
      </c>
      <c r="AP998">
        <v>242.29849999999999</v>
      </c>
      <c r="AQ998">
        <v>8.6763999999999994E-2</v>
      </c>
      <c r="AR998">
        <v>3.8411000000000001E-2</v>
      </c>
      <c r="AY998">
        <v>996</v>
      </c>
      <c r="AZ998">
        <v>995</v>
      </c>
      <c r="BA998">
        <v>4566.67</v>
      </c>
      <c r="BB998">
        <v>4551.1040999999996</v>
      </c>
      <c r="BC998">
        <v>15.565899999999999</v>
      </c>
      <c r="BD998">
        <v>242.29849999999999</v>
      </c>
      <c r="BE998">
        <v>990025</v>
      </c>
    </row>
    <row r="999" spans="1:57" x14ac:dyDescent="0.55000000000000004">
      <c r="A999">
        <v>1777633202</v>
      </c>
      <c r="B999" t="s">
        <v>72</v>
      </c>
      <c r="C999" t="s">
        <v>73</v>
      </c>
      <c r="D999">
        <v>4565.9399999999996</v>
      </c>
      <c r="E999">
        <v>4518.5928199999998</v>
      </c>
      <c r="F999">
        <v>4596.0559499999999</v>
      </c>
      <c r="G999">
        <v>4755.40355</v>
      </c>
      <c r="H999">
        <v>4792.7697200000002</v>
      </c>
      <c r="Q999">
        <v>4550.8364499999998</v>
      </c>
      <c r="R999">
        <v>4580.1997499999998</v>
      </c>
      <c r="S999">
        <v>4606.7885200000001</v>
      </c>
      <c r="V999">
        <v>4515.8966799999998</v>
      </c>
      <c r="W999">
        <v>4482.33169</v>
      </c>
      <c r="AB999">
        <v>4572.0390900000002</v>
      </c>
      <c r="AC999">
        <v>4570.6241600000003</v>
      </c>
      <c r="AD999">
        <v>0</v>
      </c>
      <c r="AK999">
        <v>997</v>
      </c>
      <c r="AL999">
        <v>996</v>
      </c>
      <c r="AM999">
        <v>4565.9399999999996</v>
      </c>
      <c r="AN999">
        <v>4550.8364000000001</v>
      </c>
      <c r="AO999">
        <v>15.1035</v>
      </c>
      <c r="AP999">
        <v>228.1172</v>
      </c>
      <c r="AQ999">
        <v>7.9259999999999997E-2</v>
      </c>
      <c r="AR999">
        <v>3.4046E-2</v>
      </c>
      <c r="AY999">
        <v>997</v>
      </c>
      <c r="AZ999">
        <v>996</v>
      </c>
      <c r="BA999">
        <v>4565.9399999999996</v>
      </c>
      <c r="BB999">
        <v>4550.8364000000001</v>
      </c>
      <c r="BC999">
        <v>15.1035</v>
      </c>
      <c r="BD999">
        <v>228.1172</v>
      </c>
      <c r="BE999">
        <v>992016</v>
      </c>
    </row>
    <row r="1000" spans="1:57" x14ac:dyDescent="0.55000000000000004">
      <c r="A1000">
        <v>1777634102</v>
      </c>
      <c r="B1000" t="s">
        <v>72</v>
      </c>
      <c r="C1000" t="s">
        <v>73</v>
      </c>
      <c r="D1000">
        <v>4572.03</v>
      </c>
      <c r="E1000">
        <v>4518.5928199999998</v>
      </c>
      <c r="F1000">
        <v>4596.0559499999999</v>
      </c>
      <c r="G1000">
        <v>4755.40355</v>
      </c>
      <c r="H1000">
        <v>4792.7697200000002</v>
      </c>
      <c r="Q1000">
        <v>4550.5688499999997</v>
      </c>
      <c r="R1000">
        <v>4579.9321499999996</v>
      </c>
      <c r="S1000">
        <v>4606.5209199999999</v>
      </c>
      <c r="V1000">
        <v>4515.6290799999997</v>
      </c>
      <c r="W1000">
        <v>4482.0640800000001</v>
      </c>
      <c r="AB1000">
        <v>4574.19344</v>
      </c>
      <c r="AC1000">
        <v>4572.4088000000002</v>
      </c>
      <c r="AD1000">
        <v>0</v>
      </c>
      <c r="AK1000">
        <v>998</v>
      </c>
      <c r="AL1000">
        <v>997</v>
      </c>
      <c r="AM1000">
        <v>4572.03</v>
      </c>
      <c r="AN1000">
        <v>4550.5688</v>
      </c>
      <c r="AO1000">
        <v>21.461200000000002</v>
      </c>
      <c r="AP1000">
        <v>460.58100000000002</v>
      </c>
      <c r="AQ1000">
        <v>0.22739200000000001</v>
      </c>
      <c r="AR1000">
        <v>0.138793</v>
      </c>
      <c r="AY1000">
        <v>998</v>
      </c>
      <c r="AZ1000">
        <v>997</v>
      </c>
      <c r="BA1000">
        <v>4572.03</v>
      </c>
      <c r="BB1000">
        <v>4550.5688</v>
      </c>
      <c r="BC1000">
        <v>21.461200000000002</v>
      </c>
      <c r="BD1000">
        <v>460.58100000000002</v>
      </c>
      <c r="BE1000">
        <v>994009</v>
      </c>
    </row>
    <row r="1001" spans="1:57" x14ac:dyDescent="0.55000000000000004">
      <c r="A1001">
        <v>1777635002</v>
      </c>
      <c r="B1001" t="s">
        <v>72</v>
      </c>
      <c r="C1001" t="s">
        <v>73</v>
      </c>
      <c r="D1001">
        <v>4575.75</v>
      </c>
      <c r="E1001">
        <v>4518.5928199999998</v>
      </c>
      <c r="F1001">
        <v>4596.0559499999999</v>
      </c>
      <c r="G1001">
        <v>4755.40355</v>
      </c>
      <c r="H1001">
        <v>4792.7697200000002</v>
      </c>
      <c r="Q1001">
        <v>4550.3012500000004</v>
      </c>
      <c r="R1001">
        <v>4579.6645500000004</v>
      </c>
      <c r="S1001">
        <v>4606.2533199999998</v>
      </c>
      <c r="V1001">
        <v>4515.3614799999996</v>
      </c>
      <c r="W1001">
        <v>4481.79648</v>
      </c>
      <c r="AB1001">
        <v>4576.6159200000002</v>
      </c>
      <c r="AC1001">
        <v>4574.5123599999997</v>
      </c>
      <c r="AD1001">
        <v>0</v>
      </c>
      <c r="AK1001">
        <v>999</v>
      </c>
      <c r="AL1001">
        <v>998</v>
      </c>
      <c r="AM1001">
        <v>4575.75</v>
      </c>
      <c r="AN1001">
        <v>4550.3013000000001</v>
      </c>
      <c r="AO1001">
        <v>25.448699999999999</v>
      </c>
      <c r="AP1001">
        <v>647.63890000000004</v>
      </c>
      <c r="AQ1001">
        <v>0.37915300000000002</v>
      </c>
      <c r="AR1001">
        <v>0.27442299999999997</v>
      </c>
      <c r="AY1001">
        <v>999</v>
      </c>
      <c r="AZ1001">
        <v>998</v>
      </c>
      <c r="BA1001">
        <v>4575.75</v>
      </c>
      <c r="BB1001">
        <v>4550.3013000000001</v>
      </c>
      <c r="BC1001">
        <v>25.448699999999999</v>
      </c>
      <c r="BD1001">
        <v>647.63890000000004</v>
      </c>
      <c r="BE1001">
        <v>996004</v>
      </c>
    </row>
    <row r="1002" spans="1:57" x14ac:dyDescent="0.55000000000000004">
      <c r="A1002">
        <v>1777635902</v>
      </c>
      <c r="B1002" t="s">
        <v>72</v>
      </c>
      <c r="C1002" t="s">
        <v>73</v>
      </c>
      <c r="D1002">
        <v>4578.84</v>
      </c>
      <c r="E1002">
        <v>4518.5928199999998</v>
      </c>
      <c r="F1002">
        <v>4596.0559499999999</v>
      </c>
      <c r="G1002">
        <v>4755.40355</v>
      </c>
      <c r="H1002">
        <v>4792.7697200000002</v>
      </c>
      <c r="Q1002">
        <v>4550.0336399999997</v>
      </c>
      <c r="R1002">
        <v>4579.3969399999996</v>
      </c>
      <c r="S1002">
        <v>4605.9857099999999</v>
      </c>
      <c r="V1002">
        <v>4515.0938699999997</v>
      </c>
      <c r="W1002">
        <v>4481.5288799999998</v>
      </c>
      <c r="AB1002">
        <v>4579.2970599999999</v>
      </c>
      <c r="AC1002">
        <v>4576.9047099999998</v>
      </c>
      <c r="AD1002">
        <v>0</v>
      </c>
      <c r="AK1002">
        <v>1000</v>
      </c>
      <c r="AL1002">
        <v>999</v>
      </c>
      <c r="AM1002">
        <v>4578.84</v>
      </c>
      <c r="AN1002">
        <v>4550.0335999999998</v>
      </c>
      <c r="AO1002">
        <v>28.8064</v>
      </c>
      <c r="AP1002">
        <v>829.80640000000005</v>
      </c>
      <c r="AQ1002">
        <v>0.54989600000000005</v>
      </c>
      <c r="AR1002">
        <v>0.450513</v>
      </c>
      <c r="AY1002">
        <v>1000</v>
      </c>
      <c r="AZ1002">
        <v>999</v>
      </c>
      <c r="BA1002">
        <v>4578.84</v>
      </c>
      <c r="BB1002">
        <v>4550.0335999999998</v>
      </c>
      <c r="BC1002">
        <v>28.8064</v>
      </c>
      <c r="BD1002">
        <v>829.80640000000005</v>
      </c>
      <c r="BE1002">
        <v>998001</v>
      </c>
    </row>
    <row r="1003" spans="1:57" x14ac:dyDescent="0.55000000000000004">
      <c r="A1003">
        <v>1777636802</v>
      </c>
      <c r="B1003" t="s">
        <v>72</v>
      </c>
      <c r="C1003" t="s">
        <v>73</v>
      </c>
      <c r="D1003">
        <v>4584.8599999999997</v>
      </c>
      <c r="E1003">
        <v>4518.5928199999998</v>
      </c>
      <c r="F1003">
        <v>4596.0559499999999</v>
      </c>
      <c r="G1003">
        <v>4755.40355</v>
      </c>
      <c r="H1003">
        <v>4792.7697200000002</v>
      </c>
      <c r="Q1003">
        <v>4549.7660400000004</v>
      </c>
      <c r="R1003">
        <v>4579.1293400000004</v>
      </c>
      <c r="S1003">
        <v>4605.7181099999998</v>
      </c>
      <c r="V1003">
        <v>4514.8262699999996</v>
      </c>
      <c r="W1003">
        <v>4481.26127</v>
      </c>
      <c r="AB1003">
        <v>4582.3315700000003</v>
      </c>
      <c r="AC1003">
        <v>4579.6181399999996</v>
      </c>
      <c r="AD1003">
        <v>0</v>
      </c>
      <c r="AK1003">
        <v>1001</v>
      </c>
      <c r="AL1003">
        <v>1000</v>
      </c>
      <c r="AM1003">
        <v>4584.8599999999997</v>
      </c>
      <c r="AN1003">
        <v>4549.7659999999996</v>
      </c>
      <c r="AO1003">
        <v>35.094000000000001</v>
      </c>
      <c r="AP1003">
        <v>1231.586</v>
      </c>
      <c r="AQ1003">
        <v>0.99428899999999998</v>
      </c>
      <c r="AR1003">
        <v>0.99239299999999997</v>
      </c>
      <c r="AY1003">
        <v>1001</v>
      </c>
      <c r="AZ1003">
        <v>1000</v>
      </c>
      <c r="BA1003">
        <v>4584.8599999999997</v>
      </c>
      <c r="BB1003">
        <v>4549.7659999999996</v>
      </c>
      <c r="BC1003">
        <v>35.094000000000001</v>
      </c>
      <c r="BD1003">
        <v>1231.586</v>
      </c>
      <c r="BE1003">
        <v>1000000</v>
      </c>
    </row>
    <row r="1004" spans="1:57" x14ac:dyDescent="0.55000000000000004">
      <c r="A1004">
        <v>1777637702</v>
      </c>
      <c r="B1004" t="s">
        <v>72</v>
      </c>
      <c r="C1004" t="s">
        <v>73</v>
      </c>
      <c r="D1004">
        <v>4602.95</v>
      </c>
      <c r="E1004">
        <v>4518.5928199999998</v>
      </c>
      <c r="F1004">
        <v>4596.0559499999999</v>
      </c>
      <c r="G1004">
        <v>4755.40355</v>
      </c>
      <c r="H1004">
        <v>4792.7697200000002</v>
      </c>
      <c r="Q1004">
        <v>4549.4984299999996</v>
      </c>
      <c r="R1004">
        <v>4578.8617299999996</v>
      </c>
      <c r="S1004">
        <v>4605.4504999999999</v>
      </c>
      <c r="V1004">
        <v>4514.5586599999997</v>
      </c>
      <c r="W1004">
        <v>4480.9936699999998</v>
      </c>
      <c r="AB1004">
        <v>4585.8169699999999</v>
      </c>
      <c r="AC1004">
        <v>4582.7175500000003</v>
      </c>
      <c r="AD1004">
        <v>0</v>
      </c>
      <c r="AK1004">
        <v>1002</v>
      </c>
      <c r="AL1004">
        <v>1001</v>
      </c>
      <c r="AM1004">
        <v>4602.95</v>
      </c>
      <c r="AN1004">
        <v>4549.4984000000004</v>
      </c>
      <c r="AO1004">
        <v>53.451599999999999</v>
      </c>
      <c r="AP1004">
        <v>2857.0702999999999</v>
      </c>
      <c r="AQ1004">
        <v>3.5131519999999998</v>
      </c>
      <c r="AR1004">
        <v>5.3406729999999998</v>
      </c>
      <c r="AY1004">
        <v>1002</v>
      </c>
      <c r="AZ1004">
        <v>1001</v>
      </c>
      <c r="BA1004">
        <v>4602.95</v>
      </c>
      <c r="BB1004">
        <v>4549.4984000000004</v>
      </c>
      <c r="BC1004">
        <v>53.451599999999999</v>
      </c>
      <c r="BD1004">
        <v>2857.0702999999999</v>
      </c>
      <c r="BE1004">
        <v>1002001</v>
      </c>
    </row>
    <row r="1005" spans="1:57" x14ac:dyDescent="0.55000000000000004">
      <c r="A1005">
        <v>1777638602</v>
      </c>
      <c r="B1005" t="s">
        <v>72</v>
      </c>
      <c r="C1005" t="s">
        <v>73</v>
      </c>
      <c r="D1005">
        <v>4591.95</v>
      </c>
      <c r="E1005">
        <v>4518.5928199999998</v>
      </c>
      <c r="F1005">
        <v>4596.0559499999999</v>
      </c>
      <c r="G1005">
        <v>4755.40355</v>
      </c>
      <c r="H1005">
        <v>4792.7697200000002</v>
      </c>
      <c r="Q1005">
        <v>4549.2308300000004</v>
      </c>
      <c r="R1005">
        <v>4578.5941300000004</v>
      </c>
      <c r="S1005">
        <v>4605.1828999999998</v>
      </c>
      <c r="V1005">
        <v>4514.2910599999996</v>
      </c>
      <c r="W1005">
        <v>4480.72606</v>
      </c>
      <c r="AB1005">
        <v>4589.5589300000001</v>
      </c>
      <c r="AC1005">
        <v>4586.1382400000002</v>
      </c>
      <c r="AD1005">
        <v>0</v>
      </c>
      <c r="AK1005">
        <v>1003</v>
      </c>
      <c r="AL1005">
        <v>1002</v>
      </c>
      <c r="AM1005">
        <v>4591.95</v>
      </c>
      <c r="AN1005">
        <v>4549.2308000000003</v>
      </c>
      <c r="AO1005">
        <v>42.719200000000001</v>
      </c>
      <c r="AP1005">
        <v>1824.9275</v>
      </c>
      <c r="AQ1005">
        <v>1.793428</v>
      </c>
      <c r="AR1005">
        <v>2.1789399999999999</v>
      </c>
      <c r="AY1005">
        <v>1003</v>
      </c>
      <c r="AZ1005">
        <v>1002</v>
      </c>
      <c r="BA1005">
        <v>4591.95</v>
      </c>
      <c r="BB1005">
        <v>4549.2308000000003</v>
      </c>
      <c r="BC1005">
        <v>42.719200000000001</v>
      </c>
      <c r="BD1005">
        <v>1824.9275</v>
      </c>
      <c r="BE1005">
        <v>1004004</v>
      </c>
    </row>
    <row r="1006" spans="1:57" x14ac:dyDescent="0.55000000000000004">
      <c r="A1006">
        <v>1777639502</v>
      </c>
      <c r="B1006" t="s">
        <v>72</v>
      </c>
      <c r="C1006" t="s">
        <v>73</v>
      </c>
      <c r="D1006">
        <v>4591.18</v>
      </c>
      <c r="E1006">
        <v>4518.5928199999998</v>
      </c>
      <c r="F1006">
        <v>4596.0559499999999</v>
      </c>
      <c r="G1006">
        <v>4755.40355</v>
      </c>
      <c r="H1006">
        <v>4792.7697200000002</v>
      </c>
      <c r="Q1006">
        <v>4548.9632300000003</v>
      </c>
      <c r="R1006">
        <v>4578.3265199999996</v>
      </c>
      <c r="S1006">
        <v>4604.9152999999997</v>
      </c>
      <c r="V1006">
        <v>4514.0234600000003</v>
      </c>
      <c r="W1006">
        <v>4480.4584599999998</v>
      </c>
      <c r="AB1006">
        <v>4594.1641200000004</v>
      </c>
      <c r="AC1006">
        <v>4590.1511799999998</v>
      </c>
      <c r="AD1006">
        <v>0</v>
      </c>
      <c r="AK1006">
        <v>1004</v>
      </c>
      <c r="AL1006">
        <v>1003</v>
      </c>
      <c r="AM1006">
        <v>4591.18</v>
      </c>
      <c r="AN1006">
        <v>4548.9632000000001</v>
      </c>
      <c r="AO1006">
        <v>42.216799999999999</v>
      </c>
      <c r="AP1006">
        <v>1782.2556999999999</v>
      </c>
      <c r="AQ1006">
        <v>1.7308939999999999</v>
      </c>
      <c r="AR1006">
        <v>2.0782319999999999</v>
      </c>
      <c r="AY1006">
        <v>1004</v>
      </c>
      <c r="AZ1006">
        <v>1003</v>
      </c>
      <c r="BA1006">
        <v>4591.18</v>
      </c>
      <c r="BB1006">
        <v>4548.9632000000001</v>
      </c>
      <c r="BC1006">
        <v>42.216799999999999</v>
      </c>
      <c r="BD1006">
        <v>1782.2556999999999</v>
      </c>
      <c r="BE1006">
        <v>1006009</v>
      </c>
    </row>
    <row r="1007" spans="1:57" x14ac:dyDescent="0.55000000000000004">
      <c r="A1007">
        <v>1777640402</v>
      </c>
      <c r="B1007" t="s">
        <v>72</v>
      </c>
      <c r="C1007" t="s">
        <v>73</v>
      </c>
      <c r="D1007">
        <v>4591.32</v>
      </c>
      <c r="E1007">
        <v>4518.5928199999998</v>
      </c>
      <c r="F1007">
        <v>4596.0559499999999</v>
      </c>
      <c r="G1007">
        <v>4755.40355</v>
      </c>
      <c r="H1007">
        <v>4792.7697200000002</v>
      </c>
      <c r="Q1007">
        <v>4548.6956200000004</v>
      </c>
      <c r="R1007">
        <v>4578.0589200000004</v>
      </c>
      <c r="S1007">
        <v>4604.6476899999998</v>
      </c>
      <c r="V1007">
        <v>4513.7558499999996</v>
      </c>
      <c r="W1007">
        <v>4480.1908599999997</v>
      </c>
      <c r="AB1007">
        <v>4599.8901599999999</v>
      </c>
      <c r="AC1007">
        <v>4595.0206699999999</v>
      </c>
      <c r="AD1007">
        <v>0</v>
      </c>
      <c r="AK1007">
        <v>1005</v>
      </c>
      <c r="AL1007">
        <v>1004</v>
      </c>
      <c r="AM1007">
        <v>4591.32</v>
      </c>
      <c r="AN1007">
        <v>4548.6956</v>
      </c>
      <c r="AO1007">
        <v>42.624400000000001</v>
      </c>
      <c r="AP1007">
        <v>1816.8378</v>
      </c>
      <c r="AQ1007">
        <v>1.7815160000000001</v>
      </c>
      <c r="AR1007">
        <v>2.1596649999999999</v>
      </c>
      <c r="AY1007">
        <v>1005</v>
      </c>
      <c r="AZ1007">
        <v>1004</v>
      </c>
      <c r="BA1007">
        <v>4591.32</v>
      </c>
      <c r="BB1007">
        <v>4548.6956</v>
      </c>
      <c r="BC1007">
        <v>42.624400000000001</v>
      </c>
      <c r="BD1007">
        <v>1816.8378</v>
      </c>
      <c r="BE1007">
        <v>1008016</v>
      </c>
    </row>
    <row r="1008" spans="1:57" x14ac:dyDescent="0.55000000000000004">
      <c r="A1008">
        <v>1777641302</v>
      </c>
      <c r="B1008" t="s">
        <v>72</v>
      </c>
      <c r="C1008" t="s">
        <v>73</v>
      </c>
      <c r="D1008">
        <v>4589.2</v>
      </c>
      <c r="E1008">
        <v>4518.5928199999998</v>
      </c>
      <c r="F1008">
        <v>4596.0559499999999</v>
      </c>
      <c r="G1008">
        <v>4755.40355</v>
      </c>
      <c r="H1008">
        <v>4792.7697200000002</v>
      </c>
      <c r="Q1008">
        <v>4548.4280200000003</v>
      </c>
      <c r="R1008">
        <v>4577.7913200000003</v>
      </c>
      <c r="S1008">
        <v>4604.3800899999997</v>
      </c>
      <c r="V1008">
        <v>4513.4882500000003</v>
      </c>
      <c r="W1008">
        <v>4479.9232499999998</v>
      </c>
      <c r="AB1008">
        <v>4606.7948500000002</v>
      </c>
      <c r="AC1008">
        <v>4600.9077600000001</v>
      </c>
      <c r="AD1008">
        <v>0</v>
      </c>
      <c r="AK1008">
        <v>1006</v>
      </c>
      <c r="AL1008">
        <v>1005</v>
      </c>
      <c r="AM1008">
        <v>4589.2</v>
      </c>
      <c r="AN1008">
        <v>4548.4279999999999</v>
      </c>
      <c r="AO1008">
        <v>40.771999999999998</v>
      </c>
      <c r="AP1008">
        <v>1662.3543999999999</v>
      </c>
      <c r="AQ1008">
        <v>1.5591969999999999</v>
      </c>
      <c r="AR1008">
        <v>1.808012</v>
      </c>
      <c r="AY1008">
        <v>1006</v>
      </c>
      <c r="AZ1008">
        <v>1005</v>
      </c>
      <c r="BA1008">
        <v>4589.2</v>
      </c>
      <c r="BB1008">
        <v>4548.4279999999999</v>
      </c>
      <c r="BC1008">
        <v>40.771999999999998</v>
      </c>
      <c r="BD1008">
        <v>1662.3543999999999</v>
      </c>
      <c r="BE1008">
        <v>1010025</v>
      </c>
    </row>
    <row r="1009" spans="1:57" x14ac:dyDescent="0.55000000000000004">
      <c r="A1009">
        <v>1777642202</v>
      </c>
      <c r="B1009" t="s">
        <v>72</v>
      </c>
      <c r="C1009" t="s">
        <v>73</v>
      </c>
      <c r="D1009">
        <v>4608.07</v>
      </c>
      <c r="E1009">
        <v>4518.5928199999998</v>
      </c>
      <c r="F1009">
        <v>4596.0559499999999</v>
      </c>
      <c r="G1009">
        <v>4755.40355</v>
      </c>
      <c r="H1009">
        <v>4792.7697200000002</v>
      </c>
      <c r="Q1009">
        <v>4548.1604100000004</v>
      </c>
      <c r="R1009">
        <v>4577.5237100000004</v>
      </c>
      <c r="S1009">
        <v>4604.1124799999998</v>
      </c>
      <c r="V1009">
        <v>4513.2206399999995</v>
      </c>
      <c r="W1009">
        <v>4479.6556499999997</v>
      </c>
      <c r="AB1009">
        <v>4614.7508699999998</v>
      </c>
      <c r="AC1009">
        <v>4607.8293199999998</v>
      </c>
      <c r="AD1009">
        <v>0</v>
      </c>
      <c r="AK1009">
        <v>1007</v>
      </c>
      <c r="AL1009">
        <v>1006</v>
      </c>
      <c r="AM1009">
        <v>4608.07</v>
      </c>
      <c r="AN1009">
        <v>4548.1603999999998</v>
      </c>
      <c r="AO1009">
        <v>59.909599999999998</v>
      </c>
      <c r="AP1009">
        <v>3589.1590000000001</v>
      </c>
      <c r="AQ1009">
        <v>4.9465750000000002</v>
      </c>
      <c r="AR1009">
        <v>8.4282909999999998</v>
      </c>
      <c r="AY1009">
        <v>1007</v>
      </c>
      <c r="AZ1009">
        <v>1006</v>
      </c>
      <c r="BA1009">
        <v>4608.07</v>
      </c>
      <c r="BB1009">
        <v>4548.1603999999998</v>
      </c>
      <c r="BC1009">
        <v>59.909599999999998</v>
      </c>
      <c r="BD1009">
        <v>3589.1590000000001</v>
      </c>
      <c r="BE1009">
        <v>1012036</v>
      </c>
    </row>
    <row r="1010" spans="1:57" x14ac:dyDescent="0.55000000000000004">
      <c r="A1010">
        <v>1777643102</v>
      </c>
      <c r="B1010" t="s">
        <v>72</v>
      </c>
      <c r="C1010" t="s">
        <v>73</v>
      </c>
      <c r="D1010">
        <v>4625.7</v>
      </c>
      <c r="E1010">
        <v>4518.5928199999998</v>
      </c>
      <c r="F1010">
        <v>4596.0559499999999</v>
      </c>
      <c r="G1010">
        <v>4755.40355</v>
      </c>
      <c r="H1010">
        <v>4792.7697200000002</v>
      </c>
      <c r="Q1010">
        <v>4547.8928100000003</v>
      </c>
      <c r="R1010">
        <v>4577.2561100000003</v>
      </c>
      <c r="S1010">
        <v>4603.8448799999996</v>
      </c>
      <c r="V1010">
        <v>4512.9530400000003</v>
      </c>
      <c r="W1010">
        <v>4479.3880399999998</v>
      </c>
      <c r="AB1010">
        <v>4622.8140599999997</v>
      </c>
      <c r="AC1010">
        <v>4615.3216899999998</v>
      </c>
      <c r="AD1010">
        <v>0</v>
      </c>
      <c r="AK1010">
        <v>1008</v>
      </c>
      <c r="AL1010">
        <v>1007</v>
      </c>
      <c r="AM1010">
        <v>4625.7</v>
      </c>
      <c r="AN1010">
        <v>4547.8927999999996</v>
      </c>
      <c r="AO1010">
        <v>77.807199999999995</v>
      </c>
      <c r="AP1010">
        <v>6053.9588000000003</v>
      </c>
      <c r="AQ1010">
        <v>10.836144000000001</v>
      </c>
      <c r="AR1010">
        <v>23.979109000000001</v>
      </c>
      <c r="AY1010">
        <v>1008</v>
      </c>
      <c r="AZ1010">
        <v>1007</v>
      </c>
      <c r="BA1010">
        <v>4625.7</v>
      </c>
      <c r="BB1010">
        <v>4547.8927999999996</v>
      </c>
      <c r="BC1010">
        <v>77.807199999999995</v>
      </c>
      <c r="BD1010">
        <v>6053.9588000000003</v>
      </c>
      <c r="BE1010">
        <v>1014049</v>
      </c>
    </row>
    <row r="1011" spans="1:57" x14ac:dyDescent="0.55000000000000004">
      <c r="A1011">
        <v>1777644002</v>
      </c>
      <c r="B1011" t="s">
        <v>72</v>
      </c>
      <c r="C1011" t="s">
        <v>73</v>
      </c>
      <c r="D1011">
        <v>4656.0600000000004</v>
      </c>
      <c r="E1011">
        <v>4518.5928199999998</v>
      </c>
      <c r="F1011">
        <v>4596.0559499999999</v>
      </c>
      <c r="G1011">
        <v>4755.40355</v>
      </c>
      <c r="H1011">
        <v>4792.7697200000002</v>
      </c>
      <c r="Q1011">
        <v>4547.6252100000002</v>
      </c>
      <c r="R1011">
        <v>4576.9885000000004</v>
      </c>
      <c r="S1011">
        <v>4603.5772699999998</v>
      </c>
      <c r="V1011">
        <v>4512.6854400000002</v>
      </c>
      <c r="W1011">
        <v>4479.1204399999997</v>
      </c>
      <c r="AB1011">
        <v>4630.0188799999996</v>
      </c>
      <c r="AC1011">
        <v>4622.6702800000003</v>
      </c>
      <c r="AD1011">
        <v>0</v>
      </c>
      <c r="AK1011">
        <v>1009</v>
      </c>
      <c r="AL1011">
        <v>1008</v>
      </c>
      <c r="AM1011">
        <v>4656.0600000000004</v>
      </c>
      <c r="AN1011">
        <v>4547.6252000000004</v>
      </c>
      <c r="AO1011">
        <v>108.4348</v>
      </c>
      <c r="AP1011">
        <v>11758.1037</v>
      </c>
      <c r="AQ1011">
        <v>29.330638</v>
      </c>
      <c r="AR1011">
        <v>90.454189</v>
      </c>
      <c r="AY1011">
        <v>1009</v>
      </c>
      <c r="AZ1011">
        <v>1008</v>
      </c>
      <c r="BA1011">
        <v>4656.0600000000004</v>
      </c>
      <c r="BB1011">
        <v>4547.6252000000004</v>
      </c>
      <c r="BC1011">
        <v>108.4348</v>
      </c>
      <c r="BD1011">
        <v>11758.1037</v>
      </c>
      <c r="BE1011">
        <v>1016064</v>
      </c>
    </row>
    <row r="1012" spans="1:57" x14ac:dyDescent="0.55000000000000004">
      <c r="A1012">
        <v>1777644902</v>
      </c>
      <c r="B1012" t="s">
        <v>72</v>
      </c>
      <c r="C1012" t="s">
        <v>73</v>
      </c>
      <c r="D1012">
        <v>4644.67</v>
      </c>
      <c r="E1012">
        <v>4518.5928199999998</v>
      </c>
      <c r="F1012">
        <v>4596.0559499999999</v>
      </c>
      <c r="G1012">
        <v>4755.40355</v>
      </c>
      <c r="H1012">
        <v>4792.7697200000002</v>
      </c>
      <c r="Q1012">
        <v>4547.3576000000003</v>
      </c>
      <c r="R1012">
        <v>4576.7209000000003</v>
      </c>
      <c r="S1012">
        <v>4603.3096699999996</v>
      </c>
      <c r="V1012">
        <v>4512.4178300000003</v>
      </c>
      <c r="W1012">
        <v>4478.8528299999998</v>
      </c>
      <c r="Z1012">
        <v>4660.32</v>
      </c>
      <c r="AB1012">
        <v>4635.1597499999998</v>
      </c>
      <c r="AC1012">
        <v>4628.9150099999997</v>
      </c>
      <c r="AD1012">
        <v>0</v>
      </c>
      <c r="AK1012">
        <v>1010</v>
      </c>
      <c r="AL1012">
        <v>1009</v>
      </c>
      <c r="AM1012">
        <v>4644.67</v>
      </c>
      <c r="AN1012">
        <v>4547.3576000000003</v>
      </c>
      <c r="AO1012">
        <v>97.312399999999997</v>
      </c>
      <c r="AP1012">
        <v>9469.7031999999999</v>
      </c>
      <c r="AQ1012">
        <v>21.199231999999999</v>
      </c>
      <c r="AR1012">
        <v>58.671453</v>
      </c>
      <c r="AY1012">
        <v>1010</v>
      </c>
      <c r="AZ1012">
        <v>1009</v>
      </c>
      <c r="BA1012">
        <v>4644.67</v>
      </c>
      <c r="BB1012">
        <v>4547.3576000000003</v>
      </c>
      <c r="BC1012">
        <v>97.312399999999997</v>
      </c>
      <c r="BD1012">
        <v>9469.7031999999999</v>
      </c>
      <c r="BE1012">
        <v>1018081</v>
      </c>
    </row>
    <row r="1013" spans="1:57" x14ac:dyDescent="0.55000000000000004">
      <c r="A1013">
        <v>1777645802</v>
      </c>
      <c r="B1013" t="s">
        <v>72</v>
      </c>
      <c r="C1013" t="s">
        <v>73</v>
      </c>
      <c r="D1013">
        <v>4633.2299999999996</v>
      </c>
      <c r="E1013">
        <v>4518.5928199999998</v>
      </c>
      <c r="F1013">
        <v>4596.0559499999999</v>
      </c>
      <c r="G1013">
        <v>4755.40355</v>
      </c>
      <c r="H1013">
        <v>4792.7697200000002</v>
      </c>
      <c r="Q1013">
        <v>4547.09</v>
      </c>
      <c r="R1013">
        <v>4576.4533000000001</v>
      </c>
      <c r="S1013">
        <v>4603.0420700000004</v>
      </c>
      <c r="V1013">
        <v>4512.1502300000002</v>
      </c>
      <c r="W1013">
        <v>4478.5852299999997</v>
      </c>
      <c r="AB1013">
        <v>4638.4910399999999</v>
      </c>
      <c r="AC1013">
        <v>4633.7030299999997</v>
      </c>
      <c r="AD1013">
        <v>0</v>
      </c>
      <c r="AK1013">
        <v>1011</v>
      </c>
      <c r="AL1013">
        <v>1010</v>
      </c>
      <c r="AM1013">
        <v>4633.2299999999996</v>
      </c>
      <c r="AN1013">
        <v>4547.09</v>
      </c>
      <c r="AO1013">
        <v>86.14</v>
      </c>
      <c r="AP1013">
        <v>7420.0995999999996</v>
      </c>
      <c r="AQ1013">
        <v>14.70382</v>
      </c>
      <c r="AR1013">
        <v>36.022478</v>
      </c>
      <c r="AY1013">
        <v>1011</v>
      </c>
      <c r="AZ1013">
        <v>1010</v>
      </c>
      <c r="BA1013">
        <v>4633.2299999999996</v>
      </c>
      <c r="BB1013">
        <v>4547.09</v>
      </c>
      <c r="BC1013">
        <v>86.14</v>
      </c>
      <c r="BD1013">
        <v>7420.0995999999996</v>
      </c>
      <c r="BE1013">
        <v>1020100</v>
      </c>
    </row>
    <row r="1014" spans="1:57" x14ac:dyDescent="0.55000000000000004">
      <c r="A1014">
        <v>1777646702</v>
      </c>
      <c r="B1014" t="s">
        <v>72</v>
      </c>
      <c r="C1014" t="s">
        <v>73</v>
      </c>
      <c r="D1014">
        <v>4632.21</v>
      </c>
      <c r="E1014">
        <v>4518.5928199999998</v>
      </c>
      <c r="F1014">
        <v>4596.0559499999999</v>
      </c>
      <c r="G1014">
        <v>4755.40355</v>
      </c>
      <c r="H1014">
        <v>4792.7697200000002</v>
      </c>
      <c r="Q1014">
        <v>4546.8223900000003</v>
      </c>
      <c r="R1014">
        <v>4576.1856900000002</v>
      </c>
      <c r="S1014">
        <v>4602.7744599999996</v>
      </c>
      <c r="V1014">
        <v>4511.8826200000003</v>
      </c>
      <c r="W1014">
        <v>4478.3176299999996</v>
      </c>
      <c r="AB1014">
        <v>4640.5192800000004</v>
      </c>
      <c r="AC1014">
        <v>4637.1111499999997</v>
      </c>
      <c r="AD1014">
        <v>0</v>
      </c>
      <c r="AK1014">
        <v>1012</v>
      </c>
      <c r="AL1014">
        <v>1011</v>
      </c>
      <c r="AM1014">
        <v>4632.21</v>
      </c>
      <c r="AN1014">
        <v>4546.8224</v>
      </c>
      <c r="AO1014">
        <v>85.387600000000006</v>
      </c>
      <c r="AP1014">
        <v>7291.0438999999997</v>
      </c>
      <c r="AQ1014">
        <v>14.321884000000001</v>
      </c>
      <c r="AR1014">
        <v>34.780318000000001</v>
      </c>
      <c r="AY1014">
        <v>1012</v>
      </c>
      <c r="AZ1014">
        <v>1011</v>
      </c>
      <c r="BA1014">
        <v>4632.21</v>
      </c>
      <c r="BB1014">
        <v>4546.8224</v>
      </c>
      <c r="BC1014">
        <v>85.387600000000006</v>
      </c>
      <c r="BD1014">
        <v>7291.0438999999997</v>
      </c>
      <c r="BE1014">
        <v>1022121</v>
      </c>
    </row>
    <row r="1015" spans="1:57" x14ac:dyDescent="0.55000000000000004">
      <c r="A1015">
        <v>1777647602</v>
      </c>
      <c r="B1015" t="s">
        <v>72</v>
      </c>
      <c r="C1015" t="s">
        <v>73</v>
      </c>
      <c r="D1015">
        <v>4636.58</v>
      </c>
      <c r="E1015">
        <v>4518.5928199999998</v>
      </c>
      <c r="F1015">
        <v>4596.0559499999999</v>
      </c>
      <c r="G1015">
        <v>4755.40355</v>
      </c>
      <c r="H1015">
        <v>4792.7697200000002</v>
      </c>
      <c r="Q1015">
        <v>4546.5547900000001</v>
      </c>
      <c r="R1015">
        <v>4575.9180900000001</v>
      </c>
      <c r="S1015">
        <v>4602.5068600000004</v>
      </c>
      <c r="V1015">
        <v>4511.6150200000002</v>
      </c>
      <c r="W1015">
        <v>4478.0500199999997</v>
      </c>
      <c r="AB1015">
        <v>4641.5854200000003</v>
      </c>
      <c r="AC1015">
        <v>4639.3482899999999</v>
      </c>
      <c r="AD1015">
        <v>0</v>
      </c>
      <c r="AK1015">
        <v>1013</v>
      </c>
      <c r="AL1015">
        <v>1012</v>
      </c>
      <c r="AM1015">
        <v>4636.58</v>
      </c>
      <c r="AN1015">
        <v>4546.5547999999999</v>
      </c>
      <c r="AO1015">
        <v>90.025199999999998</v>
      </c>
      <c r="AP1015">
        <v>8104.5384000000004</v>
      </c>
      <c r="AQ1015">
        <v>16.784485</v>
      </c>
      <c r="AR1015">
        <v>42.974485000000001</v>
      </c>
      <c r="AY1015">
        <v>1013</v>
      </c>
      <c r="AZ1015">
        <v>1012</v>
      </c>
      <c r="BA1015">
        <v>4636.58</v>
      </c>
      <c r="BB1015">
        <v>4546.5547999999999</v>
      </c>
      <c r="BC1015">
        <v>90.025199999999998</v>
      </c>
      <c r="BD1015">
        <v>8104.5384000000004</v>
      </c>
      <c r="BE1015">
        <v>1024144</v>
      </c>
    </row>
    <row r="1016" spans="1:57" x14ac:dyDescent="0.55000000000000004">
      <c r="A1016">
        <v>1777648502</v>
      </c>
      <c r="B1016" t="s">
        <v>72</v>
      </c>
      <c r="C1016" t="s">
        <v>73</v>
      </c>
      <c r="D1016">
        <v>4636.46</v>
      </c>
      <c r="E1016">
        <v>4518.5928199999998</v>
      </c>
      <c r="F1016">
        <v>4596.0559499999999</v>
      </c>
      <c r="G1016">
        <v>4755.40355</v>
      </c>
      <c r="H1016">
        <v>4792.7697200000002</v>
      </c>
      <c r="Q1016">
        <v>4546.2871800000003</v>
      </c>
      <c r="R1016">
        <v>4575.6504800000002</v>
      </c>
      <c r="S1016">
        <v>4602.2392499999996</v>
      </c>
      <c r="V1016">
        <v>4511.3474100000003</v>
      </c>
      <c r="W1016">
        <v>4477.7824199999995</v>
      </c>
      <c r="AB1016">
        <v>4641.9162100000003</v>
      </c>
      <c r="AC1016">
        <v>4640.6322499999997</v>
      </c>
      <c r="AD1016">
        <v>0</v>
      </c>
      <c r="AK1016">
        <v>1014</v>
      </c>
      <c r="AL1016">
        <v>1013</v>
      </c>
      <c r="AM1016">
        <v>4636.46</v>
      </c>
      <c r="AN1016">
        <v>4546.2871999999998</v>
      </c>
      <c r="AO1016">
        <v>90.172799999999995</v>
      </c>
      <c r="AP1016">
        <v>8131.1374999999998</v>
      </c>
      <c r="AQ1016">
        <v>16.867182</v>
      </c>
      <c r="AR1016">
        <v>43.257032000000002</v>
      </c>
      <c r="AY1016">
        <v>1014</v>
      </c>
      <c r="AZ1016">
        <v>1013</v>
      </c>
      <c r="BA1016">
        <v>4636.46</v>
      </c>
      <c r="BB1016">
        <v>4546.2871999999998</v>
      </c>
      <c r="BC1016">
        <v>90.172799999999995</v>
      </c>
      <c r="BD1016">
        <v>8131.1374999999998</v>
      </c>
      <c r="BE1016">
        <v>1026169</v>
      </c>
    </row>
    <row r="1017" spans="1:57" x14ac:dyDescent="0.55000000000000004">
      <c r="A1017">
        <v>1777649402</v>
      </c>
      <c r="B1017" t="s">
        <v>72</v>
      </c>
      <c r="C1017" t="s">
        <v>73</v>
      </c>
      <c r="D1017">
        <v>4643.6000000000004</v>
      </c>
      <c r="E1017">
        <v>4518.5928199999998</v>
      </c>
      <c r="F1017">
        <v>4596.0559499999999</v>
      </c>
      <c r="G1017">
        <v>4755.40355</v>
      </c>
      <c r="H1017">
        <v>4792.7697200000002</v>
      </c>
      <c r="Q1017">
        <v>4546.0195800000001</v>
      </c>
      <c r="R1017">
        <v>4575.3828800000001</v>
      </c>
      <c r="S1017">
        <v>4601.9716500000004</v>
      </c>
      <c r="V1017">
        <v>4511.0798100000002</v>
      </c>
      <c r="W1017">
        <v>4477.5148099999997</v>
      </c>
      <c r="AB1017">
        <v>4641.8057900000003</v>
      </c>
      <c r="AC1017">
        <v>4641.2190199999995</v>
      </c>
      <c r="AD1017">
        <v>0</v>
      </c>
      <c r="AK1017">
        <v>1015</v>
      </c>
      <c r="AL1017">
        <v>1014</v>
      </c>
      <c r="AM1017">
        <v>4643.6000000000004</v>
      </c>
      <c r="AN1017">
        <v>4546.0195999999996</v>
      </c>
      <c r="AO1017">
        <v>97.580399999999997</v>
      </c>
      <c r="AP1017">
        <v>9521.9383999999991</v>
      </c>
      <c r="AQ1017">
        <v>21.374877000000001</v>
      </c>
      <c r="AR1017">
        <v>59.320506000000002</v>
      </c>
      <c r="AY1017">
        <v>1015</v>
      </c>
      <c r="AZ1017">
        <v>1014</v>
      </c>
      <c r="BA1017">
        <v>4643.6000000000004</v>
      </c>
      <c r="BB1017">
        <v>4546.0195999999996</v>
      </c>
      <c r="BC1017">
        <v>97.580399999999997</v>
      </c>
      <c r="BD1017">
        <v>9521.9383999999991</v>
      </c>
      <c r="BE1017">
        <v>1028196</v>
      </c>
    </row>
    <row r="1018" spans="1:57" x14ac:dyDescent="0.55000000000000004">
      <c r="A1018">
        <v>1777650302</v>
      </c>
      <c r="B1018" t="s">
        <v>72</v>
      </c>
      <c r="C1018" t="s">
        <v>73</v>
      </c>
      <c r="D1018">
        <v>4643.3</v>
      </c>
      <c r="E1018">
        <v>4518.5928199999998</v>
      </c>
      <c r="F1018">
        <v>4596.0559499999999</v>
      </c>
      <c r="G1018">
        <v>4755.40355</v>
      </c>
      <c r="H1018">
        <v>4792.7697200000002</v>
      </c>
      <c r="Q1018">
        <v>4545.75198</v>
      </c>
      <c r="R1018">
        <v>4575.11528</v>
      </c>
      <c r="S1018">
        <v>4601.7040500000003</v>
      </c>
      <c r="V1018">
        <v>4510.8122100000001</v>
      </c>
      <c r="W1018">
        <v>4477.2472100000005</v>
      </c>
      <c r="AB1018">
        <v>4641.2599700000001</v>
      </c>
      <c r="AC1018">
        <v>4641.2394899999999</v>
      </c>
      <c r="AD1018">
        <v>0</v>
      </c>
      <c r="AK1018">
        <v>1016</v>
      </c>
      <c r="AL1018">
        <v>1015</v>
      </c>
      <c r="AM1018">
        <v>4643.3</v>
      </c>
      <c r="AN1018">
        <v>4545.7520000000004</v>
      </c>
      <c r="AO1018">
        <v>97.548000000000002</v>
      </c>
      <c r="AP1018">
        <v>9515.6162000000004</v>
      </c>
      <c r="AQ1018">
        <v>21.353593</v>
      </c>
      <c r="AR1018">
        <v>59.241759000000002</v>
      </c>
      <c r="AY1018">
        <v>1016</v>
      </c>
      <c r="AZ1018">
        <v>1015</v>
      </c>
      <c r="BA1018">
        <v>4643.3</v>
      </c>
      <c r="BB1018">
        <v>4545.7520000000004</v>
      </c>
      <c r="BC1018">
        <v>97.548000000000002</v>
      </c>
      <c r="BD1018">
        <v>9515.6162000000004</v>
      </c>
      <c r="BE1018">
        <v>1030225</v>
      </c>
    </row>
    <row r="1019" spans="1:57" x14ac:dyDescent="0.55000000000000004">
      <c r="A1019">
        <v>1777651202</v>
      </c>
      <c r="B1019" t="s">
        <v>72</v>
      </c>
      <c r="C1019" t="s">
        <v>73</v>
      </c>
      <c r="D1019">
        <v>4642.75</v>
      </c>
      <c r="E1019">
        <v>4518.5928199999998</v>
      </c>
      <c r="F1019">
        <v>4596.0559499999999</v>
      </c>
      <c r="G1019">
        <v>4755.40355</v>
      </c>
      <c r="H1019">
        <v>4792.7697200000002</v>
      </c>
      <c r="Q1019">
        <v>4545.4843700000001</v>
      </c>
      <c r="R1019">
        <v>4574.8476700000001</v>
      </c>
      <c r="S1019">
        <v>4601.4364400000004</v>
      </c>
      <c r="V1019">
        <v>4510.5446000000002</v>
      </c>
      <c r="W1019">
        <v>4476.9796100000003</v>
      </c>
      <c r="AB1019">
        <v>4640.4134599999998</v>
      </c>
      <c r="AC1019">
        <v>4640.8264799999997</v>
      </c>
      <c r="AD1019">
        <v>1</v>
      </c>
      <c r="AK1019">
        <v>1017</v>
      </c>
      <c r="AL1019">
        <v>1016</v>
      </c>
      <c r="AM1019">
        <v>4642.75</v>
      </c>
      <c r="AN1019">
        <v>4545.4844000000003</v>
      </c>
      <c r="AO1019">
        <v>97.265600000000006</v>
      </c>
      <c r="AP1019">
        <v>9460.6028000000006</v>
      </c>
      <c r="AQ1019">
        <v>21.168680999999999</v>
      </c>
      <c r="AR1019">
        <v>58.558740999999998</v>
      </c>
      <c r="AY1019">
        <v>1017</v>
      </c>
      <c r="AZ1019">
        <v>1016</v>
      </c>
      <c r="BA1019">
        <v>4642.75</v>
      </c>
      <c r="BB1019">
        <v>4545.4844000000003</v>
      </c>
      <c r="BC1019">
        <v>97.265600000000006</v>
      </c>
      <c r="BD1019">
        <v>9460.6028000000006</v>
      </c>
      <c r="BE1019">
        <v>1032256</v>
      </c>
    </row>
    <row r="1020" spans="1:57" x14ac:dyDescent="0.55000000000000004">
      <c r="A1020">
        <v>1777652102</v>
      </c>
      <c r="B1020" t="s">
        <v>72</v>
      </c>
      <c r="C1020" t="s">
        <v>73</v>
      </c>
      <c r="D1020">
        <v>4637.96</v>
      </c>
      <c r="E1020">
        <v>4518.5928199999998</v>
      </c>
      <c r="F1020">
        <v>4596.0559499999999</v>
      </c>
      <c r="G1020">
        <v>4755.40355</v>
      </c>
      <c r="H1020">
        <v>4792.7697200000002</v>
      </c>
      <c r="Q1020">
        <v>4545.21677</v>
      </c>
      <c r="R1020">
        <v>4574.58007</v>
      </c>
      <c r="S1020">
        <v>4601.1688400000003</v>
      </c>
      <c r="V1020">
        <v>4510.277</v>
      </c>
      <c r="W1020">
        <v>4476.7120000000004</v>
      </c>
      <c r="AB1020">
        <v>4639.3023800000001</v>
      </c>
      <c r="AC1020">
        <v>4640.0644300000004</v>
      </c>
      <c r="AD1020">
        <v>0</v>
      </c>
      <c r="AK1020">
        <v>1018</v>
      </c>
      <c r="AL1020">
        <v>1017</v>
      </c>
      <c r="AM1020">
        <v>4637.96</v>
      </c>
      <c r="AN1020">
        <v>4545.2168000000001</v>
      </c>
      <c r="AO1020">
        <v>92.743200000000002</v>
      </c>
      <c r="AP1020">
        <v>8601.3066999999992</v>
      </c>
      <c r="AQ1020">
        <v>18.351106000000001</v>
      </c>
      <c r="AR1020">
        <v>48.404192999999999</v>
      </c>
      <c r="AY1020">
        <v>1018</v>
      </c>
      <c r="AZ1020">
        <v>1017</v>
      </c>
      <c r="BA1020">
        <v>4637.96</v>
      </c>
      <c r="BB1020">
        <v>4545.2168000000001</v>
      </c>
      <c r="BC1020">
        <v>92.743200000000002</v>
      </c>
      <c r="BD1020">
        <v>8601.3066999999992</v>
      </c>
      <c r="BE1020">
        <v>1034289</v>
      </c>
    </row>
    <row r="1021" spans="1:57" x14ac:dyDescent="0.55000000000000004">
      <c r="A1021">
        <v>1777653002</v>
      </c>
      <c r="B1021" t="s">
        <v>72</v>
      </c>
      <c r="C1021" t="s">
        <v>73</v>
      </c>
      <c r="D1021">
        <v>4638.8599999999997</v>
      </c>
      <c r="E1021">
        <v>4518.5928199999998</v>
      </c>
      <c r="F1021">
        <v>4596.0559499999999</v>
      </c>
      <c r="G1021">
        <v>4755.40355</v>
      </c>
      <c r="H1021">
        <v>4792.7697200000002</v>
      </c>
      <c r="Q1021">
        <v>4544.9491600000001</v>
      </c>
      <c r="R1021">
        <v>4574.3124600000001</v>
      </c>
      <c r="S1021">
        <v>4600.9012300000004</v>
      </c>
      <c r="V1021">
        <v>4510.0093900000002</v>
      </c>
      <c r="W1021">
        <v>4476.4444000000003</v>
      </c>
      <c r="AB1021">
        <v>4638.0202399999998</v>
      </c>
      <c r="AC1021">
        <v>4639.0423300000002</v>
      </c>
      <c r="AD1021">
        <v>0</v>
      </c>
      <c r="AK1021">
        <v>1019</v>
      </c>
      <c r="AL1021">
        <v>1018</v>
      </c>
      <c r="AM1021">
        <v>4638.8599999999997</v>
      </c>
      <c r="AN1021">
        <v>4544.9492</v>
      </c>
      <c r="AO1021">
        <v>93.910799999999995</v>
      </c>
      <c r="AP1021">
        <v>8819.2458999999999</v>
      </c>
      <c r="AQ1021">
        <v>19.052973000000001</v>
      </c>
      <c r="AR1021">
        <v>50.888190999999999</v>
      </c>
      <c r="AY1021">
        <v>1019</v>
      </c>
      <c r="AZ1021">
        <v>1018</v>
      </c>
      <c r="BA1021">
        <v>4638.8599999999997</v>
      </c>
      <c r="BB1021">
        <v>4544.9492</v>
      </c>
      <c r="BC1021">
        <v>93.910799999999995</v>
      </c>
      <c r="BD1021">
        <v>8819.2458999999999</v>
      </c>
      <c r="BE1021">
        <v>1036324</v>
      </c>
    </row>
    <row r="1022" spans="1:57" x14ac:dyDescent="0.55000000000000004">
      <c r="A1022">
        <v>1777653902</v>
      </c>
      <c r="B1022" t="s">
        <v>72</v>
      </c>
      <c r="C1022" t="s">
        <v>73</v>
      </c>
      <c r="D1022">
        <v>4638.72</v>
      </c>
      <c r="E1022">
        <v>4518.5928199999998</v>
      </c>
      <c r="F1022">
        <v>4596.0559499999999</v>
      </c>
      <c r="G1022">
        <v>4755.40355</v>
      </c>
      <c r="H1022">
        <v>4792.7697200000002</v>
      </c>
      <c r="Q1022">
        <v>4544.68156</v>
      </c>
      <c r="R1022">
        <v>4574.04486</v>
      </c>
      <c r="S1022">
        <v>4600.6336300000003</v>
      </c>
      <c r="V1022">
        <v>4509.74179</v>
      </c>
      <c r="W1022">
        <v>4476.1767900000004</v>
      </c>
      <c r="AB1022">
        <v>4636.5093900000002</v>
      </c>
      <c r="AC1022">
        <v>4637.7758599999997</v>
      </c>
      <c r="AD1022">
        <v>0</v>
      </c>
      <c r="AK1022">
        <v>1020</v>
      </c>
      <c r="AL1022">
        <v>1019</v>
      </c>
      <c r="AM1022">
        <v>4638.72</v>
      </c>
      <c r="AN1022">
        <v>4544.6815999999999</v>
      </c>
      <c r="AO1022">
        <v>94.038399999999996</v>
      </c>
      <c r="AP1022">
        <v>8843.2281999999996</v>
      </c>
      <c r="AQ1022">
        <v>19.130742999999999</v>
      </c>
      <c r="AR1022">
        <v>51.165329999999997</v>
      </c>
      <c r="AY1022">
        <v>1020</v>
      </c>
      <c r="AZ1022">
        <v>1019</v>
      </c>
      <c r="BA1022">
        <v>4638.72</v>
      </c>
      <c r="BB1022">
        <v>4544.6815999999999</v>
      </c>
      <c r="BC1022">
        <v>94.038399999999996</v>
      </c>
      <c r="BD1022">
        <v>8843.2281999999996</v>
      </c>
      <c r="BE1022">
        <v>1038361</v>
      </c>
    </row>
    <row r="1023" spans="1:57" x14ac:dyDescent="0.55000000000000004">
      <c r="A1023">
        <v>1777654802</v>
      </c>
      <c r="B1023" t="s">
        <v>72</v>
      </c>
      <c r="C1023" t="s">
        <v>73</v>
      </c>
      <c r="D1023">
        <v>4639.7299999999996</v>
      </c>
      <c r="E1023">
        <v>4518.5928199999998</v>
      </c>
      <c r="F1023">
        <v>4596.0559499999999</v>
      </c>
      <c r="G1023">
        <v>4755.40355</v>
      </c>
      <c r="H1023">
        <v>4792.7697200000002</v>
      </c>
      <c r="Q1023">
        <v>4544.4139599999999</v>
      </c>
      <c r="R1023">
        <v>4573.7772599999998</v>
      </c>
      <c r="S1023">
        <v>4600.3660300000001</v>
      </c>
      <c r="V1023">
        <v>4509.4741899999999</v>
      </c>
      <c r="W1023">
        <v>4475.9091900000003</v>
      </c>
      <c r="AB1023">
        <v>4634.7139999999999</v>
      </c>
      <c r="AC1023">
        <v>4636.2449299999998</v>
      </c>
      <c r="AD1023">
        <v>0</v>
      </c>
      <c r="AK1023">
        <v>1021</v>
      </c>
      <c r="AL1023">
        <v>1020</v>
      </c>
      <c r="AM1023">
        <v>4639.7299999999996</v>
      </c>
      <c r="AN1023">
        <v>4544.4139999999998</v>
      </c>
      <c r="AO1023">
        <v>95.316000000000003</v>
      </c>
      <c r="AP1023">
        <v>9085.1474999999991</v>
      </c>
      <c r="AQ1023">
        <v>19.921111</v>
      </c>
      <c r="AR1023">
        <v>54.003024000000003</v>
      </c>
      <c r="AY1023">
        <v>1021</v>
      </c>
      <c r="AZ1023">
        <v>1020</v>
      </c>
      <c r="BA1023">
        <v>4639.7299999999996</v>
      </c>
      <c r="BB1023">
        <v>4544.4139999999998</v>
      </c>
      <c r="BC1023">
        <v>95.316000000000003</v>
      </c>
      <c r="BD1023">
        <v>9085.1474999999991</v>
      </c>
      <c r="BE1023">
        <v>1040400</v>
      </c>
    </row>
    <row r="1024" spans="1:57" x14ac:dyDescent="0.55000000000000004">
      <c r="A1024">
        <v>1777655702</v>
      </c>
      <c r="B1024" t="s">
        <v>72</v>
      </c>
      <c r="C1024" t="s">
        <v>73</v>
      </c>
      <c r="D1024">
        <v>4631.67</v>
      </c>
      <c r="E1024">
        <v>4518.5928199999998</v>
      </c>
      <c r="F1024">
        <v>4596.0559499999999</v>
      </c>
      <c r="G1024">
        <v>4755.40355</v>
      </c>
      <c r="H1024">
        <v>4792.7697200000002</v>
      </c>
      <c r="Q1024">
        <v>4544.14635</v>
      </c>
      <c r="R1024">
        <v>4573.50965</v>
      </c>
      <c r="S1024">
        <v>4600.0984200000003</v>
      </c>
      <c r="V1024">
        <v>4509.20658</v>
      </c>
      <c r="W1024">
        <v>4475.6415900000002</v>
      </c>
      <c r="AB1024">
        <v>4632.5648799999999</v>
      </c>
      <c r="AC1024">
        <v>4634.4049100000002</v>
      </c>
      <c r="AD1024">
        <v>0</v>
      </c>
      <c r="AK1024">
        <v>1022</v>
      </c>
      <c r="AL1024">
        <v>1021</v>
      </c>
      <c r="AM1024">
        <v>4631.67</v>
      </c>
      <c r="AN1024">
        <v>4544.1463000000003</v>
      </c>
      <c r="AO1024">
        <v>87.523700000000005</v>
      </c>
      <c r="AP1024">
        <v>7660.3892999999998</v>
      </c>
      <c r="AQ1024">
        <v>15.423816</v>
      </c>
      <c r="AR1024">
        <v>38.393331000000003</v>
      </c>
      <c r="AY1024">
        <v>1022</v>
      </c>
      <c r="AZ1024">
        <v>1021</v>
      </c>
      <c r="BA1024">
        <v>4631.67</v>
      </c>
      <c r="BB1024">
        <v>4544.1463000000003</v>
      </c>
      <c r="BC1024">
        <v>87.523700000000005</v>
      </c>
      <c r="BD1024">
        <v>7660.3892999999998</v>
      </c>
      <c r="BE1024">
        <v>1042441</v>
      </c>
    </row>
    <row r="1025" spans="1:57" x14ac:dyDescent="0.55000000000000004">
      <c r="A1025">
        <v>1777656602</v>
      </c>
      <c r="B1025" t="s">
        <v>72</v>
      </c>
      <c r="C1025" t="s">
        <v>73</v>
      </c>
      <c r="D1025">
        <v>4628</v>
      </c>
      <c r="E1025">
        <v>4518.5928199999998</v>
      </c>
      <c r="F1025">
        <v>4596.0559499999999</v>
      </c>
      <c r="G1025">
        <v>4755.40355</v>
      </c>
      <c r="H1025">
        <v>4792.7697200000002</v>
      </c>
      <c r="Q1025">
        <v>4543.8787499999999</v>
      </c>
      <c r="R1025">
        <v>4573.2420499999998</v>
      </c>
      <c r="S1025">
        <v>4599.8308200000001</v>
      </c>
      <c r="V1025">
        <v>4508.9389799999999</v>
      </c>
      <c r="W1025">
        <v>4475.3739800000003</v>
      </c>
      <c r="AB1025">
        <v>4630.3063700000002</v>
      </c>
      <c r="AC1025">
        <v>4632.3556399999998</v>
      </c>
      <c r="AD1025">
        <v>0</v>
      </c>
      <c r="AK1025">
        <v>1023</v>
      </c>
      <c r="AL1025">
        <v>1022</v>
      </c>
      <c r="AM1025">
        <v>4628</v>
      </c>
      <c r="AN1025">
        <v>4543.8787000000002</v>
      </c>
      <c r="AO1025">
        <v>84.121300000000005</v>
      </c>
      <c r="AP1025">
        <v>7076.3846999999996</v>
      </c>
      <c r="AQ1025">
        <v>13.694076000000001</v>
      </c>
      <c r="AR1025">
        <v>32.762495999999999</v>
      </c>
      <c r="AY1025">
        <v>1023</v>
      </c>
      <c r="AZ1025">
        <v>1022</v>
      </c>
      <c r="BA1025">
        <v>4628</v>
      </c>
      <c r="BB1025">
        <v>4543.8787000000002</v>
      </c>
      <c r="BC1025">
        <v>84.121300000000005</v>
      </c>
      <c r="BD1025">
        <v>7076.3846999999996</v>
      </c>
      <c r="BE1025">
        <v>1044484</v>
      </c>
    </row>
    <row r="1026" spans="1:57" x14ac:dyDescent="0.55000000000000004">
      <c r="A1026">
        <v>1777657502</v>
      </c>
      <c r="B1026" t="s">
        <v>72</v>
      </c>
      <c r="C1026" t="s">
        <v>73</v>
      </c>
      <c r="D1026">
        <v>4629.43</v>
      </c>
      <c r="E1026">
        <v>4518.5928199999998</v>
      </c>
      <c r="F1026">
        <v>4596.0559499999999</v>
      </c>
      <c r="G1026">
        <v>4755.40355</v>
      </c>
      <c r="H1026">
        <v>4792.7697200000002</v>
      </c>
      <c r="Q1026">
        <v>4543.61114</v>
      </c>
      <c r="R1026">
        <v>4572.97444</v>
      </c>
      <c r="S1026">
        <v>4599.5632100000003</v>
      </c>
      <c r="V1026">
        <v>4508.67137</v>
      </c>
      <c r="W1026">
        <v>4475.1063800000002</v>
      </c>
      <c r="AB1026">
        <v>4628.0933400000004</v>
      </c>
      <c r="AC1026">
        <v>4630.2244899999996</v>
      </c>
      <c r="AD1026">
        <v>0</v>
      </c>
      <c r="AK1026">
        <v>1024</v>
      </c>
      <c r="AL1026">
        <v>1023</v>
      </c>
      <c r="AM1026">
        <v>4629.43</v>
      </c>
      <c r="AN1026">
        <v>4543.6111000000001</v>
      </c>
      <c r="AO1026">
        <v>85.818899999999999</v>
      </c>
      <c r="AP1026">
        <v>7364.8766999999998</v>
      </c>
      <c r="AQ1026">
        <v>14.53998</v>
      </c>
      <c r="AR1026">
        <v>35.488289999999999</v>
      </c>
      <c r="AY1026">
        <v>1024</v>
      </c>
      <c r="AZ1026">
        <v>1023</v>
      </c>
      <c r="BA1026">
        <v>4629.43</v>
      </c>
      <c r="BB1026">
        <v>4543.6111000000001</v>
      </c>
      <c r="BC1026">
        <v>85.818899999999999</v>
      </c>
      <c r="BD1026">
        <v>7364.8766999999998</v>
      </c>
      <c r="BE1026">
        <v>1046529</v>
      </c>
    </row>
    <row r="1027" spans="1:57" x14ac:dyDescent="0.55000000000000004">
      <c r="A1027">
        <v>1777658402</v>
      </c>
      <c r="B1027" t="s">
        <v>72</v>
      </c>
      <c r="C1027" t="s">
        <v>73</v>
      </c>
      <c r="D1027">
        <v>4615.72</v>
      </c>
      <c r="E1027">
        <v>4518.5928199999998</v>
      </c>
      <c r="F1027">
        <v>4596.0559499999999</v>
      </c>
      <c r="G1027">
        <v>4755.40355</v>
      </c>
      <c r="H1027">
        <v>4792.7697200000002</v>
      </c>
      <c r="Q1027">
        <v>4543.3435399999998</v>
      </c>
      <c r="R1027">
        <v>4572.7068399999998</v>
      </c>
      <c r="S1027">
        <v>4599.2956100000001</v>
      </c>
      <c r="V1027">
        <v>4508.4037699999999</v>
      </c>
      <c r="W1027">
        <v>4474.8387700000003</v>
      </c>
      <c r="AB1027">
        <v>4625.9399199999998</v>
      </c>
      <c r="AC1027">
        <v>4628.0822099999996</v>
      </c>
      <c r="AD1027">
        <v>0</v>
      </c>
      <c r="AK1027">
        <v>1025</v>
      </c>
      <c r="AL1027">
        <v>1024</v>
      </c>
      <c r="AM1027">
        <v>4615.72</v>
      </c>
      <c r="AN1027">
        <v>4543.3434999999999</v>
      </c>
      <c r="AO1027">
        <v>72.376499999999993</v>
      </c>
      <c r="AP1027">
        <v>5238.3519999999999</v>
      </c>
      <c r="AQ1027">
        <v>8.7218300000000006</v>
      </c>
      <c r="AR1027">
        <v>17.953265999999999</v>
      </c>
      <c r="AY1027">
        <v>1025</v>
      </c>
      <c r="AZ1027">
        <v>1024</v>
      </c>
      <c r="BA1027">
        <v>4615.72</v>
      </c>
      <c r="BB1027">
        <v>4543.3434999999999</v>
      </c>
      <c r="BC1027">
        <v>72.376499999999993</v>
      </c>
      <c r="BD1027">
        <v>5238.3519999999999</v>
      </c>
      <c r="BE1027">
        <v>1048576</v>
      </c>
    </row>
    <row r="1028" spans="1:57" x14ac:dyDescent="0.55000000000000004">
      <c r="A1028">
        <v>1777659302</v>
      </c>
      <c r="B1028" t="s">
        <v>72</v>
      </c>
      <c r="C1028" t="s">
        <v>73</v>
      </c>
      <c r="D1028">
        <v>4623.4799999999996</v>
      </c>
      <c r="E1028">
        <v>4518.5928199999998</v>
      </c>
      <c r="F1028">
        <v>4596.0559499999999</v>
      </c>
      <c r="G1028">
        <v>4755.40355</v>
      </c>
      <c r="H1028">
        <v>4792.7697200000002</v>
      </c>
      <c r="Q1028">
        <v>4543.0759399999997</v>
      </c>
      <c r="R1028">
        <v>4572.43923</v>
      </c>
      <c r="S1028">
        <v>4599.02801</v>
      </c>
      <c r="V1028">
        <v>4508.1361699999998</v>
      </c>
      <c r="W1028">
        <v>4474.5711700000002</v>
      </c>
      <c r="AB1028">
        <v>4624.1975000000002</v>
      </c>
      <c r="AC1028">
        <v>4626.1398499999996</v>
      </c>
      <c r="AD1028">
        <v>0</v>
      </c>
      <c r="AK1028">
        <v>1026</v>
      </c>
      <c r="AL1028">
        <v>1025</v>
      </c>
      <c r="AM1028">
        <v>4623.4799999999996</v>
      </c>
      <c r="AN1028">
        <v>4543.0758999999998</v>
      </c>
      <c r="AO1028">
        <v>80.4041</v>
      </c>
      <c r="AP1028">
        <v>6464.8128999999999</v>
      </c>
      <c r="AQ1028">
        <v>11.957751</v>
      </c>
      <c r="AR1028">
        <v>27.344251</v>
      </c>
      <c r="AY1028">
        <v>1026</v>
      </c>
      <c r="AZ1028">
        <v>1025</v>
      </c>
      <c r="BA1028">
        <v>4623.4799999999996</v>
      </c>
      <c r="BB1028">
        <v>4543.0758999999998</v>
      </c>
      <c r="BC1028">
        <v>80.4041</v>
      </c>
      <c r="BD1028">
        <v>6464.8128999999999</v>
      </c>
      <c r="BE1028">
        <v>1050625</v>
      </c>
    </row>
    <row r="1029" spans="1:57" x14ac:dyDescent="0.55000000000000004">
      <c r="A1029">
        <v>1777660202</v>
      </c>
      <c r="B1029" t="s">
        <v>72</v>
      </c>
      <c r="C1029" t="s">
        <v>73</v>
      </c>
      <c r="D1029">
        <v>4622.32</v>
      </c>
      <c r="E1029">
        <v>4518.5928199999998</v>
      </c>
      <c r="F1029">
        <v>4596.0559499999999</v>
      </c>
      <c r="G1029">
        <v>4755.40355</v>
      </c>
      <c r="H1029">
        <v>4792.7697200000002</v>
      </c>
      <c r="Q1029">
        <v>4542.8083299999998</v>
      </c>
      <c r="R1029">
        <v>4572.1716299999998</v>
      </c>
      <c r="S1029">
        <v>4598.7604000000001</v>
      </c>
      <c r="V1029">
        <v>4507.8685599999999</v>
      </c>
      <c r="W1029">
        <v>4474.30357</v>
      </c>
      <c r="AB1029">
        <v>4622.5844200000001</v>
      </c>
      <c r="AC1029">
        <v>4624.3621400000002</v>
      </c>
      <c r="AD1029">
        <v>0</v>
      </c>
      <c r="AK1029">
        <v>1027</v>
      </c>
      <c r="AL1029">
        <v>1026</v>
      </c>
      <c r="AM1029">
        <v>4622.32</v>
      </c>
      <c r="AN1029">
        <v>4542.8082999999997</v>
      </c>
      <c r="AO1029">
        <v>79.511700000000005</v>
      </c>
      <c r="AP1029">
        <v>6322.1057000000001</v>
      </c>
      <c r="AQ1029">
        <v>11.564003</v>
      </c>
      <c r="AR1029">
        <v>26.150355999999999</v>
      </c>
      <c r="AY1029">
        <v>1027</v>
      </c>
      <c r="AZ1029">
        <v>1026</v>
      </c>
      <c r="BA1029">
        <v>4622.32</v>
      </c>
      <c r="BB1029">
        <v>4542.8082999999997</v>
      </c>
      <c r="BC1029">
        <v>79.511700000000005</v>
      </c>
      <c r="BD1029">
        <v>6322.1057000000001</v>
      </c>
      <c r="BE1029">
        <v>1052676</v>
      </c>
    </row>
    <row r="1030" spans="1:57" x14ac:dyDescent="0.55000000000000004">
      <c r="A1030">
        <v>1777661102</v>
      </c>
      <c r="B1030" t="s">
        <v>72</v>
      </c>
      <c r="C1030" t="s">
        <v>73</v>
      </c>
      <c r="D1030">
        <v>4624.3500000000004</v>
      </c>
      <c r="E1030">
        <v>4518.5928199999998</v>
      </c>
      <c r="F1030">
        <v>4596.0559499999999</v>
      </c>
      <c r="G1030">
        <v>4755.40355</v>
      </c>
      <c r="H1030">
        <v>4792.7697200000002</v>
      </c>
      <c r="Q1030">
        <v>4542.5407299999997</v>
      </c>
      <c r="R1030">
        <v>4571.9040299999997</v>
      </c>
      <c r="S1030">
        <v>4598.4928</v>
      </c>
      <c r="V1030">
        <v>4507.6009599999998</v>
      </c>
      <c r="W1030">
        <v>4474.0359600000002</v>
      </c>
      <c r="AB1030">
        <v>4621.0267700000004</v>
      </c>
      <c r="AC1030">
        <v>4622.69445</v>
      </c>
      <c r="AD1030">
        <v>0</v>
      </c>
      <c r="AK1030">
        <v>1028</v>
      </c>
      <c r="AL1030">
        <v>1027</v>
      </c>
      <c r="AM1030">
        <v>4624.3500000000004</v>
      </c>
      <c r="AN1030">
        <v>4542.5406999999996</v>
      </c>
      <c r="AO1030">
        <v>81.809299999999993</v>
      </c>
      <c r="AP1030">
        <v>6692.7566999999999</v>
      </c>
      <c r="AQ1030">
        <v>12.595724000000001</v>
      </c>
      <c r="AR1030">
        <v>29.306515000000001</v>
      </c>
      <c r="AY1030">
        <v>1028</v>
      </c>
      <c r="AZ1030">
        <v>1027</v>
      </c>
      <c r="BA1030">
        <v>4624.3500000000004</v>
      </c>
      <c r="BB1030">
        <v>4542.5406999999996</v>
      </c>
      <c r="BC1030">
        <v>81.809299999999993</v>
      </c>
      <c r="BD1030">
        <v>6692.7566999999999</v>
      </c>
      <c r="BE1030">
        <v>1054729</v>
      </c>
    </row>
    <row r="1031" spans="1:57" x14ac:dyDescent="0.55000000000000004">
      <c r="A1031">
        <v>1777662002</v>
      </c>
      <c r="B1031" t="s">
        <v>72</v>
      </c>
      <c r="C1031" t="s">
        <v>73</v>
      </c>
      <c r="D1031">
        <v>4626.3</v>
      </c>
      <c r="E1031">
        <v>4518.5928199999998</v>
      </c>
      <c r="F1031">
        <v>4596.0559499999999</v>
      </c>
      <c r="G1031">
        <v>4755.40355</v>
      </c>
      <c r="H1031">
        <v>4792.7697200000002</v>
      </c>
      <c r="Q1031">
        <v>4542.2731199999998</v>
      </c>
      <c r="R1031">
        <v>4571.6364199999998</v>
      </c>
      <c r="S1031">
        <v>4598.2251900000001</v>
      </c>
      <c r="V1031">
        <v>4507.3333499999999</v>
      </c>
      <c r="W1031">
        <v>4473.76836</v>
      </c>
      <c r="AB1031">
        <v>4619.3873100000001</v>
      </c>
      <c r="AC1031">
        <v>4621.0408799999996</v>
      </c>
      <c r="AD1031">
        <v>0</v>
      </c>
      <c r="AK1031">
        <v>1029</v>
      </c>
      <c r="AL1031">
        <v>1028</v>
      </c>
      <c r="AM1031">
        <v>4626.3</v>
      </c>
      <c r="AN1031">
        <v>4542.2731000000003</v>
      </c>
      <c r="AO1031">
        <v>84.026899999999998</v>
      </c>
      <c r="AP1031">
        <v>7060.5165999999999</v>
      </c>
      <c r="AQ1031">
        <v>13.64804</v>
      </c>
      <c r="AR1031">
        <v>32.615727</v>
      </c>
      <c r="AY1031">
        <v>1029</v>
      </c>
      <c r="AZ1031">
        <v>1028</v>
      </c>
      <c r="BA1031">
        <v>4626.3</v>
      </c>
      <c r="BB1031">
        <v>4542.2731000000003</v>
      </c>
      <c r="BC1031">
        <v>84.026899999999998</v>
      </c>
      <c r="BD1031">
        <v>7060.5165999999999</v>
      </c>
      <c r="BE1031">
        <v>1056784</v>
      </c>
    </row>
    <row r="1032" spans="1:57" x14ac:dyDescent="0.55000000000000004">
      <c r="A1032">
        <v>1777662902</v>
      </c>
      <c r="B1032" t="s">
        <v>72</v>
      </c>
      <c r="C1032" t="s">
        <v>73</v>
      </c>
      <c r="D1032">
        <v>4624.3999999999996</v>
      </c>
      <c r="E1032">
        <v>4518.5928199999998</v>
      </c>
      <c r="F1032">
        <v>4596.0559499999999</v>
      </c>
      <c r="G1032">
        <v>4755.40355</v>
      </c>
      <c r="H1032">
        <v>4792.7697200000002</v>
      </c>
      <c r="Q1032">
        <v>4542.0055199999997</v>
      </c>
      <c r="R1032">
        <v>4571.3688199999997</v>
      </c>
      <c r="S1032">
        <v>4597.95759</v>
      </c>
      <c r="V1032">
        <v>4507.0657499999998</v>
      </c>
      <c r="W1032">
        <v>4473.5007500000002</v>
      </c>
      <c r="AB1032">
        <v>4617.6176400000004</v>
      </c>
      <c r="AC1032">
        <v>4619.3292600000004</v>
      </c>
      <c r="AD1032">
        <v>0</v>
      </c>
      <c r="AK1032">
        <v>1030</v>
      </c>
      <c r="AL1032">
        <v>1029</v>
      </c>
      <c r="AM1032">
        <v>4624.3999999999996</v>
      </c>
      <c r="AN1032">
        <v>4542.0055000000002</v>
      </c>
      <c r="AO1032">
        <v>82.394499999999994</v>
      </c>
      <c r="AP1032">
        <v>6788.8503000000001</v>
      </c>
      <c r="AQ1032">
        <v>12.867967</v>
      </c>
      <c r="AR1032">
        <v>30.154115000000001</v>
      </c>
      <c r="AY1032">
        <v>1030</v>
      </c>
      <c r="AZ1032">
        <v>1029</v>
      </c>
      <c r="BA1032">
        <v>4624.3999999999996</v>
      </c>
      <c r="BB1032">
        <v>4542.0055000000002</v>
      </c>
      <c r="BC1032">
        <v>82.394499999999994</v>
      </c>
      <c r="BD1032">
        <v>6788.8503000000001</v>
      </c>
      <c r="BE1032">
        <v>1058841</v>
      </c>
    </row>
    <row r="1033" spans="1:57" x14ac:dyDescent="0.55000000000000004">
      <c r="A1033">
        <v>1777663802</v>
      </c>
      <c r="B1033" t="s">
        <v>72</v>
      </c>
      <c r="C1033" t="s">
        <v>73</v>
      </c>
      <c r="D1033">
        <v>4611.78</v>
      </c>
      <c r="E1033">
        <v>4518.5928199999998</v>
      </c>
      <c r="F1033">
        <v>4596.0559499999999</v>
      </c>
      <c r="G1033">
        <v>4755.40355</v>
      </c>
      <c r="H1033">
        <v>4792.7697200000002</v>
      </c>
      <c r="Q1033">
        <v>4541.7379199999996</v>
      </c>
      <c r="R1033">
        <v>4571.1012099999998</v>
      </c>
      <c r="S1033">
        <v>4597.6899899999999</v>
      </c>
      <c r="V1033">
        <v>4506.7981499999996</v>
      </c>
      <c r="W1033">
        <v>4473.23315</v>
      </c>
      <c r="AB1033">
        <v>4615.85239</v>
      </c>
      <c r="AC1033">
        <v>4617.5908200000003</v>
      </c>
      <c r="AD1033">
        <v>0</v>
      </c>
      <c r="AK1033">
        <v>1031</v>
      </c>
      <c r="AL1033">
        <v>1030</v>
      </c>
      <c r="AM1033">
        <v>4611.78</v>
      </c>
      <c r="AN1033">
        <v>4541.7379000000001</v>
      </c>
      <c r="AO1033">
        <v>70.042100000000005</v>
      </c>
      <c r="AP1033">
        <v>4905.893</v>
      </c>
      <c r="AQ1033">
        <v>7.904833</v>
      </c>
      <c r="AR1033">
        <v>15.746725</v>
      </c>
      <c r="AY1033">
        <v>1031</v>
      </c>
      <c r="AZ1033">
        <v>1030</v>
      </c>
      <c r="BA1033">
        <v>4611.78</v>
      </c>
      <c r="BB1033">
        <v>4541.7379000000001</v>
      </c>
      <c r="BC1033">
        <v>70.042100000000005</v>
      </c>
      <c r="BD1033">
        <v>4905.893</v>
      </c>
      <c r="BE1033">
        <v>1060900</v>
      </c>
    </row>
    <row r="1034" spans="1:57" x14ac:dyDescent="0.55000000000000004">
      <c r="A1034">
        <v>1777664702</v>
      </c>
      <c r="B1034" t="s">
        <v>72</v>
      </c>
      <c r="C1034" t="s">
        <v>73</v>
      </c>
      <c r="D1034">
        <v>4610.0600000000004</v>
      </c>
      <c r="E1034">
        <v>4518.5928199999998</v>
      </c>
      <c r="F1034">
        <v>4596.0559499999999</v>
      </c>
      <c r="G1034">
        <v>4755.40355</v>
      </c>
      <c r="H1034">
        <v>4792.7697200000002</v>
      </c>
      <c r="Q1034">
        <v>4541.4703099999997</v>
      </c>
      <c r="R1034">
        <v>4570.8336099999997</v>
      </c>
      <c r="S1034">
        <v>4597.42238</v>
      </c>
      <c r="V1034">
        <v>4506.5305399999997</v>
      </c>
      <c r="W1034">
        <v>4472.9655400000001</v>
      </c>
      <c r="AB1034">
        <v>4614.6063800000002</v>
      </c>
      <c r="AC1034">
        <v>4616.0986000000003</v>
      </c>
      <c r="AD1034">
        <v>0</v>
      </c>
      <c r="AK1034">
        <v>1032</v>
      </c>
      <c r="AL1034">
        <v>1031</v>
      </c>
      <c r="AM1034">
        <v>4610.0600000000004</v>
      </c>
      <c r="AN1034">
        <v>4541.4703</v>
      </c>
      <c r="AO1034">
        <v>68.589699999999993</v>
      </c>
      <c r="AP1034">
        <v>4704.5456000000004</v>
      </c>
      <c r="AQ1034">
        <v>7.423216</v>
      </c>
      <c r="AR1034">
        <v>14.480696999999999</v>
      </c>
      <c r="AY1034">
        <v>1032</v>
      </c>
      <c r="AZ1034">
        <v>1031</v>
      </c>
      <c r="BA1034">
        <v>4610.0600000000004</v>
      </c>
      <c r="BB1034">
        <v>4541.4703</v>
      </c>
      <c r="BC1034">
        <v>68.589699999999993</v>
      </c>
      <c r="BD1034">
        <v>4704.5456000000004</v>
      </c>
      <c r="BE1034">
        <v>1062961</v>
      </c>
    </row>
    <row r="1035" spans="1:57" x14ac:dyDescent="0.55000000000000004">
      <c r="A1035">
        <v>1777665602</v>
      </c>
      <c r="B1035" t="s">
        <v>72</v>
      </c>
      <c r="C1035" t="s">
        <v>73</v>
      </c>
      <c r="D1035">
        <v>4611.41</v>
      </c>
      <c r="E1035">
        <v>4518.5928199999998</v>
      </c>
      <c r="F1035">
        <v>4596.0559499999999</v>
      </c>
      <c r="G1035">
        <v>4755.40355</v>
      </c>
      <c r="H1035">
        <v>4792.7697200000002</v>
      </c>
      <c r="Q1035">
        <v>4541.2027099999996</v>
      </c>
      <c r="R1035">
        <v>4570.5660099999996</v>
      </c>
      <c r="S1035">
        <v>4597.1547799999998</v>
      </c>
      <c r="V1035">
        <v>4506.2629399999996</v>
      </c>
      <c r="W1035">
        <v>4472.69794</v>
      </c>
      <c r="AB1035">
        <v>4614.0592299999998</v>
      </c>
      <c r="AC1035">
        <v>4615.0789199999999</v>
      </c>
      <c r="AD1035">
        <v>0</v>
      </c>
      <c r="AK1035">
        <v>1033</v>
      </c>
      <c r="AL1035">
        <v>1032</v>
      </c>
      <c r="AM1035">
        <v>4611.41</v>
      </c>
      <c r="AN1035">
        <v>4541.2026999999998</v>
      </c>
      <c r="AO1035">
        <v>70.207300000000004</v>
      </c>
      <c r="AP1035">
        <v>4929.0636000000004</v>
      </c>
      <c r="AQ1035">
        <v>7.9609009999999998</v>
      </c>
      <c r="AR1035">
        <v>15.895821</v>
      </c>
      <c r="AY1035">
        <v>1033</v>
      </c>
      <c r="AZ1035">
        <v>1032</v>
      </c>
      <c r="BA1035">
        <v>4611.41</v>
      </c>
      <c r="BB1035">
        <v>4541.2026999999998</v>
      </c>
      <c r="BC1035">
        <v>70.207300000000004</v>
      </c>
      <c r="BD1035">
        <v>4929.0636000000004</v>
      </c>
      <c r="BE1035">
        <v>1065024</v>
      </c>
    </row>
    <row r="1036" spans="1:57" x14ac:dyDescent="0.55000000000000004">
      <c r="A1036">
        <v>1777666502</v>
      </c>
      <c r="B1036" t="s">
        <v>72</v>
      </c>
      <c r="C1036" t="s">
        <v>73</v>
      </c>
      <c r="D1036">
        <v>4613.3</v>
      </c>
      <c r="E1036">
        <v>4518.5928199999998</v>
      </c>
      <c r="F1036">
        <v>4596.0559499999999</v>
      </c>
      <c r="G1036">
        <v>4755.40355</v>
      </c>
      <c r="H1036">
        <v>4792.7697200000002</v>
      </c>
      <c r="Q1036">
        <v>4540.9350999999997</v>
      </c>
      <c r="R1036">
        <v>4570.2983999999997</v>
      </c>
      <c r="S1036">
        <v>4596.88717</v>
      </c>
      <c r="V1036">
        <v>4505.9953299999997</v>
      </c>
      <c r="W1036">
        <v>4472.4303399999999</v>
      </c>
      <c r="AB1036">
        <v>4614.27441</v>
      </c>
      <c r="AC1036">
        <v>4614.6766600000001</v>
      </c>
      <c r="AD1036">
        <v>0</v>
      </c>
      <c r="AK1036">
        <v>1034</v>
      </c>
      <c r="AL1036">
        <v>1033</v>
      </c>
      <c r="AM1036">
        <v>4613.3</v>
      </c>
      <c r="AN1036">
        <v>4540.9350999999997</v>
      </c>
      <c r="AO1036">
        <v>72.364900000000006</v>
      </c>
      <c r="AP1036">
        <v>5236.6787999999997</v>
      </c>
      <c r="AQ1036">
        <v>8.717651</v>
      </c>
      <c r="AR1036">
        <v>17.941799</v>
      </c>
      <c r="AY1036">
        <v>1034</v>
      </c>
      <c r="AZ1036">
        <v>1033</v>
      </c>
      <c r="BA1036">
        <v>4613.3</v>
      </c>
      <c r="BB1036">
        <v>4540.9350999999997</v>
      </c>
      <c r="BC1036">
        <v>72.364900000000006</v>
      </c>
      <c r="BD1036">
        <v>5236.6787999999997</v>
      </c>
      <c r="BE1036">
        <v>1067089</v>
      </c>
    </row>
    <row r="1037" spans="1:57" x14ac:dyDescent="0.55000000000000004">
      <c r="A1037">
        <v>1777667402</v>
      </c>
      <c r="B1037" t="s">
        <v>72</v>
      </c>
      <c r="C1037" t="s">
        <v>73</v>
      </c>
      <c r="D1037">
        <v>4613.7700000000004</v>
      </c>
      <c r="E1037">
        <v>4518.5928199999998</v>
      </c>
      <c r="F1037">
        <v>4596.0559499999999</v>
      </c>
      <c r="G1037">
        <v>4755.40355</v>
      </c>
      <c r="H1037">
        <v>4792.7697200000002</v>
      </c>
      <c r="Q1037">
        <v>4540.6674999999996</v>
      </c>
      <c r="R1037">
        <v>4570.0308000000005</v>
      </c>
      <c r="S1037">
        <v>4596.6195699999998</v>
      </c>
      <c r="V1037">
        <v>4505.7277299999996</v>
      </c>
      <c r="W1037">
        <v>4472.16273</v>
      </c>
      <c r="AB1037">
        <v>4615.1934300000003</v>
      </c>
      <c r="AC1037">
        <v>4614.93505</v>
      </c>
      <c r="AD1037">
        <v>1</v>
      </c>
      <c r="AK1037">
        <v>1035</v>
      </c>
      <c r="AL1037">
        <v>1034</v>
      </c>
      <c r="AM1037">
        <v>4613.7700000000004</v>
      </c>
      <c r="AN1037">
        <v>4540.6674999999996</v>
      </c>
      <c r="AO1037">
        <v>73.102500000000006</v>
      </c>
      <c r="AP1037">
        <v>5343.9754999999996</v>
      </c>
      <c r="AQ1037">
        <v>8.9869489999999992</v>
      </c>
      <c r="AR1037">
        <v>18.684567000000001</v>
      </c>
      <c r="AY1037">
        <v>1035</v>
      </c>
      <c r="AZ1037">
        <v>1034</v>
      </c>
      <c r="BA1037">
        <v>4613.7700000000004</v>
      </c>
      <c r="BB1037">
        <v>4540.6674999999996</v>
      </c>
      <c r="BC1037">
        <v>73.102500000000006</v>
      </c>
      <c r="BD1037">
        <v>5343.9754999999996</v>
      </c>
      <c r="BE1037">
        <v>1069156</v>
      </c>
    </row>
    <row r="1038" spans="1:57" x14ac:dyDescent="0.55000000000000004">
      <c r="A1038">
        <v>1777668302</v>
      </c>
      <c r="B1038" t="s">
        <v>72</v>
      </c>
      <c r="C1038" t="s">
        <v>73</v>
      </c>
      <c r="D1038">
        <v>4613.9799999999996</v>
      </c>
      <c r="E1038">
        <v>4518.5928199999998</v>
      </c>
      <c r="F1038">
        <v>4596.0559499999999</v>
      </c>
      <c r="G1038">
        <v>4755.40355</v>
      </c>
      <c r="H1038">
        <v>4792.7697200000002</v>
      </c>
      <c r="Q1038">
        <v>4540.3998899999997</v>
      </c>
      <c r="R1038">
        <v>4569.7631899999997</v>
      </c>
      <c r="S1038">
        <v>4596.35196</v>
      </c>
      <c r="V1038">
        <v>4505.4601199999997</v>
      </c>
      <c r="W1038">
        <v>4471.8951299999999</v>
      </c>
      <c r="AB1038">
        <v>4616.6745499999997</v>
      </c>
      <c r="AC1038">
        <v>4615.8047999999999</v>
      </c>
      <c r="AD1038">
        <v>0</v>
      </c>
      <c r="AK1038">
        <v>1036</v>
      </c>
      <c r="AL1038">
        <v>1035</v>
      </c>
      <c r="AM1038">
        <v>4613.9799999999996</v>
      </c>
      <c r="AN1038">
        <v>4540.3999000000003</v>
      </c>
      <c r="AO1038">
        <v>73.580100000000002</v>
      </c>
      <c r="AP1038">
        <v>5414.0325999999995</v>
      </c>
      <c r="AQ1038">
        <v>9.1642489999999999</v>
      </c>
      <c r="AR1038">
        <v>19.177669999999999</v>
      </c>
      <c r="AY1038">
        <v>1036</v>
      </c>
      <c r="AZ1038">
        <v>1035</v>
      </c>
      <c r="BA1038">
        <v>4613.9799999999996</v>
      </c>
      <c r="BB1038">
        <v>4540.3999000000003</v>
      </c>
      <c r="BC1038">
        <v>73.580100000000002</v>
      </c>
      <c r="BD1038">
        <v>5414.0325999999995</v>
      </c>
      <c r="BE1038">
        <v>1071225</v>
      </c>
    </row>
    <row r="1039" spans="1:57" x14ac:dyDescent="0.55000000000000004">
      <c r="A1039">
        <v>1777845602</v>
      </c>
      <c r="B1039" t="s">
        <v>72</v>
      </c>
      <c r="C1039" t="s">
        <v>73</v>
      </c>
      <c r="D1039">
        <v>4623.1099999999997</v>
      </c>
      <c r="E1039">
        <v>4518.5928199999998</v>
      </c>
      <c r="F1039">
        <v>4596.0559499999999</v>
      </c>
      <c r="G1039">
        <v>4755.40355</v>
      </c>
      <c r="H1039">
        <v>4792.7697200000002</v>
      </c>
      <c r="Q1039">
        <v>4540.1322899999996</v>
      </c>
      <c r="R1039">
        <v>4569.4955900000004</v>
      </c>
      <c r="S1039">
        <v>4596.0843599999998</v>
      </c>
      <c r="V1039">
        <v>4505.1925199999996</v>
      </c>
      <c r="W1039">
        <v>4471.62752</v>
      </c>
      <c r="AB1039">
        <v>4618.4714899999999</v>
      </c>
      <c r="AC1039">
        <v>4617.1381499999998</v>
      </c>
      <c r="AD1039">
        <v>0</v>
      </c>
      <c r="AK1039">
        <v>1037</v>
      </c>
      <c r="AL1039">
        <v>1036</v>
      </c>
      <c r="AM1039">
        <v>4623.1099999999997</v>
      </c>
      <c r="AN1039">
        <v>4540.1323000000002</v>
      </c>
      <c r="AO1039">
        <v>82.977699999999999</v>
      </c>
      <c r="AP1039">
        <v>6885.3004000000001</v>
      </c>
      <c r="AQ1039">
        <v>13.143164000000001</v>
      </c>
      <c r="AR1039">
        <v>31.017007</v>
      </c>
      <c r="AY1039">
        <v>1037</v>
      </c>
      <c r="AZ1039">
        <v>1036</v>
      </c>
      <c r="BA1039">
        <v>4623.1099999999997</v>
      </c>
      <c r="BB1039">
        <v>4540.1323000000002</v>
      </c>
      <c r="BC1039">
        <v>82.977699999999999</v>
      </c>
      <c r="BD1039">
        <v>6885.3004000000001</v>
      </c>
      <c r="BE1039">
        <v>1073296</v>
      </c>
    </row>
    <row r="1040" spans="1:57" x14ac:dyDescent="0.55000000000000004">
      <c r="A1040">
        <v>1777846502</v>
      </c>
      <c r="B1040" t="s">
        <v>72</v>
      </c>
      <c r="C1040" t="s">
        <v>73</v>
      </c>
      <c r="D1040">
        <v>4620.91</v>
      </c>
      <c r="E1040">
        <v>4518.5928199999998</v>
      </c>
      <c r="F1040">
        <v>4596.0559499999999</v>
      </c>
      <c r="G1040">
        <v>4755.40355</v>
      </c>
      <c r="H1040">
        <v>4792.7697200000002</v>
      </c>
      <c r="Q1040">
        <v>4539.8646900000003</v>
      </c>
      <c r="R1040">
        <v>4569.2279900000003</v>
      </c>
      <c r="S1040">
        <v>4595.8167599999997</v>
      </c>
      <c r="V1040">
        <v>4504.9249200000004</v>
      </c>
      <c r="W1040">
        <v>4471.3599199999999</v>
      </c>
      <c r="AB1040">
        <v>4619.9576800000004</v>
      </c>
      <c r="AC1040">
        <v>4618.5479100000002</v>
      </c>
      <c r="AD1040">
        <v>0</v>
      </c>
      <c r="AK1040">
        <v>1038</v>
      </c>
      <c r="AL1040">
        <v>1037</v>
      </c>
      <c r="AM1040">
        <v>4620.91</v>
      </c>
      <c r="AN1040">
        <v>4539.8647000000001</v>
      </c>
      <c r="AO1040">
        <v>81.045299999999997</v>
      </c>
      <c r="AP1040">
        <v>6568.3423000000003</v>
      </c>
      <c r="AQ1040">
        <v>12.246141</v>
      </c>
      <c r="AR1040">
        <v>28.227060999999999</v>
      </c>
      <c r="AY1040">
        <v>1038</v>
      </c>
      <c r="AZ1040">
        <v>1037</v>
      </c>
      <c r="BA1040">
        <v>4620.91</v>
      </c>
      <c r="BB1040">
        <v>4539.8647000000001</v>
      </c>
      <c r="BC1040">
        <v>81.045299999999997</v>
      </c>
      <c r="BD1040">
        <v>6568.3423000000003</v>
      </c>
      <c r="BE1040">
        <v>1075369</v>
      </c>
    </row>
    <row r="1041" spans="1:57" x14ac:dyDescent="0.55000000000000004">
      <c r="A1041">
        <v>1777847402</v>
      </c>
      <c r="B1041" t="s">
        <v>72</v>
      </c>
      <c r="C1041" t="s">
        <v>73</v>
      </c>
      <c r="D1041">
        <v>4628.2</v>
      </c>
      <c r="E1041">
        <v>4518.5928199999998</v>
      </c>
      <c r="F1041">
        <v>4596.0559499999999</v>
      </c>
      <c r="G1041">
        <v>4755.40355</v>
      </c>
      <c r="H1041">
        <v>4792.7697200000002</v>
      </c>
      <c r="Q1041">
        <v>4539.5970799999996</v>
      </c>
      <c r="R1041">
        <v>4568.9603800000004</v>
      </c>
      <c r="S1041">
        <v>4595.5491499999998</v>
      </c>
      <c r="V1041">
        <v>4504.6573099999996</v>
      </c>
      <c r="W1041">
        <v>4471.0923199999997</v>
      </c>
      <c r="AB1041">
        <v>4620.8297300000004</v>
      </c>
      <c r="AC1041">
        <v>4619.6888200000003</v>
      </c>
      <c r="AD1041">
        <v>0</v>
      </c>
      <c r="AK1041">
        <v>1039</v>
      </c>
      <c r="AL1041">
        <v>1038</v>
      </c>
      <c r="AM1041">
        <v>4628.2</v>
      </c>
      <c r="AN1041">
        <v>4539.5971</v>
      </c>
      <c r="AO1041">
        <v>88.602900000000005</v>
      </c>
      <c r="AP1041">
        <v>7850.4773999999998</v>
      </c>
      <c r="AQ1041">
        <v>16.001463000000001</v>
      </c>
      <c r="AR1041">
        <v>40.322389000000001</v>
      </c>
      <c r="AY1041">
        <v>1039</v>
      </c>
      <c r="AZ1041">
        <v>1038</v>
      </c>
      <c r="BA1041">
        <v>4628.2</v>
      </c>
      <c r="BB1041">
        <v>4539.5971</v>
      </c>
      <c r="BC1041">
        <v>88.602900000000005</v>
      </c>
      <c r="BD1041">
        <v>7850.4773999999998</v>
      </c>
      <c r="BE1041">
        <v>1077444</v>
      </c>
    </row>
    <row r="1042" spans="1:57" x14ac:dyDescent="0.55000000000000004">
      <c r="A1042">
        <v>1777848302</v>
      </c>
      <c r="B1042" t="s">
        <v>72</v>
      </c>
      <c r="C1042" t="s">
        <v>73</v>
      </c>
      <c r="D1042">
        <v>4618.95</v>
      </c>
      <c r="E1042">
        <v>4518.5928199999998</v>
      </c>
      <c r="F1042">
        <v>4596.0559499999999</v>
      </c>
      <c r="G1042">
        <v>4755.40355</v>
      </c>
      <c r="H1042">
        <v>4792.7697200000002</v>
      </c>
      <c r="Q1042">
        <v>4539.3294800000003</v>
      </c>
      <c r="R1042">
        <v>4568.6927800000003</v>
      </c>
      <c r="S1042">
        <v>4595.2815499999997</v>
      </c>
      <c r="V1042">
        <v>4504.3897100000004</v>
      </c>
      <c r="W1042">
        <v>4470.8247099999999</v>
      </c>
      <c r="AB1042">
        <v>4620.6126700000004</v>
      </c>
      <c r="AC1042">
        <v>4620.15074</v>
      </c>
      <c r="AD1042">
        <v>0</v>
      </c>
      <c r="AK1042">
        <v>1040</v>
      </c>
      <c r="AL1042">
        <v>1039</v>
      </c>
      <c r="AM1042">
        <v>4618.95</v>
      </c>
      <c r="AN1042">
        <v>4539.3294999999998</v>
      </c>
      <c r="AO1042">
        <v>79.620500000000007</v>
      </c>
      <c r="AP1042">
        <v>6339.4272000000001</v>
      </c>
      <c r="AQ1042">
        <v>11.611561</v>
      </c>
      <c r="AR1042">
        <v>26.293848000000001</v>
      </c>
      <c r="AY1042">
        <v>1040</v>
      </c>
      <c r="AZ1042">
        <v>1039</v>
      </c>
      <c r="BA1042">
        <v>4618.95</v>
      </c>
      <c r="BB1042">
        <v>4539.3294999999998</v>
      </c>
      <c r="BC1042">
        <v>79.620500000000007</v>
      </c>
      <c r="BD1042">
        <v>6339.4272000000001</v>
      </c>
      <c r="BE1042">
        <v>1079521</v>
      </c>
    </row>
    <row r="1043" spans="1:57" x14ac:dyDescent="0.55000000000000004">
      <c r="A1043">
        <v>1777849202</v>
      </c>
      <c r="B1043" t="s">
        <v>72</v>
      </c>
      <c r="C1043" t="s">
        <v>73</v>
      </c>
      <c r="D1043">
        <v>4615.08</v>
      </c>
      <c r="E1043">
        <v>4518.5928199999998</v>
      </c>
      <c r="F1043">
        <v>4596.0559499999999</v>
      </c>
      <c r="G1043">
        <v>4755.40355</v>
      </c>
      <c r="H1043">
        <v>4792.7697200000002</v>
      </c>
      <c r="Q1043">
        <v>4539.0618700000005</v>
      </c>
      <c r="R1043">
        <v>4568.4251700000004</v>
      </c>
      <c r="S1043">
        <v>4595.0139399999998</v>
      </c>
      <c r="V1043">
        <v>4504.1220999999996</v>
      </c>
      <c r="W1043">
        <v>4470.5571099999997</v>
      </c>
      <c r="AB1043">
        <v>4619.5298300000004</v>
      </c>
      <c r="AC1043">
        <v>4619.8402900000001</v>
      </c>
      <c r="AD1043">
        <v>1</v>
      </c>
      <c r="AK1043">
        <v>1041</v>
      </c>
      <c r="AL1043">
        <v>1040</v>
      </c>
      <c r="AM1043">
        <v>4615.08</v>
      </c>
      <c r="AN1043">
        <v>4539.0618999999997</v>
      </c>
      <c r="AO1043">
        <v>76.018100000000004</v>
      </c>
      <c r="AP1043">
        <v>5778.7560999999996</v>
      </c>
      <c r="AQ1043">
        <v>10.105717</v>
      </c>
      <c r="AR1043">
        <v>21.848561</v>
      </c>
      <c r="AY1043">
        <v>1041</v>
      </c>
      <c r="AZ1043">
        <v>1040</v>
      </c>
      <c r="BA1043">
        <v>4615.08</v>
      </c>
      <c r="BB1043">
        <v>4539.0618999999997</v>
      </c>
      <c r="BC1043">
        <v>76.018100000000004</v>
      </c>
      <c r="BD1043">
        <v>5778.7560999999996</v>
      </c>
      <c r="BE1043">
        <v>1081600</v>
      </c>
    </row>
    <row r="1044" spans="1:57" x14ac:dyDescent="0.55000000000000004">
      <c r="A1044">
        <v>1777850102</v>
      </c>
      <c r="B1044" t="s">
        <v>72</v>
      </c>
      <c r="C1044" t="s">
        <v>73</v>
      </c>
      <c r="D1044">
        <v>4617.09</v>
      </c>
      <c r="E1044">
        <v>4518.5928199999998</v>
      </c>
      <c r="F1044">
        <v>4596.0559499999999</v>
      </c>
      <c r="G1044">
        <v>4755.40355</v>
      </c>
      <c r="H1044">
        <v>4792.7697200000002</v>
      </c>
      <c r="Q1044">
        <v>4538.7942700000003</v>
      </c>
      <c r="R1044">
        <v>4568.1575700000003</v>
      </c>
      <c r="S1044">
        <v>4594.7463399999997</v>
      </c>
      <c r="V1044">
        <v>4503.8545000000004</v>
      </c>
      <c r="W1044">
        <v>4470.2894999999999</v>
      </c>
      <c r="AB1044">
        <v>4617.8138300000001</v>
      </c>
      <c r="AC1044">
        <v>4618.8270599999996</v>
      </c>
      <c r="AD1044">
        <v>0</v>
      </c>
      <c r="AK1044">
        <v>1042</v>
      </c>
      <c r="AL1044">
        <v>1041</v>
      </c>
      <c r="AM1044">
        <v>4617.09</v>
      </c>
      <c r="AN1044">
        <v>4538.7942999999996</v>
      </c>
      <c r="AO1044">
        <v>78.295699999999997</v>
      </c>
      <c r="AP1044">
        <v>6130.2213000000002</v>
      </c>
      <c r="AQ1044">
        <v>11.041544</v>
      </c>
      <c r="AR1044">
        <v>24.587050000000001</v>
      </c>
      <c r="AY1044">
        <v>1042</v>
      </c>
      <c r="AZ1044">
        <v>1041</v>
      </c>
      <c r="BA1044">
        <v>4617.09</v>
      </c>
      <c r="BB1044">
        <v>4538.7942999999996</v>
      </c>
      <c r="BC1044">
        <v>78.295699999999997</v>
      </c>
      <c r="BD1044">
        <v>6130.2213000000002</v>
      </c>
      <c r="BE1044">
        <v>1083681</v>
      </c>
    </row>
    <row r="1045" spans="1:57" x14ac:dyDescent="0.55000000000000004">
      <c r="A1045">
        <v>1777851002</v>
      </c>
      <c r="B1045" t="s">
        <v>72</v>
      </c>
      <c r="C1045" t="s">
        <v>73</v>
      </c>
      <c r="D1045">
        <v>4613.63</v>
      </c>
      <c r="E1045">
        <v>4518.5928199999998</v>
      </c>
      <c r="F1045">
        <v>4596.0559499999999</v>
      </c>
      <c r="G1045">
        <v>4755.40355</v>
      </c>
      <c r="H1045">
        <v>4792.7697200000002</v>
      </c>
      <c r="Q1045">
        <v>4538.5266700000002</v>
      </c>
      <c r="R1045">
        <v>4567.8899700000002</v>
      </c>
      <c r="S1045">
        <v>4594.4787399999996</v>
      </c>
      <c r="V1045">
        <v>4503.5869000000002</v>
      </c>
      <c r="W1045">
        <v>4470.0218999999997</v>
      </c>
      <c r="AB1045">
        <v>4615.5777699999999</v>
      </c>
      <c r="AC1045">
        <v>4617.2024099999999</v>
      </c>
      <c r="AD1045">
        <v>0</v>
      </c>
      <c r="AK1045">
        <v>1043</v>
      </c>
      <c r="AL1045">
        <v>1042</v>
      </c>
      <c r="AM1045">
        <v>4613.63</v>
      </c>
      <c r="AN1045">
        <v>4538.5267000000003</v>
      </c>
      <c r="AO1045">
        <v>75.103300000000004</v>
      </c>
      <c r="AP1045">
        <v>5640.5101999999997</v>
      </c>
      <c r="AQ1045">
        <v>9.7452539999999992</v>
      </c>
      <c r="AR1045">
        <v>20.815694000000001</v>
      </c>
      <c r="AY1045">
        <v>1043</v>
      </c>
      <c r="AZ1045">
        <v>1042</v>
      </c>
      <c r="BA1045">
        <v>4613.63</v>
      </c>
      <c r="BB1045">
        <v>4538.5267000000003</v>
      </c>
      <c r="BC1045">
        <v>75.103300000000004</v>
      </c>
      <c r="BD1045">
        <v>5640.5101999999997</v>
      </c>
      <c r="BE1045">
        <v>1085764</v>
      </c>
    </row>
    <row r="1046" spans="1:57" x14ac:dyDescent="0.55000000000000004">
      <c r="A1046">
        <v>1777851902</v>
      </c>
      <c r="B1046" t="s">
        <v>72</v>
      </c>
      <c r="C1046" t="s">
        <v>73</v>
      </c>
      <c r="D1046">
        <v>4613.8599999999997</v>
      </c>
      <c r="E1046">
        <v>4518.5928199999998</v>
      </c>
      <c r="F1046">
        <v>4596.0559499999999</v>
      </c>
      <c r="G1046">
        <v>4755.40355</v>
      </c>
      <c r="H1046">
        <v>4792.7697200000002</v>
      </c>
      <c r="Q1046">
        <v>4538.2590600000003</v>
      </c>
      <c r="R1046">
        <v>4567.6223600000003</v>
      </c>
      <c r="S1046">
        <v>4594.2111299999997</v>
      </c>
      <c r="V1046">
        <v>4503.3192900000004</v>
      </c>
      <c r="W1046">
        <v>4469.7542999999996</v>
      </c>
      <c r="AB1046">
        <v>4613.10995</v>
      </c>
      <c r="AC1046">
        <v>4615.1561799999999</v>
      </c>
      <c r="AD1046">
        <v>0</v>
      </c>
      <c r="AK1046">
        <v>1044</v>
      </c>
      <c r="AL1046">
        <v>1043</v>
      </c>
      <c r="AM1046">
        <v>4613.8599999999997</v>
      </c>
      <c r="AN1046">
        <v>4538.2591000000002</v>
      </c>
      <c r="AO1046">
        <v>75.600899999999996</v>
      </c>
      <c r="AP1046">
        <v>5715.5020999999997</v>
      </c>
      <c r="AQ1046">
        <v>9.9402469999999994</v>
      </c>
      <c r="AR1046">
        <v>21.372872000000001</v>
      </c>
      <c r="AY1046">
        <v>1044</v>
      </c>
      <c r="AZ1046">
        <v>1043</v>
      </c>
      <c r="BA1046">
        <v>4613.8599999999997</v>
      </c>
      <c r="BB1046">
        <v>4538.2591000000002</v>
      </c>
      <c r="BC1046">
        <v>75.600899999999996</v>
      </c>
      <c r="BD1046">
        <v>5715.5020999999997</v>
      </c>
      <c r="BE1046">
        <v>1087849</v>
      </c>
    </row>
    <row r="1047" spans="1:57" x14ac:dyDescent="0.55000000000000004">
      <c r="A1047">
        <v>1777852802</v>
      </c>
      <c r="B1047" t="s">
        <v>72</v>
      </c>
      <c r="C1047" t="s">
        <v>73</v>
      </c>
      <c r="D1047">
        <v>4612.3</v>
      </c>
      <c r="E1047">
        <v>4518.5928199999998</v>
      </c>
      <c r="F1047">
        <v>4596.0559499999999</v>
      </c>
      <c r="G1047">
        <v>4755.40355</v>
      </c>
      <c r="H1047">
        <v>4792.7697200000002</v>
      </c>
      <c r="Q1047">
        <v>4537.9914600000002</v>
      </c>
      <c r="R1047">
        <v>4567.3547600000002</v>
      </c>
      <c r="S1047">
        <v>4593.9435299999996</v>
      </c>
      <c r="V1047">
        <v>4503.0516900000002</v>
      </c>
      <c r="W1047">
        <v>4469.4866899999997</v>
      </c>
      <c r="AB1047">
        <v>4610.6119600000002</v>
      </c>
      <c r="AC1047">
        <v>4612.8840700000001</v>
      </c>
      <c r="AD1047">
        <v>0</v>
      </c>
      <c r="AK1047">
        <v>1045</v>
      </c>
      <c r="AL1047">
        <v>1044</v>
      </c>
      <c r="AM1047">
        <v>4612.3</v>
      </c>
      <c r="AN1047">
        <v>4537.9915000000001</v>
      </c>
      <c r="AO1047">
        <v>74.308499999999995</v>
      </c>
      <c r="AP1047">
        <v>5521.7591000000002</v>
      </c>
      <c r="AQ1047">
        <v>9.4391259999999999</v>
      </c>
      <c r="AR1047">
        <v>19.948443999999999</v>
      </c>
      <c r="AY1047">
        <v>1045</v>
      </c>
      <c r="AZ1047">
        <v>1044</v>
      </c>
      <c r="BA1047">
        <v>4612.3</v>
      </c>
      <c r="BB1047">
        <v>4537.9915000000001</v>
      </c>
      <c r="BC1047">
        <v>74.308499999999995</v>
      </c>
      <c r="BD1047">
        <v>5521.7591000000002</v>
      </c>
      <c r="BE1047">
        <v>1089936</v>
      </c>
    </row>
    <row r="1048" spans="1:57" x14ac:dyDescent="0.55000000000000004">
      <c r="A1048">
        <v>1777853702</v>
      </c>
      <c r="B1048" t="s">
        <v>72</v>
      </c>
      <c r="C1048" t="s">
        <v>73</v>
      </c>
      <c r="D1048">
        <v>4606.13</v>
      </c>
      <c r="E1048">
        <v>4518.5928199999998</v>
      </c>
      <c r="F1048">
        <v>4596.0559499999999</v>
      </c>
      <c r="G1048">
        <v>4755.40355</v>
      </c>
      <c r="H1048">
        <v>4792.7697200000002</v>
      </c>
      <c r="Q1048">
        <v>4537.7238500000003</v>
      </c>
      <c r="R1048">
        <v>4567.0871500000003</v>
      </c>
      <c r="S1048">
        <v>4593.6759199999997</v>
      </c>
      <c r="V1048">
        <v>4502.7840800000004</v>
      </c>
      <c r="W1048">
        <v>4469.2190899999996</v>
      </c>
      <c r="AB1048">
        <v>4608.26458</v>
      </c>
      <c r="AC1048">
        <v>4610.5743199999997</v>
      </c>
      <c r="AD1048">
        <v>0</v>
      </c>
      <c r="AK1048">
        <v>1046</v>
      </c>
      <c r="AL1048">
        <v>1045</v>
      </c>
      <c r="AM1048">
        <v>4606.13</v>
      </c>
      <c r="AN1048">
        <v>4537.7239</v>
      </c>
      <c r="AO1048">
        <v>68.406099999999995</v>
      </c>
      <c r="AP1048">
        <v>4679.4013999999997</v>
      </c>
      <c r="AQ1048">
        <v>7.3637839999999999</v>
      </c>
      <c r="AR1048">
        <v>14.326321999999999</v>
      </c>
      <c r="AY1048">
        <v>1046</v>
      </c>
      <c r="AZ1048">
        <v>1045</v>
      </c>
      <c r="BA1048">
        <v>4606.13</v>
      </c>
      <c r="BB1048">
        <v>4537.7239</v>
      </c>
      <c r="BC1048">
        <v>68.406099999999995</v>
      </c>
      <c r="BD1048">
        <v>4679.4013999999997</v>
      </c>
      <c r="BE1048">
        <v>1092025</v>
      </c>
    </row>
    <row r="1049" spans="1:57" x14ac:dyDescent="0.55000000000000004">
      <c r="A1049">
        <v>1777854602</v>
      </c>
      <c r="B1049" t="s">
        <v>72</v>
      </c>
      <c r="C1049" t="s">
        <v>73</v>
      </c>
      <c r="D1049">
        <v>4605.8599999999997</v>
      </c>
      <c r="E1049">
        <v>4518.5928199999998</v>
      </c>
      <c r="F1049">
        <v>4596.0559499999999</v>
      </c>
      <c r="G1049">
        <v>4755.40355</v>
      </c>
      <c r="H1049">
        <v>4792.7697200000002</v>
      </c>
      <c r="Q1049">
        <v>4537.4562500000002</v>
      </c>
      <c r="R1049">
        <v>4566.8195500000002</v>
      </c>
      <c r="S1049">
        <v>4593.4083199999995</v>
      </c>
      <c r="V1049">
        <v>4502.5164800000002</v>
      </c>
      <c r="W1049">
        <v>4468.9514799999997</v>
      </c>
      <c r="AB1049">
        <v>4606.3389800000004</v>
      </c>
      <c r="AC1049">
        <v>4608.4566500000001</v>
      </c>
      <c r="AD1049">
        <v>0</v>
      </c>
      <c r="AK1049">
        <v>1047</v>
      </c>
      <c r="AL1049">
        <v>1046</v>
      </c>
      <c r="AM1049">
        <v>4605.8599999999997</v>
      </c>
      <c r="AN1049">
        <v>4537.4562999999998</v>
      </c>
      <c r="AO1049">
        <v>68.403700000000001</v>
      </c>
      <c r="AP1049">
        <v>4679.0730000000003</v>
      </c>
      <c r="AQ1049">
        <v>7.3630089999999999</v>
      </c>
      <c r="AR1049">
        <v>14.324312000000001</v>
      </c>
      <c r="AY1049">
        <v>1047</v>
      </c>
      <c r="AZ1049">
        <v>1046</v>
      </c>
      <c r="BA1049">
        <v>4605.8599999999997</v>
      </c>
      <c r="BB1049">
        <v>4537.4562999999998</v>
      </c>
      <c r="BC1049">
        <v>68.403700000000001</v>
      </c>
      <c r="BD1049">
        <v>4679.0730000000003</v>
      </c>
      <c r="BE1049">
        <v>1094116</v>
      </c>
    </row>
    <row r="1050" spans="1:57" x14ac:dyDescent="0.55000000000000004">
      <c r="A1050">
        <v>1777855502</v>
      </c>
      <c r="B1050" t="s">
        <v>72</v>
      </c>
      <c r="C1050" t="s">
        <v>73</v>
      </c>
      <c r="D1050">
        <v>4613.01</v>
      </c>
      <c r="E1050">
        <v>4518.5928199999998</v>
      </c>
      <c r="F1050">
        <v>4596.0559499999999</v>
      </c>
      <c r="G1050">
        <v>4755.40355</v>
      </c>
      <c r="H1050">
        <v>4792.7697200000002</v>
      </c>
      <c r="Q1050">
        <v>4537.1886500000001</v>
      </c>
      <c r="R1050">
        <v>4566.5519400000003</v>
      </c>
      <c r="S1050">
        <v>4593.1407200000003</v>
      </c>
      <c r="V1050">
        <v>4502.2488800000001</v>
      </c>
      <c r="W1050">
        <v>4468.6838799999996</v>
      </c>
      <c r="AB1050">
        <v>4604.8508300000003</v>
      </c>
      <c r="AC1050">
        <v>4606.6537399999997</v>
      </c>
      <c r="AD1050">
        <v>0</v>
      </c>
      <c r="AK1050">
        <v>1048</v>
      </c>
      <c r="AL1050">
        <v>1047</v>
      </c>
      <c r="AM1050">
        <v>4613.01</v>
      </c>
      <c r="AN1050">
        <v>4537.1886999999997</v>
      </c>
      <c r="AO1050">
        <v>75.821399999999997</v>
      </c>
      <c r="AP1050">
        <v>5748.8770999999997</v>
      </c>
      <c r="AQ1050">
        <v>10.027441</v>
      </c>
      <c r="AR1050">
        <v>21.62321</v>
      </c>
      <c r="AY1050">
        <v>1048</v>
      </c>
      <c r="AZ1050">
        <v>1047</v>
      </c>
      <c r="BA1050">
        <v>4613.01</v>
      </c>
      <c r="BB1050">
        <v>4537.1886999999997</v>
      </c>
      <c r="BC1050">
        <v>75.821399999999997</v>
      </c>
      <c r="BD1050">
        <v>5748.8770999999997</v>
      </c>
      <c r="BE1050">
        <v>1096209</v>
      </c>
    </row>
    <row r="1051" spans="1:57" x14ac:dyDescent="0.55000000000000004">
      <c r="A1051">
        <v>1777856402</v>
      </c>
      <c r="B1051" t="s">
        <v>72</v>
      </c>
      <c r="C1051" t="s">
        <v>73</v>
      </c>
      <c r="D1051">
        <v>4600.58</v>
      </c>
      <c r="E1051">
        <v>4518.5928199999998</v>
      </c>
      <c r="F1051">
        <v>4596.0559499999999</v>
      </c>
      <c r="G1051">
        <v>4755.40355</v>
      </c>
      <c r="H1051">
        <v>4792.7697200000002</v>
      </c>
      <c r="Q1051">
        <v>4536.9210400000002</v>
      </c>
      <c r="R1051">
        <v>4566.2843400000002</v>
      </c>
      <c r="S1051">
        <v>4592.8731100000005</v>
      </c>
      <c r="V1051">
        <v>4501.9812700000002</v>
      </c>
      <c r="W1051">
        <v>4468.4162800000004</v>
      </c>
      <c r="AB1051">
        <v>4603.5826800000004</v>
      </c>
      <c r="AC1051">
        <v>4605.1182099999996</v>
      </c>
      <c r="AD1051">
        <v>0</v>
      </c>
      <c r="AK1051">
        <v>1049</v>
      </c>
      <c r="AL1051">
        <v>1048</v>
      </c>
      <c r="AM1051">
        <v>4600.58</v>
      </c>
      <c r="AN1051">
        <v>4536.9210000000003</v>
      </c>
      <c r="AO1051">
        <v>63.658999999999999</v>
      </c>
      <c r="AP1051">
        <v>4052.4632000000001</v>
      </c>
      <c r="AQ1051">
        <v>5.9346379999999996</v>
      </c>
      <c r="AR1051">
        <v>10.74465</v>
      </c>
      <c r="AY1051">
        <v>1049</v>
      </c>
      <c r="AZ1051">
        <v>1048</v>
      </c>
      <c r="BA1051">
        <v>4600.58</v>
      </c>
      <c r="BB1051">
        <v>4536.9210000000003</v>
      </c>
      <c r="BC1051">
        <v>63.658999999999999</v>
      </c>
      <c r="BD1051">
        <v>4052.4632000000001</v>
      </c>
      <c r="BE1051">
        <v>1098304</v>
      </c>
    </row>
    <row r="1052" spans="1:57" x14ac:dyDescent="0.55000000000000004">
      <c r="A1052">
        <v>1777857302</v>
      </c>
      <c r="B1052" t="s">
        <v>72</v>
      </c>
      <c r="C1052" t="s">
        <v>73</v>
      </c>
      <c r="D1052">
        <v>4594.6499999999996</v>
      </c>
      <c r="E1052">
        <v>4518.5928199999998</v>
      </c>
      <c r="F1052">
        <v>4596.0559499999999</v>
      </c>
      <c r="G1052">
        <v>4755.40355</v>
      </c>
      <c r="H1052">
        <v>4792.7697200000002</v>
      </c>
      <c r="Q1052">
        <v>4536.65344</v>
      </c>
      <c r="R1052">
        <v>4566.01674</v>
      </c>
      <c r="S1052">
        <v>4592.6055100000003</v>
      </c>
      <c r="V1052">
        <v>4501.7136700000001</v>
      </c>
      <c r="W1052">
        <v>4468.1486699999996</v>
      </c>
      <c r="AB1052">
        <v>4602.8242799999998</v>
      </c>
      <c r="AC1052">
        <v>4603.9712499999996</v>
      </c>
      <c r="AD1052">
        <v>0</v>
      </c>
      <c r="AK1052">
        <v>1050</v>
      </c>
      <c r="AL1052">
        <v>1049</v>
      </c>
      <c r="AM1052">
        <v>4594.6499999999996</v>
      </c>
      <c r="AN1052">
        <v>4536.6534000000001</v>
      </c>
      <c r="AO1052">
        <v>57.996600000000001</v>
      </c>
      <c r="AP1052">
        <v>3363.6010000000001</v>
      </c>
      <c r="AQ1052">
        <v>4.4876839999999998</v>
      </c>
      <c r="AR1052">
        <v>7.4022379999999997</v>
      </c>
      <c r="AY1052">
        <v>1050</v>
      </c>
      <c r="AZ1052">
        <v>1049</v>
      </c>
      <c r="BA1052">
        <v>4594.6499999999996</v>
      </c>
      <c r="BB1052">
        <v>4536.6534000000001</v>
      </c>
      <c r="BC1052">
        <v>57.996600000000001</v>
      </c>
      <c r="BD1052">
        <v>3363.6010000000001</v>
      </c>
      <c r="BE1052">
        <v>1100401</v>
      </c>
    </row>
    <row r="1053" spans="1:57" x14ac:dyDescent="0.55000000000000004">
      <c r="A1053">
        <v>1777858202</v>
      </c>
      <c r="B1053" t="s">
        <v>72</v>
      </c>
      <c r="C1053" t="s">
        <v>73</v>
      </c>
      <c r="D1053">
        <v>4601.59</v>
      </c>
      <c r="E1053">
        <v>4518.5928199999998</v>
      </c>
      <c r="F1053">
        <v>4596.0559499999999</v>
      </c>
      <c r="G1053">
        <v>4755.40355</v>
      </c>
      <c r="H1053">
        <v>4792.7697200000002</v>
      </c>
      <c r="Q1053">
        <v>4536.3858300000002</v>
      </c>
      <c r="R1053">
        <v>4565.7491300000002</v>
      </c>
      <c r="S1053">
        <v>4592.3379000000004</v>
      </c>
      <c r="V1053">
        <v>4501.4460600000002</v>
      </c>
      <c r="W1053">
        <v>4467.8810700000004</v>
      </c>
      <c r="AB1053">
        <v>4602.6806800000004</v>
      </c>
      <c r="AC1053">
        <v>4603.3259600000001</v>
      </c>
      <c r="AD1053">
        <v>0</v>
      </c>
      <c r="AK1053">
        <v>1051</v>
      </c>
      <c r="AL1053">
        <v>1050</v>
      </c>
      <c r="AM1053">
        <v>4601.59</v>
      </c>
      <c r="AN1053">
        <v>4536.3858</v>
      </c>
      <c r="AO1053">
        <v>65.2042</v>
      </c>
      <c r="AP1053">
        <v>4251.5838000000003</v>
      </c>
      <c r="AQ1053">
        <v>6.3773710000000001</v>
      </c>
      <c r="AR1053">
        <v>11.826483</v>
      </c>
      <c r="AY1053">
        <v>1051</v>
      </c>
      <c r="AZ1053">
        <v>1050</v>
      </c>
      <c r="BA1053">
        <v>4601.59</v>
      </c>
      <c r="BB1053">
        <v>4536.3858</v>
      </c>
      <c r="BC1053">
        <v>65.2042</v>
      </c>
      <c r="BD1053">
        <v>4251.5838000000003</v>
      </c>
      <c r="BE1053">
        <v>1102500</v>
      </c>
    </row>
    <row r="1054" spans="1:57" x14ac:dyDescent="0.55000000000000004">
      <c r="A1054">
        <v>1777859102</v>
      </c>
      <c r="B1054" t="s">
        <v>72</v>
      </c>
      <c r="C1054" t="s">
        <v>73</v>
      </c>
      <c r="D1054">
        <v>4613.1400000000003</v>
      </c>
      <c r="E1054">
        <v>4518.5928199999998</v>
      </c>
      <c r="F1054">
        <v>4596.0559499999999</v>
      </c>
      <c r="G1054">
        <v>4755.40355</v>
      </c>
      <c r="H1054">
        <v>4792.7697200000002</v>
      </c>
      <c r="Q1054">
        <v>4536.11823</v>
      </c>
      <c r="R1054">
        <v>4565.48153</v>
      </c>
      <c r="S1054">
        <v>4592.0703000000003</v>
      </c>
      <c r="V1054">
        <v>4501.1784600000001</v>
      </c>
      <c r="W1054">
        <v>4467.6134599999996</v>
      </c>
      <c r="AB1054">
        <v>4602.8737300000003</v>
      </c>
      <c r="AC1054">
        <v>4603.0998499999996</v>
      </c>
      <c r="AD1054">
        <v>0</v>
      </c>
      <c r="AK1054">
        <v>1052</v>
      </c>
      <c r="AL1054">
        <v>1051</v>
      </c>
      <c r="AM1054">
        <v>4613.1400000000003</v>
      </c>
      <c r="AN1054">
        <v>4536.1181999999999</v>
      </c>
      <c r="AO1054">
        <v>77.021799999999999</v>
      </c>
      <c r="AP1054">
        <v>5932.3531000000003</v>
      </c>
      <c r="AQ1054">
        <v>10.511291</v>
      </c>
      <c r="AR1054">
        <v>23.025448000000001</v>
      </c>
      <c r="AY1054">
        <v>1052</v>
      </c>
      <c r="AZ1054">
        <v>1051</v>
      </c>
      <c r="BA1054">
        <v>4613.1400000000003</v>
      </c>
      <c r="BB1054">
        <v>4536.1181999999999</v>
      </c>
      <c r="BC1054">
        <v>77.021799999999999</v>
      </c>
      <c r="BD1054">
        <v>5932.3531000000003</v>
      </c>
      <c r="BE1054">
        <v>1104601</v>
      </c>
    </row>
    <row r="1055" spans="1:57" x14ac:dyDescent="0.55000000000000004">
      <c r="A1055">
        <v>1777860002</v>
      </c>
      <c r="B1055" t="s">
        <v>72</v>
      </c>
      <c r="C1055" t="s">
        <v>73</v>
      </c>
      <c r="D1055">
        <v>4608.34</v>
      </c>
      <c r="E1055">
        <v>4518.5928199999998</v>
      </c>
      <c r="F1055">
        <v>4596.0559499999999</v>
      </c>
      <c r="G1055">
        <v>4755.40355</v>
      </c>
      <c r="H1055">
        <v>4792.7697200000002</v>
      </c>
      <c r="Q1055">
        <v>4535.8506299999999</v>
      </c>
      <c r="R1055">
        <v>4565.2139200000001</v>
      </c>
      <c r="S1055">
        <v>4591.8027000000002</v>
      </c>
      <c r="V1055">
        <v>4500.91086</v>
      </c>
      <c r="W1055">
        <v>4467.3458600000004</v>
      </c>
      <c r="AB1055">
        <v>4603.0743300000004</v>
      </c>
      <c r="AC1055">
        <v>4603.08709</v>
      </c>
      <c r="AD1055">
        <v>0</v>
      </c>
      <c r="AK1055">
        <v>1053</v>
      </c>
      <c r="AL1055">
        <v>1052</v>
      </c>
      <c r="AM1055">
        <v>4608.34</v>
      </c>
      <c r="AN1055">
        <v>4535.8505999999998</v>
      </c>
      <c r="AO1055">
        <v>72.489400000000003</v>
      </c>
      <c r="AP1055">
        <v>5254.7088000000003</v>
      </c>
      <c r="AQ1055">
        <v>8.7627120000000005</v>
      </c>
      <c r="AR1055">
        <v>18.065559</v>
      </c>
      <c r="AY1055">
        <v>1053</v>
      </c>
      <c r="AZ1055">
        <v>1052</v>
      </c>
      <c r="BA1055">
        <v>4608.34</v>
      </c>
      <c r="BB1055">
        <v>4535.8505999999998</v>
      </c>
      <c r="BC1055">
        <v>72.489400000000003</v>
      </c>
      <c r="BD1055">
        <v>5254.7088000000003</v>
      </c>
      <c r="BE1055">
        <v>1106704</v>
      </c>
    </row>
    <row r="1056" spans="1:57" x14ac:dyDescent="0.55000000000000004">
      <c r="A1056">
        <v>1777860902</v>
      </c>
      <c r="B1056" t="s">
        <v>72</v>
      </c>
      <c r="C1056" t="s">
        <v>73</v>
      </c>
      <c r="D1056">
        <v>4593.09</v>
      </c>
      <c r="E1056">
        <v>4518.5928199999998</v>
      </c>
      <c r="F1056">
        <v>4596.0559499999999</v>
      </c>
      <c r="G1056">
        <v>4755.40355</v>
      </c>
      <c r="H1056">
        <v>4792.7697200000002</v>
      </c>
      <c r="Q1056">
        <v>4535.58302</v>
      </c>
      <c r="R1056">
        <v>4564.94632</v>
      </c>
      <c r="S1056">
        <v>4591.5350900000003</v>
      </c>
      <c r="V1056">
        <v>4500.6432500000001</v>
      </c>
      <c r="W1056">
        <v>4467.0782499999996</v>
      </c>
      <c r="AB1056">
        <v>4603.4631300000001</v>
      </c>
      <c r="AC1056">
        <v>4603.2751099999996</v>
      </c>
      <c r="AD1056">
        <v>1</v>
      </c>
      <c r="AK1056">
        <v>1054</v>
      </c>
      <c r="AL1056">
        <v>1053</v>
      </c>
      <c r="AM1056">
        <v>4593.09</v>
      </c>
      <c r="AN1056">
        <v>4535.5829999999996</v>
      </c>
      <c r="AO1056">
        <v>57.506999999999998</v>
      </c>
      <c r="AP1056">
        <v>3307.0527000000002</v>
      </c>
      <c r="AQ1056">
        <v>4.3749919999999998</v>
      </c>
      <c r="AR1056">
        <v>7.1554399999999996</v>
      </c>
      <c r="AY1056">
        <v>1054</v>
      </c>
      <c r="AZ1056">
        <v>1053</v>
      </c>
      <c r="BA1056">
        <v>4593.09</v>
      </c>
      <c r="BB1056">
        <v>4535.5829999999996</v>
      </c>
      <c r="BC1056">
        <v>57.506999999999998</v>
      </c>
      <c r="BD1056">
        <v>3307.0527000000002</v>
      </c>
      <c r="BE1056">
        <v>1108809</v>
      </c>
    </row>
    <row r="1057" spans="1:57" x14ac:dyDescent="0.55000000000000004">
      <c r="A1057">
        <v>1777861802</v>
      </c>
      <c r="B1057" t="s">
        <v>72</v>
      </c>
      <c r="C1057" t="s">
        <v>73</v>
      </c>
      <c r="D1057">
        <v>4603.32</v>
      </c>
      <c r="E1057">
        <v>4518.5928199999998</v>
      </c>
      <c r="F1057">
        <v>4596.0559499999999</v>
      </c>
      <c r="G1057">
        <v>4755.40355</v>
      </c>
      <c r="H1057">
        <v>4792.7697200000002</v>
      </c>
      <c r="Q1057">
        <v>4535.3154199999999</v>
      </c>
      <c r="R1057">
        <v>4564.6787199999999</v>
      </c>
      <c r="S1057">
        <v>4591.2674900000002</v>
      </c>
      <c r="V1057">
        <v>4500.37565</v>
      </c>
      <c r="W1057">
        <v>4466.8106500000004</v>
      </c>
      <c r="AB1057">
        <v>4604.5181400000001</v>
      </c>
      <c r="AC1057">
        <v>4603.8966300000002</v>
      </c>
      <c r="AD1057">
        <v>0</v>
      </c>
      <c r="AK1057">
        <v>1055</v>
      </c>
      <c r="AL1057">
        <v>1054</v>
      </c>
      <c r="AM1057">
        <v>4603.32</v>
      </c>
      <c r="AN1057">
        <v>4535.3154000000004</v>
      </c>
      <c r="AO1057">
        <v>68.004599999999996</v>
      </c>
      <c r="AP1057">
        <v>4624.6229000000003</v>
      </c>
      <c r="AQ1057">
        <v>7.2348590000000002</v>
      </c>
      <c r="AR1057">
        <v>13.992869000000001</v>
      </c>
      <c r="AY1057">
        <v>1055</v>
      </c>
      <c r="AZ1057">
        <v>1054</v>
      </c>
      <c r="BA1057">
        <v>4603.32</v>
      </c>
      <c r="BB1057">
        <v>4535.3154000000004</v>
      </c>
      <c r="BC1057">
        <v>68.004599999999996</v>
      </c>
      <c r="BD1057">
        <v>4624.6229000000003</v>
      </c>
      <c r="BE1057">
        <v>1110916</v>
      </c>
    </row>
    <row r="1058" spans="1:57" x14ac:dyDescent="0.55000000000000004">
      <c r="A1058">
        <v>1777862702</v>
      </c>
      <c r="B1058" t="s">
        <v>72</v>
      </c>
      <c r="C1058" t="s">
        <v>73</v>
      </c>
      <c r="D1058">
        <v>4605.7700000000004</v>
      </c>
      <c r="E1058">
        <v>4518.5928199999998</v>
      </c>
      <c r="F1058">
        <v>4596.0559499999999</v>
      </c>
      <c r="G1058">
        <v>4755.40355</v>
      </c>
      <c r="H1058">
        <v>4792.7697200000002</v>
      </c>
      <c r="Q1058">
        <v>4535.04781</v>
      </c>
      <c r="R1058">
        <v>4564.41111</v>
      </c>
      <c r="S1058">
        <v>4590.9998800000003</v>
      </c>
      <c r="V1058">
        <v>4500.1080400000001</v>
      </c>
      <c r="W1058">
        <v>4466.5430500000002</v>
      </c>
      <c r="AB1058">
        <v>4605.9958399999996</v>
      </c>
      <c r="AC1058">
        <v>4604.9462400000002</v>
      </c>
      <c r="AD1058">
        <v>0</v>
      </c>
      <c r="AK1058">
        <v>1056</v>
      </c>
      <c r="AL1058">
        <v>1055</v>
      </c>
      <c r="AM1058">
        <v>4605.7700000000004</v>
      </c>
      <c r="AN1058">
        <v>4535.0478000000003</v>
      </c>
      <c r="AO1058">
        <v>70.722200000000001</v>
      </c>
      <c r="AP1058">
        <v>5001.6282000000001</v>
      </c>
      <c r="AQ1058">
        <v>8.1373440000000006</v>
      </c>
      <c r="AR1058">
        <v>16.367294999999999</v>
      </c>
      <c r="AY1058">
        <v>1056</v>
      </c>
      <c r="AZ1058">
        <v>1055</v>
      </c>
      <c r="BA1058">
        <v>4605.7700000000004</v>
      </c>
      <c r="BB1058">
        <v>4535.0478000000003</v>
      </c>
      <c r="BC1058">
        <v>70.722200000000001</v>
      </c>
      <c r="BD1058">
        <v>5001.6282000000001</v>
      </c>
      <c r="BE1058">
        <v>1113025</v>
      </c>
    </row>
    <row r="1059" spans="1:57" x14ac:dyDescent="0.55000000000000004">
      <c r="A1059">
        <v>1777863602</v>
      </c>
      <c r="B1059" t="s">
        <v>72</v>
      </c>
      <c r="C1059" t="s">
        <v>73</v>
      </c>
      <c r="D1059">
        <v>4610.07</v>
      </c>
      <c r="E1059">
        <v>4518.5928199999998</v>
      </c>
      <c r="F1059">
        <v>4596.0559499999999</v>
      </c>
      <c r="G1059">
        <v>4755.40355</v>
      </c>
      <c r="H1059">
        <v>4792.7697200000002</v>
      </c>
      <c r="Q1059">
        <v>4534.7802099999999</v>
      </c>
      <c r="R1059">
        <v>4564.1435099999999</v>
      </c>
      <c r="S1059">
        <v>4590.7322800000002</v>
      </c>
      <c r="V1059">
        <v>4499.8404399999999</v>
      </c>
      <c r="W1059">
        <v>4466.2754400000003</v>
      </c>
      <c r="AB1059">
        <v>4607.6417899999997</v>
      </c>
      <c r="AC1059">
        <v>4606.2940099999996</v>
      </c>
      <c r="AD1059">
        <v>0</v>
      </c>
      <c r="AK1059">
        <v>1057</v>
      </c>
      <c r="AL1059">
        <v>1056</v>
      </c>
      <c r="AM1059">
        <v>4610.07</v>
      </c>
      <c r="AN1059">
        <v>4534.7802000000001</v>
      </c>
      <c r="AO1059">
        <v>75.2898</v>
      </c>
      <c r="AP1059">
        <v>5668.5524999999998</v>
      </c>
      <c r="AQ1059">
        <v>9.8180180000000004</v>
      </c>
      <c r="AR1059">
        <v>21.023181999999998</v>
      </c>
      <c r="AY1059">
        <v>1057</v>
      </c>
      <c r="AZ1059">
        <v>1056</v>
      </c>
      <c r="BA1059">
        <v>4610.07</v>
      </c>
      <c r="BB1059">
        <v>4534.7802000000001</v>
      </c>
      <c r="BC1059">
        <v>75.2898</v>
      </c>
      <c r="BD1059">
        <v>5668.5524999999998</v>
      </c>
      <c r="BE1059">
        <v>1115136</v>
      </c>
    </row>
    <row r="1060" spans="1:57" x14ac:dyDescent="0.55000000000000004">
      <c r="A1060">
        <v>1777864502</v>
      </c>
      <c r="B1060" t="s">
        <v>72</v>
      </c>
      <c r="C1060" t="s">
        <v>73</v>
      </c>
      <c r="D1060">
        <v>4610.2700000000004</v>
      </c>
      <c r="E1060">
        <v>4518.5928199999998</v>
      </c>
      <c r="F1060">
        <v>4596.0559499999999</v>
      </c>
      <c r="G1060">
        <v>4755.40355</v>
      </c>
      <c r="H1060">
        <v>4792.7697200000002</v>
      </c>
      <c r="Q1060">
        <v>4534.5126</v>
      </c>
      <c r="R1060">
        <v>4563.8759</v>
      </c>
      <c r="S1060">
        <v>4590.4646700000003</v>
      </c>
      <c r="V1060">
        <v>4499.5728300000001</v>
      </c>
      <c r="W1060">
        <v>4466.0078400000002</v>
      </c>
      <c r="AB1060">
        <v>4609.07942</v>
      </c>
      <c r="AC1060">
        <v>4607.6867199999997</v>
      </c>
      <c r="AD1060">
        <v>0</v>
      </c>
      <c r="AK1060">
        <v>1058</v>
      </c>
      <c r="AL1060">
        <v>1057</v>
      </c>
      <c r="AM1060">
        <v>4610.2700000000004</v>
      </c>
      <c r="AN1060">
        <v>4534.5126</v>
      </c>
      <c r="AO1060">
        <v>75.757400000000004</v>
      </c>
      <c r="AP1060">
        <v>5739.1836999999996</v>
      </c>
      <c r="AQ1060">
        <v>10.002090000000001</v>
      </c>
      <c r="AR1060">
        <v>21.550350999999999</v>
      </c>
      <c r="AY1060">
        <v>1058</v>
      </c>
      <c r="AZ1060">
        <v>1057</v>
      </c>
      <c r="BA1060">
        <v>4610.2700000000004</v>
      </c>
      <c r="BB1060">
        <v>4534.5126</v>
      </c>
      <c r="BC1060">
        <v>75.757400000000004</v>
      </c>
      <c r="BD1060">
        <v>5739.1836999999996</v>
      </c>
      <c r="BE1060">
        <v>1117249</v>
      </c>
    </row>
    <row r="1061" spans="1:57" x14ac:dyDescent="0.55000000000000004">
      <c r="A1061">
        <v>1777865402</v>
      </c>
      <c r="B1061" t="s">
        <v>72</v>
      </c>
      <c r="C1061" t="s">
        <v>73</v>
      </c>
      <c r="D1061">
        <v>4605.07</v>
      </c>
      <c r="E1061">
        <v>4518.5928199999998</v>
      </c>
      <c r="F1061">
        <v>4596.0559499999999</v>
      </c>
      <c r="G1061">
        <v>4755.40355</v>
      </c>
      <c r="H1061">
        <v>4792.7697200000002</v>
      </c>
      <c r="Q1061">
        <v>4534.2449999999999</v>
      </c>
      <c r="R1061">
        <v>4563.6082999999999</v>
      </c>
      <c r="S1061">
        <v>4590.1970700000002</v>
      </c>
      <c r="V1061">
        <v>4499.3052299999999</v>
      </c>
      <c r="W1061">
        <v>4465.7402300000003</v>
      </c>
      <c r="AB1061">
        <v>4610.0652</v>
      </c>
      <c r="AC1061">
        <v>4608.8759600000003</v>
      </c>
      <c r="AD1061">
        <v>0</v>
      </c>
      <c r="AK1061">
        <v>1059</v>
      </c>
      <c r="AL1061">
        <v>1058</v>
      </c>
      <c r="AM1061">
        <v>4605.07</v>
      </c>
      <c r="AN1061">
        <v>4534.2449999999999</v>
      </c>
      <c r="AO1061">
        <v>70.825000000000003</v>
      </c>
      <c r="AP1061">
        <v>5016.1805999999997</v>
      </c>
      <c r="AQ1061">
        <v>8.1728839999999998</v>
      </c>
      <c r="AR1061">
        <v>16.462676999999999</v>
      </c>
      <c r="AY1061">
        <v>1059</v>
      </c>
      <c r="AZ1061">
        <v>1058</v>
      </c>
      <c r="BA1061">
        <v>4605.07</v>
      </c>
      <c r="BB1061">
        <v>4534.2449999999999</v>
      </c>
      <c r="BC1061">
        <v>70.825000000000003</v>
      </c>
      <c r="BD1061">
        <v>5016.1805999999997</v>
      </c>
      <c r="BE1061">
        <v>1119364</v>
      </c>
    </row>
    <row r="1062" spans="1:57" x14ac:dyDescent="0.55000000000000004">
      <c r="A1062">
        <v>1777866302</v>
      </c>
      <c r="B1062" t="s">
        <v>72</v>
      </c>
      <c r="C1062" t="s">
        <v>73</v>
      </c>
      <c r="D1062">
        <v>4615.09</v>
      </c>
      <c r="E1062">
        <v>4518.5928199999998</v>
      </c>
      <c r="F1062">
        <v>4596.0559499999999</v>
      </c>
      <c r="G1062">
        <v>4755.40355</v>
      </c>
      <c r="H1062">
        <v>4792.7697200000002</v>
      </c>
      <c r="Q1062">
        <v>4533.9773999999998</v>
      </c>
      <c r="R1062">
        <v>4563.3406999999997</v>
      </c>
      <c r="S1062">
        <v>4589.92947</v>
      </c>
      <c r="V1062">
        <v>4499.0376299999998</v>
      </c>
      <c r="W1062">
        <v>4465.4726300000002</v>
      </c>
      <c r="AB1062">
        <v>4610.5598300000001</v>
      </c>
      <c r="AC1062">
        <v>4609.7178899999999</v>
      </c>
      <c r="AD1062">
        <v>0</v>
      </c>
      <c r="AK1062">
        <v>1060</v>
      </c>
      <c r="AL1062">
        <v>1059</v>
      </c>
      <c r="AM1062">
        <v>4615.09</v>
      </c>
      <c r="AN1062">
        <v>4533.9773999999998</v>
      </c>
      <c r="AO1062">
        <v>81.1126</v>
      </c>
      <c r="AP1062">
        <v>6579.2538999999997</v>
      </c>
      <c r="AQ1062">
        <v>12.276669</v>
      </c>
      <c r="AR1062">
        <v>28.320923000000001</v>
      </c>
      <c r="AY1062">
        <v>1060</v>
      </c>
      <c r="AZ1062">
        <v>1059</v>
      </c>
      <c r="BA1062">
        <v>4615.09</v>
      </c>
      <c r="BB1062">
        <v>4533.9773999999998</v>
      </c>
      <c r="BC1062">
        <v>81.1126</v>
      </c>
      <c r="BD1062">
        <v>6579.2538999999997</v>
      </c>
      <c r="BE1062">
        <v>1121481</v>
      </c>
    </row>
    <row r="1063" spans="1:57" x14ac:dyDescent="0.55000000000000004">
      <c r="A1063">
        <v>1777867202</v>
      </c>
      <c r="B1063" t="s">
        <v>72</v>
      </c>
      <c r="C1063" t="s">
        <v>73</v>
      </c>
      <c r="D1063">
        <v>4611.1899999999996</v>
      </c>
      <c r="E1063">
        <v>4518.5928199999998</v>
      </c>
      <c r="F1063">
        <v>4596.0559499999999</v>
      </c>
      <c r="G1063">
        <v>4755.40355</v>
      </c>
      <c r="H1063">
        <v>4792.7697200000002</v>
      </c>
      <c r="Q1063">
        <v>4533.7097899999999</v>
      </c>
      <c r="R1063">
        <v>4563.0730899999999</v>
      </c>
      <c r="S1063">
        <v>4589.6618600000002</v>
      </c>
      <c r="V1063">
        <v>4498.7700199999999</v>
      </c>
      <c r="W1063">
        <v>4465.2050300000001</v>
      </c>
      <c r="AB1063">
        <v>4610.2107299999998</v>
      </c>
      <c r="AC1063">
        <v>4609.9643100000003</v>
      </c>
      <c r="AD1063">
        <v>0</v>
      </c>
      <c r="AK1063">
        <v>1061</v>
      </c>
      <c r="AL1063">
        <v>1060</v>
      </c>
      <c r="AM1063">
        <v>4611.1899999999996</v>
      </c>
      <c r="AN1063">
        <v>4533.7097999999996</v>
      </c>
      <c r="AO1063">
        <v>77.480199999999996</v>
      </c>
      <c r="AP1063">
        <v>6003.1828999999998</v>
      </c>
      <c r="AQ1063">
        <v>10.700103</v>
      </c>
      <c r="AR1063">
        <v>23.57856</v>
      </c>
      <c r="AY1063">
        <v>1061</v>
      </c>
      <c r="AZ1063">
        <v>1060</v>
      </c>
      <c r="BA1063">
        <v>4611.1899999999996</v>
      </c>
      <c r="BB1063">
        <v>4533.7097999999996</v>
      </c>
      <c r="BC1063">
        <v>77.480199999999996</v>
      </c>
      <c r="BD1063">
        <v>6003.1828999999998</v>
      </c>
      <c r="BE1063">
        <v>1123600</v>
      </c>
    </row>
    <row r="1064" spans="1:57" x14ac:dyDescent="0.55000000000000004">
      <c r="A1064">
        <v>1777868102</v>
      </c>
      <c r="B1064" t="s">
        <v>72</v>
      </c>
      <c r="C1064" t="s">
        <v>73</v>
      </c>
      <c r="D1064">
        <v>4608.12</v>
      </c>
      <c r="E1064">
        <v>4518.5928199999998</v>
      </c>
      <c r="F1064">
        <v>4596.0559499999999</v>
      </c>
      <c r="G1064">
        <v>4755.40355</v>
      </c>
      <c r="H1064">
        <v>4792.7697200000002</v>
      </c>
      <c r="Q1064">
        <v>4533.4421899999998</v>
      </c>
      <c r="R1064">
        <v>4562.8054899999997</v>
      </c>
      <c r="S1064">
        <v>4589.39426</v>
      </c>
      <c r="V1064">
        <v>4498.5024199999998</v>
      </c>
      <c r="W1064">
        <v>4464.9374200000002</v>
      </c>
      <c r="AB1064">
        <v>4609.1786899999997</v>
      </c>
      <c r="AC1064">
        <v>4609.5715</v>
      </c>
      <c r="AD1064">
        <v>1</v>
      </c>
      <c r="AK1064">
        <v>1062</v>
      </c>
      <c r="AL1064">
        <v>1061</v>
      </c>
      <c r="AM1064">
        <v>4608.12</v>
      </c>
      <c r="AN1064">
        <v>4533.4422000000004</v>
      </c>
      <c r="AO1064">
        <v>74.677800000000005</v>
      </c>
      <c r="AP1064">
        <v>5576.7753000000002</v>
      </c>
      <c r="AQ1064">
        <v>9.5805469999999993</v>
      </c>
      <c r="AR1064">
        <v>20.347937999999999</v>
      </c>
      <c r="AY1064">
        <v>1062</v>
      </c>
      <c r="AZ1064">
        <v>1061</v>
      </c>
      <c r="BA1064">
        <v>4608.12</v>
      </c>
      <c r="BB1064">
        <v>4533.4422000000004</v>
      </c>
      <c r="BC1064">
        <v>74.677800000000005</v>
      </c>
      <c r="BD1064">
        <v>5576.7753000000002</v>
      </c>
      <c r="BE1064">
        <v>1125721</v>
      </c>
    </row>
    <row r="1065" spans="1:57" x14ac:dyDescent="0.55000000000000004">
      <c r="A1065">
        <v>1777869002</v>
      </c>
      <c r="B1065" t="s">
        <v>72</v>
      </c>
      <c r="C1065" t="s">
        <v>73</v>
      </c>
      <c r="D1065">
        <v>4609.32</v>
      </c>
      <c r="E1065">
        <v>4518.5928199999998</v>
      </c>
      <c r="F1065">
        <v>4596.0559499999999</v>
      </c>
      <c r="G1065">
        <v>4755.40355</v>
      </c>
      <c r="H1065">
        <v>4792.7697200000002</v>
      </c>
      <c r="Q1065">
        <v>4533.1745799999999</v>
      </c>
      <c r="R1065">
        <v>4562.5378799999999</v>
      </c>
      <c r="S1065">
        <v>4589.1266500000002</v>
      </c>
      <c r="V1065">
        <v>4498.2348099999999</v>
      </c>
      <c r="W1065">
        <v>4464.6698200000001</v>
      </c>
      <c r="AB1065">
        <v>4607.6396100000002</v>
      </c>
      <c r="AC1065">
        <v>4608.6055500000002</v>
      </c>
      <c r="AD1065">
        <v>0</v>
      </c>
      <c r="AK1065">
        <v>1063</v>
      </c>
      <c r="AL1065">
        <v>1062</v>
      </c>
      <c r="AM1065">
        <v>4609.32</v>
      </c>
      <c r="AN1065">
        <v>4533.1746000000003</v>
      </c>
      <c r="AO1065">
        <v>76.145399999999995</v>
      </c>
      <c r="AP1065">
        <v>5798.125</v>
      </c>
      <c r="AQ1065">
        <v>10.156567000000001</v>
      </c>
      <c r="AR1065">
        <v>21.995267999999999</v>
      </c>
      <c r="AY1065">
        <v>1063</v>
      </c>
      <c r="AZ1065">
        <v>1062</v>
      </c>
      <c r="BA1065">
        <v>4609.32</v>
      </c>
      <c r="BB1065">
        <v>4533.1746000000003</v>
      </c>
      <c r="BC1065">
        <v>76.145399999999995</v>
      </c>
      <c r="BD1065">
        <v>5798.125</v>
      </c>
      <c r="BE1065">
        <v>1127844</v>
      </c>
    </row>
    <row r="1066" spans="1:57" x14ac:dyDescent="0.55000000000000004">
      <c r="A1066">
        <v>1777869902</v>
      </c>
      <c r="B1066" t="s">
        <v>72</v>
      </c>
      <c r="C1066" t="s">
        <v>73</v>
      </c>
      <c r="D1066">
        <v>4606</v>
      </c>
      <c r="E1066">
        <v>4518.5928199999998</v>
      </c>
      <c r="F1066">
        <v>4596.0559499999999</v>
      </c>
      <c r="G1066">
        <v>4755.40355</v>
      </c>
      <c r="H1066">
        <v>4792.7697200000002</v>
      </c>
      <c r="Q1066">
        <v>4532.9069799999997</v>
      </c>
      <c r="R1066">
        <v>4562.2702799999997</v>
      </c>
      <c r="S1066">
        <v>4588.85905</v>
      </c>
      <c r="V1066">
        <v>4497.9672099999998</v>
      </c>
      <c r="W1066">
        <v>4464.4022100000002</v>
      </c>
      <c r="AB1066">
        <v>4605.6857399999999</v>
      </c>
      <c r="AC1066">
        <v>4607.1456500000004</v>
      </c>
      <c r="AD1066">
        <v>0</v>
      </c>
      <c r="AK1066">
        <v>1064</v>
      </c>
      <c r="AL1066">
        <v>1063</v>
      </c>
      <c r="AM1066">
        <v>4606</v>
      </c>
      <c r="AN1066">
        <v>4532.9070000000002</v>
      </c>
      <c r="AO1066">
        <v>73.093000000000004</v>
      </c>
      <c r="AP1066">
        <v>5342.5896000000002</v>
      </c>
      <c r="AQ1066">
        <v>8.9834530000000008</v>
      </c>
      <c r="AR1066">
        <v>18.674876000000001</v>
      </c>
      <c r="AY1066">
        <v>1064</v>
      </c>
      <c r="AZ1066">
        <v>1063</v>
      </c>
      <c r="BA1066">
        <v>4606</v>
      </c>
      <c r="BB1066">
        <v>4532.9070000000002</v>
      </c>
      <c r="BC1066">
        <v>73.093000000000004</v>
      </c>
      <c r="BD1066">
        <v>5342.5896000000002</v>
      </c>
      <c r="BE1066">
        <v>1129969</v>
      </c>
    </row>
    <row r="1067" spans="1:57" x14ac:dyDescent="0.55000000000000004">
      <c r="A1067">
        <v>1777870802</v>
      </c>
      <c r="B1067" t="s">
        <v>72</v>
      </c>
      <c r="C1067" t="s">
        <v>73</v>
      </c>
      <c r="D1067">
        <v>4603.74</v>
      </c>
      <c r="E1067">
        <v>4518.5928199999998</v>
      </c>
      <c r="F1067">
        <v>4596.0559499999999</v>
      </c>
      <c r="G1067">
        <v>4755.40355</v>
      </c>
      <c r="H1067">
        <v>4792.7697200000002</v>
      </c>
      <c r="Q1067">
        <v>4532.6393799999996</v>
      </c>
      <c r="R1067">
        <v>4562.0026799999996</v>
      </c>
      <c r="S1067">
        <v>4588.5914499999999</v>
      </c>
      <c r="V1067">
        <v>4497.6996099999997</v>
      </c>
      <c r="W1067">
        <v>4464.1346100000001</v>
      </c>
      <c r="AB1067">
        <v>4603.5303100000001</v>
      </c>
      <c r="AC1067">
        <v>4605.3379800000002</v>
      </c>
      <c r="AD1067">
        <v>0</v>
      </c>
      <c r="AK1067">
        <v>1065</v>
      </c>
      <c r="AL1067">
        <v>1064</v>
      </c>
      <c r="AM1067">
        <v>4603.74</v>
      </c>
      <c r="AN1067">
        <v>4532.6394</v>
      </c>
      <c r="AO1067">
        <v>71.1006</v>
      </c>
      <c r="AP1067">
        <v>5055.2982000000002</v>
      </c>
      <c r="AQ1067">
        <v>8.2686720000000005</v>
      </c>
      <c r="AR1067">
        <v>16.720438999999999</v>
      </c>
      <c r="AY1067">
        <v>1065</v>
      </c>
      <c r="AZ1067">
        <v>1064</v>
      </c>
      <c r="BA1067">
        <v>4603.74</v>
      </c>
      <c r="BB1067">
        <v>4532.6394</v>
      </c>
      <c r="BC1067">
        <v>71.1006</v>
      </c>
      <c r="BD1067">
        <v>5055.2982000000002</v>
      </c>
      <c r="BE1067">
        <v>1132096</v>
      </c>
    </row>
    <row r="1068" spans="1:57" x14ac:dyDescent="0.55000000000000004">
      <c r="A1068">
        <v>1777871702</v>
      </c>
      <c r="B1068" t="s">
        <v>72</v>
      </c>
      <c r="C1068" t="s">
        <v>73</v>
      </c>
      <c r="D1068">
        <v>4596.32</v>
      </c>
      <c r="E1068">
        <v>4518.5928199999998</v>
      </c>
      <c r="F1068">
        <v>4596.0559499999999</v>
      </c>
      <c r="G1068">
        <v>4755.40355</v>
      </c>
      <c r="H1068">
        <v>4792.7697200000002</v>
      </c>
      <c r="Q1068">
        <v>4532.3717699999997</v>
      </c>
      <c r="R1068">
        <v>4561.7350699999997</v>
      </c>
      <c r="S1068">
        <v>4588.32384</v>
      </c>
      <c r="V1068">
        <v>4497.4319999999998</v>
      </c>
      <c r="W1068">
        <v>4463.8670099999999</v>
      </c>
      <c r="AB1068">
        <v>4601.33061</v>
      </c>
      <c r="AC1068">
        <v>4603.3342899999998</v>
      </c>
      <c r="AD1068">
        <v>0</v>
      </c>
      <c r="AK1068">
        <v>1066</v>
      </c>
      <c r="AL1068">
        <v>1065</v>
      </c>
      <c r="AM1068">
        <v>4596.32</v>
      </c>
      <c r="AN1068">
        <v>4532.3717999999999</v>
      </c>
      <c r="AO1068">
        <v>63.9482</v>
      </c>
      <c r="AP1068">
        <v>4089.3761</v>
      </c>
      <c r="AQ1068">
        <v>6.0159079999999996</v>
      </c>
      <c r="AR1068">
        <v>10.941281999999999</v>
      </c>
      <c r="AY1068">
        <v>1066</v>
      </c>
      <c r="AZ1068">
        <v>1065</v>
      </c>
      <c r="BA1068">
        <v>4596.32</v>
      </c>
      <c r="BB1068">
        <v>4532.3717999999999</v>
      </c>
      <c r="BC1068">
        <v>63.9482</v>
      </c>
      <c r="BD1068">
        <v>4089.3761</v>
      </c>
      <c r="BE1068">
        <v>1134225</v>
      </c>
    </row>
    <row r="1069" spans="1:57" x14ac:dyDescent="0.55000000000000004">
      <c r="A1069">
        <v>1777872602</v>
      </c>
      <c r="B1069" t="s">
        <v>72</v>
      </c>
      <c r="C1069" t="s">
        <v>73</v>
      </c>
      <c r="D1069">
        <v>4598.8500000000004</v>
      </c>
      <c r="E1069">
        <v>4518.5928199999998</v>
      </c>
      <c r="F1069">
        <v>4596.0559499999999</v>
      </c>
      <c r="G1069">
        <v>4755.40355</v>
      </c>
      <c r="H1069">
        <v>4792.7697200000002</v>
      </c>
      <c r="Q1069">
        <v>4532.1041699999996</v>
      </c>
      <c r="R1069">
        <v>4561.4674699999996</v>
      </c>
      <c r="S1069">
        <v>4588.0562399999999</v>
      </c>
      <c r="V1069">
        <v>4497.1643999999997</v>
      </c>
      <c r="W1069">
        <v>4463.5994000000001</v>
      </c>
      <c r="AB1069">
        <v>4599.3138200000003</v>
      </c>
      <c r="AC1069">
        <v>4601.3240599999999</v>
      </c>
      <c r="AD1069">
        <v>0</v>
      </c>
      <c r="AK1069">
        <v>1067</v>
      </c>
      <c r="AL1069">
        <v>1066</v>
      </c>
      <c r="AM1069">
        <v>4598.8500000000004</v>
      </c>
      <c r="AN1069">
        <v>4532.1041999999998</v>
      </c>
      <c r="AO1069">
        <v>66.745800000000003</v>
      </c>
      <c r="AP1069">
        <v>4455.0057999999999</v>
      </c>
      <c r="AQ1069">
        <v>6.8405019999999999</v>
      </c>
      <c r="AR1069">
        <v>12.98526</v>
      </c>
      <c r="AY1069">
        <v>1067</v>
      </c>
      <c r="AZ1069">
        <v>1066</v>
      </c>
      <c r="BA1069">
        <v>4598.8500000000004</v>
      </c>
      <c r="BB1069">
        <v>4532.1041999999998</v>
      </c>
      <c r="BC1069">
        <v>66.745800000000003</v>
      </c>
      <c r="BD1069">
        <v>4455.0057999999999</v>
      </c>
      <c r="BE1069">
        <v>1136356</v>
      </c>
    </row>
    <row r="1070" spans="1:57" x14ac:dyDescent="0.55000000000000004">
      <c r="A1070">
        <v>1777873502</v>
      </c>
      <c r="B1070" t="s">
        <v>72</v>
      </c>
      <c r="C1070" t="s">
        <v>73</v>
      </c>
      <c r="D1070">
        <v>4599.12</v>
      </c>
      <c r="E1070">
        <v>4518.5928199999998</v>
      </c>
      <c r="F1070">
        <v>4596.0559499999999</v>
      </c>
      <c r="G1070">
        <v>4755.40355</v>
      </c>
      <c r="H1070">
        <v>4792.7697200000002</v>
      </c>
      <c r="Q1070">
        <v>4531.8365599999997</v>
      </c>
      <c r="R1070">
        <v>4561.1998599999997</v>
      </c>
      <c r="S1070">
        <v>4587.78863</v>
      </c>
      <c r="V1070">
        <v>4496.8967899999998</v>
      </c>
      <c r="W1070">
        <v>4463.3317999999999</v>
      </c>
      <c r="AB1070">
        <v>4597.3370599999998</v>
      </c>
      <c r="AC1070">
        <v>4599.3305600000003</v>
      </c>
      <c r="AD1070">
        <v>0</v>
      </c>
      <c r="AK1070">
        <v>1068</v>
      </c>
      <c r="AL1070">
        <v>1067</v>
      </c>
      <c r="AM1070">
        <v>4599.12</v>
      </c>
      <c r="AN1070">
        <v>4531.8365999999996</v>
      </c>
      <c r="AO1070">
        <v>67.2834</v>
      </c>
      <c r="AP1070">
        <v>4527.0613000000003</v>
      </c>
      <c r="AQ1070">
        <v>7.0071300000000001</v>
      </c>
      <c r="AR1070">
        <v>13.408706</v>
      </c>
      <c r="AY1070">
        <v>1068</v>
      </c>
      <c r="AZ1070">
        <v>1067</v>
      </c>
      <c r="BA1070">
        <v>4599.12</v>
      </c>
      <c r="BB1070">
        <v>4531.8365999999996</v>
      </c>
      <c r="BC1070">
        <v>67.2834</v>
      </c>
      <c r="BD1070">
        <v>4527.0613000000003</v>
      </c>
      <c r="BE1070">
        <v>1138489</v>
      </c>
    </row>
    <row r="1071" spans="1:57" x14ac:dyDescent="0.55000000000000004">
      <c r="A1071">
        <v>1777874402</v>
      </c>
      <c r="B1071" t="s">
        <v>72</v>
      </c>
      <c r="C1071" t="s">
        <v>73</v>
      </c>
      <c r="D1071">
        <v>4597.4399999999996</v>
      </c>
      <c r="E1071">
        <v>4518.5928199999998</v>
      </c>
      <c r="F1071">
        <v>4596.0559499999999</v>
      </c>
      <c r="G1071">
        <v>4755.40355</v>
      </c>
      <c r="H1071">
        <v>4792.7697200000002</v>
      </c>
      <c r="Q1071">
        <v>4531.5689599999996</v>
      </c>
      <c r="R1071">
        <v>4560.9322599999996</v>
      </c>
      <c r="S1071">
        <v>4587.5210299999999</v>
      </c>
      <c r="V1071">
        <v>4496.6291899999997</v>
      </c>
      <c r="W1071">
        <v>4463.0641900000001</v>
      </c>
      <c r="AB1071">
        <v>4595.2920800000002</v>
      </c>
      <c r="AC1071">
        <v>4597.3113199999998</v>
      </c>
      <c r="AD1071">
        <v>0</v>
      </c>
      <c r="AK1071">
        <v>1069</v>
      </c>
      <c r="AL1071">
        <v>1068</v>
      </c>
      <c r="AM1071">
        <v>4597.4399999999996</v>
      </c>
      <c r="AN1071">
        <v>4531.5690000000004</v>
      </c>
      <c r="AO1071">
        <v>65.870999999999995</v>
      </c>
      <c r="AP1071">
        <v>4338.9939000000004</v>
      </c>
      <c r="AQ1071">
        <v>6.5750510000000002</v>
      </c>
      <c r="AR1071">
        <v>12.317773000000001</v>
      </c>
      <c r="AY1071">
        <v>1069</v>
      </c>
      <c r="AZ1071">
        <v>1068</v>
      </c>
      <c r="BA1071">
        <v>4597.4399999999996</v>
      </c>
      <c r="BB1071">
        <v>4531.5690000000004</v>
      </c>
      <c r="BC1071">
        <v>65.870999999999995</v>
      </c>
      <c r="BD1071">
        <v>4338.9939000000004</v>
      </c>
      <c r="BE1071">
        <v>1140624</v>
      </c>
    </row>
    <row r="1072" spans="1:57" x14ac:dyDescent="0.55000000000000004">
      <c r="A1072">
        <v>1777875302</v>
      </c>
      <c r="B1072" t="s">
        <v>72</v>
      </c>
      <c r="C1072" t="s">
        <v>73</v>
      </c>
      <c r="D1072">
        <v>4594.08</v>
      </c>
      <c r="E1072">
        <v>4518.5928199999998</v>
      </c>
      <c r="F1072">
        <v>4596.0559499999999</v>
      </c>
      <c r="G1072">
        <v>4755.40355</v>
      </c>
      <c r="H1072">
        <v>4792.7697200000002</v>
      </c>
      <c r="Q1072">
        <v>4531.3013600000004</v>
      </c>
      <c r="R1072">
        <v>4560.6646499999997</v>
      </c>
      <c r="S1072">
        <v>4587.2534299999998</v>
      </c>
      <c r="V1072">
        <v>4496.3615900000004</v>
      </c>
      <c r="W1072">
        <v>4462.7965899999999</v>
      </c>
      <c r="AB1072">
        <v>4593.10538</v>
      </c>
      <c r="AC1072">
        <v>4595.2083499999999</v>
      </c>
      <c r="AD1072">
        <v>0</v>
      </c>
      <c r="AK1072">
        <v>1070</v>
      </c>
      <c r="AL1072">
        <v>1069</v>
      </c>
      <c r="AM1072">
        <v>4594.08</v>
      </c>
      <c r="AN1072">
        <v>4531.3014000000003</v>
      </c>
      <c r="AO1072">
        <v>62.778599999999997</v>
      </c>
      <c r="AP1072">
        <v>3941.1576</v>
      </c>
      <c r="AQ1072">
        <v>5.6918220000000002</v>
      </c>
      <c r="AR1072">
        <v>10.162527000000001</v>
      </c>
      <c r="AY1072">
        <v>1070</v>
      </c>
      <c r="AZ1072">
        <v>1069</v>
      </c>
      <c r="BA1072">
        <v>4594.08</v>
      </c>
      <c r="BB1072">
        <v>4531.3014000000003</v>
      </c>
      <c r="BC1072">
        <v>62.778599999999997</v>
      </c>
      <c r="BD1072">
        <v>3941.1576</v>
      </c>
      <c r="BE1072">
        <v>1142761</v>
      </c>
    </row>
    <row r="1073" spans="1:57" x14ac:dyDescent="0.55000000000000004">
      <c r="A1073">
        <v>1777876202</v>
      </c>
      <c r="B1073" t="s">
        <v>72</v>
      </c>
      <c r="C1073" t="s">
        <v>73</v>
      </c>
      <c r="D1073">
        <v>4585.46</v>
      </c>
      <c r="E1073">
        <v>4518.5928199999998</v>
      </c>
      <c r="F1073">
        <v>4596.0559499999999</v>
      </c>
      <c r="G1073">
        <v>4755.40355</v>
      </c>
      <c r="H1073">
        <v>4792.7697200000002</v>
      </c>
      <c r="Q1073">
        <v>4531.0337499999996</v>
      </c>
      <c r="R1073">
        <v>4560.3970499999996</v>
      </c>
      <c r="S1073">
        <v>4586.9858199999999</v>
      </c>
      <c r="V1073">
        <v>4496.0939799999996</v>
      </c>
      <c r="W1073">
        <v>4462.5289899999998</v>
      </c>
      <c r="AB1073">
        <v>4590.84735</v>
      </c>
      <c r="AC1073">
        <v>4593.0278500000004</v>
      </c>
      <c r="AD1073">
        <v>0</v>
      </c>
      <c r="AK1073">
        <v>1071</v>
      </c>
      <c r="AL1073">
        <v>1070</v>
      </c>
      <c r="AM1073">
        <v>4585.46</v>
      </c>
      <c r="AN1073">
        <v>4531.0337</v>
      </c>
      <c r="AO1073">
        <v>54.426299999999998</v>
      </c>
      <c r="AP1073">
        <v>2962.2166999999999</v>
      </c>
      <c r="AQ1073">
        <v>3.708863</v>
      </c>
      <c r="AR1073">
        <v>5.7410030000000001</v>
      </c>
      <c r="AY1073">
        <v>1071</v>
      </c>
      <c r="AZ1073">
        <v>1070</v>
      </c>
      <c r="BA1073">
        <v>4585.46</v>
      </c>
      <c r="BB1073">
        <v>4531.0337</v>
      </c>
      <c r="BC1073">
        <v>54.426299999999998</v>
      </c>
      <c r="BD1073">
        <v>2962.2166999999999</v>
      </c>
      <c r="BE1073">
        <v>1144900</v>
      </c>
    </row>
    <row r="1074" spans="1:57" x14ac:dyDescent="0.55000000000000004">
      <c r="A1074">
        <v>1777877102</v>
      </c>
      <c r="B1074" t="s">
        <v>72</v>
      </c>
      <c r="C1074" t="s">
        <v>73</v>
      </c>
      <c r="D1074">
        <v>4588.54</v>
      </c>
      <c r="E1074">
        <v>4518.5928199999998</v>
      </c>
      <c r="F1074">
        <v>4596.0559499999999</v>
      </c>
      <c r="G1074">
        <v>4755.40355</v>
      </c>
      <c r="H1074">
        <v>4792.7697200000002</v>
      </c>
      <c r="Q1074">
        <v>4530.7661500000004</v>
      </c>
      <c r="R1074">
        <v>4560.1294500000004</v>
      </c>
      <c r="S1074">
        <v>4586.7182199999997</v>
      </c>
      <c r="V1074">
        <v>4495.8263800000004</v>
      </c>
      <c r="W1074">
        <v>4462.2613799999999</v>
      </c>
      <c r="AB1074">
        <v>4588.78298</v>
      </c>
      <c r="AC1074">
        <v>4590.90542</v>
      </c>
      <c r="AD1074">
        <v>0</v>
      </c>
      <c r="AK1074">
        <v>1072</v>
      </c>
      <c r="AL1074">
        <v>1071</v>
      </c>
      <c r="AM1074">
        <v>4588.54</v>
      </c>
      <c r="AN1074">
        <v>4530.7662</v>
      </c>
      <c r="AO1074">
        <v>57.773800000000001</v>
      </c>
      <c r="AP1074">
        <v>3337.8177000000001</v>
      </c>
      <c r="AQ1074">
        <v>4.4361839999999999</v>
      </c>
      <c r="AR1074">
        <v>7.2891909999999998</v>
      </c>
      <c r="AY1074">
        <v>1072</v>
      </c>
      <c r="AZ1074">
        <v>1071</v>
      </c>
      <c r="BA1074">
        <v>4588.54</v>
      </c>
      <c r="BB1074">
        <v>4530.7662</v>
      </c>
      <c r="BC1074">
        <v>57.773800000000001</v>
      </c>
      <c r="BD1074">
        <v>3337.8177000000001</v>
      </c>
      <c r="BE1074">
        <v>1147041</v>
      </c>
    </row>
    <row r="1075" spans="1:57" x14ac:dyDescent="0.55000000000000004">
      <c r="A1075">
        <v>1777878002</v>
      </c>
      <c r="B1075" t="s">
        <v>72</v>
      </c>
      <c r="C1075" t="s">
        <v>73</v>
      </c>
      <c r="D1075">
        <v>4592.16</v>
      </c>
      <c r="E1075">
        <v>4518.5928199999998</v>
      </c>
      <c r="F1075">
        <v>4596.0559499999999</v>
      </c>
      <c r="G1075">
        <v>4755.40355</v>
      </c>
      <c r="H1075">
        <v>4792.7697200000002</v>
      </c>
      <c r="Q1075">
        <v>4530.4985399999996</v>
      </c>
      <c r="R1075">
        <v>4559.8618399999996</v>
      </c>
      <c r="S1075">
        <v>4586.4506099999999</v>
      </c>
      <c r="V1075">
        <v>4495.5587699999996</v>
      </c>
      <c r="W1075">
        <v>4461.9937799999998</v>
      </c>
      <c r="AB1075">
        <v>4586.8504300000004</v>
      </c>
      <c r="AC1075">
        <v>4588.8779199999999</v>
      </c>
      <c r="AD1075">
        <v>0</v>
      </c>
      <c r="AK1075">
        <v>1073</v>
      </c>
      <c r="AL1075">
        <v>1072</v>
      </c>
      <c r="AM1075">
        <v>4592.16</v>
      </c>
      <c r="AN1075">
        <v>4530.4984999999997</v>
      </c>
      <c r="AO1075">
        <v>61.661499999999997</v>
      </c>
      <c r="AP1075">
        <v>3802.1356000000001</v>
      </c>
      <c r="AQ1075">
        <v>5.3933299999999997</v>
      </c>
      <c r="AR1075">
        <v>9.4582180000000005</v>
      </c>
      <c r="AY1075">
        <v>1073</v>
      </c>
      <c r="AZ1075">
        <v>1072</v>
      </c>
      <c r="BA1075">
        <v>4592.16</v>
      </c>
      <c r="BB1075">
        <v>4530.4984999999997</v>
      </c>
      <c r="BC1075">
        <v>61.661499999999997</v>
      </c>
      <c r="BD1075">
        <v>3802.1356000000001</v>
      </c>
      <c r="BE1075">
        <v>1149184</v>
      </c>
    </row>
    <row r="1076" spans="1:57" x14ac:dyDescent="0.55000000000000004">
      <c r="A1076">
        <v>1777878902</v>
      </c>
      <c r="B1076" t="s">
        <v>72</v>
      </c>
      <c r="C1076" t="s">
        <v>73</v>
      </c>
      <c r="D1076">
        <v>4585.82</v>
      </c>
      <c r="E1076">
        <v>4518.5928199999998</v>
      </c>
      <c r="F1076">
        <v>4596.0559499999999</v>
      </c>
      <c r="G1076">
        <v>4755.40355</v>
      </c>
      <c r="H1076">
        <v>4792.7697200000002</v>
      </c>
      <c r="Q1076">
        <v>4530.2309400000004</v>
      </c>
      <c r="R1076">
        <v>4559.5942400000004</v>
      </c>
      <c r="S1076">
        <v>4586.1830099999997</v>
      </c>
      <c r="V1076">
        <v>4495.2911700000004</v>
      </c>
      <c r="W1076">
        <v>4461.7261699999999</v>
      </c>
      <c r="AB1076">
        <v>4585.0215500000004</v>
      </c>
      <c r="AC1076">
        <v>4586.94974</v>
      </c>
      <c r="AD1076">
        <v>0</v>
      </c>
      <c r="AK1076">
        <v>1074</v>
      </c>
      <c r="AL1076">
        <v>1073</v>
      </c>
      <c r="AM1076">
        <v>4585.82</v>
      </c>
      <c r="AN1076">
        <v>4530.2308999999996</v>
      </c>
      <c r="AO1076">
        <v>55.589100000000002</v>
      </c>
      <c r="AP1076">
        <v>3090.1435999999999</v>
      </c>
      <c r="AQ1076">
        <v>3.9516960000000001</v>
      </c>
      <c r="AR1076">
        <v>6.2475740000000002</v>
      </c>
      <c r="AY1076">
        <v>1074</v>
      </c>
      <c r="AZ1076">
        <v>1073</v>
      </c>
      <c r="BA1076">
        <v>4585.82</v>
      </c>
      <c r="BB1076">
        <v>4530.2308999999996</v>
      </c>
      <c r="BC1076">
        <v>55.589100000000002</v>
      </c>
      <c r="BD1076">
        <v>3090.1435999999999</v>
      </c>
      <c r="BE1076">
        <v>1151329</v>
      </c>
    </row>
    <row r="1077" spans="1:57" x14ac:dyDescent="0.55000000000000004">
      <c r="A1077">
        <v>1777879802</v>
      </c>
      <c r="B1077" t="s">
        <v>72</v>
      </c>
      <c r="C1077" t="s">
        <v>73</v>
      </c>
      <c r="D1077">
        <v>4587.99</v>
      </c>
      <c r="E1077">
        <v>4518.5928199999998</v>
      </c>
      <c r="F1077">
        <v>4596.0559499999999</v>
      </c>
      <c r="G1077">
        <v>4755.40355</v>
      </c>
      <c r="H1077">
        <v>4792.7697200000002</v>
      </c>
      <c r="Q1077">
        <v>4529.9633400000002</v>
      </c>
      <c r="R1077">
        <v>4559.3266299999996</v>
      </c>
      <c r="S1077">
        <v>4585.9154099999996</v>
      </c>
      <c r="V1077">
        <v>4495.0235700000003</v>
      </c>
      <c r="W1077">
        <v>4461.4585699999998</v>
      </c>
      <c r="AB1077">
        <v>4583.5621300000003</v>
      </c>
      <c r="AC1077">
        <v>4585.2559300000003</v>
      </c>
      <c r="AD1077">
        <v>0</v>
      </c>
      <c r="AK1077">
        <v>1075</v>
      </c>
      <c r="AL1077">
        <v>1074</v>
      </c>
      <c r="AM1077">
        <v>4587.99</v>
      </c>
      <c r="AN1077">
        <v>4529.9633000000003</v>
      </c>
      <c r="AO1077">
        <v>58.026699999999998</v>
      </c>
      <c r="AP1077">
        <v>3367.0933</v>
      </c>
      <c r="AQ1077">
        <v>4.494675</v>
      </c>
      <c r="AR1077">
        <v>7.4176169999999999</v>
      </c>
      <c r="AY1077">
        <v>1075</v>
      </c>
      <c r="AZ1077">
        <v>1074</v>
      </c>
      <c r="BA1077">
        <v>4587.99</v>
      </c>
      <c r="BB1077">
        <v>4529.9633000000003</v>
      </c>
      <c r="BC1077">
        <v>58.026699999999998</v>
      </c>
      <c r="BD1077">
        <v>3367.0933</v>
      </c>
      <c r="BE1077">
        <v>1153476</v>
      </c>
    </row>
    <row r="1078" spans="1:57" x14ac:dyDescent="0.55000000000000004">
      <c r="A1078">
        <v>1777880702</v>
      </c>
      <c r="B1078" t="s">
        <v>72</v>
      </c>
      <c r="C1078" t="s">
        <v>73</v>
      </c>
      <c r="D1078">
        <v>4579.0600000000004</v>
      </c>
      <c r="E1078">
        <v>4518.5928199999998</v>
      </c>
      <c r="F1078">
        <v>4596.0559499999999</v>
      </c>
      <c r="G1078">
        <v>4755.40355</v>
      </c>
      <c r="H1078">
        <v>4792.7697200000002</v>
      </c>
      <c r="Q1078">
        <v>4529.6957300000004</v>
      </c>
      <c r="R1078">
        <v>4559.0590300000003</v>
      </c>
      <c r="S1078">
        <v>4585.6477999999997</v>
      </c>
      <c r="V1078">
        <v>4494.7559600000004</v>
      </c>
      <c r="W1078">
        <v>4461.1909599999999</v>
      </c>
      <c r="AB1078">
        <v>4582.44301</v>
      </c>
      <c r="AC1078">
        <v>4583.8494700000001</v>
      </c>
      <c r="AD1078">
        <v>0</v>
      </c>
      <c r="AK1078">
        <v>1076</v>
      </c>
      <c r="AL1078">
        <v>1075</v>
      </c>
      <c r="AM1078">
        <v>4579.0600000000004</v>
      </c>
      <c r="AN1078">
        <v>4529.6957000000002</v>
      </c>
      <c r="AO1078">
        <v>49.3643</v>
      </c>
      <c r="AP1078">
        <v>2436.8312000000001</v>
      </c>
      <c r="AQ1078">
        <v>2.7672840000000001</v>
      </c>
      <c r="AR1078">
        <v>3.8851249999999999</v>
      </c>
      <c r="AY1078">
        <v>1076</v>
      </c>
      <c r="AZ1078">
        <v>1075</v>
      </c>
      <c r="BA1078">
        <v>4579.0600000000004</v>
      </c>
      <c r="BB1078">
        <v>4529.6957000000002</v>
      </c>
      <c r="BC1078">
        <v>49.3643</v>
      </c>
      <c r="BD1078">
        <v>2436.8312000000001</v>
      </c>
      <c r="BE1078">
        <v>1155625</v>
      </c>
    </row>
    <row r="1079" spans="1:57" x14ac:dyDescent="0.55000000000000004">
      <c r="A1079">
        <v>1777881602</v>
      </c>
      <c r="B1079" t="s">
        <v>72</v>
      </c>
      <c r="C1079" t="s">
        <v>73</v>
      </c>
      <c r="D1079">
        <v>4580.25</v>
      </c>
      <c r="E1079">
        <v>4518.5928199999998</v>
      </c>
      <c r="F1079">
        <v>4596.0559499999999</v>
      </c>
      <c r="G1079">
        <v>4755.40355</v>
      </c>
      <c r="H1079">
        <v>4792.7697200000002</v>
      </c>
      <c r="Q1079">
        <v>4529.4281300000002</v>
      </c>
      <c r="R1079">
        <v>4558.7914300000002</v>
      </c>
      <c r="S1079">
        <v>4585.3801999999996</v>
      </c>
      <c r="V1079">
        <v>4494.4883600000003</v>
      </c>
      <c r="W1079">
        <v>4460.9233599999998</v>
      </c>
      <c r="AB1079">
        <v>4581.8234599999996</v>
      </c>
      <c r="AC1079">
        <v>4582.8364600000004</v>
      </c>
      <c r="AD1079">
        <v>0</v>
      </c>
      <c r="AK1079">
        <v>1077</v>
      </c>
      <c r="AL1079">
        <v>1076</v>
      </c>
      <c r="AM1079">
        <v>4580.25</v>
      </c>
      <c r="AN1079">
        <v>4529.4281000000001</v>
      </c>
      <c r="AO1079">
        <v>50.821899999999999</v>
      </c>
      <c r="AP1079">
        <v>2582.8625000000002</v>
      </c>
      <c r="AQ1079">
        <v>3.0197259999999999</v>
      </c>
      <c r="AR1079">
        <v>4.3647229999999997</v>
      </c>
      <c r="AY1079">
        <v>1077</v>
      </c>
      <c r="AZ1079">
        <v>1076</v>
      </c>
      <c r="BA1079">
        <v>4580.25</v>
      </c>
      <c r="BB1079">
        <v>4529.4281000000001</v>
      </c>
      <c r="BC1079">
        <v>50.821899999999999</v>
      </c>
      <c r="BD1079">
        <v>2582.8625000000002</v>
      </c>
      <c r="BE1079">
        <v>1157776</v>
      </c>
    </row>
    <row r="1080" spans="1:57" x14ac:dyDescent="0.55000000000000004">
      <c r="A1080">
        <v>1777882502</v>
      </c>
      <c r="B1080" t="s">
        <v>72</v>
      </c>
      <c r="C1080" t="s">
        <v>73</v>
      </c>
      <c r="D1080">
        <v>4575.07</v>
      </c>
      <c r="E1080">
        <v>4518.5928199999998</v>
      </c>
      <c r="F1080">
        <v>4596.0559499999999</v>
      </c>
      <c r="G1080">
        <v>4755.40355</v>
      </c>
      <c r="H1080">
        <v>4792.7697200000002</v>
      </c>
      <c r="Q1080">
        <v>4529.1605200000004</v>
      </c>
      <c r="R1080">
        <v>4558.5238200000003</v>
      </c>
      <c r="S1080">
        <v>4585.1125899999997</v>
      </c>
      <c r="V1080">
        <v>4494.2207500000004</v>
      </c>
      <c r="W1080">
        <v>4460.6557599999996</v>
      </c>
      <c r="AB1080">
        <v>4581.4146199999996</v>
      </c>
      <c r="AC1080">
        <v>4582.12554</v>
      </c>
      <c r="AD1080">
        <v>0</v>
      </c>
      <c r="AK1080">
        <v>1078</v>
      </c>
      <c r="AL1080">
        <v>1077</v>
      </c>
      <c r="AM1080">
        <v>4575.07</v>
      </c>
      <c r="AN1080">
        <v>4529.1605</v>
      </c>
      <c r="AO1080">
        <v>45.909500000000001</v>
      </c>
      <c r="AP1080">
        <v>2107.6804000000002</v>
      </c>
      <c r="AQ1080">
        <v>2.2259869999999999</v>
      </c>
      <c r="AR1080">
        <v>2.9064549999999998</v>
      </c>
      <c r="AY1080">
        <v>1078</v>
      </c>
      <c r="AZ1080">
        <v>1077</v>
      </c>
      <c r="BA1080">
        <v>4575.07</v>
      </c>
      <c r="BB1080">
        <v>4529.1605</v>
      </c>
      <c r="BC1080">
        <v>45.909500000000001</v>
      </c>
      <c r="BD1080">
        <v>2107.6804000000002</v>
      </c>
      <c r="BE1080">
        <v>1159929</v>
      </c>
    </row>
    <row r="1081" spans="1:57" x14ac:dyDescent="0.55000000000000004">
      <c r="A1081">
        <v>1777883402</v>
      </c>
      <c r="B1081" t="s">
        <v>72</v>
      </c>
      <c r="C1081" t="s">
        <v>73</v>
      </c>
      <c r="D1081">
        <v>4578.09</v>
      </c>
      <c r="E1081">
        <v>4518.5928199999998</v>
      </c>
      <c r="F1081">
        <v>4596.0559499999999</v>
      </c>
      <c r="G1081">
        <v>4755.40355</v>
      </c>
      <c r="H1081">
        <v>4792.7697200000002</v>
      </c>
      <c r="Q1081">
        <v>4528.8929200000002</v>
      </c>
      <c r="R1081">
        <v>4558.2562200000002</v>
      </c>
      <c r="S1081">
        <v>4584.8449899999996</v>
      </c>
      <c r="V1081">
        <v>4493.9531500000003</v>
      </c>
      <c r="W1081">
        <v>4460.3881499999998</v>
      </c>
      <c r="AB1081">
        <v>4580.9816099999998</v>
      </c>
      <c r="AC1081">
        <v>4581.55357</v>
      </c>
      <c r="AD1081">
        <v>0</v>
      </c>
      <c r="AK1081">
        <v>1079</v>
      </c>
      <c r="AL1081">
        <v>1078</v>
      </c>
      <c r="AM1081">
        <v>4578.09</v>
      </c>
      <c r="AN1081">
        <v>4528.8928999999998</v>
      </c>
      <c r="AO1081">
        <v>49.197099999999999</v>
      </c>
      <c r="AP1081">
        <v>2420.3526999999999</v>
      </c>
      <c r="AQ1081">
        <v>2.7392620000000001</v>
      </c>
      <c r="AR1081">
        <v>3.8327580000000001</v>
      </c>
      <c r="AY1081">
        <v>1079</v>
      </c>
      <c r="AZ1081">
        <v>1078</v>
      </c>
      <c r="BA1081">
        <v>4578.09</v>
      </c>
      <c r="BB1081">
        <v>4528.8928999999998</v>
      </c>
      <c r="BC1081">
        <v>49.197099999999999</v>
      </c>
      <c r="BD1081">
        <v>2420.3526999999999</v>
      </c>
      <c r="BE1081">
        <v>1162084</v>
      </c>
    </row>
    <row r="1082" spans="1:57" x14ac:dyDescent="0.55000000000000004">
      <c r="A1082">
        <v>1777884302</v>
      </c>
      <c r="B1082" t="s">
        <v>72</v>
      </c>
      <c r="C1082" t="s">
        <v>73</v>
      </c>
      <c r="D1082">
        <v>4577.1099999999997</v>
      </c>
      <c r="E1082">
        <v>4518.5928199999998</v>
      </c>
      <c r="F1082">
        <v>4596.0559499999999</v>
      </c>
      <c r="G1082">
        <v>4755.40355</v>
      </c>
      <c r="H1082">
        <v>4792.7697200000002</v>
      </c>
      <c r="Q1082">
        <v>4528.6253100000004</v>
      </c>
      <c r="R1082">
        <v>4557.9886100000003</v>
      </c>
      <c r="S1082">
        <v>4584.5773799999997</v>
      </c>
      <c r="V1082">
        <v>4493.6855400000004</v>
      </c>
      <c r="W1082">
        <v>4460.1205499999996</v>
      </c>
      <c r="AB1082">
        <v>4580.0490799999998</v>
      </c>
      <c r="AC1082">
        <v>4580.8013300000002</v>
      </c>
      <c r="AD1082">
        <v>0</v>
      </c>
      <c r="AK1082">
        <v>1080</v>
      </c>
      <c r="AL1082">
        <v>1079</v>
      </c>
      <c r="AM1082">
        <v>4577.1099999999997</v>
      </c>
      <c r="AN1082">
        <v>4528.6252999999997</v>
      </c>
      <c r="AO1082">
        <v>48.484699999999997</v>
      </c>
      <c r="AP1082">
        <v>2350.7651999999998</v>
      </c>
      <c r="AQ1082">
        <v>2.6219800000000002</v>
      </c>
      <c r="AR1082">
        <v>3.6155349999999999</v>
      </c>
      <c r="AY1082">
        <v>1080</v>
      </c>
      <c r="AZ1082">
        <v>1079</v>
      </c>
      <c r="BA1082">
        <v>4577.1099999999997</v>
      </c>
      <c r="BB1082">
        <v>4528.6252999999997</v>
      </c>
      <c r="BC1082">
        <v>48.484699999999997</v>
      </c>
      <c r="BD1082">
        <v>2350.7651999999998</v>
      </c>
      <c r="BE1082">
        <v>1164241</v>
      </c>
    </row>
    <row r="1083" spans="1:57" x14ac:dyDescent="0.55000000000000004">
      <c r="A1083">
        <v>1777885202</v>
      </c>
      <c r="B1083" t="s">
        <v>72</v>
      </c>
      <c r="C1083" t="s">
        <v>73</v>
      </c>
      <c r="D1083">
        <v>4584.21</v>
      </c>
      <c r="E1083">
        <v>4518.5928199999998</v>
      </c>
      <c r="F1083">
        <v>4596.0559499999999</v>
      </c>
      <c r="G1083">
        <v>4755.40355</v>
      </c>
      <c r="H1083">
        <v>4792.7697200000002</v>
      </c>
      <c r="Q1083">
        <v>4528.3577100000002</v>
      </c>
      <c r="R1083">
        <v>4557.7210100000002</v>
      </c>
      <c r="S1083">
        <v>4584.3097799999996</v>
      </c>
      <c r="V1083">
        <v>4493.4179400000003</v>
      </c>
      <c r="W1083">
        <v>4459.8529399999998</v>
      </c>
      <c r="AB1083">
        <v>4578.2729900000004</v>
      </c>
      <c r="AC1083">
        <v>4579.5371599999999</v>
      </c>
      <c r="AD1083">
        <v>0</v>
      </c>
      <c r="AK1083">
        <v>1081</v>
      </c>
      <c r="AL1083">
        <v>1080</v>
      </c>
      <c r="AM1083">
        <v>4584.21</v>
      </c>
      <c r="AN1083">
        <v>4528.3576999999996</v>
      </c>
      <c r="AO1083">
        <v>55.8523</v>
      </c>
      <c r="AP1083">
        <v>3119.4783000000002</v>
      </c>
      <c r="AQ1083">
        <v>4.0080999999999998</v>
      </c>
      <c r="AR1083">
        <v>6.3667540000000002</v>
      </c>
      <c r="AY1083">
        <v>1081</v>
      </c>
      <c r="AZ1083">
        <v>1080</v>
      </c>
      <c r="BA1083">
        <v>4584.21</v>
      </c>
      <c r="BB1083">
        <v>4528.3576999999996</v>
      </c>
      <c r="BC1083">
        <v>55.8523</v>
      </c>
      <c r="BD1083">
        <v>3119.4783000000002</v>
      </c>
      <c r="BE1083">
        <v>1166400</v>
      </c>
    </row>
    <row r="1084" spans="1:57" x14ac:dyDescent="0.55000000000000004">
      <c r="A1084">
        <v>1777886102</v>
      </c>
      <c r="B1084" t="s">
        <v>72</v>
      </c>
      <c r="C1084" t="s">
        <v>73</v>
      </c>
      <c r="D1084">
        <v>4581.1499999999996</v>
      </c>
      <c r="E1084">
        <v>4518.5928199999998</v>
      </c>
      <c r="F1084">
        <v>4596.0559499999999</v>
      </c>
      <c r="G1084">
        <v>4755.40355</v>
      </c>
      <c r="H1084">
        <v>4792.7697200000002</v>
      </c>
      <c r="Q1084">
        <v>4528.0901100000001</v>
      </c>
      <c r="R1084">
        <v>4557.4534100000001</v>
      </c>
      <c r="S1084">
        <v>4584.0421800000004</v>
      </c>
      <c r="V1084">
        <v>4493.1503400000001</v>
      </c>
      <c r="W1084">
        <v>4459.5853399999996</v>
      </c>
      <c r="AB1084">
        <v>4575.2566900000002</v>
      </c>
      <c r="AC1084">
        <v>4577.3969200000001</v>
      </c>
      <c r="AD1084">
        <v>0</v>
      </c>
      <c r="AK1084">
        <v>1082</v>
      </c>
      <c r="AL1084">
        <v>1081</v>
      </c>
      <c r="AM1084">
        <v>4581.1499999999996</v>
      </c>
      <c r="AN1084">
        <v>4528.0901000000003</v>
      </c>
      <c r="AO1084">
        <v>53.059899999999999</v>
      </c>
      <c r="AP1084">
        <v>2815.3519000000001</v>
      </c>
      <c r="AQ1084">
        <v>3.4364859999999999</v>
      </c>
      <c r="AR1084">
        <v>5.1858449999999996</v>
      </c>
      <c r="AY1084">
        <v>1082</v>
      </c>
      <c r="AZ1084">
        <v>1081</v>
      </c>
      <c r="BA1084">
        <v>4581.1499999999996</v>
      </c>
      <c r="BB1084">
        <v>4528.0901000000003</v>
      </c>
      <c r="BC1084">
        <v>53.059899999999999</v>
      </c>
      <c r="BD1084">
        <v>2815.3519000000001</v>
      </c>
      <c r="BE1084">
        <v>1168561</v>
      </c>
    </row>
    <row r="1085" spans="1:57" x14ac:dyDescent="0.55000000000000004">
      <c r="A1085">
        <v>1777887002</v>
      </c>
      <c r="B1085" t="s">
        <v>72</v>
      </c>
      <c r="C1085" t="s">
        <v>73</v>
      </c>
      <c r="D1085">
        <v>4581.26</v>
      </c>
      <c r="E1085">
        <v>4518.5928199999998</v>
      </c>
      <c r="F1085">
        <v>4596.0559499999999</v>
      </c>
      <c r="G1085">
        <v>4755.40355</v>
      </c>
      <c r="H1085">
        <v>4792.7697200000002</v>
      </c>
      <c r="Q1085">
        <v>4527.8225000000002</v>
      </c>
      <c r="R1085">
        <v>4557.1858000000002</v>
      </c>
      <c r="S1085">
        <v>4583.7745699999996</v>
      </c>
      <c r="V1085">
        <v>4492.8827300000003</v>
      </c>
      <c r="W1085">
        <v>4459.3177400000004</v>
      </c>
      <c r="AB1085">
        <v>4571.1458300000004</v>
      </c>
      <c r="AC1085">
        <v>4574.2713800000001</v>
      </c>
      <c r="AD1085">
        <v>0</v>
      </c>
      <c r="AK1085">
        <v>1083</v>
      </c>
      <c r="AL1085">
        <v>1082</v>
      </c>
      <c r="AM1085">
        <v>4581.26</v>
      </c>
      <c r="AN1085">
        <v>4527.8225000000002</v>
      </c>
      <c r="AO1085">
        <v>53.4375</v>
      </c>
      <c r="AP1085">
        <v>2855.5664000000002</v>
      </c>
      <c r="AQ1085">
        <v>3.5103789999999999</v>
      </c>
      <c r="AR1085">
        <v>5.3350520000000001</v>
      </c>
      <c r="AY1085">
        <v>1083</v>
      </c>
      <c r="AZ1085">
        <v>1082</v>
      </c>
      <c r="BA1085">
        <v>4581.26</v>
      </c>
      <c r="BB1085">
        <v>4527.8225000000002</v>
      </c>
      <c r="BC1085">
        <v>53.4375</v>
      </c>
      <c r="BD1085">
        <v>2855.5664000000002</v>
      </c>
      <c r="BE1085">
        <v>1170724</v>
      </c>
    </row>
    <row r="1086" spans="1:57" x14ac:dyDescent="0.55000000000000004">
      <c r="A1086">
        <v>1777887902</v>
      </c>
      <c r="B1086" t="s">
        <v>72</v>
      </c>
      <c r="C1086" t="s">
        <v>73</v>
      </c>
      <c r="D1086">
        <v>4575.47</v>
      </c>
      <c r="E1086">
        <v>4518.5928199999998</v>
      </c>
      <c r="F1086">
        <v>4596.0559499999999</v>
      </c>
      <c r="G1086">
        <v>4755.40355</v>
      </c>
      <c r="H1086">
        <v>4792.7697200000002</v>
      </c>
      <c r="Q1086">
        <v>4527.5549000000001</v>
      </c>
      <c r="R1086">
        <v>4556.9182000000001</v>
      </c>
      <c r="S1086">
        <v>4583.5069700000004</v>
      </c>
      <c r="V1086">
        <v>4492.6151300000001</v>
      </c>
      <c r="W1086">
        <v>4459.0501299999996</v>
      </c>
      <c r="AB1086">
        <v>4566.2987400000002</v>
      </c>
      <c r="AC1086">
        <v>4570.2850600000002</v>
      </c>
      <c r="AD1086">
        <v>0</v>
      </c>
      <c r="AK1086">
        <v>1084</v>
      </c>
      <c r="AL1086">
        <v>1083</v>
      </c>
      <c r="AM1086">
        <v>4575.47</v>
      </c>
      <c r="AN1086">
        <v>4527.5549000000001</v>
      </c>
      <c r="AO1086">
        <v>47.915100000000002</v>
      </c>
      <c r="AP1086">
        <v>2295.8568</v>
      </c>
      <c r="AQ1086">
        <v>2.5306540000000002</v>
      </c>
      <c r="AR1086">
        <v>3.448607</v>
      </c>
      <c r="AY1086">
        <v>1084</v>
      </c>
      <c r="AZ1086">
        <v>1083</v>
      </c>
      <c r="BA1086">
        <v>4575.47</v>
      </c>
      <c r="BB1086">
        <v>4527.5549000000001</v>
      </c>
      <c r="BC1086">
        <v>47.915100000000002</v>
      </c>
      <c r="BD1086">
        <v>2295.8568</v>
      </c>
      <c r="BE1086">
        <v>1172889</v>
      </c>
    </row>
    <row r="1087" spans="1:57" x14ac:dyDescent="0.55000000000000004">
      <c r="A1087">
        <v>1777888802</v>
      </c>
      <c r="B1087" t="s">
        <v>72</v>
      </c>
      <c r="C1087" t="s">
        <v>73</v>
      </c>
      <c r="D1087">
        <v>4541.79</v>
      </c>
      <c r="E1087">
        <v>4518.5928199999998</v>
      </c>
      <c r="F1087">
        <v>4596.0559499999999</v>
      </c>
      <c r="G1087">
        <v>4755.40355</v>
      </c>
      <c r="H1087">
        <v>4792.7697200000002</v>
      </c>
      <c r="Q1087">
        <v>4527.2872900000002</v>
      </c>
      <c r="R1087">
        <v>4556.6505900000002</v>
      </c>
      <c r="S1087">
        <v>4583.2393599999996</v>
      </c>
      <c r="V1087">
        <v>4492.3475200000003</v>
      </c>
      <c r="W1087">
        <v>4458.7825300000004</v>
      </c>
      <c r="AB1087">
        <v>4561.4900500000003</v>
      </c>
      <c r="AC1087">
        <v>4565.8875500000004</v>
      </c>
      <c r="AD1087">
        <v>0</v>
      </c>
      <c r="AK1087">
        <v>1085</v>
      </c>
      <c r="AL1087">
        <v>1084</v>
      </c>
      <c r="AM1087">
        <v>4541.79</v>
      </c>
      <c r="AN1087">
        <v>4527.2873</v>
      </c>
      <c r="AO1087">
        <v>14.502700000000001</v>
      </c>
      <c r="AP1087">
        <v>210.32859999999999</v>
      </c>
      <c r="AQ1087">
        <v>7.0171999999999998E-2</v>
      </c>
      <c r="AR1087">
        <v>2.8943E-2</v>
      </c>
      <c r="AY1087">
        <v>1085</v>
      </c>
      <c r="AZ1087">
        <v>1084</v>
      </c>
      <c r="BA1087">
        <v>4541.79</v>
      </c>
      <c r="BB1087">
        <v>4527.2873</v>
      </c>
      <c r="BC1087">
        <v>14.502700000000001</v>
      </c>
      <c r="BD1087">
        <v>210.32859999999999</v>
      </c>
      <c r="BE1087">
        <v>1175056</v>
      </c>
    </row>
    <row r="1088" spans="1:57" x14ac:dyDescent="0.55000000000000004">
      <c r="A1088">
        <v>1777889702</v>
      </c>
      <c r="B1088" t="s">
        <v>72</v>
      </c>
      <c r="C1088" t="s">
        <v>73</v>
      </c>
      <c r="D1088">
        <v>4545</v>
      </c>
      <c r="E1088">
        <v>4518.5928199999998</v>
      </c>
      <c r="F1088">
        <v>4596.0559499999999</v>
      </c>
      <c r="G1088">
        <v>4755.40355</v>
      </c>
      <c r="H1088">
        <v>4792.7697200000002</v>
      </c>
      <c r="Q1088">
        <v>4527.0196900000001</v>
      </c>
      <c r="R1088">
        <v>4556.3829900000001</v>
      </c>
      <c r="S1088">
        <v>4582.9717600000004</v>
      </c>
      <c r="V1088">
        <v>4492.0799200000001</v>
      </c>
      <c r="W1088">
        <v>4458.5149199999996</v>
      </c>
      <c r="AA1088">
        <v>4526.3999999999996</v>
      </c>
      <c r="AB1088">
        <v>4558.2214599999998</v>
      </c>
      <c r="AC1088">
        <v>4562.0545099999999</v>
      </c>
      <c r="AD1088">
        <v>0</v>
      </c>
      <c r="AK1088">
        <v>1086</v>
      </c>
      <c r="AL1088">
        <v>1085</v>
      </c>
      <c r="AM1088">
        <v>4545</v>
      </c>
      <c r="AN1088">
        <v>4527.0196999999998</v>
      </c>
      <c r="AO1088">
        <v>17.9803</v>
      </c>
      <c r="AP1088">
        <v>323.29149999999998</v>
      </c>
      <c r="AQ1088">
        <v>0.13372300000000001</v>
      </c>
      <c r="AR1088">
        <v>6.8381999999999998E-2</v>
      </c>
      <c r="AY1088">
        <v>1086</v>
      </c>
      <c r="AZ1088">
        <v>1085</v>
      </c>
      <c r="BA1088">
        <v>4545</v>
      </c>
      <c r="BB1088">
        <v>4527.0196999999998</v>
      </c>
      <c r="BC1088">
        <v>17.9803</v>
      </c>
      <c r="BD1088">
        <v>323.29149999999998</v>
      </c>
      <c r="BE1088">
        <v>1177225</v>
      </c>
    </row>
    <row r="1089" spans="1:57" x14ac:dyDescent="0.55000000000000004">
      <c r="A1089">
        <v>1777890602</v>
      </c>
      <c r="B1089" t="s">
        <v>72</v>
      </c>
      <c r="C1089" t="s">
        <v>73</v>
      </c>
      <c r="D1089">
        <v>4558.6400000000003</v>
      </c>
      <c r="E1089">
        <v>4518.5928199999998</v>
      </c>
      <c r="F1089">
        <v>4596.0559499999999</v>
      </c>
      <c r="G1089">
        <v>4755.40355</v>
      </c>
      <c r="H1089">
        <v>4792.7697200000002</v>
      </c>
      <c r="Q1089">
        <v>4526.75209</v>
      </c>
      <c r="R1089">
        <v>4556.1153899999999</v>
      </c>
      <c r="S1089">
        <v>4582.7041600000002</v>
      </c>
      <c r="V1089">
        <v>4491.81232</v>
      </c>
      <c r="W1089">
        <v>4458.2473200000004</v>
      </c>
      <c r="AB1089">
        <v>4556.7514600000004</v>
      </c>
      <c r="AC1089">
        <v>4559.4029799999998</v>
      </c>
      <c r="AD1089">
        <v>0</v>
      </c>
      <c r="AK1089">
        <v>1087</v>
      </c>
      <c r="AL1089">
        <v>1086</v>
      </c>
      <c r="AM1089">
        <v>4558.6400000000003</v>
      </c>
      <c r="AN1089">
        <v>4526.7520999999997</v>
      </c>
      <c r="AO1089">
        <v>31.887899999999998</v>
      </c>
      <c r="AP1089">
        <v>1016.8388</v>
      </c>
      <c r="AQ1089">
        <v>0.745923</v>
      </c>
      <c r="AR1089">
        <v>0.676485</v>
      </c>
      <c r="AY1089">
        <v>1087</v>
      </c>
      <c r="AZ1089">
        <v>1086</v>
      </c>
      <c r="BA1089">
        <v>4558.6400000000003</v>
      </c>
      <c r="BB1089">
        <v>4526.7520999999997</v>
      </c>
      <c r="BC1089">
        <v>31.887899999999998</v>
      </c>
      <c r="BD1089">
        <v>1016.8388</v>
      </c>
      <c r="BE1089">
        <v>1179396</v>
      </c>
    </row>
    <row r="1090" spans="1:57" x14ac:dyDescent="0.55000000000000004">
      <c r="A1090">
        <v>1777891502</v>
      </c>
      <c r="B1090" t="s">
        <v>72</v>
      </c>
      <c r="C1090" t="s">
        <v>73</v>
      </c>
      <c r="D1090">
        <v>4562.67</v>
      </c>
      <c r="E1090">
        <v>4518.5928199999998</v>
      </c>
      <c r="F1090">
        <v>4596.0559499999999</v>
      </c>
      <c r="G1090">
        <v>4755.40355</v>
      </c>
      <c r="H1090">
        <v>4792.7697200000002</v>
      </c>
      <c r="Q1090">
        <v>4526.4844800000001</v>
      </c>
      <c r="R1090">
        <v>4555.8477800000001</v>
      </c>
      <c r="S1090">
        <v>4582.4365500000004</v>
      </c>
      <c r="V1090">
        <v>4491.5447100000001</v>
      </c>
      <c r="W1090">
        <v>4457.9797200000003</v>
      </c>
      <c r="AB1090">
        <v>4556.7005399999998</v>
      </c>
      <c r="AC1090">
        <v>4558.0517600000003</v>
      </c>
      <c r="AD1090">
        <v>0</v>
      </c>
      <c r="AK1090">
        <v>1088</v>
      </c>
      <c r="AL1090">
        <v>1087</v>
      </c>
      <c r="AM1090">
        <v>4562.67</v>
      </c>
      <c r="AN1090">
        <v>4526.4844999999996</v>
      </c>
      <c r="AO1090">
        <v>36.185499999999998</v>
      </c>
      <c r="AP1090">
        <v>1309.3919000000001</v>
      </c>
      <c r="AQ1090">
        <v>1.0899840000000001</v>
      </c>
      <c r="AR1090">
        <v>1.1217429999999999</v>
      </c>
      <c r="AY1090">
        <v>1088</v>
      </c>
      <c r="AZ1090">
        <v>1087</v>
      </c>
      <c r="BA1090">
        <v>4562.67</v>
      </c>
      <c r="BB1090">
        <v>4526.4844999999996</v>
      </c>
      <c r="BC1090">
        <v>36.185499999999998</v>
      </c>
      <c r="BD1090">
        <v>1309.3919000000001</v>
      </c>
      <c r="BE1090">
        <v>1181569</v>
      </c>
    </row>
    <row r="1091" spans="1:57" x14ac:dyDescent="0.55000000000000004">
      <c r="A1091">
        <v>1777892402</v>
      </c>
      <c r="B1091" t="s">
        <v>72</v>
      </c>
      <c r="C1091" t="s">
        <v>73</v>
      </c>
      <c r="D1091">
        <v>4565.34</v>
      </c>
      <c r="E1091">
        <v>4518.5928199999998</v>
      </c>
      <c r="F1091">
        <v>4596.0559499999999</v>
      </c>
      <c r="G1091">
        <v>4755.40355</v>
      </c>
      <c r="H1091">
        <v>4792.7697200000002</v>
      </c>
      <c r="Q1091">
        <v>4526.2168799999999</v>
      </c>
      <c r="R1091">
        <v>4555.5801799999999</v>
      </c>
      <c r="S1091">
        <v>4582.1689500000002</v>
      </c>
      <c r="V1091">
        <v>4491.27711</v>
      </c>
      <c r="W1091">
        <v>4457.7121100000004</v>
      </c>
      <c r="AB1091">
        <v>4557.6986699999998</v>
      </c>
      <c r="AC1091">
        <v>4557.8752100000002</v>
      </c>
      <c r="AD1091">
        <v>0</v>
      </c>
      <c r="AK1091">
        <v>1089</v>
      </c>
      <c r="AL1091">
        <v>1088</v>
      </c>
      <c r="AM1091">
        <v>4565.34</v>
      </c>
      <c r="AN1091">
        <v>4526.2169000000004</v>
      </c>
      <c r="AO1091">
        <v>39.123100000000001</v>
      </c>
      <c r="AP1091">
        <v>1530.6185</v>
      </c>
      <c r="AQ1091">
        <v>1.3775770000000001</v>
      </c>
      <c r="AR1091">
        <v>1.5328090000000001</v>
      </c>
      <c r="AY1091">
        <v>1089</v>
      </c>
      <c r="AZ1091">
        <v>1088</v>
      </c>
      <c r="BA1091">
        <v>4565.34</v>
      </c>
      <c r="BB1091">
        <v>4526.2169000000004</v>
      </c>
      <c r="BC1091">
        <v>39.123100000000001</v>
      </c>
      <c r="BD1091">
        <v>1530.6185</v>
      </c>
      <c r="BE1091">
        <v>1183744</v>
      </c>
    </row>
    <row r="1092" spans="1:57" x14ac:dyDescent="0.55000000000000004">
      <c r="A1092">
        <v>1777893302</v>
      </c>
      <c r="B1092" t="s">
        <v>72</v>
      </c>
      <c r="C1092" t="s">
        <v>73</v>
      </c>
      <c r="D1092">
        <v>4562.26</v>
      </c>
      <c r="E1092">
        <v>4518.5928199999998</v>
      </c>
      <c r="F1092">
        <v>4596.0559499999999</v>
      </c>
      <c r="G1092">
        <v>4755.40355</v>
      </c>
      <c r="H1092">
        <v>4792.7697200000002</v>
      </c>
      <c r="Q1092">
        <v>4525.9492700000001</v>
      </c>
      <c r="R1092">
        <v>4555.3125700000001</v>
      </c>
      <c r="S1092">
        <v>4581.9013400000003</v>
      </c>
      <c r="V1092">
        <v>4491.0095000000001</v>
      </c>
      <c r="W1092">
        <v>4457.4445100000003</v>
      </c>
      <c r="AB1092">
        <v>4559.2623700000004</v>
      </c>
      <c r="AC1092">
        <v>4558.5687900000003</v>
      </c>
      <c r="AD1092">
        <v>1</v>
      </c>
      <c r="AK1092">
        <v>1090</v>
      </c>
      <c r="AL1092">
        <v>1089</v>
      </c>
      <c r="AM1092">
        <v>4562.26</v>
      </c>
      <c r="AN1092">
        <v>4525.9493000000002</v>
      </c>
      <c r="AO1092">
        <v>36.310699999999997</v>
      </c>
      <c r="AP1092">
        <v>1318.4691</v>
      </c>
      <c r="AQ1092">
        <v>1.1013379999999999</v>
      </c>
      <c r="AR1092">
        <v>1.1373500000000001</v>
      </c>
      <c r="AY1092">
        <v>1090</v>
      </c>
      <c r="AZ1092">
        <v>1089</v>
      </c>
      <c r="BA1092">
        <v>4562.26</v>
      </c>
      <c r="BB1092">
        <v>4525.9493000000002</v>
      </c>
      <c r="BC1092">
        <v>36.310699999999997</v>
      </c>
      <c r="BD1092">
        <v>1318.4691</v>
      </c>
      <c r="BE1092">
        <v>1185921</v>
      </c>
    </row>
    <row r="1093" spans="1:57" x14ac:dyDescent="0.55000000000000004">
      <c r="A1093">
        <v>1777894202</v>
      </c>
      <c r="B1093" t="s">
        <v>72</v>
      </c>
      <c r="C1093" t="s">
        <v>73</v>
      </c>
      <c r="D1093">
        <v>4553.6499999999996</v>
      </c>
      <c r="E1093">
        <v>4518.5928199999998</v>
      </c>
      <c r="F1093">
        <v>4596.0559499999999</v>
      </c>
      <c r="G1093">
        <v>4755.40355</v>
      </c>
      <c r="H1093">
        <v>4792.7697200000002</v>
      </c>
      <c r="Q1093">
        <v>4525.6816699999999</v>
      </c>
      <c r="R1093">
        <v>4555.0449699999999</v>
      </c>
      <c r="S1093">
        <v>4581.6337400000002</v>
      </c>
      <c r="V1093">
        <v>4490.7419</v>
      </c>
      <c r="W1093">
        <v>4457.1769000000004</v>
      </c>
      <c r="AB1093">
        <v>4561.0117200000004</v>
      </c>
      <c r="AC1093">
        <v>4559.7902599999998</v>
      </c>
      <c r="AD1093">
        <v>0</v>
      </c>
      <c r="AK1093">
        <v>1091</v>
      </c>
      <c r="AL1093">
        <v>1090</v>
      </c>
      <c r="AM1093">
        <v>4553.6499999999996</v>
      </c>
      <c r="AN1093">
        <v>4525.6817000000001</v>
      </c>
      <c r="AO1093">
        <v>27.968299999999999</v>
      </c>
      <c r="AP1093">
        <v>782.22749999999996</v>
      </c>
      <c r="AQ1093">
        <v>0.50328600000000001</v>
      </c>
      <c r="AR1093">
        <v>0.40033200000000002</v>
      </c>
      <c r="AY1093">
        <v>1091</v>
      </c>
      <c r="AZ1093">
        <v>1090</v>
      </c>
      <c r="BA1093">
        <v>4553.6499999999996</v>
      </c>
      <c r="BB1093">
        <v>4525.6817000000001</v>
      </c>
      <c r="BC1093">
        <v>27.968299999999999</v>
      </c>
      <c r="BD1093">
        <v>782.22749999999996</v>
      </c>
      <c r="BE1093">
        <v>1188100</v>
      </c>
    </row>
    <row r="1094" spans="1:57" x14ac:dyDescent="0.55000000000000004">
      <c r="A1094">
        <v>1777895102</v>
      </c>
      <c r="B1094" t="s">
        <v>72</v>
      </c>
      <c r="C1094" t="s">
        <v>73</v>
      </c>
      <c r="D1094">
        <v>4559.9399999999996</v>
      </c>
      <c r="E1094">
        <v>4518.5928199999998</v>
      </c>
      <c r="F1094">
        <v>4596.0559499999999</v>
      </c>
      <c r="G1094">
        <v>4755.40355</v>
      </c>
      <c r="H1094">
        <v>4792.7697200000002</v>
      </c>
      <c r="Q1094">
        <v>4525.4140699999998</v>
      </c>
      <c r="R1094">
        <v>4554.77736</v>
      </c>
      <c r="S1094">
        <v>4581.3661400000001</v>
      </c>
      <c r="V1094">
        <v>4490.4742999999999</v>
      </c>
      <c r="W1094">
        <v>4456.9093000000003</v>
      </c>
      <c r="AB1094">
        <v>4562.8170399999999</v>
      </c>
      <c r="AC1094">
        <v>4561.3036499999998</v>
      </c>
      <c r="AD1094">
        <v>0</v>
      </c>
      <c r="AK1094">
        <v>1092</v>
      </c>
      <c r="AL1094">
        <v>1091</v>
      </c>
      <c r="AM1094">
        <v>4559.9399999999996</v>
      </c>
      <c r="AN1094">
        <v>4525.4141</v>
      </c>
      <c r="AO1094">
        <v>34.5259</v>
      </c>
      <c r="AP1094">
        <v>1192.0398</v>
      </c>
      <c r="AQ1094">
        <v>0.94678600000000002</v>
      </c>
      <c r="AR1094">
        <v>0.92968499999999998</v>
      </c>
      <c r="AY1094">
        <v>1092</v>
      </c>
      <c r="AZ1094">
        <v>1091</v>
      </c>
      <c r="BA1094">
        <v>4559.9399999999996</v>
      </c>
      <c r="BB1094">
        <v>4525.4141</v>
      </c>
      <c r="BC1094">
        <v>34.5259</v>
      </c>
      <c r="BD1094">
        <v>1192.0398</v>
      </c>
      <c r="BE1094">
        <v>1190281</v>
      </c>
    </row>
    <row r="1095" spans="1:57" x14ac:dyDescent="0.55000000000000004">
      <c r="A1095">
        <v>1777896002</v>
      </c>
      <c r="B1095" t="s">
        <v>72</v>
      </c>
      <c r="C1095" t="s">
        <v>73</v>
      </c>
      <c r="D1095">
        <v>4563.67</v>
      </c>
      <c r="E1095">
        <v>4518.5928199999998</v>
      </c>
      <c r="F1095">
        <v>4596.0559499999999</v>
      </c>
      <c r="G1095">
        <v>4755.40355</v>
      </c>
      <c r="H1095">
        <v>4792.7697200000002</v>
      </c>
      <c r="Q1095">
        <v>4525.1464599999999</v>
      </c>
      <c r="R1095">
        <v>4554.5097599999999</v>
      </c>
      <c r="S1095">
        <v>4581.0985300000002</v>
      </c>
      <c r="V1095">
        <v>4490.20669</v>
      </c>
      <c r="W1095">
        <v>4456.6417000000001</v>
      </c>
      <c r="AB1095">
        <v>4564.2706699999999</v>
      </c>
      <c r="AC1095">
        <v>4562.7871599999999</v>
      </c>
      <c r="AD1095">
        <v>0</v>
      </c>
      <c r="AK1095">
        <v>1093</v>
      </c>
      <c r="AL1095">
        <v>1092</v>
      </c>
      <c r="AM1095">
        <v>4563.67</v>
      </c>
      <c r="AN1095">
        <v>4525.1464999999998</v>
      </c>
      <c r="AO1095">
        <v>38.523499999999999</v>
      </c>
      <c r="AP1095">
        <v>1484.0631000000001</v>
      </c>
      <c r="AQ1095">
        <v>1.315207</v>
      </c>
      <c r="AR1095">
        <v>1.4409829999999999</v>
      </c>
      <c r="AY1095">
        <v>1093</v>
      </c>
      <c r="AZ1095">
        <v>1092</v>
      </c>
      <c r="BA1095">
        <v>4563.67</v>
      </c>
      <c r="BB1095">
        <v>4525.1464999999998</v>
      </c>
      <c r="BC1095">
        <v>38.523499999999999</v>
      </c>
      <c r="BD1095">
        <v>1484.0631000000001</v>
      </c>
      <c r="BE1095">
        <v>1192464</v>
      </c>
    </row>
    <row r="1096" spans="1:57" x14ac:dyDescent="0.55000000000000004">
      <c r="A1096">
        <v>1777896902</v>
      </c>
      <c r="B1096" t="s">
        <v>72</v>
      </c>
      <c r="C1096" t="s">
        <v>73</v>
      </c>
      <c r="D1096">
        <v>4568.68</v>
      </c>
      <c r="E1096">
        <v>4518.5928199999998</v>
      </c>
      <c r="F1096">
        <v>4596.0559499999999</v>
      </c>
      <c r="G1096">
        <v>4755.40355</v>
      </c>
      <c r="H1096">
        <v>4792.7697200000002</v>
      </c>
      <c r="Q1096">
        <v>4524.8788599999998</v>
      </c>
      <c r="R1096">
        <v>4554.2421599999998</v>
      </c>
      <c r="S1096">
        <v>4580.8309300000001</v>
      </c>
      <c r="V1096">
        <v>4489.9390899999999</v>
      </c>
      <c r="W1096">
        <v>4456.3740900000003</v>
      </c>
      <c r="AB1096">
        <v>4565.2156199999999</v>
      </c>
      <c r="AC1096">
        <v>4564.0013900000004</v>
      </c>
      <c r="AD1096">
        <v>0</v>
      </c>
      <c r="AK1096">
        <v>1094</v>
      </c>
      <c r="AL1096">
        <v>1093</v>
      </c>
      <c r="AM1096">
        <v>4568.68</v>
      </c>
      <c r="AN1096">
        <v>4524.8788999999997</v>
      </c>
      <c r="AO1096">
        <v>43.801099999999998</v>
      </c>
      <c r="AP1096">
        <v>1918.5399</v>
      </c>
      <c r="AQ1096">
        <v>1.9331780000000001</v>
      </c>
      <c r="AR1096">
        <v>2.4082180000000002</v>
      </c>
      <c r="AY1096">
        <v>1094</v>
      </c>
      <c r="AZ1096">
        <v>1093</v>
      </c>
      <c r="BA1096">
        <v>4568.68</v>
      </c>
      <c r="BB1096">
        <v>4524.8788999999997</v>
      </c>
      <c r="BC1096">
        <v>43.801099999999998</v>
      </c>
      <c r="BD1096">
        <v>1918.5399</v>
      </c>
      <c r="BE1096">
        <v>1194649</v>
      </c>
    </row>
    <row r="1097" spans="1:57" x14ac:dyDescent="0.55000000000000004">
      <c r="A1097">
        <v>1777897802</v>
      </c>
      <c r="B1097" t="s">
        <v>72</v>
      </c>
      <c r="C1097" t="s">
        <v>73</v>
      </c>
      <c r="D1097">
        <v>4570.1000000000004</v>
      </c>
      <c r="E1097">
        <v>4518.5928199999998</v>
      </c>
      <c r="F1097">
        <v>4596.0559499999999</v>
      </c>
      <c r="G1097">
        <v>4755.40355</v>
      </c>
      <c r="H1097">
        <v>4792.7697200000002</v>
      </c>
      <c r="Q1097">
        <v>4524.6112499999999</v>
      </c>
      <c r="R1097">
        <v>4553.9745499999999</v>
      </c>
      <c r="S1097">
        <v>4580.5633200000002</v>
      </c>
      <c r="V1097">
        <v>4489.67148</v>
      </c>
      <c r="W1097">
        <v>4456.1064900000001</v>
      </c>
      <c r="AB1097">
        <v>4565.6591500000004</v>
      </c>
      <c r="AC1097">
        <v>4564.8302700000004</v>
      </c>
      <c r="AD1097">
        <v>0</v>
      </c>
      <c r="AK1097">
        <v>1095</v>
      </c>
      <c r="AL1097">
        <v>1094</v>
      </c>
      <c r="AM1097">
        <v>4570.1000000000004</v>
      </c>
      <c r="AN1097">
        <v>4524.6112000000003</v>
      </c>
      <c r="AO1097">
        <v>45.488799999999998</v>
      </c>
      <c r="AP1097">
        <v>2069.2264</v>
      </c>
      <c r="AQ1097">
        <v>2.1653470000000001</v>
      </c>
      <c r="AR1097">
        <v>2.8013680000000001</v>
      </c>
      <c r="AY1097">
        <v>1095</v>
      </c>
      <c r="AZ1097">
        <v>1094</v>
      </c>
      <c r="BA1097">
        <v>4570.1000000000004</v>
      </c>
      <c r="BB1097">
        <v>4524.6112000000003</v>
      </c>
      <c r="BC1097">
        <v>45.488799999999998</v>
      </c>
      <c r="BD1097">
        <v>2069.2264</v>
      </c>
      <c r="BE1097">
        <v>1196836</v>
      </c>
    </row>
    <row r="1098" spans="1:57" x14ac:dyDescent="0.55000000000000004">
      <c r="A1098">
        <v>1777898702</v>
      </c>
      <c r="B1098" t="s">
        <v>72</v>
      </c>
      <c r="C1098" t="s">
        <v>73</v>
      </c>
      <c r="D1098">
        <v>4568.79</v>
      </c>
      <c r="E1098">
        <v>4518.5928199999998</v>
      </c>
      <c r="F1098">
        <v>4596.0559499999999</v>
      </c>
      <c r="G1098">
        <v>4755.40355</v>
      </c>
      <c r="H1098">
        <v>4792.7697200000002</v>
      </c>
      <c r="Q1098">
        <v>4524.3436499999998</v>
      </c>
      <c r="R1098">
        <v>4553.7069499999998</v>
      </c>
      <c r="S1098">
        <v>4580.2957200000001</v>
      </c>
      <c r="V1098">
        <v>4489.4038799999998</v>
      </c>
      <c r="W1098">
        <v>4455.8388800000002</v>
      </c>
      <c r="AB1098">
        <v>4565.8280100000002</v>
      </c>
      <c r="AC1098">
        <v>4565.3291399999998</v>
      </c>
      <c r="AD1098">
        <v>0</v>
      </c>
      <c r="AK1098">
        <v>1096</v>
      </c>
      <c r="AL1098">
        <v>1095</v>
      </c>
      <c r="AM1098">
        <v>4568.79</v>
      </c>
      <c r="AN1098">
        <v>4524.3436000000002</v>
      </c>
      <c r="AO1098">
        <v>44.446399999999997</v>
      </c>
      <c r="AP1098">
        <v>1975.4780000000001</v>
      </c>
      <c r="AQ1098">
        <v>2.0198719999999999</v>
      </c>
      <c r="AR1098">
        <v>2.55328</v>
      </c>
      <c r="AY1098">
        <v>1096</v>
      </c>
      <c r="AZ1098">
        <v>1095</v>
      </c>
      <c r="BA1098">
        <v>4568.79</v>
      </c>
      <c r="BB1098">
        <v>4524.3436000000002</v>
      </c>
      <c r="BC1098">
        <v>44.446399999999997</v>
      </c>
      <c r="BD1098">
        <v>1975.4780000000001</v>
      </c>
      <c r="BE1098">
        <v>1199025</v>
      </c>
    </row>
    <row r="1099" spans="1:57" x14ac:dyDescent="0.55000000000000004">
      <c r="A1099">
        <v>1777899602</v>
      </c>
      <c r="B1099" t="s">
        <v>72</v>
      </c>
      <c r="C1099" t="s">
        <v>73</v>
      </c>
      <c r="D1099">
        <v>4565.9799999999996</v>
      </c>
      <c r="E1099">
        <v>4518.5928199999998</v>
      </c>
      <c r="F1099">
        <v>4596.0559499999999</v>
      </c>
      <c r="G1099">
        <v>4755.40355</v>
      </c>
      <c r="H1099">
        <v>4792.7697200000002</v>
      </c>
      <c r="Q1099">
        <v>4524.0760499999997</v>
      </c>
      <c r="R1099">
        <v>4553.4393399999999</v>
      </c>
      <c r="S1099">
        <v>4580.0281199999999</v>
      </c>
      <c r="V1099">
        <v>4489.1362799999997</v>
      </c>
      <c r="W1099">
        <v>4455.5712800000001</v>
      </c>
      <c r="AB1099">
        <v>4566.04079</v>
      </c>
      <c r="AC1099">
        <v>4565.6849599999996</v>
      </c>
      <c r="AD1099">
        <v>0</v>
      </c>
      <c r="AK1099">
        <v>1097</v>
      </c>
      <c r="AL1099">
        <v>1096</v>
      </c>
      <c r="AM1099">
        <v>4565.9799999999996</v>
      </c>
      <c r="AN1099">
        <v>4524.076</v>
      </c>
      <c r="AO1099">
        <v>41.9039</v>
      </c>
      <c r="AP1099">
        <v>1755.941</v>
      </c>
      <c r="AQ1099">
        <v>1.6927019999999999</v>
      </c>
      <c r="AR1099">
        <v>2.0173160000000001</v>
      </c>
      <c r="AY1099">
        <v>1097</v>
      </c>
      <c r="AZ1099">
        <v>1096</v>
      </c>
      <c r="BA1099">
        <v>4565.9799999999996</v>
      </c>
      <c r="BB1099">
        <v>4524.076</v>
      </c>
      <c r="BC1099">
        <v>41.9039</v>
      </c>
      <c r="BD1099">
        <v>1755.941</v>
      </c>
      <c r="BE1099">
        <v>1201216</v>
      </c>
    </row>
    <row r="1100" spans="1:57" x14ac:dyDescent="0.55000000000000004">
      <c r="A1100">
        <v>1777900502</v>
      </c>
      <c r="B1100" t="s">
        <v>72</v>
      </c>
      <c r="C1100" t="s">
        <v>73</v>
      </c>
      <c r="D1100">
        <v>4561.09</v>
      </c>
      <c r="E1100">
        <v>4518.5928199999998</v>
      </c>
      <c r="F1100">
        <v>4596.0559499999999</v>
      </c>
      <c r="G1100">
        <v>4755.40355</v>
      </c>
      <c r="H1100">
        <v>4792.7697200000002</v>
      </c>
      <c r="Q1100">
        <v>4523.8084399999998</v>
      </c>
      <c r="R1100">
        <v>4553.1717399999998</v>
      </c>
      <c r="S1100">
        <v>4579.7605100000001</v>
      </c>
      <c r="V1100">
        <v>4488.8686699999998</v>
      </c>
      <c r="W1100">
        <v>4455.3036700000002</v>
      </c>
      <c r="AB1100">
        <v>4566.51181</v>
      </c>
      <c r="AC1100">
        <v>4566.0983800000004</v>
      </c>
      <c r="AD1100">
        <v>0</v>
      </c>
      <c r="AK1100">
        <v>1098</v>
      </c>
      <c r="AL1100">
        <v>1097</v>
      </c>
      <c r="AM1100">
        <v>4561.09</v>
      </c>
      <c r="AN1100">
        <v>4523.8083999999999</v>
      </c>
      <c r="AO1100">
        <v>37.281599999999997</v>
      </c>
      <c r="AP1100">
        <v>1389.9147</v>
      </c>
      <c r="AQ1100">
        <v>1.192059</v>
      </c>
      <c r="AR1100">
        <v>1.263952</v>
      </c>
      <c r="AY1100">
        <v>1098</v>
      </c>
      <c r="AZ1100">
        <v>1097</v>
      </c>
      <c r="BA1100">
        <v>4561.09</v>
      </c>
      <c r="BB1100">
        <v>4523.8083999999999</v>
      </c>
      <c r="BC1100">
        <v>37.281599999999997</v>
      </c>
      <c r="BD1100">
        <v>1389.9147</v>
      </c>
      <c r="BE1100">
        <v>1203409</v>
      </c>
    </row>
    <row r="1101" spans="1:57" x14ac:dyDescent="0.55000000000000004">
      <c r="A1101">
        <v>1777901402</v>
      </c>
      <c r="B1101" t="s">
        <v>72</v>
      </c>
      <c r="C1101" t="s">
        <v>73</v>
      </c>
      <c r="D1101">
        <v>4565.51</v>
      </c>
      <c r="E1101">
        <v>4518.5928199999998</v>
      </c>
      <c r="F1101">
        <v>4596.0559499999999</v>
      </c>
      <c r="G1101">
        <v>4755.40355</v>
      </c>
      <c r="H1101">
        <v>4792.7697200000002</v>
      </c>
      <c r="Q1101">
        <v>4523.5408399999997</v>
      </c>
      <c r="R1101">
        <v>4552.9041399999996</v>
      </c>
      <c r="S1101">
        <v>4579.4929099999999</v>
      </c>
      <c r="V1101">
        <v>4488.6010699999997</v>
      </c>
      <c r="W1101">
        <v>4455.0360700000001</v>
      </c>
      <c r="AB1101">
        <v>4567.2824199999995</v>
      </c>
      <c r="AC1101">
        <v>4566.6904000000004</v>
      </c>
      <c r="AD1101">
        <v>0</v>
      </c>
      <c r="AK1101">
        <v>1099</v>
      </c>
      <c r="AL1101">
        <v>1098</v>
      </c>
      <c r="AM1101">
        <v>4565.51</v>
      </c>
      <c r="AN1101">
        <v>4523.5407999999998</v>
      </c>
      <c r="AO1101">
        <v>41.969200000000001</v>
      </c>
      <c r="AP1101">
        <v>1761.4104</v>
      </c>
      <c r="AQ1101">
        <v>1.700617</v>
      </c>
      <c r="AR1101">
        <v>2.029903</v>
      </c>
      <c r="AY1101">
        <v>1099</v>
      </c>
      <c r="AZ1101">
        <v>1098</v>
      </c>
      <c r="BA1101">
        <v>4565.51</v>
      </c>
      <c r="BB1101">
        <v>4523.5407999999998</v>
      </c>
      <c r="BC1101">
        <v>41.969200000000001</v>
      </c>
      <c r="BD1101">
        <v>1761.4104</v>
      </c>
      <c r="BE1101">
        <v>1205604</v>
      </c>
    </row>
    <row r="1102" spans="1:57" x14ac:dyDescent="0.55000000000000004">
      <c r="A1102">
        <v>1777902302</v>
      </c>
      <c r="B1102" t="s">
        <v>72</v>
      </c>
      <c r="C1102" t="s">
        <v>73</v>
      </c>
      <c r="D1102">
        <v>4563.8500000000004</v>
      </c>
      <c r="E1102">
        <v>4518.5928199999998</v>
      </c>
      <c r="F1102">
        <v>4596.0559499999999</v>
      </c>
      <c r="G1102">
        <v>4755.40355</v>
      </c>
      <c r="H1102">
        <v>4792.7697200000002</v>
      </c>
      <c r="Q1102">
        <v>4523.2732299999998</v>
      </c>
      <c r="R1102">
        <v>4552.6365299999998</v>
      </c>
      <c r="S1102">
        <v>4579.2253000000001</v>
      </c>
      <c r="V1102">
        <v>4488.3334599999998</v>
      </c>
      <c r="W1102">
        <v>4454.76847</v>
      </c>
      <c r="AB1102">
        <v>4567.8890099999999</v>
      </c>
      <c r="AC1102">
        <v>4567.2897000000003</v>
      </c>
      <c r="AD1102">
        <v>0</v>
      </c>
      <c r="AK1102">
        <v>1100</v>
      </c>
      <c r="AL1102">
        <v>1099</v>
      </c>
      <c r="AM1102">
        <v>4563.8500000000004</v>
      </c>
      <c r="AN1102">
        <v>4523.2731999999996</v>
      </c>
      <c r="AO1102">
        <v>40.576799999999999</v>
      </c>
      <c r="AP1102">
        <v>1646.4743000000001</v>
      </c>
      <c r="AQ1102">
        <v>1.5369079999999999</v>
      </c>
      <c r="AR1102">
        <v>1.7736339999999999</v>
      </c>
      <c r="AY1102">
        <v>1100</v>
      </c>
      <c r="AZ1102">
        <v>1099</v>
      </c>
      <c r="BA1102">
        <v>4563.8500000000004</v>
      </c>
      <c r="BB1102">
        <v>4523.2731999999996</v>
      </c>
      <c r="BC1102">
        <v>40.576799999999999</v>
      </c>
      <c r="BD1102">
        <v>1646.4743000000001</v>
      </c>
      <c r="BE1102">
        <v>1207801</v>
      </c>
    </row>
    <row r="1103" spans="1:57" x14ac:dyDescent="0.55000000000000004">
      <c r="A1103">
        <v>1777903202</v>
      </c>
      <c r="B1103" t="s">
        <v>72</v>
      </c>
      <c r="C1103" t="s">
        <v>73</v>
      </c>
      <c r="D1103">
        <v>4560.18</v>
      </c>
      <c r="E1103">
        <v>4518.5928199999998</v>
      </c>
      <c r="F1103">
        <v>4596.0559499999999</v>
      </c>
      <c r="G1103">
        <v>4755.40355</v>
      </c>
      <c r="H1103">
        <v>4792.7697200000002</v>
      </c>
      <c r="Q1103">
        <v>4523.0056299999997</v>
      </c>
      <c r="R1103">
        <v>4552.3689299999996</v>
      </c>
      <c r="S1103">
        <v>4578.9576999999999</v>
      </c>
      <c r="V1103">
        <v>4488.0658599999997</v>
      </c>
      <c r="W1103">
        <v>4454.5008600000001</v>
      </c>
      <c r="AB1103">
        <v>4567.82539</v>
      </c>
      <c r="AC1103">
        <v>4567.5575500000004</v>
      </c>
      <c r="AD1103">
        <v>0</v>
      </c>
      <c r="AK1103">
        <v>1101</v>
      </c>
      <c r="AL1103">
        <v>1100</v>
      </c>
      <c r="AM1103">
        <v>4560.18</v>
      </c>
      <c r="AN1103">
        <v>4523.0056000000004</v>
      </c>
      <c r="AO1103">
        <v>37.174399999999999</v>
      </c>
      <c r="AP1103">
        <v>1381.9338</v>
      </c>
      <c r="AQ1103">
        <v>1.1818070000000001</v>
      </c>
      <c r="AR1103">
        <v>1.2494780000000001</v>
      </c>
      <c r="AY1103">
        <v>1101</v>
      </c>
      <c r="AZ1103">
        <v>1100</v>
      </c>
      <c r="BA1103">
        <v>4560.18</v>
      </c>
      <c r="BB1103">
        <v>4523.0056000000004</v>
      </c>
      <c r="BC1103">
        <v>37.174399999999999</v>
      </c>
      <c r="BD1103">
        <v>1381.9338</v>
      </c>
      <c r="BE1103">
        <v>1210000</v>
      </c>
    </row>
    <row r="1104" spans="1:57" x14ac:dyDescent="0.55000000000000004">
      <c r="A1104">
        <v>1777904102</v>
      </c>
      <c r="B1104" t="s">
        <v>72</v>
      </c>
      <c r="C1104" t="s">
        <v>73</v>
      </c>
      <c r="D1104">
        <v>4571.2</v>
      </c>
      <c r="E1104">
        <v>4518.5928199999998</v>
      </c>
      <c r="F1104">
        <v>4596.0559499999999</v>
      </c>
      <c r="G1104">
        <v>4755.40355</v>
      </c>
      <c r="H1104">
        <v>4792.7697200000002</v>
      </c>
      <c r="Q1104">
        <v>4522.7380300000004</v>
      </c>
      <c r="R1104">
        <v>4552.1013199999998</v>
      </c>
      <c r="S1104">
        <v>4578.6900900000001</v>
      </c>
      <c r="V1104">
        <v>4487.7982499999998</v>
      </c>
      <c r="W1104">
        <v>4454.23326</v>
      </c>
      <c r="AB1104">
        <v>4566.5537299999996</v>
      </c>
      <c r="AC1104">
        <v>4567.0556399999996</v>
      </c>
      <c r="AD1104">
        <v>1</v>
      </c>
      <c r="AK1104">
        <v>1102</v>
      </c>
      <c r="AL1104">
        <v>1101</v>
      </c>
      <c r="AM1104">
        <v>4571.2</v>
      </c>
      <c r="AN1104">
        <v>4522.7380000000003</v>
      </c>
      <c r="AO1104">
        <v>48.462000000000003</v>
      </c>
      <c r="AP1104">
        <v>2348.5625</v>
      </c>
      <c r="AQ1104">
        <v>2.618296</v>
      </c>
      <c r="AR1104">
        <v>3.6087630000000002</v>
      </c>
      <c r="AY1104">
        <v>1102</v>
      </c>
      <c r="AZ1104">
        <v>1101</v>
      </c>
      <c r="BA1104">
        <v>4571.2</v>
      </c>
      <c r="BB1104">
        <v>4522.7380000000003</v>
      </c>
      <c r="BC1104">
        <v>48.462000000000003</v>
      </c>
      <c r="BD1104">
        <v>2348.5625</v>
      </c>
      <c r="BE1104">
        <v>1212201</v>
      </c>
    </row>
    <row r="1105" spans="1:57" x14ac:dyDescent="0.55000000000000004">
      <c r="A1105">
        <v>1777905002</v>
      </c>
      <c r="B1105" t="s">
        <v>72</v>
      </c>
      <c r="C1105" t="s">
        <v>73</v>
      </c>
      <c r="D1105">
        <v>4574.38</v>
      </c>
      <c r="E1105">
        <v>4518.5928199999998</v>
      </c>
      <c r="F1105">
        <v>4596.0559499999999</v>
      </c>
      <c r="G1105">
        <v>4755.40355</v>
      </c>
      <c r="H1105">
        <v>4792.7697200000002</v>
      </c>
      <c r="Q1105">
        <v>4522.4704199999996</v>
      </c>
      <c r="R1105">
        <v>4551.8337199999996</v>
      </c>
      <c r="S1105">
        <v>4578.4224899999999</v>
      </c>
      <c r="V1105">
        <v>4487.5306499999997</v>
      </c>
      <c r="W1105">
        <v>4453.9656500000001</v>
      </c>
      <c r="Z1105">
        <v>4583.16</v>
      </c>
      <c r="AB1105">
        <v>4563.1943499999998</v>
      </c>
      <c r="AC1105">
        <v>4565.1249900000003</v>
      </c>
      <c r="AD1105">
        <v>0</v>
      </c>
      <c r="AK1105">
        <v>1103</v>
      </c>
      <c r="AL1105">
        <v>1102</v>
      </c>
      <c r="AM1105">
        <v>4574.38</v>
      </c>
      <c r="AN1105">
        <v>4522.4704000000002</v>
      </c>
      <c r="AO1105">
        <v>51.909599999999998</v>
      </c>
      <c r="AP1105">
        <v>2694.6044999999999</v>
      </c>
      <c r="AQ1105">
        <v>3.2177929999999999</v>
      </c>
      <c r="AR1105">
        <v>4.750553</v>
      </c>
      <c r="AY1105">
        <v>1103</v>
      </c>
      <c r="AZ1105">
        <v>1102</v>
      </c>
      <c r="BA1105">
        <v>4574.38</v>
      </c>
      <c r="BB1105">
        <v>4522.4704000000002</v>
      </c>
      <c r="BC1105">
        <v>51.909599999999998</v>
      </c>
      <c r="BD1105">
        <v>2694.6044999999999</v>
      </c>
      <c r="BE1105">
        <v>1214404</v>
      </c>
    </row>
    <row r="1106" spans="1:57" x14ac:dyDescent="0.55000000000000004">
      <c r="A1106">
        <v>1777905902</v>
      </c>
      <c r="B1106" t="s">
        <v>72</v>
      </c>
      <c r="C1106" t="s">
        <v>73</v>
      </c>
      <c r="D1106">
        <v>4561.26</v>
      </c>
      <c r="E1106">
        <v>4518.5928199999998</v>
      </c>
      <c r="F1106">
        <v>4596.0559499999999</v>
      </c>
      <c r="G1106">
        <v>4755.40355</v>
      </c>
      <c r="H1106">
        <v>4792.7697200000002</v>
      </c>
      <c r="Q1106">
        <v>4522.2028200000004</v>
      </c>
      <c r="R1106">
        <v>4551.5661200000004</v>
      </c>
      <c r="S1106">
        <v>4578.1548899999998</v>
      </c>
      <c r="V1106">
        <v>4487.2630499999996</v>
      </c>
      <c r="W1106">
        <v>4453.69805</v>
      </c>
      <c r="AB1106">
        <v>4557.3686399999997</v>
      </c>
      <c r="AC1106">
        <v>4561.2468200000003</v>
      </c>
      <c r="AD1106">
        <v>0</v>
      </c>
      <c r="AK1106">
        <v>1104</v>
      </c>
      <c r="AL1106">
        <v>1103</v>
      </c>
      <c r="AM1106">
        <v>4561.26</v>
      </c>
      <c r="AN1106">
        <v>4522.2028</v>
      </c>
      <c r="AO1106">
        <v>39.057200000000002</v>
      </c>
      <c r="AP1106">
        <v>1525.4632999999999</v>
      </c>
      <c r="AQ1106">
        <v>1.3706240000000001</v>
      </c>
      <c r="AR1106">
        <v>1.5225010000000001</v>
      </c>
      <c r="AY1106">
        <v>1104</v>
      </c>
      <c r="AZ1106">
        <v>1103</v>
      </c>
      <c r="BA1106">
        <v>4561.26</v>
      </c>
      <c r="BB1106">
        <v>4522.2028</v>
      </c>
      <c r="BC1106">
        <v>39.057200000000002</v>
      </c>
      <c r="BD1106">
        <v>1525.4632999999999</v>
      </c>
      <c r="BE1106">
        <v>1216609</v>
      </c>
    </row>
    <row r="1107" spans="1:57" x14ac:dyDescent="0.55000000000000004">
      <c r="A1107">
        <v>1777906802</v>
      </c>
      <c r="B1107" t="s">
        <v>72</v>
      </c>
      <c r="C1107" t="s">
        <v>73</v>
      </c>
      <c r="D1107">
        <v>4548.46</v>
      </c>
      <c r="E1107">
        <v>4518.5928199999998</v>
      </c>
      <c r="F1107">
        <v>4596.0559499999999</v>
      </c>
      <c r="G1107">
        <v>4755.40355</v>
      </c>
      <c r="H1107">
        <v>4792.7697200000002</v>
      </c>
      <c r="Q1107">
        <v>4521.9352099999996</v>
      </c>
      <c r="R1107">
        <v>4551.2985099999996</v>
      </c>
      <c r="S1107">
        <v>4577.8872799999999</v>
      </c>
      <c r="V1107">
        <v>4486.9954399999997</v>
      </c>
      <c r="W1107">
        <v>4453.4304499999998</v>
      </c>
      <c r="AB1107">
        <v>4549.5910599999997</v>
      </c>
      <c r="AC1107">
        <v>4555.4189399999996</v>
      </c>
      <c r="AD1107">
        <v>0</v>
      </c>
      <c r="AK1107">
        <v>1105</v>
      </c>
      <c r="AL1107">
        <v>1104</v>
      </c>
      <c r="AM1107">
        <v>4548.46</v>
      </c>
      <c r="AN1107">
        <v>4521.9351999999999</v>
      </c>
      <c r="AO1107">
        <v>26.524799999999999</v>
      </c>
      <c r="AP1107">
        <v>703.56449999999995</v>
      </c>
      <c r="AQ1107">
        <v>0.42931000000000002</v>
      </c>
      <c r="AR1107">
        <v>0.32386300000000001</v>
      </c>
      <c r="AY1107">
        <v>1105</v>
      </c>
      <c r="AZ1107">
        <v>1104</v>
      </c>
      <c r="BA1107">
        <v>4548.46</v>
      </c>
      <c r="BB1107">
        <v>4521.9351999999999</v>
      </c>
      <c r="BC1107">
        <v>26.524799999999999</v>
      </c>
      <c r="BD1107">
        <v>703.56449999999995</v>
      </c>
      <c r="BE1107">
        <v>1218816</v>
      </c>
    </row>
    <row r="1108" spans="1:57" x14ac:dyDescent="0.55000000000000004">
      <c r="A1108">
        <v>1777907702</v>
      </c>
      <c r="B1108" t="s">
        <v>72</v>
      </c>
      <c r="C1108" t="s">
        <v>73</v>
      </c>
      <c r="D1108">
        <v>4537.95</v>
      </c>
      <c r="E1108">
        <v>4518.5928199999998</v>
      </c>
      <c r="F1108">
        <v>4596.0559499999999</v>
      </c>
      <c r="G1108">
        <v>4755.40355</v>
      </c>
      <c r="H1108">
        <v>4792.7697200000002</v>
      </c>
      <c r="Q1108">
        <v>4521.6676100000004</v>
      </c>
      <c r="R1108">
        <v>4551.0309100000004</v>
      </c>
      <c r="S1108">
        <v>4577.6196799999998</v>
      </c>
      <c r="V1108">
        <v>4486.7278399999996</v>
      </c>
      <c r="W1108">
        <v>4453.16284</v>
      </c>
      <c r="AB1108">
        <v>4540.7488899999998</v>
      </c>
      <c r="AC1108">
        <v>4548.08392</v>
      </c>
      <c r="AD1108">
        <v>0</v>
      </c>
      <c r="AK1108">
        <v>1106</v>
      </c>
      <c r="AL1108">
        <v>1105</v>
      </c>
      <c r="AM1108">
        <v>4537.95</v>
      </c>
      <c r="AN1108">
        <v>4521.6675999999998</v>
      </c>
      <c r="AO1108">
        <v>16.282399999999999</v>
      </c>
      <c r="AP1108">
        <v>265.11619999999999</v>
      </c>
      <c r="AQ1108">
        <v>9.9305000000000004E-2</v>
      </c>
      <c r="AR1108">
        <v>4.5985999999999999E-2</v>
      </c>
      <c r="AY1108">
        <v>1106</v>
      </c>
      <c r="AZ1108">
        <v>1105</v>
      </c>
      <c r="BA1108">
        <v>4537.95</v>
      </c>
      <c r="BB1108">
        <v>4521.6675999999998</v>
      </c>
      <c r="BC1108">
        <v>16.282399999999999</v>
      </c>
      <c r="BD1108">
        <v>265.11619999999999</v>
      </c>
      <c r="BE1108">
        <v>1221025</v>
      </c>
    </row>
    <row r="1109" spans="1:57" x14ac:dyDescent="0.55000000000000004">
      <c r="A1109">
        <v>1777908602</v>
      </c>
      <c r="B1109" t="s">
        <v>72</v>
      </c>
      <c r="C1109" t="s">
        <v>73</v>
      </c>
      <c r="D1109">
        <v>4535.1000000000004</v>
      </c>
      <c r="E1109">
        <v>4518.5928199999998</v>
      </c>
      <c r="F1109">
        <v>4596.0559499999999</v>
      </c>
      <c r="G1109">
        <v>4755.40355</v>
      </c>
      <c r="H1109">
        <v>4792.7697200000002</v>
      </c>
      <c r="Q1109">
        <v>4521.3999999999996</v>
      </c>
      <c r="R1109">
        <v>4550.7632999999996</v>
      </c>
      <c r="S1109">
        <v>4577.3520699999999</v>
      </c>
      <c r="V1109">
        <v>4486.4602299999997</v>
      </c>
      <c r="W1109">
        <v>4452.8952399999998</v>
      </c>
      <c r="AB1109">
        <v>4531.9178899999997</v>
      </c>
      <c r="AC1109">
        <v>4540.0009</v>
      </c>
      <c r="AD1109">
        <v>0</v>
      </c>
      <c r="AK1109">
        <v>1107</v>
      </c>
      <c r="AL1109">
        <v>1106</v>
      </c>
      <c r="AM1109">
        <v>4535.1000000000004</v>
      </c>
      <c r="AN1109">
        <v>4521.3999999999996</v>
      </c>
      <c r="AO1109">
        <v>13.7</v>
      </c>
      <c r="AP1109">
        <v>187.69</v>
      </c>
      <c r="AQ1109">
        <v>5.9152999999999997E-2</v>
      </c>
      <c r="AR1109">
        <v>2.3047999999999999E-2</v>
      </c>
      <c r="AY1109">
        <v>1107</v>
      </c>
      <c r="AZ1109">
        <v>1106</v>
      </c>
      <c r="BA1109">
        <v>4535.1000000000004</v>
      </c>
      <c r="BB1109">
        <v>4521.3999999999996</v>
      </c>
      <c r="BC1109">
        <v>13.7</v>
      </c>
      <c r="BD1109">
        <v>187.69</v>
      </c>
      <c r="BE1109">
        <v>1223236</v>
      </c>
    </row>
    <row r="1110" spans="1:57" x14ac:dyDescent="0.55000000000000004">
      <c r="A1110">
        <v>1777909502</v>
      </c>
      <c r="B1110" t="s">
        <v>72</v>
      </c>
      <c r="C1110" t="s">
        <v>73</v>
      </c>
      <c r="D1110">
        <v>4521.33</v>
      </c>
      <c r="E1110">
        <v>4518.5928199999998</v>
      </c>
      <c r="F1110">
        <v>4596.0559499999999</v>
      </c>
      <c r="G1110">
        <v>4755.40355</v>
      </c>
      <c r="H1110">
        <v>4792.7697200000002</v>
      </c>
      <c r="Q1110">
        <v>4521.1324000000004</v>
      </c>
      <c r="R1110">
        <v>4550.4957000000004</v>
      </c>
      <c r="S1110">
        <v>4577.0844699999998</v>
      </c>
      <c r="V1110">
        <v>4486.1926299999996</v>
      </c>
      <c r="W1110">
        <v>4452.62763</v>
      </c>
      <c r="AB1110">
        <v>4523.9841299999998</v>
      </c>
      <c r="AC1110">
        <v>4531.9925199999998</v>
      </c>
      <c r="AD1110">
        <v>0</v>
      </c>
      <c r="AK1110">
        <v>1108</v>
      </c>
      <c r="AL1110">
        <v>1107</v>
      </c>
      <c r="AM1110">
        <v>4521.33</v>
      </c>
      <c r="AN1110">
        <v>4521.1324000000004</v>
      </c>
      <c r="AO1110">
        <v>0.1976</v>
      </c>
      <c r="AP1110">
        <v>3.9E-2</v>
      </c>
      <c r="AQ1110">
        <v>0</v>
      </c>
      <c r="AR1110">
        <v>0</v>
      </c>
      <c r="AY1110">
        <v>1108</v>
      </c>
      <c r="AZ1110">
        <v>1107</v>
      </c>
      <c r="BA1110">
        <v>4521.33</v>
      </c>
      <c r="BB1110">
        <v>4521.1324000000004</v>
      </c>
      <c r="BC1110">
        <v>0.1976</v>
      </c>
      <c r="BD1110">
        <v>3.9E-2</v>
      </c>
      <c r="BE1110">
        <v>1225449</v>
      </c>
    </row>
    <row r="1111" spans="1:57" x14ac:dyDescent="0.55000000000000004">
      <c r="A1111">
        <v>1777910402</v>
      </c>
      <c r="B1111" t="s">
        <v>72</v>
      </c>
      <c r="C1111" t="s">
        <v>73</v>
      </c>
      <c r="D1111">
        <v>4509.88</v>
      </c>
      <c r="E1111">
        <v>4518.5928199999998</v>
      </c>
      <c r="F1111">
        <v>4596.0559499999999</v>
      </c>
      <c r="G1111">
        <v>4755.40355</v>
      </c>
      <c r="H1111">
        <v>4792.7697200000002</v>
      </c>
      <c r="Q1111">
        <v>4520.8648000000003</v>
      </c>
      <c r="R1111">
        <v>4550.2281000000003</v>
      </c>
      <c r="S1111">
        <v>4576.8168699999997</v>
      </c>
      <c r="V1111">
        <v>4485.9250300000003</v>
      </c>
      <c r="W1111">
        <v>4452.3600299999998</v>
      </c>
      <c r="AA1111">
        <v>4500.8599999999997</v>
      </c>
      <c r="AB1111">
        <v>4518.0276100000001</v>
      </c>
      <c r="AC1111">
        <v>4525.0100599999996</v>
      </c>
      <c r="AD1111">
        <v>0</v>
      </c>
      <c r="AK1111">
        <v>1109</v>
      </c>
      <c r="AL1111">
        <v>1108</v>
      </c>
      <c r="AM1111">
        <v>4509.88</v>
      </c>
      <c r="AN1111">
        <v>4520.8648000000003</v>
      </c>
      <c r="AO1111">
        <v>-10.9848</v>
      </c>
      <c r="AP1111">
        <v>120.6658</v>
      </c>
      <c r="AQ1111">
        <v>-3.0491999999999998E-2</v>
      </c>
      <c r="AR1111">
        <v>9.5259999999999997E-3</v>
      </c>
      <c r="AY1111">
        <v>1109</v>
      </c>
      <c r="AZ1111">
        <v>1108</v>
      </c>
      <c r="BA1111">
        <v>4509.88</v>
      </c>
      <c r="BB1111">
        <v>4520.8648000000003</v>
      </c>
      <c r="BC1111">
        <v>-10.9848</v>
      </c>
      <c r="BD1111">
        <v>120.6658</v>
      </c>
      <c r="BE1111">
        <v>1227664</v>
      </c>
    </row>
    <row r="1112" spans="1:57" x14ac:dyDescent="0.55000000000000004">
      <c r="A1112">
        <v>1777911302</v>
      </c>
      <c r="B1112" t="s">
        <v>72</v>
      </c>
      <c r="C1112" t="s">
        <v>73</v>
      </c>
      <c r="D1112">
        <v>4515.03</v>
      </c>
      <c r="E1112">
        <v>4518.5928199999998</v>
      </c>
      <c r="F1112">
        <v>4596.0559499999999</v>
      </c>
      <c r="G1112">
        <v>4755.40355</v>
      </c>
      <c r="H1112">
        <v>4792.7697200000002</v>
      </c>
      <c r="Q1112">
        <v>4520.5971900000004</v>
      </c>
      <c r="R1112">
        <v>4549.9604900000004</v>
      </c>
      <c r="S1112">
        <v>4576.5492599999998</v>
      </c>
      <c r="V1112">
        <v>4485.6574199999995</v>
      </c>
      <c r="W1112">
        <v>4452.0924299999997</v>
      </c>
      <c r="AB1112">
        <v>4514.6838600000001</v>
      </c>
      <c r="AC1112">
        <v>4519.8469599999999</v>
      </c>
      <c r="AD1112">
        <v>0</v>
      </c>
      <c r="AK1112">
        <v>1110</v>
      </c>
      <c r="AL1112">
        <v>1109</v>
      </c>
      <c r="AM1112">
        <v>4515.03</v>
      </c>
      <c r="AN1112">
        <v>4520.5972000000002</v>
      </c>
      <c r="AO1112">
        <v>-5.5671999999999997</v>
      </c>
      <c r="AP1112">
        <v>30.993600000000001</v>
      </c>
      <c r="AQ1112">
        <v>-3.9690000000000003E-3</v>
      </c>
      <c r="AR1112">
        <v>6.2799999999999998E-4</v>
      </c>
      <c r="AY1112">
        <v>1110</v>
      </c>
      <c r="AZ1112">
        <v>1109</v>
      </c>
      <c r="BA1112">
        <v>4515.03</v>
      </c>
      <c r="BB1112">
        <v>4520.5972000000002</v>
      </c>
      <c r="BC1112">
        <v>-5.5671999999999997</v>
      </c>
      <c r="BD1112">
        <v>30.993600000000001</v>
      </c>
      <c r="BE1112">
        <v>1229881</v>
      </c>
    </row>
    <row r="1113" spans="1:57" x14ac:dyDescent="0.55000000000000004">
      <c r="A1113">
        <v>1777912202</v>
      </c>
      <c r="B1113" t="s">
        <v>72</v>
      </c>
      <c r="C1113" t="s">
        <v>73</v>
      </c>
      <c r="D1113">
        <v>4512.59</v>
      </c>
      <c r="E1113">
        <v>4518.5928199999998</v>
      </c>
      <c r="F1113">
        <v>4596.0559499999999</v>
      </c>
      <c r="G1113">
        <v>4755.40355</v>
      </c>
      <c r="H1113">
        <v>4792.7697200000002</v>
      </c>
      <c r="Q1113">
        <v>4520.3295900000003</v>
      </c>
      <c r="R1113">
        <v>4549.6928900000003</v>
      </c>
      <c r="S1113">
        <v>4576.2816599999996</v>
      </c>
      <c r="V1113">
        <v>4485.3898200000003</v>
      </c>
      <c r="W1113">
        <v>4451.8248199999998</v>
      </c>
      <c r="AB1113">
        <v>4513.7029499999999</v>
      </c>
      <c r="AC1113">
        <v>4516.7749599999997</v>
      </c>
      <c r="AD1113">
        <v>0</v>
      </c>
      <c r="AK1113">
        <v>1111</v>
      </c>
      <c r="AL1113">
        <v>1110</v>
      </c>
      <c r="AM1113">
        <v>4512.59</v>
      </c>
      <c r="AN1113">
        <v>4520.3296</v>
      </c>
      <c r="AO1113">
        <v>-7.7396000000000003</v>
      </c>
      <c r="AP1113">
        <v>59.901299999999999</v>
      </c>
      <c r="AQ1113">
        <v>-1.0664999999999999E-2</v>
      </c>
      <c r="AR1113">
        <v>2.3479999999999998E-3</v>
      </c>
      <c r="AY1113">
        <v>1111</v>
      </c>
      <c r="AZ1113">
        <v>1110</v>
      </c>
      <c r="BA1113">
        <v>4512.59</v>
      </c>
      <c r="BB1113">
        <v>4520.3296</v>
      </c>
      <c r="BC1113">
        <v>-7.7396000000000003</v>
      </c>
      <c r="BD1113">
        <v>59.901299999999999</v>
      </c>
      <c r="BE1113">
        <v>1232100</v>
      </c>
    </row>
    <row r="1114" spans="1:57" x14ac:dyDescent="0.55000000000000004">
      <c r="A1114">
        <v>1777913102</v>
      </c>
      <c r="B1114" t="s">
        <v>72</v>
      </c>
      <c r="C1114" t="s">
        <v>73</v>
      </c>
      <c r="D1114">
        <v>4510.6899999999996</v>
      </c>
      <c r="E1114">
        <v>4518.5928199999998</v>
      </c>
      <c r="F1114">
        <v>4596.0559499999999</v>
      </c>
      <c r="G1114">
        <v>4755.40355</v>
      </c>
      <c r="H1114">
        <v>4792.7697200000002</v>
      </c>
      <c r="Q1114">
        <v>4520.0619800000004</v>
      </c>
      <c r="R1114">
        <v>4549.4252800000004</v>
      </c>
      <c r="S1114">
        <v>4576.0140499999998</v>
      </c>
      <c r="V1114">
        <v>4485.1222100000005</v>
      </c>
      <c r="W1114">
        <v>4451.5572199999997</v>
      </c>
      <c r="AB1114">
        <v>4514.6359300000004</v>
      </c>
      <c r="AC1114">
        <v>4515.7054399999997</v>
      </c>
      <c r="AD1114">
        <v>0</v>
      </c>
      <c r="AK1114">
        <v>1112</v>
      </c>
      <c r="AL1114">
        <v>1111</v>
      </c>
      <c r="AM1114">
        <v>4510.6899999999996</v>
      </c>
      <c r="AN1114">
        <v>4520.0619999999999</v>
      </c>
      <c r="AO1114">
        <v>-9.3719999999999999</v>
      </c>
      <c r="AP1114">
        <v>87.834000000000003</v>
      </c>
      <c r="AQ1114">
        <v>-1.8936999999999999E-2</v>
      </c>
      <c r="AR1114">
        <v>5.0480000000000004E-3</v>
      </c>
      <c r="AY1114">
        <v>1112</v>
      </c>
      <c r="AZ1114">
        <v>1111</v>
      </c>
      <c r="BA1114">
        <v>4510.6899999999996</v>
      </c>
      <c r="BB1114">
        <v>4520.0619999999999</v>
      </c>
      <c r="BC1114">
        <v>-9.3719999999999999</v>
      </c>
      <c r="BD1114">
        <v>87.834000000000003</v>
      </c>
      <c r="BE1114">
        <v>1234321</v>
      </c>
    </row>
    <row r="1115" spans="1:57" x14ac:dyDescent="0.55000000000000004">
      <c r="A1115">
        <v>1777914002</v>
      </c>
      <c r="B1115" t="s">
        <v>72</v>
      </c>
      <c r="C1115" t="s">
        <v>73</v>
      </c>
      <c r="D1115">
        <v>4522.3900000000003</v>
      </c>
      <c r="E1115">
        <v>4518.5928199999998</v>
      </c>
      <c r="F1115">
        <v>4596.0559499999999</v>
      </c>
      <c r="G1115">
        <v>4755.40355</v>
      </c>
      <c r="H1115">
        <v>4792.7697200000002</v>
      </c>
      <c r="Q1115">
        <v>4519.7943800000003</v>
      </c>
      <c r="R1115">
        <v>4549.1576800000003</v>
      </c>
      <c r="S1115">
        <v>4575.7464499999996</v>
      </c>
      <c r="V1115">
        <v>4484.8546100000003</v>
      </c>
      <c r="W1115">
        <v>4451.2896099999998</v>
      </c>
      <c r="AB1115">
        <v>4516.7967900000003</v>
      </c>
      <c r="AC1115">
        <v>4516.2511100000002</v>
      </c>
      <c r="AD1115">
        <v>1</v>
      </c>
      <c r="AK1115">
        <v>1113</v>
      </c>
      <c r="AL1115">
        <v>1112</v>
      </c>
      <c r="AM1115">
        <v>4522.3900000000003</v>
      </c>
      <c r="AN1115">
        <v>4519.7943999999998</v>
      </c>
      <c r="AO1115">
        <v>2.5956000000000001</v>
      </c>
      <c r="AP1115">
        <v>6.7371999999999996</v>
      </c>
      <c r="AQ1115">
        <v>4.0200000000000001E-4</v>
      </c>
      <c r="AR1115">
        <v>3.0000000000000001E-5</v>
      </c>
      <c r="AY1115">
        <v>1113</v>
      </c>
      <c r="AZ1115">
        <v>1112</v>
      </c>
      <c r="BA1115">
        <v>4522.3900000000003</v>
      </c>
      <c r="BB1115">
        <v>4519.7943999999998</v>
      </c>
      <c r="BC1115">
        <v>2.5956000000000001</v>
      </c>
      <c r="BD1115">
        <v>6.7371999999999996</v>
      </c>
      <c r="BE1115">
        <v>1236544</v>
      </c>
    </row>
    <row r="1116" spans="1:57" x14ac:dyDescent="0.55000000000000004">
      <c r="A1116">
        <v>1777914902</v>
      </c>
      <c r="B1116" t="s">
        <v>72</v>
      </c>
      <c r="C1116" t="s">
        <v>73</v>
      </c>
      <c r="D1116">
        <v>4524.38</v>
      </c>
      <c r="E1116">
        <v>4518.5928199999998</v>
      </c>
      <c r="F1116">
        <v>4596.0559499999999</v>
      </c>
      <c r="G1116">
        <v>4755.40355</v>
      </c>
      <c r="H1116">
        <v>4792.7697200000002</v>
      </c>
      <c r="Q1116">
        <v>4519.5267800000001</v>
      </c>
      <c r="R1116">
        <v>4548.8900700000004</v>
      </c>
      <c r="S1116">
        <v>4575.4788500000004</v>
      </c>
      <c r="V1116">
        <v>4484.5870100000002</v>
      </c>
      <c r="W1116">
        <v>4451.0220099999997</v>
      </c>
      <c r="AB1116">
        <v>4519.0482700000002</v>
      </c>
      <c r="AC1116">
        <v>4517.6496900000002</v>
      </c>
      <c r="AD1116">
        <v>0</v>
      </c>
      <c r="AK1116">
        <v>1114</v>
      </c>
      <c r="AL1116">
        <v>1113</v>
      </c>
      <c r="AM1116">
        <v>4524.38</v>
      </c>
      <c r="AN1116">
        <v>4519.5267999999996</v>
      </c>
      <c r="AO1116">
        <v>4.8532000000000002</v>
      </c>
      <c r="AP1116">
        <v>23.553699999999999</v>
      </c>
      <c r="AQ1116">
        <v>2.63E-3</v>
      </c>
      <c r="AR1116">
        <v>3.6299999999999999E-4</v>
      </c>
      <c r="AY1116">
        <v>1114</v>
      </c>
      <c r="AZ1116">
        <v>1113</v>
      </c>
      <c r="BA1116">
        <v>4524.38</v>
      </c>
      <c r="BB1116">
        <v>4519.5267999999996</v>
      </c>
      <c r="BC1116">
        <v>4.8532000000000002</v>
      </c>
      <c r="BD1116">
        <v>23.553699999999999</v>
      </c>
      <c r="BE1116">
        <v>1238769</v>
      </c>
    </row>
    <row r="1117" spans="1:57" x14ac:dyDescent="0.55000000000000004">
      <c r="A1117">
        <v>1777915802</v>
      </c>
      <c r="B1117" t="s">
        <v>72</v>
      </c>
      <c r="C1117" t="s">
        <v>73</v>
      </c>
      <c r="D1117">
        <v>4526.1000000000004</v>
      </c>
      <c r="E1117">
        <v>4518.5928199999998</v>
      </c>
      <c r="F1117">
        <v>4596.0559499999999</v>
      </c>
      <c r="G1117">
        <v>4755.40355</v>
      </c>
      <c r="H1117">
        <v>4792.7697200000002</v>
      </c>
      <c r="Q1117">
        <v>4519.2591700000003</v>
      </c>
      <c r="R1117">
        <v>4548.6224700000002</v>
      </c>
      <c r="S1117">
        <v>4575.2112399999996</v>
      </c>
      <c r="V1117">
        <v>4484.3194000000003</v>
      </c>
      <c r="W1117">
        <v>4450.7544099999996</v>
      </c>
      <c r="AB1117">
        <v>4520.6637000000001</v>
      </c>
      <c r="AC1117">
        <v>4519.1566999999995</v>
      </c>
      <c r="AD1117">
        <v>0</v>
      </c>
      <c r="AK1117">
        <v>1115</v>
      </c>
      <c r="AL1117">
        <v>1114</v>
      </c>
      <c r="AM1117">
        <v>4526.1000000000004</v>
      </c>
      <c r="AN1117">
        <v>4519.2592000000004</v>
      </c>
      <c r="AO1117">
        <v>6.8407999999999998</v>
      </c>
      <c r="AP1117">
        <v>46.796999999999997</v>
      </c>
      <c r="AQ1117">
        <v>7.3639999999999999E-3</v>
      </c>
      <c r="AR1117">
        <v>1.433E-3</v>
      </c>
      <c r="AY1117">
        <v>1115</v>
      </c>
      <c r="AZ1117">
        <v>1114</v>
      </c>
      <c r="BA1117">
        <v>4526.1000000000004</v>
      </c>
      <c r="BB1117">
        <v>4519.2592000000004</v>
      </c>
      <c r="BC1117">
        <v>6.8407999999999998</v>
      </c>
      <c r="BD1117">
        <v>46.796999999999997</v>
      </c>
      <c r="BE1117">
        <v>1240996</v>
      </c>
    </row>
    <row r="1118" spans="1:57" x14ac:dyDescent="0.55000000000000004">
      <c r="A1118">
        <v>1777916702</v>
      </c>
      <c r="B1118" t="s">
        <v>72</v>
      </c>
      <c r="C1118" t="s">
        <v>73</v>
      </c>
      <c r="D1118">
        <v>4522.3500000000004</v>
      </c>
      <c r="E1118">
        <v>4518.5928199999998</v>
      </c>
      <c r="F1118">
        <v>4596.0559499999999</v>
      </c>
      <c r="G1118">
        <v>4755.40355</v>
      </c>
      <c r="H1118">
        <v>4792.7697200000002</v>
      </c>
      <c r="Q1118">
        <v>4518.9915700000001</v>
      </c>
      <c r="R1118">
        <v>4548.3548700000001</v>
      </c>
      <c r="S1118">
        <v>4574.9436400000004</v>
      </c>
      <c r="V1118">
        <v>4484.0518000000002</v>
      </c>
      <c r="W1118">
        <v>4450.4867999999997</v>
      </c>
      <c r="AB1118">
        <v>4521.2744700000003</v>
      </c>
      <c r="AC1118">
        <v>4520.21558</v>
      </c>
      <c r="AD1118">
        <v>0</v>
      </c>
      <c r="AK1118">
        <v>1116</v>
      </c>
      <c r="AL1118">
        <v>1115</v>
      </c>
      <c r="AM1118">
        <v>4522.3500000000004</v>
      </c>
      <c r="AN1118">
        <v>4518.9916000000003</v>
      </c>
      <c r="AO1118">
        <v>3.3584000000000001</v>
      </c>
      <c r="AP1118">
        <v>11.2791</v>
      </c>
      <c r="AQ1118">
        <v>8.7100000000000003E-4</v>
      </c>
      <c r="AR1118">
        <v>8.2999999999999998E-5</v>
      </c>
      <c r="AY1118">
        <v>1116</v>
      </c>
      <c r="AZ1118">
        <v>1115</v>
      </c>
      <c r="BA1118">
        <v>4522.3500000000004</v>
      </c>
      <c r="BB1118">
        <v>4518.9916000000003</v>
      </c>
      <c r="BC1118">
        <v>3.3584000000000001</v>
      </c>
      <c r="BD1118">
        <v>11.2791</v>
      </c>
      <c r="BE1118">
        <v>1243225</v>
      </c>
    </row>
    <row r="1119" spans="1:57" x14ac:dyDescent="0.55000000000000004">
      <c r="A1119">
        <v>1777917602</v>
      </c>
      <c r="B1119" t="s">
        <v>72</v>
      </c>
      <c r="C1119" t="s">
        <v>73</v>
      </c>
      <c r="D1119">
        <v>4520.01</v>
      </c>
      <c r="E1119">
        <v>4518.5928199999998</v>
      </c>
      <c r="F1119">
        <v>4596.0559499999999</v>
      </c>
      <c r="G1119">
        <v>4755.40355</v>
      </c>
      <c r="H1119">
        <v>4792.7697200000002</v>
      </c>
      <c r="Q1119">
        <v>4518.7239600000003</v>
      </c>
      <c r="R1119">
        <v>4548.0872600000002</v>
      </c>
      <c r="S1119">
        <v>4574.6760299999996</v>
      </c>
      <c r="V1119">
        <v>4483.7841900000003</v>
      </c>
      <c r="W1119">
        <v>4450.2191999999995</v>
      </c>
      <c r="AB1119">
        <v>4520.90726</v>
      </c>
      <c r="AC1119">
        <v>4520.56142</v>
      </c>
      <c r="AD1119">
        <v>0</v>
      </c>
      <c r="AK1119">
        <v>1117</v>
      </c>
      <c r="AL1119">
        <v>1116</v>
      </c>
      <c r="AM1119">
        <v>4520.01</v>
      </c>
      <c r="AN1119">
        <v>4518.7240000000002</v>
      </c>
      <c r="AO1119">
        <v>1.286</v>
      </c>
      <c r="AP1119">
        <v>1.6538999999999999</v>
      </c>
      <c r="AQ1119">
        <v>4.8999999999999998E-5</v>
      </c>
      <c r="AR1119">
        <v>1.9999999999999999E-6</v>
      </c>
      <c r="AY1119">
        <v>1117</v>
      </c>
      <c r="AZ1119">
        <v>1116</v>
      </c>
      <c r="BA1119">
        <v>4520.01</v>
      </c>
      <c r="BB1119">
        <v>4518.7240000000002</v>
      </c>
      <c r="BC1119">
        <v>1.286</v>
      </c>
      <c r="BD1119">
        <v>1.6538999999999999</v>
      </c>
      <c r="BE1119">
        <v>1245456</v>
      </c>
    </row>
    <row r="1120" spans="1:57" x14ac:dyDescent="0.55000000000000004">
      <c r="A1120">
        <v>1777918502</v>
      </c>
      <c r="B1120" t="s">
        <v>72</v>
      </c>
      <c r="C1120" t="s">
        <v>73</v>
      </c>
      <c r="D1120">
        <v>4511.95</v>
      </c>
      <c r="E1120">
        <v>4518.5928199999998</v>
      </c>
      <c r="F1120">
        <v>4596.0559499999999</v>
      </c>
      <c r="G1120">
        <v>4755.40355</v>
      </c>
      <c r="H1120">
        <v>4792.7697200000002</v>
      </c>
      <c r="Q1120">
        <v>4518.4563600000001</v>
      </c>
      <c r="R1120">
        <v>4547.8196600000001</v>
      </c>
      <c r="S1120">
        <v>4574.4084300000004</v>
      </c>
      <c r="V1120">
        <v>4483.5165900000002</v>
      </c>
      <c r="W1120">
        <v>4449.9515899999997</v>
      </c>
      <c r="AB1120">
        <v>4519.7938100000001</v>
      </c>
      <c r="AC1120">
        <v>4520.1776099999997</v>
      </c>
      <c r="AD1120">
        <v>1</v>
      </c>
      <c r="AK1120">
        <v>1118</v>
      </c>
      <c r="AL1120">
        <v>1117</v>
      </c>
      <c r="AM1120">
        <v>4511.95</v>
      </c>
      <c r="AN1120">
        <v>4518.4564</v>
      </c>
      <c r="AO1120">
        <v>-6.5064000000000002</v>
      </c>
      <c r="AP1120">
        <v>42.332700000000003</v>
      </c>
      <c r="AQ1120">
        <v>-6.3359999999999996E-3</v>
      </c>
      <c r="AR1120">
        <v>1.1720000000000001E-3</v>
      </c>
      <c r="AY1120">
        <v>1118</v>
      </c>
      <c r="AZ1120">
        <v>1117</v>
      </c>
      <c r="BA1120">
        <v>4511.95</v>
      </c>
      <c r="BB1120">
        <v>4518.4564</v>
      </c>
      <c r="BC1120">
        <v>-6.5064000000000002</v>
      </c>
      <c r="BD1120">
        <v>42.332700000000003</v>
      </c>
      <c r="BE1120">
        <v>1247689</v>
      </c>
    </row>
    <row r="1121" spans="1:57" x14ac:dyDescent="0.55000000000000004">
      <c r="A1121">
        <v>1777919402</v>
      </c>
      <c r="B1121" t="s">
        <v>72</v>
      </c>
      <c r="C1121" t="s">
        <v>73</v>
      </c>
      <c r="D1121">
        <v>4511.8599999999997</v>
      </c>
      <c r="E1121">
        <v>4518.5928199999998</v>
      </c>
      <c r="F1121">
        <v>4596.0559499999999</v>
      </c>
      <c r="G1121">
        <v>4755.40355</v>
      </c>
      <c r="H1121">
        <v>4792.7697200000002</v>
      </c>
      <c r="Q1121">
        <v>4518.18876</v>
      </c>
      <c r="R1121">
        <v>4547.5520500000002</v>
      </c>
      <c r="S1121">
        <v>4574.1408300000003</v>
      </c>
      <c r="V1121">
        <v>4483.24899</v>
      </c>
      <c r="W1121">
        <v>4449.6839900000004</v>
      </c>
      <c r="AB1121">
        <v>4518.50828</v>
      </c>
      <c r="AC1121">
        <v>4519.3429400000005</v>
      </c>
      <c r="AD1121">
        <v>0</v>
      </c>
      <c r="AK1121">
        <v>1119</v>
      </c>
      <c r="AL1121">
        <v>1118</v>
      </c>
      <c r="AM1121">
        <v>4511.8599999999997</v>
      </c>
      <c r="AN1121">
        <v>4518.1887999999999</v>
      </c>
      <c r="AO1121">
        <v>-6.3288000000000002</v>
      </c>
      <c r="AP1121">
        <v>40.053199999999997</v>
      </c>
      <c r="AQ1121">
        <v>-5.8310000000000002E-3</v>
      </c>
      <c r="AR1121">
        <v>1.0499999999999999E-3</v>
      </c>
      <c r="AY1121">
        <v>1119</v>
      </c>
      <c r="AZ1121">
        <v>1118</v>
      </c>
      <c r="BA1121">
        <v>4511.8599999999997</v>
      </c>
      <c r="BB1121">
        <v>4518.1887999999999</v>
      </c>
      <c r="BC1121">
        <v>-6.3288000000000002</v>
      </c>
      <c r="BD1121">
        <v>40.053199999999997</v>
      </c>
      <c r="BE1121">
        <v>1249924</v>
      </c>
    </row>
    <row r="1122" spans="1:57" x14ac:dyDescent="0.55000000000000004">
      <c r="A1122">
        <v>1777920302</v>
      </c>
      <c r="B1122" t="s">
        <v>72</v>
      </c>
      <c r="C1122" t="s">
        <v>73</v>
      </c>
      <c r="D1122">
        <v>4516.3999999999996</v>
      </c>
      <c r="E1122">
        <v>4518.5928199999998</v>
      </c>
      <c r="F1122">
        <v>4596.0559499999999</v>
      </c>
      <c r="G1122">
        <v>4755.40355</v>
      </c>
      <c r="H1122">
        <v>4792.7697200000002</v>
      </c>
      <c r="Q1122">
        <v>4517.9211500000001</v>
      </c>
      <c r="R1122">
        <v>4547.2844500000001</v>
      </c>
      <c r="S1122">
        <v>4573.8732200000004</v>
      </c>
      <c r="V1122">
        <v>4482.9813800000002</v>
      </c>
      <c r="W1122">
        <v>4449.4163799999997</v>
      </c>
      <c r="AB1122">
        <v>4517.4156800000001</v>
      </c>
      <c r="AC1122">
        <v>4518.3793100000003</v>
      </c>
      <c r="AD1122">
        <v>0</v>
      </c>
      <c r="AK1122">
        <v>1120</v>
      </c>
      <c r="AL1122">
        <v>1119</v>
      </c>
      <c r="AM1122">
        <v>4516.3999999999996</v>
      </c>
      <c r="AN1122">
        <v>4517.9211999999998</v>
      </c>
      <c r="AO1122">
        <v>-1.5212000000000001</v>
      </c>
      <c r="AP1122">
        <v>2.3138999999999998</v>
      </c>
      <c r="AQ1122">
        <v>-8.1000000000000004E-5</v>
      </c>
      <c r="AR1122">
        <v>3.9999999999999998E-6</v>
      </c>
      <c r="AY1122">
        <v>1120</v>
      </c>
      <c r="AZ1122">
        <v>1119</v>
      </c>
      <c r="BA1122">
        <v>4516.3999999999996</v>
      </c>
      <c r="BB1122">
        <v>4517.9211999999998</v>
      </c>
      <c r="BC1122">
        <v>-1.5212000000000001</v>
      </c>
      <c r="BD1122">
        <v>2.3138999999999998</v>
      </c>
      <c r="BE1122">
        <v>1252161</v>
      </c>
    </row>
    <row r="1123" spans="1:57" x14ac:dyDescent="0.55000000000000004">
      <c r="A1123">
        <v>1777921202</v>
      </c>
      <c r="B1123" t="s">
        <v>72</v>
      </c>
      <c r="C1123" t="s">
        <v>73</v>
      </c>
      <c r="D1123">
        <v>4519.05</v>
      </c>
      <c r="E1123">
        <v>4518.5928199999998</v>
      </c>
      <c r="F1123">
        <v>4596.0559499999999</v>
      </c>
      <c r="G1123">
        <v>4755.40355</v>
      </c>
      <c r="H1123">
        <v>4792.7697200000002</v>
      </c>
      <c r="Q1123">
        <v>4517.65355</v>
      </c>
      <c r="R1123">
        <v>4547.01685</v>
      </c>
      <c r="S1123">
        <v>4573.6056200000003</v>
      </c>
      <c r="V1123">
        <v>4482.71378</v>
      </c>
      <c r="W1123">
        <v>4449.1487800000004</v>
      </c>
      <c r="AB1123">
        <v>4516.6973799999996</v>
      </c>
      <c r="AC1123">
        <v>4517.5383499999998</v>
      </c>
      <c r="AD1123">
        <v>0</v>
      </c>
      <c r="AK1123">
        <v>1121</v>
      </c>
      <c r="AL1123">
        <v>1120</v>
      </c>
      <c r="AM1123">
        <v>4519.05</v>
      </c>
      <c r="AN1123">
        <v>4517.6535000000003</v>
      </c>
      <c r="AO1123">
        <v>1.3965000000000001</v>
      </c>
      <c r="AP1123">
        <v>1.9500999999999999</v>
      </c>
      <c r="AQ1123">
        <v>6.3E-5</v>
      </c>
      <c r="AR1123">
        <v>1.9999999999999999E-6</v>
      </c>
      <c r="AY1123">
        <v>1121</v>
      </c>
      <c r="AZ1123">
        <v>1120</v>
      </c>
      <c r="BA1123">
        <v>4519.05</v>
      </c>
      <c r="BB1123">
        <v>4517.6535000000003</v>
      </c>
      <c r="BC1123">
        <v>1.3965000000000001</v>
      </c>
      <c r="BD1123">
        <v>1.9500999999999999</v>
      </c>
      <c r="BE1123">
        <v>1254400</v>
      </c>
    </row>
    <row r="1124" spans="1:57" x14ac:dyDescent="0.55000000000000004">
      <c r="A1124">
        <v>1777922102</v>
      </c>
      <c r="B1124" t="s">
        <v>72</v>
      </c>
      <c r="C1124" t="s">
        <v>73</v>
      </c>
      <c r="D1124">
        <v>4522.42</v>
      </c>
      <c r="E1124">
        <v>4518.5928199999998</v>
      </c>
      <c r="F1124">
        <v>4596.0559499999999</v>
      </c>
      <c r="G1124">
        <v>4755.40355</v>
      </c>
      <c r="H1124">
        <v>4792.7697200000002</v>
      </c>
      <c r="Q1124">
        <v>4517.3859400000001</v>
      </c>
      <c r="R1124">
        <v>4546.7492400000001</v>
      </c>
      <c r="S1124">
        <v>4573.3380100000004</v>
      </c>
      <c r="V1124">
        <v>4482.4461700000002</v>
      </c>
      <c r="W1124">
        <v>4448.8811800000003</v>
      </c>
      <c r="AB1124">
        <v>4516.4624299999996</v>
      </c>
      <c r="AC1124">
        <v>4517.0003900000002</v>
      </c>
      <c r="AD1124">
        <v>0</v>
      </c>
      <c r="AK1124">
        <v>1122</v>
      </c>
      <c r="AL1124">
        <v>1121</v>
      </c>
      <c r="AM1124">
        <v>4522.42</v>
      </c>
      <c r="AN1124">
        <v>4517.3859000000002</v>
      </c>
      <c r="AO1124">
        <v>5.0340999999999996</v>
      </c>
      <c r="AP1124">
        <v>25.341799999999999</v>
      </c>
      <c r="AQ1124">
        <v>2.9350000000000001E-3</v>
      </c>
      <c r="AR1124">
        <v>4.2000000000000002E-4</v>
      </c>
      <c r="AY1124">
        <v>1122</v>
      </c>
      <c r="AZ1124">
        <v>1121</v>
      </c>
      <c r="BA1124">
        <v>4522.42</v>
      </c>
      <c r="BB1124">
        <v>4517.3859000000002</v>
      </c>
      <c r="BC1124">
        <v>5.0340999999999996</v>
      </c>
      <c r="BD1124">
        <v>25.341799999999999</v>
      </c>
      <c r="BE1124">
        <v>1256641</v>
      </c>
    </row>
    <row r="1125" spans="1:57" x14ac:dyDescent="0.55000000000000004">
      <c r="A1125">
        <v>1777923002</v>
      </c>
      <c r="B1125" t="s">
        <v>72</v>
      </c>
      <c r="C1125" t="s">
        <v>73</v>
      </c>
      <c r="D1125">
        <v>4521.16</v>
      </c>
      <c r="E1125">
        <v>4518.5928199999998</v>
      </c>
      <c r="F1125">
        <v>4596.0559499999999</v>
      </c>
      <c r="G1125">
        <v>4755.40355</v>
      </c>
      <c r="H1125">
        <v>4792.7697200000002</v>
      </c>
      <c r="Q1125">
        <v>4517.11834</v>
      </c>
      <c r="R1125">
        <v>4546.48164</v>
      </c>
      <c r="S1125">
        <v>4573.0704100000003</v>
      </c>
      <c r="V1125">
        <v>4482.17857</v>
      </c>
      <c r="W1125">
        <v>4448.6135700000004</v>
      </c>
      <c r="AB1125">
        <v>4516.6368599999996</v>
      </c>
      <c r="AC1125">
        <v>4516.81862</v>
      </c>
      <c r="AD1125">
        <v>0</v>
      </c>
      <c r="AK1125">
        <v>1123</v>
      </c>
      <c r="AL1125">
        <v>1122</v>
      </c>
      <c r="AM1125">
        <v>4521.16</v>
      </c>
      <c r="AN1125">
        <v>4517.1183000000001</v>
      </c>
      <c r="AO1125">
        <v>4.0416999999999996</v>
      </c>
      <c r="AP1125">
        <v>16.335000000000001</v>
      </c>
      <c r="AQ1125">
        <v>1.519E-3</v>
      </c>
      <c r="AR1125">
        <v>1.75E-4</v>
      </c>
      <c r="AY1125">
        <v>1123</v>
      </c>
      <c r="AZ1125">
        <v>1122</v>
      </c>
      <c r="BA1125">
        <v>4521.16</v>
      </c>
      <c r="BB1125">
        <v>4517.1183000000001</v>
      </c>
      <c r="BC1125">
        <v>4.0416999999999996</v>
      </c>
      <c r="BD1125">
        <v>16.335000000000001</v>
      </c>
      <c r="BE1125">
        <v>1258884</v>
      </c>
    </row>
    <row r="1126" spans="1:57" x14ac:dyDescent="0.55000000000000004">
      <c r="A1126">
        <v>1777923902</v>
      </c>
      <c r="B1126" t="s">
        <v>72</v>
      </c>
      <c r="C1126" t="s">
        <v>73</v>
      </c>
      <c r="D1126">
        <v>4517.46</v>
      </c>
      <c r="E1126">
        <v>4518.5928199999998</v>
      </c>
      <c r="F1126">
        <v>4596.0559499999999</v>
      </c>
      <c r="G1126">
        <v>4755.40355</v>
      </c>
      <c r="H1126">
        <v>4792.7697200000002</v>
      </c>
      <c r="Q1126">
        <v>4516.8507399999999</v>
      </c>
      <c r="R1126">
        <v>4546.2140300000001</v>
      </c>
      <c r="S1126">
        <v>4572.8028000000004</v>
      </c>
      <c r="V1126">
        <v>4481.9109600000002</v>
      </c>
      <c r="W1126">
        <v>4448.3459700000003</v>
      </c>
      <c r="AB1126">
        <v>4517.1665300000004</v>
      </c>
      <c r="AC1126">
        <v>4516.9925800000001</v>
      </c>
      <c r="AD1126">
        <v>1</v>
      </c>
      <c r="AK1126">
        <v>1124</v>
      </c>
      <c r="AL1126">
        <v>1123</v>
      </c>
      <c r="AM1126">
        <v>4517.46</v>
      </c>
      <c r="AN1126">
        <v>4516.8507</v>
      </c>
      <c r="AO1126">
        <v>0.60929999999999995</v>
      </c>
      <c r="AP1126">
        <v>0.37119999999999997</v>
      </c>
      <c r="AQ1126">
        <v>5.0000000000000004E-6</v>
      </c>
      <c r="AR1126">
        <v>0</v>
      </c>
      <c r="AY1126">
        <v>1124</v>
      </c>
      <c r="AZ1126">
        <v>1123</v>
      </c>
      <c r="BA1126">
        <v>4517.46</v>
      </c>
      <c r="BB1126">
        <v>4516.8507</v>
      </c>
      <c r="BC1126">
        <v>0.60929999999999995</v>
      </c>
      <c r="BD1126">
        <v>0.37119999999999997</v>
      </c>
      <c r="BE1126">
        <v>1261129</v>
      </c>
    </row>
    <row r="1127" spans="1:57" x14ac:dyDescent="0.55000000000000004">
      <c r="A1127">
        <v>1777924802</v>
      </c>
      <c r="B1127" t="s">
        <v>72</v>
      </c>
      <c r="C1127" t="s">
        <v>73</v>
      </c>
      <c r="D1127">
        <v>4514.74</v>
      </c>
      <c r="E1127">
        <v>4518.5928199999998</v>
      </c>
      <c r="F1127">
        <v>4596.0559499999999</v>
      </c>
      <c r="G1127">
        <v>4755.40355</v>
      </c>
      <c r="H1127">
        <v>4792.7697200000002</v>
      </c>
      <c r="Q1127">
        <v>4516.58313</v>
      </c>
      <c r="R1127">
        <v>4545.94643</v>
      </c>
      <c r="S1127">
        <v>4572.5352000000003</v>
      </c>
      <c r="V1127">
        <v>4481.64336</v>
      </c>
      <c r="W1127">
        <v>4448.0783600000004</v>
      </c>
      <c r="AB1127">
        <v>4517.98711</v>
      </c>
      <c r="AC1127">
        <v>4517.4898499999999</v>
      </c>
      <c r="AD1127">
        <v>0</v>
      </c>
      <c r="AK1127">
        <v>1125</v>
      </c>
      <c r="AL1127">
        <v>1124</v>
      </c>
      <c r="AM1127">
        <v>4514.74</v>
      </c>
      <c r="AN1127">
        <v>4516.5830999999998</v>
      </c>
      <c r="AO1127">
        <v>-1.8431</v>
      </c>
      <c r="AP1127">
        <v>3.3971</v>
      </c>
      <c r="AQ1127">
        <v>-1.44E-4</v>
      </c>
      <c r="AR1127">
        <v>7.9999999999999996E-6</v>
      </c>
      <c r="AY1127">
        <v>1125</v>
      </c>
      <c r="AZ1127">
        <v>1124</v>
      </c>
      <c r="BA1127">
        <v>4514.74</v>
      </c>
      <c r="BB1127">
        <v>4516.5830999999998</v>
      </c>
      <c r="BC1127">
        <v>-1.8431</v>
      </c>
      <c r="BD1127">
        <v>3.3971</v>
      </c>
      <c r="BE1127">
        <v>1263376</v>
      </c>
    </row>
    <row r="1128" spans="1:57" x14ac:dyDescent="0.55000000000000004">
      <c r="A1128">
        <v>1777925702</v>
      </c>
      <c r="B1128" t="s">
        <v>72</v>
      </c>
      <c r="C1128" t="s">
        <v>73</v>
      </c>
      <c r="D1128">
        <v>4515.21</v>
      </c>
      <c r="E1128">
        <v>4518.5928199999998</v>
      </c>
      <c r="F1128">
        <v>4596.0559499999999</v>
      </c>
      <c r="G1128">
        <v>4755.40355</v>
      </c>
      <c r="H1128">
        <v>4792.7697200000002</v>
      </c>
      <c r="Q1128">
        <v>4516.3155299999999</v>
      </c>
      <c r="R1128">
        <v>4545.6788299999998</v>
      </c>
      <c r="S1128">
        <v>4572.2676000000001</v>
      </c>
      <c r="V1128">
        <v>4481.3757599999999</v>
      </c>
      <c r="W1128">
        <v>4447.8107600000003</v>
      </c>
      <c r="AB1128">
        <v>4518.9604499999996</v>
      </c>
      <c r="AC1128">
        <v>4518.2251500000002</v>
      </c>
      <c r="AD1128">
        <v>0</v>
      </c>
      <c r="AK1128">
        <v>1126</v>
      </c>
      <c r="AL1128">
        <v>1125</v>
      </c>
      <c r="AM1128">
        <v>4515.21</v>
      </c>
      <c r="AN1128">
        <v>4516.3154999999997</v>
      </c>
      <c r="AO1128">
        <v>-1.1054999999999999</v>
      </c>
      <c r="AP1128">
        <v>1.2222</v>
      </c>
      <c r="AQ1128">
        <v>-3.1000000000000001E-5</v>
      </c>
      <c r="AR1128">
        <v>9.9999999999999995E-7</v>
      </c>
      <c r="AY1128">
        <v>1126</v>
      </c>
      <c r="AZ1128">
        <v>1125</v>
      </c>
      <c r="BA1128">
        <v>4515.21</v>
      </c>
      <c r="BB1128">
        <v>4516.3154999999997</v>
      </c>
      <c r="BC1128">
        <v>-1.1054999999999999</v>
      </c>
      <c r="BD1128">
        <v>1.2222</v>
      </c>
      <c r="BE1128">
        <v>1265625</v>
      </c>
    </row>
    <row r="1129" spans="1:57" x14ac:dyDescent="0.55000000000000004">
      <c r="A1129">
        <v>1777926602</v>
      </c>
      <c r="B1129" t="s">
        <v>72</v>
      </c>
      <c r="C1129" t="s">
        <v>73</v>
      </c>
      <c r="D1129">
        <v>4518.75</v>
      </c>
      <c r="E1129">
        <v>4518.5928199999998</v>
      </c>
      <c r="F1129">
        <v>4596.0559499999999</v>
      </c>
      <c r="G1129">
        <v>4755.40355</v>
      </c>
      <c r="H1129">
        <v>4792.7697200000002</v>
      </c>
      <c r="Q1129">
        <v>4516.04792</v>
      </c>
      <c r="R1129">
        <v>4545.41122</v>
      </c>
      <c r="S1129">
        <v>4571.9999900000003</v>
      </c>
      <c r="V1129">
        <v>4481.10815</v>
      </c>
      <c r="W1129">
        <v>4447.5431600000002</v>
      </c>
      <c r="AB1129">
        <v>4519.86715</v>
      </c>
      <c r="AC1129">
        <v>4519.0461500000001</v>
      </c>
      <c r="AD1129">
        <v>0</v>
      </c>
      <c r="AK1129">
        <v>1127</v>
      </c>
      <c r="AL1129">
        <v>1126</v>
      </c>
      <c r="AM1129">
        <v>4518.75</v>
      </c>
      <c r="AN1129">
        <v>4516.0478999999996</v>
      </c>
      <c r="AO1129">
        <v>2.7021000000000002</v>
      </c>
      <c r="AP1129">
        <v>7.3011999999999997</v>
      </c>
      <c r="AQ1129">
        <v>4.5399999999999998E-4</v>
      </c>
      <c r="AR1129">
        <v>3.4999999999999997E-5</v>
      </c>
      <c r="AY1129">
        <v>1127</v>
      </c>
      <c r="AZ1129">
        <v>1126</v>
      </c>
      <c r="BA1129">
        <v>4518.75</v>
      </c>
      <c r="BB1129">
        <v>4516.0478999999996</v>
      </c>
      <c r="BC1129">
        <v>2.7021000000000002</v>
      </c>
      <c r="BD1129">
        <v>7.3011999999999997</v>
      </c>
      <c r="BE1129">
        <v>1267876</v>
      </c>
    </row>
    <row r="1130" spans="1:57" x14ac:dyDescent="0.55000000000000004">
      <c r="A1130">
        <v>1777927502</v>
      </c>
      <c r="B1130" t="s">
        <v>72</v>
      </c>
      <c r="C1130" t="s">
        <v>73</v>
      </c>
      <c r="D1130">
        <v>4523.84</v>
      </c>
      <c r="E1130">
        <v>4518.5928199999998</v>
      </c>
      <c r="F1130">
        <v>4596.0559499999999</v>
      </c>
      <c r="G1130">
        <v>4755.40355</v>
      </c>
      <c r="H1130">
        <v>4792.7697200000002</v>
      </c>
      <c r="Q1130">
        <v>4515.7803199999998</v>
      </c>
      <c r="R1130">
        <v>4545.1436199999998</v>
      </c>
      <c r="S1130">
        <v>4571.7323900000001</v>
      </c>
      <c r="V1130">
        <v>4480.8405499999999</v>
      </c>
      <c r="W1130">
        <v>4447.2755500000003</v>
      </c>
      <c r="AB1130">
        <v>4520.4522399999996</v>
      </c>
      <c r="AC1130">
        <v>4519.7491900000005</v>
      </c>
      <c r="AD1130">
        <v>0</v>
      </c>
      <c r="AK1130">
        <v>1128</v>
      </c>
      <c r="AL1130">
        <v>1127</v>
      </c>
      <c r="AM1130">
        <v>4523.84</v>
      </c>
      <c r="AN1130">
        <v>4515.7803000000004</v>
      </c>
      <c r="AO1130">
        <v>8.0596999999999994</v>
      </c>
      <c r="AP1130">
        <v>64.958399999999997</v>
      </c>
      <c r="AQ1130">
        <v>1.2043999999999999E-2</v>
      </c>
      <c r="AR1130">
        <v>2.761E-3</v>
      </c>
      <c r="AY1130">
        <v>1128</v>
      </c>
      <c r="AZ1130">
        <v>1127</v>
      </c>
      <c r="BA1130">
        <v>4523.84</v>
      </c>
      <c r="BB1130">
        <v>4515.7803000000004</v>
      </c>
      <c r="BC1130">
        <v>8.0596999999999994</v>
      </c>
      <c r="BD1130">
        <v>64.958399999999997</v>
      </c>
      <c r="BE1130">
        <v>1270129</v>
      </c>
    </row>
    <row r="1131" spans="1:57" x14ac:dyDescent="0.55000000000000004">
      <c r="A1131">
        <v>1777932002</v>
      </c>
      <c r="B1131" t="s">
        <v>72</v>
      </c>
      <c r="C1131" t="s">
        <v>73</v>
      </c>
      <c r="D1131">
        <v>4521.1000000000004</v>
      </c>
      <c r="E1131">
        <v>4518.5928199999998</v>
      </c>
      <c r="F1131">
        <v>4596.0559499999999</v>
      </c>
      <c r="G1131">
        <v>4755.40355</v>
      </c>
      <c r="H1131">
        <v>4792.7697200000002</v>
      </c>
      <c r="Q1131">
        <v>4515.51271</v>
      </c>
      <c r="R1131">
        <v>4544.87601</v>
      </c>
      <c r="S1131">
        <v>4571.4647800000002</v>
      </c>
      <c r="V1131">
        <v>4480.57294</v>
      </c>
      <c r="W1131">
        <v>4447.0079500000002</v>
      </c>
      <c r="AB1131">
        <v>4520.5340299999998</v>
      </c>
      <c r="AC1131">
        <v>4520.1416099999997</v>
      </c>
      <c r="AD1131">
        <v>0</v>
      </c>
      <c r="AK1131">
        <v>1129</v>
      </c>
      <c r="AL1131">
        <v>1128</v>
      </c>
      <c r="AM1131">
        <v>4521.1000000000004</v>
      </c>
      <c r="AN1131">
        <v>4515.5127000000002</v>
      </c>
      <c r="AO1131">
        <v>5.5872999999999999</v>
      </c>
      <c r="AP1131">
        <v>31.2178</v>
      </c>
      <c r="AQ1131">
        <v>4.0130000000000001E-3</v>
      </c>
      <c r="AR1131">
        <v>6.38E-4</v>
      </c>
      <c r="AY1131">
        <v>1129</v>
      </c>
      <c r="AZ1131">
        <v>1128</v>
      </c>
      <c r="BA1131">
        <v>4521.1000000000004</v>
      </c>
      <c r="BB1131">
        <v>4515.5127000000002</v>
      </c>
      <c r="BC1131">
        <v>5.5872999999999999</v>
      </c>
      <c r="BD1131">
        <v>31.2178</v>
      </c>
      <c r="BE1131">
        <v>1272384</v>
      </c>
    </row>
    <row r="1132" spans="1:57" x14ac:dyDescent="0.55000000000000004">
      <c r="A1132">
        <v>1777932902</v>
      </c>
      <c r="B1132" t="s">
        <v>72</v>
      </c>
      <c r="C1132" t="s">
        <v>73</v>
      </c>
      <c r="D1132">
        <v>4519.66</v>
      </c>
      <c r="E1132">
        <v>4518.5928199999998</v>
      </c>
      <c r="F1132">
        <v>4596.0559499999999</v>
      </c>
      <c r="G1132">
        <v>4755.40355</v>
      </c>
      <c r="H1132">
        <v>4792.7697200000002</v>
      </c>
      <c r="Q1132">
        <v>4515.2451099999998</v>
      </c>
      <c r="R1132">
        <v>4544.6084099999998</v>
      </c>
      <c r="S1132">
        <v>4571.1971800000001</v>
      </c>
      <c r="V1132">
        <v>4480.3053399999999</v>
      </c>
      <c r="W1132">
        <v>4446.7403400000003</v>
      </c>
      <c r="AB1132">
        <v>4520.2373799999996</v>
      </c>
      <c r="AC1132">
        <v>4520.1895000000004</v>
      </c>
      <c r="AD1132">
        <v>0</v>
      </c>
      <c r="AK1132">
        <v>1130</v>
      </c>
      <c r="AL1132">
        <v>1129</v>
      </c>
      <c r="AM1132">
        <v>4519.66</v>
      </c>
      <c r="AN1132">
        <v>4515.2451000000001</v>
      </c>
      <c r="AO1132">
        <v>4.4149000000000003</v>
      </c>
      <c r="AP1132">
        <v>19.491299999999999</v>
      </c>
      <c r="AQ1132">
        <v>1.98E-3</v>
      </c>
      <c r="AR1132">
        <v>2.4899999999999998E-4</v>
      </c>
      <c r="AY1132">
        <v>1130</v>
      </c>
      <c r="AZ1132">
        <v>1129</v>
      </c>
      <c r="BA1132">
        <v>4519.66</v>
      </c>
      <c r="BB1132">
        <v>4515.2451000000001</v>
      </c>
      <c r="BC1132">
        <v>4.4149000000000003</v>
      </c>
      <c r="BD1132">
        <v>19.491299999999999</v>
      </c>
      <c r="BE1132">
        <v>1274641</v>
      </c>
    </row>
    <row r="1133" spans="1:57" x14ac:dyDescent="0.55000000000000004">
      <c r="A1133">
        <v>1777933802</v>
      </c>
      <c r="B1133" t="s">
        <v>72</v>
      </c>
      <c r="C1133" t="s">
        <v>73</v>
      </c>
      <c r="D1133">
        <v>4519.0200000000004</v>
      </c>
      <c r="E1133">
        <v>4518.5928199999998</v>
      </c>
      <c r="F1133">
        <v>4596.0559499999999</v>
      </c>
      <c r="G1133">
        <v>4755.40355</v>
      </c>
      <c r="H1133">
        <v>4792.7697200000002</v>
      </c>
      <c r="Q1133">
        <v>4514.9775099999997</v>
      </c>
      <c r="R1133">
        <v>4544.3408099999997</v>
      </c>
      <c r="S1133">
        <v>4570.92958</v>
      </c>
      <c r="V1133">
        <v>4480.0377399999998</v>
      </c>
      <c r="W1133">
        <v>4446.4727400000002</v>
      </c>
      <c r="AB1133">
        <v>4519.7573000000002</v>
      </c>
      <c r="AC1133">
        <v>4519.9733999999999</v>
      </c>
      <c r="AD1133">
        <v>1</v>
      </c>
      <c r="AK1133">
        <v>1131</v>
      </c>
      <c r="AL1133">
        <v>1130</v>
      </c>
      <c r="AM1133">
        <v>4519.0200000000004</v>
      </c>
      <c r="AN1133">
        <v>4514.9775</v>
      </c>
      <c r="AO1133">
        <v>4.0425000000000004</v>
      </c>
      <c r="AP1133">
        <v>16.341699999999999</v>
      </c>
      <c r="AQ1133">
        <v>1.5200000000000001E-3</v>
      </c>
      <c r="AR1133">
        <v>1.75E-4</v>
      </c>
      <c r="AY1133">
        <v>1131</v>
      </c>
      <c r="AZ1133">
        <v>1130</v>
      </c>
      <c r="BA1133">
        <v>4519.0200000000004</v>
      </c>
      <c r="BB1133">
        <v>4514.9775</v>
      </c>
      <c r="BC1133">
        <v>4.0425000000000004</v>
      </c>
      <c r="BD1133">
        <v>16.341699999999999</v>
      </c>
      <c r="BE1133">
        <v>1276900</v>
      </c>
    </row>
    <row r="1134" spans="1:57" x14ac:dyDescent="0.55000000000000004">
      <c r="A1134">
        <v>1777934702</v>
      </c>
      <c r="B1134" t="s">
        <v>72</v>
      </c>
      <c r="C1134" t="s">
        <v>73</v>
      </c>
      <c r="D1134">
        <v>4517.5200000000004</v>
      </c>
      <c r="E1134">
        <v>4518.5928199999998</v>
      </c>
      <c r="F1134">
        <v>4596.0559499999999</v>
      </c>
      <c r="G1134">
        <v>4755.40355</v>
      </c>
      <c r="H1134">
        <v>4792.7697200000002</v>
      </c>
      <c r="Q1134">
        <v>4514.7098999999998</v>
      </c>
      <c r="R1134">
        <v>4544.0731999999998</v>
      </c>
      <c r="S1134">
        <v>4570.6619700000001</v>
      </c>
      <c r="V1134">
        <v>4479.7701299999999</v>
      </c>
      <c r="W1134">
        <v>4446.20514</v>
      </c>
      <c r="AB1134">
        <v>4519.3025100000004</v>
      </c>
      <c r="AC1134">
        <v>4519.63796</v>
      </c>
      <c r="AD1134">
        <v>0</v>
      </c>
      <c r="AK1134">
        <v>1132</v>
      </c>
      <c r="AL1134">
        <v>1131</v>
      </c>
      <c r="AM1134">
        <v>4517.5200000000004</v>
      </c>
      <c r="AN1134">
        <v>4514.7098999999998</v>
      </c>
      <c r="AO1134">
        <v>2.8100999999999998</v>
      </c>
      <c r="AP1134">
        <v>7.8967000000000001</v>
      </c>
      <c r="AQ1134">
        <v>5.1000000000000004E-4</v>
      </c>
      <c r="AR1134">
        <v>4.1E-5</v>
      </c>
      <c r="AY1134">
        <v>1132</v>
      </c>
      <c r="AZ1134">
        <v>1131</v>
      </c>
      <c r="BA1134">
        <v>4517.5200000000004</v>
      </c>
      <c r="BB1134">
        <v>4514.7098999999998</v>
      </c>
      <c r="BC1134">
        <v>2.8100999999999998</v>
      </c>
      <c r="BD1134">
        <v>7.8967000000000001</v>
      </c>
      <c r="BE1134">
        <v>1279161</v>
      </c>
    </row>
    <row r="1135" spans="1:57" x14ac:dyDescent="0.55000000000000004">
      <c r="A1135">
        <v>1777935602</v>
      </c>
      <c r="B1135" t="s">
        <v>72</v>
      </c>
      <c r="C1135" t="s">
        <v>73</v>
      </c>
      <c r="D1135">
        <v>4520.4399999999996</v>
      </c>
      <c r="E1135">
        <v>4518.5928199999998</v>
      </c>
      <c r="F1135">
        <v>4596.0559499999999</v>
      </c>
      <c r="G1135">
        <v>4755.40355</v>
      </c>
      <c r="H1135">
        <v>4792.7697200000002</v>
      </c>
      <c r="Q1135">
        <v>4514.4422999999997</v>
      </c>
      <c r="R1135">
        <v>4543.8055999999997</v>
      </c>
      <c r="S1135">
        <v>4570.39437</v>
      </c>
      <c r="V1135">
        <v>4479.5025299999998</v>
      </c>
      <c r="W1135">
        <v>4445.9375300000002</v>
      </c>
      <c r="AB1135">
        <v>4519.0687399999997</v>
      </c>
      <c r="AC1135">
        <v>4519.3533500000003</v>
      </c>
      <c r="AD1135">
        <v>0</v>
      </c>
      <c r="AK1135">
        <v>1133</v>
      </c>
      <c r="AL1135">
        <v>1132</v>
      </c>
      <c r="AM1135">
        <v>4520.4399999999996</v>
      </c>
      <c r="AN1135">
        <v>4514.4422999999997</v>
      </c>
      <c r="AO1135">
        <v>5.9977</v>
      </c>
      <c r="AP1135">
        <v>35.9724</v>
      </c>
      <c r="AQ1135">
        <v>4.9630000000000004E-3</v>
      </c>
      <c r="AR1135">
        <v>8.4699999999999999E-4</v>
      </c>
      <c r="AY1135">
        <v>1133</v>
      </c>
      <c r="AZ1135">
        <v>1132</v>
      </c>
      <c r="BA1135">
        <v>4520.4399999999996</v>
      </c>
      <c r="BB1135">
        <v>4514.4422999999997</v>
      </c>
      <c r="BC1135">
        <v>5.9977</v>
      </c>
      <c r="BD1135">
        <v>35.9724</v>
      </c>
      <c r="BE1135">
        <v>1281424</v>
      </c>
    </row>
    <row r="1136" spans="1:57" x14ac:dyDescent="0.55000000000000004">
      <c r="A1136">
        <v>1777936502</v>
      </c>
      <c r="B1136" t="s">
        <v>72</v>
      </c>
      <c r="C1136" t="s">
        <v>73</v>
      </c>
      <c r="D1136">
        <v>4521.13</v>
      </c>
      <c r="E1136">
        <v>4518.5928199999998</v>
      </c>
      <c r="F1136">
        <v>4596.0559499999999</v>
      </c>
      <c r="G1136">
        <v>4755.40355</v>
      </c>
      <c r="H1136">
        <v>4792.7697200000002</v>
      </c>
      <c r="Q1136">
        <v>4514.1746899999998</v>
      </c>
      <c r="R1136">
        <v>4543.5379899999998</v>
      </c>
      <c r="S1136">
        <v>4570.1267600000001</v>
      </c>
      <c r="V1136">
        <v>4479.2349199999999</v>
      </c>
      <c r="W1136">
        <v>4445.66993</v>
      </c>
      <c r="AB1136">
        <v>4519.0811000000003</v>
      </c>
      <c r="AC1136">
        <v>4519.2172300000002</v>
      </c>
      <c r="AD1136">
        <v>0</v>
      </c>
      <c r="AK1136">
        <v>1134</v>
      </c>
      <c r="AL1136">
        <v>1133</v>
      </c>
      <c r="AM1136">
        <v>4521.13</v>
      </c>
      <c r="AN1136">
        <v>4514.1746999999996</v>
      </c>
      <c r="AO1136">
        <v>6.9553000000000003</v>
      </c>
      <c r="AP1136">
        <v>48.376300000000001</v>
      </c>
      <c r="AQ1136">
        <v>7.7400000000000004E-3</v>
      </c>
      <c r="AR1136">
        <v>1.531E-3</v>
      </c>
      <c r="AY1136">
        <v>1134</v>
      </c>
      <c r="AZ1136">
        <v>1133</v>
      </c>
      <c r="BA1136">
        <v>4521.13</v>
      </c>
      <c r="BB1136">
        <v>4514.1746999999996</v>
      </c>
      <c r="BC1136">
        <v>6.9553000000000003</v>
      </c>
      <c r="BD1136">
        <v>48.376300000000001</v>
      </c>
      <c r="BE1136">
        <v>1283689</v>
      </c>
    </row>
    <row r="1137" spans="1:57" x14ac:dyDescent="0.55000000000000004">
      <c r="A1137">
        <v>1777937402</v>
      </c>
      <c r="B1137" t="s">
        <v>72</v>
      </c>
      <c r="C1137" t="s">
        <v>73</v>
      </c>
      <c r="D1137">
        <v>4518.5200000000004</v>
      </c>
      <c r="E1137">
        <v>4518.5928199999998</v>
      </c>
      <c r="F1137">
        <v>4596.0559499999999</v>
      </c>
      <c r="G1137">
        <v>4755.40355</v>
      </c>
      <c r="H1137">
        <v>4792.7697200000002</v>
      </c>
      <c r="Q1137">
        <v>4513.9070899999997</v>
      </c>
      <c r="R1137">
        <v>4543.2703899999997</v>
      </c>
      <c r="S1137">
        <v>4569.85916</v>
      </c>
      <c r="V1137">
        <v>4478.9673199999997</v>
      </c>
      <c r="W1137">
        <v>4445.4023200000001</v>
      </c>
      <c r="AB1137">
        <v>4519.4496600000002</v>
      </c>
      <c r="AC1137">
        <v>4519.3334400000003</v>
      </c>
      <c r="AD1137">
        <v>1</v>
      </c>
      <c r="AK1137">
        <v>1135</v>
      </c>
      <c r="AL1137">
        <v>1134</v>
      </c>
      <c r="AM1137">
        <v>4518.5200000000004</v>
      </c>
      <c r="AN1137">
        <v>4513.9071000000004</v>
      </c>
      <c r="AO1137">
        <v>4.6128999999999998</v>
      </c>
      <c r="AP1137">
        <v>21.2789</v>
      </c>
      <c r="AQ1137">
        <v>2.258E-3</v>
      </c>
      <c r="AR1137">
        <v>2.9599999999999998E-4</v>
      </c>
      <c r="AY1137">
        <v>1135</v>
      </c>
      <c r="AZ1137">
        <v>1134</v>
      </c>
      <c r="BA1137">
        <v>4518.5200000000004</v>
      </c>
      <c r="BB1137">
        <v>4513.9071000000004</v>
      </c>
      <c r="BC1137">
        <v>4.6128999999999998</v>
      </c>
      <c r="BD1137">
        <v>21.2789</v>
      </c>
      <c r="BE1137">
        <v>1285956</v>
      </c>
    </row>
  </sheetData>
  <mergeCells count="5">
    <mergeCell ref="AY1:BE1"/>
    <mergeCell ref="AE1:AJ1"/>
    <mergeCell ref="AS1:AX1"/>
    <mergeCell ref="AK1:AR1"/>
    <mergeCell ref="A1:AD1"/>
  </mergeCells>
  <pageMargins left="0.7" right="0.7" top="0.75" bottom="0.75" header="0.3" footer="0.3"/>
  <pageSetup orientation="portrait" horizontalDpi="200" verticalDpi="2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1137"/>
  <sheetViews>
    <sheetView zoomScale="60" zoomScaleNormal="60" workbookViewId="0">
      <pane xSplit="4" ySplit="2" topLeftCell="M3" activePane="bottomRight" state="frozen"/>
      <selection pane="topRight" activeCell="E1" sqref="E1"/>
      <selection pane="bottomLeft" activeCell="A2" sqref="A2"/>
      <selection pane="bottomRight" activeCell="AM1115" sqref="AM1115"/>
    </sheetView>
  </sheetViews>
  <sheetFormatPr defaultRowHeight="14.4" x14ac:dyDescent="0.55000000000000004"/>
  <cols>
    <col min="1" max="1" width="10.68359375" bestFit="1" customWidth="1"/>
    <col min="35" max="35" width="12.26171875" bestFit="1" customWidth="1"/>
    <col min="38" max="38" width="12.15625" bestFit="1" customWidth="1"/>
    <col min="39" max="39" width="12.05078125" bestFit="1" customWidth="1"/>
  </cols>
  <sheetData>
    <row r="1" spans="1:39" x14ac:dyDescent="0.55000000000000004">
      <c r="A1" s="112" t="s">
        <v>24</v>
      </c>
      <c r="B1" s="113"/>
      <c r="C1" s="113"/>
      <c r="D1" s="113"/>
      <c r="E1" s="113"/>
      <c r="F1" s="113"/>
      <c r="G1" s="113"/>
      <c r="H1" s="113"/>
      <c r="I1" s="113"/>
      <c r="J1" s="113"/>
      <c r="K1" s="113"/>
      <c r="L1" s="113"/>
      <c r="M1" s="113"/>
      <c r="N1" s="113"/>
      <c r="O1" s="113"/>
      <c r="P1" s="113"/>
      <c r="Q1" s="113"/>
      <c r="R1" s="113"/>
      <c r="S1" s="113"/>
      <c r="T1" s="113"/>
      <c r="U1" s="113"/>
      <c r="V1" s="113"/>
      <c r="W1" s="113"/>
      <c r="X1" s="113"/>
      <c r="Y1" s="113"/>
      <c r="Z1" s="113"/>
      <c r="AA1" s="113"/>
      <c r="AB1" s="113"/>
      <c r="AC1" s="113"/>
      <c r="AD1" s="113"/>
      <c r="AE1" s="116" t="s">
        <v>74</v>
      </c>
      <c r="AF1" s="113"/>
      <c r="AG1" s="113"/>
      <c r="AH1" s="113"/>
      <c r="AI1" s="113"/>
      <c r="AJ1" s="113"/>
      <c r="AK1" s="113"/>
    </row>
    <row r="2" spans="1:39" x14ac:dyDescent="0.55000000000000004">
      <c r="A2" s="4" t="s">
        <v>29</v>
      </c>
      <c r="B2" s="4" t="s">
        <v>30</v>
      </c>
      <c r="C2" s="4" t="s">
        <v>31</v>
      </c>
      <c r="D2" s="4" t="s">
        <v>32</v>
      </c>
      <c r="E2" s="4" t="s">
        <v>33</v>
      </c>
      <c r="F2" s="4" t="s">
        <v>34</v>
      </c>
      <c r="G2" s="4" t="s">
        <v>35</v>
      </c>
      <c r="H2" s="4" t="s">
        <v>36</v>
      </c>
      <c r="I2" s="4" t="s">
        <v>37</v>
      </c>
      <c r="J2" s="4" t="s">
        <v>38</v>
      </c>
      <c r="K2" s="4" t="s">
        <v>39</v>
      </c>
      <c r="L2" s="4" t="s">
        <v>40</v>
      </c>
      <c r="M2" s="4" t="s">
        <v>41</v>
      </c>
      <c r="N2" s="4" t="s">
        <v>42</v>
      </c>
      <c r="O2" s="4" t="s">
        <v>43</v>
      </c>
      <c r="P2" s="4" t="s">
        <v>44</v>
      </c>
      <c r="Q2" s="4" t="s">
        <v>45</v>
      </c>
      <c r="R2" s="4" t="s">
        <v>46</v>
      </c>
      <c r="S2" s="4" t="s">
        <v>47</v>
      </c>
      <c r="T2" s="4" t="s">
        <v>48</v>
      </c>
      <c r="U2" s="4" t="s">
        <v>49</v>
      </c>
      <c r="V2" s="4" t="s">
        <v>50</v>
      </c>
      <c r="W2" s="4" t="s">
        <v>51</v>
      </c>
      <c r="X2" s="4" t="s">
        <v>52</v>
      </c>
      <c r="Y2" s="4" t="s">
        <v>53</v>
      </c>
      <c r="Z2" s="4" t="s">
        <v>54</v>
      </c>
      <c r="AA2" s="4" t="s">
        <v>55</v>
      </c>
      <c r="AB2" s="4" t="s">
        <v>56</v>
      </c>
      <c r="AC2" s="4" t="s">
        <v>57</v>
      </c>
      <c r="AD2" s="4" t="s">
        <v>58</v>
      </c>
      <c r="AE2" s="2" t="s">
        <v>59</v>
      </c>
      <c r="AF2" s="2" t="s">
        <v>60</v>
      </c>
      <c r="AG2" s="2" t="s">
        <v>66</v>
      </c>
      <c r="AH2" s="2" t="s">
        <v>64</v>
      </c>
      <c r="AI2" s="2" t="s">
        <v>67</v>
      </c>
      <c r="AJ2" s="2" t="s">
        <v>68</v>
      </c>
      <c r="AK2" s="3" t="s">
        <v>71</v>
      </c>
      <c r="AL2" s="15" t="s">
        <v>75</v>
      </c>
      <c r="AM2" s="15" t="s">
        <v>76</v>
      </c>
    </row>
    <row r="3" spans="1:39" x14ac:dyDescent="0.55000000000000004">
      <c r="A3">
        <v>1776351602</v>
      </c>
      <c r="B3" t="s">
        <v>72</v>
      </c>
      <c r="C3" t="s">
        <v>73</v>
      </c>
      <c r="D3">
        <v>4806.71</v>
      </c>
      <c r="E3">
        <v>4518.5928199999998</v>
      </c>
      <c r="F3">
        <v>4596.0559499999999</v>
      </c>
      <c r="G3">
        <v>4755.40355</v>
      </c>
      <c r="H3">
        <v>4792.7697200000002</v>
      </c>
      <c r="Q3">
        <v>4817.3701300000002</v>
      </c>
      <c r="R3">
        <v>4846.7334300000002</v>
      </c>
      <c r="S3">
        <v>4873.3221999999996</v>
      </c>
      <c r="V3">
        <v>4782.4303600000003</v>
      </c>
      <c r="W3">
        <v>4748.8653599999998</v>
      </c>
      <c r="AB3">
        <v>4798.9749099999999</v>
      </c>
      <c r="AC3">
        <v>4798.2946400000001</v>
      </c>
      <c r="AD3">
        <v>1</v>
      </c>
      <c r="AE3" s="5">
        <v>1</v>
      </c>
      <c r="AF3" s="5">
        <v>0</v>
      </c>
      <c r="AG3">
        <f t="shared" ref="AG3:AG66" si="0">D3-Q3</f>
        <v>-10.660130000000208</v>
      </c>
      <c r="AH3">
        <f t="shared" ref="AH3:AH66" si="1">AG3^2</f>
        <v>113.63837161690444</v>
      </c>
      <c r="AI3">
        <f t="shared" ref="AI3:AI66" si="2">(AG3/STDEV($AG$3:$AG$1137))^3</f>
        <v>-2.7867825810260496E-2</v>
      </c>
      <c r="AJ3">
        <f t="shared" ref="AJ3:AJ66" si="3">(AG3/STDEV($AG$3:$AG$1137))^4</f>
        <v>8.4489767765007079E-3</v>
      </c>
      <c r="AK3">
        <f t="shared" ref="AK3:AK66" si="4">AF3^2</f>
        <v>0</v>
      </c>
      <c r="AL3">
        <f>IF(AD3=1,AB3,"")</f>
        <v>4798.9749099999999</v>
      </c>
      <c r="AM3" t="s">
        <v>77</v>
      </c>
    </row>
    <row r="4" spans="1:39" x14ac:dyDescent="0.55000000000000004">
      <c r="A4">
        <v>1776352502</v>
      </c>
      <c r="B4" t="s">
        <v>72</v>
      </c>
      <c r="C4" t="s">
        <v>73</v>
      </c>
      <c r="D4">
        <v>4802.1000000000004</v>
      </c>
      <c r="E4">
        <v>4518.5928199999998</v>
      </c>
      <c r="F4">
        <v>4596.0559499999999</v>
      </c>
      <c r="G4">
        <v>4755.40355</v>
      </c>
      <c r="H4">
        <v>4792.7697200000002</v>
      </c>
      <c r="Q4">
        <v>4817.1025200000004</v>
      </c>
      <c r="R4">
        <v>4846.4658200000003</v>
      </c>
      <c r="S4">
        <v>4873.0545899999997</v>
      </c>
      <c r="V4">
        <v>4782.1627500000004</v>
      </c>
      <c r="W4">
        <v>4748.5977599999997</v>
      </c>
      <c r="AB4">
        <v>4800.8624</v>
      </c>
      <c r="AC4">
        <v>4799.57852</v>
      </c>
      <c r="AD4">
        <v>0</v>
      </c>
      <c r="AE4">
        <f t="shared" ref="AE4:AE67" si="5">AE3+1</f>
        <v>2</v>
      </c>
      <c r="AF4">
        <f t="shared" ref="AF4:AF67" si="6">AF3+1</f>
        <v>1</v>
      </c>
      <c r="AG4">
        <f t="shared" si="0"/>
        <v>-15.002520000000004</v>
      </c>
      <c r="AH4">
        <f t="shared" si="1"/>
        <v>225.07560635040014</v>
      </c>
      <c r="AI4">
        <f t="shared" si="2"/>
        <v>-7.7679823065032683E-2</v>
      </c>
      <c r="AJ4">
        <f t="shared" si="3"/>
        <v>3.3144461717343872E-2</v>
      </c>
      <c r="AK4">
        <f t="shared" si="4"/>
        <v>1</v>
      </c>
      <c r="AL4">
        <f t="shared" ref="AL4:AL67" si="7">IF(AD4=1,AB4,IF(AL3&lt;&gt;"",AL3,""))</f>
        <v>4798.9749099999999</v>
      </c>
      <c r="AM4" t="str">
        <f t="shared" ref="AM4:AM67" si="8">IF(AND(AD4=1,AL3&lt;&gt;""),ABS(AB4-AL3),"")</f>
        <v/>
      </c>
    </row>
    <row r="5" spans="1:39" x14ac:dyDescent="0.55000000000000004">
      <c r="A5">
        <v>1776353402</v>
      </c>
      <c r="B5" t="s">
        <v>72</v>
      </c>
      <c r="C5" t="s">
        <v>73</v>
      </c>
      <c r="D5">
        <v>4802.9799999999996</v>
      </c>
      <c r="E5">
        <v>4518.5928199999998</v>
      </c>
      <c r="F5">
        <v>4596.0559499999999</v>
      </c>
      <c r="G5">
        <v>4755.40355</v>
      </c>
      <c r="H5">
        <v>4792.7697200000002</v>
      </c>
      <c r="Q5">
        <v>4816.8349200000002</v>
      </c>
      <c r="R5">
        <v>4846.1982200000002</v>
      </c>
      <c r="S5">
        <v>4872.7869899999996</v>
      </c>
      <c r="V5">
        <v>4781.8951500000003</v>
      </c>
      <c r="W5">
        <v>4748.3301499999998</v>
      </c>
      <c r="AB5">
        <v>4802.2649899999997</v>
      </c>
      <c r="AC5">
        <v>4800.9217600000002</v>
      </c>
      <c r="AD5">
        <v>0</v>
      </c>
      <c r="AE5">
        <f t="shared" si="5"/>
        <v>3</v>
      </c>
      <c r="AF5">
        <f t="shared" si="6"/>
        <v>2</v>
      </c>
      <c r="AG5">
        <f t="shared" si="0"/>
        <v>-13.854920000000675</v>
      </c>
      <c r="AH5">
        <f t="shared" si="1"/>
        <v>191.95880820641869</v>
      </c>
      <c r="AI5">
        <f t="shared" si="2"/>
        <v>-6.118256099758286E-2</v>
      </c>
      <c r="AJ5">
        <f t="shared" si="3"/>
        <v>2.4108500693997528E-2</v>
      </c>
      <c r="AK5">
        <f t="shared" si="4"/>
        <v>4</v>
      </c>
      <c r="AL5">
        <f t="shared" si="7"/>
        <v>4798.9749099999999</v>
      </c>
      <c r="AM5" t="str">
        <f t="shared" si="8"/>
        <v/>
      </c>
    </row>
    <row r="6" spans="1:39" x14ac:dyDescent="0.55000000000000004">
      <c r="A6">
        <v>1776354302</v>
      </c>
      <c r="B6" t="s">
        <v>72</v>
      </c>
      <c r="C6" t="s">
        <v>73</v>
      </c>
      <c r="D6">
        <v>4807.09</v>
      </c>
      <c r="E6">
        <v>4518.5928199999998</v>
      </c>
      <c r="F6">
        <v>4596.0559499999999</v>
      </c>
      <c r="G6">
        <v>4755.40355</v>
      </c>
      <c r="H6">
        <v>4792.7697200000002</v>
      </c>
      <c r="Q6">
        <v>4816.5673100000004</v>
      </c>
      <c r="R6">
        <v>4845.9306100000003</v>
      </c>
      <c r="S6">
        <v>4872.5193799999997</v>
      </c>
      <c r="V6">
        <v>4781.6275400000004</v>
      </c>
      <c r="W6">
        <v>4748.0625499999996</v>
      </c>
      <c r="AB6">
        <v>4802.6890400000002</v>
      </c>
      <c r="AC6">
        <v>4801.8054000000002</v>
      </c>
      <c r="AD6">
        <v>0</v>
      </c>
      <c r="AE6">
        <f t="shared" si="5"/>
        <v>4</v>
      </c>
      <c r="AF6">
        <f t="shared" si="6"/>
        <v>3</v>
      </c>
      <c r="AG6">
        <f t="shared" si="0"/>
        <v>-9.477310000000216</v>
      </c>
      <c r="AH6">
        <f t="shared" si="1"/>
        <v>89.819404836104098</v>
      </c>
      <c r="AI6">
        <f t="shared" si="2"/>
        <v>-1.9582622140034388E-2</v>
      </c>
      <c r="AJ6">
        <f t="shared" si="3"/>
        <v>5.2783047192544019E-3</v>
      </c>
      <c r="AK6">
        <f t="shared" si="4"/>
        <v>9</v>
      </c>
      <c r="AL6">
        <f t="shared" si="7"/>
        <v>4798.9749099999999</v>
      </c>
      <c r="AM6" t="str">
        <f t="shared" si="8"/>
        <v/>
      </c>
    </row>
    <row r="7" spans="1:39" x14ac:dyDescent="0.55000000000000004">
      <c r="A7">
        <v>1776355202</v>
      </c>
      <c r="B7" t="s">
        <v>72</v>
      </c>
      <c r="C7" t="s">
        <v>73</v>
      </c>
      <c r="D7">
        <v>4805.0200000000004</v>
      </c>
      <c r="E7">
        <v>4518.5928199999998</v>
      </c>
      <c r="F7">
        <v>4596.0559499999999</v>
      </c>
      <c r="G7">
        <v>4755.40355</v>
      </c>
      <c r="H7">
        <v>4792.7697200000002</v>
      </c>
      <c r="Q7">
        <v>4816.2997100000002</v>
      </c>
      <c r="R7">
        <v>4845.6630100000002</v>
      </c>
      <c r="S7">
        <v>4872.2517799999996</v>
      </c>
      <c r="V7">
        <v>4781.3599400000003</v>
      </c>
      <c r="W7">
        <v>4747.7949399999998</v>
      </c>
      <c r="AB7">
        <v>4801.75857</v>
      </c>
      <c r="AC7">
        <v>4801.7819799999997</v>
      </c>
      <c r="AD7">
        <v>1</v>
      </c>
      <c r="AE7">
        <f t="shared" si="5"/>
        <v>5</v>
      </c>
      <c r="AF7">
        <f t="shared" si="6"/>
        <v>4</v>
      </c>
      <c r="AG7">
        <f t="shared" si="0"/>
        <v>-11.279709999999795</v>
      </c>
      <c r="AH7">
        <f t="shared" si="1"/>
        <v>127.23185768409539</v>
      </c>
      <c r="AI7">
        <f t="shared" si="2"/>
        <v>-3.3014854442983875E-2</v>
      </c>
      <c r="AJ7">
        <f t="shared" si="3"/>
        <v>1.0591216583652304E-2</v>
      </c>
      <c r="AK7">
        <f t="shared" si="4"/>
        <v>16</v>
      </c>
      <c r="AL7">
        <f t="shared" si="7"/>
        <v>4801.75857</v>
      </c>
      <c r="AM7">
        <f t="shared" si="8"/>
        <v>2.7836600000000544</v>
      </c>
    </row>
    <row r="8" spans="1:39" x14ac:dyDescent="0.55000000000000004">
      <c r="A8">
        <v>1776356102</v>
      </c>
      <c r="B8" t="s">
        <v>72</v>
      </c>
      <c r="C8" t="s">
        <v>73</v>
      </c>
      <c r="D8">
        <v>4799.3100000000004</v>
      </c>
      <c r="E8">
        <v>4518.5928199999998</v>
      </c>
      <c r="F8">
        <v>4596.0559499999999</v>
      </c>
      <c r="G8">
        <v>4755.40355</v>
      </c>
      <c r="H8">
        <v>4792.7697200000002</v>
      </c>
      <c r="Q8">
        <v>4816.0321100000001</v>
      </c>
      <c r="R8">
        <v>4845.3954100000001</v>
      </c>
      <c r="S8">
        <v>4871.9841800000004</v>
      </c>
      <c r="V8">
        <v>4781.0923400000001</v>
      </c>
      <c r="W8">
        <v>4747.5273399999996</v>
      </c>
      <c r="AB8">
        <v>4799.5436600000003</v>
      </c>
      <c r="AC8">
        <v>4800.6628199999996</v>
      </c>
      <c r="AD8">
        <v>0</v>
      </c>
      <c r="AE8">
        <f t="shared" si="5"/>
        <v>6</v>
      </c>
      <c r="AF8">
        <f t="shared" si="6"/>
        <v>5</v>
      </c>
      <c r="AG8">
        <f t="shared" si="0"/>
        <v>-16.722109999999702</v>
      </c>
      <c r="AH8">
        <f t="shared" si="1"/>
        <v>279.62896285209007</v>
      </c>
      <c r="AI8">
        <f t="shared" si="2"/>
        <v>-0.10756941637191575</v>
      </c>
      <c r="AJ8">
        <f t="shared" si="3"/>
        <v>5.1158572354768186E-2</v>
      </c>
      <c r="AK8">
        <f t="shared" si="4"/>
        <v>25</v>
      </c>
      <c r="AL8">
        <f t="shared" si="7"/>
        <v>4801.75857</v>
      </c>
      <c r="AM8" t="str">
        <f t="shared" si="8"/>
        <v/>
      </c>
    </row>
    <row r="9" spans="1:39" x14ac:dyDescent="0.55000000000000004">
      <c r="A9">
        <v>1776357002</v>
      </c>
      <c r="B9" t="s">
        <v>72</v>
      </c>
      <c r="C9" t="s">
        <v>73</v>
      </c>
      <c r="D9">
        <v>4790.1099999999997</v>
      </c>
      <c r="E9">
        <v>4518.5928199999998</v>
      </c>
      <c r="F9">
        <v>4596.0559499999999</v>
      </c>
      <c r="G9">
        <v>4755.40355</v>
      </c>
      <c r="H9">
        <v>4792.7697200000002</v>
      </c>
      <c r="Q9">
        <v>4815.7645000000002</v>
      </c>
      <c r="R9">
        <v>4845.1278000000002</v>
      </c>
      <c r="S9">
        <v>4871.7165699999996</v>
      </c>
      <c r="V9">
        <v>4780.8247300000003</v>
      </c>
      <c r="W9">
        <v>4747.2597400000004</v>
      </c>
      <c r="AB9">
        <v>4796.4861099999998</v>
      </c>
      <c r="AC9">
        <v>4798.5744599999998</v>
      </c>
      <c r="AD9">
        <v>0</v>
      </c>
      <c r="AE9">
        <f t="shared" si="5"/>
        <v>7</v>
      </c>
      <c r="AF9">
        <f t="shared" si="6"/>
        <v>6</v>
      </c>
      <c r="AG9">
        <f t="shared" si="0"/>
        <v>-25.654500000000553</v>
      </c>
      <c r="AH9">
        <f t="shared" si="1"/>
        <v>658.15337025002839</v>
      </c>
      <c r="AI9">
        <f t="shared" si="2"/>
        <v>-0.38842417217501901</v>
      </c>
      <c r="AJ9">
        <f t="shared" si="3"/>
        <v>0.28340553752110165</v>
      </c>
      <c r="AK9">
        <f t="shared" si="4"/>
        <v>36</v>
      </c>
      <c r="AL9">
        <f t="shared" si="7"/>
        <v>4801.75857</v>
      </c>
      <c r="AM9" t="str">
        <f t="shared" si="8"/>
        <v/>
      </c>
    </row>
    <row r="10" spans="1:39" x14ac:dyDescent="0.55000000000000004">
      <c r="A10">
        <v>1776357902</v>
      </c>
      <c r="B10" t="s">
        <v>72</v>
      </c>
      <c r="C10" t="s">
        <v>73</v>
      </c>
      <c r="D10">
        <v>4791.99</v>
      </c>
      <c r="E10">
        <v>4518.5928199999998</v>
      </c>
      <c r="F10">
        <v>4596.0559499999999</v>
      </c>
      <c r="G10">
        <v>4755.40355</v>
      </c>
      <c r="H10">
        <v>4792.7697200000002</v>
      </c>
      <c r="Q10">
        <v>4815.4969000000001</v>
      </c>
      <c r="R10">
        <v>4844.8602000000001</v>
      </c>
      <c r="S10">
        <v>4871.4489700000004</v>
      </c>
      <c r="V10">
        <v>4780.5571300000001</v>
      </c>
      <c r="W10">
        <v>4746.9921299999996</v>
      </c>
      <c r="AB10">
        <v>4793.2913799999997</v>
      </c>
      <c r="AC10">
        <v>4795.9329200000002</v>
      </c>
      <c r="AD10">
        <v>0</v>
      </c>
      <c r="AE10">
        <f t="shared" si="5"/>
        <v>8</v>
      </c>
      <c r="AF10">
        <f t="shared" si="6"/>
        <v>7</v>
      </c>
      <c r="AG10">
        <f t="shared" si="0"/>
        <v>-23.506900000000314</v>
      </c>
      <c r="AH10">
        <f t="shared" si="1"/>
        <v>552.5743476100148</v>
      </c>
      <c r="AI10">
        <f t="shared" si="2"/>
        <v>-0.29881449729938631</v>
      </c>
      <c r="AJ10">
        <f t="shared" si="3"/>
        <v>0.19977242979013787</v>
      </c>
      <c r="AK10">
        <f t="shared" si="4"/>
        <v>49</v>
      </c>
      <c r="AL10">
        <f t="shared" si="7"/>
        <v>4801.75857</v>
      </c>
      <c r="AM10" t="str">
        <f t="shared" si="8"/>
        <v/>
      </c>
    </row>
    <row r="11" spans="1:39" x14ac:dyDescent="0.55000000000000004">
      <c r="A11">
        <v>1776358802</v>
      </c>
      <c r="B11" t="s">
        <v>72</v>
      </c>
      <c r="C11" t="s">
        <v>73</v>
      </c>
      <c r="D11">
        <v>4791.41</v>
      </c>
      <c r="E11">
        <v>4518.5928199999998</v>
      </c>
      <c r="F11">
        <v>4596.0559499999999</v>
      </c>
      <c r="G11">
        <v>4755.40355</v>
      </c>
      <c r="H11">
        <v>4792.7697200000002</v>
      </c>
      <c r="Q11">
        <v>4815.2292900000002</v>
      </c>
      <c r="R11">
        <v>4844.5925900000002</v>
      </c>
      <c r="S11">
        <v>4871.1813599999996</v>
      </c>
      <c r="V11">
        <v>4780.2895200000003</v>
      </c>
      <c r="W11">
        <v>4746.7245300000004</v>
      </c>
      <c r="AB11">
        <v>4790.3715300000003</v>
      </c>
      <c r="AC11">
        <v>4793.1522299999997</v>
      </c>
      <c r="AD11">
        <v>0</v>
      </c>
      <c r="AE11">
        <f t="shared" si="5"/>
        <v>9</v>
      </c>
      <c r="AF11">
        <f t="shared" si="6"/>
        <v>8</v>
      </c>
      <c r="AG11">
        <f t="shared" si="0"/>
        <v>-23.819290000000365</v>
      </c>
      <c r="AH11">
        <f t="shared" si="1"/>
        <v>567.35857610411733</v>
      </c>
      <c r="AI11">
        <f t="shared" si="2"/>
        <v>-0.31088661231018022</v>
      </c>
      <c r="AJ11">
        <f t="shared" si="3"/>
        <v>0.21060533120625502</v>
      </c>
      <c r="AK11">
        <f t="shared" si="4"/>
        <v>64</v>
      </c>
      <c r="AL11">
        <f t="shared" si="7"/>
        <v>4801.75857</v>
      </c>
      <c r="AM11" t="str">
        <f t="shared" si="8"/>
        <v/>
      </c>
    </row>
    <row r="12" spans="1:39" x14ac:dyDescent="0.55000000000000004">
      <c r="A12">
        <v>1776359702</v>
      </c>
      <c r="B12" t="s">
        <v>72</v>
      </c>
      <c r="C12" t="s">
        <v>73</v>
      </c>
      <c r="D12">
        <v>4785.04</v>
      </c>
      <c r="E12">
        <v>4518.5928199999998</v>
      </c>
      <c r="F12">
        <v>4596.0559499999999</v>
      </c>
      <c r="G12">
        <v>4755.40355</v>
      </c>
      <c r="H12">
        <v>4792.7697200000002</v>
      </c>
      <c r="Q12">
        <v>4814.9616900000001</v>
      </c>
      <c r="R12">
        <v>4844.3249900000001</v>
      </c>
      <c r="S12">
        <v>4870.9137600000004</v>
      </c>
      <c r="V12">
        <v>4780.0219200000001</v>
      </c>
      <c r="W12">
        <v>4746.4569199999996</v>
      </c>
      <c r="AB12">
        <v>4788.0806300000004</v>
      </c>
      <c r="AC12">
        <v>4790.61643</v>
      </c>
      <c r="AD12">
        <v>0</v>
      </c>
      <c r="AE12">
        <f t="shared" si="5"/>
        <v>10</v>
      </c>
      <c r="AF12">
        <f t="shared" si="6"/>
        <v>9</v>
      </c>
      <c r="AG12">
        <f t="shared" si="0"/>
        <v>-29.921690000000126</v>
      </c>
      <c r="AH12">
        <f t="shared" si="1"/>
        <v>895.30753245610754</v>
      </c>
      <c r="AI12">
        <f t="shared" si="2"/>
        <v>-0.61627413671221154</v>
      </c>
      <c r="AJ12">
        <f t="shared" si="3"/>
        <v>0.5244433577900095</v>
      </c>
      <c r="AK12">
        <f t="shared" si="4"/>
        <v>81</v>
      </c>
      <c r="AL12">
        <f t="shared" si="7"/>
        <v>4801.75857</v>
      </c>
      <c r="AM12" t="str">
        <f t="shared" si="8"/>
        <v/>
      </c>
    </row>
    <row r="13" spans="1:39" x14ac:dyDescent="0.55000000000000004">
      <c r="A13">
        <v>1776360602</v>
      </c>
      <c r="B13" t="s">
        <v>72</v>
      </c>
      <c r="C13" t="s">
        <v>73</v>
      </c>
      <c r="D13">
        <v>4787.16</v>
      </c>
      <c r="E13">
        <v>4518.5928199999998</v>
      </c>
      <c r="F13">
        <v>4596.0559499999999</v>
      </c>
      <c r="G13">
        <v>4755.40355</v>
      </c>
      <c r="H13">
        <v>4792.7697200000002</v>
      </c>
      <c r="Q13">
        <v>4814.69409</v>
      </c>
      <c r="R13">
        <v>4844.0573800000002</v>
      </c>
      <c r="S13">
        <v>4870.6461600000002</v>
      </c>
      <c r="V13">
        <v>4779.75432</v>
      </c>
      <c r="W13">
        <v>4746.1893200000004</v>
      </c>
      <c r="AB13">
        <v>4786.7966200000001</v>
      </c>
      <c r="AC13">
        <v>4788.7065199999997</v>
      </c>
      <c r="AD13">
        <v>0</v>
      </c>
      <c r="AE13">
        <f t="shared" si="5"/>
        <v>11</v>
      </c>
      <c r="AF13">
        <f t="shared" si="6"/>
        <v>10</v>
      </c>
      <c r="AG13">
        <f t="shared" si="0"/>
        <v>-27.534090000000106</v>
      </c>
      <c r="AH13">
        <f t="shared" si="1"/>
        <v>758.12611212810577</v>
      </c>
      <c r="AI13">
        <f t="shared" si="2"/>
        <v>-0.48020620491584354</v>
      </c>
      <c r="AJ13">
        <f t="shared" si="3"/>
        <v>0.37604257961788429</v>
      </c>
      <c r="AK13">
        <f t="shared" si="4"/>
        <v>100</v>
      </c>
      <c r="AL13">
        <f t="shared" si="7"/>
        <v>4801.75857</v>
      </c>
      <c r="AM13" t="str">
        <f t="shared" si="8"/>
        <v/>
      </c>
    </row>
    <row r="14" spans="1:39" x14ac:dyDescent="0.55000000000000004">
      <c r="A14">
        <v>1776361502</v>
      </c>
      <c r="B14" t="s">
        <v>72</v>
      </c>
      <c r="C14" t="s">
        <v>73</v>
      </c>
      <c r="D14">
        <v>4789.22</v>
      </c>
      <c r="E14">
        <v>4518.5928199999998</v>
      </c>
      <c r="F14">
        <v>4596.0559499999999</v>
      </c>
      <c r="G14">
        <v>4755.40355</v>
      </c>
      <c r="H14">
        <v>4792.7697200000002</v>
      </c>
      <c r="Q14">
        <v>4814.4264800000001</v>
      </c>
      <c r="R14">
        <v>4843.7897800000001</v>
      </c>
      <c r="S14">
        <v>4870.3785500000004</v>
      </c>
      <c r="V14">
        <v>4779.4867100000001</v>
      </c>
      <c r="W14">
        <v>4745.9217200000003</v>
      </c>
      <c r="AB14">
        <v>4786.5160599999999</v>
      </c>
      <c r="AC14">
        <v>4787.6112899999998</v>
      </c>
      <c r="AD14">
        <v>0</v>
      </c>
      <c r="AE14">
        <f t="shared" si="5"/>
        <v>12</v>
      </c>
      <c r="AF14">
        <f t="shared" si="6"/>
        <v>11</v>
      </c>
      <c r="AG14">
        <f t="shared" si="0"/>
        <v>-25.206479999999829</v>
      </c>
      <c r="AH14">
        <f t="shared" si="1"/>
        <v>635.36663399039139</v>
      </c>
      <c r="AI14">
        <f t="shared" si="2"/>
        <v>-0.3684276287663496</v>
      </c>
      <c r="AJ14">
        <f t="shared" si="3"/>
        <v>0.26412099290996438</v>
      </c>
      <c r="AK14">
        <f t="shared" si="4"/>
        <v>121</v>
      </c>
      <c r="AL14">
        <f t="shared" si="7"/>
        <v>4801.75857</v>
      </c>
      <c r="AM14" t="str">
        <f t="shared" si="8"/>
        <v/>
      </c>
    </row>
    <row r="15" spans="1:39" x14ac:dyDescent="0.55000000000000004">
      <c r="A15">
        <v>1776362402</v>
      </c>
      <c r="B15" t="s">
        <v>72</v>
      </c>
      <c r="C15" t="s">
        <v>73</v>
      </c>
      <c r="D15">
        <v>4790.1000000000004</v>
      </c>
      <c r="E15">
        <v>4518.5928199999998</v>
      </c>
      <c r="F15">
        <v>4596.0559499999999</v>
      </c>
      <c r="G15">
        <v>4755.40355</v>
      </c>
      <c r="H15">
        <v>4792.7697200000002</v>
      </c>
      <c r="Q15">
        <v>4814.15888</v>
      </c>
      <c r="R15">
        <v>4843.5221799999999</v>
      </c>
      <c r="S15">
        <v>4870.1109500000002</v>
      </c>
      <c r="V15">
        <v>4779.21911</v>
      </c>
      <c r="W15">
        <v>4745.6541100000004</v>
      </c>
      <c r="AB15">
        <v>4787.0676100000001</v>
      </c>
      <c r="AC15">
        <v>4787.3394500000004</v>
      </c>
      <c r="AD15">
        <v>0</v>
      </c>
      <c r="AE15">
        <f t="shared" si="5"/>
        <v>13</v>
      </c>
      <c r="AF15">
        <f t="shared" si="6"/>
        <v>12</v>
      </c>
      <c r="AG15">
        <f t="shared" si="0"/>
        <v>-24.05887999999959</v>
      </c>
      <c r="AH15">
        <f t="shared" si="1"/>
        <v>578.82970685438022</v>
      </c>
      <c r="AI15">
        <f t="shared" si="2"/>
        <v>-0.32036259471002693</v>
      </c>
      <c r="AJ15">
        <f t="shared" si="3"/>
        <v>0.21920766533263042</v>
      </c>
      <c r="AK15">
        <f t="shared" si="4"/>
        <v>144</v>
      </c>
      <c r="AL15">
        <f t="shared" si="7"/>
        <v>4801.75857</v>
      </c>
      <c r="AM15" t="str">
        <f t="shared" si="8"/>
        <v/>
      </c>
    </row>
    <row r="16" spans="1:39" x14ac:dyDescent="0.55000000000000004">
      <c r="A16">
        <v>1776363302</v>
      </c>
      <c r="B16" t="s">
        <v>72</v>
      </c>
      <c r="C16" t="s">
        <v>73</v>
      </c>
      <c r="D16">
        <v>4786.9799999999996</v>
      </c>
      <c r="E16">
        <v>4518.5928199999998</v>
      </c>
      <c r="F16">
        <v>4596.0559499999999</v>
      </c>
      <c r="G16">
        <v>4755.40355</v>
      </c>
      <c r="H16">
        <v>4792.7697200000002</v>
      </c>
      <c r="Q16">
        <v>4813.8912700000001</v>
      </c>
      <c r="R16">
        <v>4843.2545700000001</v>
      </c>
      <c r="S16">
        <v>4869.8433400000004</v>
      </c>
      <c r="V16">
        <v>4778.9515000000001</v>
      </c>
      <c r="W16">
        <v>4745.3865100000003</v>
      </c>
      <c r="AB16">
        <v>4788.1798699999999</v>
      </c>
      <c r="AC16">
        <v>4787.7596599999997</v>
      </c>
      <c r="AD16">
        <v>1</v>
      </c>
      <c r="AE16">
        <f t="shared" si="5"/>
        <v>14</v>
      </c>
      <c r="AF16">
        <f t="shared" si="6"/>
        <v>13</v>
      </c>
      <c r="AG16">
        <f t="shared" si="0"/>
        <v>-26.911270000000513</v>
      </c>
      <c r="AH16">
        <f t="shared" si="1"/>
        <v>724.21645301292767</v>
      </c>
      <c r="AI16">
        <f t="shared" si="2"/>
        <v>-0.44835102304427865</v>
      </c>
      <c r="AJ16">
        <f t="shared" si="3"/>
        <v>0.34315543893961009</v>
      </c>
      <c r="AK16">
        <f t="shared" si="4"/>
        <v>169</v>
      </c>
      <c r="AL16">
        <f t="shared" si="7"/>
        <v>4788.1798699999999</v>
      </c>
      <c r="AM16">
        <f t="shared" si="8"/>
        <v>13.578700000000026</v>
      </c>
    </row>
    <row r="17" spans="1:39" x14ac:dyDescent="0.55000000000000004">
      <c r="A17">
        <v>1776364202</v>
      </c>
      <c r="B17" t="s">
        <v>72</v>
      </c>
      <c r="C17" t="s">
        <v>73</v>
      </c>
      <c r="D17">
        <v>4790.43</v>
      </c>
      <c r="E17">
        <v>4518.5928199999998</v>
      </c>
      <c r="F17">
        <v>4596.0559499999999</v>
      </c>
      <c r="G17">
        <v>4755.40355</v>
      </c>
      <c r="H17">
        <v>4792.7697200000002</v>
      </c>
      <c r="Q17">
        <v>4813.6236699999999</v>
      </c>
      <c r="R17">
        <v>4842.9869699999999</v>
      </c>
      <c r="S17">
        <v>4869.5757400000002</v>
      </c>
      <c r="V17">
        <v>4778.6839</v>
      </c>
      <c r="W17">
        <v>4745.1189000000004</v>
      </c>
      <c r="AB17">
        <v>4789.6286600000003</v>
      </c>
      <c r="AC17">
        <v>4788.69416</v>
      </c>
      <c r="AD17">
        <v>0</v>
      </c>
      <c r="AE17">
        <f t="shared" si="5"/>
        <v>15</v>
      </c>
      <c r="AF17">
        <f t="shared" si="6"/>
        <v>14</v>
      </c>
      <c r="AG17">
        <f t="shared" si="0"/>
        <v>-23.193669999999656</v>
      </c>
      <c r="AH17">
        <f t="shared" si="1"/>
        <v>537.9463280688841</v>
      </c>
      <c r="AI17">
        <f t="shared" si="2"/>
        <v>-0.28702782868287186</v>
      </c>
      <c r="AJ17">
        <f t="shared" si="3"/>
        <v>0.18933548109877527</v>
      </c>
      <c r="AK17">
        <f t="shared" si="4"/>
        <v>196</v>
      </c>
      <c r="AL17">
        <f t="shared" si="7"/>
        <v>4788.1798699999999</v>
      </c>
      <c r="AM17" t="str">
        <f t="shared" si="8"/>
        <v/>
      </c>
    </row>
    <row r="18" spans="1:39" x14ac:dyDescent="0.55000000000000004">
      <c r="A18">
        <v>1776365102</v>
      </c>
      <c r="B18" t="s">
        <v>72</v>
      </c>
      <c r="C18" t="s">
        <v>73</v>
      </c>
      <c r="D18">
        <v>4789.6400000000003</v>
      </c>
      <c r="E18">
        <v>4518.5928199999998</v>
      </c>
      <c r="F18">
        <v>4596.0559499999999</v>
      </c>
      <c r="G18">
        <v>4755.40355</v>
      </c>
      <c r="H18">
        <v>4792.7697200000002</v>
      </c>
      <c r="Q18">
        <v>4813.3560699999998</v>
      </c>
      <c r="R18">
        <v>4842.7193600000001</v>
      </c>
      <c r="S18">
        <v>4869.3081400000001</v>
      </c>
      <c r="V18">
        <v>4778.4162999999999</v>
      </c>
      <c r="W18">
        <v>4744.8513000000003</v>
      </c>
      <c r="AB18">
        <v>4790.9908599999999</v>
      </c>
      <c r="AC18">
        <v>4789.8425100000004</v>
      </c>
      <c r="AD18">
        <v>0</v>
      </c>
      <c r="AE18">
        <f t="shared" si="5"/>
        <v>16</v>
      </c>
      <c r="AF18">
        <f t="shared" si="6"/>
        <v>15</v>
      </c>
      <c r="AG18">
        <f t="shared" si="0"/>
        <v>-23.71606999999949</v>
      </c>
      <c r="AH18">
        <f t="shared" si="1"/>
        <v>562.45197624487582</v>
      </c>
      <c r="AI18">
        <f t="shared" si="2"/>
        <v>-0.30686245490524228</v>
      </c>
      <c r="AJ18">
        <f t="shared" si="3"/>
        <v>0.20697839112084293</v>
      </c>
      <c r="AK18">
        <f t="shared" si="4"/>
        <v>225</v>
      </c>
      <c r="AL18">
        <f t="shared" si="7"/>
        <v>4788.1798699999999</v>
      </c>
      <c r="AM18" t="str">
        <f t="shared" si="8"/>
        <v/>
      </c>
    </row>
    <row r="19" spans="1:39" x14ac:dyDescent="0.55000000000000004">
      <c r="A19">
        <v>1776366002</v>
      </c>
      <c r="B19" t="s">
        <v>72</v>
      </c>
      <c r="C19" t="s">
        <v>73</v>
      </c>
      <c r="D19">
        <v>4790.03</v>
      </c>
      <c r="E19">
        <v>4518.5928199999998</v>
      </c>
      <c r="F19">
        <v>4596.0559499999999</v>
      </c>
      <c r="G19">
        <v>4755.40355</v>
      </c>
      <c r="H19">
        <v>4792.7697200000002</v>
      </c>
      <c r="Q19">
        <v>4813.0884599999999</v>
      </c>
      <c r="R19">
        <v>4842.4517599999999</v>
      </c>
      <c r="S19">
        <v>4869.0405300000002</v>
      </c>
      <c r="V19">
        <v>4778.14869</v>
      </c>
      <c r="W19">
        <v>4744.5836900000004</v>
      </c>
      <c r="AB19">
        <v>4792.0531300000002</v>
      </c>
      <c r="AC19">
        <v>4790.9478200000003</v>
      </c>
      <c r="AD19">
        <v>0</v>
      </c>
      <c r="AE19">
        <f t="shared" si="5"/>
        <v>17</v>
      </c>
      <c r="AF19">
        <f t="shared" si="6"/>
        <v>16</v>
      </c>
      <c r="AG19">
        <f t="shared" si="0"/>
        <v>-23.058460000000196</v>
      </c>
      <c r="AH19">
        <f t="shared" si="1"/>
        <v>531.69257757160904</v>
      </c>
      <c r="AI19">
        <f t="shared" si="2"/>
        <v>-0.28203725613763631</v>
      </c>
      <c r="AJ19">
        <f t="shared" si="3"/>
        <v>0.18495893150557549</v>
      </c>
      <c r="AK19">
        <f t="shared" si="4"/>
        <v>256</v>
      </c>
      <c r="AL19">
        <f t="shared" si="7"/>
        <v>4788.1798699999999</v>
      </c>
      <c r="AM19" t="str">
        <f t="shared" si="8"/>
        <v/>
      </c>
    </row>
    <row r="20" spans="1:39" x14ac:dyDescent="0.55000000000000004">
      <c r="A20">
        <v>1776366902</v>
      </c>
      <c r="B20" t="s">
        <v>72</v>
      </c>
      <c r="C20" t="s">
        <v>73</v>
      </c>
      <c r="D20">
        <v>4790.76</v>
      </c>
      <c r="E20">
        <v>4518.5928199999998</v>
      </c>
      <c r="F20">
        <v>4596.0559499999999</v>
      </c>
      <c r="G20">
        <v>4755.40355</v>
      </c>
      <c r="H20">
        <v>4792.7697200000002</v>
      </c>
      <c r="Q20">
        <v>4812.8208599999998</v>
      </c>
      <c r="R20">
        <v>4842.1841599999998</v>
      </c>
      <c r="S20">
        <v>4868.7729300000001</v>
      </c>
      <c r="V20">
        <v>4777.8810899999999</v>
      </c>
      <c r="W20">
        <v>4744.3160900000003</v>
      </c>
      <c r="AB20">
        <v>4792.6697400000003</v>
      </c>
      <c r="AC20">
        <v>4791.8087800000003</v>
      </c>
      <c r="AD20">
        <v>0</v>
      </c>
      <c r="AE20">
        <f t="shared" si="5"/>
        <v>18</v>
      </c>
      <c r="AF20">
        <f t="shared" si="6"/>
        <v>17</v>
      </c>
      <c r="AG20">
        <f t="shared" si="0"/>
        <v>-22.060859999999593</v>
      </c>
      <c r="AH20">
        <f t="shared" si="1"/>
        <v>486.68154393958207</v>
      </c>
      <c r="AI20">
        <f t="shared" si="2"/>
        <v>-0.24699200760312079</v>
      </c>
      <c r="AJ20">
        <f t="shared" si="3"/>
        <v>0.15496865613230715</v>
      </c>
      <c r="AK20">
        <f t="shared" si="4"/>
        <v>289</v>
      </c>
      <c r="AL20">
        <f t="shared" si="7"/>
        <v>4788.1798699999999</v>
      </c>
      <c r="AM20" t="str">
        <f t="shared" si="8"/>
        <v/>
      </c>
    </row>
    <row r="21" spans="1:39" x14ac:dyDescent="0.55000000000000004">
      <c r="A21">
        <v>1776367802</v>
      </c>
      <c r="B21" t="s">
        <v>72</v>
      </c>
      <c r="C21" t="s">
        <v>73</v>
      </c>
      <c r="D21">
        <v>4797.59</v>
      </c>
      <c r="E21">
        <v>4518.5928199999998</v>
      </c>
      <c r="F21">
        <v>4596.0559499999999</v>
      </c>
      <c r="G21">
        <v>4755.40355</v>
      </c>
      <c r="H21">
        <v>4792.7697200000002</v>
      </c>
      <c r="Q21">
        <v>4812.5532499999999</v>
      </c>
      <c r="R21">
        <v>4841.9165499999999</v>
      </c>
      <c r="S21">
        <v>4868.5053200000002</v>
      </c>
      <c r="V21">
        <v>4777.61348</v>
      </c>
      <c r="W21">
        <v>4744.0484900000001</v>
      </c>
      <c r="AB21">
        <v>4792.8039099999996</v>
      </c>
      <c r="AC21">
        <v>4792.3063400000001</v>
      </c>
      <c r="AD21">
        <v>0</v>
      </c>
      <c r="AE21">
        <f t="shared" si="5"/>
        <v>19</v>
      </c>
      <c r="AF21">
        <f t="shared" si="6"/>
        <v>18</v>
      </c>
      <c r="AG21">
        <f t="shared" si="0"/>
        <v>-14.963249999999789</v>
      </c>
      <c r="AH21">
        <f t="shared" si="1"/>
        <v>223.89885056249369</v>
      </c>
      <c r="AI21">
        <f t="shared" si="2"/>
        <v>-7.707142351893545E-2</v>
      </c>
      <c r="AJ21">
        <f t="shared" si="3"/>
        <v>3.2798791399067759E-2</v>
      </c>
      <c r="AK21">
        <f t="shared" si="4"/>
        <v>324</v>
      </c>
      <c r="AL21">
        <f t="shared" si="7"/>
        <v>4788.1798699999999</v>
      </c>
      <c r="AM21" t="str">
        <f t="shared" si="8"/>
        <v/>
      </c>
    </row>
    <row r="22" spans="1:39" x14ac:dyDescent="0.55000000000000004">
      <c r="A22">
        <v>1776368702</v>
      </c>
      <c r="B22" t="s">
        <v>72</v>
      </c>
      <c r="C22" t="s">
        <v>73</v>
      </c>
      <c r="D22">
        <v>4793.5200000000004</v>
      </c>
      <c r="E22">
        <v>4518.5928199999998</v>
      </c>
      <c r="F22">
        <v>4596.0559499999999</v>
      </c>
      <c r="G22">
        <v>4755.40355</v>
      </c>
      <c r="H22">
        <v>4792.7697200000002</v>
      </c>
      <c r="Q22">
        <v>4812.2856499999998</v>
      </c>
      <c r="R22">
        <v>4841.6489499999998</v>
      </c>
      <c r="S22">
        <v>4868.2377200000001</v>
      </c>
      <c r="V22">
        <v>4777.3458799999999</v>
      </c>
      <c r="W22">
        <v>4743.7808800000003</v>
      </c>
      <c r="AB22">
        <v>4792.3835200000003</v>
      </c>
      <c r="AC22">
        <v>4792.3449300000002</v>
      </c>
      <c r="AD22">
        <v>0</v>
      </c>
      <c r="AE22">
        <f t="shared" si="5"/>
        <v>20</v>
      </c>
      <c r="AF22">
        <f t="shared" si="6"/>
        <v>19</v>
      </c>
      <c r="AG22">
        <f t="shared" si="0"/>
        <v>-18.765649999999368</v>
      </c>
      <c r="AH22">
        <f t="shared" si="1"/>
        <v>352.14961992247629</v>
      </c>
      <c r="AI22">
        <f t="shared" si="2"/>
        <v>-0.15202199253208729</v>
      </c>
      <c r="AJ22">
        <f t="shared" si="3"/>
        <v>8.1135059807547122E-2</v>
      </c>
      <c r="AK22">
        <f t="shared" si="4"/>
        <v>361</v>
      </c>
      <c r="AL22">
        <f t="shared" si="7"/>
        <v>4788.1798699999999</v>
      </c>
      <c r="AM22" t="str">
        <f t="shared" si="8"/>
        <v/>
      </c>
    </row>
    <row r="23" spans="1:39" x14ac:dyDescent="0.55000000000000004">
      <c r="A23">
        <v>1776369602</v>
      </c>
      <c r="B23" t="s">
        <v>72</v>
      </c>
      <c r="C23" t="s">
        <v>73</v>
      </c>
      <c r="D23">
        <v>4790.59</v>
      </c>
      <c r="E23">
        <v>4518.5928199999998</v>
      </c>
      <c r="F23">
        <v>4596.0559499999999</v>
      </c>
      <c r="G23">
        <v>4755.40355</v>
      </c>
      <c r="H23">
        <v>4792.7697200000002</v>
      </c>
      <c r="Q23">
        <v>4812.0180399999999</v>
      </c>
      <c r="R23">
        <v>4841.3813399999999</v>
      </c>
      <c r="S23">
        <v>4867.9701100000002</v>
      </c>
      <c r="V23">
        <v>4777.07827</v>
      </c>
      <c r="W23">
        <v>4743.5132800000001</v>
      </c>
      <c r="AB23">
        <v>4791.7371700000003</v>
      </c>
      <c r="AC23">
        <v>4792.0410499999998</v>
      </c>
      <c r="AD23">
        <v>1</v>
      </c>
      <c r="AE23">
        <f t="shared" si="5"/>
        <v>21</v>
      </c>
      <c r="AF23">
        <f t="shared" si="6"/>
        <v>20</v>
      </c>
      <c r="AG23">
        <f t="shared" si="0"/>
        <v>-21.428039999999783</v>
      </c>
      <c r="AH23">
        <f t="shared" si="1"/>
        <v>459.1608982415907</v>
      </c>
      <c r="AI23">
        <f t="shared" si="2"/>
        <v>-0.2263408433276464</v>
      </c>
      <c r="AJ23">
        <f t="shared" si="3"/>
        <v>0.13793799413080057</v>
      </c>
      <c r="AK23">
        <f t="shared" si="4"/>
        <v>400</v>
      </c>
      <c r="AL23">
        <f t="shared" si="7"/>
        <v>4791.7371700000003</v>
      </c>
      <c r="AM23">
        <f t="shared" si="8"/>
        <v>3.5573000000003958</v>
      </c>
    </row>
    <row r="24" spans="1:39" x14ac:dyDescent="0.55000000000000004">
      <c r="A24">
        <v>1776370502</v>
      </c>
      <c r="B24" t="s">
        <v>72</v>
      </c>
      <c r="C24" t="s">
        <v>73</v>
      </c>
      <c r="D24">
        <v>4789.04</v>
      </c>
      <c r="E24">
        <v>4518.5928199999998</v>
      </c>
      <c r="F24">
        <v>4596.0559499999999</v>
      </c>
      <c r="G24">
        <v>4755.40355</v>
      </c>
      <c r="H24">
        <v>4792.7697200000002</v>
      </c>
      <c r="Q24">
        <v>4811.7504399999998</v>
      </c>
      <c r="R24">
        <v>4841.1137399999998</v>
      </c>
      <c r="S24">
        <v>4867.7025100000001</v>
      </c>
      <c r="V24">
        <v>4776.8106699999998</v>
      </c>
      <c r="W24">
        <v>4743.2456700000002</v>
      </c>
      <c r="AB24">
        <v>4791.1858499999998</v>
      </c>
      <c r="AC24">
        <v>4791.6134499999998</v>
      </c>
      <c r="AD24">
        <v>0</v>
      </c>
      <c r="AE24">
        <f t="shared" si="5"/>
        <v>22</v>
      </c>
      <c r="AF24">
        <f t="shared" si="6"/>
        <v>21</v>
      </c>
      <c r="AG24">
        <f t="shared" si="0"/>
        <v>-22.710439999999835</v>
      </c>
      <c r="AH24">
        <f t="shared" si="1"/>
        <v>515.76408499359252</v>
      </c>
      <c r="AI24">
        <f t="shared" si="2"/>
        <v>-0.26945871222665463</v>
      </c>
      <c r="AJ24">
        <f t="shared" si="3"/>
        <v>0.17404289815962898</v>
      </c>
      <c r="AK24">
        <f t="shared" si="4"/>
        <v>441</v>
      </c>
      <c r="AL24">
        <f t="shared" si="7"/>
        <v>4791.7371700000003</v>
      </c>
      <c r="AM24" t="str">
        <f t="shared" si="8"/>
        <v/>
      </c>
    </row>
    <row r="25" spans="1:39" x14ac:dyDescent="0.55000000000000004">
      <c r="A25">
        <v>1776371402</v>
      </c>
      <c r="B25" t="s">
        <v>72</v>
      </c>
      <c r="C25" t="s">
        <v>73</v>
      </c>
      <c r="D25">
        <v>4788.68</v>
      </c>
      <c r="E25">
        <v>4518.5928199999998</v>
      </c>
      <c r="F25">
        <v>4596.0559499999999</v>
      </c>
      <c r="G25">
        <v>4755.40355</v>
      </c>
      <c r="H25">
        <v>4792.7697200000002</v>
      </c>
      <c r="Q25">
        <v>4811.4828399999997</v>
      </c>
      <c r="R25">
        <v>4840.8461399999997</v>
      </c>
      <c r="S25">
        <v>4867.4349099999999</v>
      </c>
      <c r="V25">
        <v>4776.5430699999997</v>
      </c>
      <c r="W25">
        <v>4742.9780700000001</v>
      </c>
      <c r="AB25">
        <v>4790.9850999999999</v>
      </c>
      <c r="AC25">
        <v>4791.2992700000004</v>
      </c>
      <c r="AD25">
        <v>0</v>
      </c>
      <c r="AE25">
        <f t="shared" si="5"/>
        <v>23</v>
      </c>
      <c r="AF25">
        <f t="shared" si="6"/>
        <v>22</v>
      </c>
      <c r="AG25">
        <f t="shared" si="0"/>
        <v>-22.802839999999378</v>
      </c>
      <c r="AH25">
        <f t="shared" si="1"/>
        <v>519.96951206557162</v>
      </c>
      <c r="AI25">
        <f t="shared" si="2"/>
        <v>-0.27276108188594711</v>
      </c>
      <c r="AJ25">
        <f t="shared" si="3"/>
        <v>0.17689268438429281</v>
      </c>
      <c r="AK25">
        <f t="shared" si="4"/>
        <v>484</v>
      </c>
      <c r="AL25">
        <f t="shared" si="7"/>
        <v>4791.7371700000003</v>
      </c>
      <c r="AM25" t="str">
        <f t="shared" si="8"/>
        <v/>
      </c>
    </row>
    <row r="26" spans="1:39" x14ac:dyDescent="0.55000000000000004">
      <c r="A26">
        <v>1776372302</v>
      </c>
      <c r="B26" t="s">
        <v>72</v>
      </c>
      <c r="C26" t="s">
        <v>73</v>
      </c>
      <c r="D26">
        <v>4790.84</v>
      </c>
      <c r="E26">
        <v>4518.5928199999998</v>
      </c>
      <c r="F26">
        <v>4596.0559499999999</v>
      </c>
      <c r="G26">
        <v>4755.40355</v>
      </c>
      <c r="H26">
        <v>4792.7697200000002</v>
      </c>
      <c r="Q26">
        <v>4811.2152299999998</v>
      </c>
      <c r="R26">
        <v>4840.5785299999998</v>
      </c>
      <c r="S26">
        <v>4867.1673000000001</v>
      </c>
      <c r="V26">
        <v>4776.2754599999998</v>
      </c>
      <c r="W26">
        <v>4742.71047</v>
      </c>
      <c r="AB26">
        <v>4791.2623000000003</v>
      </c>
      <c r="AC26">
        <v>4791.2807899999998</v>
      </c>
      <c r="AD26">
        <v>0</v>
      </c>
      <c r="AE26">
        <f t="shared" si="5"/>
        <v>24</v>
      </c>
      <c r="AF26">
        <f t="shared" si="6"/>
        <v>23</v>
      </c>
      <c r="AG26">
        <f t="shared" si="0"/>
        <v>-20.375229999999647</v>
      </c>
      <c r="AH26">
        <f t="shared" si="1"/>
        <v>415.14999755288562</v>
      </c>
      <c r="AI26">
        <f t="shared" si="2"/>
        <v>-0.19459117659465883</v>
      </c>
      <c r="AJ26">
        <f t="shared" si="3"/>
        <v>0.11276236919575124</v>
      </c>
      <c r="AK26">
        <f t="shared" si="4"/>
        <v>529</v>
      </c>
      <c r="AL26">
        <f t="shared" si="7"/>
        <v>4791.7371700000003</v>
      </c>
      <c r="AM26" t="str">
        <f t="shared" si="8"/>
        <v/>
      </c>
    </row>
    <row r="27" spans="1:39" x14ac:dyDescent="0.55000000000000004">
      <c r="A27">
        <v>1776376802</v>
      </c>
      <c r="B27" t="s">
        <v>72</v>
      </c>
      <c r="C27" t="s">
        <v>73</v>
      </c>
      <c r="D27">
        <v>4795.24</v>
      </c>
      <c r="E27">
        <v>4518.5928199999998</v>
      </c>
      <c r="F27">
        <v>4596.0559499999999</v>
      </c>
      <c r="G27">
        <v>4755.40355</v>
      </c>
      <c r="H27">
        <v>4792.7697200000002</v>
      </c>
      <c r="Q27">
        <v>4810.9476299999997</v>
      </c>
      <c r="R27">
        <v>4840.3109299999996</v>
      </c>
      <c r="S27">
        <v>4866.8996999999999</v>
      </c>
      <c r="V27">
        <v>4776.0078599999997</v>
      </c>
      <c r="W27">
        <v>4742.4428600000001</v>
      </c>
      <c r="AB27">
        <v>4791.9693100000004</v>
      </c>
      <c r="AC27">
        <v>4791.6250499999996</v>
      </c>
      <c r="AD27">
        <v>1</v>
      </c>
      <c r="AE27">
        <f t="shared" si="5"/>
        <v>25</v>
      </c>
      <c r="AF27">
        <f t="shared" si="6"/>
        <v>24</v>
      </c>
      <c r="AG27">
        <f t="shared" si="0"/>
        <v>-15.707629999999881</v>
      </c>
      <c r="AH27">
        <f t="shared" si="1"/>
        <v>246.72964021689626</v>
      </c>
      <c r="AI27">
        <f t="shared" si="2"/>
        <v>-8.9155383542337388E-2</v>
      </c>
      <c r="AJ27">
        <f t="shared" si="3"/>
        <v>3.982875797701952E-2</v>
      </c>
      <c r="AK27">
        <f t="shared" si="4"/>
        <v>576</v>
      </c>
      <c r="AL27">
        <f t="shared" si="7"/>
        <v>4791.9693100000004</v>
      </c>
      <c r="AM27">
        <f t="shared" si="8"/>
        <v>0.23214000000007218</v>
      </c>
    </row>
    <row r="28" spans="1:39" x14ac:dyDescent="0.55000000000000004">
      <c r="A28">
        <v>1776377702</v>
      </c>
      <c r="B28" t="s">
        <v>72</v>
      </c>
      <c r="C28" t="s">
        <v>73</v>
      </c>
      <c r="D28">
        <v>4794</v>
      </c>
      <c r="E28">
        <v>4518.5928199999998</v>
      </c>
      <c r="F28">
        <v>4596.0559499999999</v>
      </c>
      <c r="G28">
        <v>4755.40355</v>
      </c>
      <c r="H28">
        <v>4792.7697200000002</v>
      </c>
      <c r="Q28">
        <v>4810.6800199999998</v>
      </c>
      <c r="R28">
        <v>4840.0433199999998</v>
      </c>
      <c r="S28">
        <v>4866.6320900000001</v>
      </c>
      <c r="V28">
        <v>4775.7402499999998</v>
      </c>
      <c r="W28">
        <v>4742.17526</v>
      </c>
      <c r="AB28">
        <v>4792.9004999999997</v>
      </c>
      <c r="AC28">
        <v>4792.2627700000003</v>
      </c>
      <c r="AD28">
        <v>0</v>
      </c>
      <c r="AE28">
        <f t="shared" si="5"/>
        <v>26</v>
      </c>
      <c r="AF28">
        <f t="shared" si="6"/>
        <v>25</v>
      </c>
      <c r="AG28">
        <f t="shared" si="0"/>
        <v>-16.680019999999786</v>
      </c>
      <c r="AH28">
        <f t="shared" si="1"/>
        <v>278.22306720039285</v>
      </c>
      <c r="AI28">
        <f t="shared" si="2"/>
        <v>-0.10675919381975328</v>
      </c>
      <c r="AJ28">
        <f t="shared" si="3"/>
        <v>5.064544375855333E-2</v>
      </c>
      <c r="AK28">
        <f t="shared" si="4"/>
        <v>625</v>
      </c>
      <c r="AL28">
        <f t="shared" si="7"/>
        <v>4791.9693100000004</v>
      </c>
      <c r="AM28" t="str">
        <f t="shared" si="8"/>
        <v/>
      </c>
    </row>
    <row r="29" spans="1:39" x14ac:dyDescent="0.55000000000000004">
      <c r="A29">
        <v>1776378602</v>
      </c>
      <c r="B29" t="s">
        <v>72</v>
      </c>
      <c r="C29" t="s">
        <v>73</v>
      </c>
      <c r="D29">
        <v>4795.5</v>
      </c>
      <c r="E29">
        <v>4518.5928199999998</v>
      </c>
      <c r="F29">
        <v>4596.0559499999999</v>
      </c>
      <c r="G29">
        <v>4755.40355</v>
      </c>
      <c r="H29">
        <v>4792.7697200000002</v>
      </c>
      <c r="Q29">
        <v>4810.4124199999997</v>
      </c>
      <c r="R29">
        <v>4839.7757199999996</v>
      </c>
      <c r="S29">
        <v>4866.3644899999999</v>
      </c>
      <c r="V29">
        <v>4775.4726499999997</v>
      </c>
      <c r="W29">
        <v>4741.9076500000001</v>
      </c>
      <c r="AB29">
        <v>4793.9703600000003</v>
      </c>
      <c r="AC29">
        <v>4793.1165700000001</v>
      </c>
      <c r="AD29">
        <v>0</v>
      </c>
      <c r="AE29">
        <f t="shared" si="5"/>
        <v>27</v>
      </c>
      <c r="AF29">
        <f t="shared" si="6"/>
        <v>26</v>
      </c>
      <c r="AG29">
        <f t="shared" si="0"/>
        <v>-14.912419999999656</v>
      </c>
      <c r="AH29">
        <f t="shared" si="1"/>
        <v>222.38027025638974</v>
      </c>
      <c r="AI29">
        <f t="shared" si="2"/>
        <v>-7.6288656202336685E-2</v>
      </c>
      <c r="AJ29">
        <f t="shared" si="3"/>
        <v>3.2355388585190714E-2</v>
      </c>
      <c r="AK29">
        <f t="shared" si="4"/>
        <v>676</v>
      </c>
      <c r="AL29">
        <f t="shared" si="7"/>
        <v>4791.9693100000004</v>
      </c>
      <c r="AM29" t="str">
        <f t="shared" si="8"/>
        <v/>
      </c>
    </row>
    <row r="30" spans="1:39" x14ac:dyDescent="0.55000000000000004">
      <c r="A30">
        <v>1776379502</v>
      </c>
      <c r="B30" t="s">
        <v>72</v>
      </c>
      <c r="C30" t="s">
        <v>73</v>
      </c>
      <c r="D30">
        <v>4795.41</v>
      </c>
      <c r="E30">
        <v>4518.5928199999998</v>
      </c>
      <c r="F30">
        <v>4596.0559499999999</v>
      </c>
      <c r="G30">
        <v>4755.40355</v>
      </c>
      <c r="H30">
        <v>4792.7697200000002</v>
      </c>
      <c r="Q30">
        <v>4810.1448200000004</v>
      </c>
      <c r="R30">
        <v>4839.5081200000004</v>
      </c>
      <c r="S30">
        <v>4866.0968899999998</v>
      </c>
      <c r="V30">
        <v>4775.2050499999996</v>
      </c>
      <c r="W30">
        <v>4741.64005</v>
      </c>
      <c r="AB30">
        <v>4794.94128</v>
      </c>
      <c r="AC30">
        <v>4794.0289199999997</v>
      </c>
      <c r="AD30">
        <v>0</v>
      </c>
      <c r="AE30">
        <f t="shared" si="5"/>
        <v>28</v>
      </c>
      <c r="AF30">
        <f t="shared" si="6"/>
        <v>27</v>
      </c>
      <c r="AG30">
        <f t="shared" si="0"/>
        <v>-14.734820000000582</v>
      </c>
      <c r="AH30">
        <f t="shared" si="1"/>
        <v>217.11492043241714</v>
      </c>
      <c r="AI30">
        <f t="shared" si="2"/>
        <v>-7.3595301558053675E-2</v>
      </c>
      <c r="AJ30">
        <f t="shared" si="3"/>
        <v>3.0841355135416419E-2</v>
      </c>
      <c r="AK30">
        <f t="shared" si="4"/>
        <v>729</v>
      </c>
      <c r="AL30">
        <f t="shared" si="7"/>
        <v>4791.9693100000004</v>
      </c>
      <c r="AM30" t="str">
        <f t="shared" si="8"/>
        <v/>
      </c>
    </row>
    <row r="31" spans="1:39" x14ac:dyDescent="0.55000000000000004">
      <c r="A31">
        <v>1776380402</v>
      </c>
      <c r="B31" t="s">
        <v>72</v>
      </c>
      <c r="C31" t="s">
        <v>73</v>
      </c>
      <c r="D31">
        <v>4793.16</v>
      </c>
      <c r="E31">
        <v>4518.5928199999998</v>
      </c>
      <c r="F31">
        <v>4596.0559499999999</v>
      </c>
      <c r="G31">
        <v>4755.40355</v>
      </c>
      <c r="H31">
        <v>4792.7697200000002</v>
      </c>
      <c r="Q31">
        <v>4809.8772099999996</v>
      </c>
      <c r="R31">
        <v>4839.2405099999996</v>
      </c>
      <c r="S31">
        <v>4865.8292799999999</v>
      </c>
      <c r="V31">
        <v>4774.9374399999997</v>
      </c>
      <c r="W31">
        <v>4741.3724499999998</v>
      </c>
      <c r="AB31">
        <v>4795.6188199999997</v>
      </c>
      <c r="AC31">
        <v>4794.8238700000002</v>
      </c>
      <c r="AD31">
        <v>0</v>
      </c>
      <c r="AE31">
        <f t="shared" si="5"/>
        <v>29</v>
      </c>
      <c r="AF31">
        <f t="shared" si="6"/>
        <v>28</v>
      </c>
      <c r="AG31">
        <f t="shared" si="0"/>
        <v>-16.717209999999795</v>
      </c>
      <c r="AH31">
        <f t="shared" si="1"/>
        <v>279.46511018409313</v>
      </c>
      <c r="AI31">
        <f t="shared" si="2"/>
        <v>-0.10747488242172773</v>
      </c>
      <c r="AJ31">
        <f t="shared" si="3"/>
        <v>5.1098635697485434E-2</v>
      </c>
      <c r="AK31">
        <f t="shared" si="4"/>
        <v>784</v>
      </c>
      <c r="AL31">
        <f t="shared" si="7"/>
        <v>4791.9693100000004</v>
      </c>
      <c r="AM31" t="str">
        <f t="shared" si="8"/>
        <v/>
      </c>
    </row>
    <row r="32" spans="1:39" x14ac:dyDescent="0.55000000000000004">
      <c r="A32">
        <v>1776381302</v>
      </c>
      <c r="B32" t="s">
        <v>72</v>
      </c>
      <c r="C32" t="s">
        <v>73</v>
      </c>
      <c r="D32">
        <v>4794.46</v>
      </c>
      <c r="E32">
        <v>4518.5928199999998</v>
      </c>
      <c r="F32">
        <v>4596.0559499999999</v>
      </c>
      <c r="G32">
        <v>4755.40355</v>
      </c>
      <c r="H32">
        <v>4792.7697200000002</v>
      </c>
      <c r="Q32">
        <v>4809.6096100000004</v>
      </c>
      <c r="R32">
        <v>4838.9729100000004</v>
      </c>
      <c r="S32">
        <v>4865.5616799999998</v>
      </c>
      <c r="V32">
        <v>4774.6698399999996</v>
      </c>
      <c r="W32">
        <v>4741.10484</v>
      </c>
      <c r="AB32">
        <v>4795.90128</v>
      </c>
      <c r="AC32">
        <v>4795.36258</v>
      </c>
      <c r="AD32">
        <v>0</v>
      </c>
      <c r="AE32">
        <f t="shared" si="5"/>
        <v>30</v>
      </c>
      <c r="AF32">
        <f t="shared" si="6"/>
        <v>29</v>
      </c>
      <c r="AG32">
        <f t="shared" si="0"/>
        <v>-15.149610000000393</v>
      </c>
      <c r="AH32">
        <f t="shared" si="1"/>
        <v>229.51068315211191</v>
      </c>
      <c r="AI32">
        <f t="shared" si="2"/>
        <v>-7.9987098459544895E-2</v>
      </c>
      <c r="AJ32">
        <f t="shared" si="3"/>
        <v>3.4463543099392653E-2</v>
      </c>
      <c r="AK32">
        <f t="shared" si="4"/>
        <v>841</v>
      </c>
      <c r="AL32">
        <f t="shared" si="7"/>
        <v>4791.9693100000004</v>
      </c>
      <c r="AM32" t="str">
        <f t="shared" si="8"/>
        <v/>
      </c>
    </row>
    <row r="33" spans="1:39" x14ac:dyDescent="0.55000000000000004">
      <c r="A33">
        <v>1776382202</v>
      </c>
      <c r="B33" t="s">
        <v>72</v>
      </c>
      <c r="C33" t="s">
        <v>73</v>
      </c>
      <c r="D33">
        <v>4795.82</v>
      </c>
      <c r="E33">
        <v>4518.5928199999998</v>
      </c>
      <c r="F33">
        <v>4596.0559499999999</v>
      </c>
      <c r="G33">
        <v>4755.40355</v>
      </c>
      <c r="H33">
        <v>4792.7697200000002</v>
      </c>
      <c r="Q33">
        <v>4809.3419999999996</v>
      </c>
      <c r="R33">
        <v>4838.7052999999996</v>
      </c>
      <c r="S33">
        <v>4865.2940699999999</v>
      </c>
      <c r="V33">
        <v>4774.4022299999997</v>
      </c>
      <c r="W33">
        <v>4740.8372399999998</v>
      </c>
      <c r="AB33">
        <v>4795.6181500000002</v>
      </c>
      <c r="AC33">
        <v>4795.4903599999998</v>
      </c>
      <c r="AD33">
        <v>0</v>
      </c>
      <c r="AE33">
        <f t="shared" si="5"/>
        <v>31</v>
      </c>
      <c r="AF33">
        <f t="shared" si="6"/>
        <v>30</v>
      </c>
      <c r="AG33">
        <f t="shared" si="0"/>
        <v>-13.521999999999935</v>
      </c>
      <c r="AH33">
        <f t="shared" si="1"/>
        <v>182.84448399999823</v>
      </c>
      <c r="AI33">
        <f t="shared" si="2"/>
        <v>-5.6877222377045136E-2</v>
      </c>
      <c r="AJ33">
        <f t="shared" si="3"/>
        <v>2.1873477767069344E-2</v>
      </c>
      <c r="AK33">
        <f t="shared" si="4"/>
        <v>900</v>
      </c>
      <c r="AL33">
        <f t="shared" si="7"/>
        <v>4791.9693100000004</v>
      </c>
      <c r="AM33" t="str">
        <f t="shared" si="8"/>
        <v/>
      </c>
    </row>
    <row r="34" spans="1:39" x14ac:dyDescent="0.55000000000000004">
      <c r="A34">
        <v>1776383102</v>
      </c>
      <c r="B34" t="s">
        <v>72</v>
      </c>
      <c r="C34" t="s">
        <v>73</v>
      </c>
      <c r="D34">
        <v>4792.13</v>
      </c>
      <c r="E34">
        <v>4518.5928199999998</v>
      </c>
      <c r="F34">
        <v>4596.0559499999999</v>
      </c>
      <c r="G34">
        <v>4755.40355</v>
      </c>
      <c r="H34">
        <v>4792.7697200000002</v>
      </c>
      <c r="Q34">
        <v>4809.0744000000004</v>
      </c>
      <c r="R34">
        <v>4838.4377000000004</v>
      </c>
      <c r="S34">
        <v>4865.0264699999998</v>
      </c>
      <c r="V34">
        <v>4774.1346299999996</v>
      </c>
      <c r="W34">
        <v>4740.56963</v>
      </c>
      <c r="AB34">
        <v>4794.6350000000002</v>
      </c>
      <c r="AC34">
        <v>4795.06268</v>
      </c>
      <c r="AD34">
        <v>1</v>
      </c>
      <c r="AE34">
        <f t="shared" si="5"/>
        <v>32</v>
      </c>
      <c r="AF34">
        <f t="shared" si="6"/>
        <v>31</v>
      </c>
      <c r="AG34">
        <f t="shared" si="0"/>
        <v>-16.944400000000314</v>
      </c>
      <c r="AH34">
        <f t="shared" si="1"/>
        <v>287.11269136001067</v>
      </c>
      <c r="AI34">
        <f t="shared" si="2"/>
        <v>-0.11191651287080907</v>
      </c>
      <c r="AJ34">
        <f t="shared" si="3"/>
        <v>5.3933535822586164E-2</v>
      </c>
      <c r="AK34">
        <f t="shared" si="4"/>
        <v>961</v>
      </c>
      <c r="AL34">
        <f t="shared" si="7"/>
        <v>4794.6350000000002</v>
      </c>
      <c r="AM34">
        <f t="shared" si="8"/>
        <v>2.6656899999998132</v>
      </c>
    </row>
    <row r="35" spans="1:39" x14ac:dyDescent="0.55000000000000004">
      <c r="A35">
        <v>1776384002</v>
      </c>
      <c r="B35" t="s">
        <v>72</v>
      </c>
      <c r="C35" t="s">
        <v>73</v>
      </c>
      <c r="D35">
        <v>4790.3999999999996</v>
      </c>
      <c r="E35">
        <v>4518.5928199999998</v>
      </c>
      <c r="F35">
        <v>4596.0559499999999</v>
      </c>
      <c r="G35">
        <v>4755.40355</v>
      </c>
      <c r="H35">
        <v>4792.7697200000002</v>
      </c>
      <c r="Q35">
        <v>4808.8068000000003</v>
      </c>
      <c r="R35">
        <v>4838.1700899999996</v>
      </c>
      <c r="S35">
        <v>4864.7588699999997</v>
      </c>
      <c r="V35">
        <v>4773.8670300000003</v>
      </c>
      <c r="W35">
        <v>4740.3020299999998</v>
      </c>
      <c r="AB35">
        <v>4793.0890099999997</v>
      </c>
      <c r="AC35">
        <v>4794.0758400000004</v>
      </c>
      <c r="AD35">
        <v>0</v>
      </c>
      <c r="AE35">
        <f t="shared" si="5"/>
        <v>33</v>
      </c>
      <c r="AF35">
        <f t="shared" si="6"/>
        <v>32</v>
      </c>
      <c r="AG35">
        <f t="shared" si="0"/>
        <v>-18.406800000000658</v>
      </c>
      <c r="AH35">
        <f t="shared" si="1"/>
        <v>338.8102862400242</v>
      </c>
      <c r="AI35">
        <f t="shared" si="2"/>
        <v>-0.14346648729957689</v>
      </c>
      <c r="AJ35">
        <f t="shared" si="3"/>
        <v>7.510472955843181E-2</v>
      </c>
      <c r="AK35">
        <f t="shared" si="4"/>
        <v>1024</v>
      </c>
      <c r="AL35">
        <f t="shared" si="7"/>
        <v>4794.6350000000002</v>
      </c>
      <c r="AM35" t="str">
        <f t="shared" si="8"/>
        <v/>
      </c>
    </row>
    <row r="36" spans="1:39" x14ac:dyDescent="0.55000000000000004">
      <c r="A36">
        <v>1776384902</v>
      </c>
      <c r="B36" t="s">
        <v>72</v>
      </c>
      <c r="C36" t="s">
        <v>73</v>
      </c>
      <c r="D36">
        <v>4792.8599999999997</v>
      </c>
      <c r="E36">
        <v>4518.5928199999998</v>
      </c>
      <c r="F36">
        <v>4596.0559499999999</v>
      </c>
      <c r="G36">
        <v>4755.40355</v>
      </c>
      <c r="H36">
        <v>4792.7697200000002</v>
      </c>
      <c r="Q36">
        <v>4808.5391900000004</v>
      </c>
      <c r="R36">
        <v>4837.9024900000004</v>
      </c>
      <c r="S36">
        <v>4864.4912599999998</v>
      </c>
      <c r="V36">
        <v>4773.5994199999996</v>
      </c>
      <c r="W36">
        <v>4740.0344299999997</v>
      </c>
      <c r="AB36">
        <v>4791.1593599999997</v>
      </c>
      <c r="AC36">
        <v>4792.6175999999996</v>
      </c>
      <c r="AD36">
        <v>0</v>
      </c>
      <c r="AE36">
        <f t="shared" si="5"/>
        <v>34</v>
      </c>
      <c r="AF36">
        <f t="shared" si="6"/>
        <v>33</v>
      </c>
      <c r="AG36">
        <f t="shared" si="0"/>
        <v>-15.679190000000744</v>
      </c>
      <c r="AH36">
        <f t="shared" si="1"/>
        <v>245.83699905612335</v>
      </c>
      <c r="AI36">
        <f t="shared" si="2"/>
        <v>-8.8671989612703853E-2</v>
      </c>
      <c r="AJ36">
        <f t="shared" si="3"/>
        <v>3.954108702148483E-2</v>
      </c>
      <c r="AK36">
        <f t="shared" si="4"/>
        <v>1089</v>
      </c>
      <c r="AL36">
        <f t="shared" si="7"/>
        <v>4794.6350000000002</v>
      </c>
      <c r="AM36" t="str">
        <f t="shared" si="8"/>
        <v/>
      </c>
    </row>
    <row r="37" spans="1:39" x14ac:dyDescent="0.55000000000000004">
      <c r="A37">
        <v>1776385802</v>
      </c>
      <c r="B37" t="s">
        <v>72</v>
      </c>
      <c r="C37" t="s">
        <v>73</v>
      </c>
      <c r="D37">
        <v>4798.3999999999996</v>
      </c>
      <c r="E37">
        <v>4518.5928199999998</v>
      </c>
      <c r="F37">
        <v>4596.0559499999999</v>
      </c>
      <c r="G37">
        <v>4755.40355</v>
      </c>
      <c r="H37">
        <v>4792.7697200000002</v>
      </c>
      <c r="Q37">
        <v>4808.2715900000003</v>
      </c>
      <c r="R37">
        <v>4837.6348900000003</v>
      </c>
      <c r="S37">
        <v>4864.2236599999997</v>
      </c>
      <c r="V37">
        <v>4773.3318200000003</v>
      </c>
      <c r="W37">
        <v>4739.7668199999998</v>
      </c>
      <c r="AB37">
        <v>4788.9594500000003</v>
      </c>
      <c r="AC37">
        <v>4790.7885200000001</v>
      </c>
      <c r="AD37">
        <v>0</v>
      </c>
      <c r="AE37">
        <f t="shared" si="5"/>
        <v>35</v>
      </c>
      <c r="AF37">
        <f t="shared" si="6"/>
        <v>34</v>
      </c>
      <c r="AG37">
        <f t="shared" si="0"/>
        <v>-9.8715900000006513</v>
      </c>
      <c r="AH37">
        <f t="shared" si="1"/>
        <v>97.448289128112862</v>
      </c>
      <c r="AI37">
        <f t="shared" si="2"/>
        <v>-2.2129770630130791E-2</v>
      </c>
      <c r="AJ37">
        <f t="shared" si="3"/>
        <v>6.21301711721219E-3</v>
      </c>
      <c r="AK37">
        <f t="shared" si="4"/>
        <v>1156</v>
      </c>
      <c r="AL37">
        <f t="shared" si="7"/>
        <v>4794.6350000000002</v>
      </c>
      <c r="AM37" t="str">
        <f t="shared" si="8"/>
        <v/>
      </c>
    </row>
    <row r="38" spans="1:39" x14ac:dyDescent="0.55000000000000004">
      <c r="A38">
        <v>1776386702</v>
      </c>
      <c r="B38" t="s">
        <v>72</v>
      </c>
      <c r="C38" t="s">
        <v>73</v>
      </c>
      <c r="D38">
        <v>4794.8999999999996</v>
      </c>
      <c r="E38">
        <v>4518.5928199999998</v>
      </c>
      <c r="F38">
        <v>4596.0559499999999</v>
      </c>
      <c r="G38">
        <v>4755.40355</v>
      </c>
      <c r="H38">
        <v>4792.7697200000002</v>
      </c>
      <c r="Q38">
        <v>4808.0039800000004</v>
      </c>
      <c r="R38">
        <v>4837.3672800000004</v>
      </c>
      <c r="S38">
        <v>4863.9560499999998</v>
      </c>
      <c r="V38">
        <v>4773.0642099999995</v>
      </c>
      <c r="W38">
        <v>4739.4992199999997</v>
      </c>
      <c r="AB38">
        <v>4786.5853500000003</v>
      </c>
      <c r="AC38">
        <v>4788.6869399999996</v>
      </c>
      <c r="AD38">
        <v>0</v>
      </c>
      <c r="AE38">
        <f t="shared" si="5"/>
        <v>36</v>
      </c>
      <c r="AF38">
        <f t="shared" si="6"/>
        <v>35</v>
      </c>
      <c r="AG38">
        <f t="shared" si="0"/>
        <v>-13.103980000000774</v>
      </c>
      <c r="AH38">
        <f t="shared" si="1"/>
        <v>171.71429184042029</v>
      </c>
      <c r="AI38">
        <f t="shared" si="2"/>
        <v>-5.1763692568218646E-2</v>
      </c>
      <c r="AJ38">
        <f t="shared" si="3"/>
        <v>1.9291544493918823E-2</v>
      </c>
      <c r="AK38">
        <f t="shared" si="4"/>
        <v>1225</v>
      </c>
      <c r="AL38">
        <f t="shared" si="7"/>
        <v>4794.6350000000002</v>
      </c>
      <c r="AM38" t="str">
        <f t="shared" si="8"/>
        <v/>
      </c>
    </row>
    <row r="39" spans="1:39" x14ac:dyDescent="0.55000000000000004">
      <c r="A39">
        <v>1776387602</v>
      </c>
      <c r="B39" t="s">
        <v>72</v>
      </c>
      <c r="C39" t="s">
        <v>73</v>
      </c>
      <c r="D39">
        <v>4779.32</v>
      </c>
      <c r="E39">
        <v>4518.5928199999998</v>
      </c>
      <c r="F39">
        <v>4596.0559499999999</v>
      </c>
      <c r="G39">
        <v>4755.40355</v>
      </c>
      <c r="H39">
        <v>4792.7697200000002</v>
      </c>
      <c r="Q39">
        <v>4807.7363800000003</v>
      </c>
      <c r="R39">
        <v>4837.0996800000003</v>
      </c>
      <c r="S39">
        <v>4863.6884499999996</v>
      </c>
      <c r="V39">
        <v>4772.7966100000003</v>
      </c>
      <c r="W39">
        <v>4739.2316099999998</v>
      </c>
      <c r="AB39">
        <v>4784.4296000000004</v>
      </c>
      <c r="AC39">
        <v>4786.5582700000004</v>
      </c>
      <c r="AD39">
        <v>0</v>
      </c>
      <c r="AE39">
        <f t="shared" si="5"/>
        <v>37</v>
      </c>
      <c r="AF39">
        <f t="shared" si="6"/>
        <v>36</v>
      </c>
      <c r="AG39">
        <f t="shared" si="0"/>
        <v>-28.416380000000572</v>
      </c>
      <c r="AH39">
        <f t="shared" si="1"/>
        <v>807.4906523044325</v>
      </c>
      <c r="AI39">
        <f t="shared" si="2"/>
        <v>-0.52786375132200414</v>
      </c>
      <c r="AJ39">
        <f t="shared" si="3"/>
        <v>0.42660812219683897</v>
      </c>
      <c r="AK39">
        <f t="shared" si="4"/>
        <v>1296</v>
      </c>
      <c r="AL39">
        <f t="shared" si="7"/>
        <v>4794.6350000000002</v>
      </c>
      <c r="AM39" t="str">
        <f t="shared" si="8"/>
        <v/>
      </c>
    </row>
    <row r="40" spans="1:39" x14ac:dyDescent="0.55000000000000004">
      <c r="A40">
        <v>1776388502</v>
      </c>
      <c r="B40" t="s">
        <v>72</v>
      </c>
      <c r="C40" t="s">
        <v>73</v>
      </c>
      <c r="D40">
        <v>4769.01</v>
      </c>
      <c r="E40">
        <v>4518.5928199999998</v>
      </c>
      <c r="F40">
        <v>4596.0559499999999</v>
      </c>
      <c r="G40">
        <v>4755.40355</v>
      </c>
      <c r="H40">
        <v>4792.7697200000002</v>
      </c>
      <c r="Q40">
        <v>4807.4687800000002</v>
      </c>
      <c r="R40">
        <v>4836.8320700000004</v>
      </c>
      <c r="S40">
        <v>4863.4208500000004</v>
      </c>
      <c r="V40">
        <v>4772.5290100000002</v>
      </c>
      <c r="W40">
        <v>4738.9640099999997</v>
      </c>
      <c r="AB40">
        <v>4783.1760400000003</v>
      </c>
      <c r="AC40">
        <v>4784.86715</v>
      </c>
      <c r="AD40">
        <v>0</v>
      </c>
      <c r="AE40">
        <f t="shared" si="5"/>
        <v>38</v>
      </c>
      <c r="AF40">
        <f t="shared" si="6"/>
        <v>37</v>
      </c>
      <c r="AG40">
        <f t="shared" si="0"/>
        <v>-38.458779999999933</v>
      </c>
      <c r="AH40">
        <f t="shared" si="1"/>
        <v>1479.0777590883949</v>
      </c>
      <c r="AI40">
        <f t="shared" si="2"/>
        <v>-1.3085854719953585</v>
      </c>
      <c r="AJ40">
        <f t="shared" si="3"/>
        <v>1.4313179768426016</v>
      </c>
      <c r="AK40">
        <f t="shared" si="4"/>
        <v>1369</v>
      </c>
      <c r="AL40">
        <f t="shared" si="7"/>
        <v>4794.6350000000002</v>
      </c>
      <c r="AM40" t="str">
        <f t="shared" si="8"/>
        <v/>
      </c>
    </row>
    <row r="41" spans="1:39" x14ac:dyDescent="0.55000000000000004">
      <c r="A41">
        <v>1776389402</v>
      </c>
      <c r="B41" t="s">
        <v>72</v>
      </c>
      <c r="C41" t="s">
        <v>73</v>
      </c>
      <c r="D41">
        <v>4777.87</v>
      </c>
      <c r="E41">
        <v>4518.5928199999998</v>
      </c>
      <c r="F41">
        <v>4596.0559499999999</v>
      </c>
      <c r="G41">
        <v>4755.40355</v>
      </c>
      <c r="H41">
        <v>4792.7697200000002</v>
      </c>
      <c r="Q41">
        <v>4807.2011700000003</v>
      </c>
      <c r="R41">
        <v>4836.5644700000003</v>
      </c>
      <c r="S41">
        <v>4863.1532399999996</v>
      </c>
      <c r="V41">
        <v>4772.2614000000003</v>
      </c>
      <c r="W41">
        <v>4738.6963999999998</v>
      </c>
      <c r="AA41">
        <v>4768.07</v>
      </c>
      <c r="AB41">
        <v>4783.2232000000004</v>
      </c>
      <c r="AC41">
        <v>4784.0451800000001</v>
      </c>
      <c r="AD41">
        <v>0</v>
      </c>
      <c r="AE41">
        <f t="shared" si="5"/>
        <v>39</v>
      </c>
      <c r="AF41">
        <f t="shared" si="6"/>
        <v>38</v>
      </c>
      <c r="AG41">
        <f t="shared" si="0"/>
        <v>-29.331170000000384</v>
      </c>
      <c r="AH41">
        <f t="shared" si="1"/>
        <v>860.3175335689225</v>
      </c>
      <c r="AI41">
        <f t="shared" si="2"/>
        <v>-0.5805020337254595</v>
      </c>
      <c r="AJ41">
        <f t="shared" si="3"/>
        <v>0.48425226505172853</v>
      </c>
      <c r="AK41">
        <f t="shared" si="4"/>
        <v>1444</v>
      </c>
      <c r="AL41">
        <f t="shared" si="7"/>
        <v>4794.6350000000002</v>
      </c>
      <c r="AM41" t="str">
        <f t="shared" si="8"/>
        <v/>
      </c>
    </row>
    <row r="42" spans="1:39" x14ac:dyDescent="0.55000000000000004">
      <c r="A42">
        <v>1776390302</v>
      </c>
      <c r="B42" t="s">
        <v>72</v>
      </c>
      <c r="C42" t="s">
        <v>73</v>
      </c>
      <c r="D42">
        <v>4789.4799999999996</v>
      </c>
      <c r="E42">
        <v>4518.5928199999998</v>
      </c>
      <c r="F42">
        <v>4596.0559499999999</v>
      </c>
      <c r="G42">
        <v>4755.40355</v>
      </c>
      <c r="H42">
        <v>4792.7697200000002</v>
      </c>
      <c r="Q42">
        <v>4806.9335700000001</v>
      </c>
      <c r="R42">
        <v>4836.2968700000001</v>
      </c>
      <c r="S42">
        <v>4862.8856400000004</v>
      </c>
      <c r="V42">
        <v>4771.9938000000002</v>
      </c>
      <c r="W42">
        <v>4738.4287999999997</v>
      </c>
      <c r="AB42">
        <v>4784.2445299999999</v>
      </c>
      <c r="AC42">
        <v>4784.1448600000003</v>
      </c>
      <c r="AD42">
        <v>1</v>
      </c>
      <c r="AE42">
        <f t="shared" si="5"/>
        <v>40</v>
      </c>
      <c r="AF42">
        <f t="shared" si="6"/>
        <v>39</v>
      </c>
      <c r="AG42">
        <f t="shared" si="0"/>
        <v>-17.453570000000582</v>
      </c>
      <c r="AH42">
        <f t="shared" si="1"/>
        <v>304.6271057449203</v>
      </c>
      <c r="AI42">
        <f t="shared" si="2"/>
        <v>-0.12231181222169576</v>
      </c>
      <c r="AJ42">
        <f t="shared" si="3"/>
        <v>6.0714329215644382E-2</v>
      </c>
      <c r="AK42">
        <f t="shared" si="4"/>
        <v>1521</v>
      </c>
      <c r="AL42">
        <f t="shared" si="7"/>
        <v>4784.2445299999999</v>
      </c>
      <c r="AM42">
        <f t="shared" si="8"/>
        <v>10.390470000000278</v>
      </c>
    </row>
    <row r="43" spans="1:39" x14ac:dyDescent="0.55000000000000004">
      <c r="A43">
        <v>1776391202</v>
      </c>
      <c r="B43" t="s">
        <v>72</v>
      </c>
      <c r="C43" t="s">
        <v>73</v>
      </c>
      <c r="D43">
        <v>4791.3500000000004</v>
      </c>
      <c r="E43">
        <v>4518.5928199999998</v>
      </c>
      <c r="F43">
        <v>4596.0559499999999</v>
      </c>
      <c r="G43">
        <v>4755.40355</v>
      </c>
      <c r="H43">
        <v>4792.7697200000002</v>
      </c>
      <c r="Q43">
        <v>4806.6659600000003</v>
      </c>
      <c r="R43">
        <v>4836.0292600000002</v>
      </c>
      <c r="S43">
        <v>4862.6180299999996</v>
      </c>
      <c r="V43">
        <v>4771.7261900000003</v>
      </c>
      <c r="W43">
        <v>4738.1611999999996</v>
      </c>
      <c r="AB43">
        <v>4785.6992499999997</v>
      </c>
      <c r="AC43">
        <v>4784.9220599999999</v>
      </c>
      <c r="AD43">
        <v>0</v>
      </c>
      <c r="AE43">
        <f t="shared" si="5"/>
        <v>41</v>
      </c>
      <c r="AF43">
        <f t="shared" si="6"/>
        <v>40</v>
      </c>
      <c r="AG43">
        <f t="shared" si="0"/>
        <v>-15.315959999999905</v>
      </c>
      <c r="AH43">
        <f t="shared" si="1"/>
        <v>234.57863072159708</v>
      </c>
      <c r="AI43">
        <f t="shared" si="2"/>
        <v>-8.2651027088635032E-2</v>
      </c>
      <c r="AJ43">
        <f t="shared" si="3"/>
        <v>3.600236300076181E-2</v>
      </c>
      <c r="AK43">
        <f t="shared" si="4"/>
        <v>1600</v>
      </c>
      <c r="AL43">
        <f t="shared" si="7"/>
        <v>4784.2445299999999</v>
      </c>
      <c r="AM43" t="str">
        <f t="shared" si="8"/>
        <v/>
      </c>
    </row>
    <row r="44" spans="1:39" x14ac:dyDescent="0.55000000000000004">
      <c r="A44">
        <v>1776392102</v>
      </c>
      <c r="B44" t="s">
        <v>72</v>
      </c>
      <c r="C44" t="s">
        <v>73</v>
      </c>
      <c r="D44">
        <v>4788.8599999999997</v>
      </c>
      <c r="E44">
        <v>4518.5928199999998</v>
      </c>
      <c r="F44">
        <v>4596.0559499999999</v>
      </c>
      <c r="G44">
        <v>4755.40355</v>
      </c>
      <c r="H44">
        <v>4792.7697200000002</v>
      </c>
      <c r="Q44">
        <v>4806.3983600000001</v>
      </c>
      <c r="R44">
        <v>4835.7616600000001</v>
      </c>
      <c r="S44">
        <v>4862.3504300000004</v>
      </c>
      <c r="V44">
        <v>4771.4585900000002</v>
      </c>
      <c r="W44">
        <v>4737.8935899999997</v>
      </c>
      <c r="AB44">
        <v>4787.2893800000002</v>
      </c>
      <c r="AC44">
        <v>4786.1057199999996</v>
      </c>
      <c r="AD44">
        <v>0</v>
      </c>
      <c r="AE44">
        <f t="shared" si="5"/>
        <v>42</v>
      </c>
      <c r="AF44">
        <f t="shared" si="6"/>
        <v>41</v>
      </c>
      <c r="AG44">
        <f t="shared" si="0"/>
        <v>-17.538360000000466</v>
      </c>
      <c r="AH44">
        <f t="shared" si="1"/>
        <v>307.59407148961634</v>
      </c>
      <c r="AI44">
        <f t="shared" si="2"/>
        <v>-0.1241030701553726</v>
      </c>
      <c r="AJ44">
        <f t="shared" si="3"/>
        <v>6.1902763010051307E-2</v>
      </c>
      <c r="AK44">
        <f t="shared" si="4"/>
        <v>1681</v>
      </c>
      <c r="AL44">
        <f t="shared" si="7"/>
        <v>4784.2445299999999</v>
      </c>
      <c r="AM44" t="str">
        <f t="shared" si="8"/>
        <v/>
      </c>
    </row>
    <row r="45" spans="1:39" x14ac:dyDescent="0.55000000000000004">
      <c r="A45">
        <v>1776393002</v>
      </c>
      <c r="B45" t="s">
        <v>72</v>
      </c>
      <c r="C45" t="s">
        <v>73</v>
      </c>
      <c r="D45">
        <v>4791.57</v>
      </c>
      <c r="E45">
        <v>4518.5928199999998</v>
      </c>
      <c r="F45">
        <v>4596.0559499999999</v>
      </c>
      <c r="G45">
        <v>4755.40355</v>
      </c>
      <c r="H45">
        <v>4792.7697200000002</v>
      </c>
      <c r="Q45">
        <v>4806.1307500000003</v>
      </c>
      <c r="R45">
        <v>4835.4940500000002</v>
      </c>
      <c r="S45">
        <v>4862.0828199999996</v>
      </c>
      <c r="V45">
        <v>4771.1909800000003</v>
      </c>
      <c r="W45">
        <v>4737.6259899999995</v>
      </c>
      <c r="AB45">
        <v>4788.9024200000003</v>
      </c>
      <c r="AC45">
        <v>4787.50407</v>
      </c>
      <c r="AD45">
        <v>0</v>
      </c>
      <c r="AE45">
        <f t="shared" si="5"/>
        <v>43</v>
      </c>
      <c r="AF45">
        <f t="shared" si="6"/>
        <v>42</v>
      </c>
      <c r="AG45">
        <f t="shared" si="0"/>
        <v>-14.560750000000553</v>
      </c>
      <c r="AH45">
        <f t="shared" si="1"/>
        <v>212.01544056251609</v>
      </c>
      <c r="AI45">
        <f t="shared" si="2"/>
        <v>-7.1017735566340681E-2</v>
      </c>
      <c r="AJ45">
        <f t="shared" si="3"/>
        <v>2.9409598394933071E-2</v>
      </c>
      <c r="AK45">
        <f t="shared" si="4"/>
        <v>1764</v>
      </c>
      <c r="AL45">
        <f t="shared" si="7"/>
        <v>4784.2445299999999</v>
      </c>
      <c r="AM45" t="str">
        <f t="shared" si="8"/>
        <v/>
      </c>
    </row>
    <row r="46" spans="1:39" x14ac:dyDescent="0.55000000000000004">
      <c r="A46">
        <v>1776393902</v>
      </c>
      <c r="B46" t="s">
        <v>72</v>
      </c>
      <c r="C46" t="s">
        <v>73</v>
      </c>
      <c r="D46">
        <v>4784.8100000000004</v>
      </c>
      <c r="E46">
        <v>4518.5928199999998</v>
      </c>
      <c r="F46">
        <v>4596.0559499999999</v>
      </c>
      <c r="G46">
        <v>4755.40355</v>
      </c>
      <c r="H46">
        <v>4792.7697200000002</v>
      </c>
      <c r="Q46">
        <v>4805.8631500000001</v>
      </c>
      <c r="R46">
        <v>4835.2264500000001</v>
      </c>
      <c r="S46">
        <v>4861.8152200000004</v>
      </c>
      <c r="V46">
        <v>4770.9233800000002</v>
      </c>
      <c r="W46">
        <v>4737.3583799999997</v>
      </c>
      <c r="AB46">
        <v>4790.3726800000004</v>
      </c>
      <c r="AC46">
        <v>4788.9383699999998</v>
      </c>
      <c r="AD46">
        <v>0</v>
      </c>
      <c r="AE46">
        <f t="shared" si="5"/>
        <v>44</v>
      </c>
      <c r="AF46">
        <f t="shared" si="6"/>
        <v>43</v>
      </c>
      <c r="AG46">
        <f t="shared" si="0"/>
        <v>-21.053149999999732</v>
      </c>
      <c r="AH46">
        <f t="shared" si="1"/>
        <v>443.23512492248875</v>
      </c>
      <c r="AI46">
        <f t="shared" si="2"/>
        <v>-0.21466776699549547</v>
      </c>
      <c r="AJ46">
        <f t="shared" si="3"/>
        <v>0.12853531068508195</v>
      </c>
      <c r="AK46">
        <f t="shared" si="4"/>
        <v>1849</v>
      </c>
      <c r="AL46">
        <f t="shared" si="7"/>
        <v>4784.2445299999999</v>
      </c>
      <c r="AM46" t="str">
        <f t="shared" si="8"/>
        <v/>
      </c>
    </row>
    <row r="47" spans="1:39" x14ac:dyDescent="0.55000000000000004">
      <c r="A47">
        <v>1776394802</v>
      </c>
      <c r="B47" t="s">
        <v>72</v>
      </c>
      <c r="C47" t="s">
        <v>73</v>
      </c>
      <c r="D47">
        <v>4795.8599999999997</v>
      </c>
      <c r="E47">
        <v>4518.5928199999998</v>
      </c>
      <c r="F47">
        <v>4596.0559499999999</v>
      </c>
      <c r="G47">
        <v>4755.40355</v>
      </c>
      <c r="H47">
        <v>4792.7697200000002</v>
      </c>
      <c r="Q47">
        <v>4805.59555</v>
      </c>
      <c r="R47">
        <v>4834.95885</v>
      </c>
      <c r="S47">
        <v>4861.5476200000003</v>
      </c>
      <c r="V47">
        <v>4770.65578</v>
      </c>
      <c r="W47">
        <v>4737.0907800000004</v>
      </c>
      <c r="AB47">
        <v>4791.8981100000001</v>
      </c>
      <c r="AC47">
        <v>4790.41824</v>
      </c>
      <c r="AD47">
        <v>0</v>
      </c>
      <c r="AE47">
        <f t="shared" si="5"/>
        <v>45</v>
      </c>
      <c r="AF47">
        <f t="shared" si="6"/>
        <v>44</v>
      </c>
      <c r="AG47">
        <f t="shared" si="0"/>
        <v>-9.7355500000003303</v>
      </c>
      <c r="AH47">
        <f t="shared" si="1"/>
        <v>94.780933802506425</v>
      </c>
      <c r="AI47">
        <f t="shared" si="2"/>
        <v>-2.1227412491561244E-2</v>
      </c>
      <c r="AJ47">
        <f t="shared" si="3"/>
        <v>5.877546570784614E-3</v>
      </c>
      <c r="AK47">
        <f t="shared" si="4"/>
        <v>1936</v>
      </c>
      <c r="AL47">
        <f t="shared" si="7"/>
        <v>4784.2445299999999</v>
      </c>
      <c r="AM47" t="str">
        <f t="shared" si="8"/>
        <v/>
      </c>
    </row>
    <row r="48" spans="1:39" x14ac:dyDescent="0.55000000000000004">
      <c r="A48">
        <v>1776395702</v>
      </c>
      <c r="B48" t="s">
        <v>72</v>
      </c>
      <c r="C48" t="s">
        <v>73</v>
      </c>
      <c r="D48">
        <v>4793.93</v>
      </c>
      <c r="E48">
        <v>4518.5928199999998</v>
      </c>
      <c r="F48">
        <v>4596.0559499999999</v>
      </c>
      <c r="G48">
        <v>4755.40355</v>
      </c>
      <c r="H48">
        <v>4792.7697200000002</v>
      </c>
      <c r="Q48">
        <v>4805.3279400000001</v>
      </c>
      <c r="R48">
        <v>4834.6912400000001</v>
      </c>
      <c r="S48">
        <v>4861.2800100000004</v>
      </c>
      <c r="V48">
        <v>4770.3881700000002</v>
      </c>
      <c r="W48">
        <v>4736.8231800000003</v>
      </c>
      <c r="AB48">
        <v>4793.2450399999998</v>
      </c>
      <c r="AC48">
        <v>4791.8316400000003</v>
      </c>
      <c r="AD48">
        <v>0</v>
      </c>
      <c r="AE48">
        <f t="shared" si="5"/>
        <v>46</v>
      </c>
      <c r="AF48">
        <f t="shared" si="6"/>
        <v>45</v>
      </c>
      <c r="AG48">
        <f t="shared" si="0"/>
        <v>-11.397939999999835</v>
      </c>
      <c r="AH48">
        <f t="shared" si="1"/>
        <v>129.91303624359625</v>
      </c>
      <c r="AI48">
        <f t="shared" si="2"/>
        <v>-3.4063924686791459E-2</v>
      </c>
      <c r="AJ48">
        <f t="shared" si="3"/>
        <v>1.1042300929137461E-2</v>
      </c>
      <c r="AK48">
        <f t="shared" si="4"/>
        <v>2025</v>
      </c>
      <c r="AL48">
        <f t="shared" si="7"/>
        <v>4784.2445299999999</v>
      </c>
      <c r="AM48" t="str">
        <f t="shared" si="8"/>
        <v/>
      </c>
    </row>
    <row r="49" spans="1:39" x14ac:dyDescent="0.55000000000000004">
      <c r="A49">
        <v>1776396602</v>
      </c>
      <c r="B49" t="s">
        <v>72</v>
      </c>
      <c r="C49" t="s">
        <v>73</v>
      </c>
      <c r="D49">
        <v>4794.26</v>
      </c>
      <c r="E49">
        <v>4518.5928199999998</v>
      </c>
      <c r="F49">
        <v>4596.0559499999999</v>
      </c>
      <c r="G49">
        <v>4755.40355</v>
      </c>
      <c r="H49">
        <v>4792.7697200000002</v>
      </c>
      <c r="Q49">
        <v>4805.06034</v>
      </c>
      <c r="R49">
        <v>4834.42364</v>
      </c>
      <c r="S49">
        <v>4861.0124100000003</v>
      </c>
      <c r="V49">
        <v>4770.12057</v>
      </c>
      <c r="W49">
        <v>4736.5555700000004</v>
      </c>
      <c r="AB49">
        <v>4794.5676999999996</v>
      </c>
      <c r="AC49">
        <v>4793.19967</v>
      </c>
      <c r="AD49">
        <v>0</v>
      </c>
      <c r="AE49">
        <f t="shared" si="5"/>
        <v>47</v>
      </c>
      <c r="AF49">
        <f t="shared" si="6"/>
        <v>46</v>
      </c>
      <c r="AG49">
        <f t="shared" si="0"/>
        <v>-10.800339999999778</v>
      </c>
      <c r="AH49">
        <f t="shared" si="1"/>
        <v>116.6473441155952</v>
      </c>
      <c r="AI49">
        <f t="shared" si="2"/>
        <v>-2.898196762677871E-2</v>
      </c>
      <c r="AJ49">
        <f t="shared" si="3"/>
        <v>8.9023327383024441E-3</v>
      </c>
      <c r="AK49">
        <f t="shared" si="4"/>
        <v>2116</v>
      </c>
      <c r="AL49">
        <f t="shared" si="7"/>
        <v>4784.2445299999999</v>
      </c>
      <c r="AM49" t="str">
        <f t="shared" si="8"/>
        <v/>
      </c>
    </row>
    <row r="50" spans="1:39" x14ac:dyDescent="0.55000000000000004">
      <c r="A50">
        <v>1776397502</v>
      </c>
      <c r="B50" t="s">
        <v>72</v>
      </c>
      <c r="C50" t="s">
        <v>73</v>
      </c>
      <c r="D50">
        <v>4793.09</v>
      </c>
      <c r="E50">
        <v>4518.5928199999998</v>
      </c>
      <c r="F50">
        <v>4596.0559499999999</v>
      </c>
      <c r="G50">
        <v>4755.40355</v>
      </c>
      <c r="H50">
        <v>4792.7697200000002</v>
      </c>
      <c r="Q50">
        <v>4804.7927300000001</v>
      </c>
      <c r="R50">
        <v>4834.1560300000001</v>
      </c>
      <c r="S50">
        <v>4860.7448000000004</v>
      </c>
      <c r="V50">
        <v>4769.8529600000002</v>
      </c>
      <c r="W50">
        <v>4736.2879700000003</v>
      </c>
      <c r="AB50">
        <v>4795.9550200000003</v>
      </c>
      <c r="AC50">
        <v>4794.5773399999998</v>
      </c>
      <c r="AD50">
        <v>0</v>
      </c>
      <c r="AE50">
        <f t="shared" si="5"/>
        <v>48</v>
      </c>
      <c r="AF50">
        <f t="shared" si="6"/>
        <v>47</v>
      </c>
      <c r="AG50">
        <f t="shared" si="0"/>
        <v>-11.702729999999974</v>
      </c>
      <c r="AH50">
        <f t="shared" si="1"/>
        <v>136.9538894528994</v>
      </c>
      <c r="AI50">
        <f t="shared" si="2"/>
        <v>-3.6870339824045979E-2</v>
      </c>
      <c r="AJ50">
        <f t="shared" si="3"/>
        <v>1.2271646993739669E-2</v>
      </c>
      <c r="AK50">
        <f t="shared" si="4"/>
        <v>2209</v>
      </c>
      <c r="AL50">
        <f t="shared" si="7"/>
        <v>4784.2445299999999</v>
      </c>
      <c r="AM50" t="str">
        <f t="shared" si="8"/>
        <v/>
      </c>
    </row>
    <row r="51" spans="1:39" x14ac:dyDescent="0.55000000000000004">
      <c r="A51">
        <v>1776398402</v>
      </c>
      <c r="B51" t="s">
        <v>72</v>
      </c>
      <c r="C51" t="s">
        <v>73</v>
      </c>
      <c r="D51">
        <v>4795.16</v>
      </c>
      <c r="E51">
        <v>4518.5928199999998</v>
      </c>
      <c r="F51">
        <v>4596.0559499999999</v>
      </c>
      <c r="G51">
        <v>4755.40355</v>
      </c>
      <c r="H51">
        <v>4792.7697200000002</v>
      </c>
      <c r="Q51">
        <v>4804.52513</v>
      </c>
      <c r="R51">
        <v>4833.88843</v>
      </c>
      <c r="S51">
        <v>4860.4772000000003</v>
      </c>
      <c r="V51">
        <v>4769.58536</v>
      </c>
      <c r="W51">
        <v>4736.0203600000004</v>
      </c>
      <c r="AB51">
        <v>4797.4544500000002</v>
      </c>
      <c r="AC51">
        <v>4796.0159000000003</v>
      </c>
      <c r="AD51">
        <v>0</v>
      </c>
      <c r="AE51">
        <f t="shared" si="5"/>
        <v>49</v>
      </c>
      <c r="AF51">
        <f t="shared" si="6"/>
        <v>48</v>
      </c>
      <c r="AG51">
        <f t="shared" si="0"/>
        <v>-9.3651300000001356</v>
      </c>
      <c r="AH51">
        <f t="shared" si="1"/>
        <v>87.705659916902533</v>
      </c>
      <c r="AI51">
        <f t="shared" si="2"/>
        <v>-1.8895440263956134E-2</v>
      </c>
      <c r="AJ51">
        <f t="shared" si="3"/>
        <v>5.032796311848638E-3</v>
      </c>
      <c r="AK51">
        <f t="shared" si="4"/>
        <v>2304</v>
      </c>
      <c r="AL51">
        <f t="shared" si="7"/>
        <v>4784.2445299999999</v>
      </c>
      <c r="AM51" t="str">
        <f t="shared" si="8"/>
        <v/>
      </c>
    </row>
    <row r="52" spans="1:39" x14ac:dyDescent="0.55000000000000004">
      <c r="A52">
        <v>1776399302</v>
      </c>
      <c r="B52" t="s">
        <v>72</v>
      </c>
      <c r="C52" t="s">
        <v>73</v>
      </c>
      <c r="D52">
        <v>4795.87</v>
      </c>
      <c r="E52">
        <v>4518.5928199999998</v>
      </c>
      <c r="F52">
        <v>4596.0559499999999</v>
      </c>
      <c r="G52">
        <v>4755.40355</v>
      </c>
      <c r="H52">
        <v>4792.7697200000002</v>
      </c>
      <c r="Q52">
        <v>4804.2575299999999</v>
      </c>
      <c r="R52">
        <v>4833.6208299999998</v>
      </c>
      <c r="S52">
        <v>4860.2096000000001</v>
      </c>
      <c r="V52">
        <v>4769.3177599999999</v>
      </c>
      <c r="W52">
        <v>4735.7527600000003</v>
      </c>
      <c r="AB52">
        <v>4798.9171900000001</v>
      </c>
      <c r="AC52">
        <v>4797.4665400000004</v>
      </c>
      <c r="AD52">
        <v>0</v>
      </c>
      <c r="AE52">
        <f t="shared" si="5"/>
        <v>50</v>
      </c>
      <c r="AF52">
        <f t="shared" si="6"/>
        <v>49</v>
      </c>
      <c r="AG52">
        <f t="shared" si="0"/>
        <v>-8.3875299999999697</v>
      </c>
      <c r="AH52">
        <f t="shared" si="1"/>
        <v>70.350659500899496</v>
      </c>
      <c r="AI52">
        <f t="shared" si="2"/>
        <v>-1.3574312532860126E-2</v>
      </c>
      <c r="AJ52">
        <f t="shared" si="3"/>
        <v>3.2381015072955157E-3</v>
      </c>
      <c r="AK52">
        <f t="shared" si="4"/>
        <v>2401</v>
      </c>
      <c r="AL52">
        <f t="shared" si="7"/>
        <v>4784.2445299999999</v>
      </c>
      <c r="AM52" t="str">
        <f t="shared" si="8"/>
        <v/>
      </c>
    </row>
    <row r="53" spans="1:39" x14ac:dyDescent="0.55000000000000004">
      <c r="A53">
        <v>1776400202</v>
      </c>
      <c r="B53" t="s">
        <v>72</v>
      </c>
      <c r="C53" t="s">
        <v>73</v>
      </c>
      <c r="D53">
        <v>4801.05</v>
      </c>
      <c r="E53">
        <v>4518.5928199999998</v>
      </c>
      <c r="F53">
        <v>4596.0559499999999</v>
      </c>
      <c r="G53">
        <v>4755.40355</v>
      </c>
      <c r="H53">
        <v>4792.7697200000002</v>
      </c>
      <c r="Q53">
        <v>4803.98992</v>
      </c>
      <c r="R53">
        <v>4833.35322</v>
      </c>
      <c r="S53">
        <v>4859.9419900000003</v>
      </c>
      <c r="V53">
        <v>4769.05015</v>
      </c>
      <c r="W53">
        <v>4735.4851600000002</v>
      </c>
      <c r="AB53">
        <v>4800.1665300000004</v>
      </c>
      <c r="AC53">
        <v>4798.8165399999998</v>
      </c>
      <c r="AD53">
        <v>0</v>
      </c>
      <c r="AE53">
        <f t="shared" si="5"/>
        <v>51</v>
      </c>
      <c r="AF53">
        <f t="shared" si="6"/>
        <v>50</v>
      </c>
      <c r="AG53">
        <f t="shared" si="0"/>
        <v>-2.9399199999998018</v>
      </c>
      <c r="AH53">
        <f t="shared" si="1"/>
        <v>8.6431296063988352</v>
      </c>
      <c r="AI53">
        <f t="shared" si="2"/>
        <v>-5.845506161631707E-4</v>
      </c>
      <c r="AJ53">
        <f t="shared" si="3"/>
        <v>4.887605710034613E-5</v>
      </c>
      <c r="AK53">
        <f t="shared" si="4"/>
        <v>2500</v>
      </c>
      <c r="AL53">
        <f t="shared" si="7"/>
        <v>4784.2445299999999</v>
      </c>
      <c r="AM53" t="str">
        <f t="shared" si="8"/>
        <v/>
      </c>
    </row>
    <row r="54" spans="1:39" x14ac:dyDescent="0.55000000000000004">
      <c r="A54">
        <v>1776401102</v>
      </c>
      <c r="B54" t="s">
        <v>72</v>
      </c>
      <c r="C54" t="s">
        <v>73</v>
      </c>
      <c r="D54">
        <v>4803.04</v>
      </c>
      <c r="E54">
        <v>4518.5928199999998</v>
      </c>
      <c r="F54">
        <v>4596.0559499999999</v>
      </c>
      <c r="G54">
        <v>4755.40355</v>
      </c>
      <c r="H54">
        <v>4792.7697200000002</v>
      </c>
      <c r="Q54">
        <v>4803.7223199999999</v>
      </c>
      <c r="R54">
        <v>4833.0856199999998</v>
      </c>
      <c r="S54">
        <v>4859.6743900000001</v>
      </c>
      <c r="V54">
        <v>4768.7825499999999</v>
      </c>
      <c r="W54">
        <v>4735.2175500000003</v>
      </c>
      <c r="AB54">
        <v>4800.8418499999998</v>
      </c>
      <c r="AC54">
        <v>4799.8291900000004</v>
      </c>
      <c r="AD54">
        <v>0</v>
      </c>
      <c r="AE54">
        <f t="shared" si="5"/>
        <v>52</v>
      </c>
      <c r="AF54">
        <f t="shared" si="6"/>
        <v>51</v>
      </c>
      <c r="AG54">
        <f t="shared" si="0"/>
        <v>-0.68231999999989057</v>
      </c>
      <c r="AH54">
        <f t="shared" si="1"/>
        <v>0.46556058239985065</v>
      </c>
      <c r="AI54">
        <f t="shared" si="2"/>
        <v>-7.3076861779463625E-6</v>
      </c>
      <c r="AJ54">
        <f t="shared" si="3"/>
        <v>1.4180988938293107E-7</v>
      </c>
      <c r="AK54">
        <f t="shared" si="4"/>
        <v>2601</v>
      </c>
      <c r="AL54">
        <f t="shared" si="7"/>
        <v>4784.2445299999999</v>
      </c>
      <c r="AM54" t="str">
        <f t="shared" si="8"/>
        <v/>
      </c>
    </row>
    <row r="55" spans="1:39" x14ac:dyDescent="0.55000000000000004">
      <c r="A55">
        <v>1776402002</v>
      </c>
      <c r="B55" t="s">
        <v>72</v>
      </c>
      <c r="C55" t="s">
        <v>73</v>
      </c>
      <c r="D55">
        <v>4804.78</v>
      </c>
      <c r="E55">
        <v>4518.5928199999998</v>
      </c>
      <c r="F55">
        <v>4596.0559499999999</v>
      </c>
      <c r="G55">
        <v>4755.40355</v>
      </c>
      <c r="H55">
        <v>4792.7697200000002</v>
      </c>
      <c r="Q55">
        <v>4803.45471</v>
      </c>
      <c r="R55">
        <v>4832.81801</v>
      </c>
      <c r="S55">
        <v>4859.4067800000003</v>
      </c>
      <c r="V55">
        <v>4768.51494</v>
      </c>
      <c r="W55">
        <v>4734.9499500000002</v>
      </c>
      <c r="Z55">
        <v>4805.97</v>
      </c>
      <c r="AB55">
        <v>4800.6717699999999</v>
      </c>
      <c r="AC55">
        <v>4800.2504799999997</v>
      </c>
      <c r="AD55">
        <v>0</v>
      </c>
      <c r="AE55">
        <f t="shared" si="5"/>
        <v>53</v>
      </c>
      <c r="AF55">
        <f t="shared" si="6"/>
        <v>52</v>
      </c>
      <c r="AG55">
        <f t="shared" si="0"/>
        <v>1.325289999999768</v>
      </c>
      <c r="AH55">
        <f t="shared" si="1"/>
        <v>1.7563935840993852</v>
      </c>
      <c r="AI55">
        <f t="shared" si="2"/>
        <v>5.354862793780248E-5</v>
      </c>
      <c r="AJ55">
        <f t="shared" si="3"/>
        <v>2.0183561237963391E-6</v>
      </c>
      <c r="AK55">
        <f t="shared" si="4"/>
        <v>2704</v>
      </c>
      <c r="AL55">
        <f t="shared" si="7"/>
        <v>4784.2445299999999</v>
      </c>
      <c r="AM55" t="str">
        <f t="shared" si="8"/>
        <v/>
      </c>
    </row>
    <row r="56" spans="1:39" x14ac:dyDescent="0.55000000000000004">
      <c r="A56">
        <v>1776402902</v>
      </c>
      <c r="B56" t="s">
        <v>72</v>
      </c>
      <c r="C56" t="s">
        <v>73</v>
      </c>
      <c r="D56">
        <v>4803.25</v>
      </c>
      <c r="E56">
        <v>4518.5928199999998</v>
      </c>
      <c r="F56">
        <v>4596.0559499999999</v>
      </c>
      <c r="G56">
        <v>4755.40355</v>
      </c>
      <c r="H56">
        <v>4792.7697200000002</v>
      </c>
      <c r="Q56">
        <v>4803.1871099999998</v>
      </c>
      <c r="R56">
        <v>4832.5504099999998</v>
      </c>
      <c r="S56">
        <v>4859.1391800000001</v>
      </c>
      <c r="V56">
        <v>4768.2473399999999</v>
      </c>
      <c r="W56">
        <v>4734.6823400000003</v>
      </c>
      <c r="AB56">
        <v>4799.4911599999996</v>
      </c>
      <c r="AC56">
        <v>4799.8708200000001</v>
      </c>
      <c r="AD56">
        <v>1</v>
      </c>
      <c r="AE56">
        <f t="shared" si="5"/>
        <v>54</v>
      </c>
      <c r="AF56">
        <f t="shared" si="6"/>
        <v>53</v>
      </c>
      <c r="AG56">
        <f t="shared" si="0"/>
        <v>6.2890000000152213E-2</v>
      </c>
      <c r="AH56">
        <f t="shared" si="1"/>
        <v>3.9551521000191457E-3</v>
      </c>
      <c r="AI56">
        <f t="shared" si="2"/>
        <v>5.722164895120696E-9</v>
      </c>
      <c r="AJ56">
        <f t="shared" si="3"/>
        <v>1.0234826656321174E-11</v>
      </c>
      <c r="AK56">
        <f t="shared" si="4"/>
        <v>2809</v>
      </c>
      <c r="AL56">
        <f t="shared" si="7"/>
        <v>4799.4911599999996</v>
      </c>
      <c r="AM56">
        <f t="shared" si="8"/>
        <v>15.246629999999641</v>
      </c>
    </row>
    <row r="57" spans="1:39" x14ac:dyDescent="0.55000000000000004">
      <c r="A57">
        <v>1776403802</v>
      </c>
      <c r="B57" t="s">
        <v>72</v>
      </c>
      <c r="C57" t="s">
        <v>73</v>
      </c>
      <c r="D57">
        <v>4796.4799999999996</v>
      </c>
      <c r="E57">
        <v>4518.5928199999998</v>
      </c>
      <c r="F57">
        <v>4596.0559499999999</v>
      </c>
      <c r="G57">
        <v>4755.40355</v>
      </c>
      <c r="H57">
        <v>4792.7697200000002</v>
      </c>
      <c r="Q57">
        <v>4802.9195099999997</v>
      </c>
      <c r="R57">
        <v>4832.2828</v>
      </c>
      <c r="S57">
        <v>4858.87158</v>
      </c>
      <c r="V57">
        <v>4767.9797399999998</v>
      </c>
      <c r="W57">
        <v>4734.4147400000002</v>
      </c>
      <c r="AB57">
        <v>4797.3362399999996</v>
      </c>
      <c r="AC57">
        <v>4798.6035300000003</v>
      </c>
      <c r="AD57">
        <v>0</v>
      </c>
      <c r="AE57">
        <f t="shared" si="5"/>
        <v>55</v>
      </c>
      <c r="AF57">
        <f t="shared" si="6"/>
        <v>54</v>
      </c>
      <c r="AG57">
        <f t="shared" si="0"/>
        <v>-6.4395100000001548</v>
      </c>
      <c r="AH57">
        <f t="shared" si="1"/>
        <v>41.467289040101996</v>
      </c>
      <c r="AI57">
        <f t="shared" si="2"/>
        <v>-6.142908555225389E-3</v>
      </c>
      <c r="AJ57">
        <f t="shared" si="3"/>
        <v>1.1250333598506524E-3</v>
      </c>
      <c r="AK57">
        <f t="shared" si="4"/>
        <v>2916</v>
      </c>
      <c r="AL57">
        <f t="shared" si="7"/>
        <v>4799.4911599999996</v>
      </c>
      <c r="AM57" t="str">
        <f t="shared" si="8"/>
        <v/>
      </c>
    </row>
    <row r="58" spans="1:39" x14ac:dyDescent="0.55000000000000004">
      <c r="A58">
        <v>1776404702</v>
      </c>
      <c r="B58" t="s">
        <v>72</v>
      </c>
      <c r="C58" t="s">
        <v>73</v>
      </c>
      <c r="D58">
        <v>4794.41</v>
      </c>
      <c r="E58">
        <v>4518.5928199999998</v>
      </c>
      <c r="F58">
        <v>4596.0559499999999</v>
      </c>
      <c r="G58">
        <v>4755.40355</v>
      </c>
      <c r="H58">
        <v>4792.7697200000002</v>
      </c>
      <c r="Q58">
        <v>4802.6518999999998</v>
      </c>
      <c r="R58">
        <v>4832.0151999999998</v>
      </c>
      <c r="S58">
        <v>4858.6039700000001</v>
      </c>
      <c r="V58">
        <v>4767.7121299999999</v>
      </c>
      <c r="W58">
        <v>4734.14714</v>
      </c>
      <c r="AB58">
        <v>4794.5246500000003</v>
      </c>
      <c r="AC58">
        <v>4796.5640899999999</v>
      </c>
      <c r="AD58">
        <v>0</v>
      </c>
      <c r="AE58">
        <f t="shared" si="5"/>
        <v>56</v>
      </c>
      <c r="AF58">
        <f t="shared" si="6"/>
        <v>55</v>
      </c>
      <c r="AG58">
        <f t="shared" si="0"/>
        <v>-8.2418999999999869</v>
      </c>
      <c r="AH58">
        <f t="shared" si="1"/>
        <v>67.928915609999791</v>
      </c>
      <c r="AI58">
        <f t="shared" si="2"/>
        <v>-1.2879458590070029E-2</v>
      </c>
      <c r="AJ58">
        <f t="shared" si="3"/>
        <v>3.0190025241716724E-3</v>
      </c>
      <c r="AK58">
        <f t="shared" si="4"/>
        <v>3025</v>
      </c>
      <c r="AL58">
        <f t="shared" si="7"/>
        <v>4799.4911599999996</v>
      </c>
      <c r="AM58" t="str">
        <f t="shared" si="8"/>
        <v/>
      </c>
    </row>
    <row r="59" spans="1:39" x14ac:dyDescent="0.55000000000000004">
      <c r="A59">
        <v>1776405602</v>
      </c>
      <c r="B59" t="s">
        <v>72</v>
      </c>
      <c r="C59" t="s">
        <v>73</v>
      </c>
      <c r="D59">
        <v>4787.7299999999996</v>
      </c>
      <c r="E59">
        <v>4518.5928199999998</v>
      </c>
      <c r="F59">
        <v>4596.0559499999999</v>
      </c>
      <c r="G59">
        <v>4755.40355</v>
      </c>
      <c r="H59">
        <v>4792.7697200000002</v>
      </c>
      <c r="Q59">
        <v>4802.3842999999997</v>
      </c>
      <c r="R59">
        <v>4831.7475999999997</v>
      </c>
      <c r="S59">
        <v>4858.33637</v>
      </c>
      <c r="V59">
        <v>4767.4445299999998</v>
      </c>
      <c r="W59">
        <v>4733.8795300000002</v>
      </c>
      <c r="AB59">
        <v>4791.4825000000001</v>
      </c>
      <c r="AC59">
        <v>4794.0232999999998</v>
      </c>
      <c r="AD59">
        <v>0</v>
      </c>
      <c r="AE59">
        <f t="shared" si="5"/>
        <v>57</v>
      </c>
      <c r="AF59">
        <f t="shared" si="6"/>
        <v>56</v>
      </c>
      <c r="AG59">
        <f t="shared" si="0"/>
        <v>-14.654300000000148</v>
      </c>
      <c r="AH59">
        <f t="shared" si="1"/>
        <v>214.74850849000435</v>
      </c>
      <c r="AI59">
        <f t="shared" si="2"/>
        <v>-7.2395374449109096E-2</v>
      </c>
      <c r="AJ59">
        <f t="shared" si="3"/>
        <v>3.0172717389552694E-2</v>
      </c>
      <c r="AK59">
        <f t="shared" si="4"/>
        <v>3136</v>
      </c>
      <c r="AL59">
        <f t="shared" si="7"/>
        <v>4799.4911599999996</v>
      </c>
      <c r="AM59" t="str">
        <f t="shared" si="8"/>
        <v/>
      </c>
    </row>
    <row r="60" spans="1:39" x14ac:dyDescent="0.55000000000000004">
      <c r="A60">
        <v>1776406502</v>
      </c>
      <c r="B60" t="s">
        <v>72</v>
      </c>
      <c r="C60" t="s">
        <v>73</v>
      </c>
      <c r="D60">
        <v>4783.78</v>
      </c>
      <c r="E60">
        <v>4518.5928199999998</v>
      </c>
      <c r="F60">
        <v>4596.0559499999999</v>
      </c>
      <c r="G60">
        <v>4755.40355</v>
      </c>
      <c r="H60">
        <v>4792.7697200000002</v>
      </c>
      <c r="Q60">
        <v>4802.1166899999998</v>
      </c>
      <c r="R60">
        <v>4831.4799899999998</v>
      </c>
      <c r="S60">
        <v>4858.0687600000001</v>
      </c>
      <c r="V60">
        <v>4767.1769199999999</v>
      </c>
      <c r="W60">
        <v>4733.61193</v>
      </c>
      <c r="AB60">
        <v>4788.6996499999996</v>
      </c>
      <c r="AC60">
        <v>4791.3614699999998</v>
      </c>
      <c r="AD60">
        <v>0</v>
      </c>
      <c r="AE60">
        <f t="shared" si="5"/>
        <v>58</v>
      </c>
      <c r="AF60">
        <f t="shared" si="6"/>
        <v>57</v>
      </c>
      <c r="AG60">
        <f t="shared" si="0"/>
        <v>-18.33669000000009</v>
      </c>
      <c r="AH60">
        <f t="shared" si="1"/>
        <v>336.23420015610327</v>
      </c>
      <c r="AI60">
        <f t="shared" si="2"/>
        <v>-0.1418333670983612</v>
      </c>
      <c r="AJ60">
        <f t="shared" si="3"/>
        <v>7.3966979468241836E-2</v>
      </c>
      <c r="AK60">
        <f t="shared" si="4"/>
        <v>3249</v>
      </c>
      <c r="AL60">
        <f t="shared" si="7"/>
        <v>4799.4911599999996</v>
      </c>
      <c r="AM60" t="str">
        <f t="shared" si="8"/>
        <v/>
      </c>
    </row>
    <row r="61" spans="1:39" x14ac:dyDescent="0.55000000000000004">
      <c r="A61">
        <v>1776407402</v>
      </c>
      <c r="B61" t="s">
        <v>72</v>
      </c>
      <c r="C61" t="s">
        <v>73</v>
      </c>
      <c r="D61">
        <v>4785.67</v>
      </c>
      <c r="E61">
        <v>4518.5928199999998</v>
      </c>
      <c r="F61">
        <v>4596.0559499999999</v>
      </c>
      <c r="G61">
        <v>4755.40355</v>
      </c>
      <c r="H61">
        <v>4792.7697200000002</v>
      </c>
      <c r="Q61">
        <v>4801.8490899999997</v>
      </c>
      <c r="R61">
        <v>4831.2123899999997</v>
      </c>
      <c r="S61">
        <v>4857.80116</v>
      </c>
      <c r="V61">
        <v>4766.9093199999998</v>
      </c>
      <c r="W61">
        <v>4733.3443200000002</v>
      </c>
      <c r="AB61">
        <v>4786.5307400000002</v>
      </c>
      <c r="AC61">
        <v>4788.9461099999999</v>
      </c>
      <c r="AD61">
        <v>0</v>
      </c>
      <c r="AE61">
        <f t="shared" si="5"/>
        <v>59</v>
      </c>
      <c r="AF61">
        <f t="shared" si="6"/>
        <v>58</v>
      </c>
      <c r="AG61">
        <f t="shared" si="0"/>
        <v>-16.179089999999633</v>
      </c>
      <c r="AH61">
        <f t="shared" si="1"/>
        <v>261.76295322808812</v>
      </c>
      <c r="AI61">
        <f t="shared" si="2"/>
        <v>-9.7426669621750034E-2</v>
      </c>
      <c r="AJ61">
        <f t="shared" si="3"/>
        <v>4.4830179333223238E-2</v>
      </c>
      <c r="AK61">
        <f t="shared" si="4"/>
        <v>3364</v>
      </c>
      <c r="AL61">
        <f t="shared" si="7"/>
        <v>4799.4911599999996</v>
      </c>
      <c r="AM61" t="str">
        <f t="shared" si="8"/>
        <v/>
      </c>
    </row>
    <row r="62" spans="1:39" x14ac:dyDescent="0.55000000000000004">
      <c r="A62">
        <v>1776408302</v>
      </c>
      <c r="B62" t="s">
        <v>72</v>
      </c>
      <c r="C62" t="s">
        <v>73</v>
      </c>
      <c r="D62">
        <v>4785.07</v>
      </c>
      <c r="E62">
        <v>4518.5928199999998</v>
      </c>
      <c r="F62">
        <v>4596.0559499999999</v>
      </c>
      <c r="G62">
        <v>4755.40355</v>
      </c>
      <c r="H62">
        <v>4792.7697200000002</v>
      </c>
      <c r="Q62">
        <v>4801.5814899999996</v>
      </c>
      <c r="R62">
        <v>4830.9447799999998</v>
      </c>
      <c r="S62">
        <v>4857.5335599999999</v>
      </c>
      <c r="V62">
        <v>4766.6417199999996</v>
      </c>
      <c r="W62">
        <v>4733.07672</v>
      </c>
      <c r="AB62">
        <v>4785.1178</v>
      </c>
      <c r="AC62">
        <v>4787.0319600000003</v>
      </c>
      <c r="AD62">
        <v>0</v>
      </c>
      <c r="AE62">
        <f t="shared" si="5"/>
        <v>60</v>
      </c>
      <c r="AF62">
        <f t="shared" si="6"/>
        <v>59</v>
      </c>
      <c r="AG62">
        <f t="shared" si="0"/>
        <v>-16.511489999999867</v>
      </c>
      <c r="AH62">
        <f t="shared" si="1"/>
        <v>272.62930202009562</v>
      </c>
      <c r="AI62">
        <f t="shared" si="2"/>
        <v>-0.1035557890214915</v>
      </c>
      <c r="AJ62">
        <f t="shared" si="3"/>
        <v>4.8629429657017297E-2</v>
      </c>
      <c r="AK62">
        <f t="shared" si="4"/>
        <v>3481</v>
      </c>
      <c r="AL62">
        <f t="shared" si="7"/>
        <v>4799.4911599999996</v>
      </c>
      <c r="AM62" t="str">
        <f t="shared" si="8"/>
        <v/>
      </c>
    </row>
    <row r="63" spans="1:39" x14ac:dyDescent="0.55000000000000004">
      <c r="A63">
        <v>1776409202</v>
      </c>
      <c r="B63" t="s">
        <v>72</v>
      </c>
      <c r="C63" t="s">
        <v>73</v>
      </c>
      <c r="D63">
        <v>4787.12</v>
      </c>
      <c r="E63">
        <v>4518.5928199999998</v>
      </c>
      <c r="F63">
        <v>4596.0559499999999</v>
      </c>
      <c r="G63">
        <v>4755.40355</v>
      </c>
      <c r="H63">
        <v>4792.7697200000002</v>
      </c>
      <c r="Q63">
        <v>4801.3138799999997</v>
      </c>
      <c r="R63">
        <v>4830.6771799999997</v>
      </c>
      <c r="S63">
        <v>4857.26595</v>
      </c>
      <c r="V63">
        <v>4766.3741099999997</v>
      </c>
      <c r="W63">
        <v>4732.8091100000001</v>
      </c>
      <c r="AB63">
        <v>4784.5163199999997</v>
      </c>
      <c r="AC63">
        <v>4785.7741400000004</v>
      </c>
      <c r="AD63">
        <v>0</v>
      </c>
      <c r="AE63">
        <f t="shared" si="5"/>
        <v>61</v>
      </c>
      <c r="AF63">
        <f t="shared" si="6"/>
        <v>60</v>
      </c>
      <c r="AG63">
        <f t="shared" si="0"/>
        <v>-14.193879999999808</v>
      </c>
      <c r="AH63">
        <f t="shared" si="1"/>
        <v>201.46622945439455</v>
      </c>
      <c r="AI63">
        <f t="shared" si="2"/>
        <v>-6.5783802317184212E-2</v>
      </c>
      <c r="AJ63">
        <f t="shared" si="3"/>
        <v>2.6555753552506819E-2</v>
      </c>
      <c r="AK63">
        <f t="shared" si="4"/>
        <v>3600</v>
      </c>
      <c r="AL63">
        <f t="shared" si="7"/>
        <v>4799.4911599999996</v>
      </c>
      <c r="AM63" t="str">
        <f t="shared" si="8"/>
        <v/>
      </c>
    </row>
    <row r="64" spans="1:39" x14ac:dyDescent="0.55000000000000004">
      <c r="A64">
        <v>1776410102</v>
      </c>
      <c r="B64" t="s">
        <v>72</v>
      </c>
      <c r="C64" t="s">
        <v>73</v>
      </c>
      <c r="D64">
        <v>4791.72</v>
      </c>
      <c r="E64">
        <v>4518.5928199999998</v>
      </c>
      <c r="F64">
        <v>4596.0559499999999</v>
      </c>
      <c r="G64">
        <v>4755.40355</v>
      </c>
      <c r="H64">
        <v>4792.7697200000002</v>
      </c>
      <c r="Q64">
        <v>4801.0462799999996</v>
      </c>
      <c r="R64">
        <v>4830.4095799999996</v>
      </c>
      <c r="S64">
        <v>4856.9983499999998</v>
      </c>
      <c r="V64">
        <v>4766.1065099999996</v>
      </c>
      <c r="W64">
        <v>4732.54151</v>
      </c>
      <c r="AB64">
        <v>4784.6154299999998</v>
      </c>
      <c r="AC64">
        <v>4785.1947799999998</v>
      </c>
      <c r="AD64">
        <v>0</v>
      </c>
      <c r="AE64">
        <f t="shared" si="5"/>
        <v>62</v>
      </c>
      <c r="AF64">
        <f t="shared" si="6"/>
        <v>61</v>
      </c>
      <c r="AG64">
        <f t="shared" si="0"/>
        <v>-9.3262799999993149</v>
      </c>
      <c r="AH64">
        <f t="shared" si="1"/>
        <v>86.979498638387227</v>
      </c>
      <c r="AI64">
        <f t="shared" si="2"/>
        <v>-1.8661258741935586E-2</v>
      </c>
      <c r="AJ64">
        <f t="shared" si="3"/>
        <v>4.9498029784670484E-3</v>
      </c>
      <c r="AK64">
        <f t="shared" si="4"/>
        <v>3721</v>
      </c>
      <c r="AL64">
        <f t="shared" si="7"/>
        <v>4799.4911599999996</v>
      </c>
      <c r="AM64" t="str">
        <f t="shared" si="8"/>
        <v/>
      </c>
    </row>
    <row r="65" spans="1:39" x14ac:dyDescent="0.55000000000000004">
      <c r="A65">
        <v>1776411002</v>
      </c>
      <c r="B65" t="s">
        <v>72</v>
      </c>
      <c r="C65" t="s">
        <v>73</v>
      </c>
      <c r="D65">
        <v>4785.87</v>
      </c>
      <c r="E65">
        <v>4518.5928199999998</v>
      </c>
      <c r="F65">
        <v>4596.0559499999999</v>
      </c>
      <c r="G65">
        <v>4755.40355</v>
      </c>
      <c r="H65">
        <v>4792.7697200000002</v>
      </c>
      <c r="Q65">
        <v>4800.7786699999997</v>
      </c>
      <c r="R65">
        <v>4830.1419699999997</v>
      </c>
      <c r="S65">
        <v>4856.73074</v>
      </c>
      <c r="V65">
        <v>4765.8388999999997</v>
      </c>
      <c r="W65">
        <v>4732.2739099999999</v>
      </c>
      <c r="AB65">
        <v>4785.2155400000001</v>
      </c>
      <c r="AC65">
        <v>4785.2051600000004</v>
      </c>
      <c r="AD65">
        <v>1</v>
      </c>
      <c r="AE65">
        <f t="shared" si="5"/>
        <v>63</v>
      </c>
      <c r="AF65">
        <f t="shared" si="6"/>
        <v>62</v>
      </c>
      <c r="AG65">
        <f t="shared" si="0"/>
        <v>-14.908669999999802</v>
      </c>
      <c r="AH65">
        <f t="shared" si="1"/>
        <v>222.2684411688941</v>
      </c>
      <c r="AI65">
        <f t="shared" si="2"/>
        <v>-7.6231118151612806E-2</v>
      </c>
      <c r="AJ65">
        <f t="shared" si="3"/>
        <v>3.2322855448951651E-2</v>
      </c>
      <c r="AK65">
        <f t="shared" si="4"/>
        <v>3844</v>
      </c>
      <c r="AL65">
        <f t="shared" si="7"/>
        <v>4785.2155400000001</v>
      </c>
      <c r="AM65">
        <f t="shared" si="8"/>
        <v>14.275619999999435</v>
      </c>
    </row>
    <row r="66" spans="1:39" x14ac:dyDescent="0.55000000000000004">
      <c r="A66">
        <v>1776411902</v>
      </c>
      <c r="B66" t="s">
        <v>72</v>
      </c>
      <c r="C66" t="s">
        <v>73</v>
      </c>
      <c r="D66">
        <v>4784.38</v>
      </c>
      <c r="E66">
        <v>4518.5928199999998</v>
      </c>
      <c r="F66">
        <v>4596.0559499999999</v>
      </c>
      <c r="G66">
        <v>4755.40355</v>
      </c>
      <c r="H66">
        <v>4792.7697200000002</v>
      </c>
      <c r="Q66">
        <v>4800.5110699999996</v>
      </c>
      <c r="R66">
        <v>4829.8743700000005</v>
      </c>
      <c r="S66">
        <v>4856.4631399999998</v>
      </c>
      <c r="V66">
        <v>4765.5712999999996</v>
      </c>
      <c r="W66">
        <v>4732.0063</v>
      </c>
      <c r="AA66">
        <v>4778.83</v>
      </c>
      <c r="AB66">
        <v>4786.3804300000002</v>
      </c>
      <c r="AC66">
        <v>4785.7928000000002</v>
      </c>
      <c r="AD66">
        <v>0</v>
      </c>
      <c r="AE66">
        <f t="shared" si="5"/>
        <v>64</v>
      </c>
      <c r="AF66">
        <f t="shared" si="6"/>
        <v>63</v>
      </c>
      <c r="AG66">
        <f t="shared" si="0"/>
        <v>-16.131069999999454</v>
      </c>
      <c r="AH66">
        <f t="shared" si="1"/>
        <v>260.21141934488236</v>
      </c>
      <c r="AI66">
        <f t="shared" si="2"/>
        <v>-9.6561746433226597E-2</v>
      </c>
      <c r="AJ66">
        <f t="shared" si="3"/>
        <v>4.430031515722839E-2</v>
      </c>
      <c r="AK66">
        <f t="shared" si="4"/>
        <v>3969</v>
      </c>
      <c r="AL66">
        <f t="shared" si="7"/>
        <v>4785.2155400000001</v>
      </c>
      <c r="AM66" t="str">
        <f t="shared" si="8"/>
        <v/>
      </c>
    </row>
    <row r="67" spans="1:39" x14ac:dyDescent="0.55000000000000004">
      <c r="A67">
        <v>1776412802</v>
      </c>
      <c r="B67" t="s">
        <v>72</v>
      </c>
      <c r="C67" t="s">
        <v>73</v>
      </c>
      <c r="D67">
        <v>4783.7</v>
      </c>
      <c r="E67">
        <v>4518.5928199999998</v>
      </c>
      <c r="F67">
        <v>4596.0559499999999</v>
      </c>
      <c r="G67">
        <v>4755.40355</v>
      </c>
      <c r="H67">
        <v>4792.7697200000002</v>
      </c>
      <c r="Q67">
        <v>4800.2434700000003</v>
      </c>
      <c r="R67">
        <v>4829.6067599999997</v>
      </c>
      <c r="S67">
        <v>4856.19553</v>
      </c>
      <c r="V67">
        <v>4765.3036899999997</v>
      </c>
      <c r="W67">
        <v>4731.7386999999999</v>
      </c>
      <c r="AB67">
        <v>4788.01037</v>
      </c>
      <c r="AC67">
        <v>4786.9015799999997</v>
      </c>
      <c r="AD67">
        <v>0</v>
      </c>
      <c r="AE67">
        <f t="shared" si="5"/>
        <v>65</v>
      </c>
      <c r="AF67">
        <f t="shared" si="6"/>
        <v>64</v>
      </c>
      <c r="AG67">
        <f t="shared" ref="AG67:AG130" si="9">D67-Q67</f>
        <v>-16.543470000000525</v>
      </c>
      <c r="AH67">
        <f t="shared" ref="AH67:AH130" si="10">AG67^2</f>
        <v>273.68639964091739</v>
      </c>
      <c r="AI67">
        <f t="shared" ref="AI67:AI130" si="11">(AG67/STDEV($AG$3:$AG$1137))^3</f>
        <v>-0.1041586660201553</v>
      </c>
      <c r="AJ67">
        <f t="shared" ref="AJ67:AJ130" si="12">(AG67/STDEV($AG$3:$AG$1137))^4</f>
        <v>4.9007273970725414E-2</v>
      </c>
      <c r="AK67">
        <f t="shared" ref="AK67:AK130" si="13">AF67^2</f>
        <v>4096</v>
      </c>
      <c r="AL67">
        <f t="shared" si="7"/>
        <v>4785.2155400000001</v>
      </c>
      <c r="AM67" t="str">
        <f t="shared" si="8"/>
        <v/>
      </c>
    </row>
    <row r="68" spans="1:39" x14ac:dyDescent="0.55000000000000004">
      <c r="A68">
        <v>1776413702</v>
      </c>
      <c r="B68" t="s">
        <v>72</v>
      </c>
      <c r="C68" t="s">
        <v>73</v>
      </c>
      <c r="D68">
        <v>4784.58</v>
      </c>
      <c r="E68">
        <v>4518.5928199999998</v>
      </c>
      <c r="F68">
        <v>4596.0559499999999</v>
      </c>
      <c r="G68">
        <v>4755.40355</v>
      </c>
      <c r="H68">
        <v>4792.7697200000002</v>
      </c>
      <c r="Q68">
        <v>4799.9758599999996</v>
      </c>
      <c r="R68">
        <v>4829.3391600000004</v>
      </c>
      <c r="S68">
        <v>4855.9279299999998</v>
      </c>
      <c r="V68">
        <v>4765.0360899999996</v>
      </c>
      <c r="W68">
        <v>4731.47109</v>
      </c>
      <c r="AB68">
        <v>4789.9465099999998</v>
      </c>
      <c r="AC68">
        <v>4788.4240499999996</v>
      </c>
      <c r="AD68">
        <v>0</v>
      </c>
      <c r="AE68">
        <f t="shared" ref="AE68:AE131" si="14">AE67+1</f>
        <v>66</v>
      </c>
      <c r="AF68">
        <f t="shared" ref="AF68:AF131" si="15">AF67+1</f>
        <v>65</v>
      </c>
      <c r="AG68">
        <f t="shared" si="9"/>
        <v>-15.39585999999963</v>
      </c>
      <c r="AH68">
        <f t="shared" si="10"/>
        <v>237.03250513958858</v>
      </c>
      <c r="AI68">
        <f t="shared" si="11"/>
        <v>-8.3951303591380325E-2</v>
      </c>
      <c r="AJ68">
        <f t="shared" si="12"/>
        <v>3.6759527942374901E-2</v>
      </c>
      <c r="AK68">
        <f t="shared" si="13"/>
        <v>4225</v>
      </c>
      <c r="AL68">
        <f t="shared" ref="AL68:AL131" si="16">IF(AD68=1,AB68,IF(AL67&lt;&gt;"",AL67,""))</f>
        <v>4785.2155400000001</v>
      </c>
      <c r="AM68" t="str">
        <f t="shared" ref="AM68:AM131" si="17">IF(AND(AD68=1,AL67&lt;&gt;""),ABS(AB68-AL67),"")</f>
        <v/>
      </c>
    </row>
    <row r="69" spans="1:39" x14ac:dyDescent="0.55000000000000004">
      <c r="A69">
        <v>1776414602</v>
      </c>
      <c r="B69" t="s">
        <v>72</v>
      </c>
      <c r="C69" t="s">
        <v>73</v>
      </c>
      <c r="D69">
        <v>4797.03</v>
      </c>
      <c r="E69">
        <v>4518.5928199999998</v>
      </c>
      <c r="F69">
        <v>4596.0559499999999</v>
      </c>
      <c r="G69">
        <v>4755.40355</v>
      </c>
      <c r="H69">
        <v>4792.7697200000002</v>
      </c>
      <c r="Q69">
        <v>4799.7082600000003</v>
      </c>
      <c r="R69">
        <v>4829.0715600000003</v>
      </c>
      <c r="S69">
        <v>4855.6603299999997</v>
      </c>
      <c r="V69">
        <v>4764.7684900000004</v>
      </c>
      <c r="W69">
        <v>4731.2034899999999</v>
      </c>
      <c r="AB69">
        <v>4791.9410200000002</v>
      </c>
      <c r="AC69">
        <v>4790.18253</v>
      </c>
      <c r="AD69">
        <v>0</v>
      </c>
      <c r="AE69">
        <f t="shared" si="14"/>
        <v>67</v>
      </c>
      <c r="AF69">
        <f t="shared" si="15"/>
        <v>66</v>
      </c>
      <c r="AG69">
        <f t="shared" si="9"/>
        <v>-2.6782600000005914</v>
      </c>
      <c r="AH69">
        <f t="shared" si="10"/>
        <v>7.1730766276031677</v>
      </c>
      <c r="AI69">
        <f t="shared" si="11"/>
        <v>-4.4195066316600197E-4</v>
      </c>
      <c r="AJ69">
        <f t="shared" si="12"/>
        <v>3.3663948459272464E-5</v>
      </c>
      <c r="AK69">
        <f t="shared" si="13"/>
        <v>4356</v>
      </c>
      <c r="AL69">
        <f t="shared" si="16"/>
        <v>4785.2155400000001</v>
      </c>
      <c r="AM69" t="str">
        <f t="shared" si="17"/>
        <v/>
      </c>
    </row>
    <row r="70" spans="1:39" x14ac:dyDescent="0.55000000000000004">
      <c r="A70">
        <v>1776415502</v>
      </c>
      <c r="B70" t="s">
        <v>72</v>
      </c>
      <c r="C70" t="s">
        <v>73</v>
      </c>
      <c r="D70">
        <v>4796.09</v>
      </c>
      <c r="E70">
        <v>4518.5928199999998</v>
      </c>
      <c r="F70">
        <v>4596.0559499999999</v>
      </c>
      <c r="G70">
        <v>4755.40355</v>
      </c>
      <c r="H70">
        <v>4792.7697200000002</v>
      </c>
      <c r="Q70">
        <v>4799.4406499999996</v>
      </c>
      <c r="R70">
        <v>4828.8039500000004</v>
      </c>
      <c r="S70">
        <v>4855.3927199999998</v>
      </c>
      <c r="V70">
        <v>4764.5008799999996</v>
      </c>
      <c r="W70">
        <v>4730.9358899999997</v>
      </c>
      <c r="AB70">
        <v>4793.4619400000001</v>
      </c>
      <c r="AC70">
        <v>4791.8222400000004</v>
      </c>
      <c r="AD70">
        <v>0</v>
      </c>
      <c r="AE70">
        <f t="shared" si="14"/>
        <v>68</v>
      </c>
      <c r="AF70">
        <f t="shared" si="15"/>
        <v>67</v>
      </c>
      <c r="AG70">
        <f t="shared" si="9"/>
        <v>-3.3506499999994048</v>
      </c>
      <c r="AH70">
        <f t="shared" si="10"/>
        <v>11.226855422496012</v>
      </c>
      <c r="AI70">
        <f t="shared" si="11"/>
        <v>-8.6537188106086444E-4</v>
      </c>
      <c r="AJ70">
        <f t="shared" si="12"/>
        <v>8.2465134657543556E-5</v>
      </c>
      <c r="AK70">
        <f t="shared" si="13"/>
        <v>4489</v>
      </c>
      <c r="AL70">
        <f t="shared" si="16"/>
        <v>4785.2155400000001</v>
      </c>
      <c r="AM70" t="str">
        <f t="shared" si="17"/>
        <v/>
      </c>
    </row>
    <row r="71" spans="1:39" x14ac:dyDescent="0.55000000000000004">
      <c r="A71">
        <v>1776416402</v>
      </c>
      <c r="B71" t="s">
        <v>72</v>
      </c>
      <c r="C71" t="s">
        <v>73</v>
      </c>
      <c r="D71">
        <v>4793.1000000000004</v>
      </c>
      <c r="E71">
        <v>4518.5928199999998</v>
      </c>
      <c r="F71">
        <v>4596.0559499999999</v>
      </c>
      <c r="G71">
        <v>4755.40355</v>
      </c>
      <c r="H71">
        <v>4792.7697200000002</v>
      </c>
      <c r="Q71">
        <v>4799.1730500000003</v>
      </c>
      <c r="R71">
        <v>4828.5363500000003</v>
      </c>
      <c r="S71">
        <v>4855.1251199999997</v>
      </c>
      <c r="V71">
        <v>4764.2332800000004</v>
      </c>
      <c r="W71">
        <v>4730.6682799999999</v>
      </c>
      <c r="AB71">
        <v>4794.3959199999999</v>
      </c>
      <c r="AC71">
        <v>4793.1090800000002</v>
      </c>
      <c r="AD71">
        <v>0</v>
      </c>
      <c r="AE71">
        <f t="shared" si="14"/>
        <v>69</v>
      </c>
      <c r="AF71">
        <f t="shared" si="15"/>
        <v>68</v>
      </c>
      <c r="AG71">
        <f t="shared" si="9"/>
        <v>-6.0730499999999665</v>
      </c>
      <c r="AH71">
        <f t="shared" si="10"/>
        <v>36.881936302499597</v>
      </c>
      <c r="AI71">
        <f t="shared" si="11"/>
        <v>-5.1527153873240231E-3</v>
      </c>
      <c r="AJ71">
        <f t="shared" si="12"/>
        <v>8.8998264854414318E-4</v>
      </c>
      <c r="AK71">
        <f t="shared" si="13"/>
        <v>4624</v>
      </c>
      <c r="AL71">
        <f t="shared" si="16"/>
        <v>4785.2155400000001</v>
      </c>
      <c r="AM71" t="str">
        <f t="shared" si="17"/>
        <v/>
      </c>
    </row>
    <row r="72" spans="1:39" x14ac:dyDescent="0.55000000000000004">
      <c r="A72">
        <v>1776417302</v>
      </c>
      <c r="B72" t="s">
        <v>72</v>
      </c>
      <c r="C72" t="s">
        <v>73</v>
      </c>
      <c r="D72">
        <v>4795.93</v>
      </c>
      <c r="E72">
        <v>4518.5928199999998</v>
      </c>
      <c r="F72">
        <v>4596.0559499999999</v>
      </c>
      <c r="G72">
        <v>4755.40355</v>
      </c>
      <c r="H72">
        <v>4792.7697200000002</v>
      </c>
      <c r="Q72">
        <v>4798.9054400000005</v>
      </c>
      <c r="R72">
        <v>4828.2687400000004</v>
      </c>
      <c r="S72">
        <v>4854.8575099999998</v>
      </c>
      <c r="V72">
        <v>4763.9656699999996</v>
      </c>
      <c r="W72">
        <v>4730.4006799999997</v>
      </c>
      <c r="AB72">
        <v>4794.6895800000002</v>
      </c>
      <c r="AC72">
        <v>4793.8993300000002</v>
      </c>
      <c r="AD72">
        <v>0</v>
      </c>
      <c r="AE72">
        <f t="shared" si="14"/>
        <v>70</v>
      </c>
      <c r="AF72">
        <f t="shared" si="15"/>
        <v>69</v>
      </c>
      <c r="AG72">
        <f t="shared" si="9"/>
        <v>-2.9754400000001624</v>
      </c>
      <c r="AH72">
        <f t="shared" si="10"/>
        <v>8.8532431936009672</v>
      </c>
      <c r="AI72">
        <f t="shared" si="11"/>
        <v>-6.0599518828229754E-4</v>
      </c>
      <c r="AJ72">
        <f t="shared" si="12"/>
        <v>5.128128522686187E-5</v>
      </c>
      <c r="AK72">
        <f t="shared" si="13"/>
        <v>4761</v>
      </c>
      <c r="AL72">
        <f t="shared" si="16"/>
        <v>4785.2155400000001</v>
      </c>
      <c r="AM72" t="str">
        <f t="shared" si="17"/>
        <v/>
      </c>
    </row>
    <row r="73" spans="1:39" x14ac:dyDescent="0.55000000000000004">
      <c r="A73">
        <v>1776418202</v>
      </c>
      <c r="B73" t="s">
        <v>72</v>
      </c>
      <c r="C73" t="s">
        <v>73</v>
      </c>
      <c r="D73">
        <v>4794.67</v>
      </c>
      <c r="E73">
        <v>4518.5928199999998</v>
      </c>
      <c r="F73">
        <v>4596.0559499999999</v>
      </c>
      <c r="G73">
        <v>4755.40355</v>
      </c>
      <c r="H73">
        <v>4792.7697200000002</v>
      </c>
      <c r="Q73">
        <v>4798.6378400000003</v>
      </c>
      <c r="R73">
        <v>4828.0011400000003</v>
      </c>
      <c r="S73">
        <v>4854.5899099999997</v>
      </c>
      <c r="V73">
        <v>4763.6980700000004</v>
      </c>
      <c r="W73">
        <v>4730.1330699999999</v>
      </c>
      <c r="AB73">
        <v>4794.1798200000003</v>
      </c>
      <c r="AC73">
        <v>4794.0395799999997</v>
      </c>
      <c r="AD73">
        <v>0</v>
      </c>
      <c r="AE73">
        <f t="shared" si="14"/>
        <v>71</v>
      </c>
      <c r="AF73">
        <f t="shared" si="15"/>
        <v>70</v>
      </c>
      <c r="AG73">
        <f t="shared" si="9"/>
        <v>-3.9678400000002512</v>
      </c>
      <c r="AH73">
        <f t="shared" si="10"/>
        <v>15.743754265601993</v>
      </c>
      <c r="AI73">
        <f t="shared" si="11"/>
        <v>-1.437070380600214E-3</v>
      </c>
      <c r="AJ73">
        <f t="shared" si="12"/>
        <v>1.6217007504003633E-4</v>
      </c>
      <c r="AK73">
        <f t="shared" si="13"/>
        <v>4900</v>
      </c>
      <c r="AL73">
        <f t="shared" si="16"/>
        <v>4785.2155400000001</v>
      </c>
      <c r="AM73" t="str">
        <f t="shared" si="17"/>
        <v/>
      </c>
    </row>
    <row r="74" spans="1:39" x14ac:dyDescent="0.55000000000000004">
      <c r="A74">
        <v>1776419102</v>
      </c>
      <c r="B74" t="s">
        <v>72</v>
      </c>
      <c r="C74" t="s">
        <v>73</v>
      </c>
      <c r="D74">
        <v>4790.3900000000003</v>
      </c>
      <c r="E74">
        <v>4518.5928199999998</v>
      </c>
      <c r="F74">
        <v>4596.0559499999999</v>
      </c>
      <c r="G74">
        <v>4755.40355</v>
      </c>
      <c r="H74">
        <v>4792.7697200000002</v>
      </c>
      <c r="Q74">
        <v>4798.3702400000002</v>
      </c>
      <c r="R74">
        <v>4827.7335400000002</v>
      </c>
      <c r="S74">
        <v>4854.3223099999996</v>
      </c>
      <c r="V74">
        <v>4763.4304700000002</v>
      </c>
      <c r="W74">
        <v>4729.8654699999997</v>
      </c>
      <c r="AB74">
        <v>4792.9258099999997</v>
      </c>
      <c r="AC74">
        <v>4793.4826899999998</v>
      </c>
      <c r="AD74">
        <v>1</v>
      </c>
      <c r="AE74">
        <f t="shared" si="14"/>
        <v>72</v>
      </c>
      <c r="AF74">
        <f t="shared" si="15"/>
        <v>71</v>
      </c>
      <c r="AG74">
        <f t="shared" si="9"/>
        <v>-7.980239999999867</v>
      </c>
      <c r="AH74">
        <f t="shared" si="10"/>
        <v>63.684230457597877</v>
      </c>
      <c r="AI74">
        <f t="shared" si="11"/>
        <v>-1.1691317167466414E-2</v>
      </c>
      <c r="AJ74">
        <f t="shared" si="12"/>
        <v>2.6534928590727157E-3</v>
      </c>
      <c r="AK74">
        <f t="shared" si="13"/>
        <v>5041</v>
      </c>
      <c r="AL74">
        <f t="shared" si="16"/>
        <v>4792.9258099999997</v>
      </c>
      <c r="AM74">
        <f t="shared" si="17"/>
        <v>7.7102699999995821</v>
      </c>
    </row>
    <row r="75" spans="1:39" x14ac:dyDescent="0.55000000000000004">
      <c r="A75">
        <v>1776420002</v>
      </c>
      <c r="B75" t="s">
        <v>72</v>
      </c>
      <c r="C75" t="s">
        <v>73</v>
      </c>
      <c r="D75">
        <v>4791.33</v>
      </c>
      <c r="E75">
        <v>4518.5928199999998</v>
      </c>
      <c r="F75">
        <v>4596.0559499999999</v>
      </c>
      <c r="G75">
        <v>4755.40355</v>
      </c>
      <c r="H75">
        <v>4792.7697200000002</v>
      </c>
      <c r="Q75">
        <v>4798.1026300000003</v>
      </c>
      <c r="R75">
        <v>4827.4659300000003</v>
      </c>
      <c r="S75">
        <v>4854.0546999999997</v>
      </c>
      <c r="V75">
        <v>4763.1628600000004</v>
      </c>
      <c r="W75">
        <v>4729.5978699999996</v>
      </c>
      <c r="AB75">
        <v>4791.1914399999996</v>
      </c>
      <c r="AC75">
        <v>4792.3370599999998</v>
      </c>
      <c r="AD75">
        <v>0</v>
      </c>
      <c r="AE75">
        <f t="shared" si="14"/>
        <v>73</v>
      </c>
      <c r="AF75">
        <f t="shared" si="15"/>
        <v>72</v>
      </c>
      <c r="AG75">
        <f t="shared" si="9"/>
        <v>-6.7726300000003903</v>
      </c>
      <c r="AH75">
        <f t="shared" si="10"/>
        <v>45.868517116905288</v>
      </c>
      <c r="AI75">
        <f t="shared" si="11"/>
        <v>-7.1464051601448269E-3</v>
      </c>
      <c r="AJ75">
        <f t="shared" si="12"/>
        <v>1.3765231281866429E-3</v>
      </c>
      <c r="AK75">
        <f t="shared" si="13"/>
        <v>5184</v>
      </c>
      <c r="AL75">
        <f t="shared" si="16"/>
        <v>4792.9258099999997</v>
      </c>
      <c r="AM75" t="str">
        <f t="shared" si="17"/>
        <v/>
      </c>
    </row>
    <row r="76" spans="1:39" x14ac:dyDescent="0.55000000000000004">
      <c r="A76">
        <v>1776420902</v>
      </c>
      <c r="B76" t="s">
        <v>72</v>
      </c>
      <c r="C76" t="s">
        <v>73</v>
      </c>
      <c r="D76">
        <v>4789.59</v>
      </c>
      <c r="E76">
        <v>4518.5928199999998</v>
      </c>
      <c r="F76">
        <v>4596.0559499999999</v>
      </c>
      <c r="G76">
        <v>4755.40355</v>
      </c>
      <c r="H76">
        <v>4792.7697200000002</v>
      </c>
      <c r="Q76">
        <v>4797.8350300000002</v>
      </c>
      <c r="R76">
        <v>4827.1983300000002</v>
      </c>
      <c r="S76">
        <v>4853.7870999999996</v>
      </c>
      <c r="V76">
        <v>4762.8952600000002</v>
      </c>
      <c r="W76">
        <v>4729.3302599999997</v>
      </c>
      <c r="AB76">
        <v>4789.2110599999996</v>
      </c>
      <c r="AC76">
        <v>4790.7740599999997</v>
      </c>
      <c r="AD76">
        <v>0</v>
      </c>
      <c r="AE76">
        <f t="shared" si="14"/>
        <v>74</v>
      </c>
      <c r="AF76">
        <f t="shared" si="15"/>
        <v>73</v>
      </c>
      <c r="AG76">
        <f t="shared" si="9"/>
        <v>-8.2450300000000425</v>
      </c>
      <c r="AH76">
        <f t="shared" si="10"/>
        <v>67.9805197009007</v>
      </c>
      <c r="AI76">
        <f t="shared" si="11"/>
        <v>-1.2894137735686751E-2</v>
      </c>
      <c r="AJ76">
        <f t="shared" si="12"/>
        <v>3.0235912050150604E-3</v>
      </c>
      <c r="AK76">
        <f t="shared" si="13"/>
        <v>5329</v>
      </c>
      <c r="AL76">
        <f t="shared" si="16"/>
        <v>4792.9258099999997</v>
      </c>
      <c r="AM76" t="str">
        <f t="shared" si="17"/>
        <v/>
      </c>
    </row>
    <row r="77" spans="1:39" x14ac:dyDescent="0.55000000000000004">
      <c r="A77">
        <v>1776421802</v>
      </c>
      <c r="B77" t="s">
        <v>72</v>
      </c>
      <c r="C77" t="s">
        <v>73</v>
      </c>
      <c r="D77">
        <v>4784.95</v>
      </c>
      <c r="E77">
        <v>4518.5928199999998</v>
      </c>
      <c r="F77">
        <v>4596.0559499999999</v>
      </c>
      <c r="G77">
        <v>4755.40355</v>
      </c>
      <c r="H77">
        <v>4792.7697200000002</v>
      </c>
      <c r="Q77">
        <v>4797.5674200000003</v>
      </c>
      <c r="R77">
        <v>4826.9307200000003</v>
      </c>
      <c r="S77">
        <v>4853.5194899999997</v>
      </c>
      <c r="V77">
        <v>4762.6276500000004</v>
      </c>
      <c r="W77">
        <v>4729.0626599999996</v>
      </c>
      <c r="AB77">
        <v>4787.4276900000004</v>
      </c>
      <c r="AC77">
        <v>4789.10088</v>
      </c>
      <c r="AD77">
        <v>0</v>
      </c>
      <c r="AE77">
        <f t="shared" si="14"/>
        <v>75</v>
      </c>
      <c r="AF77">
        <f t="shared" si="15"/>
        <v>74</v>
      </c>
      <c r="AG77">
        <f t="shared" si="9"/>
        <v>-12.617420000000493</v>
      </c>
      <c r="AH77">
        <f t="shared" si="10"/>
        <v>159.19928745641243</v>
      </c>
      <c r="AI77">
        <f t="shared" si="11"/>
        <v>-4.6209073813808128E-2</v>
      </c>
      <c r="AJ77">
        <f t="shared" si="12"/>
        <v>1.6581978657507133E-2</v>
      </c>
      <c r="AK77">
        <f t="shared" si="13"/>
        <v>5476</v>
      </c>
      <c r="AL77">
        <f t="shared" si="16"/>
        <v>4792.9258099999997</v>
      </c>
      <c r="AM77" t="str">
        <f t="shared" si="17"/>
        <v/>
      </c>
    </row>
    <row r="78" spans="1:39" x14ac:dyDescent="0.55000000000000004">
      <c r="A78">
        <v>1776422702</v>
      </c>
      <c r="B78" t="s">
        <v>72</v>
      </c>
      <c r="C78" t="s">
        <v>73</v>
      </c>
      <c r="D78">
        <v>4787.41</v>
      </c>
      <c r="E78">
        <v>4518.5928199999998</v>
      </c>
      <c r="F78">
        <v>4596.0559499999999</v>
      </c>
      <c r="G78">
        <v>4755.40355</v>
      </c>
      <c r="H78">
        <v>4792.7697200000002</v>
      </c>
      <c r="Q78">
        <v>4797.2998200000002</v>
      </c>
      <c r="R78">
        <v>4826.6631200000002</v>
      </c>
      <c r="S78">
        <v>4853.2518899999995</v>
      </c>
      <c r="V78">
        <v>4762.3600500000002</v>
      </c>
      <c r="W78">
        <v>4728.7950499999997</v>
      </c>
      <c r="AB78">
        <v>4786.4672899999996</v>
      </c>
      <c r="AC78">
        <v>4787.7840800000004</v>
      </c>
      <c r="AD78">
        <v>0</v>
      </c>
      <c r="AE78">
        <f t="shared" si="14"/>
        <v>76</v>
      </c>
      <c r="AF78">
        <f t="shared" si="15"/>
        <v>75</v>
      </c>
      <c r="AG78">
        <f t="shared" si="9"/>
        <v>-9.8898200000003271</v>
      </c>
      <c r="AH78">
        <f t="shared" si="10"/>
        <v>97.808539632406465</v>
      </c>
      <c r="AI78">
        <f t="shared" si="11"/>
        <v>-2.2252599228857785E-2</v>
      </c>
      <c r="AJ78">
        <f t="shared" si="12"/>
        <v>6.2590390592983684E-3</v>
      </c>
      <c r="AK78">
        <f t="shared" si="13"/>
        <v>5625</v>
      </c>
      <c r="AL78">
        <f t="shared" si="16"/>
        <v>4792.9258099999997</v>
      </c>
      <c r="AM78" t="str">
        <f t="shared" si="17"/>
        <v/>
      </c>
    </row>
    <row r="79" spans="1:39" x14ac:dyDescent="0.55000000000000004">
      <c r="A79">
        <v>1776423602</v>
      </c>
      <c r="B79" t="s">
        <v>72</v>
      </c>
      <c r="C79" t="s">
        <v>73</v>
      </c>
      <c r="D79">
        <v>4786.45</v>
      </c>
      <c r="E79">
        <v>4518.5928199999998</v>
      </c>
      <c r="F79">
        <v>4596.0559499999999</v>
      </c>
      <c r="G79">
        <v>4755.40355</v>
      </c>
      <c r="H79">
        <v>4792.7697200000002</v>
      </c>
      <c r="Q79">
        <v>4797.0322200000001</v>
      </c>
      <c r="R79">
        <v>4826.3955100000003</v>
      </c>
      <c r="S79">
        <v>4852.9842900000003</v>
      </c>
      <c r="V79">
        <v>4762.0924500000001</v>
      </c>
      <c r="W79">
        <v>4728.5274499999996</v>
      </c>
      <c r="AB79">
        <v>4786.8401299999996</v>
      </c>
      <c r="AC79">
        <v>4787.3121000000001</v>
      </c>
      <c r="AD79">
        <v>0</v>
      </c>
      <c r="AE79">
        <f t="shared" si="14"/>
        <v>77</v>
      </c>
      <c r="AF79">
        <f t="shared" si="15"/>
        <v>76</v>
      </c>
      <c r="AG79">
        <f t="shared" si="9"/>
        <v>-10.582220000000234</v>
      </c>
      <c r="AH79">
        <f t="shared" si="10"/>
        <v>111.98338012840495</v>
      </c>
      <c r="AI79">
        <f t="shared" si="11"/>
        <v>-2.7261261127339391E-2</v>
      </c>
      <c r="AJ79">
        <f t="shared" si="12"/>
        <v>8.2046726267178058E-3</v>
      </c>
      <c r="AK79">
        <f t="shared" si="13"/>
        <v>5776</v>
      </c>
      <c r="AL79">
        <f t="shared" si="16"/>
        <v>4792.9258099999997</v>
      </c>
      <c r="AM79" t="str">
        <f t="shared" si="17"/>
        <v/>
      </c>
    </row>
    <row r="80" spans="1:39" x14ac:dyDescent="0.55000000000000004">
      <c r="A80">
        <v>1776424502</v>
      </c>
      <c r="B80" t="s">
        <v>72</v>
      </c>
      <c r="C80" t="s">
        <v>73</v>
      </c>
      <c r="D80">
        <v>4793.07</v>
      </c>
      <c r="E80">
        <v>4518.5928199999998</v>
      </c>
      <c r="F80">
        <v>4596.0559499999999</v>
      </c>
      <c r="G80">
        <v>4755.40355</v>
      </c>
      <c r="H80">
        <v>4792.7697200000002</v>
      </c>
      <c r="Q80">
        <v>4796.7646100000002</v>
      </c>
      <c r="R80">
        <v>4826.1279100000002</v>
      </c>
      <c r="S80">
        <v>4852.7166800000005</v>
      </c>
      <c r="V80">
        <v>4761.8248400000002</v>
      </c>
      <c r="W80">
        <v>4728.2598500000004</v>
      </c>
      <c r="AB80">
        <v>4789.13598</v>
      </c>
      <c r="AC80">
        <v>4788.2240400000001</v>
      </c>
      <c r="AD80">
        <v>1</v>
      </c>
      <c r="AE80">
        <f t="shared" si="14"/>
        <v>78</v>
      </c>
      <c r="AF80">
        <f t="shared" si="15"/>
        <v>77</v>
      </c>
      <c r="AG80">
        <f t="shared" si="9"/>
        <v>-3.6946100000004662</v>
      </c>
      <c r="AH80">
        <f t="shared" si="10"/>
        <v>13.650143052103445</v>
      </c>
      <c r="AI80">
        <f t="shared" si="11"/>
        <v>-1.1601693520849109E-3</v>
      </c>
      <c r="AJ80">
        <f t="shared" si="12"/>
        <v>1.2190696471402914E-4</v>
      </c>
      <c r="AK80">
        <f t="shared" si="13"/>
        <v>5929</v>
      </c>
      <c r="AL80">
        <f t="shared" si="16"/>
        <v>4789.13598</v>
      </c>
      <c r="AM80">
        <f t="shared" si="17"/>
        <v>3.7898299999997107</v>
      </c>
    </row>
    <row r="81" spans="1:39" x14ac:dyDescent="0.55000000000000004">
      <c r="A81">
        <v>1776425402</v>
      </c>
      <c r="B81" t="s">
        <v>72</v>
      </c>
      <c r="C81" t="s">
        <v>73</v>
      </c>
      <c r="D81">
        <v>4798.6400000000003</v>
      </c>
      <c r="E81">
        <v>4518.5928199999998</v>
      </c>
      <c r="F81">
        <v>4596.0559499999999</v>
      </c>
      <c r="G81">
        <v>4755.40355</v>
      </c>
      <c r="H81">
        <v>4792.7697200000002</v>
      </c>
      <c r="Q81">
        <v>4796.49701</v>
      </c>
      <c r="R81">
        <v>4825.86031</v>
      </c>
      <c r="S81">
        <v>4852.4490800000003</v>
      </c>
      <c r="V81">
        <v>4761.5572400000001</v>
      </c>
      <c r="W81">
        <v>4727.9922399999996</v>
      </c>
      <c r="AB81">
        <v>4793.6466300000002</v>
      </c>
      <c r="AC81">
        <v>4790.93534</v>
      </c>
      <c r="AD81">
        <v>0</v>
      </c>
      <c r="AE81">
        <f t="shared" si="14"/>
        <v>79</v>
      </c>
      <c r="AF81">
        <f t="shared" si="15"/>
        <v>78</v>
      </c>
      <c r="AG81">
        <f t="shared" si="9"/>
        <v>2.1429900000002817</v>
      </c>
      <c r="AH81">
        <f t="shared" si="10"/>
        <v>4.5924061401012075</v>
      </c>
      <c r="AI81">
        <f t="shared" si="11"/>
        <v>2.2639978906139292E-4</v>
      </c>
      <c r="AJ81">
        <f t="shared" si="12"/>
        <v>1.3798589362641166E-5</v>
      </c>
      <c r="AK81">
        <f t="shared" si="13"/>
        <v>6084</v>
      </c>
      <c r="AL81">
        <f t="shared" si="16"/>
        <v>4789.13598</v>
      </c>
      <c r="AM81" t="str">
        <f t="shared" si="17"/>
        <v/>
      </c>
    </row>
    <row r="82" spans="1:39" x14ac:dyDescent="0.55000000000000004">
      <c r="A82">
        <v>1776426302</v>
      </c>
      <c r="B82" t="s">
        <v>72</v>
      </c>
      <c r="C82" t="s">
        <v>73</v>
      </c>
      <c r="D82">
        <v>4799.1899999999996</v>
      </c>
      <c r="E82">
        <v>4518.5928199999998</v>
      </c>
      <c r="F82">
        <v>4596.0559499999999</v>
      </c>
      <c r="G82">
        <v>4755.40355</v>
      </c>
      <c r="H82">
        <v>4792.7697200000002</v>
      </c>
      <c r="Q82">
        <v>4796.2294000000002</v>
      </c>
      <c r="R82">
        <v>4825.5927000000001</v>
      </c>
      <c r="S82">
        <v>4852.1814700000004</v>
      </c>
      <c r="V82">
        <v>4761.2896300000002</v>
      </c>
      <c r="W82">
        <v>4727.7246400000004</v>
      </c>
      <c r="AB82">
        <v>4800.4957899999999</v>
      </c>
      <c r="AC82">
        <v>4795.7155700000003</v>
      </c>
      <c r="AD82">
        <v>0</v>
      </c>
      <c r="AE82">
        <f t="shared" si="14"/>
        <v>80</v>
      </c>
      <c r="AF82">
        <f t="shared" si="15"/>
        <v>79</v>
      </c>
      <c r="AG82">
        <f t="shared" si="9"/>
        <v>2.960599999999431</v>
      </c>
      <c r="AH82">
        <f t="shared" si="10"/>
        <v>8.7651523599966303</v>
      </c>
      <c r="AI82">
        <f t="shared" si="11"/>
        <v>5.9697313700389455E-4</v>
      </c>
      <c r="AJ82">
        <f t="shared" si="12"/>
        <v>5.0265852424737446E-5</v>
      </c>
      <c r="AK82">
        <f t="shared" si="13"/>
        <v>6241</v>
      </c>
      <c r="AL82">
        <f t="shared" si="16"/>
        <v>4789.13598</v>
      </c>
      <c r="AM82" t="str">
        <f t="shared" si="17"/>
        <v/>
      </c>
    </row>
    <row r="83" spans="1:39" x14ac:dyDescent="0.55000000000000004">
      <c r="A83">
        <v>1776427202</v>
      </c>
      <c r="B83" t="s">
        <v>72</v>
      </c>
      <c r="C83" t="s">
        <v>73</v>
      </c>
      <c r="D83">
        <v>4803.8599999999997</v>
      </c>
      <c r="E83">
        <v>4518.5928199999998</v>
      </c>
      <c r="F83">
        <v>4596.0559499999999</v>
      </c>
      <c r="G83">
        <v>4755.40355</v>
      </c>
      <c r="H83">
        <v>4792.7697200000002</v>
      </c>
      <c r="Q83">
        <v>4795.9618</v>
      </c>
      <c r="R83">
        <v>4825.3251</v>
      </c>
      <c r="S83">
        <v>4851.9138700000003</v>
      </c>
      <c r="V83">
        <v>4761.0220300000001</v>
      </c>
      <c r="W83">
        <v>4727.4570299999996</v>
      </c>
      <c r="AB83">
        <v>4809.6918999999998</v>
      </c>
      <c r="AC83">
        <v>4802.7037300000002</v>
      </c>
      <c r="AD83">
        <v>0</v>
      </c>
      <c r="AE83">
        <f t="shared" si="14"/>
        <v>81</v>
      </c>
      <c r="AF83">
        <f t="shared" si="15"/>
        <v>80</v>
      </c>
      <c r="AG83">
        <f t="shared" si="9"/>
        <v>7.8981999999996333</v>
      </c>
      <c r="AH83">
        <f t="shared" si="10"/>
        <v>62.381563239994207</v>
      </c>
      <c r="AI83">
        <f t="shared" si="11"/>
        <v>1.1334437316626257E-2</v>
      </c>
      <c r="AJ83">
        <f t="shared" si="12"/>
        <v>2.5460481933424536E-3</v>
      </c>
      <c r="AK83">
        <f t="shared" si="13"/>
        <v>6400</v>
      </c>
      <c r="AL83">
        <f t="shared" si="16"/>
        <v>4789.13598</v>
      </c>
      <c r="AM83" t="str">
        <f t="shared" si="17"/>
        <v/>
      </c>
    </row>
    <row r="84" spans="1:39" x14ac:dyDescent="0.55000000000000004">
      <c r="A84">
        <v>1776428102</v>
      </c>
      <c r="B84" t="s">
        <v>72</v>
      </c>
      <c r="C84" t="s">
        <v>73</v>
      </c>
      <c r="D84">
        <v>4816.87</v>
      </c>
      <c r="E84">
        <v>4518.5928199999998</v>
      </c>
      <c r="F84">
        <v>4596.0559499999999</v>
      </c>
      <c r="G84">
        <v>4755.40355</v>
      </c>
      <c r="H84">
        <v>4792.7697200000002</v>
      </c>
      <c r="Q84">
        <v>4795.6941999999999</v>
      </c>
      <c r="R84">
        <v>4825.0574900000001</v>
      </c>
      <c r="S84">
        <v>4851.6462700000002</v>
      </c>
      <c r="V84">
        <v>4760.75443</v>
      </c>
      <c r="W84">
        <v>4727.1894300000004</v>
      </c>
      <c r="AB84">
        <v>4820.8124799999996</v>
      </c>
      <c r="AC84">
        <v>4811.7581099999998</v>
      </c>
      <c r="AD84">
        <v>0</v>
      </c>
      <c r="AE84">
        <f t="shared" si="14"/>
        <v>82</v>
      </c>
      <c r="AF84">
        <f t="shared" si="15"/>
        <v>81</v>
      </c>
      <c r="AG84">
        <f t="shared" si="9"/>
        <v>21.175799999999981</v>
      </c>
      <c r="AH84">
        <f t="shared" si="10"/>
        <v>448.41450563999922</v>
      </c>
      <c r="AI84">
        <f t="shared" si="11"/>
        <v>0.21844145670632942</v>
      </c>
      <c r="AJ84">
        <f t="shared" si="12"/>
        <v>0.13155683561747378</v>
      </c>
      <c r="AK84">
        <f t="shared" si="13"/>
        <v>6561</v>
      </c>
      <c r="AL84">
        <f t="shared" si="16"/>
        <v>4789.13598</v>
      </c>
      <c r="AM84" t="str">
        <f t="shared" si="17"/>
        <v/>
      </c>
    </row>
    <row r="85" spans="1:39" x14ac:dyDescent="0.55000000000000004">
      <c r="A85">
        <v>1776429002</v>
      </c>
      <c r="B85" t="s">
        <v>72</v>
      </c>
      <c r="C85" t="s">
        <v>73</v>
      </c>
      <c r="D85">
        <v>4823.45</v>
      </c>
      <c r="E85">
        <v>4518.5928199999998</v>
      </c>
      <c r="F85">
        <v>4596.0559499999999</v>
      </c>
      <c r="G85">
        <v>4755.40355</v>
      </c>
      <c r="H85">
        <v>4792.7697200000002</v>
      </c>
      <c r="Q85">
        <v>4795.42659</v>
      </c>
      <c r="R85">
        <v>4824.78989</v>
      </c>
      <c r="S85">
        <v>4851.3786600000003</v>
      </c>
      <c r="V85">
        <v>4760.4868200000001</v>
      </c>
      <c r="W85">
        <v>4726.9218199999996</v>
      </c>
      <c r="AB85">
        <v>4832.94049</v>
      </c>
      <c r="AC85">
        <v>4822.3492999999999</v>
      </c>
      <c r="AD85">
        <v>0</v>
      </c>
      <c r="AE85">
        <f t="shared" si="14"/>
        <v>83</v>
      </c>
      <c r="AF85">
        <f t="shared" si="15"/>
        <v>82</v>
      </c>
      <c r="AG85">
        <f t="shared" si="9"/>
        <v>28.023409999999785</v>
      </c>
      <c r="AH85">
        <f t="shared" si="10"/>
        <v>785.31150802808793</v>
      </c>
      <c r="AI85">
        <f t="shared" si="11"/>
        <v>0.50626572624996002</v>
      </c>
      <c r="AJ85">
        <f t="shared" si="12"/>
        <v>0.40349488720732546</v>
      </c>
      <c r="AK85">
        <f t="shared" si="13"/>
        <v>6724</v>
      </c>
      <c r="AL85">
        <f t="shared" si="16"/>
        <v>4789.13598</v>
      </c>
      <c r="AM85" t="str">
        <f t="shared" si="17"/>
        <v/>
      </c>
    </row>
    <row r="86" spans="1:39" x14ac:dyDescent="0.55000000000000004">
      <c r="A86">
        <v>1776429902</v>
      </c>
      <c r="B86" t="s">
        <v>72</v>
      </c>
      <c r="C86" t="s">
        <v>73</v>
      </c>
      <c r="D86">
        <v>4846.75</v>
      </c>
      <c r="E86">
        <v>4518.5928199999998</v>
      </c>
      <c r="F86">
        <v>4596.0559499999999</v>
      </c>
      <c r="G86">
        <v>4755.40355</v>
      </c>
      <c r="H86">
        <v>4792.7697200000002</v>
      </c>
      <c r="Q86">
        <v>4795.1589899999999</v>
      </c>
      <c r="R86">
        <v>4824.5222899999999</v>
      </c>
      <c r="S86">
        <v>4851.1110600000002</v>
      </c>
      <c r="V86">
        <v>4760.21922</v>
      </c>
      <c r="W86">
        <v>4726.6542200000004</v>
      </c>
      <c r="AB86">
        <v>4845.1534300000003</v>
      </c>
      <c r="AC86">
        <v>4833.7513600000002</v>
      </c>
      <c r="AD86">
        <v>0</v>
      </c>
      <c r="AE86">
        <f t="shared" si="14"/>
        <v>84</v>
      </c>
      <c r="AF86">
        <f t="shared" si="15"/>
        <v>83</v>
      </c>
      <c r="AG86">
        <f t="shared" si="9"/>
        <v>51.591010000000097</v>
      </c>
      <c r="AH86">
        <f t="shared" si="10"/>
        <v>2661.6323128201097</v>
      </c>
      <c r="AI86">
        <f t="shared" si="11"/>
        <v>3.1589130717350451</v>
      </c>
      <c r="AJ86">
        <f t="shared" si="12"/>
        <v>4.6350052809690085</v>
      </c>
      <c r="AK86">
        <f t="shared" si="13"/>
        <v>6889</v>
      </c>
      <c r="AL86">
        <f t="shared" si="16"/>
        <v>4789.13598</v>
      </c>
      <c r="AM86" t="str">
        <f t="shared" si="17"/>
        <v/>
      </c>
    </row>
    <row r="87" spans="1:39" x14ac:dyDescent="0.55000000000000004">
      <c r="A87">
        <v>1776430802</v>
      </c>
      <c r="B87" t="s">
        <v>72</v>
      </c>
      <c r="C87" t="s">
        <v>73</v>
      </c>
      <c r="D87">
        <v>4883.6000000000004</v>
      </c>
      <c r="E87">
        <v>4518.5928199999998</v>
      </c>
      <c r="F87">
        <v>4596.0559499999999</v>
      </c>
      <c r="G87">
        <v>4755.40355</v>
      </c>
      <c r="H87">
        <v>4792.7697200000002</v>
      </c>
      <c r="Q87">
        <v>4794.89138</v>
      </c>
      <c r="R87">
        <v>4824.25468</v>
      </c>
      <c r="S87">
        <v>4850.8434500000003</v>
      </c>
      <c r="V87">
        <v>4759.9516100000001</v>
      </c>
      <c r="W87">
        <v>4726.3866200000002</v>
      </c>
      <c r="Z87">
        <v>4889.21</v>
      </c>
      <c r="AB87">
        <v>4856.0310099999997</v>
      </c>
      <c r="AC87">
        <v>4844.8911900000003</v>
      </c>
      <c r="AD87">
        <v>0</v>
      </c>
      <c r="AE87">
        <f t="shared" si="14"/>
        <v>85</v>
      </c>
      <c r="AF87">
        <f t="shared" si="15"/>
        <v>84</v>
      </c>
      <c r="AG87">
        <f t="shared" si="9"/>
        <v>88.708620000000337</v>
      </c>
      <c r="AH87">
        <f t="shared" si="10"/>
        <v>7869.2192623044602</v>
      </c>
      <c r="AI87">
        <f t="shared" si="11"/>
        <v>16.058798693913047</v>
      </c>
      <c r="AJ87">
        <f t="shared" si="12"/>
        <v>40.515145727863064</v>
      </c>
      <c r="AK87">
        <f t="shared" si="13"/>
        <v>7056</v>
      </c>
      <c r="AL87">
        <f t="shared" si="16"/>
        <v>4789.13598</v>
      </c>
      <c r="AM87" t="str">
        <f t="shared" si="17"/>
        <v/>
      </c>
    </row>
    <row r="88" spans="1:39" x14ac:dyDescent="0.55000000000000004">
      <c r="A88">
        <v>1776431702</v>
      </c>
      <c r="B88" t="s">
        <v>72</v>
      </c>
      <c r="C88" t="s">
        <v>73</v>
      </c>
      <c r="D88">
        <v>4851.59</v>
      </c>
      <c r="E88">
        <v>4518.5928199999998</v>
      </c>
      <c r="F88">
        <v>4596.0559499999999</v>
      </c>
      <c r="G88">
        <v>4755.40355</v>
      </c>
      <c r="H88">
        <v>4792.7697200000002</v>
      </c>
      <c r="Q88">
        <v>4794.6237799999999</v>
      </c>
      <c r="R88">
        <v>4823.9870799999999</v>
      </c>
      <c r="S88">
        <v>4850.5758500000002</v>
      </c>
      <c r="V88">
        <v>4759.6840099999999</v>
      </c>
      <c r="W88">
        <v>4726.1190100000003</v>
      </c>
      <c r="AB88">
        <v>4864.0205599999999</v>
      </c>
      <c r="AC88">
        <v>4854.4558699999998</v>
      </c>
      <c r="AD88">
        <v>0</v>
      </c>
      <c r="AE88">
        <f t="shared" si="14"/>
        <v>86</v>
      </c>
      <c r="AF88">
        <f t="shared" si="15"/>
        <v>85</v>
      </c>
      <c r="AG88">
        <f t="shared" si="9"/>
        <v>56.966220000000249</v>
      </c>
      <c r="AH88">
        <f t="shared" si="10"/>
        <v>3245.1502210884282</v>
      </c>
      <c r="AI88">
        <f t="shared" si="11"/>
        <v>4.2527298229355388</v>
      </c>
      <c r="AJ88">
        <f t="shared" si="12"/>
        <v>6.8900714198364552</v>
      </c>
      <c r="AK88">
        <f t="shared" si="13"/>
        <v>7225</v>
      </c>
      <c r="AL88">
        <f t="shared" si="16"/>
        <v>4789.13598</v>
      </c>
      <c r="AM88" t="str">
        <f t="shared" si="17"/>
        <v/>
      </c>
    </row>
    <row r="89" spans="1:39" x14ac:dyDescent="0.55000000000000004">
      <c r="A89">
        <v>1776432602</v>
      </c>
      <c r="B89" t="s">
        <v>72</v>
      </c>
      <c r="C89" t="s">
        <v>73</v>
      </c>
      <c r="D89">
        <v>4864.42</v>
      </c>
      <c r="E89">
        <v>4518.5928199999998</v>
      </c>
      <c r="F89">
        <v>4596.0559499999999</v>
      </c>
      <c r="G89">
        <v>4755.40355</v>
      </c>
      <c r="H89">
        <v>4792.7697200000002</v>
      </c>
      <c r="Q89">
        <v>4794.3561799999998</v>
      </c>
      <c r="R89">
        <v>4823.71947</v>
      </c>
      <c r="S89">
        <v>4850.3082400000003</v>
      </c>
      <c r="V89">
        <v>4759.4164000000001</v>
      </c>
      <c r="W89">
        <v>4725.8514100000002</v>
      </c>
      <c r="AB89">
        <v>4869.80746</v>
      </c>
      <c r="AC89">
        <v>4862.1316699999998</v>
      </c>
      <c r="AD89">
        <v>0</v>
      </c>
      <c r="AE89">
        <f t="shared" si="14"/>
        <v>87</v>
      </c>
      <c r="AF89">
        <f t="shared" si="15"/>
        <v>86</v>
      </c>
      <c r="AG89">
        <f t="shared" si="9"/>
        <v>70.063820000000305</v>
      </c>
      <c r="AH89">
        <f t="shared" si="10"/>
        <v>4908.9388729924431</v>
      </c>
      <c r="AI89">
        <f t="shared" si="11"/>
        <v>7.9121957048629357</v>
      </c>
      <c r="AJ89">
        <f t="shared" si="12"/>
        <v>15.766284573218222</v>
      </c>
      <c r="AK89">
        <f t="shared" si="13"/>
        <v>7396</v>
      </c>
      <c r="AL89">
        <f t="shared" si="16"/>
        <v>4789.13598</v>
      </c>
      <c r="AM89" t="str">
        <f t="shared" si="17"/>
        <v/>
      </c>
    </row>
    <row r="90" spans="1:39" x14ac:dyDescent="0.55000000000000004">
      <c r="A90">
        <v>1776433502</v>
      </c>
      <c r="B90" t="s">
        <v>72</v>
      </c>
      <c r="C90" t="s">
        <v>73</v>
      </c>
      <c r="D90">
        <v>4880.26</v>
      </c>
      <c r="E90">
        <v>4518.5928199999998</v>
      </c>
      <c r="F90">
        <v>4596.0559499999999</v>
      </c>
      <c r="G90">
        <v>4755.40355</v>
      </c>
      <c r="H90">
        <v>4792.7697200000002</v>
      </c>
      <c r="Q90">
        <v>4794.0885699999999</v>
      </c>
      <c r="R90">
        <v>4823.4518699999999</v>
      </c>
      <c r="S90">
        <v>4850.0406400000002</v>
      </c>
      <c r="V90">
        <v>4759.1487999999999</v>
      </c>
      <c r="W90">
        <v>4725.5838000000003</v>
      </c>
      <c r="AB90">
        <v>4873.2327100000002</v>
      </c>
      <c r="AC90">
        <v>4867.6821900000004</v>
      </c>
      <c r="AD90">
        <v>0</v>
      </c>
      <c r="AE90">
        <f t="shared" si="14"/>
        <v>88</v>
      </c>
      <c r="AF90">
        <f t="shared" si="15"/>
        <v>87</v>
      </c>
      <c r="AG90">
        <f t="shared" si="9"/>
        <v>86.171430000000328</v>
      </c>
      <c r="AH90">
        <f t="shared" si="10"/>
        <v>7425.5153482449568</v>
      </c>
      <c r="AI90">
        <f t="shared" si="11"/>
        <v>14.719921183894852</v>
      </c>
      <c r="AJ90">
        <f t="shared" si="12"/>
        <v>36.075080829085017</v>
      </c>
      <c r="AK90">
        <f t="shared" si="13"/>
        <v>7569</v>
      </c>
      <c r="AL90">
        <f t="shared" si="16"/>
        <v>4789.13598</v>
      </c>
      <c r="AM90" t="str">
        <f t="shared" si="17"/>
        <v/>
      </c>
    </row>
    <row r="91" spans="1:39" x14ac:dyDescent="0.55000000000000004">
      <c r="A91">
        <v>1776434402</v>
      </c>
      <c r="B91" t="s">
        <v>72</v>
      </c>
      <c r="C91" t="s">
        <v>73</v>
      </c>
      <c r="D91">
        <v>4867.03</v>
      </c>
      <c r="E91">
        <v>4518.5928199999998</v>
      </c>
      <c r="F91">
        <v>4596.0559499999999</v>
      </c>
      <c r="G91">
        <v>4755.40355</v>
      </c>
      <c r="H91">
        <v>4792.7697200000002</v>
      </c>
      <c r="Q91">
        <v>4793.8209699999998</v>
      </c>
      <c r="R91">
        <v>4823.1842699999997</v>
      </c>
      <c r="S91">
        <v>4849.77304</v>
      </c>
      <c r="V91">
        <v>4758.8811999999998</v>
      </c>
      <c r="W91">
        <v>4725.3162000000002</v>
      </c>
      <c r="AB91">
        <v>4874.2234200000003</v>
      </c>
      <c r="AC91">
        <v>4870.9528099999998</v>
      </c>
      <c r="AD91">
        <v>0</v>
      </c>
      <c r="AE91">
        <f t="shared" si="14"/>
        <v>89</v>
      </c>
      <c r="AF91">
        <f t="shared" si="15"/>
        <v>88</v>
      </c>
      <c r="AG91">
        <f t="shared" si="9"/>
        <v>73.209029999999984</v>
      </c>
      <c r="AH91">
        <f t="shared" si="10"/>
        <v>5359.5620735408975</v>
      </c>
      <c r="AI91">
        <f t="shared" si="11"/>
        <v>9.0262953980196681</v>
      </c>
      <c r="AJ91">
        <f t="shared" si="12"/>
        <v>18.79371873999202</v>
      </c>
      <c r="AK91">
        <f t="shared" si="13"/>
        <v>7744</v>
      </c>
      <c r="AL91">
        <f t="shared" si="16"/>
        <v>4789.13598</v>
      </c>
      <c r="AM91" t="str">
        <f t="shared" si="17"/>
        <v/>
      </c>
    </row>
    <row r="92" spans="1:39" x14ac:dyDescent="0.55000000000000004">
      <c r="A92">
        <v>1776435302</v>
      </c>
      <c r="B92" t="s">
        <v>72</v>
      </c>
      <c r="C92" t="s">
        <v>73</v>
      </c>
      <c r="D92">
        <v>4871.43</v>
      </c>
      <c r="E92">
        <v>4518.5928199999998</v>
      </c>
      <c r="F92">
        <v>4596.0559499999999</v>
      </c>
      <c r="G92">
        <v>4755.40355</v>
      </c>
      <c r="H92">
        <v>4792.7697200000002</v>
      </c>
      <c r="Q92">
        <v>4793.5533599999999</v>
      </c>
      <c r="R92">
        <v>4822.9166599999999</v>
      </c>
      <c r="S92">
        <v>4849.5054300000002</v>
      </c>
      <c r="V92">
        <v>4758.6135899999999</v>
      </c>
      <c r="W92">
        <v>4725.0486000000001</v>
      </c>
      <c r="AB92">
        <v>4873.6899000000003</v>
      </c>
      <c r="AC92">
        <v>4872.3213500000002</v>
      </c>
      <c r="AD92">
        <v>0</v>
      </c>
      <c r="AE92">
        <f t="shared" si="14"/>
        <v>90</v>
      </c>
      <c r="AF92">
        <f t="shared" si="15"/>
        <v>89</v>
      </c>
      <c r="AG92">
        <f t="shared" si="9"/>
        <v>77.876640000000407</v>
      </c>
      <c r="AH92">
        <f t="shared" si="10"/>
        <v>6064.7710576896634</v>
      </c>
      <c r="AI92">
        <f t="shared" si="11"/>
        <v>10.86518689482657</v>
      </c>
      <c r="AJ92">
        <f t="shared" si="12"/>
        <v>24.064837579215986</v>
      </c>
      <c r="AK92">
        <f t="shared" si="13"/>
        <v>7921</v>
      </c>
      <c r="AL92">
        <f t="shared" si="16"/>
        <v>4789.13598</v>
      </c>
      <c r="AM92" t="str">
        <f t="shared" si="17"/>
        <v/>
      </c>
    </row>
    <row r="93" spans="1:39" x14ac:dyDescent="0.55000000000000004">
      <c r="A93">
        <v>1776436202</v>
      </c>
      <c r="B93" t="s">
        <v>72</v>
      </c>
      <c r="C93" t="s">
        <v>73</v>
      </c>
      <c r="D93">
        <v>4877.3100000000004</v>
      </c>
      <c r="E93">
        <v>4518.5928199999998</v>
      </c>
      <c r="F93">
        <v>4596.0559499999999</v>
      </c>
      <c r="G93">
        <v>4755.40355</v>
      </c>
      <c r="H93">
        <v>4792.7697200000002</v>
      </c>
      <c r="Q93">
        <v>4793.2857599999998</v>
      </c>
      <c r="R93">
        <v>4822.6490599999997</v>
      </c>
      <c r="S93">
        <v>4849.23783</v>
      </c>
      <c r="V93">
        <v>4758.3459899999998</v>
      </c>
      <c r="W93">
        <v>4724.7809900000002</v>
      </c>
      <c r="AB93">
        <v>4872.1414400000003</v>
      </c>
      <c r="AC93">
        <v>4872.2313999999997</v>
      </c>
      <c r="AD93">
        <v>1</v>
      </c>
      <c r="AE93">
        <f t="shared" si="14"/>
        <v>91</v>
      </c>
      <c r="AF93">
        <f t="shared" si="15"/>
        <v>90</v>
      </c>
      <c r="AG93">
        <f t="shared" si="9"/>
        <v>84.024240000000646</v>
      </c>
      <c r="AH93">
        <f t="shared" si="10"/>
        <v>7060.0729075777081</v>
      </c>
      <c r="AI93">
        <f t="shared" si="11"/>
        <v>13.646754014426355</v>
      </c>
      <c r="AJ93">
        <f t="shared" si="12"/>
        <v>32.611628360564737</v>
      </c>
      <c r="AK93">
        <f t="shared" si="13"/>
        <v>8100</v>
      </c>
      <c r="AL93">
        <f t="shared" si="16"/>
        <v>4872.1414400000003</v>
      </c>
      <c r="AM93">
        <f t="shared" si="17"/>
        <v>83.005460000000312</v>
      </c>
    </row>
    <row r="94" spans="1:39" x14ac:dyDescent="0.55000000000000004">
      <c r="A94">
        <v>1776437102</v>
      </c>
      <c r="B94" t="s">
        <v>72</v>
      </c>
      <c r="C94" t="s">
        <v>73</v>
      </c>
      <c r="D94">
        <v>4873.1499999999996</v>
      </c>
      <c r="E94">
        <v>4518.5928199999998</v>
      </c>
      <c r="F94">
        <v>4596.0559499999999</v>
      </c>
      <c r="G94">
        <v>4755.40355</v>
      </c>
      <c r="H94">
        <v>4792.7697200000002</v>
      </c>
      <c r="Q94">
        <v>4793.0181499999999</v>
      </c>
      <c r="R94">
        <v>4822.3814499999999</v>
      </c>
      <c r="S94">
        <v>4848.9702200000002</v>
      </c>
      <c r="V94">
        <v>4758.0783799999999</v>
      </c>
      <c r="W94">
        <v>4724.5133900000001</v>
      </c>
      <c r="AB94">
        <v>4870.0354600000001</v>
      </c>
      <c r="AC94">
        <v>4871.1334299999999</v>
      </c>
      <c r="AD94">
        <v>0</v>
      </c>
      <c r="AE94">
        <f t="shared" si="14"/>
        <v>92</v>
      </c>
      <c r="AF94">
        <f t="shared" si="15"/>
        <v>91</v>
      </c>
      <c r="AG94">
        <f t="shared" si="9"/>
        <v>80.131849999999758</v>
      </c>
      <c r="AH94">
        <f t="shared" si="10"/>
        <v>6421.1133844224614</v>
      </c>
      <c r="AI94">
        <f t="shared" si="11"/>
        <v>11.836712320936604</v>
      </c>
      <c r="AJ94">
        <f t="shared" si="12"/>
        <v>26.975828394905037</v>
      </c>
      <c r="AK94">
        <f t="shared" si="13"/>
        <v>8281</v>
      </c>
      <c r="AL94">
        <f t="shared" si="16"/>
        <v>4872.1414400000003</v>
      </c>
      <c r="AM94" t="str">
        <f t="shared" si="17"/>
        <v/>
      </c>
    </row>
    <row r="95" spans="1:39" x14ac:dyDescent="0.55000000000000004">
      <c r="A95">
        <v>1776438002</v>
      </c>
      <c r="B95" t="s">
        <v>72</v>
      </c>
      <c r="C95" t="s">
        <v>73</v>
      </c>
      <c r="D95">
        <v>4867.01</v>
      </c>
      <c r="E95">
        <v>4518.5928199999998</v>
      </c>
      <c r="F95">
        <v>4596.0559499999999</v>
      </c>
      <c r="G95">
        <v>4755.40355</v>
      </c>
      <c r="H95">
        <v>4792.7697200000002</v>
      </c>
      <c r="Q95">
        <v>4792.7505499999997</v>
      </c>
      <c r="R95">
        <v>4822.1138499999997</v>
      </c>
      <c r="S95">
        <v>4848.70262</v>
      </c>
      <c r="V95">
        <v>4757.8107799999998</v>
      </c>
      <c r="W95">
        <v>4724.2457800000002</v>
      </c>
      <c r="AB95">
        <v>4868.0127300000004</v>
      </c>
      <c r="AC95">
        <v>4869.5730800000001</v>
      </c>
      <c r="AD95">
        <v>0</v>
      </c>
      <c r="AE95">
        <f t="shared" si="14"/>
        <v>93</v>
      </c>
      <c r="AF95">
        <f t="shared" si="15"/>
        <v>92</v>
      </c>
      <c r="AG95">
        <f t="shared" si="9"/>
        <v>74.25945000000047</v>
      </c>
      <c r="AH95">
        <f t="shared" si="10"/>
        <v>5514.4659143025701</v>
      </c>
      <c r="AI95">
        <f t="shared" si="11"/>
        <v>9.4204309242509918</v>
      </c>
      <c r="AJ95">
        <f t="shared" si="12"/>
        <v>19.895782560200875</v>
      </c>
      <c r="AK95">
        <f t="shared" si="13"/>
        <v>8464</v>
      </c>
      <c r="AL95">
        <f t="shared" si="16"/>
        <v>4872.1414400000003</v>
      </c>
      <c r="AM95" t="str">
        <f t="shared" si="17"/>
        <v/>
      </c>
    </row>
    <row r="96" spans="1:39" x14ac:dyDescent="0.55000000000000004">
      <c r="A96">
        <v>1776438902</v>
      </c>
      <c r="B96" t="s">
        <v>72</v>
      </c>
      <c r="C96" t="s">
        <v>73</v>
      </c>
      <c r="D96">
        <v>4865.8599999999997</v>
      </c>
      <c r="E96">
        <v>4518.5928199999998</v>
      </c>
      <c r="F96">
        <v>4596.0559499999999</v>
      </c>
      <c r="G96">
        <v>4755.40355</v>
      </c>
      <c r="H96">
        <v>4792.7697200000002</v>
      </c>
      <c r="Q96">
        <v>4792.4829499999996</v>
      </c>
      <c r="R96">
        <v>4821.8462499999996</v>
      </c>
      <c r="S96">
        <v>4848.4350199999999</v>
      </c>
      <c r="V96">
        <v>4757.5431799999997</v>
      </c>
      <c r="W96">
        <v>4723.9781800000001</v>
      </c>
      <c r="AB96">
        <v>4866.6348699999999</v>
      </c>
      <c r="AC96">
        <v>4868.1039799999999</v>
      </c>
      <c r="AD96">
        <v>0</v>
      </c>
      <c r="AE96">
        <f t="shared" si="14"/>
        <v>94</v>
      </c>
      <c r="AF96">
        <f t="shared" si="15"/>
        <v>93</v>
      </c>
      <c r="AG96">
        <f t="shared" si="9"/>
        <v>73.377050000000054</v>
      </c>
      <c r="AH96">
        <f t="shared" si="10"/>
        <v>5384.1914667025076</v>
      </c>
      <c r="AI96">
        <f t="shared" si="11"/>
        <v>9.0885861366481357</v>
      </c>
      <c r="AJ96">
        <f t="shared" si="12"/>
        <v>18.96684536438158</v>
      </c>
      <c r="AK96">
        <f t="shared" si="13"/>
        <v>8649</v>
      </c>
      <c r="AL96">
        <f t="shared" si="16"/>
        <v>4872.1414400000003</v>
      </c>
      <c r="AM96" t="str">
        <f t="shared" si="17"/>
        <v/>
      </c>
    </row>
    <row r="97" spans="1:39" x14ac:dyDescent="0.55000000000000004">
      <c r="A97">
        <v>1776439802</v>
      </c>
      <c r="B97" t="s">
        <v>72</v>
      </c>
      <c r="C97" t="s">
        <v>73</v>
      </c>
      <c r="D97">
        <v>4858.58</v>
      </c>
      <c r="E97">
        <v>4518.5928199999998</v>
      </c>
      <c r="F97">
        <v>4596.0559499999999</v>
      </c>
      <c r="G97">
        <v>4755.40355</v>
      </c>
      <c r="H97">
        <v>4792.7697200000002</v>
      </c>
      <c r="Q97">
        <v>4792.2153399999997</v>
      </c>
      <c r="R97">
        <v>4821.5786399999997</v>
      </c>
      <c r="S97">
        <v>4848.16741</v>
      </c>
      <c r="V97">
        <v>4757.2755699999998</v>
      </c>
      <c r="W97">
        <v>4723.7105799999999</v>
      </c>
      <c r="AB97">
        <v>4866.0423799999999</v>
      </c>
      <c r="AC97">
        <v>4867.0731800000003</v>
      </c>
      <c r="AD97">
        <v>0</v>
      </c>
      <c r="AE97">
        <f t="shared" si="14"/>
        <v>95</v>
      </c>
      <c r="AF97">
        <f t="shared" si="15"/>
        <v>94</v>
      </c>
      <c r="AG97">
        <f t="shared" si="9"/>
        <v>66.364660000000185</v>
      </c>
      <c r="AH97">
        <f t="shared" si="10"/>
        <v>4404.2680969156245</v>
      </c>
      <c r="AI97">
        <f t="shared" si="11"/>
        <v>6.7239767913668924</v>
      </c>
      <c r="AJ97">
        <f t="shared" si="12"/>
        <v>12.691168424364781</v>
      </c>
      <c r="AK97">
        <f t="shared" si="13"/>
        <v>8836</v>
      </c>
      <c r="AL97">
        <f t="shared" si="16"/>
        <v>4872.1414400000003</v>
      </c>
      <c r="AM97" t="str">
        <f t="shared" si="17"/>
        <v/>
      </c>
    </row>
    <row r="98" spans="1:39" x14ac:dyDescent="0.55000000000000004">
      <c r="A98">
        <v>1776440702</v>
      </c>
      <c r="B98" t="s">
        <v>72</v>
      </c>
      <c r="C98" t="s">
        <v>73</v>
      </c>
      <c r="D98">
        <v>4867.57</v>
      </c>
      <c r="E98">
        <v>4518.5928199999998</v>
      </c>
      <c r="F98">
        <v>4596.0559499999999</v>
      </c>
      <c r="G98">
        <v>4755.40355</v>
      </c>
      <c r="H98">
        <v>4792.7697200000002</v>
      </c>
      <c r="Q98">
        <v>4791.9477399999996</v>
      </c>
      <c r="R98">
        <v>4821.3110399999996</v>
      </c>
      <c r="S98">
        <v>4847.8998099999999</v>
      </c>
      <c r="V98">
        <v>4757.0079699999997</v>
      </c>
      <c r="W98">
        <v>4723.4429700000001</v>
      </c>
      <c r="AB98">
        <v>4866.2983400000003</v>
      </c>
      <c r="AC98">
        <v>4866.6857600000003</v>
      </c>
      <c r="AD98">
        <v>0</v>
      </c>
      <c r="AE98">
        <f t="shared" si="14"/>
        <v>96</v>
      </c>
      <c r="AF98">
        <f t="shared" si="15"/>
        <v>95</v>
      </c>
      <c r="AG98">
        <f t="shared" si="9"/>
        <v>75.622260000000097</v>
      </c>
      <c r="AH98">
        <f t="shared" si="10"/>
        <v>5718.7262075076142</v>
      </c>
      <c r="AI98">
        <f t="shared" si="11"/>
        <v>9.9486589097860829</v>
      </c>
      <c r="AJ98">
        <f t="shared" si="12"/>
        <v>21.396991874470331</v>
      </c>
      <c r="AK98">
        <f t="shared" si="13"/>
        <v>9025</v>
      </c>
      <c r="AL98">
        <f t="shared" si="16"/>
        <v>4872.1414400000003</v>
      </c>
      <c r="AM98" t="str">
        <f t="shared" si="17"/>
        <v/>
      </c>
    </row>
    <row r="99" spans="1:39" x14ac:dyDescent="0.55000000000000004">
      <c r="A99">
        <v>1776441602</v>
      </c>
      <c r="B99" t="s">
        <v>72</v>
      </c>
      <c r="C99" t="s">
        <v>73</v>
      </c>
      <c r="D99">
        <v>4871.66</v>
      </c>
      <c r="E99">
        <v>4518.5928199999998</v>
      </c>
      <c r="F99">
        <v>4596.0559499999999</v>
      </c>
      <c r="G99">
        <v>4755.40355</v>
      </c>
      <c r="H99">
        <v>4792.7697200000002</v>
      </c>
      <c r="Q99">
        <v>4791.6801299999997</v>
      </c>
      <c r="R99">
        <v>4821.0434299999997</v>
      </c>
      <c r="S99">
        <v>4847.6322</v>
      </c>
      <c r="V99">
        <v>4756.7403599999998</v>
      </c>
      <c r="W99">
        <v>4723.1753699999999</v>
      </c>
      <c r="AB99">
        <v>4866.7910899999997</v>
      </c>
      <c r="AC99">
        <v>4866.7384199999997</v>
      </c>
      <c r="AD99">
        <v>1</v>
      </c>
      <c r="AE99">
        <f t="shared" si="14"/>
        <v>97</v>
      </c>
      <c r="AF99">
        <f t="shared" si="15"/>
        <v>96</v>
      </c>
      <c r="AG99">
        <f t="shared" si="9"/>
        <v>79.979870000000119</v>
      </c>
      <c r="AH99">
        <f t="shared" si="10"/>
        <v>6396.7796052169188</v>
      </c>
      <c r="AI99">
        <f t="shared" si="11"/>
        <v>11.769490594150408</v>
      </c>
      <c r="AJ99">
        <f t="shared" si="12"/>
        <v>26.771757853194597</v>
      </c>
      <c r="AK99">
        <f t="shared" si="13"/>
        <v>9216</v>
      </c>
      <c r="AL99">
        <f t="shared" si="16"/>
        <v>4866.7910899999997</v>
      </c>
      <c r="AM99">
        <f t="shared" si="17"/>
        <v>5.350350000000617</v>
      </c>
    </row>
    <row r="100" spans="1:39" x14ac:dyDescent="0.55000000000000004">
      <c r="A100">
        <v>1776442502</v>
      </c>
      <c r="B100" t="s">
        <v>72</v>
      </c>
      <c r="C100" t="s">
        <v>73</v>
      </c>
      <c r="D100">
        <v>4867.71</v>
      </c>
      <c r="E100">
        <v>4518.5928199999998</v>
      </c>
      <c r="F100">
        <v>4596.0559499999999</v>
      </c>
      <c r="G100">
        <v>4755.40355</v>
      </c>
      <c r="H100">
        <v>4792.7697200000002</v>
      </c>
      <c r="Q100">
        <v>4791.4125299999996</v>
      </c>
      <c r="R100">
        <v>4820.7758299999996</v>
      </c>
      <c r="S100">
        <v>4847.3645999999999</v>
      </c>
      <c r="V100">
        <v>4756.4727599999997</v>
      </c>
      <c r="W100">
        <v>4722.9077600000001</v>
      </c>
      <c r="AB100">
        <v>4866.9934199999998</v>
      </c>
      <c r="AC100">
        <v>4866.8659200000002</v>
      </c>
      <c r="AD100">
        <v>0</v>
      </c>
      <c r="AE100">
        <f t="shared" si="14"/>
        <v>98</v>
      </c>
      <c r="AF100">
        <f t="shared" si="15"/>
        <v>97</v>
      </c>
      <c r="AG100">
        <f t="shared" si="9"/>
        <v>76.29747000000043</v>
      </c>
      <c r="AH100">
        <f t="shared" si="10"/>
        <v>5821.3039284009656</v>
      </c>
      <c r="AI100">
        <f t="shared" si="11"/>
        <v>10.217531748820109</v>
      </c>
      <c r="AJ100">
        <f t="shared" si="12"/>
        <v>22.171478818723781</v>
      </c>
      <c r="AK100">
        <f t="shared" si="13"/>
        <v>9409</v>
      </c>
      <c r="AL100">
        <f t="shared" si="16"/>
        <v>4866.7910899999997</v>
      </c>
      <c r="AM100" t="str">
        <f t="shared" si="17"/>
        <v/>
      </c>
    </row>
    <row r="101" spans="1:39" x14ac:dyDescent="0.55000000000000004">
      <c r="A101">
        <v>1776443402</v>
      </c>
      <c r="B101" t="s">
        <v>72</v>
      </c>
      <c r="C101" t="s">
        <v>73</v>
      </c>
      <c r="D101">
        <v>4868.37</v>
      </c>
      <c r="E101">
        <v>4518.5928199999998</v>
      </c>
      <c r="F101">
        <v>4596.0559499999999</v>
      </c>
      <c r="G101">
        <v>4755.40355</v>
      </c>
      <c r="H101">
        <v>4792.7697200000002</v>
      </c>
      <c r="Q101">
        <v>4791.1449300000004</v>
      </c>
      <c r="R101">
        <v>4820.5082199999997</v>
      </c>
      <c r="S101">
        <v>4847.0969999999998</v>
      </c>
      <c r="V101">
        <v>4756.2051600000004</v>
      </c>
      <c r="W101">
        <v>4722.6401599999999</v>
      </c>
      <c r="AB101">
        <v>4866.68822</v>
      </c>
      <c r="AC101">
        <v>4866.7770700000001</v>
      </c>
      <c r="AD101">
        <v>1</v>
      </c>
      <c r="AE101">
        <f t="shared" si="14"/>
        <v>99</v>
      </c>
      <c r="AF101">
        <f t="shared" si="15"/>
        <v>98</v>
      </c>
      <c r="AG101">
        <f t="shared" si="9"/>
        <v>77.225069999999505</v>
      </c>
      <c r="AH101">
        <f t="shared" si="10"/>
        <v>5963.7114365048237</v>
      </c>
      <c r="AI101">
        <f t="shared" si="11"/>
        <v>10.594745196497078</v>
      </c>
      <c r="AJ101">
        <f t="shared" si="12"/>
        <v>23.269516269355243</v>
      </c>
      <c r="AK101">
        <f t="shared" si="13"/>
        <v>9604</v>
      </c>
      <c r="AL101">
        <f t="shared" si="16"/>
        <v>4866.68822</v>
      </c>
      <c r="AM101">
        <f t="shared" si="17"/>
        <v>0.10286999999971158</v>
      </c>
    </row>
    <row r="102" spans="1:39" x14ac:dyDescent="0.55000000000000004">
      <c r="A102">
        <v>1776444302</v>
      </c>
      <c r="B102" t="s">
        <v>72</v>
      </c>
      <c r="C102" t="s">
        <v>73</v>
      </c>
      <c r="D102">
        <v>4867.12</v>
      </c>
      <c r="E102">
        <v>4518.5928199999998</v>
      </c>
      <c r="F102">
        <v>4596.0559499999999</v>
      </c>
      <c r="G102">
        <v>4755.40355</v>
      </c>
      <c r="H102">
        <v>4792.7697200000002</v>
      </c>
      <c r="Q102">
        <v>4790.8773199999996</v>
      </c>
      <c r="R102">
        <v>4820.2406199999996</v>
      </c>
      <c r="S102">
        <v>4846.8293899999999</v>
      </c>
      <c r="V102">
        <v>4755.9375499999996</v>
      </c>
      <c r="W102">
        <v>4722.3725599999998</v>
      </c>
      <c r="AB102">
        <v>4865.6871199999996</v>
      </c>
      <c r="AC102">
        <v>4866.2320900000004</v>
      </c>
      <c r="AD102">
        <v>0</v>
      </c>
      <c r="AE102">
        <f t="shared" si="14"/>
        <v>100</v>
      </c>
      <c r="AF102">
        <f t="shared" si="15"/>
        <v>99</v>
      </c>
      <c r="AG102">
        <f t="shared" si="9"/>
        <v>76.242680000000291</v>
      </c>
      <c r="AH102">
        <f t="shared" si="10"/>
        <v>5812.9462535824441</v>
      </c>
      <c r="AI102">
        <f t="shared" si="11"/>
        <v>10.195535607299375</v>
      </c>
      <c r="AJ102">
        <f t="shared" si="12"/>
        <v>22.10786111623506</v>
      </c>
      <c r="AK102">
        <f t="shared" si="13"/>
        <v>9801</v>
      </c>
      <c r="AL102">
        <f t="shared" si="16"/>
        <v>4866.68822</v>
      </c>
      <c r="AM102" t="str">
        <f t="shared" si="17"/>
        <v/>
      </c>
    </row>
    <row r="103" spans="1:39" x14ac:dyDescent="0.55000000000000004">
      <c r="A103">
        <v>1776445202</v>
      </c>
      <c r="B103" t="s">
        <v>72</v>
      </c>
      <c r="C103" t="s">
        <v>73</v>
      </c>
      <c r="D103">
        <v>4862.8900000000003</v>
      </c>
      <c r="E103">
        <v>4518.5928199999998</v>
      </c>
      <c r="F103">
        <v>4596.0559499999999</v>
      </c>
      <c r="G103">
        <v>4755.40355</v>
      </c>
      <c r="H103">
        <v>4792.7697200000002</v>
      </c>
      <c r="Q103">
        <v>4790.6097200000004</v>
      </c>
      <c r="R103">
        <v>4819.9730200000004</v>
      </c>
      <c r="S103">
        <v>4846.5617899999997</v>
      </c>
      <c r="V103">
        <v>4755.6699500000004</v>
      </c>
      <c r="W103">
        <v>4722.1049499999999</v>
      </c>
      <c r="AB103">
        <v>4864.0722100000003</v>
      </c>
      <c r="AC103">
        <v>4865.1521499999999</v>
      </c>
      <c r="AD103">
        <v>0</v>
      </c>
      <c r="AE103">
        <f t="shared" si="14"/>
        <v>101</v>
      </c>
      <c r="AF103">
        <f t="shared" si="15"/>
        <v>100</v>
      </c>
      <c r="AG103">
        <f t="shared" si="9"/>
        <v>72.280279999999948</v>
      </c>
      <c r="AH103">
        <f t="shared" si="10"/>
        <v>5224.4388768783929</v>
      </c>
      <c r="AI103">
        <f t="shared" si="11"/>
        <v>8.6871048494669392</v>
      </c>
      <c r="AJ103">
        <f t="shared" si="12"/>
        <v>17.858024634097564</v>
      </c>
      <c r="AK103">
        <f t="shared" si="13"/>
        <v>10000</v>
      </c>
      <c r="AL103">
        <f t="shared" si="16"/>
        <v>4866.68822</v>
      </c>
      <c r="AM103" t="str">
        <f t="shared" si="17"/>
        <v/>
      </c>
    </row>
    <row r="104" spans="1:39" x14ac:dyDescent="0.55000000000000004">
      <c r="A104">
        <v>1776446102</v>
      </c>
      <c r="B104" t="s">
        <v>72</v>
      </c>
      <c r="C104" t="s">
        <v>73</v>
      </c>
      <c r="D104">
        <v>4858.63</v>
      </c>
      <c r="E104">
        <v>4518.5928199999998</v>
      </c>
      <c r="F104">
        <v>4596.0559499999999</v>
      </c>
      <c r="G104">
        <v>4755.40355</v>
      </c>
      <c r="H104">
        <v>4792.7697200000002</v>
      </c>
      <c r="Q104">
        <v>4790.3421099999996</v>
      </c>
      <c r="R104">
        <v>4819.7054099999996</v>
      </c>
      <c r="S104">
        <v>4846.2941799999999</v>
      </c>
      <c r="V104">
        <v>4755.4023399999996</v>
      </c>
      <c r="W104">
        <v>4721.8373499999998</v>
      </c>
      <c r="AB104">
        <v>4862.1992399999999</v>
      </c>
      <c r="AC104">
        <v>4863.67569</v>
      </c>
      <c r="AD104">
        <v>0</v>
      </c>
      <c r="AE104">
        <f t="shared" si="14"/>
        <v>102</v>
      </c>
      <c r="AF104">
        <f t="shared" si="15"/>
        <v>101</v>
      </c>
      <c r="AG104">
        <f t="shared" si="9"/>
        <v>68.287890000000516</v>
      </c>
      <c r="AH104">
        <f t="shared" si="10"/>
        <v>4663.2359206521705</v>
      </c>
      <c r="AI104">
        <f t="shared" si="11"/>
        <v>7.32565844408788</v>
      </c>
      <c r="AJ104">
        <f t="shared" si="12"/>
        <v>14.227509621962483</v>
      </c>
      <c r="AK104">
        <f t="shared" si="13"/>
        <v>10201</v>
      </c>
      <c r="AL104">
        <f t="shared" si="16"/>
        <v>4866.68822</v>
      </c>
      <c r="AM104" t="str">
        <f t="shared" si="17"/>
        <v/>
      </c>
    </row>
    <row r="105" spans="1:39" x14ac:dyDescent="0.55000000000000004">
      <c r="A105">
        <v>1776447002</v>
      </c>
      <c r="B105" t="s">
        <v>72</v>
      </c>
      <c r="C105" t="s">
        <v>73</v>
      </c>
      <c r="D105">
        <v>4855.01</v>
      </c>
      <c r="E105">
        <v>4518.5928199999998</v>
      </c>
      <c r="F105">
        <v>4596.0559499999999</v>
      </c>
      <c r="G105">
        <v>4755.40355</v>
      </c>
      <c r="H105">
        <v>4792.7697200000002</v>
      </c>
      <c r="Q105">
        <v>4790.0745100000004</v>
      </c>
      <c r="R105">
        <v>4819.4378100000004</v>
      </c>
      <c r="S105">
        <v>4846.0265799999997</v>
      </c>
      <c r="V105">
        <v>4755.1347400000004</v>
      </c>
      <c r="W105">
        <v>4721.5697399999999</v>
      </c>
      <c r="AB105">
        <v>4860.5183999999999</v>
      </c>
      <c r="AC105">
        <v>4862.0970500000003</v>
      </c>
      <c r="AD105">
        <v>0</v>
      </c>
      <c r="AE105">
        <f t="shared" si="14"/>
        <v>103</v>
      </c>
      <c r="AF105">
        <f t="shared" si="15"/>
        <v>102</v>
      </c>
      <c r="AG105">
        <f t="shared" si="9"/>
        <v>64.935489999999845</v>
      </c>
      <c r="AH105">
        <f t="shared" si="10"/>
        <v>4216.6178615400795</v>
      </c>
      <c r="AI105">
        <f t="shared" si="11"/>
        <v>6.2988599260644209</v>
      </c>
      <c r="AJ105">
        <f t="shared" si="12"/>
        <v>11.632755520009693</v>
      </c>
      <c r="AK105">
        <f t="shared" si="13"/>
        <v>10404</v>
      </c>
      <c r="AL105">
        <f t="shared" si="16"/>
        <v>4866.68822</v>
      </c>
      <c r="AM105" t="str">
        <f t="shared" si="17"/>
        <v/>
      </c>
    </row>
    <row r="106" spans="1:39" x14ac:dyDescent="0.55000000000000004">
      <c r="A106">
        <v>1776447902</v>
      </c>
      <c r="B106" t="s">
        <v>72</v>
      </c>
      <c r="C106" t="s">
        <v>73</v>
      </c>
      <c r="D106">
        <v>4862.6000000000004</v>
      </c>
      <c r="E106">
        <v>4518.5928199999998</v>
      </c>
      <c r="F106">
        <v>4596.0559499999999</v>
      </c>
      <c r="G106">
        <v>4755.40355</v>
      </c>
      <c r="H106">
        <v>4792.7697200000002</v>
      </c>
      <c r="Q106">
        <v>4789.8069100000002</v>
      </c>
      <c r="R106">
        <v>4819.1701999999996</v>
      </c>
      <c r="S106">
        <v>4845.7589799999996</v>
      </c>
      <c r="V106">
        <v>4754.8671400000003</v>
      </c>
      <c r="W106">
        <v>4721.3021399999998</v>
      </c>
      <c r="AB106">
        <v>4859.4254300000002</v>
      </c>
      <c r="AC106">
        <v>4860.7612399999998</v>
      </c>
      <c r="AD106">
        <v>0</v>
      </c>
      <c r="AE106">
        <f t="shared" si="14"/>
        <v>104</v>
      </c>
      <c r="AF106">
        <f t="shared" si="15"/>
        <v>103</v>
      </c>
      <c r="AG106">
        <f t="shared" si="9"/>
        <v>72.79309000000012</v>
      </c>
      <c r="AH106">
        <f t="shared" si="10"/>
        <v>5298.8339517481172</v>
      </c>
      <c r="AI106">
        <f t="shared" si="11"/>
        <v>8.8733180829996332</v>
      </c>
      <c r="AJ106">
        <f t="shared" si="12"/>
        <v>18.370235901875418</v>
      </c>
      <c r="AK106">
        <f t="shared" si="13"/>
        <v>10609</v>
      </c>
      <c r="AL106">
        <f t="shared" si="16"/>
        <v>4866.68822</v>
      </c>
      <c r="AM106" t="str">
        <f t="shared" si="17"/>
        <v/>
      </c>
    </row>
    <row r="107" spans="1:39" x14ac:dyDescent="0.55000000000000004">
      <c r="A107">
        <v>1776448802</v>
      </c>
      <c r="B107" t="s">
        <v>72</v>
      </c>
      <c r="C107" t="s">
        <v>73</v>
      </c>
      <c r="D107">
        <v>4861.17</v>
      </c>
      <c r="E107">
        <v>4518.5928199999998</v>
      </c>
      <c r="F107">
        <v>4596.0559499999999</v>
      </c>
      <c r="G107">
        <v>4755.40355</v>
      </c>
      <c r="H107">
        <v>4792.7697200000002</v>
      </c>
      <c r="Q107">
        <v>4789.5393000000004</v>
      </c>
      <c r="R107">
        <v>4818.9026000000003</v>
      </c>
      <c r="S107">
        <v>4845.4913699999997</v>
      </c>
      <c r="V107">
        <v>4754.5995300000004</v>
      </c>
      <c r="W107">
        <v>4721.0345399999997</v>
      </c>
      <c r="AB107">
        <v>4858.8739400000004</v>
      </c>
      <c r="AC107">
        <v>4859.8175899999997</v>
      </c>
      <c r="AD107">
        <v>0</v>
      </c>
      <c r="AE107">
        <f t="shared" si="14"/>
        <v>105</v>
      </c>
      <c r="AF107">
        <f t="shared" si="15"/>
        <v>104</v>
      </c>
      <c r="AG107">
        <f t="shared" si="9"/>
        <v>71.630699999999706</v>
      </c>
      <c r="AH107">
        <f t="shared" si="10"/>
        <v>5130.9571824899576</v>
      </c>
      <c r="AI107">
        <f t="shared" si="11"/>
        <v>8.4549914011999157</v>
      </c>
      <c r="AJ107">
        <f t="shared" si="12"/>
        <v>17.224669344438151</v>
      </c>
      <c r="AK107">
        <f t="shared" si="13"/>
        <v>10816</v>
      </c>
      <c r="AL107">
        <f t="shared" si="16"/>
        <v>4866.68822</v>
      </c>
      <c r="AM107" t="str">
        <f t="shared" si="17"/>
        <v/>
      </c>
    </row>
    <row r="108" spans="1:39" x14ac:dyDescent="0.55000000000000004">
      <c r="A108">
        <v>1776449702</v>
      </c>
      <c r="B108" t="s">
        <v>72</v>
      </c>
      <c r="C108" t="s">
        <v>73</v>
      </c>
      <c r="D108">
        <v>4860.87</v>
      </c>
      <c r="E108">
        <v>4518.5928199999998</v>
      </c>
      <c r="F108">
        <v>4596.0559499999999</v>
      </c>
      <c r="G108">
        <v>4755.40355</v>
      </c>
      <c r="H108">
        <v>4792.7697200000002</v>
      </c>
      <c r="Q108">
        <v>4789.2717000000002</v>
      </c>
      <c r="R108">
        <v>4818.6350000000002</v>
      </c>
      <c r="S108">
        <v>4845.2237699999996</v>
      </c>
      <c r="V108">
        <v>4754.3319300000003</v>
      </c>
      <c r="W108">
        <v>4720.7669299999998</v>
      </c>
      <c r="AB108">
        <v>4858.9131799999996</v>
      </c>
      <c r="AC108">
        <v>4859.3653800000002</v>
      </c>
      <c r="AD108">
        <v>0</v>
      </c>
      <c r="AE108">
        <f t="shared" si="14"/>
        <v>106</v>
      </c>
      <c r="AF108">
        <f t="shared" si="15"/>
        <v>105</v>
      </c>
      <c r="AG108">
        <f t="shared" si="9"/>
        <v>71.598299999999654</v>
      </c>
      <c r="AH108">
        <f t="shared" si="10"/>
        <v>5126.3165628899505</v>
      </c>
      <c r="AI108">
        <f t="shared" si="11"/>
        <v>8.4435235041632293</v>
      </c>
      <c r="AJ108">
        <f t="shared" si="12"/>
        <v>17.193526230925546</v>
      </c>
      <c r="AK108">
        <f t="shared" si="13"/>
        <v>11025</v>
      </c>
      <c r="AL108">
        <f t="shared" si="16"/>
        <v>4866.68822</v>
      </c>
      <c r="AM108" t="str">
        <f t="shared" si="17"/>
        <v/>
      </c>
    </row>
    <row r="109" spans="1:39" x14ac:dyDescent="0.55000000000000004">
      <c r="A109">
        <v>1776450602</v>
      </c>
      <c r="B109" t="s">
        <v>72</v>
      </c>
      <c r="C109" t="s">
        <v>73</v>
      </c>
      <c r="D109">
        <v>4862.3999999999996</v>
      </c>
      <c r="E109">
        <v>4518.5928199999998</v>
      </c>
      <c r="F109">
        <v>4596.0559499999999</v>
      </c>
      <c r="G109">
        <v>4755.40355</v>
      </c>
      <c r="H109">
        <v>4792.7697200000002</v>
      </c>
      <c r="Q109">
        <v>4789.0040900000004</v>
      </c>
      <c r="R109">
        <v>4818.3673900000003</v>
      </c>
      <c r="S109">
        <v>4844.9561599999997</v>
      </c>
      <c r="V109">
        <v>4754.0643200000004</v>
      </c>
      <c r="W109">
        <v>4720.4993299999996</v>
      </c>
      <c r="AB109">
        <v>4859.3727200000003</v>
      </c>
      <c r="AC109">
        <v>4859.3690500000002</v>
      </c>
      <c r="AD109">
        <v>1</v>
      </c>
      <c r="AE109">
        <f t="shared" si="14"/>
        <v>107</v>
      </c>
      <c r="AF109">
        <f t="shared" si="15"/>
        <v>106</v>
      </c>
      <c r="AG109">
        <f t="shared" si="9"/>
        <v>73.395909999999276</v>
      </c>
      <c r="AH109">
        <f t="shared" si="10"/>
        <v>5386.9596047279938</v>
      </c>
      <c r="AI109">
        <f t="shared" si="11"/>
        <v>9.0955960176299246</v>
      </c>
      <c r="AJ109">
        <f t="shared" si="12"/>
        <v>18.986352970182143</v>
      </c>
      <c r="AK109">
        <f t="shared" si="13"/>
        <v>11236</v>
      </c>
      <c r="AL109">
        <f t="shared" si="16"/>
        <v>4859.3727200000003</v>
      </c>
      <c r="AM109">
        <f t="shared" si="17"/>
        <v>7.3154999999997017</v>
      </c>
    </row>
    <row r="110" spans="1:39" x14ac:dyDescent="0.55000000000000004">
      <c r="A110">
        <v>1776451502</v>
      </c>
      <c r="B110" t="s">
        <v>72</v>
      </c>
      <c r="C110" t="s">
        <v>73</v>
      </c>
      <c r="D110">
        <v>4858.16</v>
      </c>
      <c r="E110">
        <v>4518.5928199999998</v>
      </c>
      <c r="F110">
        <v>4596.0559499999999</v>
      </c>
      <c r="G110">
        <v>4755.40355</v>
      </c>
      <c r="H110">
        <v>4792.7697200000002</v>
      </c>
      <c r="Q110">
        <v>4788.7364900000002</v>
      </c>
      <c r="R110">
        <v>4818.0997900000002</v>
      </c>
      <c r="S110">
        <v>4844.6885599999996</v>
      </c>
      <c r="V110">
        <v>4753.7967200000003</v>
      </c>
      <c r="W110">
        <v>4720.2317199999998</v>
      </c>
      <c r="AB110">
        <v>4859.8985700000003</v>
      </c>
      <c r="AC110">
        <v>4859.6338100000003</v>
      </c>
      <c r="AD110">
        <v>0</v>
      </c>
      <c r="AE110">
        <f t="shared" si="14"/>
        <v>108</v>
      </c>
      <c r="AF110">
        <f t="shared" si="15"/>
        <v>107</v>
      </c>
      <c r="AG110">
        <f t="shared" si="9"/>
        <v>69.423509999999624</v>
      </c>
      <c r="AH110">
        <f t="shared" si="10"/>
        <v>4819.6237407200479</v>
      </c>
      <c r="AI110">
        <f t="shared" si="11"/>
        <v>7.6972445882895775</v>
      </c>
      <c r="AJ110">
        <f t="shared" si="12"/>
        <v>15.197788018866991</v>
      </c>
      <c r="AK110">
        <f t="shared" si="13"/>
        <v>11449</v>
      </c>
      <c r="AL110">
        <f t="shared" si="16"/>
        <v>4859.3727200000003</v>
      </c>
      <c r="AM110" t="str">
        <f t="shared" si="17"/>
        <v/>
      </c>
    </row>
    <row r="111" spans="1:39" x14ac:dyDescent="0.55000000000000004">
      <c r="A111">
        <v>1776452402</v>
      </c>
      <c r="B111" t="s">
        <v>72</v>
      </c>
      <c r="C111" t="s">
        <v>73</v>
      </c>
      <c r="D111">
        <v>4856.59</v>
      </c>
      <c r="E111">
        <v>4518.5928199999998</v>
      </c>
      <c r="F111">
        <v>4596.0559499999999</v>
      </c>
      <c r="G111">
        <v>4755.40355</v>
      </c>
      <c r="H111">
        <v>4792.7697200000002</v>
      </c>
      <c r="Q111">
        <v>4788.4688900000001</v>
      </c>
      <c r="R111">
        <v>4817.8321800000003</v>
      </c>
      <c r="S111">
        <v>4844.4209499999997</v>
      </c>
      <c r="V111">
        <v>4753.5291100000004</v>
      </c>
      <c r="W111">
        <v>4719.9641199999996</v>
      </c>
      <c r="AB111">
        <v>4860.1541100000004</v>
      </c>
      <c r="AC111">
        <v>4859.8939600000003</v>
      </c>
      <c r="AD111">
        <v>0</v>
      </c>
      <c r="AE111">
        <f t="shared" si="14"/>
        <v>109</v>
      </c>
      <c r="AF111">
        <f t="shared" si="15"/>
        <v>108</v>
      </c>
      <c r="AG111">
        <f t="shared" si="9"/>
        <v>68.121110000000044</v>
      </c>
      <c r="AH111">
        <f t="shared" si="10"/>
        <v>4640.4856276321061</v>
      </c>
      <c r="AI111">
        <f t="shared" si="11"/>
        <v>7.2721149036939146</v>
      </c>
      <c r="AJ111">
        <f t="shared" si="12"/>
        <v>14.089026192132609</v>
      </c>
      <c r="AK111">
        <f t="shared" si="13"/>
        <v>11664</v>
      </c>
      <c r="AL111">
        <f t="shared" si="16"/>
        <v>4859.3727200000003</v>
      </c>
      <c r="AM111" t="str">
        <f t="shared" si="17"/>
        <v/>
      </c>
    </row>
    <row r="112" spans="1:39" x14ac:dyDescent="0.55000000000000004">
      <c r="A112">
        <v>1776453302</v>
      </c>
      <c r="B112" t="s">
        <v>72</v>
      </c>
      <c r="C112" t="s">
        <v>73</v>
      </c>
      <c r="D112">
        <v>4856.91</v>
      </c>
      <c r="E112">
        <v>4518.5928199999998</v>
      </c>
      <c r="F112">
        <v>4596.0559499999999</v>
      </c>
      <c r="G112">
        <v>4755.40355</v>
      </c>
      <c r="H112">
        <v>4792.7697200000002</v>
      </c>
      <c r="Q112">
        <v>4788.2012800000002</v>
      </c>
      <c r="R112">
        <v>4817.5645800000002</v>
      </c>
      <c r="S112">
        <v>4844.1533499999996</v>
      </c>
      <c r="V112">
        <v>4753.2615100000003</v>
      </c>
      <c r="W112">
        <v>4719.6965099999998</v>
      </c>
      <c r="AB112">
        <v>4859.6710400000002</v>
      </c>
      <c r="AC112">
        <v>4859.7825000000003</v>
      </c>
      <c r="AD112">
        <v>1</v>
      </c>
      <c r="AE112">
        <f t="shared" si="14"/>
        <v>110</v>
      </c>
      <c r="AF112">
        <f t="shared" si="15"/>
        <v>109</v>
      </c>
      <c r="AG112">
        <f t="shared" si="9"/>
        <v>68.70871999999963</v>
      </c>
      <c r="AH112">
        <f t="shared" si="10"/>
        <v>4720.8882040383496</v>
      </c>
      <c r="AI112">
        <f t="shared" si="11"/>
        <v>7.4619297905902622</v>
      </c>
      <c r="AJ112">
        <f t="shared" si="12"/>
        <v>14.581477921056525</v>
      </c>
      <c r="AK112">
        <f t="shared" si="13"/>
        <v>11881</v>
      </c>
      <c r="AL112">
        <f t="shared" si="16"/>
        <v>4859.6710400000002</v>
      </c>
      <c r="AM112">
        <f t="shared" si="17"/>
        <v>0.29831999999987602</v>
      </c>
    </row>
    <row r="113" spans="1:39" x14ac:dyDescent="0.55000000000000004">
      <c r="A113">
        <v>1776454202</v>
      </c>
      <c r="B113" t="s">
        <v>72</v>
      </c>
      <c r="C113" t="s">
        <v>73</v>
      </c>
      <c r="D113">
        <v>4860.34</v>
      </c>
      <c r="E113">
        <v>4518.5928199999998</v>
      </c>
      <c r="F113">
        <v>4596.0559499999999</v>
      </c>
      <c r="G113">
        <v>4755.40355</v>
      </c>
      <c r="H113">
        <v>4792.7697200000002</v>
      </c>
      <c r="Q113">
        <v>4787.9336800000001</v>
      </c>
      <c r="R113">
        <v>4817.2969800000001</v>
      </c>
      <c r="S113">
        <v>4843.8857500000004</v>
      </c>
      <c r="V113">
        <v>4752.9939100000001</v>
      </c>
      <c r="W113">
        <v>4719.4289099999996</v>
      </c>
      <c r="AB113">
        <v>4857.9269000000004</v>
      </c>
      <c r="AC113">
        <v>4858.8546999999999</v>
      </c>
      <c r="AD113">
        <v>0</v>
      </c>
      <c r="AE113">
        <f t="shared" si="14"/>
        <v>111</v>
      </c>
      <c r="AF113">
        <f t="shared" si="15"/>
        <v>110</v>
      </c>
      <c r="AG113">
        <f t="shared" si="9"/>
        <v>72.406320000000051</v>
      </c>
      <c r="AH113">
        <f t="shared" si="10"/>
        <v>5242.6751759424069</v>
      </c>
      <c r="AI113">
        <f t="shared" si="11"/>
        <v>8.732629012997176</v>
      </c>
      <c r="AJ113">
        <f t="shared" si="12"/>
        <v>17.982911789830602</v>
      </c>
      <c r="AK113">
        <f t="shared" si="13"/>
        <v>12100</v>
      </c>
      <c r="AL113">
        <f t="shared" si="16"/>
        <v>4859.6710400000002</v>
      </c>
      <c r="AM113" t="str">
        <f t="shared" si="17"/>
        <v/>
      </c>
    </row>
    <row r="114" spans="1:39" x14ac:dyDescent="0.55000000000000004">
      <c r="A114">
        <v>1776455102</v>
      </c>
      <c r="B114" t="s">
        <v>72</v>
      </c>
      <c r="C114" t="s">
        <v>73</v>
      </c>
      <c r="D114">
        <v>4854.7299999999996</v>
      </c>
      <c r="E114">
        <v>4518.5928199999998</v>
      </c>
      <c r="F114">
        <v>4596.0559499999999</v>
      </c>
      <c r="G114">
        <v>4755.40355</v>
      </c>
      <c r="H114">
        <v>4792.7697200000002</v>
      </c>
      <c r="Q114">
        <v>4787.6660700000002</v>
      </c>
      <c r="R114">
        <v>4817.0293700000002</v>
      </c>
      <c r="S114">
        <v>4843.6181399999996</v>
      </c>
      <c r="V114">
        <v>4752.7263000000003</v>
      </c>
      <c r="W114">
        <v>4719.1613100000004</v>
      </c>
      <c r="AB114">
        <v>4854.3575799999999</v>
      </c>
      <c r="AC114">
        <v>4856.6061399999999</v>
      </c>
      <c r="AD114">
        <v>0</v>
      </c>
      <c r="AE114">
        <f t="shared" si="14"/>
        <v>112</v>
      </c>
      <c r="AF114">
        <f t="shared" si="15"/>
        <v>111</v>
      </c>
      <c r="AG114">
        <f t="shared" si="9"/>
        <v>67.063929999999345</v>
      </c>
      <c r="AH114">
        <f t="shared" si="10"/>
        <v>4497.5707070448125</v>
      </c>
      <c r="AI114">
        <f t="shared" si="11"/>
        <v>6.9387714680185537</v>
      </c>
      <c r="AJ114">
        <f t="shared" si="12"/>
        <v>13.234578431197633</v>
      </c>
      <c r="AK114">
        <f t="shared" si="13"/>
        <v>12321</v>
      </c>
      <c r="AL114">
        <f t="shared" si="16"/>
        <v>4859.6710400000002</v>
      </c>
      <c r="AM114" t="str">
        <f t="shared" si="17"/>
        <v/>
      </c>
    </row>
    <row r="115" spans="1:39" x14ac:dyDescent="0.55000000000000004">
      <c r="A115">
        <v>1776456002</v>
      </c>
      <c r="B115" t="s">
        <v>72</v>
      </c>
      <c r="C115" t="s">
        <v>73</v>
      </c>
      <c r="D115">
        <v>4845.91</v>
      </c>
      <c r="E115">
        <v>4518.5928199999998</v>
      </c>
      <c r="F115">
        <v>4596.0559499999999</v>
      </c>
      <c r="G115">
        <v>4755.40355</v>
      </c>
      <c r="H115">
        <v>4792.7697200000002</v>
      </c>
      <c r="Q115">
        <v>4787.3984700000001</v>
      </c>
      <c r="R115">
        <v>4816.7617700000001</v>
      </c>
      <c r="S115">
        <v>4843.3505400000004</v>
      </c>
      <c r="V115">
        <v>4752.4587000000001</v>
      </c>
      <c r="W115">
        <v>4718.8936999999996</v>
      </c>
      <c r="AB115">
        <v>4848.7512900000002</v>
      </c>
      <c r="AC115">
        <v>4852.6787199999999</v>
      </c>
      <c r="AD115">
        <v>0</v>
      </c>
      <c r="AE115">
        <f t="shared" si="14"/>
        <v>113</v>
      </c>
      <c r="AF115">
        <f t="shared" si="15"/>
        <v>112</v>
      </c>
      <c r="AG115">
        <f t="shared" si="9"/>
        <v>58.511529999999766</v>
      </c>
      <c r="AH115">
        <f t="shared" si="10"/>
        <v>3423.5991429408728</v>
      </c>
      <c r="AI115">
        <f t="shared" si="11"/>
        <v>4.6082915545771419</v>
      </c>
      <c r="AJ115">
        <f t="shared" si="12"/>
        <v>7.6686679006101119</v>
      </c>
      <c r="AK115">
        <f t="shared" si="13"/>
        <v>12544</v>
      </c>
      <c r="AL115">
        <f t="shared" si="16"/>
        <v>4859.6710400000002</v>
      </c>
      <c r="AM115" t="str">
        <f t="shared" si="17"/>
        <v/>
      </c>
    </row>
    <row r="116" spans="1:39" x14ac:dyDescent="0.55000000000000004">
      <c r="A116">
        <v>1776456902</v>
      </c>
      <c r="B116" t="s">
        <v>72</v>
      </c>
      <c r="C116" t="s">
        <v>73</v>
      </c>
      <c r="D116">
        <v>4845.96</v>
      </c>
      <c r="E116">
        <v>4518.5928199999998</v>
      </c>
      <c r="F116">
        <v>4596.0559499999999</v>
      </c>
      <c r="G116">
        <v>4755.40355</v>
      </c>
      <c r="H116">
        <v>4792.7697200000002</v>
      </c>
      <c r="Q116">
        <v>4787.1308600000002</v>
      </c>
      <c r="R116">
        <v>4816.4941600000002</v>
      </c>
      <c r="S116">
        <v>4843.0829299999996</v>
      </c>
      <c r="V116">
        <v>4752.1910900000003</v>
      </c>
      <c r="W116">
        <v>4718.6261000000004</v>
      </c>
      <c r="AB116">
        <v>4841.1542099999997</v>
      </c>
      <c r="AC116">
        <v>4846.9164600000004</v>
      </c>
      <c r="AD116">
        <v>0</v>
      </c>
      <c r="AE116">
        <f t="shared" si="14"/>
        <v>114</v>
      </c>
      <c r="AF116">
        <f t="shared" si="15"/>
        <v>113</v>
      </c>
      <c r="AG116">
        <f t="shared" si="9"/>
        <v>58.829139999999825</v>
      </c>
      <c r="AH116">
        <f t="shared" si="10"/>
        <v>3460.8677131395793</v>
      </c>
      <c r="AI116">
        <f t="shared" si="11"/>
        <v>4.6837432848572336</v>
      </c>
      <c r="AJ116">
        <f t="shared" si="12"/>
        <v>7.8365356073604584</v>
      </c>
      <c r="AK116">
        <f t="shared" si="13"/>
        <v>12769</v>
      </c>
      <c r="AL116">
        <f t="shared" si="16"/>
        <v>4859.6710400000002</v>
      </c>
      <c r="AM116" t="str">
        <f t="shared" si="17"/>
        <v/>
      </c>
    </row>
    <row r="117" spans="1:39" x14ac:dyDescent="0.55000000000000004">
      <c r="A117">
        <v>1776457802</v>
      </c>
      <c r="B117" t="s">
        <v>72</v>
      </c>
      <c r="C117" t="s">
        <v>73</v>
      </c>
      <c r="D117">
        <v>4835.8100000000004</v>
      </c>
      <c r="E117">
        <v>4518.5928199999998</v>
      </c>
      <c r="F117">
        <v>4596.0559499999999</v>
      </c>
      <c r="G117">
        <v>4755.40355</v>
      </c>
      <c r="H117">
        <v>4792.7697200000002</v>
      </c>
      <c r="Q117">
        <v>4786.8632600000001</v>
      </c>
      <c r="R117">
        <v>4816.2265600000001</v>
      </c>
      <c r="S117">
        <v>4842.8153300000004</v>
      </c>
      <c r="V117">
        <v>4751.9234900000001</v>
      </c>
      <c r="W117">
        <v>4718.3584899999996</v>
      </c>
      <c r="AB117">
        <v>4831.4754599999997</v>
      </c>
      <c r="AC117">
        <v>4839.19596</v>
      </c>
      <c r="AD117">
        <v>0</v>
      </c>
      <c r="AE117">
        <f t="shared" si="14"/>
        <v>115</v>
      </c>
      <c r="AF117">
        <f t="shared" si="15"/>
        <v>114</v>
      </c>
      <c r="AG117">
        <f t="shared" si="9"/>
        <v>48.946740000000318</v>
      </c>
      <c r="AH117">
        <f t="shared" si="10"/>
        <v>2395.7833566276313</v>
      </c>
      <c r="AI117">
        <f t="shared" si="11"/>
        <v>2.6976580584320922</v>
      </c>
      <c r="AJ117">
        <f t="shared" si="12"/>
        <v>3.7553394519999506</v>
      </c>
      <c r="AK117">
        <f t="shared" si="13"/>
        <v>12996</v>
      </c>
      <c r="AL117">
        <f t="shared" si="16"/>
        <v>4859.6710400000002</v>
      </c>
      <c r="AM117" t="str">
        <f t="shared" si="17"/>
        <v/>
      </c>
    </row>
    <row r="118" spans="1:39" x14ac:dyDescent="0.55000000000000004">
      <c r="A118">
        <v>1776458702</v>
      </c>
      <c r="B118" t="s">
        <v>72</v>
      </c>
      <c r="C118" t="s">
        <v>73</v>
      </c>
      <c r="D118">
        <v>4833.0200000000004</v>
      </c>
      <c r="E118">
        <v>4518.5928199999998</v>
      </c>
      <c r="F118">
        <v>4596.0559499999999</v>
      </c>
      <c r="G118">
        <v>4755.40355</v>
      </c>
      <c r="H118">
        <v>4792.7697200000002</v>
      </c>
      <c r="Q118">
        <v>4786.59566</v>
      </c>
      <c r="R118">
        <v>4815.9589599999999</v>
      </c>
      <c r="S118">
        <v>4842.5477300000002</v>
      </c>
      <c r="V118">
        <v>4751.65589</v>
      </c>
      <c r="W118">
        <v>4718.0908900000004</v>
      </c>
      <c r="AB118">
        <v>4820.0658199999998</v>
      </c>
      <c r="AC118">
        <v>4829.6308900000004</v>
      </c>
      <c r="AD118">
        <v>0</v>
      </c>
      <c r="AE118">
        <f t="shared" si="14"/>
        <v>116</v>
      </c>
      <c r="AF118">
        <f t="shared" si="15"/>
        <v>115</v>
      </c>
      <c r="AG118">
        <f t="shared" si="9"/>
        <v>46.424340000000484</v>
      </c>
      <c r="AH118">
        <f t="shared" si="10"/>
        <v>2155.2193444356449</v>
      </c>
      <c r="AI118">
        <f t="shared" si="11"/>
        <v>2.3017216312767532</v>
      </c>
      <c r="AJ118">
        <f t="shared" si="12"/>
        <v>3.0390445431884192</v>
      </c>
      <c r="AK118">
        <f t="shared" si="13"/>
        <v>13225</v>
      </c>
      <c r="AL118">
        <f t="shared" si="16"/>
        <v>4859.6710400000002</v>
      </c>
      <c r="AM118" t="str">
        <f t="shared" si="17"/>
        <v/>
      </c>
    </row>
    <row r="119" spans="1:39" x14ac:dyDescent="0.55000000000000004">
      <c r="A119">
        <v>1776636002</v>
      </c>
      <c r="B119" t="s">
        <v>72</v>
      </c>
      <c r="C119" t="s">
        <v>73</v>
      </c>
      <c r="D119">
        <v>4790.21</v>
      </c>
      <c r="E119">
        <v>4518.5928199999998</v>
      </c>
      <c r="F119">
        <v>4596.0559499999999</v>
      </c>
      <c r="G119">
        <v>4755.40355</v>
      </c>
      <c r="H119">
        <v>4792.7697200000002</v>
      </c>
      <c r="Q119">
        <v>4786.3280500000001</v>
      </c>
      <c r="R119">
        <v>4815.6913500000001</v>
      </c>
      <c r="S119">
        <v>4842.2801200000004</v>
      </c>
      <c r="V119">
        <v>4751.3882800000001</v>
      </c>
      <c r="W119">
        <v>4717.8232900000003</v>
      </c>
      <c r="AB119">
        <v>4807.3938500000004</v>
      </c>
      <c r="AC119">
        <v>4818.5123700000004</v>
      </c>
      <c r="AD119">
        <v>0</v>
      </c>
      <c r="AE119">
        <f t="shared" si="14"/>
        <v>117</v>
      </c>
      <c r="AF119">
        <f t="shared" si="15"/>
        <v>116</v>
      </c>
      <c r="AG119">
        <f t="shared" si="9"/>
        <v>3.8819499999999607</v>
      </c>
      <c r="AH119">
        <f t="shared" si="10"/>
        <v>15.069535802499695</v>
      </c>
      <c r="AI119">
        <f t="shared" si="11"/>
        <v>1.345753123381454E-3</v>
      </c>
      <c r="AJ119">
        <f t="shared" si="12"/>
        <v>1.4857777895897338E-4</v>
      </c>
      <c r="AK119">
        <f t="shared" si="13"/>
        <v>13456</v>
      </c>
      <c r="AL119">
        <f t="shared" si="16"/>
        <v>4859.6710400000002</v>
      </c>
      <c r="AM119" t="str">
        <f t="shared" si="17"/>
        <v/>
      </c>
    </row>
    <row r="120" spans="1:39" x14ac:dyDescent="0.55000000000000004">
      <c r="A120">
        <v>1776636902</v>
      </c>
      <c r="B120" t="s">
        <v>72</v>
      </c>
      <c r="C120" t="s">
        <v>73</v>
      </c>
      <c r="D120">
        <v>4784.84</v>
      </c>
      <c r="E120">
        <v>4518.5928199999998</v>
      </c>
      <c r="F120">
        <v>4596.0559499999999</v>
      </c>
      <c r="G120">
        <v>4755.40355</v>
      </c>
      <c r="H120">
        <v>4792.7697200000002</v>
      </c>
      <c r="Q120">
        <v>4786.0604499999999</v>
      </c>
      <c r="R120">
        <v>4815.4237499999999</v>
      </c>
      <c r="S120">
        <v>4842.0125200000002</v>
      </c>
      <c r="V120">
        <v>4751.12068</v>
      </c>
      <c r="W120">
        <v>4717.5556800000004</v>
      </c>
      <c r="AB120">
        <v>4795.0861500000001</v>
      </c>
      <c r="AC120">
        <v>4806.7992599999998</v>
      </c>
      <c r="AD120">
        <v>0</v>
      </c>
      <c r="AE120">
        <f t="shared" si="14"/>
        <v>118</v>
      </c>
      <c r="AF120">
        <f t="shared" si="15"/>
        <v>117</v>
      </c>
      <c r="AG120">
        <f t="shared" si="9"/>
        <v>-1.2204499999998006</v>
      </c>
      <c r="AH120">
        <f t="shared" si="10"/>
        <v>1.4894982024995134</v>
      </c>
      <c r="AI120">
        <f t="shared" si="11"/>
        <v>-4.1819184510807173E-5</v>
      </c>
      <c r="AJ120">
        <f t="shared" si="12"/>
        <v>1.451556950190742E-6</v>
      </c>
      <c r="AK120">
        <f t="shared" si="13"/>
        <v>13689</v>
      </c>
      <c r="AL120">
        <f t="shared" si="16"/>
        <v>4859.6710400000002</v>
      </c>
      <c r="AM120" t="str">
        <f t="shared" si="17"/>
        <v/>
      </c>
    </row>
    <row r="121" spans="1:39" x14ac:dyDescent="0.55000000000000004">
      <c r="A121">
        <v>1776637802</v>
      </c>
      <c r="B121" t="s">
        <v>72</v>
      </c>
      <c r="C121" t="s">
        <v>73</v>
      </c>
      <c r="D121">
        <v>4780.29</v>
      </c>
      <c r="E121">
        <v>4518.5928199999998</v>
      </c>
      <c r="F121">
        <v>4596.0559499999999</v>
      </c>
      <c r="G121">
        <v>4755.40355</v>
      </c>
      <c r="H121">
        <v>4792.7697200000002</v>
      </c>
      <c r="Q121">
        <v>4785.7928400000001</v>
      </c>
      <c r="R121">
        <v>4815.1561400000001</v>
      </c>
      <c r="S121">
        <v>4841.7449100000003</v>
      </c>
      <c r="V121">
        <v>4750.8530700000001</v>
      </c>
      <c r="W121">
        <v>4717.2880800000003</v>
      </c>
      <c r="AB121">
        <v>4783.6801699999996</v>
      </c>
      <c r="AC121">
        <v>4795.2397199999996</v>
      </c>
      <c r="AD121">
        <v>0</v>
      </c>
      <c r="AE121">
        <f t="shared" si="14"/>
        <v>119</v>
      </c>
      <c r="AF121">
        <f t="shared" si="15"/>
        <v>118</v>
      </c>
      <c r="AG121">
        <f t="shared" si="9"/>
        <v>-5.5028400000001056</v>
      </c>
      <c r="AH121">
        <f t="shared" si="10"/>
        <v>30.281248065601162</v>
      </c>
      <c r="AI121">
        <f t="shared" si="11"/>
        <v>-3.8333302911143937E-3</v>
      </c>
      <c r="AJ121">
        <f t="shared" si="12"/>
        <v>5.9993148483816251E-4</v>
      </c>
      <c r="AK121">
        <f t="shared" si="13"/>
        <v>13924</v>
      </c>
      <c r="AL121">
        <f t="shared" si="16"/>
        <v>4859.6710400000002</v>
      </c>
      <c r="AM121" t="str">
        <f t="shared" si="17"/>
        <v/>
      </c>
    </row>
    <row r="122" spans="1:39" x14ac:dyDescent="0.55000000000000004">
      <c r="A122">
        <v>1776638702</v>
      </c>
      <c r="B122" t="s">
        <v>72</v>
      </c>
      <c r="C122" t="s">
        <v>73</v>
      </c>
      <c r="D122">
        <v>4779.2299999999996</v>
      </c>
      <c r="E122">
        <v>4518.5928199999998</v>
      </c>
      <c r="F122">
        <v>4596.0559499999999</v>
      </c>
      <c r="G122">
        <v>4755.40355</v>
      </c>
      <c r="H122">
        <v>4792.7697200000002</v>
      </c>
      <c r="Q122">
        <v>4785.5252399999999</v>
      </c>
      <c r="R122">
        <v>4814.8885399999999</v>
      </c>
      <c r="S122">
        <v>4841.4773100000002</v>
      </c>
      <c r="V122">
        <v>4750.58547</v>
      </c>
      <c r="W122">
        <v>4717.0204700000004</v>
      </c>
      <c r="AB122">
        <v>4773.6805999999997</v>
      </c>
      <c r="AC122">
        <v>4784.4601599999996</v>
      </c>
      <c r="AD122">
        <v>0</v>
      </c>
      <c r="AE122">
        <f t="shared" si="14"/>
        <v>120</v>
      </c>
      <c r="AF122">
        <f t="shared" si="15"/>
        <v>119</v>
      </c>
      <c r="AG122">
        <f t="shared" si="9"/>
        <v>-6.2952400000003763</v>
      </c>
      <c r="AH122">
        <f t="shared" si="10"/>
        <v>39.630046657604737</v>
      </c>
      <c r="AI122">
        <f t="shared" si="11"/>
        <v>-5.7392145446763512E-3</v>
      </c>
      <c r="AJ122">
        <f t="shared" si="12"/>
        <v>1.0275507484848051E-3</v>
      </c>
      <c r="AK122">
        <f t="shared" si="13"/>
        <v>14161</v>
      </c>
      <c r="AL122">
        <f t="shared" si="16"/>
        <v>4859.6710400000002</v>
      </c>
      <c r="AM122" t="str">
        <f t="shared" si="17"/>
        <v/>
      </c>
    </row>
    <row r="123" spans="1:39" x14ac:dyDescent="0.55000000000000004">
      <c r="A123">
        <v>1776639602</v>
      </c>
      <c r="B123" t="s">
        <v>72</v>
      </c>
      <c r="C123" t="s">
        <v>73</v>
      </c>
      <c r="D123">
        <v>4772.6499999999996</v>
      </c>
      <c r="E123">
        <v>4518.5928199999998</v>
      </c>
      <c r="F123">
        <v>4596.0559499999999</v>
      </c>
      <c r="G123">
        <v>4755.40355</v>
      </c>
      <c r="H123">
        <v>4792.7697200000002</v>
      </c>
      <c r="Q123">
        <v>4785.2576399999998</v>
      </c>
      <c r="R123">
        <v>4814.62093</v>
      </c>
      <c r="S123">
        <v>4841.2097100000001</v>
      </c>
      <c r="V123">
        <v>4750.3178699999999</v>
      </c>
      <c r="W123">
        <v>4716.7528700000003</v>
      </c>
      <c r="AB123">
        <v>4765.4237700000003</v>
      </c>
      <c r="AC123">
        <v>4774.9419600000001</v>
      </c>
      <c r="AD123">
        <v>0</v>
      </c>
      <c r="AE123">
        <f t="shared" si="14"/>
        <v>121</v>
      </c>
      <c r="AF123">
        <f t="shared" si="15"/>
        <v>120</v>
      </c>
      <c r="AG123">
        <f t="shared" si="9"/>
        <v>-12.607640000000174</v>
      </c>
      <c r="AH123">
        <f t="shared" si="10"/>
        <v>158.95258636960438</v>
      </c>
      <c r="AI123">
        <f t="shared" si="11"/>
        <v>-4.6101704509218785E-2</v>
      </c>
      <c r="AJ123">
        <f t="shared" si="12"/>
        <v>1.6530626385768344E-2</v>
      </c>
      <c r="AK123">
        <f t="shared" si="13"/>
        <v>14400</v>
      </c>
      <c r="AL123">
        <f t="shared" si="16"/>
        <v>4859.6710400000002</v>
      </c>
      <c r="AM123" t="str">
        <f t="shared" si="17"/>
        <v/>
      </c>
    </row>
    <row r="124" spans="1:39" x14ac:dyDescent="0.55000000000000004">
      <c r="A124">
        <v>1776640502</v>
      </c>
      <c r="B124" t="s">
        <v>72</v>
      </c>
      <c r="C124" t="s">
        <v>73</v>
      </c>
      <c r="D124">
        <v>4769.43</v>
      </c>
      <c r="E124">
        <v>4518.5928199999998</v>
      </c>
      <c r="F124">
        <v>4596.0559499999999</v>
      </c>
      <c r="G124">
        <v>4755.40355</v>
      </c>
      <c r="H124">
        <v>4792.7697200000002</v>
      </c>
      <c r="Q124">
        <v>4784.9900299999999</v>
      </c>
      <c r="R124">
        <v>4814.3533299999999</v>
      </c>
      <c r="S124">
        <v>4840.9421000000002</v>
      </c>
      <c r="V124">
        <v>4750.05026</v>
      </c>
      <c r="W124">
        <v>4716.4852700000001</v>
      </c>
      <c r="AB124">
        <v>4759.3575000000001</v>
      </c>
      <c r="AC124">
        <v>4767.1497300000001</v>
      </c>
      <c r="AD124">
        <v>0</v>
      </c>
      <c r="AE124">
        <f t="shared" si="14"/>
        <v>122</v>
      </c>
      <c r="AF124">
        <f t="shared" si="15"/>
        <v>121</v>
      </c>
      <c r="AG124">
        <f t="shared" si="9"/>
        <v>-15.560029999999642</v>
      </c>
      <c r="AH124">
        <f t="shared" si="10"/>
        <v>242.11453360088888</v>
      </c>
      <c r="AI124">
        <f t="shared" si="11"/>
        <v>-8.6665625218906681E-2</v>
      </c>
      <c r="AJ124">
        <f t="shared" si="12"/>
        <v>3.8352690217221042E-2</v>
      </c>
      <c r="AK124">
        <f t="shared" si="13"/>
        <v>14641</v>
      </c>
      <c r="AL124">
        <f t="shared" si="16"/>
        <v>4859.6710400000002</v>
      </c>
      <c r="AM124" t="str">
        <f t="shared" si="17"/>
        <v/>
      </c>
    </row>
    <row r="125" spans="1:39" x14ac:dyDescent="0.55000000000000004">
      <c r="A125">
        <v>1776641402</v>
      </c>
      <c r="B125" t="s">
        <v>72</v>
      </c>
      <c r="C125" t="s">
        <v>73</v>
      </c>
      <c r="D125">
        <v>4752.0600000000004</v>
      </c>
      <c r="E125">
        <v>4518.5928199999998</v>
      </c>
      <c r="F125">
        <v>4596.0559499999999</v>
      </c>
      <c r="G125">
        <v>4755.40355</v>
      </c>
      <c r="H125">
        <v>4792.7697200000002</v>
      </c>
      <c r="Q125">
        <v>4784.7224299999998</v>
      </c>
      <c r="R125">
        <v>4814.0857299999998</v>
      </c>
      <c r="S125">
        <v>4840.6745000000001</v>
      </c>
      <c r="V125">
        <v>4749.7826599999999</v>
      </c>
      <c r="W125">
        <v>4716.2176600000003</v>
      </c>
      <c r="AB125">
        <v>4755.8321599999999</v>
      </c>
      <c r="AC125">
        <v>4761.4909399999997</v>
      </c>
      <c r="AD125">
        <v>0</v>
      </c>
      <c r="AE125">
        <f t="shared" si="14"/>
        <v>123</v>
      </c>
      <c r="AF125">
        <f t="shared" si="15"/>
        <v>122</v>
      </c>
      <c r="AG125">
        <f t="shared" si="9"/>
        <v>-32.662429999999404</v>
      </c>
      <c r="AH125">
        <f t="shared" si="10"/>
        <v>1066.834333504861</v>
      </c>
      <c r="AI125">
        <f t="shared" si="11"/>
        <v>-0.80160618683251406</v>
      </c>
      <c r="AJ125">
        <f t="shared" si="12"/>
        <v>0.74464294736469239</v>
      </c>
      <c r="AK125">
        <f t="shared" si="13"/>
        <v>14884</v>
      </c>
      <c r="AL125">
        <f t="shared" si="16"/>
        <v>4859.6710400000002</v>
      </c>
      <c r="AM125" t="str">
        <f t="shared" si="17"/>
        <v/>
      </c>
    </row>
    <row r="126" spans="1:39" x14ac:dyDescent="0.55000000000000004">
      <c r="A126">
        <v>1776642302</v>
      </c>
      <c r="B126" t="s">
        <v>72</v>
      </c>
      <c r="C126" t="s">
        <v>73</v>
      </c>
      <c r="D126">
        <v>4755.07</v>
      </c>
      <c r="E126">
        <v>4518.5928199999998</v>
      </c>
      <c r="F126">
        <v>4596.0559499999999</v>
      </c>
      <c r="G126">
        <v>4755.40355</v>
      </c>
      <c r="H126">
        <v>4792.7697200000002</v>
      </c>
      <c r="Q126">
        <v>4784.4548199999999</v>
      </c>
      <c r="R126">
        <v>4813.8181199999999</v>
      </c>
      <c r="S126">
        <v>4840.4068900000002</v>
      </c>
      <c r="V126">
        <v>4749.51505</v>
      </c>
      <c r="W126">
        <v>4715.9500600000001</v>
      </c>
      <c r="AA126">
        <v>4736.96</v>
      </c>
      <c r="AB126">
        <v>4755.5053500000004</v>
      </c>
      <c r="AC126">
        <v>4758.4981500000004</v>
      </c>
      <c r="AD126">
        <v>0</v>
      </c>
      <c r="AE126">
        <f t="shared" si="14"/>
        <v>124</v>
      </c>
      <c r="AF126">
        <f t="shared" si="15"/>
        <v>123</v>
      </c>
      <c r="AG126">
        <f t="shared" si="9"/>
        <v>-29.384820000000218</v>
      </c>
      <c r="AH126">
        <f t="shared" si="10"/>
        <v>863.46764643241283</v>
      </c>
      <c r="AI126">
        <f t="shared" si="11"/>
        <v>-0.58369327375343127</v>
      </c>
      <c r="AJ126">
        <f t="shared" si="12"/>
        <v>0.48780500459114989</v>
      </c>
      <c r="AK126">
        <f t="shared" si="13"/>
        <v>15129</v>
      </c>
      <c r="AL126">
        <f t="shared" si="16"/>
        <v>4859.6710400000002</v>
      </c>
      <c r="AM126" t="str">
        <f t="shared" si="17"/>
        <v/>
      </c>
    </row>
    <row r="127" spans="1:39" x14ac:dyDescent="0.55000000000000004">
      <c r="A127">
        <v>1776643202</v>
      </c>
      <c r="B127" t="s">
        <v>72</v>
      </c>
      <c r="C127" t="s">
        <v>73</v>
      </c>
      <c r="D127">
        <v>4752.17</v>
      </c>
      <c r="E127">
        <v>4518.5928199999998</v>
      </c>
      <c r="F127">
        <v>4596.0559499999999</v>
      </c>
      <c r="G127">
        <v>4755.40355</v>
      </c>
      <c r="H127">
        <v>4792.7697200000002</v>
      </c>
      <c r="Q127">
        <v>4784.1872199999998</v>
      </c>
      <c r="R127">
        <v>4813.5505199999998</v>
      </c>
      <c r="S127">
        <v>4840.1392900000001</v>
      </c>
      <c r="V127">
        <v>4749.2474499999998</v>
      </c>
      <c r="W127">
        <v>4715.6824500000002</v>
      </c>
      <c r="AB127">
        <v>4758.2688799999996</v>
      </c>
      <c r="AC127">
        <v>4758.3835099999997</v>
      </c>
      <c r="AD127">
        <v>0</v>
      </c>
      <c r="AE127">
        <f t="shared" si="14"/>
        <v>125</v>
      </c>
      <c r="AF127">
        <f t="shared" si="15"/>
        <v>124</v>
      </c>
      <c r="AG127">
        <f t="shared" si="9"/>
        <v>-32.017219999999725</v>
      </c>
      <c r="AH127">
        <f t="shared" si="10"/>
        <v>1025.1023765283824</v>
      </c>
      <c r="AI127">
        <f t="shared" si="11"/>
        <v>-0.75503388908778257</v>
      </c>
      <c r="AJ127">
        <f t="shared" si="12"/>
        <v>0.68752515613067178</v>
      </c>
      <c r="AK127">
        <f t="shared" si="13"/>
        <v>15376</v>
      </c>
      <c r="AL127">
        <f t="shared" si="16"/>
        <v>4859.6710400000002</v>
      </c>
      <c r="AM127" t="str">
        <f t="shared" si="17"/>
        <v/>
      </c>
    </row>
    <row r="128" spans="1:39" x14ac:dyDescent="0.55000000000000004">
      <c r="A128">
        <v>1776644102</v>
      </c>
      <c r="B128" t="s">
        <v>72</v>
      </c>
      <c r="C128" t="s">
        <v>73</v>
      </c>
      <c r="D128">
        <v>4765.66</v>
      </c>
      <c r="E128">
        <v>4518.5928199999998</v>
      </c>
      <c r="F128">
        <v>4596.0559499999999</v>
      </c>
      <c r="G128">
        <v>4755.40355</v>
      </c>
      <c r="H128">
        <v>4792.7697200000002</v>
      </c>
      <c r="Q128">
        <v>4783.9196199999997</v>
      </c>
      <c r="R128">
        <v>4813.2829099999999</v>
      </c>
      <c r="S128">
        <v>4839.8716899999999</v>
      </c>
      <c r="V128">
        <v>4748.9798499999997</v>
      </c>
      <c r="W128">
        <v>4715.4148500000001</v>
      </c>
      <c r="AB128">
        <v>4763.91219</v>
      </c>
      <c r="AC128">
        <v>4761.1478500000003</v>
      </c>
      <c r="AD128">
        <v>1</v>
      </c>
      <c r="AE128">
        <f t="shared" si="14"/>
        <v>126</v>
      </c>
      <c r="AF128">
        <f t="shared" si="15"/>
        <v>125</v>
      </c>
      <c r="AG128">
        <f t="shared" si="9"/>
        <v>-18.259619999999813</v>
      </c>
      <c r="AH128">
        <f t="shared" si="10"/>
        <v>333.41372254439318</v>
      </c>
      <c r="AI128">
        <f t="shared" si="11"/>
        <v>-0.14005247566666176</v>
      </c>
      <c r="AJ128">
        <f t="shared" si="12"/>
        <v>7.2731250307288178E-2</v>
      </c>
      <c r="AK128">
        <f t="shared" si="13"/>
        <v>15625</v>
      </c>
      <c r="AL128">
        <f t="shared" si="16"/>
        <v>4763.91219</v>
      </c>
      <c r="AM128">
        <f t="shared" si="17"/>
        <v>95.758850000000166</v>
      </c>
    </row>
    <row r="129" spans="1:39" x14ac:dyDescent="0.55000000000000004">
      <c r="A129">
        <v>1776645002</v>
      </c>
      <c r="B129" t="s">
        <v>72</v>
      </c>
      <c r="C129" t="s">
        <v>73</v>
      </c>
      <c r="D129">
        <v>4764.3</v>
      </c>
      <c r="E129">
        <v>4518.5928199999998</v>
      </c>
      <c r="F129">
        <v>4596.0559499999999</v>
      </c>
      <c r="G129">
        <v>4755.40355</v>
      </c>
      <c r="H129">
        <v>4792.7697200000002</v>
      </c>
      <c r="Q129">
        <v>4783.6520099999998</v>
      </c>
      <c r="R129">
        <v>4813.0153099999998</v>
      </c>
      <c r="S129">
        <v>4839.6040800000001</v>
      </c>
      <c r="V129">
        <v>4748.7122399999998</v>
      </c>
      <c r="W129">
        <v>4715.14725</v>
      </c>
      <c r="AB129">
        <v>4771.4810900000002</v>
      </c>
      <c r="AC129">
        <v>4766.3144700000003</v>
      </c>
      <c r="AD129">
        <v>0</v>
      </c>
      <c r="AE129">
        <f t="shared" si="14"/>
        <v>127</v>
      </c>
      <c r="AF129">
        <f t="shared" si="15"/>
        <v>126</v>
      </c>
      <c r="AG129">
        <f t="shared" si="9"/>
        <v>-19.352009999999609</v>
      </c>
      <c r="AH129">
        <f t="shared" si="10"/>
        <v>374.50029104008485</v>
      </c>
      <c r="AI129">
        <f t="shared" si="11"/>
        <v>-0.1667223502431619</v>
      </c>
      <c r="AJ129">
        <f t="shared" si="12"/>
        <v>9.1761062103948854E-2</v>
      </c>
      <c r="AK129">
        <f t="shared" si="13"/>
        <v>15876</v>
      </c>
      <c r="AL129">
        <f t="shared" si="16"/>
        <v>4763.91219</v>
      </c>
      <c r="AM129" t="str">
        <f t="shared" si="17"/>
        <v/>
      </c>
    </row>
    <row r="130" spans="1:39" x14ac:dyDescent="0.55000000000000004">
      <c r="A130">
        <v>1776645902</v>
      </c>
      <c r="B130" t="s">
        <v>72</v>
      </c>
      <c r="C130" t="s">
        <v>73</v>
      </c>
      <c r="D130">
        <v>4772.93</v>
      </c>
      <c r="E130">
        <v>4518.5928199999998</v>
      </c>
      <c r="F130">
        <v>4596.0559499999999</v>
      </c>
      <c r="G130">
        <v>4755.40355</v>
      </c>
      <c r="H130">
        <v>4792.7697200000002</v>
      </c>
      <c r="Q130">
        <v>4783.3844099999997</v>
      </c>
      <c r="R130">
        <v>4812.7477099999996</v>
      </c>
      <c r="S130">
        <v>4839.3364799999999</v>
      </c>
      <c r="V130">
        <v>4748.4446399999997</v>
      </c>
      <c r="W130">
        <v>4714.8796400000001</v>
      </c>
      <c r="AB130">
        <v>4780.2050399999998</v>
      </c>
      <c r="AC130">
        <v>4773.2597599999999</v>
      </c>
      <c r="AD130">
        <v>0</v>
      </c>
      <c r="AE130">
        <f t="shared" si="14"/>
        <v>128</v>
      </c>
      <c r="AF130">
        <f t="shared" si="15"/>
        <v>127</v>
      </c>
      <c r="AG130">
        <f t="shared" si="9"/>
        <v>-10.45440999999937</v>
      </c>
      <c r="AH130">
        <f t="shared" si="10"/>
        <v>109.29468844808683</v>
      </c>
      <c r="AI130">
        <f t="shared" si="11"/>
        <v>-2.6285374507918437E-2</v>
      </c>
      <c r="AJ130">
        <f t="shared" si="12"/>
        <v>7.8154182646816821E-3</v>
      </c>
      <c r="AK130">
        <f t="shared" si="13"/>
        <v>16129</v>
      </c>
      <c r="AL130">
        <f t="shared" si="16"/>
        <v>4763.91219</v>
      </c>
      <c r="AM130" t="str">
        <f t="shared" si="17"/>
        <v/>
      </c>
    </row>
    <row r="131" spans="1:39" x14ac:dyDescent="0.55000000000000004">
      <c r="A131">
        <v>1776646802</v>
      </c>
      <c r="B131" t="s">
        <v>72</v>
      </c>
      <c r="C131" t="s">
        <v>73</v>
      </c>
      <c r="D131">
        <v>4793.92</v>
      </c>
      <c r="E131">
        <v>4518.5928199999998</v>
      </c>
      <c r="F131">
        <v>4596.0559499999999</v>
      </c>
      <c r="G131">
        <v>4755.40355</v>
      </c>
      <c r="H131">
        <v>4792.7697200000002</v>
      </c>
      <c r="Q131">
        <v>4783.1167999999998</v>
      </c>
      <c r="R131">
        <v>4812.4800999999998</v>
      </c>
      <c r="S131">
        <v>4839.0688700000001</v>
      </c>
      <c r="V131">
        <v>4748.1770299999998</v>
      </c>
      <c r="W131">
        <v>4714.61204</v>
      </c>
      <c r="AB131">
        <v>4788.9433300000001</v>
      </c>
      <c r="AC131">
        <v>4781.1015399999997</v>
      </c>
      <c r="AD131">
        <v>0</v>
      </c>
      <c r="AE131">
        <f t="shared" si="14"/>
        <v>129</v>
      </c>
      <c r="AF131">
        <f t="shared" si="15"/>
        <v>128</v>
      </c>
      <c r="AG131">
        <f t="shared" ref="AG131:AG194" si="18">D131-Q131</f>
        <v>10.803200000000288</v>
      </c>
      <c r="AH131">
        <f t="shared" ref="AH131:AH194" si="19">AG131^2</f>
        <v>116.70913024000623</v>
      </c>
      <c r="AI131">
        <f t="shared" ref="AI131:AI194" si="20">(AG131/STDEV($AG$3:$AG$1137))^3</f>
        <v>2.9004997562528157E-2</v>
      </c>
      <c r="AJ131">
        <f t="shared" ref="AJ131:AJ194" si="21">(AG131/STDEV($AG$3:$AG$1137))^4</f>
        <v>8.9117660660116681E-3</v>
      </c>
      <c r="AK131">
        <f t="shared" ref="AK131:AK194" si="22">AF131^2</f>
        <v>16384</v>
      </c>
      <c r="AL131">
        <f t="shared" si="16"/>
        <v>4763.91219</v>
      </c>
      <c r="AM131" t="str">
        <f t="shared" si="17"/>
        <v/>
      </c>
    </row>
    <row r="132" spans="1:39" x14ac:dyDescent="0.55000000000000004">
      <c r="A132">
        <v>1776647702</v>
      </c>
      <c r="B132" t="s">
        <v>72</v>
      </c>
      <c r="C132" t="s">
        <v>73</v>
      </c>
      <c r="D132">
        <v>4802.6899999999996</v>
      </c>
      <c r="E132">
        <v>4518.5928199999998</v>
      </c>
      <c r="F132">
        <v>4596.0559499999999</v>
      </c>
      <c r="G132">
        <v>4755.40355</v>
      </c>
      <c r="H132">
        <v>4792.7697200000002</v>
      </c>
      <c r="Q132">
        <v>4782.8491999999997</v>
      </c>
      <c r="R132">
        <v>4812.2124999999996</v>
      </c>
      <c r="S132">
        <v>4838.8012699999999</v>
      </c>
      <c r="V132">
        <v>4747.9094299999997</v>
      </c>
      <c r="W132">
        <v>4714.3444300000001</v>
      </c>
      <c r="AB132">
        <v>4796.2725700000001</v>
      </c>
      <c r="AC132">
        <v>4788.6870600000002</v>
      </c>
      <c r="AD132">
        <v>0</v>
      </c>
      <c r="AE132">
        <f t="shared" ref="AE132:AE195" si="23">AE131+1</f>
        <v>130</v>
      </c>
      <c r="AF132">
        <f t="shared" ref="AF132:AF195" si="24">AF131+1</f>
        <v>129</v>
      </c>
      <c r="AG132">
        <f t="shared" si="18"/>
        <v>19.840799999999945</v>
      </c>
      <c r="AH132">
        <f t="shared" si="19"/>
        <v>393.6573446399978</v>
      </c>
      <c r="AI132">
        <f t="shared" si="20"/>
        <v>0.17967726262240721</v>
      </c>
      <c r="AJ132">
        <f t="shared" si="21"/>
        <v>0.10138899775370648</v>
      </c>
      <c r="AK132">
        <f t="shared" si="22"/>
        <v>16641</v>
      </c>
      <c r="AL132">
        <f t="shared" ref="AL132:AL195" si="25">IF(AD132=1,AB132,IF(AL131&lt;&gt;"",AL131,""))</f>
        <v>4763.91219</v>
      </c>
      <c r="AM132" t="str">
        <f t="shared" ref="AM132:AM195" si="26">IF(AND(AD132=1,AL131&lt;&gt;""),ABS(AB132-AL131),"")</f>
        <v/>
      </c>
    </row>
    <row r="133" spans="1:39" x14ac:dyDescent="0.55000000000000004">
      <c r="A133">
        <v>1776648602</v>
      </c>
      <c r="B133" t="s">
        <v>72</v>
      </c>
      <c r="C133" t="s">
        <v>73</v>
      </c>
      <c r="D133">
        <v>4807.2</v>
      </c>
      <c r="E133">
        <v>4518.5928199999998</v>
      </c>
      <c r="F133">
        <v>4596.0559499999999</v>
      </c>
      <c r="G133">
        <v>4755.40355</v>
      </c>
      <c r="H133">
        <v>4792.7697200000002</v>
      </c>
      <c r="Q133">
        <v>4782.5816000000004</v>
      </c>
      <c r="R133">
        <v>4811.9448899999998</v>
      </c>
      <c r="S133">
        <v>4838.5336600000001</v>
      </c>
      <c r="V133">
        <v>4747.6418199999998</v>
      </c>
      <c r="W133">
        <v>4714.07683</v>
      </c>
      <c r="AB133">
        <v>4801.36294</v>
      </c>
      <c r="AC133">
        <v>4795.0249999999996</v>
      </c>
      <c r="AD133">
        <v>0</v>
      </c>
      <c r="AE133">
        <f t="shared" si="23"/>
        <v>131</v>
      </c>
      <c r="AF133">
        <f t="shared" si="24"/>
        <v>130</v>
      </c>
      <c r="AG133">
        <f t="shared" si="18"/>
        <v>24.618399999999383</v>
      </c>
      <c r="AH133">
        <f t="shared" si="19"/>
        <v>606.06561855996961</v>
      </c>
      <c r="AI133">
        <f t="shared" si="20"/>
        <v>0.34323775755645264</v>
      </c>
      <c r="AJ133">
        <f t="shared" si="21"/>
        <v>0.24032193268531979</v>
      </c>
      <c r="AK133">
        <f t="shared" si="22"/>
        <v>16900</v>
      </c>
      <c r="AL133">
        <f t="shared" si="25"/>
        <v>4763.91219</v>
      </c>
      <c r="AM133" t="str">
        <f t="shared" si="26"/>
        <v/>
      </c>
    </row>
    <row r="134" spans="1:39" x14ac:dyDescent="0.55000000000000004">
      <c r="A134">
        <v>1776649502</v>
      </c>
      <c r="B134" t="s">
        <v>72</v>
      </c>
      <c r="C134" t="s">
        <v>73</v>
      </c>
      <c r="D134">
        <v>4807.6000000000004</v>
      </c>
      <c r="E134">
        <v>4518.5928199999998</v>
      </c>
      <c r="F134">
        <v>4596.0559499999999</v>
      </c>
      <c r="G134">
        <v>4755.40355</v>
      </c>
      <c r="H134">
        <v>4792.7697200000002</v>
      </c>
      <c r="Q134">
        <v>4782.3139899999996</v>
      </c>
      <c r="R134">
        <v>4811.6772899999996</v>
      </c>
      <c r="S134">
        <v>4838.2660599999999</v>
      </c>
      <c r="V134">
        <v>4747.3742199999997</v>
      </c>
      <c r="W134">
        <v>4713.8092200000001</v>
      </c>
      <c r="AB134">
        <v>4803.90859</v>
      </c>
      <c r="AC134">
        <v>4799.4668000000001</v>
      </c>
      <c r="AD134">
        <v>0</v>
      </c>
      <c r="AE134">
        <f t="shared" si="23"/>
        <v>132</v>
      </c>
      <c r="AF134">
        <f t="shared" si="24"/>
        <v>131</v>
      </c>
      <c r="AG134">
        <f t="shared" si="18"/>
        <v>25.286010000000715</v>
      </c>
      <c r="AH134">
        <f t="shared" si="19"/>
        <v>639.38230172013618</v>
      </c>
      <c r="AI134">
        <f t="shared" si="20"/>
        <v>0.37192596675202277</v>
      </c>
      <c r="AJ134">
        <f t="shared" si="21"/>
        <v>0.26747015788887857</v>
      </c>
      <c r="AK134">
        <f t="shared" si="22"/>
        <v>17161</v>
      </c>
      <c r="AL134">
        <f t="shared" si="25"/>
        <v>4763.91219</v>
      </c>
      <c r="AM134" t="str">
        <f t="shared" si="26"/>
        <v/>
      </c>
    </row>
    <row r="135" spans="1:39" x14ac:dyDescent="0.55000000000000004">
      <c r="A135">
        <v>1776650402</v>
      </c>
      <c r="B135" t="s">
        <v>72</v>
      </c>
      <c r="C135" t="s">
        <v>73</v>
      </c>
      <c r="D135">
        <v>4800.99</v>
      </c>
      <c r="E135">
        <v>4518.5928199999998</v>
      </c>
      <c r="F135">
        <v>4596.0559499999999</v>
      </c>
      <c r="G135">
        <v>4755.40355</v>
      </c>
      <c r="H135">
        <v>4792.7697200000002</v>
      </c>
      <c r="Q135">
        <v>4782.0463900000004</v>
      </c>
      <c r="R135">
        <v>4811.4096900000004</v>
      </c>
      <c r="S135">
        <v>4837.9984599999998</v>
      </c>
      <c r="V135">
        <v>4747.1066199999996</v>
      </c>
      <c r="W135">
        <v>4713.54162</v>
      </c>
      <c r="AB135">
        <v>4804.1204699999998</v>
      </c>
      <c r="AC135">
        <v>4801.7936300000001</v>
      </c>
      <c r="AD135">
        <v>0</v>
      </c>
      <c r="AE135">
        <f t="shared" si="23"/>
        <v>133</v>
      </c>
      <c r="AF135">
        <f t="shared" si="24"/>
        <v>132</v>
      </c>
      <c r="AG135">
        <f t="shared" si="18"/>
        <v>18.943609999999353</v>
      </c>
      <c r="AH135">
        <f t="shared" si="19"/>
        <v>358.86035983207546</v>
      </c>
      <c r="AI135">
        <f t="shared" si="20"/>
        <v>0.15638814089436501</v>
      </c>
      <c r="AJ135">
        <f t="shared" si="21"/>
        <v>8.4256824872721778E-2</v>
      </c>
      <c r="AK135">
        <f t="shared" si="22"/>
        <v>17424</v>
      </c>
      <c r="AL135">
        <f t="shared" si="25"/>
        <v>4763.91219</v>
      </c>
      <c r="AM135" t="str">
        <f t="shared" si="26"/>
        <v/>
      </c>
    </row>
    <row r="136" spans="1:39" x14ac:dyDescent="0.55000000000000004">
      <c r="A136">
        <v>1776651302</v>
      </c>
      <c r="B136" t="s">
        <v>72</v>
      </c>
      <c r="C136" t="s">
        <v>73</v>
      </c>
      <c r="D136">
        <v>4800.46</v>
      </c>
      <c r="E136">
        <v>4518.5928199999998</v>
      </c>
      <c r="F136">
        <v>4596.0559499999999</v>
      </c>
      <c r="G136">
        <v>4755.40355</v>
      </c>
      <c r="H136">
        <v>4792.7697200000002</v>
      </c>
      <c r="Q136">
        <v>4781.7787799999996</v>
      </c>
      <c r="R136">
        <v>4811.1420799999996</v>
      </c>
      <c r="S136">
        <v>4837.7308499999999</v>
      </c>
      <c r="V136">
        <v>4746.8390099999997</v>
      </c>
      <c r="W136">
        <v>4713.2740199999998</v>
      </c>
      <c r="AB136">
        <v>4802.6938600000003</v>
      </c>
      <c r="AC136">
        <v>4802.2437499999996</v>
      </c>
      <c r="AD136">
        <v>0</v>
      </c>
      <c r="AE136">
        <f t="shared" si="23"/>
        <v>134</v>
      </c>
      <c r="AF136">
        <f t="shared" si="24"/>
        <v>133</v>
      </c>
      <c r="AG136">
        <f t="shared" si="18"/>
        <v>18.681220000000394</v>
      </c>
      <c r="AH136">
        <f t="shared" si="19"/>
        <v>348.98798068841472</v>
      </c>
      <c r="AI136">
        <f t="shared" si="20"/>
        <v>0.14997928862735246</v>
      </c>
      <c r="AJ136">
        <f t="shared" si="21"/>
        <v>7.9684720281282442E-2</v>
      </c>
      <c r="AK136">
        <f t="shared" si="22"/>
        <v>17689</v>
      </c>
      <c r="AL136">
        <f t="shared" si="25"/>
        <v>4763.91219</v>
      </c>
      <c r="AM136" t="str">
        <f t="shared" si="26"/>
        <v/>
      </c>
    </row>
    <row r="137" spans="1:39" x14ac:dyDescent="0.55000000000000004">
      <c r="A137">
        <v>1776652202</v>
      </c>
      <c r="B137" t="s">
        <v>72</v>
      </c>
      <c r="C137" t="s">
        <v>73</v>
      </c>
      <c r="D137">
        <v>4796.33</v>
      </c>
      <c r="E137">
        <v>4518.5928199999998</v>
      </c>
      <c r="F137">
        <v>4596.0559499999999</v>
      </c>
      <c r="G137">
        <v>4755.40355</v>
      </c>
      <c r="H137">
        <v>4792.7697200000002</v>
      </c>
      <c r="Q137">
        <v>4781.5111800000004</v>
      </c>
      <c r="R137">
        <v>4810.8744800000004</v>
      </c>
      <c r="S137">
        <v>4837.4632499999998</v>
      </c>
      <c r="V137">
        <v>4746.5714099999996</v>
      </c>
      <c r="W137">
        <v>4713.00641</v>
      </c>
      <c r="AB137">
        <v>4800.2767700000004</v>
      </c>
      <c r="AC137">
        <v>4801.26026</v>
      </c>
      <c r="AD137">
        <v>1</v>
      </c>
      <c r="AE137">
        <f t="shared" si="23"/>
        <v>135</v>
      </c>
      <c r="AF137">
        <f t="shared" si="24"/>
        <v>134</v>
      </c>
      <c r="AG137">
        <f t="shared" si="18"/>
        <v>14.818819999999505</v>
      </c>
      <c r="AH137">
        <f t="shared" si="19"/>
        <v>219.59742619238534</v>
      </c>
      <c r="AI137">
        <f t="shared" si="20"/>
        <v>7.4861142857727367E-2</v>
      </c>
      <c r="AJ137">
        <f t="shared" si="21"/>
        <v>3.1550671284901306E-2</v>
      </c>
      <c r="AK137">
        <f t="shared" si="22"/>
        <v>17956</v>
      </c>
      <c r="AL137">
        <f t="shared" si="25"/>
        <v>4800.2767700000004</v>
      </c>
      <c r="AM137">
        <f t="shared" si="26"/>
        <v>36.364580000000387</v>
      </c>
    </row>
    <row r="138" spans="1:39" x14ac:dyDescent="0.55000000000000004">
      <c r="A138">
        <v>1776653102</v>
      </c>
      <c r="B138" t="s">
        <v>72</v>
      </c>
      <c r="C138" t="s">
        <v>73</v>
      </c>
      <c r="D138">
        <v>4797.41</v>
      </c>
      <c r="E138">
        <v>4518.5928199999998</v>
      </c>
      <c r="F138">
        <v>4596.0559499999999</v>
      </c>
      <c r="G138">
        <v>4755.40355</v>
      </c>
      <c r="H138">
        <v>4792.7697200000002</v>
      </c>
      <c r="Q138">
        <v>4781.2435699999996</v>
      </c>
      <c r="R138">
        <v>4810.6068699999996</v>
      </c>
      <c r="S138">
        <v>4837.1956399999999</v>
      </c>
      <c r="V138">
        <v>4746.3037999999997</v>
      </c>
      <c r="W138">
        <v>4712.7388099999998</v>
      </c>
      <c r="AB138">
        <v>4797.6085300000004</v>
      </c>
      <c r="AC138">
        <v>4799.4343900000003</v>
      </c>
      <c r="AD138">
        <v>0</v>
      </c>
      <c r="AE138">
        <f t="shared" si="23"/>
        <v>136</v>
      </c>
      <c r="AF138">
        <f t="shared" si="24"/>
        <v>135</v>
      </c>
      <c r="AG138">
        <f t="shared" si="18"/>
        <v>16.166430000000219</v>
      </c>
      <c r="AH138">
        <f t="shared" si="19"/>
        <v>261.35345894490706</v>
      </c>
      <c r="AI138">
        <f t="shared" si="20"/>
        <v>9.7198141920777428E-2</v>
      </c>
      <c r="AJ138">
        <f t="shared" si="21"/>
        <v>4.4690027009913667E-2</v>
      </c>
      <c r="AK138">
        <f t="shared" si="22"/>
        <v>18225</v>
      </c>
      <c r="AL138">
        <f t="shared" si="25"/>
        <v>4800.2767700000004</v>
      </c>
      <c r="AM138" t="str">
        <f t="shared" si="26"/>
        <v/>
      </c>
    </row>
    <row r="139" spans="1:39" x14ac:dyDescent="0.55000000000000004">
      <c r="A139">
        <v>1776654002</v>
      </c>
      <c r="B139" t="s">
        <v>72</v>
      </c>
      <c r="C139" t="s">
        <v>73</v>
      </c>
      <c r="D139">
        <v>4791.47</v>
      </c>
      <c r="E139">
        <v>4518.5928199999998</v>
      </c>
      <c r="F139">
        <v>4596.0559499999999</v>
      </c>
      <c r="G139">
        <v>4755.40355</v>
      </c>
      <c r="H139">
        <v>4792.7697200000002</v>
      </c>
      <c r="Q139">
        <v>4780.9759700000004</v>
      </c>
      <c r="R139">
        <v>4810.3392700000004</v>
      </c>
      <c r="S139">
        <v>4836.9280399999998</v>
      </c>
      <c r="V139">
        <v>4746.0361999999996</v>
      </c>
      <c r="W139">
        <v>4712.4712</v>
      </c>
      <c r="AB139">
        <v>4795.1506399999998</v>
      </c>
      <c r="AC139">
        <v>4797.29252</v>
      </c>
      <c r="AD139">
        <v>0</v>
      </c>
      <c r="AE139">
        <f t="shared" si="23"/>
        <v>137</v>
      </c>
      <c r="AF139">
        <f t="shared" si="24"/>
        <v>136</v>
      </c>
      <c r="AG139">
        <f t="shared" si="18"/>
        <v>10.494029999999839</v>
      </c>
      <c r="AH139">
        <f t="shared" si="19"/>
        <v>110.12466564089661</v>
      </c>
      <c r="AI139">
        <f t="shared" si="20"/>
        <v>2.6585356518347463E-2</v>
      </c>
      <c r="AJ139">
        <f t="shared" si="21"/>
        <v>7.9345685820200566E-3</v>
      </c>
      <c r="AK139">
        <f t="shared" si="22"/>
        <v>18496</v>
      </c>
      <c r="AL139">
        <f t="shared" si="25"/>
        <v>4800.2767700000004</v>
      </c>
      <c r="AM139" t="str">
        <f t="shared" si="26"/>
        <v/>
      </c>
    </row>
    <row r="140" spans="1:39" x14ac:dyDescent="0.55000000000000004">
      <c r="A140">
        <v>1776654902</v>
      </c>
      <c r="B140" t="s">
        <v>72</v>
      </c>
      <c r="C140" t="s">
        <v>73</v>
      </c>
      <c r="D140">
        <v>4795.1000000000004</v>
      </c>
      <c r="E140">
        <v>4518.5928199999998</v>
      </c>
      <c r="F140">
        <v>4596.0559499999999</v>
      </c>
      <c r="G140">
        <v>4755.40355</v>
      </c>
      <c r="H140">
        <v>4792.7697200000002</v>
      </c>
      <c r="Q140">
        <v>4780.7083700000003</v>
      </c>
      <c r="R140">
        <v>4810.0716700000003</v>
      </c>
      <c r="S140">
        <v>4836.6604399999997</v>
      </c>
      <c r="V140">
        <v>4745.7686000000003</v>
      </c>
      <c r="W140">
        <v>4712.2035999999998</v>
      </c>
      <c r="AB140">
        <v>4793.3458300000002</v>
      </c>
      <c r="AC140">
        <v>4795.3191699999998</v>
      </c>
      <c r="AD140">
        <v>0</v>
      </c>
      <c r="AE140">
        <f t="shared" si="23"/>
        <v>138</v>
      </c>
      <c r="AF140">
        <f t="shared" si="24"/>
        <v>137</v>
      </c>
      <c r="AG140">
        <f t="shared" si="18"/>
        <v>14.391630000000077</v>
      </c>
      <c r="AH140">
        <f t="shared" si="19"/>
        <v>207.11901405690222</v>
      </c>
      <c r="AI140">
        <f t="shared" si="20"/>
        <v>6.8571798391097213E-2</v>
      </c>
      <c r="AJ140">
        <f t="shared" si="21"/>
        <v>2.8066874505029142E-2</v>
      </c>
      <c r="AK140">
        <f t="shared" si="22"/>
        <v>18769</v>
      </c>
      <c r="AL140">
        <f t="shared" si="25"/>
        <v>4800.2767700000004</v>
      </c>
      <c r="AM140" t="str">
        <f t="shared" si="26"/>
        <v/>
      </c>
    </row>
    <row r="141" spans="1:39" x14ac:dyDescent="0.55000000000000004">
      <c r="A141">
        <v>1776655802</v>
      </c>
      <c r="B141" t="s">
        <v>72</v>
      </c>
      <c r="C141" t="s">
        <v>73</v>
      </c>
      <c r="D141">
        <v>4793.76</v>
      </c>
      <c r="E141">
        <v>4518.5928199999998</v>
      </c>
      <c r="F141">
        <v>4596.0559499999999</v>
      </c>
      <c r="G141">
        <v>4755.40355</v>
      </c>
      <c r="H141">
        <v>4792.7697200000002</v>
      </c>
      <c r="Q141">
        <v>4780.4407600000004</v>
      </c>
      <c r="R141">
        <v>4809.8040600000004</v>
      </c>
      <c r="S141">
        <v>4836.3928299999998</v>
      </c>
      <c r="V141">
        <v>4745.5009899999995</v>
      </c>
      <c r="W141">
        <v>4711.9359999999997</v>
      </c>
      <c r="AB141">
        <v>4792.1382100000001</v>
      </c>
      <c r="AC141">
        <v>4793.7286899999999</v>
      </c>
      <c r="AD141">
        <v>0</v>
      </c>
      <c r="AE141">
        <f t="shared" si="23"/>
        <v>139</v>
      </c>
      <c r="AF141">
        <f t="shared" si="24"/>
        <v>138</v>
      </c>
      <c r="AG141">
        <f t="shared" si="18"/>
        <v>13.319239999999809</v>
      </c>
      <c r="AH141">
        <f t="shared" si="19"/>
        <v>177.40215417759489</v>
      </c>
      <c r="AI141">
        <f t="shared" si="20"/>
        <v>5.4356804555599172E-2</v>
      </c>
      <c r="AJ141">
        <f t="shared" si="21"/>
        <v>2.0590736971025113E-2</v>
      </c>
      <c r="AK141">
        <f t="shared" si="22"/>
        <v>19044</v>
      </c>
      <c r="AL141">
        <f t="shared" si="25"/>
        <v>4800.2767700000004</v>
      </c>
      <c r="AM141" t="str">
        <f t="shared" si="26"/>
        <v/>
      </c>
    </row>
    <row r="142" spans="1:39" x14ac:dyDescent="0.55000000000000004">
      <c r="A142">
        <v>1776656702</v>
      </c>
      <c r="B142" t="s">
        <v>72</v>
      </c>
      <c r="C142" t="s">
        <v>73</v>
      </c>
      <c r="D142">
        <v>4790.91</v>
      </c>
      <c r="E142">
        <v>4518.5928199999998</v>
      </c>
      <c r="F142">
        <v>4596.0559499999999</v>
      </c>
      <c r="G142">
        <v>4755.40355</v>
      </c>
      <c r="H142">
        <v>4792.7697200000002</v>
      </c>
      <c r="Q142">
        <v>4780.1731600000003</v>
      </c>
      <c r="R142">
        <v>4809.5364600000003</v>
      </c>
      <c r="S142">
        <v>4836.1252299999996</v>
      </c>
      <c r="V142">
        <v>4745.2333900000003</v>
      </c>
      <c r="W142">
        <v>4711.6683899999998</v>
      </c>
      <c r="AB142">
        <v>4791.4216299999998</v>
      </c>
      <c r="AC142">
        <v>4792.5751600000003</v>
      </c>
      <c r="AD142">
        <v>0</v>
      </c>
      <c r="AE142">
        <f t="shared" si="23"/>
        <v>140</v>
      </c>
      <c r="AF142">
        <f t="shared" si="24"/>
        <v>139</v>
      </c>
      <c r="AG142">
        <f t="shared" si="18"/>
        <v>10.736839999999575</v>
      </c>
      <c r="AH142">
        <f t="shared" si="19"/>
        <v>115.27973318559086</v>
      </c>
      <c r="AI142">
        <f t="shared" si="20"/>
        <v>2.8473773657366537E-2</v>
      </c>
      <c r="AJ142">
        <f t="shared" si="21"/>
        <v>8.6948088333810292E-3</v>
      </c>
      <c r="AK142">
        <f t="shared" si="22"/>
        <v>19321</v>
      </c>
      <c r="AL142">
        <f t="shared" si="25"/>
        <v>4800.2767700000004</v>
      </c>
      <c r="AM142" t="str">
        <f t="shared" si="26"/>
        <v/>
      </c>
    </row>
    <row r="143" spans="1:39" x14ac:dyDescent="0.55000000000000004">
      <c r="A143">
        <v>1776657602</v>
      </c>
      <c r="B143" t="s">
        <v>72</v>
      </c>
      <c r="C143" t="s">
        <v>73</v>
      </c>
      <c r="D143">
        <v>4793.12</v>
      </c>
      <c r="E143">
        <v>4518.5928199999998</v>
      </c>
      <c r="F143">
        <v>4596.0559499999999</v>
      </c>
      <c r="G143">
        <v>4755.40355</v>
      </c>
      <c r="H143">
        <v>4792.7697200000002</v>
      </c>
      <c r="Q143">
        <v>4779.9055500000004</v>
      </c>
      <c r="R143">
        <v>4809.2688500000004</v>
      </c>
      <c r="S143">
        <v>4835.8576199999998</v>
      </c>
      <c r="V143">
        <v>4744.9657800000004</v>
      </c>
      <c r="W143">
        <v>4711.4007899999997</v>
      </c>
      <c r="AB143">
        <v>4791.0043400000004</v>
      </c>
      <c r="AC143">
        <v>4791.7897499999999</v>
      </c>
      <c r="AD143">
        <v>0</v>
      </c>
      <c r="AE143">
        <f t="shared" si="23"/>
        <v>141</v>
      </c>
      <c r="AF143">
        <f t="shared" si="24"/>
        <v>140</v>
      </c>
      <c r="AG143">
        <f t="shared" si="18"/>
        <v>13.214449999999488</v>
      </c>
      <c r="AH143">
        <f t="shared" si="19"/>
        <v>174.62168880248646</v>
      </c>
      <c r="AI143">
        <f t="shared" si="20"/>
        <v>5.308390466881454E-2</v>
      </c>
      <c r="AJ143">
        <f t="shared" si="21"/>
        <v>1.995034823615725E-2</v>
      </c>
      <c r="AK143">
        <f t="shared" si="22"/>
        <v>19600</v>
      </c>
      <c r="AL143">
        <f t="shared" si="25"/>
        <v>4800.2767700000004</v>
      </c>
      <c r="AM143" t="str">
        <f t="shared" si="26"/>
        <v/>
      </c>
    </row>
    <row r="144" spans="1:39" x14ac:dyDescent="0.55000000000000004">
      <c r="A144">
        <v>1776658502</v>
      </c>
      <c r="B144" t="s">
        <v>72</v>
      </c>
      <c r="C144" t="s">
        <v>73</v>
      </c>
      <c r="D144">
        <v>4794.79</v>
      </c>
      <c r="E144">
        <v>4518.5928199999998</v>
      </c>
      <c r="F144">
        <v>4596.0559499999999</v>
      </c>
      <c r="G144">
        <v>4755.40355</v>
      </c>
      <c r="H144">
        <v>4792.7697200000002</v>
      </c>
      <c r="Q144">
        <v>4779.6379500000003</v>
      </c>
      <c r="R144">
        <v>4809.0012500000003</v>
      </c>
      <c r="S144">
        <v>4835.5900199999996</v>
      </c>
      <c r="V144">
        <v>4744.6981800000003</v>
      </c>
      <c r="W144">
        <v>4711.1331799999998</v>
      </c>
      <c r="AB144">
        <v>4790.5272599999998</v>
      </c>
      <c r="AC144">
        <v>4791.1585100000002</v>
      </c>
      <c r="AD144">
        <v>0</v>
      </c>
      <c r="AE144">
        <f t="shared" si="23"/>
        <v>142</v>
      </c>
      <c r="AF144">
        <f t="shared" si="24"/>
        <v>141</v>
      </c>
      <c r="AG144">
        <f t="shared" si="18"/>
        <v>15.15204999999969</v>
      </c>
      <c r="AH144">
        <f t="shared" si="19"/>
        <v>229.58461920249061</v>
      </c>
      <c r="AI144">
        <f t="shared" si="20"/>
        <v>8.0025752911196846E-2</v>
      </c>
      <c r="AJ144">
        <f t="shared" si="21"/>
        <v>3.4485751291658213E-2</v>
      </c>
      <c r="AK144">
        <f t="shared" si="22"/>
        <v>19881</v>
      </c>
      <c r="AL144">
        <f t="shared" si="25"/>
        <v>4800.2767700000004</v>
      </c>
      <c r="AM144" t="str">
        <f t="shared" si="26"/>
        <v/>
      </c>
    </row>
    <row r="145" spans="1:39" x14ac:dyDescent="0.55000000000000004">
      <c r="A145">
        <v>1776659402</v>
      </c>
      <c r="B145" t="s">
        <v>72</v>
      </c>
      <c r="C145" t="s">
        <v>73</v>
      </c>
      <c r="D145">
        <v>4787.34</v>
      </c>
      <c r="E145">
        <v>4518.5928199999998</v>
      </c>
      <c r="F145">
        <v>4596.0559499999999</v>
      </c>
      <c r="G145">
        <v>4755.40355</v>
      </c>
      <c r="H145">
        <v>4792.7697200000002</v>
      </c>
      <c r="Q145">
        <v>4779.3703500000001</v>
      </c>
      <c r="R145">
        <v>4808.7336400000004</v>
      </c>
      <c r="S145">
        <v>4835.3224200000004</v>
      </c>
      <c r="V145">
        <v>4744.4305800000002</v>
      </c>
      <c r="W145">
        <v>4710.8655799999997</v>
      </c>
      <c r="AB145">
        <v>4789.7432699999999</v>
      </c>
      <c r="AC145">
        <v>4790.4508900000001</v>
      </c>
      <c r="AD145">
        <v>0</v>
      </c>
      <c r="AE145">
        <f t="shared" si="23"/>
        <v>143</v>
      </c>
      <c r="AF145">
        <f t="shared" si="24"/>
        <v>142</v>
      </c>
      <c r="AG145">
        <f t="shared" si="18"/>
        <v>7.9696500000000015</v>
      </c>
      <c r="AH145">
        <f t="shared" si="19"/>
        <v>63.515321122500026</v>
      </c>
      <c r="AI145">
        <f t="shared" si="20"/>
        <v>1.1644834798221685E-2</v>
      </c>
      <c r="AJ145">
        <f t="shared" si="21"/>
        <v>2.639435836400869E-3</v>
      </c>
      <c r="AK145">
        <f t="shared" si="22"/>
        <v>20164</v>
      </c>
      <c r="AL145">
        <f t="shared" si="25"/>
        <v>4800.2767700000004</v>
      </c>
      <c r="AM145" t="str">
        <f t="shared" si="26"/>
        <v/>
      </c>
    </row>
    <row r="146" spans="1:39" x14ac:dyDescent="0.55000000000000004">
      <c r="A146">
        <v>1776660302</v>
      </c>
      <c r="B146" t="s">
        <v>72</v>
      </c>
      <c r="C146" t="s">
        <v>73</v>
      </c>
      <c r="D146">
        <v>4789.0200000000004</v>
      </c>
      <c r="E146">
        <v>4518.5928199999998</v>
      </c>
      <c r="F146">
        <v>4596.0559499999999</v>
      </c>
      <c r="G146">
        <v>4755.40355</v>
      </c>
      <c r="H146">
        <v>4792.7697200000002</v>
      </c>
      <c r="Q146">
        <v>4779.1027400000003</v>
      </c>
      <c r="R146">
        <v>4808.4660400000002</v>
      </c>
      <c r="S146">
        <v>4835.0548099999996</v>
      </c>
      <c r="V146">
        <v>4744.1629700000003</v>
      </c>
      <c r="W146">
        <v>4710.5979799999996</v>
      </c>
      <c r="AB146">
        <v>4788.8450899999998</v>
      </c>
      <c r="AC146">
        <v>4789.6479900000004</v>
      </c>
      <c r="AD146">
        <v>0</v>
      </c>
      <c r="AE146">
        <f t="shared" si="23"/>
        <v>144</v>
      </c>
      <c r="AF146">
        <f t="shared" si="24"/>
        <v>143</v>
      </c>
      <c r="AG146">
        <f t="shared" si="18"/>
        <v>9.9172600000001694</v>
      </c>
      <c r="AH146">
        <f t="shared" si="19"/>
        <v>98.352045907603355</v>
      </c>
      <c r="AI146">
        <f t="shared" si="20"/>
        <v>2.2438337818752093E-2</v>
      </c>
      <c r="AJ146">
        <f t="shared" si="21"/>
        <v>6.3287932693126738E-3</v>
      </c>
      <c r="AK146">
        <f t="shared" si="22"/>
        <v>20449</v>
      </c>
      <c r="AL146">
        <f t="shared" si="25"/>
        <v>4800.2767700000004</v>
      </c>
      <c r="AM146" t="str">
        <f t="shared" si="26"/>
        <v/>
      </c>
    </row>
    <row r="147" spans="1:39" x14ac:dyDescent="0.55000000000000004">
      <c r="A147">
        <v>1776661202</v>
      </c>
      <c r="B147" t="s">
        <v>72</v>
      </c>
      <c r="C147" t="s">
        <v>73</v>
      </c>
      <c r="D147">
        <v>4786.62</v>
      </c>
      <c r="E147">
        <v>4518.5928199999998</v>
      </c>
      <c r="F147">
        <v>4596.0559499999999</v>
      </c>
      <c r="G147">
        <v>4755.40355</v>
      </c>
      <c r="H147">
        <v>4792.7697200000002</v>
      </c>
      <c r="Q147">
        <v>4778.8351400000001</v>
      </c>
      <c r="R147">
        <v>4808.1984400000001</v>
      </c>
      <c r="S147">
        <v>4834.7872100000004</v>
      </c>
      <c r="V147">
        <v>4743.8953700000002</v>
      </c>
      <c r="W147">
        <v>4710.3303699999997</v>
      </c>
      <c r="AB147">
        <v>4787.9080599999998</v>
      </c>
      <c r="AC147">
        <v>4788.7780199999997</v>
      </c>
      <c r="AD147">
        <v>0</v>
      </c>
      <c r="AE147">
        <f t="shared" si="23"/>
        <v>145</v>
      </c>
      <c r="AF147">
        <f t="shared" si="24"/>
        <v>144</v>
      </c>
      <c r="AG147">
        <f t="shared" si="18"/>
        <v>7.7848599999997532</v>
      </c>
      <c r="AH147">
        <f t="shared" si="19"/>
        <v>60.604045219596159</v>
      </c>
      <c r="AI147">
        <f t="shared" si="20"/>
        <v>1.0853454872530754E-2</v>
      </c>
      <c r="AJ147">
        <f t="shared" si="21"/>
        <v>2.4030197476828164E-3</v>
      </c>
      <c r="AK147">
        <f t="shared" si="22"/>
        <v>20736</v>
      </c>
      <c r="AL147">
        <f t="shared" si="25"/>
        <v>4800.2767700000004</v>
      </c>
      <c r="AM147" t="str">
        <f t="shared" si="26"/>
        <v/>
      </c>
    </row>
    <row r="148" spans="1:39" x14ac:dyDescent="0.55000000000000004">
      <c r="A148">
        <v>1776662102</v>
      </c>
      <c r="B148" t="s">
        <v>72</v>
      </c>
      <c r="C148" t="s">
        <v>73</v>
      </c>
      <c r="D148">
        <v>4788.05</v>
      </c>
      <c r="E148">
        <v>4518.5928199999998</v>
      </c>
      <c r="F148">
        <v>4596.0559499999999</v>
      </c>
      <c r="G148">
        <v>4755.40355</v>
      </c>
      <c r="H148">
        <v>4792.7697200000002</v>
      </c>
      <c r="Q148">
        <v>4778.5675300000003</v>
      </c>
      <c r="R148">
        <v>4807.9308300000002</v>
      </c>
      <c r="S148">
        <v>4834.5195999999996</v>
      </c>
      <c r="V148">
        <v>4743.6277600000003</v>
      </c>
      <c r="W148">
        <v>4710.0627699999995</v>
      </c>
      <c r="AB148">
        <v>4787.2074400000001</v>
      </c>
      <c r="AC148">
        <v>4787.9927299999999</v>
      </c>
      <c r="AD148">
        <v>0</v>
      </c>
      <c r="AE148">
        <f t="shared" si="23"/>
        <v>146</v>
      </c>
      <c r="AF148">
        <f t="shared" si="24"/>
        <v>145</v>
      </c>
      <c r="AG148">
        <f t="shared" si="18"/>
        <v>9.4824699999999211</v>
      </c>
      <c r="AH148">
        <f t="shared" si="19"/>
        <v>89.917237300898506</v>
      </c>
      <c r="AI148">
        <f t="shared" si="20"/>
        <v>1.9614625321021473E-2</v>
      </c>
      <c r="AJ148">
        <f t="shared" si="21"/>
        <v>5.2898093777561748E-3</v>
      </c>
      <c r="AK148">
        <f t="shared" si="22"/>
        <v>21025</v>
      </c>
      <c r="AL148">
        <f t="shared" si="25"/>
        <v>4800.2767700000004</v>
      </c>
      <c r="AM148" t="str">
        <f t="shared" si="26"/>
        <v/>
      </c>
    </row>
    <row r="149" spans="1:39" x14ac:dyDescent="0.55000000000000004">
      <c r="A149">
        <v>1776663002</v>
      </c>
      <c r="B149" t="s">
        <v>72</v>
      </c>
      <c r="C149" t="s">
        <v>73</v>
      </c>
      <c r="D149">
        <v>4780.97</v>
      </c>
      <c r="E149">
        <v>4518.5928199999998</v>
      </c>
      <c r="F149">
        <v>4596.0559499999999</v>
      </c>
      <c r="G149">
        <v>4755.40355</v>
      </c>
      <c r="H149">
        <v>4792.7697200000002</v>
      </c>
      <c r="Q149">
        <v>4778.2999300000001</v>
      </c>
      <c r="R149">
        <v>4807.6632300000001</v>
      </c>
      <c r="S149">
        <v>4834.2520000000004</v>
      </c>
      <c r="V149">
        <v>4743.3601600000002</v>
      </c>
      <c r="W149">
        <v>4709.7951599999997</v>
      </c>
      <c r="AA149">
        <v>4779.8</v>
      </c>
      <c r="AB149">
        <v>4786.9206100000001</v>
      </c>
      <c r="AC149">
        <v>4787.4566699999996</v>
      </c>
      <c r="AD149">
        <v>0</v>
      </c>
      <c r="AE149">
        <f t="shared" si="23"/>
        <v>147</v>
      </c>
      <c r="AF149">
        <f t="shared" si="24"/>
        <v>146</v>
      </c>
      <c r="AG149">
        <f t="shared" si="18"/>
        <v>2.6700700000001234</v>
      </c>
      <c r="AH149">
        <f t="shared" si="19"/>
        <v>7.1292738049006585</v>
      </c>
      <c r="AI149">
        <f t="shared" si="20"/>
        <v>4.3790865225787698E-4</v>
      </c>
      <c r="AJ149">
        <f t="shared" si="21"/>
        <v>3.3254061949242133E-5</v>
      </c>
      <c r="AK149">
        <f t="shared" si="22"/>
        <v>21316</v>
      </c>
      <c r="AL149">
        <f t="shared" si="25"/>
        <v>4800.2767700000004</v>
      </c>
      <c r="AM149" t="str">
        <f t="shared" si="26"/>
        <v/>
      </c>
    </row>
    <row r="150" spans="1:39" x14ac:dyDescent="0.55000000000000004">
      <c r="A150">
        <v>1776663902</v>
      </c>
      <c r="B150" t="s">
        <v>72</v>
      </c>
      <c r="C150" t="s">
        <v>73</v>
      </c>
      <c r="D150">
        <v>4790.87</v>
      </c>
      <c r="E150">
        <v>4518.5928199999998</v>
      </c>
      <c r="F150">
        <v>4596.0559499999999</v>
      </c>
      <c r="G150">
        <v>4755.40355</v>
      </c>
      <c r="H150">
        <v>4792.7697200000002</v>
      </c>
      <c r="Q150">
        <v>4778.03233</v>
      </c>
      <c r="R150">
        <v>4807.3956200000002</v>
      </c>
      <c r="S150">
        <v>4833.9844000000003</v>
      </c>
      <c r="V150">
        <v>4743.09256</v>
      </c>
      <c r="W150">
        <v>4709.5275600000004</v>
      </c>
      <c r="AB150">
        <v>4787.43444</v>
      </c>
      <c r="AC150">
        <v>4787.4455600000001</v>
      </c>
      <c r="AD150">
        <v>0</v>
      </c>
      <c r="AE150">
        <f t="shared" si="23"/>
        <v>148</v>
      </c>
      <c r="AF150">
        <f t="shared" si="24"/>
        <v>147</v>
      </c>
      <c r="AG150">
        <f t="shared" si="18"/>
        <v>12.837669999999889</v>
      </c>
      <c r="AH150">
        <f t="shared" si="19"/>
        <v>164.80577102889714</v>
      </c>
      <c r="AI150">
        <f t="shared" si="20"/>
        <v>4.8671441348366831E-2</v>
      </c>
      <c r="AJ150">
        <f t="shared" si="21"/>
        <v>1.7770471189768218E-2</v>
      </c>
      <c r="AK150">
        <f t="shared" si="22"/>
        <v>21609</v>
      </c>
      <c r="AL150">
        <f t="shared" si="25"/>
        <v>4800.2767700000004</v>
      </c>
      <c r="AM150" t="str">
        <f t="shared" si="26"/>
        <v/>
      </c>
    </row>
    <row r="151" spans="1:39" x14ac:dyDescent="0.55000000000000004">
      <c r="A151">
        <v>1776664802</v>
      </c>
      <c r="B151" t="s">
        <v>72</v>
      </c>
      <c r="C151" t="s">
        <v>73</v>
      </c>
      <c r="D151">
        <v>4790.5600000000004</v>
      </c>
      <c r="E151">
        <v>4518.5928199999998</v>
      </c>
      <c r="F151">
        <v>4596.0559499999999</v>
      </c>
      <c r="G151">
        <v>4755.40355</v>
      </c>
      <c r="H151">
        <v>4792.7697200000002</v>
      </c>
      <c r="Q151">
        <v>4777.7647200000001</v>
      </c>
      <c r="R151">
        <v>4807.1280200000001</v>
      </c>
      <c r="S151">
        <v>4833.7167900000004</v>
      </c>
      <c r="V151">
        <v>4742.8249500000002</v>
      </c>
      <c r="W151">
        <v>4709.2599600000003</v>
      </c>
      <c r="AB151">
        <v>4788.4818800000003</v>
      </c>
      <c r="AC151">
        <v>4787.9637199999997</v>
      </c>
      <c r="AD151">
        <v>1</v>
      </c>
      <c r="AE151">
        <f t="shared" si="23"/>
        <v>149</v>
      </c>
      <c r="AF151">
        <f t="shared" si="24"/>
        <v>148</v>
      </c>
      <c r="AG151">
        <f t="shared" si="18"/>
        <v>12.795280000000275</v>
      </c>
      <c r="AH151">
        <f t="shared" si="19"/>
        <v>163.71919027840704</v>
      </c>
      <c r="AI151">
        <f t="shared" si="20"/>
        <v>4.8190892167705474E-2</v>
      </c>
      <c r="AJ151">
        <f t="shared" si="21"/>
        <v>1.7536918704838436E-2</v>
      </c>
      <c r="AK151">
        <f t="shared" si="22"/>
        <v>21904</v>
      </c>
      <c r="AL151">
        <f t="shared" si="25"/>
        <v>4788.4818800000003</v>
      </c>
      <c r="AM151">
        <f t="shared" si="26"/>
        <v>11.794890000000123</v>
      </c>
    </row>
    <row r="152" spans="1:39" x14ac:dyDescent="0.55000000000000004">
      <c r="A152">
        <v>1776665702</v>
      </c>
      <c r="B152" t="s">
        <v>72</v>
      </c>
      <c r="C152" t="s">
        <v>73</v>
      </c>
      <c r="D152">
        <v>4786.12</v>
      </c>
      <c r="E152">
        <v>4518.5928199999998</v>
      </c>
      <c r="F152">
        <v>4596.0559499999999</v>
      </c>
      <c r="G152">
        <v>4755.40355</v>
      </c>
      <c r="H152">
        <v>4792.7697200000002</v>
      </c>
      <c r="Q152">
        <v>4777.49712</v>
      </c>
      <c r="R152">
        <v>4806.86042</v>
      </c>
      <c r="S152">
        <v>4833.4491900000003</v>
      </c>
      <c r="V152">
        <v>4742.55735</v>
      </c>
      <c r="W152">
        <v>4708.9923500000004</v>
      </c>
      <c r="AB152">
        <v>4789.9533899999997</v>
      </c>
      <c r="AC152">
        <v>4788.9585500000003</v>
      </c>
      <c r="AD152">
        <v>0</v>
      </c>
      <c r="AE152">
        <f t="shared" si="23"/>
        <v>150</v>
      </c>
      <c r="AF152">
        <f t="shared" si="24"/>
        <v>149</v>
      </c>
      <c r="AG152">
        <f t="shared" si="18"/>
        <v>8.6228799999998955</v>
      </c>
      <c r="AH152">
        <f t="shared" si="19"/>
        <v>74.3540594943982</v>
      </c>
      <c r="AI152">
        <f t="shared" si="20"/>
        <v>1.4749340826703783E-2</v>
      </c>
      <c r="AJ152">
        <f t="shared" si="21"/>
        <v>3.617124704731493E-3</v>
      </c>
      <c r="AK152">
        <f t="shared" si="22"/>
        <v>22201</v>
      </c>
      <c r="AL152">
        <f t="shared" si="25"/>
        <v>4788.4818800000003</v>
      </c>
      <c r="AM152" t="str">
        <f t="shared" si="26"/>
        <v/>
      </c>
    </row>
    <row r="153" spans="1:39" x14ac:dyDescent="0.55000000000000004">
      <c r="A153">
        <v>1776666602</v>
      </c>
      <c r="B153" t="s">
        <v>72</v>
      </c>
      <c r="C153" t="s">
        <v>73</v>
      </c>
      <c r="D153">
        <v>4790.24</v>
      </c>
      <c r="E153">
        <v>4518.5928199999998</v>
      </c>
      <c r="F153">
        <v>4596.0559499999999</v>
      </c>
      <c r="G153">
        <v>4755.40355</v>
      </c>
      <c r="H153">
        <v>4792.7697200000002</v>
      </c>
      <c r="Q153">
        <v>4777.2295100000001</v>
      </c>
      <c r="R153">
        <v>4806.5928100000001</v>
      </c>
      <c r="S153">
        <v>4833.1815800000004</v>
      </c>
      <c r="V153">
        <v>4742.2897400000002</v>
      </c>
      <c r="W153">
        <v>4708.7247500000003</v>
      </c>
      <c r="AB153">
        <v>4791.7388600000004</v>
      </c>
      <c r="AC153">
        <v>4790.3487100000002</v>
      </c>
      <c r="AD153">
        <v>0</v>
      </c>
      <c r="AE153">
        <f t="shared" si="23"/>
        <v>151</v>
      </c>
      <c r="AF153">
        <f t="shared" si="24"/>
        <v>150</v>
      </c>
      <c r="AG153">
        <f t="shared" si="18"/>
        <v>13.010489999999663</v>
      </c>
      <c r="AH153">
        <f t="shared" si="19"/>
        <v>169.27285004009124</v>
      </c>
      <c r="AI153">
        <f t="shared" si="20"/>
        <v>5.0663658095275808E-2</v>
      </c>
      <c r="AJ153">
        <f t="shared" si="21"/>
        <v>1.874686817805327E-2</v>
      </c>
      <c r="AK153">
        <f t="shared" si="22"/>
        <v>22500</v>
      </c>
      <c r="AL153">
        <f t="shared" si="25"/>
        <v>4788.4818800000003</v>
      </c>
      <c r="AM153" t="str">
        <f t="shared" si="26"/>
        <v/>
      </c>
    </row>
    <row r="154" spans="1:39" x14ac:dyDescent="0.55000000000000004">
      <c r="A154">
        <v>1776667502</v>
      </c>
      <c r="B154" t="s">
        <v>72</v>
      </c>
      <c r="C154" t="s">
        <v>73</v>
      </c>
      <c r="D154">
        <v>4795.46</v>
      </c>
      <c r="E154">
        <v>4518.5928199999998</v>
      </c>
      <c r="F154">
        <v>4596.0559499999999</v>
      </c>
      <c r="G154">
        <v>4755.40355</v>
      </c>
      <c r="H154">
        <v>4792.7697200000002</v>
      </c>
      <c r="Q154">
        <v>4776.96191</v>
      </c>
      <c r="R154">
        <v>4806.32521</v>
      </c>
      <c r="S154">
        <v>4832.9139800000003</v>
      </c>
      <c r="V154">
        <v>4742.02214</v>
      </c>
      <c r="W154">
        <v>4708.4571400000004</v>
      </c>
      <c r="AB154">
        <v>4793.4334099999996</v>
      </c>
      <c r="AC154">
        <v>4791.8910599999999</v>
      </c>
      <c r="AD154">
        <v>0</v>
      </c>
      <c r="AE154">
        <f t="shared" si="23"/>
        <v>152</v>
      </c>
      <c r="AF154">
        <f t="shared" si="24"/>
        <v>151</v>
      </c>
      <c r="AG154">
        <f t="shared" si="18"/>
        <v>18.498090000000047</v>
      </c>
      <c r="AH154">
        <f t="shared" si="19"/>
        <v>342.17933364810176</v>
      </c>
      <c r="AI154">
        <f t="shared" si="20"/>
        <v>0.14561169215441111</v>
      </c>
      <c r="AJ154">
        <f t="shared" si="21"/>
        <v>7.6605802260323097E-2</v>
      </c>
      <c r="AK154">
        <f t="shared" si="22"/>
        <v>22801</v>
      </c>
      <c r="AL154">
        <f t="shared" si="25"/>
        <v>4788.4818800000003</v>
      </c>
      <c r="AM154" t="str">
        <f t="shared" si="26"/>
        <v/>
      </c>
    </row>
    <row r="155" spans="1:39" x14ac:dyDescent="0.55000000000000004">
      <c r="A155">
        <v>1776668402</v>
      </c>
      <c r="B155" t="s">
        <v>72</v>
      </c>
      <c r="C155" t="s">
        <v>73</v>
      </c>
      <c r="D155">
        <v>4797.47</v>
      </c>
      <c r="E155">
        <v>4518.5928199999998</v>
      </c>
      <c r="F155">
        <v>4596.0559499999999</v>
      </c>
      <c r="G155">
        <v>4755.40355</v>
      </c>
      <c r="H155">
        <v>4792.7697200000002</v>
      </c>
      <c r="Q155">
        <v>4776.6943099999999</v>
      </c>
      <c r="R155">
        <v>4806.0576000000001</v>
      </c>
      <c r="S155">
        <v>4832.6463700000004</v>
      </c>
      <c r="V155">
        <v>4741.7545399999999</v>
      </c>
      <c r="W155">
        <v>4708.1895400000003</v>
      </c>
      <c r="AB155">
        <v>4794.6108199999999</v>
      </c>
      <c r="AC155">
        <v>4793.2509399999999</v>
      </c>
      <c r="AD155">
        <v>0</v>
      </c>
      <c r="AE155">
        <f t="shared" si="23"/>
        <v>153</v>
      </c>
      <c r="AF155">
        <f t="shared" si="24"/>
        <v>152</v>
      </c>
      <c r="AG155">
        <f t="shared" si="18"/>
        <v>20.775690000000395</v>
      </c>
      <c r="AH155">
        <f t="shared" si="19"/>
        <v>431.6292949761164</v>
      </c>
      <c r="AI155">
        <f t="shared" si="20"/>
        <v>0.20629179452817348</v>
      </c>
      <c r="AJ155">
        <f t="shared" si="21"/>
        <v>0.12189220640389084</v>
      </c>
      <c r="AK155">
        <f t="shared" si="22"/>
        <v>23104</v>
      </c>
      <c r="AL155">
        <f t="shared" si="25"/>
        <v>4788.4818800000003</v>
      </c>
      <c r="AM155" t="str">
        <f t="shared" si="26"/>
        <v/>
      </c>
    </row>
    <row r="156" spans="1:39" x14ac:dyDescent="0.55000000000000004">
      <c r="A156">
        <v>1776669302</v>
      </c>
      <c r="B156" t="s">
        <v>72</v>
      </c>
      <c r="C156" t="s">
        <v>73</v>
      </c>
      <c r="D156">
        <v>4797.92</v>
      </c>
      <c r="E156">
        <v>4518.5928199999998</v>
      </c>
      <c r="F156">
        <v>4596.0559499999999</v>
      </c>
      <c r="G156">
        <v>4755.40355</v>
      </c>
      <c r="H156">
        <v>4792.7697200000002</v>
      </c>
      <c r="Q156">
        <v>4776.4267</v>
      </c>
      <c r="R156">
        <v>4805.79</v>
      </c>
      <c r="S156">
        <v>4832.3787700000003</v>
      </c>
      <c r="V156">
        <v>4741.48693</v>
      </c>
      <c r="W156">
        <v>4707.9219300000004</v>
      </c>
      <c r="Z156">
        <v>4805.79</v>
      </c>
      <c r="AB156">
        <v>4795.1085999999996</v>
      </c>
      <c r="AC156">
        <v>4794.1797699999997</v>
      </c>
      <c r="AD156">
        <v>0</v>
      </c>
      <c r="AE156">
        <f t="shared" si="23"/>
        <v>154</v>
      </c>
      <c r="AF156">
        <f t="shared" si="24"/>
        <v>153</v>
      </c>
      <c r="AG156">
        <f t="shared" si="18"/>
        <v>21.49330000000009</v>
      </c>
      <c r="AH156">
        <f t="shared" si="19"/>
        <v>461.96194489000391</v>
      </c>
      <c r="AI156">
        <f t="shared" si="20"/>
        <v>0.2284151396447858</v>
      </c>
      <c r="AJ156">
        <f t="shared" si="21"/>
        <v>0.13962607017530654</v>
      </c>
      <c r="AK156">
        <f t="shared" si="22"/>
        <v>23409</v>
      </c>
      <c r="AL156">
        <f t="shared" si="25"/>
        <v>4788.4818800000003</v>
      </c>
      <c r="AM156" t="str">
        <f t="shared" si="26"/>
        <v/>
      </c>
    </row>
    <row r="157" spans="1:39" x14ac:dyDescent="0.55000000000000004">
      <c r="A157">
        <v>1776670202</v>
      </c>
      <c r="B157" t="s">
        <v>72</v>
      </c>
      <c r="C157" t="s">
        <v>73</v>
      </c>
      <c r="D157">
        <v>4797.6899999999996</v>
      </c>
      <c r="E157">
        <v>4518.5928199999998</v>
      </c>
      <c r="F157">
        <v>4596.0559499999999</v>
      </c>
      <c r="G157">
        <v>4755.40355</v>
      </c>
      <c r="H157">
        <v>4792.7697200000002</v>
      </c>
      <c r="Q157">
        <v>4776.1590999999999</v>
      </c>
      <c r="R157">
        <v>4805.5223999999998</v>
      </c>
      <c r="S157">
        <v>4832.1111700000001</v>
      </c>
      <c r="V157">
        <v>4741.2193299999999</v>
      </c>
      <c r="W157">
        <v>4707.6543300000003</v>
      </c>
      <c r="AB157">
        <v>4794.9353499999997</v>
      </c>
      <c r="AC157">
        <v>4794.5575600000002</v>
      </c>
      <c r="AD157">
        <v>0</v>
      </c>
      <c r="AE157">
        <f t="shared" si="23"/>
        <v>155</v>
      </c>
      <c r="AF157">
        <f t="shared" si="24"/>
        <v>154</v>
      </c>
      <c r="AG157">
        <f t="shared" si="18"/>
        <v>21.530899999999747</v>
      </c>
      <c r="AH157">
        <f t="shared" si="19"/>
        <v>463.57965480998911</v>
      </c>
      <c r="AI157">
        <f t="shared" si="20"/>
        <v>0.22961599420272771</v>
      </c>
      <c r="AJ157">
        <f t="shared" si="21"/>
        <v>0.14060567452484363</v>
      </c>
      <c r="AK157">
        <f t="shared" si="22"/>
        <v>23716</v>
      </c>
      <c r="AL157">
        <f t="shared" si="25"/>
        <v>4788.4818800000003</v>
      </c>
      <c r="AM157" t="str">
        <f t="shared" si="26"/>
        <v/>
      </c>
    </row>
    <row r="158" spans="1:39" x14ac:dyDescent="0.55000000000000004">
      <c r="A158">
        <v>1776671102</v>
      </c>
      <c r="B158" t="s">
        <v>72</v>
      </c>
      <c r="C158" t="s">
        <v>73</v>
      </c>
      <c r="D158">
        <v>4789.7</v>
      </c>
      <c r="E158">
        <v>4518.5928199999998</v>
      </c>
      <c r="F158">
        <v>4596.0559499999999</v>
      </c>
      <c r="G158">
        <v>4755.40355</v>
      </c>
      <c r="H158">
        <v>4792.7697200000002</v>
      </c>
      <c r="Q158">
        <v>4775.89149</v>
      </c>
      <c r="R158">
        <v>4805.25479</v>
      </c>
      <c r="S158">
        <v>4831.8435600000003</v>
      </c>
      <c r="V158">
        <v>4740.95172</v>
      </c>
      <c r="W158">
        <v>4707.3867300000002</v>
      </c>
      <c r="AB158">
        <v>4794.2746100000004</v>
      </c>
      <c r="AC158">
        <v>4794.41608</v>
      </c>
      <c r="AD158">
        <v>1</v>
      </c>
      <c r="AE158">
        <f t="shared" si="23"/>
        <v>156</v>
      </c>
      <c r="AF158">
        <f t="shared" si="24"/>
        <v>155</v>
      </c>
      <c r="AG158">
        <f t="shared" si="18"/>
        <v>13.808509999999842</v>
      </c>
      <c r="AH158">
        <f t="shared" si="19"/>
        <v>190.67494842009563</v>
      </c>
      <c r="AI158">
        <f t="shared" si="20"/>
        <v>6.0569786223275912E-2</v>
      </c>
      <c r="AJ158">
        <f t="shared" si="21"/>
        <v>2.3787093946350979E-2</v>
      </c>
      <c r="AK158">
        <f t="shared" si="22"/>
        <v>24025</v>
      </c>
      <c r="AL158">
        <f t="shared" si="25"/>
        <v>4794.2746100000004</v>
      </c>
      <c r="AM158">
        <f t="shared" si="26"/>
        <v>5.7927300000001196</v>
      </c>
    </row>
    <row r="159" spans="1:39" x14ac:dyDescent="0.55000000000000004">
      <c r="A159">
        <v>1776672002</v>
      </c>
      <c r="B159" t="s">
        <v>72</v>
      </c>
      <c r="C159" t="s">
        <v>73</v>
      </c>
      <c r="D159">
        <v>4789.4799999999996</v>
      </c>
      <c r="E159">
        <v>4518.5928199999998</v>
      </c>
      <c r="F159">
        <v>4596.0559499999999</v>
      </c>
      <c r="G159">
        <v>4755.40355</v>
      </c>
      <c r="H159">
        <v>4792.7697200000002</v>
      </c>
      <c r="Q159">
        <v>4775.6238899999998</v>
      </c>
      <c r="R159">
        <v>4804.9871899999998</v>
      </c>
      <c r="S159">
        <v>4831.5759600000001</v>
      </c>
      <c r="V159">
        <v>4740.6841199999999</v>
      </c>
      <c r="W159">
        <v>4707.1191200000003</v>
      </c>
      <c r="AB159">
        <v>4793.5539699999999</v>
      </c>
      <c r="AC159">
        <v>4793.9850299999998</v>
      </c>
      <c r="AD159">
        <v>0</v>
      </c>
      <c r="AE159">
        <f t="shared" si="23"/>
        <v>157</v>
      </c>
      <c r="AF159">
        <f t="shared" si="24"/>
        <v>156</v>
      </c>
      <c r="AG159">
        <f t="shared" si="18"/>
        <v>13.856109999999717</v>
      </c>
      <c r="AH159">
        <f t="shared" si="19"/>
        <v>191.99178433209215</v>
      </c>
      <c r="AI159">
        <f t="shared" si="20"/>
        <v>6.1198327274355355E-2</v>
      </c>
      <c r="AJ159">
        <f t="shared" si="21"/>
        <v>2.4116784484067628E-2</v>
      </c>
      <c r="AK159">
        <f t="shared" si="22"/>
        <v>24336</v>
      </c>
      <c r="AL159">
        <f t="shared" si="25"/>
        <v>4794.2746100000004</v>
      </c>
      <c r="AM159" t="str">
        <f t="shared" si="26"/>
        <v/>
      </c>
    </row>
    <row r="160" spans="1:39" x14ac:dyDescent="0.55000000000000004">
      <c r="A160">
        <v>1776672902</v>
      </c>
      <c r="B160" t="s">
        <v>72</v>
      </c>
      <c r="C160" t="s">
        <v>73</v>
      </c>
      <c r="D160">
        <v>4792.1099999999997</v>
      </c>
      <c r="E160">
        <v>4518.5928199999998</v>
      </c>
      <c r="F160">
        <v>4596.0559499999999</v>
      </c>
      <c r="G160">
        <v>4755.40355</v>
      </c>
      <c r="H160">
        <v>4792.7697200000002</v>
      </c>
      <c r="Q160">
        <v>4775.35628</v>
      </c>
      <c r="R160">
        <v>4804.71958</v>
      </c>
      <c r="S160">
        <v>4831.3083500000002</v>
      </c>
      <c r="V160">
        <v>4740.41651</v>
      </c>
      <c r="W160">
        <v>4706.8515200000002</v>
      </c>
      <c r="AB160">
        <v>4793.0428599999996</v>
      </c>
      <c r="AC160">
        <v>4793.5139499999996</v>
      </c>
      <c r="AD160">
        <v>0</v>
      </c>
      <c r="AE160">
        <f t="shared" si="23"/>
        <v>158</v>
      </c>
      <c r="AF160">
        <f t="shared" si="24"/>
        <v>157</v>
      </c>
      <c r="AG160">
        <f t="shared" si="18"/>
        <v>16.753719999999703</v>
      </c>
      <c r="AH160">
        <f t="shared" si="19"/>
        <v>280.68713383839003</v>
      </c>
      <c r="AI160">
        <f t="shared" si="20"/>
        <v>0.10818058940036697</v>
      </c>
      <c r="AJ160">
        <f t="shared" si="21"/>
        <v>5.1546493149826081E-2</v>
      </c>
      <c r="AK160">
        <f t="shared" si="22"/>
        <v>24649</v>
      </c>
      <c r="AL160">
        <f t="shared" si="25"/>
        <v>4794.2746100000004</v>
      </c>
      <c r="AM160" t="str">
        <f t="shared" si="26"/>
        <v/>
      </c>
    </row>
    <row r="161" spans="1:39" x14ac:dyDescent="0.55000000000000004">
      <c r="A161">
        <v>1776673802</v>
      </c>
      <c r="B161" t="s">
        <v>72</v>
      </c>
      <c r="C161" t="s">
        <v>73</v>
      </c>
      <c r="D161">
        <v>4792.4799999999996</v>
      </c>
      <c r="E161">
        <v>4518.5928199999998</v>
      </c>
      <c r="F161">
        <v>4596.0559499999999</v>
      </c>
      <c r="G161">
        <v>4755.40355</v>
      </c>
      <c r="H161">
        <v>4792.7697200000002</v>
      </c>
      <c r="Q161">
        <v>4775.0886799999998</v>
      </c>
      <c r="R161">
        <v>4804.4519799999998</v>
      </c>
      <c r="S161">
        <v>4831.0407500000001</v>
      </c>
      <c r="V161">
        <v>4740.1489099999999</v>
      </c>
      <c r="W161">
        <v>4706.5839100000003</v>
      </c>
      <c r="AB161">
        <v>4792.8256600000004</v>
      </c>
      <c r="AC161">
        <v>4793.1697999999997</v>
      </c>
      <c r="AD161">
        <v>0</v>
      </c>
      <c r="AE161">
        <f t="shared" si="23"/>
        <v>159</v>
      </c>
      <c r="AF161">
        <f t="shared" si="24"/>
        <v>158</v>
      </c>
      <c r="AG161">
        <f t="shared" si="18"/>
        <v>17.391319999999723</v>
      </c>
      <c r="AH161">
        <f t="shared" si="19"/>
        <v>302.45801134239036</v>
      </c>
      <c r="AI161">
        <f t="shared" si="20"/>
        <v>0.12100776036628771</v>
      </c>
      <c r="AJ161">
        <f t="shared" si="21"/>
        <v>5.9852775911380419E-2</v>
      </c>
      <c r="AK161">
        <f t="shared" si="22"/>
        <v>24964</v>
      </c>
      <c r="AL161">
        <f t="shared" si="25"/>
        <v>4794.2746100000004</v>
      </c>
      <c r="AM161" t="str">
        <f t="shared" si="26"/>
        <v/>
      </c>
    </row>
    <row r="162" spans="1:39" x14ac:dyDescent="0.55000000000000004">
      <c r="A162">
        <v>1776674702</v>
      </c>
      <c r="B162" t="s">
        <v>72</v>
      </c>
      <c r="C162" t="s">
        <v>73</v>
      </c>
      <c r="D162">
        <v>4796.1899999999996</v>
      </c>
      <c r="E162">
        <v>4518.5928199999998</v>
      </c>
      <c r="F162">
        <v>4596.0559499999999</v>
      </c>
      <c r="G162">
        <v>4755.40355</v>
      </c>
      <c r="H162">
        <v>4792.7697200000002</v>
      </c>
      <c r="Q162">
        <v>4774.8210799999997</v>
      </c>
      <c r="R162">
        <v>4804.1843799999997</v>
      </c>
      <c r="S162">
        <v>4830.77315</v>
      </c>
      <c r="V162">
        <v>4739.8813099999998</v>
      </c>
      <c r="W162">
        <v>4706.3163100000002</v>
      </c>
      <c r="AB162">
        <v>4792.9179899999999</v>
      </c>
      <c r="AC162">
        <v>4793.0438999999997</v>
      </c>
      <c r="AD162">
        <v>0</v>
      </c>
      <c r="AE162">
        <f t="shared" si="23"/>
        <v>160</v>
      </c>
      <c r="AF162">
        <f t="shared" si="24"/>
        <v>159</v>
      </c>
      <c r="AG162">
        <f t="shared" si="18"/>
        <v>21.368919999999889</v>
      </c>
      <c r="AH162">
        <f t="shared" si="19"/>
        <v>456.63074196639525</v>
      </c>
      <c r="AI162">
        <f t="shared" si="20"/>
        <v>0.22447258300219358</v>
      </c>
      <c r="AJ162">
        <f t="shared" si="21"/>
        <v>0.13642199785773257</v>
      </c>
      <c r="AK162">
        <f t="shared" si="22"/>
        <v>25281</v>
      </c>
      <c r="AL162">
        <f t="shared" si="25"/>
        <v>4794.2746100000004</v>
      </c>
      <c r="AM162" t="str">
        <f t="shared" si="26"/>
        <v/>
      </c>
    </row>
    <row r="163" spans="1:39" x14ac:dyDescent="0.55000000000000004">
      <c r="A163">
        <v>1776675602</v>
      </c>
      <c r="B163" t="s">
        <v>72</v>
      </c>
      <c r="C163" t="s">
        <v>73</v>
      </c>
      <c r="D163">
        <v>4796.07</v>
      </c>
      <c r="E163">
        <v>4518.5928199999998</v>
      </c>
      <c r="F163">
        <v>4596.0559499999999</v>
      </c>
      <c r="G163">
        <v>4755.40355</v>
      </c>
      <c r="H163">
        <v>4792.7697200000002</v>
      </c>
      <c r="Q163">
        <v>4774.5534699999998</v>
      </c>
      <c r="R163">
        <v>4803.9167699999998</v>
      </c>
      <c r="S163">
        <v>4830.5055400000001</v>
      </c>
      <c r="V163">
        <v>4739.6136999999999</v>
      </c>
      <c r="W163">
        <v>4706.04871</v>
      </c>
      <c r="AB163">
        <v>4793.16111</v>
      </c>
      <c r="AC163">
        <v>4793.1025</v>
      </c>
      <c r="AD163">
        <v>1</v>
      </c>
      <c r="AE163">
        <f t="shared" si="23"/>
        <v>161</v>
      </c>
      <c r="AF163">
        <f t="shared" si="24"/>
        <v>160</v>
      </c>
      <c r="AG163">
        <f t="shared" si="18"/>
        <v>21.516529999999875</v>
      </c>
      <c r="AH163">
        <f t="shared" si="19"/>
        <v>462.96106324089465</v>
      </c>
      <c r="AI163">
        <f t="shared" si="20"/>
        <v>0.22915655495822329</v>
      </c>
      <c r="AJ163">
        <f t="shared" si="21"/>
        <v>0.14023068199269098</v>
      </c>
      <c r="AK163">
        <f t="shared" si="22"/>
        <v>25600</v>
      </c>
      <c r="AL163">
        <f t="shared" si="25"/>
        <v>4793.16111</v>
      </c>
      <c r="AM163">
        <f t="shared" si="26"/>
        <v>1.1135000000003856</v>
      </c>
    </row>
    <row r="164" spans="1:39" x14ac:dyDescent="0.55000000000000004">
      <c r="A164">
        <v>1776676502</v>
      </c>
      <c r="B164" t="s">
        <v>72</v>
      </c>
      <c r="C164" t="s">
        <v>73</v>
      </c>
      <c r="D164">
        <v>4792.33</v>
      </c>
      <c r="E164">
        <v>4518.5928199999998</v>
      </c>
      <c r="F164">
        <v>4596.0559499999999</v>
      </c>
      <c r="G164">
        <v>4755.40355</v>
      </c>
      <c r="H164">
        <v>4792.7697200000002</v>
      </c>
      <c r="Q164">
        <v>4774.2858699999997</v>
      </c>
      <c r="R164">
        <v>4803.6491699999997</v>
      </c>
      <c r="S164">
        <v>4830.23794</v>
      </c>
      <c r="V164">
        <v>4739.3460999999998</v>
      </c>
      <c r="W164">
        <v>4705.7811000000002</v>
      </c>
      <c r="AB164">
        <v>4793.4598599999999</v>
      </c>
      <c r="AC164">
        <v>4793.2811799999999</v>
      </c>
      <c r="AD164">
        <v>0</v>
      </c>
      <c r="AE164">
        <f t="shared" si="23"/>
        <v>162</v>
      </c>
      <c r="AF164">
        <f t="shared" si="24"/>
        <v>161</v>
      </c>
      <c r="AG164">
        <f t="shared" si="18"/>
        <v>18.044130000000223</v>
      </c>
      <c r="AH164">
        <f t="shared" si="19"/>
        <v>325.59062745690807</v>
      </c>
      <c r="AI164">
        <f t="shared" si="20"/>
        <v>0.13515229553339614</v>
      </c>
      <c r="AJ164">
        <f t="shared" si="21"/>
        <v>6.9358214100765425E-2</v>
      </c>
      <c r="AK164">
        <f t="shared" si="22"/>
        <v>25921</v>
      </c>
      <c r="AL164">
        <f t="shared" si="25"/>
        <v>4793.16111</v>
      </c>
      <c r="AM164" t="str">
        <f t="shared" si="26"/>
        <v/>
      </c>
    </row>
    <row r="165" spans="1:39" x14ac:dyDescent="0.55000000000000004">
      <c r="A165">
        <v>1776677402</v>
      </c>
      <c r="B165" t="s">
        <v>72</v>
      </c>
      <c r="C165" t="s">
        <v>73</v>
      </c>
      <c r="D165">
        <v>4791.96</v>
      </c>
      <c r="E165">
        <v>4518.5928199999998</v>
      </c>
      <c r="F165">
        <v>4596.0559499999999</v>
      </c>
      <c r="G165">
        <v>4755.40355</v>
      </c>
      <c r="H165">
        <v>4792.7697200000002</v>
      </c>
      <c r="Q165">
        <v>4774.0182599999998</v>
      </c>
      <c r="R165">
        <v>4803.3815599999998</v>
      </c>
      <c r="S165">
        <v>4829.9703300000001</v>
      </c>
      <c r="V165">
        <v>4739.0784899999999</v>
      </c>
      <c r="W165">
        <v>4705.5135</v>
      </c>
      <c r="AB165">
        <v>4793.8041999999996</v>
      </c>
      <c r="AC165">
        <v>4793.5426900000002</v>
      </c>
      <c r="AD165">
        <v>0</v>
      </c>
      <c r="AE165">
        <f t="shared" si="23"/>
        <v>163</v>
      </c>
      <c r="AF165">
        <f t="shared" si="24"/>
        <v>162</v>
      </c>
      <c r="AG165">
        <f t="shared" si="18"/>
        <v>17.941740000000209</v>
      </c>
      <c r="AH165">
        <f t="shared" si="19"/>
        <v>321.90603422760751</v>
      </c>
      <c r="AI165">
        <f t="shared" si="20"/>
        <v>0.13286459287798155</v>
      </c>
      <c r="AJ165">
        <f t="shared" si="21"/>
        <v>6.7797292121190025E-2</v>
      </c>
      <c r="AK165">
        <f t="shared" si="22"/>
        <v>26244</v>
      </c>
      <c r="AL165">
        <f t="shared" si="25"/>
        <v>4793.16111</v>
      </c>
      <c r="AM165" t="str">
        <f t="shared" si="26"/>
        <v/>
      </c>
    </row>
    <row r="166" spans="1:39" x14ac:dyDescent="0.55000000000000004">
      <c r="A166">
        <v>1776678302</v>
      </c>
      <c r="B166" t="s">
        <v>72</v>
      </c>
      <c r="C166" t="s">
        <v>73</v>
      </c>
      <c r="D166">
        <v>4791.6000000000004</v>
      </c>
      <c r="E166">
        <v>4518.5928199999998</v>
      </c>
      <c r="F166">
        <v>4596.0559499999999</v>
      </c>
      <c r="G166">
        <v>4755.40355</v>
      </c>
      <c r="H166">
        <v>4792.7697200000002</v>
      </c>
      <c r="Q166">
        <v>4773.7506599999997</v>
      </c>
      <c r="R166">
        <v>4803.1139599999997</v>
      </c>
      <c r="S166">
        <v>4829.70273</v>
      </c>
      <c r="V166">
        <v>4738.8108899999997</v>
      </c>
      <c r="W166">
        <v>4705.2458900000001</v>
      </c>
      <c r="AB166">
        <v>4794.1157400000002</v>
      </c>
      <c r="AC166">
        <v>4793.8292199999996</v>
      </c>
      <c r="AD166">
        <v>0</v>
      </c>
      <c r="AE166">
        <f t="shared" si="23"/>
        <v>164</v>
      </c>
      <c r="AF166">
        <f t="shared" si="24"/>
        <v>163</v>
      </c>
      <c r="AG166">
        <f t="shared" si="18"/>
        <v>17.849340000000666</v>
      </c>
      <c r="AH166">
        <f t="shared" si="19"/>
        <v>318.59893843562378</v>
      </c>
      <c r="AI166">
        <f t="shared" si="20"/>
        <v>0.13082238761590662</v>
      </c>
      <c r="AJ166">
        <f t="shared" si="21"/>
        <v>6.6411419250883938E-2</v>
      </c>
      <c r="AK166">
        <f t="shared" si="22"/>
        <v>26569</v>
      </c>
      <c r="AL166">
        <f t="shared" si="25"/>
        <v>4793.16111</v>
      </c>
      <c r="AM166" t="str">
        <f t="shared" si="26"/>
        <v/>
      </c>
    </row>
    <row r="167" spans="1:39" x14ac:dyDescent="0.55000000000000004">
      <c r="A167">
        <v>1776679202</v>
      </c>
      <c r="B167" t="s">
        <v>72</v>
      </c>
      <c r="C167" t="s">
        <v>73</v>
      </c>
      <c r="D167">
        <v>4795.76</v>
      </c>
      <c r="E167">
        <v>4518.5928199999998</v>
      </c>
      <c r="F167">
        <v>4596.0559499999999</v>
      </c>
      <c r="G167">
        <v>4755.40355</v>
      </c>
      <c r="H167">
        <v>4792.7697200000002</v>
      </c>
      <c r="Q167">
        <v>4773.4830599999996</v>
      </c>
      <c r="R167">
        <v>4802.8463599999995</v>
      </c>
      <c r="S167">
        <v>4829.4351299999998</v>
      </c>
      <c r="V167">
        <v>4738.5432899999996</v>
      </c>
      <c r="W167">
        <v>4704.97829</v>
      </c>
      <c r="AB167">
        <v>4794.3449899999996</v>
      </c>
      <c r="AC167">
        <v>4794.0871100000004</v>
      </c>
      <c r="AD167">
        <v>0</v>
      </c>
      <c r="AE167">
        <f t="shared" si="23"/>
        <v>165</v>
      </c>
      <c r="AF167">
        <f t="shared" si="24"/>
        <v>164</v>
      </c>
      <c r="AG167">
        <f t="shared" si="18"/>
        <v>22.27694000000065</v>
      </c>
      <c r="AH167">
        <f t="shared" si="19"/>
        <v>496.26205576362895</v>
      </c>
      <c r="AI167">
        <f t="shared" si="20"/>
        <v>0.25432098086728033</v>
      </c>
      <c r="AJ167">
        <f t="shared" si="21"/>
        <v>0.16112994290277469</v>
      </c>
      <c r="AK167">
        <f t="shared" si="22"/>
        <v>26896</v>
      </c>
      <c r="AL167">
        <f t="shared" si="25"/>
        <v>4793.16111</v>
      </c>
      <c r="AM167" t="str">
        <f t="shared" si="26"/>
        <v/>
      </c>
    </row>
    <row r="168" spans="1:39" x14ac:dyDescent="0.55000000000000004">
      <c r="A168">
        <v>1776680102</v>
      </c>
      <c r="B168" t="s">
        <v>72</v>
      </c>
      <c r="C168" t="s">
        <v>73</v>
      </c>
      <c r="D168">
        <v>4798.24</v>
      </c>
      <c r="E168">
        <v>4518.5928199999998</v>
      </c>
      <c r="F168">
        <v>4596.0559499999999</v>
      </c>
      <c r="G168">
        <v>4755.40355</v>
      </c>
      <c r="H168">
        <v>4792.7697200000002</v>
      </c>
      <c r="Q168">
        <v>4773.2154499999997</v>
      </c>
      <c r="R168">
        <v>4802.5787499999997</v>
      </c>
      <c r="S168">
        <v>4829.16752</v>
      </c>
      <c r="V168">
        <v>4738.2756799999997</v>
      </c>
      <c r="W168">
        <v>4704.7106899999999</v>
      </c>
      <c r="AB168">
        <v>4794.3912200000004</v>
      </c>
      <c r="AC168">
        <v>4794.2391699999998</v>
      </c>
      <c r="AD168">
        <v>0</v>
      </c>
      <c r="AE168">
        <f t="shared" si="23"/>
        <v>166</v>
      </c>
      <c r="AF168">
        <f t="shared" si="24"/>
        <v>165</v>
      </c>
      <c r="AG168">
        <f t="shared" si="18"/>
        <v>25.02455000000009</v>
      </c>
      <c r="AH168">
        <f t="shared" si="19"/>
        <v>626.22810270250454</v>
      </c>
      <c r="AI168">
        <f t="shared" si="20"/>
        <v>0.3605075913459474</v>
      </c>
      <c r="AJ168">
        <f t="shared" si="21"/>
        <v>0.25657788389663555</v>
      </c>
      <c r="AK168">
        <f t="shared" si="22"/>
        <v>27225</v>
      </c>
      <c r="AL168">
        <f t="shared" si="25"/>
        <v>4793.16111</v>
      </c>
      <c r="AM168" t="str">
        <f t="shared" si="26"/>
        <v/>
      </c>
    </row>
    <row r="169" spans="1:39" x14ac:dyDescent="0.55000000000000004">
      <c r="A169">
        <v>1776681002</v>
      </c>
      <c r="B169" t="s">
        <v>72</v>
      </c>
      <c r="C169" t="s">
        <v>73</v>
      </c>
      <c r="D169">
        <v>4795.08</v>
      </c>
      <c r="E169">
        <v>4518.5928199999998</v>
      </c>
      <c r="F169">
        <v>4596.0559499999999</v>
      </c>
      <c r="G169">
        <v>4755.40355</v>
      </c>
      <c r="H169">
        <v>4792.7697200000002</v>
      </c>
      <c r="Q169">
        <v>4772.9478499999996</v>
      </c>
      <c r="R169">
        <v>4802.3111500000005</v>
      </c>
      <c r="S169">
        <v>4828.8999199999998</v>
      </c>
      <c r="V169">
        <v>4738.0080799999996</v>
      </c>
      <c r="W169">
        <v>4704.44308</v>
      </c>
      <c r="AB169">
        <v>4794.2788700000001</v>
      </c>
      <c r="AC169">
        <v>4794.2590200000004</v>
      </c>
      <c r="AD169">
        <v>0</v>
      </c>
      <c r="AE169">
        <f t="shared" si="23"/>
        <v>167</v>
      </c>
      <c r="AF169">
        <f t="shared" si="24"/>
        <v>166</v>
      </c>
      <c r="AG169">
        <f t="shared" si="18"/>
        <v>22.132150000000365</v>
      </c>
      <c r="AH169">
        <f t="shared" si="19"/>
        <v>489.83206362251616</v>
      </c>
      <c r="AI169">
        <f t="shared" si="20"/>
        <v>0.24939422885262483</v>
      </c>
      <c r="AJ169">
        <f t="shared" si="21"/>
        <v>0.15698152095160489</v>
      </c>
      <c r="AK169">
        <f t="shared" si="22"/>
        <v>27556</v>
      </c>
      <c r="AL169">
        <f t="shared" si="25"/>
        <v>4793.16111</v>
      </c>
      <c r="AM169" t="str">
        <f t="shared" si="26"/>
        <v/>
      </c>
    </row>
    <row r="170" spans="1:39" x14ac:dyDescent="0.55000000000000004">
      <c r="A170">
        <v>1776681902</v>
      </c>
      <c r="B170" t="s">
        <v>72</v>
      </c>
      <c r="C170" t="s">
        <v>73</v>
      </c>
      <c r="D170">
        <v>4795.91</v>
      </c>
      <c r="E170">
        <v>4518.5928199999998</v>
      </c>
      <c r="F170">
        <v>4596.0559499999999</v>
      </c>
      <c r="G170">
        <v>4755.40355</v>
      </c>
      <c r="H170">
        <v>4792.7697200000002</v>
      </c>
      <c r="Q170">
        <v>4772.6802399999997</v>
      </c>
      <c r="R170">
        <v>4802.0435399999997</v>
      </c>
      <c r="S170">
        <v>4828.63231</v>
      </c>
      <c r="V170">
        <v>4737.7404699999997</v>
      </c>
      <c r="W170">
        <v>4704.1754799999999</v>
      </c>
      <c r="AB170">
        <v>4794.2687299999998</v>
      </c>
      <c r="AC170">
        <v>4794.2638699999998</v>
      </c>
      <c r="AD170">
        <v>0</v>
      </c>
      <c r="AE170">
        <f t="shared" si="23"/>
        <v>168</v>
      </c>
      <c r="AF170">
        <f t="shared" si="24"/>
        <v>167</v>
      </c>
      <c r="AG170">
        <f t="shared" si="18"/>
        <v>23.229760000000169</v>
      </c>
      <c r="AH170">
        <f t="shared" si="19"/>
        <v>539.62174965760789</v>
      </c>
      <c r="AI170">
        <f t="shared" si="20"/>
        <v>0.28836978465628571</v>
      </c>
      <c r="AJ170">
        <f t="shared" si="21"/>
        <v>0.19051667973567601</v>
      </c>
      <c r="AK170">
        <f t="shared" si="22"/>
        <v>27889</v>
      </c>
      <c r="AL170">
        <f t="shared" si="25"/>
        <v>4793.16111</v>
      </c>
      <c r="AM170" t="str">
        <f t="shared" si="26"/>
        <v/>
      </c>
    </row>
    <row r="171" spans="1:39" x14ac:dyDescent="0.55000000000000004">
      <c r="A171">
        <v>1776682802</v>
      </c>
      <c r="B171" t="s">
        <v>72</v>
      </c>
      <c r="C171" t="s">
        <v>73</v>
      </c>
      <c r="D171">
        <v>4789.7700000000004</v>
      </c>
      <c r="E171">
        <v>4518.5928199999998</v>
      </c>
      <c r="F171">
        <v>4596.0559499999999</v>
      </c>
      <c r="G171">
        <v>4755.40355</v>
      </c>
      <c r="H171">
        <v>4792.7697200000002</v>
      </c>
      <c r="Q171">
        <v>4772.4126399999996</v>
      </c>
      <c r="R171">
        <v>4801.7759400000004</v>
      </c>
      <c r="S171">
        <v>4828.3647099999998</v>
      </c>
      <c r="V171">
        <v>4737.4728699999996</v>
      </c>
      <c r="W171">
        <v>4703.90787</v>
      </c>
      <c r="AB171">
        <v>4794.5692900000004</v>
      </c>
      <c r="AC171">
        <v>4794.4165800000001</v>
      </c>
      <c r="AD171">
        <v>0</v>
      </c>
      <c r="AE171">
        <f t="shared" si="23"/>
        <v>169</v>
      </c>
      <c r="AF171">
        <f t="shared" si="24"/>
        <v>168</v>
      </c>
      <c r="AG171">
        <f t="shared" si="18"/>
        <v>17.357360000000881</v>
      </c>
      <c r="AH171">
        <f t="shared" si="19"/>
        <v>301.27794616963058</v>
      </c>
      <c r="AI171">
        <f t="shared" si="20"/>
        <v>0.12030026876112662</v>
      </c>
      <c r="AJ171">
        <f t="shared" si="21"/>
        <v>5.9386645811076992E-2</v>
      </c>
      <c r="AK171">
        <f t="shared" si="22"/>
        <v>28224</v>
      </c>
      <c r="AL171">
        <f t="shared" si="25"/>
        <v>4793.16111</v>
      </c>
      <c r="AM171" t="str">
        <f t="shared" si="26"/>
        <v/>
      </c>
    </row>
    <row r="172" spans="1:39" x14ac:dyDescent="0.55000000000000004">
      <c r="A172">
        <v>1776683702</v>
      </c>
      <c r="B172" t="s">
        <v>72</v>
      </c>
      <c r="C172" t="s">
        <v>73</v>
      </c>
      <c r="D172">
        <v>4788.34</v>
      </c>
      <c r="E172">
        <v>4518.5928199999998</v>
      </c>
      <c r="F172">
        <v>4596.0559499999999</v>
      </c>
      <c r="G172">
        <v>4755.40355</v>
      </c>
      <c r="H172">
        <v>4792.7697200000002</v>
      </c>
      <c r="Q172">
        <v>4772.1450400000003</v>
      </c>
      <c r="R172">
        <v>4801.5083299999997</v>
      </c>
      <c r="S172">
        <v>4828.0971099999997</v>
      </c>
      <c r="V172">
        <v>4737.2052700000004</v>
      </c>
      <c r="W172">
        <v>4703.6402699999999</v>
      </c>
      <c r="AB172">
        <v>4795.5786600000001</v>
      </c>
      <c r="AC172">
        <v>4794.9976200000001</v>
      </c>
      <c r="AD172">
        <v>0</v>
      </c>
      <c r="AE172">
        <f t="shared" si="23"/>
        <v>170</v>
      </c>
      <c r="AF172">
        <f t="shared" si="24"/>
        <v>169</v>
      </c>
      <c r="AG172">
        <f t="shared" si="18"/>
        <v>16.19495999999981</v>
      </c>
      <c r="AH172">
        <f t="shared" si="19"/>
        <v>262.27672940159385</v>
      </c>
      <c r="AI172">
        <f t="shared" si="20"/>
        <v>9.7713647140090218E-2</v>
      </c>
      <c r="AJ172">
        <f t="shared" si="21"/>
        <v>4.5006333227016637E-2</v>
      </c>
      <c r="AK172">
        <f t="shared" si="22"/>
        <v>28561</v>
      </c>
      <c r="AL172">
        <f t="shared" si="25"/>
        <v>4793.16111</v>
      </c>
      <c r="AM172" t="str">
        <f t="shared" si="26"/>
        <v/>
      </c>
    </row>
    <row r="173" spans="1:39" x14ac:dyDescent="0.55000000000000004">
      <c r="A173">
        <v>1776684602</v>
      </c>
      <c r="B173" t="s">
        <v>72</v>
      </c>
      <c r="C173" t="s">
        <v>73</v>
      </c>
      <c r="D173">
        <v>4794.3599999999997</v>
      </c>
      <c r="E173">
        <v>4518.5928199999998</v>
      </c>
      <c r="F173">
        <v>4596.0559499999999</v>
      </c>
      <c r="G173">
        <v>4755.40355</v>
      </c>
      <c r="H173">
        <v>4792.7697200000002</v>
      </c>
      <c r="Q173">
        <v>4771.8774299999995</v>
      </c>
      <c r="R173">
        <v>4801.2407300000004</v>
      </c>
      <c r="S173">
        <v>4827.8294999999998</v>
      </c>
      <c r="V173">
        <v>4736.9376599999996</v>
      </c>
      <c r="W173">
        <v>4703.3726699999997</v>
      </c>
      <c r="AB173">
        <v>4797.4928</v>
      </c>
      <c r="AC173">
        <v>4796.24521</v>
      </c>
      <c r="AD173">
        <v>0</v>
      </c>
      <c r="AE173">
        <f t="shared" si="23"/>
        <v>171</v>
      </c>
      <c r="AF173">
        <f t="shared" si="24"/>
        <v>170</v>
      </c>
      <c r="AG173">
        <f t="shared" si="18"/>
        <v>22.482570000000123</v>
      </c>
      <c r="AH173">
        <f t="shared" si="19"/>
        <v>505.46595380490555</v>
      </c>
      <c r="AI173">
        <f t="shared" si="20"/>
        <v>0.26142881076305352</v>
      </c>
      <c r="AJ173">
        <f t="shared" si="21"/>
        <v>0.16716214285705475</v>
      </c>
      <c r="AK173">
        <f t="shared" si="22"/>
        <v>28900</v>
      </c>
      <c r="AL173">
        <f t="shared" si="25"/>
        <v>4793.16111</v>
      </c>
      <c r="AM173" t="str">
        <f t="shared" si="26"/>
        <v/>
      </c>
    </row>
    <row r="174" spans="1:39" x14ac:dyDescent="0.55000000000000004">
      <c r="A174">
        <v>1776685502</v>
      </c>
      <c r="B174" t="s">
        <v>72</v>
      </c>
      <c r="C174" t="s">
        <v>73</v>
      </c>
      <c r="D174">
        <v>4810.4399999999996</v>
      </c>
      <c r="E174">
        <v>4518.5928199999998</v>
      </c>
      <c r="F174">
        <v>4596.0559499999999</v>
      </c>
      <c r="G174">
        <v>4755.40355</v>
      </c>
      <c r="H174">
        <v>4792.7697200000002</v>
      </c>
      <c r="Q174">
        <v>4771.6098300000003</v>
      </c>
      <c r="R174">
        <v>4800.9731300000003</v>
      </c>
      <c r="S174">
        <v>4827.5618999999997</v>
      </c>
      <c r="V174">
        <v>4736.6700600000004</v>
      </c>
      <c r="W174">
        <v>4703.1050599999999</v>
      </c>
      <c r="AB174">
        <v>4800.1639400000004</v>
      </c>
      <c r="AC174">
        <v>4798.2045699999999</v>
      </c>
      <c r="AD174">
        <v>0</v>
      </c>
      <c r="AE174">
        <f t="shared" si="23"/>
        <v>172</v>
      </c>
      <c r="AF174">
        <f t="shared" si="24"/>
        <v>171</v>
      </c>
      <c r="AG174">
        <f t="shared" si="18"/>
        <v>38.830169999999271</v>
      </c>
      <c r="AH174">
        <f t="shared" si="19"/>
        <v>1507.7821022288433</v>
      </c>
      <c r="AI174">
        <f t="shared" si="20"/>
        <v>1.3468631170429004</v>
      </c>
      <c r="AJ174">
        <f t="shared" si="21"/>
        <v>1.4874119977987514</v>
      </c>
      <c r="AK174">
        <f t="shared" si="22"/>
        <v>29241</v>
      </c>
      <c r="AL174">
        <f t="shared" si="25"/>
        <v>4793.16111</v>
      </c>
      <c r="AM174" t="str">
        <f t="shared" si="26"/>
        <v/>
      </c>
    </row>
    <row r="175" spans="1:39" x14ac:dyDescent="0.55000000000000004">
      <c r="A175">
        <v>1776686402</v>
      </c>
      <c r="B175" t="s">
        <v>72</v>
      </c>
      <c r="C175" t="s">
        <v>73</v>
      </c>
      <c r="D175">
        <v>4811.0600000000004</v>
      </c>
      <c r="E175">
        <v>4518.5928199999998</v>
      </c>
      <c r="F175">
        <v>4596.0559499999999</v>
      </c>
      <c r="G175">
        <v>4755.40355</v>
      </c>
      <c r="H175">
        <v>4792.7697200000002</v>
      </c>
      <c r="Q175">
        <v>4771.3422200000005</v>
      </c>
      <c r="R175">
        <v>4800.7055200000004</v>
      </c>
      <c r="S175">
        <v>4827.2942899999998</v>
      </c>
      <c r="V175">
        <v>4736.4024499999996</v>
      </c>
      <c r="W175">
        <v>4702.8374599999997</v>
      </c>
      <c r="AB175">
        <v>4803.0973899999999</v>
      </c>
      <c r="AC175">
        <v>4800.6509800000003</v>
      </c>
      <c r="AD175">
        <v>0</v>
      </c>
      <c r="AE175">
        <f t="shared" si="23"/>
        <v>173</v>
      </c>
      <c r="AF175">
        <f t="shared" si="24"/>
        <v>172</v>
      </c>
      <c r="AG175">
        <f t="shared" si="18"/>
        <v>39.717779999999948</v>
      </c>
      <c r="AH175">
        <f t="shared" si="19"/>
        <v>1577.5020481283959</v>
      </c>
      <c r="AI175">
        <f t="shared" si="20"/>
        <v>1.4413534174464839</v>
      </c>
      <c r="AJ175">
        <f t="shared" si="21"/>
        <v>1.6281483603762501</v>
      </c>
      <c r="AK175">
        <f t="shared" si="22"/>
        <v>29584</v>
      </c>
      <c r="AL175">
        <f t="shared" si="25"/>
        <v>4793.16111</v>
      </c>
      <c r="AM175" t="str">
        <f t="shared" si="26"/>
        <v/>
      </c>
    </row>
    <row r="176" spans="1:39" x14ac:dyDescent="0.55000000000000004">
      <c r="A176">
        <v>1776687302</v>
      </c>
      <c r="B176" t="s">
        <v>72</v>
      </c>
      <c r="C176" t="s">
        <v>73</v>
      </c>
      <c r="D176">
        <v>4805.51</v>
      </c>
      <c r="E176">
        <v>4518.5928199999998</v>
      </c>
      <c r="F176">
        <v>4596.0559499999999</v>
      </c>
      <c r="G176">
        <v>4755.40355</v>
      </c>
      <c r="H176">
        <v>4792.7697200000002</v>
      </c>
      <c r="Q176">
        <v>4771.0746200000003</v>
      </c>
      <c r="R176">
        <v>4800.4379200000003</v>
      </c>
      <c r="S176">
        <v>4827.0266899999997</v>
      </c>
      <c r="V176">
        <v>4736.1348500000004</v>
      </c>
      <c r="W176">
        <v>4702.5698499999999</v>
      </c>
      <c r="AB176">
        <v>4806.2152500000002</v>
      </c>
      <c r="AC176">
        <v>4803.4331099999999</v>
      </c>
      <c r="AD176">
        <v>0</v>
      </c>
      <c r="AE176">
        <f t="shared" si="23"/>
        <v>174</v>
      </c>
      <c r="AF176">
        <f t="shared" si="24"/>
        <v>173</v>
      </c>
      <c r="AG176">
        <f t="shared" si="18"/>
        <v>34.435379999999896</v>
      </c>
      <c r="AH176">
        <f t="shared" si="19"/>
        <v>1185.7953957443929</v>
      </c>
      <c r="AI176">
        <f t="shared" si="20"/>
        <v>0.93935602238858529</v>
      </c>
      <c r="AJ176">
        <f t="shared" si="21"/>
        <v>0.91996992954878265</v>
      </c>
      <c r="AK176">
        <f t="shared" si="22"/>
        <v>29929</v>
      </c>
      <c r="AL176">
        <f t="shared" si="25"/>
        <v>4793.16111</v>
      </c>
      <c r="AM176" t="str">
        <f t="shared" si="26"/>
        <v/>
      </c>
    </row>
    <row r="177" spans="1:39" x14ac:dyDescent="0.55000000000000004">
      <c r="A177">
        <v>1776688202</v>
      </c>
      <c r="B177" t="s">
        <v>72</v>
      </c>
      <c r="C177" t="s">
        <v>73</v>
      </c>
      <c r="D177">
        <v>4806.1099999999997</v>
      </c>
      <c r="E177">
        <v>4518.5928199999998</v>
      </c>
      <c r="F177">
        <v>4596.0559499999999</v>
      </c>
      <c r="G177">
        <v>4755.40355</v>
      </c>
      <c r="H177">
        <v>4792.7697200000002</v>
      </c>
      <c r="Q177">
        <v>4770.8070200000002</v>
      </c>
      <c r="R177">
        <v>4800.1703100000004</v>
      </c>
      <c r="S177">
        <v>4826.7590799999998</v>
      </c>
      <c r="V177">
        <v>4735.8672500000002</v>
      </c>
      <c r="W177">
        <v>4702.3022499999997</v>
      </c>
      <c r="AB177">
        <v>4809.5567899999996</v>
      </c>
      <c r="AC177">
        <v>4806.4949500000002</v>
      </c>
      <c r="AD177">
        <v>0</v>
      </c>
      <c r="AE177">
        <f t="shared" si="23"/>
        <v>175</v>
      </c>
      <c r="AF177">
        <f t="shared" si="24"/>
        <v>174</v>
      </c>
      <c r="AG177">
        <f t="shared" si="18"/>
        <v>35.302979999999479</v>
      </c>
      <c r="AH177">
        <f t="shared" si="19"/>
        <v>1246.3003968803632</v>
      </c>
      <c r="AI177">
        <f t="shared" si="20"/>
        <v>1.0121611984639221</v>
      </c>
      <c r="AJ177">
        <f t="shared" si="21"/>
        <v>1.0162477084133277</v>
      </c>
      <c r="AK177">
        <f t="shared" si="22"/>
        <v>30276</v>
      </c>
      <c r="AL177">
        <f t="shared" si="25"/>
        <v>4793.16111</v>
      </c>
      <c r="AM177" t="str">
        <f t="shared" si="26"/>
        <v/>
      </c>
    </row>
    <row r="178" spans="1:39" x14ac:dyDescent="0.55000000000000004">
      <c r="A178">
        <v>1776689102</v>
      </c>
      <c r="B178" t="s">
        <v>72</v>
      </c>
      <c r="C178" t="s">
        <v>73</v>
      </c>
      <c r="D178">
        <v>4803.49</v>
      </c>
      <c r="E178">
        <v>4518.5928199999998</v>
      </c>
      <c r="F178">
        <v>4596.0559499999999</v>
      </c>
      <c r="G178">
        <v>4755.40355</v>
      </c>
      <c r="H178">
        <v>4792.7697200000002</v>
      </c>
      <c r="Q178">
        <v>4770.5394100000003</v>
      </c>
      <c r="R178">
        <v>4799.9027100000003</v>
      </c>
      <c r="S178">
        <v>4826.4914799999997</v>
      </c>
      <c r="V178">
        <v>4735.5996400000004</v>
      </c>
      <c r="W178">
        <v>4702.0346399999999</v>
      </c>
      <c r="AB178">
        <v>4812.9460099999997</v>
      </c>
      <c r="AC178">
        <v>4809.72048</v>
      </c>
      <c r="AD178">
        <v>0</v>
      </c>
      <c r="AE178">
        <f t="shared" si="23"/>
        <v>176</v>
      </c>
      <c r="AF178">
        <f t="shared" si="24"/>
        <v>175</v>
      </c>
      <c r="AG178">
        <f t="shared" si="18"/>
        <v>32.950589999999465</v>
      </c>
      <c r="AH178">
        <f t="shared" si="19"/>
        <v>1085.7413813480648</v>
      </c>
      <c r="AI178">
        <f t="shared" si="20"/>
        <v>0.82301011037446581</v>
      </c>
      <c r="AJ178">
        <f t="shared" si="21"/>
        <v>0.77127080780566148</v>
      </c>
      <c r="AK178">
        <f t="shared" si="22"/>
        <v>30625</v>
      </c>
      <c r="AL178">
        <f t="shared" si="25"/>
        <v>4793.16111</v>
      </c>
      <c r="AM178" t="str">
        <f t="shared" si="26"/>
        <v/>
      </c>
    </row>
    <row r="179" spans="1:39" x14ac:dyDescent="0.55000000000000004">
      <c r="A179">
        <v>1776690002</v>
      </c>
      <c r="B179" t="s">
        <v>72</v>
      </c>
      <c r="C179" t="s">
        <v>73</v>
      </c>
      <c r="D179">
        <v>4815.51</v>
      </c>
      <c r="E179">
        <v>4518.5928199999998</v>
      </c>
      <c r="F179">
        <v>4596.0559499999999</v>
      </c>
      <c r="G179">
        <v>4755.40355</v>
      </c>
      <c r="H179">
        <v>4792.7697200000002</v>
      </c>
      <c r="Q179">
        <v>4770.2718100000002</v>
      </c>
      <c r="R179">
        <v>4799.6351100000002</v>
      </c>
      <c r="S179">
        <v>4826.2238799999996</v>
      </c>
      <c r="V179">
        <v>4735.3320400000002</v>
      </c>
      <c r="W179">
        <v>4701.7670399999997</v>
      </c>
      <c r="AB179">
        <v>4816.2047499999999</v>
      </c>
      <c r="AC179">
        <v>4812.9626099999996</v>
      </c>
      <c r="AD179">
        <v>0</v>
      </c>
      <c r="AE179">
        <f t="shared" si="23"/>
        <v>177</v>
      </c>
      <c r="AF179">
        <f t="shared" si="24"/>
        <v>176</v>
      </c>
      <c r="AG179">
        <f t="shared" si="18"/>
        <v>45.238190000000031</v>
      </c>
      <c r="AH179">
        <f t="shared" si="19"/>
        <v>2046.4938344761028</v>
      </c>
      <c r="AI179">
        <f t="shared" si="20"/>
        <v>2.1297628406379441</v>
      </c>
      <c r="AJ179">
        <f t="shared" si="21"/>
        <v>2.7401541413872188</v>
      </c>
      <c r="AK179">
        <f t="shared" si="22"/>
        <v>30976</v>
      </c>
      <c r="AL179">
        <f t="shared" si="25"/>
        <v>4793.16111</v>
      </c>
      <c r="AM179" t="str">
        <f t="shared" si="26"/>
        <v/>
      </c>
    </row>
    <row r="180" spans="1:39" x14ac:dyDescent="0.55000000000000004">
      <c r="A180">
        <v>1776690902</v>
      </c>
      <c r="B180" t="s">
        <v>72</v>
      </c>
      <c r="C180" t="s">
        <v>73</v>
      </c>
      <c r="D180">
        <v>4824.1899999999996</v>
      </c>
      <c r="E180">
        <v>4518.5928199999998</v>
      </c>
      <c r="F180">
        <v>4596.0559499999999</v>
      </c>
      <c r="G180">
        <v>4755.40355</v>
      </c>
      <c r="H180">
        <v>4792.7697200000002</v>
      </c>
      <c r="Q180">
        <v>4770.0042000000003</v>
      </c>
      <c r="R180">
        <v>4799.3675000000003</v>
      </c>
      <c r="S180">
        <v>4825.9562699999997</v>
      </c>
      <c r="V180">
        <v>4735.0644300000004</v>
      </c>
      <c r="W180">
        <v>4701.4994399999996</v>
      </c>
      <c r="AB180">
        <v>4818.7192400000004</v>
      </c>
      <c r="AC180">
        <v>4815.8409300000003</v>
      </c>
      <c r="AD180">
        <v>0</v>
      </c>
      <c r="AE180">
        <f t="shared" si="23"/>
        <v>178</v>
      </c>
      <c r="AF180">
        <f t="shared" si="24"/>
        <v>177</v>
      </c>
      <c r="AG180">
        <f t="shared" si="18"/>
        <v>54.18579999999929</v>
      </c>
      <c r="AH180">
        <f t="shared" si="19"/>
        <v>2936.1009216399229</v>
      </c>
      <c r="AI180">
        <f t="shared" si="20"/>
        <v>3.6599238851142908</v>
      </c>
      <c r="AJ180">
        <f t="shared" si="21"/>
        <v>5.6402203526950681</v>
      </c>
      <c r="AK180">
        <f t="shared" si="22"/>
        <v>31329</v>
      </c>
      <c r="AL180">
        <f t="shared" si="25"/>
        <v>4793.16111</v>
      </c>
      <c r="AM180" t="str">
        <f t="shared" si="26"/>
        <v/>
      </c>
    </row>
    <row r="181" spans="1:39" x14ac:dyDescent="0.55000000000000004">
      <c r="A181">
        <v>1776691802</v>
      </c>
      <c r="B181" t="s">
        <v>72</v>
      </c>
      <c r="C181" t="s">
        <v>73</v>
      </c>
      <c r="D181">
        <v>4822.18</v>
      </c>
      <c r="E181">
        <v>4518.5928199999998</v>
      </c>
      <c r="F181">
        <v>4596.0559499999999</v>
      </c>
      <c r="G181">
        <v>4755.40355</v>
      </c>
      <c r="H181">
        <v>4792.7697200000002</v>
      </c>
      <c r="Q181">
        <v>4769.7366000000002</v>
      </c>
      <c r="R181">
        <v>4799.0999000000002</v>
      </c>
      <c r="S181">
        <v>4825.6886699999995</v>
      </c>
      <c r="V181">
        <v>4734.7968300000002</v>
      </c>
      <c r="W181">
        <v>4701.2318299999997</v>
      </c>
      <c r="AB181">
        <v>4819.9690499999997</v>
      </c>
      <c r="AC181">
        <v>4817.90499</v>
      </c>
      <c r="AD181">
        <v>0</v>
      </c>
      <c r="AE181">
        <f t="shared" si="23"/>
        <v>179</v>
      </c>
      <c r="AF181">
        <f t="shared" si="24"/>
        <v>178</v>
      </c>
      <c r="AG181">
        <f t="shared" si="18"/>
        <v>52.443400000000111</v>
      </c>
      <c r="AH181">
        <f t="shared" si="19"/>
        <v>2750.3102035600118</v>
      </c>
      <c r="AI181">
        <f t="shared" si="20"/>
        <v>3.3180895636625469</v>
      </c>
      <c r="AJ181">
        <f t="shared" si="21"/>
        <v>4.949000215739618</v>
      </c>
      <c r="AK181">
        <f t="shared" si="22"/>
        <v>31684</v>
      </c>
      <c r="AL181">
        <f t="shared" si="25"/>
        <v>4793.16111</v>
      </c>
      <c r="AM181" t="str">
        <f t="shared" si="26"/>
        <v/>
      </c>
    </row>
    <row r="182" spans="1:39" x14ac:dyDescent="0.55000000000000004">
      <c r="A182">
        <v>1776692702</v>
      </c>
      <c r="B182" t="s">
        <v>72</v>
      </c>
      <c r="C182" t="s">
        <v>73</v>
      </c>
      <c r="D182">
        <v>4817.8999999999996</v>
      </c>
      <c r="E182">
        <v>4518.5928199999998</v>
      </c>
      <c r="F182">
        <v>4596.0559499999999</v>
      </c>
      <c r="G182">
        <v>4755.40355</v>
      </c>
      <c r="H182">
        <v>4792.7697200000002</v>
      </c>
      <c r="Q182">
        <v>4769.4689900000003</v>
      </c>
      <c r="R182">
        <v>4798.8322900000003</v>
      </c>
      <c r="S182">
        <v>4825.4210599999997</v>
      </c>
      <c r="V182">
        <v>4734.5292200000004</v>
      </c>
      <c r="W182">
        <v>4700.9642299999996</v>
      </c>
      <c r="AB182">
        <v>4819.8618999999999</v>
      </c>
      <c r="AC182">
        <v>4818.8834399999996</v>
      </c>
      <c r="AD182">
        <v>0</v>
      </c>
      <c r="AE182">
        <f t="shared" si="23"/>
        <v>180</v>
      </c>
      <c r="AF182">
        <f t="shared" si="24"/>
        <v>179</v>
      </c>
      <c r="AG182">
        <f t="shared" si="18"/>
        <v>48.431009999999333</v>
      </c>
      <c r="AH182">
        <f t="shared" si="19"/>
        <v>2345.5627296200355</v>
      </c>
      <c r="AI182">
        <f t="shared" si="20"/>
        <v>2.6132813120701783</v>
      </c>
      <c r="AJ182">
        <f t="shared" si="21"/>
        <v>3.5995500535795322</v>
      </c>
      <c r="AK182">
        <f t="shared" si="22"/>
        <v>32041</v>
      </c>
      <c r="AL182">
        <f t="shared" si="25"/>
        <v>4793.16111</v>
      </c>
      <c r="AM182" t="str">
        <f t="shared" si="26"/>
        <v/>
      </c>
    </row>
    <row r="183" spans="1:39" x14ac:dyDescent="0.55000000000000004">
      <c r="A183">
        <v>1776693602</v>
      </c>
      <c r="B183" t="s">
        <v>72</v>
      </c>
      <c r="C183" t="s">
        <v>73</v>
      </c>
      <c r="D183">
        <v>4816.3900000000003</v>
      </c>
      <c r="E183">
        <v>4518.5928199999998</v>
      </c>
      <c r="F183">
        <v>4596.0559499999999</v>
      </c>
      <c r="G183">
        <v>4755.40355</v>
      </c>
      <c r="H183">
        <v>4792.7697200000002</v>
      </c>
      <c r="Q183">
        <v>4769.2013900000002</v>
      </c>
      <c r="R183">
        <v>4798.5646900000002</v>
      </c>
      <c r="S183">
        <v>4825.1534600000005</v>
      </c>
      <c r="V183">
        <v>4734.2616200000002</v>
      </c>
      <c r="W183">
        <v>4700.6966199999997</v>
      </c>
      <c r="AB183">
        <v>4818.5417200000002</v>
      </c>
      <c r="AC183">
        <v>4818.7125800000003</v>
      </c>
      <c r="AD183">
        <v>1</v>
      </c>
      <c r="AE183">
        <f t="shared" si="23"/>
        <v>181</v>
      </c>
      <c r="AF183">
        <f t="shared" si="24"/>
        <v>180</v>
      </c>
      <c r="AG183">
        <f t="shared" si="18"/>
        <v>47.188610000000153</v>
      </c>
      <c r="AH183">
        <f t="shared" si="19"/>
        <v>2226.7649137321146</v>
      </c>
      <c r="AI183">
        <f t="shared" si="20"/>
        <v>2.4172810029626395</v>
      </c>
      <c r="AJ183">
        <f t="shared" si="21"/>
        <v>3.2441643833786862</v>
      </c>
      <c r="AK183">
        <f t="shared" si="22"/>
        <v>32400</v>
      </c>
      <c r="AL183">
        <f t="shared" si="25"/>
        <v>4818.5417200000002</v>
      </c>
      <c r="AM183">
        <f t="shared" si="26"/>
        <v>25.380610000000161</v>
      </c>
    </row>
    <row r="184" spans="1:39" x14ac:dyDescent="0.55000000000000004">
      <c r="A184">
        <v>1776694502</v>
      </c>
      <c r="B184" t="s">
        <v>72</v>
      </c>
      <c r="C184" t="s">
        <v>73</v>
      </c>
      <c r="D184">
        <v>4823.3999999999996</v>
      </c>
      <c r="E184">
        <v>4518.5928199999998</v>
      </c>
      <c r="F184">
        <v>4596.0559499999999</v>
      </c>
      <c r="G184">
        <v>4755.40355</v>
      </c>
      <c r="H184">
        <v>4792.7697200000002</v>
      </c>
      <c r="Q184">
        <v>4768.93379</v>
      </c>
      <c r="R184">
        <v>4798.29709</v>
      </c>
      <c r="S184">
        <v>4824.8858600000003</v>
      </c>
      <c r="V184">
        <v>4733.9940200000001</v>
      </c>
      <c r="W184">
        <v>4700.4290199999996</v>
      </c>
      <c r="AB184">
        <v>4816.1832100000001</v>
      </c>
      <c r="AC184">
        <v>4817.4478900000004</v>
      </c>
      <c r="AD184">
        <v>0</v>
      </c>
      <c r="AE184">
        <f t="shared" si="23"/>
        <v>182</v>
      </c>
      <c r="AF184">
        <f t="shared" si="24"/>
        <v>181</v>
      </c>
      <c r="AG184">
        <f t="shared" si="18"/>
        <v>54.466209999999592</v>
      </c>
      <c r="AH184">
        <f t="shared" si="19"/>
        <v>2966.5680317640554</v>
      </c>
      <c r="AI184">
        <f t="shared" si="20"/>
        <v>3.7170384456330576</v>
      </c>
      <c r="AJ184">
        <f t="shared" si="21"/>
        <v>5.7578816958734169</v>
      </c>
      <c r="AK184">
        <f t="shared" si="22"/>
        <v>32761</v>
      </c>
      <c r="AL184">
        <f t="shared" si="25"/>
        <v>4818.5417200000002</v>
      </c>
      <c r="AM184" t="str">
        <f t="shared" si="26"/>
        <v/>
      </c>
    </row>
    <row r="185" spans="1:39" x14ac:dyDescent="0.55000000000000004">
      <c r="A185">
        <v>1776695402</v>
      </c>
      <c r="B185" t="s">
        <v>72</v>
      </c>
      <c r="C185" t="s">
        <v>73</v>
      </c>
      <c r="D185">
        <v>4814.18</v>
      </c>
      <c r="E185">
        <v>4518.5928199999998</v>
      </c>
      <c r="F185">
        <v>4596.0559499999999</v>
      </c>
      <c r="G185">
        <v>4755.40355</v>
      </c>
      <c r="H185">
        <v>4792.7697200000002</v>
      </c>
      <c r="Q185">
        <v>4768.6661800000002</v>
      </c>
      <c r="R185">
        <v>4798.0294800000001</v>
      </c>
      <c r="S185">
        <v>4824.6182500000004</v>
      </c>
      <c r="V185">
        <v>4733.7264100000002</v>
      </c>
      <c r="W185">
        <v>4700.1614200000004</v>
      </c>
      <c r="Z185">
        <v>4827.74</v>
      </c>
      <c r="AB185">
        <v>4812.8439099999996</v>
      </c>
      <c r="AC185">
        <v>4815.1459000000004</v>
      </c>
      <c r="AD185">
        <v>0</v>
      </c>
      <c r="AE185">
        <f t="shared" si="23"/>
        <v>183</v>
      </c>
      <c r="AF185">
        <f t="shared" si="24"/>
        <v>182</v>
      </c>
      <c r="AG185">
        <f t="shared" si="18"/>
        <v>45.513820000000123</v>
      </c>
      <c r="AH185">
        <f t="shared" si="19"/>
        <v>2071.5078109924111</v>
      </c>
      <c r="AI185">
        <f t="shared" si="20"/>
        <v>2.1689295579734553</v>
      </c>
      <c r="AJ185">
        <f t="shared" si="21"/>
        <v>2.8075484723360176</v>
      </c>
      <c r="AK185">
        <f t="shared" si="22"/>
        <v>33124</v>
      </c>
      <c r="AL185">
        <f t="shared" si="25"/>
        <v>4818.5417200000002</v>
      </c>
      <c r="AM185" t="str">
        <f t="shared" si="26"/>
        <v/>
      </c>
    </row>
    <row r="186" spans="1:39" x14ac:dyDescent="0.55000000000000004">
      <c r="A186">
        <v>1776696302</v>
      </c>
      <c r="B186" t="s">
        <v>72</v>
      </c>
      <c r="C186" t="s">
        <v>73</v>
      </c>
      <c r="D186">
        <v>4805.3100000000004</v>
      </c>
      <c r="E186">
        <v>4518.5928199999998</v>
      </c>
      <c r="F186">
        <v>4596.0559499999999</v>
      </c>
      <c r="G186">
        <v>4755.40355</v>
      </c>
      <c r="H186">
        <v>4792.7697200000002</v>
      </c>
      <c r="Q186">
        <v>4768.39858</v>
      </c>
      <c r="R186">
        <v>4797.76188</v>
      </c>
      <c r="S186">
        <v>4824.3506500000003</v>
      </c>
      <c r="V186">
        <v>4733.4588100000001</v>
      </c>
      <c r="W186">
        <v>4699.8938099999996</v>
      </c>
      <c r="AB186">
        <v>4809.1227900000004</v>
      </c>
      <c r="AC186">
        <v>4812.1343500000003</v>
      </c>
      <c r="AD186">
        <v>0</v>
      </c>
      <c r="AE186">
        <f t="shared" si="23"/>
        <v>184</v>
      </c>
      <c r="AF186">
        <f t="shared" si="24"/>
        <v>183</v>
      </c>
      <c r="AG186">
        <f t="shared" si="18"/>
        <v>36.911420000000362</v>
      </c>
      <c r="AH186">
        <f t="shared" si="19"/>
        <v>1362.4529264164266</v>
      </c>
      <c r="AI186">
        <f t="shared" si="20"/>
        <v>1.1569053877083271</v>
      </c>
      <c r="AJ186">
        <f t="shared" si="21"/>
        <v>1.2144988971833743</v>
      </c>
      <c r="AK186">
        <f t="shared" si="22"/>
        <v>33489</v>
      </c>
      <c r="AL186">
        <f t="shared" si="25"/>
        <v>4818.5417200000002</v>
      </c>
      <c r="AM186" t="str">
        <f t="shared" si="26"/>
        <v/>
      </c>
    </row>
    <row r="187" spans="1:39" x14ac:dyDescent="0.55000000000000004">
      <c r="A187">
        <v>1776697202</v>
      </c>
      <c r="B187" t="s">
        <v>72</v>
      </c>
      <c r="C187" t="s">
        <v>73</v>
      </c>
      <c r="D187">
        <v>4798.2</v>
      </c>
      <c r="E187">
        <v>4518.5928199999998</v>
      </c>
      <c r="F187">
        <v>4596.0559499999999</v>
      </c>
      <c r="G187">
        <v>4755.40355</v>
      </c>
      <c r="H187">
        <v>4792.7697200000002</v>
      </c>
      <c r="Q187">
        <v>4768.1309700000002</v>
      </c>
      <c r="R187">
        <v>4797.4942700000001</v>
      </c>
      <c r="S187">
        <v>4824.0830400000004</v>
      </c>
      <c r="V187">
        <v>4733.1912000000002</v>
      </c>
      <c r="W187">
        <v>4699.6262100000004</v>
      </c>
      <c r="AB187">
        <v>4805.6364299999996</v>
      </c>
      <c r="AC187">
        <v>4808.8853900000004</v>
      </c>
      <c r="AD187">
        <v>0</v>
      </c>
      <c r="AE187">
        <f t="shared" si="23"/>
        <v>185</v>
      </c>
      <c r="AF187">
        <f t="shared" si="24"/>
        <v>184</v>
      </c>
      <c r="AG187">
        <f t="shared" si="18"/>
        <v>30.069029999999657</v>
      </c>
      <c r="AH187">
        <f t="shared" si="19"/>
        <v>904.14656514087937</v>
      </c>
      <c r="AI187">
        <f t="shared" si="20"/>
        <v>0.62542298730376378</v>
      </c>
      <c r="AJ187">
        <f t="shared" si="21"/>
        <v>0.53484973646213285</v>
      </c>
      <c r="AK187">
        <f t="shared" si="22"/>
        <v>33856</v>
      </c>
      <c r="AL187">
        <f t="shared" si="25"/>
        <v>4818.5417200000002</v>
      </c>
      <c r="AM187" t="str">
        <f t="shared" si="26"/>
        <v/>
      </c>
    </row>
    <row r="188" spans="1:39" x14ac:dyDescent="0.55000000000000004">
      <c r="A188">
        <v>1776698102</v>
      </c>
      <c r="B188" t="s">
        <v>72</v>
      </c>
      <c r="C188" t="s">
        <v>73</v>
      </c>
      <c r="D188">
        <v>4808.6400000000003</v>
      </c>
      <c r="E188">
        <v>4518.5928199999998</v>
      </c>
      <c r="F188">
        <v>4596.0559499999999</v>
      </c>
      <c r="G188">
        <v>4755.40355</v>
      </c>
      <c r="H188">
        <v>4792.7697200000002</v>
      </c>
      <c r="Q188">
        <v>4767.86337</v>
      </c>
      <c r="R188">
        <v>4797.22667</v>
      </c>
      <c r="S188">
        <v>4823.8154400000003</v>
      </c>
      <c r="V188">
        <v>4732.9236000000001</v>
      </c>
      <c r="W188">
        <v>4699.3585999999996</v>
      </c>
      <c r="AB188">
        <v>4802.8918899999999</v>
      </c>
      <c r="AC188">
        <v>4805.8886400000001</v>
      </c>
      <c r="AD188">
        <v>0</v>
      </c>
      <c r="AE188">
        <f t="shared" si="23"/>
        <v>186</v>
      </c>
      <c r="AF188">
        <f t="shared" si="24"/>
        <v>185</v>
      </c>
      <c r="AG188">
        <f t="shared" si="18"/>
        <v>40.776630000000296</v>
      </c>
      <c r="AH188">
        <f t="shared" si="19"/>
        <v>1662.7335541569241</v>
      </c>
      <c r="AI188">
        <f t="shared" si="20"/>
        <v>1.5597305404033421</v>
      </c>
      <c r="AJ188">
        <f t="shared" si="21"/>
        <v>1.8088370068466786</v>
      </c>
      <c r="AK188">
        <f t="shared" si="22"/>
        <v>34225</v>
      </c>
      <c r="AL188">
        <f t="shared" si="25"/>
        <v>4818.5417200000002</v>
      </c>
      <c r="AM188" t="str">
        <f t="shared" si="26"/>
        <v/>
      </c>
    </row>
    <row r="189" spans="1:39" x14ac:dyDescent="0.55000000000000004">
      <c r="A189">
        <v>1776699002</v>
      </c>
      <c r="B189" t="s">
        <v>72</v>
      </c>
      <c r="C189" t="s">
        <v>73</v>
      </c>
      <c r="D189">
        <v>4800.3599999999997</v>
      </c>
      <c r="E189">
        <v>4518.5928199999998</v>
      </c>
      <c r="F189">
        <v>4596.0559499999999</v>
      </c>
      <c r="G189">
        <v>4755.40355</v>
      </c>
      <c r="H189">
        <v>4792.7697200000002</v>
      </c>
      <c r="Q189">
        <v>4767.5957699999999</v>
      </c>
      <c r="R189">
        <v>4796.9590699999999</v>
      </c>
      <c r="S189">
        <v>4823.5478400000002</v>
      </c>
      <c r="V189">
        <v>4732.6559999999999</v>
      </c>
      <c r="W189">
        <v>4699.0910000000003</v>
      </c>
      <c r="AB189">
        <v>4800.8218100000004</v>
      </c>
      <c r="AC189">
        <v>4803.3552200000004</v>
      </c>
      <c r="AD189">
        <v>0</v>
      </c>
      <c r="AE189">
        <f t="shared" si="23"/>
        <v>187</v>
      </c>
      <c r="AF189">
        <f t="shared" si="24"/>
        <v>186</v>
      </c>
      <c r="AG189">
        <f t="shared" si="18"/>
        <v>32.76422999999977</v>
      </c>
      <c r="AH189">
        <f t="shared" si="19"/>
        <v>1073.4947674928849</v>
      </c>
      <c r="AI189">
        <f t="shared" si="20"/>
        <v>0.80912474349416952</v>
      </c>
      <c r="AJ189">
        <f t="shared" si="21"/>
        <v>0.75396984472268402</v>
      </c>
      <c r="AK189">
        <f t="shared" si="22"/>
        <v>34596</v>
      </c>
      <c r="AL189">
        <f t="shared" si="25"/>
        <v>4818.5417200000002</v>
      </c>
      <c r="AM189" t="str">
        <f t="shared" si="26"/>
        <v/>
      </c>
    </row>
    <row r="190" spans="1:39" x14ac:dyDescent="0.55000000000000004">
      <c r="A190">
        <v>1776699902</v>
      </c>
      <c r="B190" t="s">
        <v>72</v>
      </c>
      <c r="C190" t="s">
        <v>73</v>
      </c>
      <c r="D190">
        <v>4799.8</v>
      </c>
      <c r="E190">
        <v>4518.5928199999998</v>
      </c>
      <c r="F190">
        <v>4596.0559499999999</v>
      </c>
      <c r="G190">
        <v>4755.40355</v>
      </c>
      <c r="H190">
        <v>4792.7697200000002</v>
      </c>
      <c r="Q190">
        <v>4767.32816</v>
      </c>
      <c r="R190">
        <v>4796.69146</v>
      </c>
      <c r="S190">
        <v>4823.2802300000003</v>
      </c>
      <c r="V190">
        <v>4732.3883900000001</v>
      </c>
      <c r="W190">
        <v>4698.8234000000002</v>
      </c>
      <c r="AB190">
        <v>4799.7456300000003</v>
      </c>
      <c r="AC190">
        <v>4801.5504300000002</v>
      </c>
      <c r="AD190">
        <v>0</v>
      </c>
      <c r="AE190">
        <f t="shared" si="23"/>
        <v>188</v>
      </c>
      <c r="AF190">
        <f t="shared" si="24"/>
        <v>187</v>
      </c>
      <c r="AG190">
        <f t="shared" si="18"/>
        <v>32.471840000000157</v>
      </c>
      <c r="AH190">
        <f t="shared" si="19"/>
        <v>1054.4203929856101</v>
      </c>
      <c r="AI190">
        <f t="shared" si="20"/>
        <v>0.78765544513693286</v>
      </c>
      <c r="AJ190">
        <f t="shared" si="21"/>
        <v>0.72741408522937767</v>
      </c>
      <c r="AK190">
        <f t="shared" si="22"/>
        <v>34969</v>
      </c>
      <c r="AL190">
        <f t="shared" si="25"/>
        <v>4818.5417200000002</v>
      </c>
      <c r="AM190" t="str">
        <f t="shared" si="26"/>
        <v/>
      </c>
    </row>
    <row r="191" spans="1:39" x14ac:dyDescent="0.55000000000000004">
      <c r="A191">
        <v>1776700802</v>
      </c>
      <c r="B191" t="s">
        <v>72</v>
      </c>
      <c r="C191" t="s">
        <v>73</v>
      </c>
      <c r="D191">
        <v>4798.42</v>
      </c>
      <c r="E191">
        <v>4518.5928199999998</v>
      </c>
      <c r="F191">
        <v>4596.0559499999999</v>
      </c>
      <c r="G191">
        <v>4755.40355</v>
      </c>
      <c r="H191">
        <v>4792.7697200000002</v>
      </c>
      <c r="Q191">
        <v>4767.0605599999999</v>
      </c>
      <c r="R191">
        <v>4796.4238599999999</v>
      </c>
      <c r="S191">
        <v>4823.0126300000002</v>
      </c>
      <c r="V191">
        <v>4732.1207899999999</v>
      </c>
      <c r="W191">
        <v>4698.5557900000003</v>
      </c>
      <c r="AB191">
        <v>4799.6927400000004</v>
      </c>
      <c r="AC191">
        <v>4800.62158</v>
      </c>
      <c r="AD191">
        <v>0</v>
      </c>
      <c r="AE191">
        <f t="shared" si="23"/>
        <v>189</v>
      </c>
      <c r="AF191">
        <f t="shared" si="24"/>
        <v>188</v>
      </c>
      <c r="AG191">
        <f t="shared" si="18"/>
        <v>31.359440000000177</v>
      </c>
      <c r="AH191">
        <f t="shared" si="19"/>
        <v>983.41447711361104</v>
      </c>
      <c r="AI191">
        <f t="shared" si="20"/>
        <v>0.70944785593887127</v>
      </c>
      <c r="AJ191">
        <f t="shared" si="21"/>
        <v>0.63274293896177503</v>
      </c>
      <c r="AK191">
        <f t="shared" si="22"/>
        <v>35344</v>
      </c>
      <c r="AL191">
        <f t="shared" si="25"/>
        <v>4818.5417200000002</v>
      </c>
      <c r="AM191" t="str">
        <f t="shared" si="26"/>
        <v/>
      </c>
    </row>
    <row r="192" spans="1:39" x14ac:dyDescent="0.55000000000000004">
      <c r="A192">
        <v>1776701702</v>
      </c>
      <c r="B192" t="s">
        <v>72</v>
      </c>
      <c r="C192" t="s">
        <v>73</v>
      </c>
      <c r="D192">
        <v>4801.22</v>
      </c>
      <c r="E192">
        <v>4518.5928199999998</v>
      </c>
      <c r="F192">
        <v>4596.0559499999999</v>
      </c>
      <c r="G192">
        <v>4755.40355</v>
      </c>
      <c r="H192">
        <v>4792.7697200000002</v>
      </c>
      <c r="Q192">
        <v>4766.79295</v>
      </c>
      <c r="R192">
        <v>4796.15625</v>
      </c>
      <c r="S192">
        <v>4822.7450200000003</v>
      </c>
      <c r="V192">
        <v>4731.8531800000001</v>
      </c>
      <c r="W192">
        <v>4698.2881900000002</v>
      </c>
      <c r="AB192">
        <v>4800.59872</v>
      </c>
      <c r="AC192">
        <v>4800.6101500000004</v>
      </c>
      <c r="AD192">
        <v>0</v>
      </c>
      <c r="AE192">
        <f t="shared" si="23"/>
        <v>190</v>
      </c>
      <c r="AF192">
        <f t="shared" si="24"/>
        <v>189</v>
      </c>
      <c r="AG192">
        <f t="shared" si="18"/>
        <v>34.427050000000236</v>
      </c>
      <c r="AH192">
        <f t="shared" si="19"/>
        <v>1185.2217717025162</v>
      </c>
      <c r="AI192">
        <f t="shared" si="20"/>
        <v>0.93867448993801972</v>
      </c>
      <c r="AJ192">
        <f t="shared" si="21"/>
        <v>0.91908008087713944</v>
      </c>
      <c r="AK192">
        <f t="shared" si="22"/>
        <v>35721</v>
      </c>
      <c r="AL192">
        <f t="shared" si="25"/>
        <v>4818.5417200000002</v>
      </c>
      <c r="AM192" t="str">
        <f t="shared" si="26"/>
        <v/>
      </c>
    </row>
    <row r="193" spans="1:39" x14ac:dyDescent="0.55000000000000004">
      <c r="A193">
        <v>1776702602</v>
      </c>
      <c r="B193" t="s">
        <v>72</v>
      </c>
      <c r="C193" t="s">
        <v>73</v>
      </c>
      <c r="D193">
        <v>4801.79</v>
      </c>
      <c r="E193">
        <v>4518.5928199999998</v>
      </c>
      <c r="F193">
        <v>4596.0559499999999</v>
      </c>
      <c r="G193">
        <v>4755.40355</v>
      </c>
      <c r="H193">
        <v>4792.7697200000002</v>
      </c>
      <c r="Q193">
        <v>4766.5253499999999</v>
      </c>
      <c r="R193">
        <v>4795.8886499999999</v>
      </c>
      <c r="S193">
        <v>4822.4774200000002</v>
      </c>
      <c r="V193">
        <v>4731.5855799999999</v>
      </c>
      <c r="W193">
        <v>4698.0205800000003</v>
      </c>
      <c r="AB193">
        <v>4802.20723</v>
      </c>
      <c r="AC193">
        <v>4801.4086900000002</v>
      </c>
      <c r="AD193">
        <v>1</v>
      </c>
      <c r="AE193">
        <f t="shared" si="23"/>
        <v>191</v>
      </c>
      <c r="AF193">
        <f t="shared" si="24"/>
        <v>190</v>
      </c>
      <c r="AG193">
        <f t="shared" si="18"/>
        <v>35.264650000000074</v>
      </c>
      <c r="AH193">
        <f t="shared" si="19"/>
        <v>1243.5955396225052</v>
      </c>
      <c r="AI193">
        <f t="shared" si="20"/>
        <v>1.0088679327420138</v>
      </c>
      <c r="AJ193">
        <f t="shared" si="21"/>
        <v>1.011841351617915</v>
      </c>
      <c r="AK193">
        <f t="shared" si="22"/>
        <v>36100</v>
      </c>
      <c r="AL193">
        <f t="shared" si="25"/>
        <v>4802.20723</v>
      </c>
      <c r="AM193">
        <f t="shared" si="26"/>
        <v>16.334490000000187</v>
      </c>
    </row>
    <row r="194" spans="1:39" x14ac:dyDescent="0.55000000000000004">
      <c r="A194">
        <v>1776703502</v>
      </c>
      <c r="B194" t="s">
        <v>72</v>
      </c>
      <c r="C194" t="s">
        <v>73</v>
      </c>
      <c r="D194">
        <v>4805.59</v>
      </c>
      <c r="E194">
        <v>4518.5928199999998</v>
      </c>
      <c r="F194">
        <v>4596.0559499999999</v>
      </c>
      <c r="G194">
        <v>4755.40355</v>
      </c>
      <c r="H194">
        <v>4792.7697200000002</v>
      </c>
      <c r="Q194">
        <v>4766.2577499999998</v>
      </c>
      <c r="R194">
        <v>4795.62104</v>
      </c>
      <c r="S194">
        <v>4822.20982</v>
      </c>
      <c r="V194">
        <v>4731.3179799999998</v>
      </c>
      <c r="W194">
        <v>4697.7529800000002</v>
      </c>
      <c r="AB194">
        <v>4804.3084200000003</v>
      </c>
      <c r="AC194">
        <v>4802.8585499999999</v>
      </c>
      <c r="AD194">
        <v>0</v>
      </c>
      <c r="AE194">
        <f t="shared" si="23"/>
        <v>192</v>
      </c>
      <c r="AF194">
        <f t="shared" si="24"/>
        <v>191</v>
      </c>
      <c r="AG194">
        <f t="shared" si="18"/>
        <v>39.332250000000386</v>
      </c>
      <c r="AH194">
        <f t="shared" si="19"/>
        <v>1547.0258900625304</v>
      </c>
      <c r="AI194">
        <f t="shared" si="20"/>
        <v>1.3997870045190062</v>
      </c>
      <c r="AJ194">
        <f t="shared" si="21"/>
        <v>1.5658468260509764</v>
      </c>
      <c r="AK194">
        <f t="shared" si="22"/>
        <v>36481</v>
      </c>
      <c r="AL194">
        <f t="shared" si="25"/>
        <v>4802.20723</v>
      </c>
      <c r="AM194" t="str">
        <f t="shared" si="26"/>
        <v/>
      </c>
    </row>
    <row r="195" spans="1:39" x14ac:dyDescent="0.55000000000000004">
      <c r="A195">
        <v>1776704402</v>
      </c>
      <c r="B195" t="s">
        <v>72</v>
      </c>
      <c r="C195" t="s">
        <v>73</v>
      </c>
      <c r="D195">
        <v>4808.8599999999997</v>
      </c>
      <c r="E195">
        <v>4518.5928199999998</v>
      </c>
      <c r="F195">
        <v>4596.0559499999999</v>
      </c>
      <c r="G195">
        <v>4755.40355</v>
      </c>
      <c r="H195">
        <v>4792.7697200000002</v>
      </c>
      <c r="Q195">
        <v>4765.9901399999999</v>
      </c>
      <c r="R195">
        <v>4795.3534399999999</v>
      </c>
      <c r="S195">
        <v>4821.9422100000002</v>
      </c>
      <c r="V195">
        <v>4731.0503699999999</v>
      </c>
      <c r="W195">
        <v>4697.4853800000001</v>
      </c>
      <c r="AB195">
        <v>4806.5860599999996</v>
      </c>
      <c r="AC195">
        <v>4804.7223100000001</v>
      </c>
      <c r="AD195">
        <v>0</v>
      </c>
      <c r="AE195">
        <f t="shared" si="23"/>
        <v>193</v>
      </c>
      <c r="AF195">
        <f t="shared" si="24"/>
        <v>192</v>
      </c>
      <c r="AG195">
        <f t="shared" ref="AG195:AG258" si="27">D195-Q195</f>
        <v>42.86985999999979</v>
      </c>
      <c r="AH195">
        <f t="shared" ref="AH195:AH258" si="28">AG195^2</f>
        <v>1837.824896419582</v>
      </c>
      <c r="AI195">
        <f t="shared" ref="AI195:AI258" si="29">(AG195/STDEV($AG$3:$AG$1137))^3</f>
        <v>1.8124739786452744</v>
      </c>
      <c r="AJ195">
        <f t="shared" ref="AJ195:AJ258" si="30">(AG195/STDEV($AG$3:$AG$1137))^4</f>
        <v>2.2098478522975769</v>
      </c>
      <c r="AK195">
        <f t="shared" ref="AK195:AK258" si="31">AF195^2</f>
        <v>36864</v>
      </c>
      <c r="AL195">
        <f t="shared" si="25"/>
        <v>4802.20723</v>
      </c>
      <c r="AM195" t="str">
        <f t="shared" si="26"/>
        <v/>
      </c>
    </row>
    <row r="196" spans="1:39" x14ac:dyDescent="0.55000000000000004">
      <c r="A196">
        <v>1776705302</v>
      </c>
      <c r="B196" t="s">
        <v>72</v>
      </c>
      <c r="C196" t="s">
        <v>73</v>
      </c>
      <c r="D196">
        <v>4810.07</v>
      </c>
      <c r="E196">
        <v>4518.5928199999998</v>
      </c>
      <c r="F196">
        <v>4596.0559499999999</v>
      </c>
      <c r="G196">
        <v>4755.40355</v>
      </c>
      <c r="H196">
        <v>4792.7697200000002</v>
      </c>
      <c r="Q196">
        <v>4765.7225399999998</v>
      </c>
      <c r="R196">
        <v>4795.0858399999997</v>
      </c>
      <c r="S196">
        <v>4821.67461</v>
      </c>
      <c r="V196">
        <v>4730.7827699999998</v>
      </c>
      <c r="W196">
        <v>4697.2177700000002</v>
      </c>
      <c r="AB196">
        <v>4808.77747</v>
      </c>
      <c r="AC196">
        <v>4806.7498900000001</v>
      </c>
      <c r="AD196">
        <v>0</v>
      </c>
      <c r="AE196">
        <f t="shared" ref="AE196:AE259" si="32">AE195+1</f>
        <v>194</v>
      </c>
      <c r="AF196">
        <f t="shared" ref="AF196:AF259" si="33">AF195+1</f>
        <v>193</v>
      </c>
      <c r="AG196">
        <f t="shared" si="27"/>
        <v>44.347459999999955</v>
      </c>
      <c r="AH196">
        <f t="shared" si="28"/>
        <v>1966.697208451596</v>
      </c>
      <c r="AI196">
        <f t="shared" si="29"/>
        <v>2.0064199458505612</v>
      </c>
      <c r="AJ196">
        <f t="shared" si="30"/>
        <v>2.5306326987383096</v>
      </c>
      <c r="AK196">
        <f t="shared" si="31"/>
        <v>37249</v>
      </c>
      <c r="AL196">
        <f t="shared" ref="AL196:AL259" si="34">IF(AD196=1,AB196,IF(AL195&lt;&gt;"",AL195,""))</f>
        <v>4802.20723</v>
      </c>
      <c r="AM196" t="str">
        <f t="shared" ref="AM196:AM259" si="35">IF(AND(AD196=1,AL195&lt;&gt;""),ABS(AB196-AL195),"")</f>
        <v/>
      </c>
    </row>
    <row r="197" spans="1:39" x14ac:dyDescent="0.55000000000000004">
      <c r="A197">
        <v>1776706202</v>
      </c>
      <c r="B197" t="s">
        <v>72</v>
      </c>
      <c r="C197" t="s">
        <v>73</v>
      </c>
      <c r="D197">
        <v>4809.55</v>
      </c>
      <c r="E197">
        <v>4518.5928199999998</v>
      </c>
      <c r="F197">
        <v>4596.0559499999999</v>
      </c>
      <c r="G197">
        <v>4755.40355</v>
      </c>
      <c r="H197">
        <v>4792.7697200000002</v>
      </c>
      <c r="Q197">
        <v>4765.4549299999999</v>
      </c>
      <c r="R197">
        <v>4794.8182299999999</v>
      </c>
      <c r="S197">
        <v>4821.4070000000002</v>
      </c>
      <c r="V197">
        <v>4730.5151599999999</v>
      </c>
      <c r="W197">
        <v>4696.9501700000001</v>
      </c>
      <c r="AB197">
        <v>4810.7212099999997</v>
      </c>
      <c r="AC197">
        <v>4808.7355500000003</v>
      </c>
      <c r="AD197">
        <v>0</v>
      </c>
      <c r="AE197">
        <f t="shared" si="32"/>
        <v>195</v>
      </c>
      <c r="AF197">
        <f t="shared" si="33"/>
        <v>194</v>
      </c>
      <c r="AG197">
        <f t="shared" si="27"/>
        <v>44.095070000000305</v>
      </c>
      <c r="AH197">
        <f t="shared" si="28"/>
        <v>1944.3751983049269</v>
      </c>
      <c r="AI197">
        <f t="shared" si="29"/>
        <v>1.9723577622457646</v>
      </c>
      <c r="AJ197">
        <f t="shared" si="30"/>
        <v>2.4735133469712465</v>
      </c>
      <c r="AK197">
        <f t="shared" si="31"/>
        <v>37636</v>
      </c>
      <c r="AL197">
        <f t="shared" si="34"/>
        <v>4802.20723</v>
      </c>
      <c r="AM197" t="str">
        <f t="shared" si="35"/>
        <v/>
      </c>
    </row>
    <row r="198" spans="1:39" x14ac:dyDescent="0.55000000000000004">
      <c r="A198">
        <v>1776707102</v>
      </c>
      <c r="B198" t="s">
        <v>72</v>
      </c>
      <c r="C198" t="s">
        <v>73</v>
      </c>
      <c r="D198">
        <v>4806.62</v>
      </c>
      <c r="E198">
        <v>4518.5928199999998</v>
      </c>
      <c r="F198">
        <v>4596.0559499999999</v>
      </c>
      <c r="G198">
        <v>4755.40355</v>
      </c>
      <c r="H198">
        <v>4792.7697200000002</v>
      </c>
      <c r="Q198">
        <v>4765.1873299999997</v>
      </c>
      <c r="R198">
        <v>4794.5506299999997</v>
      </c>
      <c r="S198">
        <v>4821.1394</v>
      </c>
      <c r="V198">
        <v>4730.2475599999998</v>
      </c>
      <c r="W198">
        <v>4696.6825600000002</v>
      </c>
      <c r="AB198">
        <v>4812.3390499999996</v>
      </c>
      <c r="AC198">
        <v>4810.5373</v>
      </c>
      <c r="AD198">
        <v>0</v>
      </c>
      <c r="AE198">
        <f t="shared" si="32"/>
        <v>196</v>
      </c>
      <c r="AF198">
        <f t="shared" si="33"/>
        <v>195</v>
      </c>
      <c r="AG198">
        <f t="shared" si="27"/>
        <v>41.432670000000144</v>
      </c>
      <c r="AH198">
        <f t="shared" si="28"/>
        <v>1716.6661433289119</v>
      </c>
      <c r="AI198">
        <f t="shared" si="29"/>
        <v>1.6362299859025147</v>
      </c>
      <c r="AJ198">
        <f t="shared" si="30"/>
        <v>1.9280833154078949</v>
      </c>
      <c r="AK198">
        <f t="shared" si="31"/>
        <v>38025</v>
      </c>
      <c r="AL198">
        <f t="shared" si="34"/>
        <v>4802.20723</v>
      </c>
      <c r="AM198" t="str">
        <f t="shared" si="35"/>
        <v/>
      </c>
    </row>
    <row r="199" spans="1:39" x14ac:dyDescent="0.55000000000000004">
      <c r="A199">
        <v>1776708002</v>
      </c>
      <c r="B199" t="s">
        <v>72</v>
      </c>
      <c r="C199" t="s">
        <v>73</v>
      </c>
      <c r="D199">
        <v>4815.51</v>
      </c>
      <c r="E199">
        <v>4518.5928199999998</v>
      </c>
      <c r="F199">
        <v>4596.0559499999999</v>
      </c>
      <c r="G199">
        <v>4755.40355</v>
      </c>
      <c r="H199">
        <v>4792.7697200000002</v>
      </c>
      <c r="Q199">
        <v>4764.9197299999996</v>
      </c>
      <c r="R199">
        <v>4794.2830199999999</v>
      </c>
      <c r="S199">
        <v>4820.8717999999999</v>
      </c>
      <c r="V199">
        <v>4729.9799599999997</v>
      </c>
      <c r="W199">
        <v>4696.4149600000001</v>
      </c>
      <c r="AB199">
        <v>4813.6543899999997</v>
      </c>
      <c r="AC199">
        <v>4812.09584</v>
      </c>
      <c r="AD199">
        <v>0</v>
      </c>
      <c r="AE199">
        <f t="shared" si="32"/>
        <v>197</v>
      </c>
      <c r="AF199">
        <f t="shared" si="33"/>
        <v>196</v>
      </c>
      <c r="AG199">
        <f t="shared" si="27"/>
        <v>50.590270000000601</v>
      </c>
      <c r="AH199">
        <f t="shared" si="28"/>
        <v>2559.3754186729607</v>
      </c>
      <c r="AI199">
        <f t="shared" si="29"/>
        <v>2.97863011603209</v>
      </c>
      <c r="AJ199">
        <f t="shared" si="30"/>
        <v>4.2857033015252899</v>
      </c>
      <c r="AK199">
        <f t="shared" si="31"/>
        <v>38416</v>
      </c>
      <c r="AL199">
        <f t="shared" si="34"/>
        <v>4802.20723</v>
      </c>
      <c r="AM199" t="str">
        <f t="shared" si="35"/>
        <v/>
      </c>
    </row>
    <row r="200" spans="1:39" x14ac:dyDescent="0.55000000000000004">
      <c r="A200">
        <v>1776708902</v>
      </c>
      <c r="B200" t="s">
        <v>72</v>
      </c>
      <c r="C200" t="s">
        <v>73</v>
      </c>
      <c r="D200">
        <v>4813.5</v>
      </c>
      <c r="E200">
        <v>4518.5928199999998</v>
      </c>
      <c r="F200">
        <v>4596.0559499999999</v>
      </c>
      <c r="G200">
        <v>4755.40355</v>
      </c>
      <c r="H200">
        <v>4792.7697200000002</v>
      </c>
      <c r="Q200">
        <v>4764.6521199999997</v>
      </c>
      <c r="R200">
        <v>4794.0154199999997</v>
      </c>
      <c r="S200">
        <v>4820.60419</v>
      </c>
      <c r="V200">
        <v>4729.7123499999998</v>
      </c>
      <c r="W200">
        <v>4696.1473500000002</v>
      </c>
      <c r="AB200">
        <v>4814.4222499999996</v>
      </c>
      <c r="AC200">
        <v>4813.2590499999997</v>
      </c>
      <c r="AD200">
        <v>0</v>
      </c>
      <c r="AE200">
        <f t="shared" si="32"/>
        <v>198</v>
      </c>
      <c r="AF200">
        <f t="shared" si="33"/>
        <v>197</v>
      </c>
      <c r="AG200">
        <f t="shared" si="27"/>
        <v>48.847880000000259</v>
      </c>
      <c r="AH200">
        <f t="shared" si="28"/>
        <v>2386.1153804944252</v>
      </c>
      <c r="AI200">
        <f t="shared" si="29"/>
        <v>2.6813452953441388</v>
      </c>
      <c r="AJ200">
        <f t="shared" si="30"/>
        <v>3.7250919121616808</v>
      </c>
      <c r="AK200">
        <f t="shared" si="31"/>
        <v>38809</v>
      </c>
      <c r="AL200">
        <f t="shared" si="34"/>
        <v>4802.20723</v>
      </c>
      <c r="AM200" t="str">
        <f t="shared" si="35"/>
        <v/>
      </c>
    </row>
    <row r="201" spans="1:39" x14ac:dyDescent="0.55000000000000004">
      <c r="A201">
        <v>1776709802</v>
      </c>
      <c r="B201" t="s">
        <v>72</v>
      </c>
      <c r="C201" t="s">
        <v>73</v>
      </c>
      <c r="D201">
        <v>4814.4399999999996</v>
      </c>
      <c r="E201">
        <v>4518.5928199999998</v>
      </c>
      <c r="F201">
        <v>4596.0559499999999</v>
      </c>
      <c r="G201">
        <v>4755.40355</v>
      </c>
      <c r="H201">
        <v>4792.7697200000002</v>
      </c>
      <c r="Q201">
        <v>4764.3845199999996</v>
      </c>
      <c r="R201">
        <v>4793.7478199999996</v>
      </c>
      <c r="S201">
        <v>4820.3365899999999</v>
      </c>
      <c r="V201">
        <v>4729.4447499999997</v>
      </c>
      <c r="W201">
        <v>4695.8797500000001</v>
      </c>
      <c r="AB201">
        <v>4814.7520699999995</v>
      </c>
      <c r="AC201">
        <v>4814.0055599999996</v>
      </c>
      <c r="AD201">
        <v>0</v>
      </c>
      <c r="AE201">
        <f t="shared" si="32"/>
        <v>199</v>
      </c>
      <c r="AF201">
        <f t="shared" si="33"/>
        <v>198</v>
      </c>
      <c r="AG201">
        <f t="shared" si="27"/>
        <v>50.055479999999989</v>
      </c>
      <c r="AH201">
        <f t="shared" si="28"/>
        <v>2505.5510780303989</v>
      </c>
      <c r="AI201">
        <f t="shared" si="29"/>
        <v>2.8851638067352168</v>
      </c>
      <c r="AJ201">
        <f t="shared" si="30"/>
        <v>4.1073398046851484</v>
      </c>
      <c r="AK201">
        <f t="shared" si="31"/>
        <v>39204</v>
      </c>
      <c r="AL201">
        <f t="shared" si="34"/>
        <v>4802.20723</v>
      </c>
      <c r="AM201" t="str">
        <f t="shared" si="35"/>
        <v/>
      </c>
    </row>
    <row r="202" spans="1:39" x14ac:dyDescent="0.55000000000000004">
      <c r="A202">
        <v>1776710702</v>
      </c>
      <c r="B202" t="s">
        <v>72</v>
      </c>
      <c r="C202" t="s">
        <v>73</v>
      </c>
      <c r="D202">
        <v>4814.05</v>
      </c>
      <c r="E202">
        <v>4518.5928199999998</v>
      </c>
      <c r="F202">
        <v>4596.0559499999999</v>
      </c>
      <c r="G202">
        <v>4755.40355</v>
      </c>
      <c r="H202">
        <v>4792.7697200000002</v>
      </c>
      <c r="Q202">
        <v>4764.1169099999997</v>
      </c>
      <c r="R202">
        <v>4793.4802099999997</v>
      </c>
      <c r="S202">
        <v>4820.06898</v>
      </c>
      <c r="V202">
        <v>4729.1771399999998</v>
      </c>
      <c r="W202">
        <v>4695.6121499999999</v>
      </c>
      <c r="AB202">
        <v>4814.76</v>
      </c>
      <c r="AC202">
        <v>4814.3827799999999</v>
      </c>
      <c r="AD202">
        <v>0</v>
      </c>
      <c r="AE202">
        <f t="shared" si="32"/>
        <v>200</v>
      </c>
      <c r="AF202">
        <f t="shared" si="33"/>
        <v>199</v>
      </c>
      <c r="AG202">
        <f t="shared" si="27"/>
        <v>49.933090000000448</v>
      </c>
      <c r="AH202">
        <f t="shared" si="28"/>
        <v>2493.3134769481449</v>
      </c>
      <c r="AI202">
        <f t="shared" si="29"/>
        <v>2.8640520820264235</v>
      </c>
      <c r="AJ202">
        <f t="shared" si="30"/>
        <v>4.0673156863076514</v>
      </c>
      <c r="AK202">
        <f t="shared" si="31"/>
        <v>39601</v>
      </c>
      <c r="AL202">
        <f t="shared" si="34"/>
        <v>4802.20723</v>
      </c>
      <c r="AM202" t="str">
        <f t="shared" si="35"/>
        <v/>
      </c>
    </row>
    <row r="203" spans="1:39" x14ac:dyDescent="0.55000000000000004">
      <c r="A203">
        <v>1776711602</v>
      </c>
      <c r="B203" t="s">
        <v>72</v>
      </c>
      <c r="C203" t="s">
        <v>73</v>
      </c>
      <c r="D203">
        <v>4820.26</v>
      </c>
      <c r="E203">
        <v>4518.5928199999998</v>
      </c>
      <c r="F203">
        <v>4596.0559499999999</v>
      </c>
      <c r="G203">
        <v>4755.40355</v>
      </c>
      <c r="H203">
        <v>4792.7697200000002</v>
      </c>
      <c r="Q203">
        <v>4763.8493099999996</v>
      </c>
      <c r="R203">
        <v>4793.2126099999996</v>
      </c>
      <c r="S203">
        <v>4819.8013799999999</v>
      </c>
      <c r="V203">
        <v>4728.9095399999997</v>
      </c>
      <c r="W203">
        <v>4695.3445400000001</v>
      </c>
      <c r="AB203">
        <v>4814.6248699999996</v>
      </c>
      <c r="AC203">
        <v>4814.5038199999999</v>
      </c>
      <c r="AD203">
        <v>0</v>
      </c>
      <c r="AE203">
        <f t="shared" si="32"/>
        <v>201</v>
      </c>
      <c r="AF203">
        <f t="shared" si="33"/>
        <v>200</v>
      </c>
      <c r="AG203">
        <f t="shared" si="27"/>
        <v>56.410690000000614</v>
      </c>
      <c r="AH203">
        <f t="shared" si="28"/>
        <v>3182.1659462761691</v>
      </c>
      <c r="AI203">
        <f t="shared" si="29"/>
        <v>4.12952234340296</v>
      </c>
      <c r="AJ203">
        <f t="shared" si="30"/>
        <v>6.6252117033119724</v>
      </c>
      <c r="AK203">
        <f t="shared" si="31"/>
        <v>40000</v>
      </c>
      <c r="AL203">
        <f t="shared" si="34"/>
        <v>4802.20723</v>
      </c>
      <c r="AM203" t="str">
        <f t="shared" si="35"/>
        <v/>
      </c>
    </row>
    <row r="204" spans="1:39" x14ac:dyDescent="0.55000000000000004">
      <c r="A204">
        <v>1776712502</v>
      </c>
      <c r="B204" t="s">
        <v>72</v>
      </c>
      <c r="C204" t="s">
        <v>73</v>
      </c>
      <c r="D204">
        <v>4817.26</v>
      </c>
      <c r="E204">
        <v>4518.5928199999998</v>
      </c>
      <c r="F204">
        <v>4596.0559499999999</v>
      </c>
      <c r="G204">
        <v>4755.40355</v>
      </c>
      <c r="H204">
        <v>4792.7697200000002</v>
      </c>
      <c r="Q204">
        <v>4763.5816999999997</v>
      </c>
      <c r="R204">
        <v>4792.9449999999997</v>
      </c>
      <c r="S204">
        <v>4819.53377</v>
      </c>
      <c r="V204">
        <v>4728.6419299999998</v>
      </c>
      <c r="W204">
        <v>4695.0769399999999</v>
      </c>
      <c r="AB204">
        <v>4814.3639999999996</v>
      </c>
      <c r="AC204">
        <v>4814.4339099999997</v>
      </c>
      <c r="AD204">
        <v>1</v>
      </c>
      <c r="AE204">
        <f t="shared" si="32"/>
        <v>202</v>
      </c>
      <c r="AF204">
        <f t="shared" si="33"/>
        <v>201</v>
      </c>
      <c r="AG204">
        <f t="shared" si="27"/>
        <v>53.67830000000049</v>
      </c>
      <c r="AH204">
        <f t="shared" si="28"/>
        <v>2881.3598908900526</v>
      </c>
      <c r="AI204">
        <f t="shared" si="29"/>
        <v>3.5580483395726632</v>
      </c>
      <c r="AJ204">
        <f t="shared" si="30"/>
        <v>5.4318669728425109</v>
      </c>
      <c r="AK204">
        <f t="shared" si="31"/>
        <v>40401</v>
      </c>
      <c r="AL204">
        <f t="shared" si="34"/>
        <v>4814.3639999999996</v>
      </c>
      <c r="AM204">
        <f t="shared" si="35"/>
        <v>12.156769999999597</v>
      </c>
    </row>
    <row r="205" spans="1:39" x14ac:dyDescent="0.55000000000000004">
      <c r="A205">
        <v>1776713402</v>
      </c>
      <c r="B205" t="s">
        <v>72</v>
      </c>
      <c r="C205" t="s">
        <v>73</v>
      </c>
      <c r="D205">
        <v>4811.66</v>
      </c>
      <c r="E205">
        <v>4518.5928199999998</v>
      </c>
      <c r="F205">
        <v>4596.0559499999999</v>
      </c>
      <c r="G205">
        <v>4755.40355</v>
      </c>
      <c r="H205">
        <v>4792.7697200000002</v>
      </c>
      <c r="Q205">
        <v>4763.3140999999996</v>
      </c>
      <c r="R205">
        <v>4792.6773999999996</v>
      </c>
      <c r="S205">
        <v>4819.2661699999999</v>
      </c>
      <c r="V205">
        <v>4728.3743299999996</v>
      </c>
      <c r="W205">
        <v>4694.80933</v>
      </c>
      <c r="AB205">
        <v>4814.2450799999997</v>
      </c>
      <c r="AC205">
        <v>4814.3395</v>
      </c>
      <c r="AD205">
        <v>0</v>
      </c>
      <c r="AE205">
        <f t="shared" si="32"/>
        <v>203</v>
      </c>
      <c r="AF205">
        <f t="shared" si="33"/>
        <v>202</v>
      </c>
      <c r="AG205">
        <f t="shared" si="27"/>
        <v>48.345900000000256</v>
      </c>
      <c r="AH205">
        <f t="shared" si="28"/>
        <v>2337.3260468100248</v>
      </c>
      <c r="AI205">
        <f t="shared" si="29"/>
        <v>2.5995281977475426</v>
      </c>
      <c r="AJ205">
        <f t="shared" si="30"/>
        <v>3.5743140664367195</v>
      </c>
      <c r="AK205">
        <f t="shared" si="31"/>
        <v>40804</v>
      </c>
      <c r="AL205">
        <f t="shared" si="34"/>
        <v>4814.3639999999996</v>
      </c>
      <c r="AM205" t="str">
        <f t="shared" si="35"/>
        <v/>
      </c>
    </row>
    <row r="206" spans="1:39" x14ac:dyDescent="0.55000000000000004">
      <c r="A206">
        <v>1776714302</v>
      </c>
      <c r="B206" t="s">
        <v>72</v>
      </c>
      <c r="C206" t="s">
        <v>73</v>
      </c>
      <c r="D206">
        <v>4814.24</v>
      </c>
      <c r="E206">
        <v>4518.5928199999998</v>
      </c>
      <c r="F206">
        <v>4596.0559499999999</v>
      </c>
      <c r="G206">
        <v>4755.40355</v>
      </c>
      <c r="H206">
        <v>4792.7697200000002</v>
      </c>
      <c r="Q206">
        <v>4763.0465000000004</v>
      </c>
      <c r="R206">
        <v>4792.4098000000004</v>
      </c>
      <c r="S206">
        <v>4818.9985699999997</v>
      </c>
      <c r="V206">
        <v>4728.1067300000004</v>
      </c>
      <c r="W206">
        <v>4694.5417299999999</v>
      </c>
      <c r="AB206">
        <v>4814.6370699999998</v>
      </c>
      <c r="AC206">
        <v>4814.4882799999996</v>
      </c>
      <c r="AD206">
        <v>1</v>
      </c>
      <c r="AE206">
        <f t="shared" si="32"/>
        <v>204</v>
      </c>
      <c r="AF206">
        <f t="shared" si="33"/>
        <v>203</v>
      </c>
      <c r="AG206">
        <f t="shared" si="27"/>
        <v>51.193499999999403</v>
      </c>
      <c r="AH206">
        <f t="shared" si="28"/>
        <v>2620.7744422499391</v>
      </c>
      <c r="AI206">
        <f t="shared" si="29"/>
        <v>3.0864557276023135</v>
      </c>
      <c r="AJ206">
        <f t="shared" si="30"/>
        <v>4.493796507555019</v>
      </c>
      <c r="AK206">
        <f t="shared" si="31"/>
        <v>41209</v>
      </c>
      <c r="AL206">
        <f t="shared" si="34"/>
        <v>4814.6370699999998</v>
      </c>
      <c r="AM206">
        <f t="shared" si="35"/>
        <v>0.27307000000018888</v>
      </c>
    </row>
    <row r="207" spans="1:39" x14ac:dyDescent="0.55000000000000004">
      <c r="A207">
        <v>1776715202</v>
      </c>
      <c r="B207" t="s">
        <v>72</v>
      </c>
      <c r="C207" t="s">
        <v>73</v>
      </c>
      <c r="D207">
        <v>4813.42</v>
      </c>
      <c r="E207">
        <v>4518.5928199999998</v>
      </c>
      <c r="F207">
        <v>4596.0559499999999</v>
      </c>
      <c r="G207">
        <v>4755.40355</v>
      </c>
      <c r="H207">
        <v>4792.7697200000002</v>
      </c>
      <c r="Q207">
        <v>4762.7788899999996</v>
      </c>
      <c r="R207">
        <v>4792.1421899999996</v>
      </c>
      <c r="S207">
        <v>4818.7309599999999</v>
      </c>
      <c r="V207">
        <v>4727.8391199999996</v>
      </c>
      <c r="W207">
        <v>4694.2741299999998</v>
      </c>
      <c r="AB207">
        <v>4815.6331799999998</v>
      </c>
      <c r="AC207">
        <v>4815.0607300000001</v>
      </c>
      <c r="AD207">
        <v>0</v>
      </c>
      <c r="AE207">
        <f t="shared" si="32"/>
        <v>205</v>
      </c>
      <c r="AF207">
        <f t="shared" si="33"/>
        <v>204</v>
      </c>
      <c r="AG207">
        <f t="shared" si="27"/>
        <v>50.641110000000481</v>
      </c>
      <c r="AH207">
        <f t="shared" si="28"/>
        <v>2564.5220220321485</v>
      </c>
      <c r="AI207">
        <f t="shared" si="29"/>
        <v>2.9876191441884785</v>
      </c>
      <c r="AJ207">
        <f t="shared" si="30"/>
        <v>4.3029567233399959</v>
      </c>
      <c r="AK207">
        <f t="shared" si="31"/>
        <v>41616</v>
      </c>
      <c r="AL207">
        <f t="shared" si="34"/>
        <v>4814.6370699999998</v>
      </c>
      <c r="AM207" t="str">
        <f t="shared" si="35"/>
        <v/>
      </c>
    </row>
    <row r="208" spans="1:39" x14ac:dyDescent="0.55000000000000004">
      <c r="A208">
        <v>1776716102</v>
      </c>
      <c r="B208" t="s">
        <v>72</v>
      </c>
      <c r="C208" t="s">
        <v>73</v>
      </c>
      <c r="D208">
        <v>4815.8500000000004</v>
      </c>
      <c r="E208">
        <v>4518.5928199999998</v>
      </c>
      <c r="F208">
        <v>4596.0559499999999</v>
      </c>
      <c r="G208">
        <v>4755.40355</v>
      </c>
      <c r="H208">
        <v>4792.7697200000002</v>
      </c>
      <c r="Q208">
        <v>4762.5112900000004</v>
      </c>
      <c r="R208">
        <v>4791.8745900000004</v>
      </c>
      <c r="S208">
        <v>4818.4633599999997</v>
      </c>
      <c r="V208">
        <v>4727.5715200000004</v>
      </c>
      <c r="W208">
        <v>4694.0065199999999</v>
      </c>
      <c r="AB208">
        <v>4817.3057399999998</v>
      </c>
      <c r="AC208">
        <v>4816.1832299999996</v>
      </c>
      <c r="AD208">
        <v>0</v>
      </c>
      <c r="AE208">
        <f t="shared" si="32"/>
        <v>206</v>
      </c>
      <c r="AF208">
        <f t="shared" si="33"/>
        <v>205</v>
      </c>
      <c r="AG208">
        <f t="shared" si="27"/>
        <v>53.338709999999992</v>
      </c>
      <c r="AH208">
        <f t="shared" si="28"/>
        <v>2845.0179844640993</v>
      </c>
      <c r="AI208">
        <f t="shared" si="29"/>
        <v>3.490945820491091</v>
      </c>
      <c r="AJ208">
        <f t="shared" si="30"/>
        <v>5.2957093935661081</v>
      </c>
      <c r="AK208">
        <f t="shared" si="31"/>
        <v>42025</v>
      </c>
      <c r="AL208">
        <f t="shared" si="34"/>
        <v>4814.6370699999998</v>
      </c>
      <c r="AM208" t="str">
        <f t="shared" si="35"/>
        <v/>
      </c>
    </row>
    <row r="209" spans="1:39" x14ac:dyDescent="0.55000000000000004">
      <c r="A209">
        <v>1776717002</v>
      </c>
      <c r="B209" t="s">
        <v>72</v>
      </c>
      <c r="C209" t="s">
        <v>73</v>
      </c>
      <c r="D209">
        <v>4816.71</v>
      </c>
      <c r="E209">
        <v>4518.5928199999998</v>
      </c>
      <c r="F209">
        <v>4596.0559499999999</v>
      </c>
      <c r="G209">
        <v>4755.40355</v>
      </c>
      <c r="H209">
        <v>4792.7697200000002</v>
      </c>
      <c r="Q209">
        <v>4762.2436799999996</v>
      </c>
      <c r="R209">
        <v>4791.6069799999996</v>
      </c>
      <c r="S209">
        <v>4818.1957499999999</v>
      </c>
      <c r="V209">
        <v>4727.3039099999996</v>
      </c>
      <c r="W209">
        <v>4693.7389199999998</v>
      </c>
      <c r="AB209">
        <v>4819.5233799999996</v>
      </c>
      <c r="AC209">
        <v>4817.8533100000004</v>
      </c>
      <c r="AD209">
        <v>0</v>
      </c>
      <c r="AE209">
        <f t="shared" si="32"/>
        <v>207</v>
      </c>
      <c r="AF209">
        <f t="shared" si="33"/>
        <v>206</v>
      </c>
      <c r="AG209">
        <f t="shared" si="27"/>
        <v>54.466320000000451</v>
      </c>
      <c r="AH209">
        <f t="shared" si="28"/>
        <v>2966.580014342449</v>
      </c>
      <c r="AI209">
        <f t="shared" si="29"/>
        <v>3.7170609664799081</v>
      </c>
      <c r="AJ209">
        <f t="shared" si="30"/>
        <v>5.7579282105040646</v>
      </c>
      <c r="AK209">
        <f t="shared" si="31"/>
        <v>42436</v>
      </c>
      <c r="AL209">
        <f t="shared" si="34"/>
        <v>4814.6370699999998</v>
      </c>
      <c r="AM209" t="str">
        <f t="shared" si="35"/>
        <v/>
      </c>
    </row>
    <row r="210" spans="1:39" x14ac:dyDescent="0.55000000000000004">
      <c r="A210">
        <v>1776717902</v>
      </c>
      <c r="B210" t="s">
        <v>72</v>
      </c>
      <c r="C210" t="s">
        <v>73</v>
      </c>
      <c r="D210">
        <v>4820.8100000000004</v>
      </c>
      <c r="E210">
        <v>4518.5928199999998</v>
      </c>
      <c r="F210">
        <v>4596.0559499999999</v>
      </c>
      <c r="G210">
        <v>4755.40355</v>
      </c>
      <c r="H210">
        <v>4792.7697200000002</v>
      </c>
      <c r="Q210">
        <v>4761.9760800000004</v>
      </c>
      <c r="R210">
        <v>4791.3393800000003</v>
      </c>
      <c r="S210">
        <v>4817.9281499999997</v>
      </c>
      <c r="V210">
        <v>4727.0363100000004</v>
      </c>
      <c r="W210">
        <v>4693.4713099999999</v>
      </c>
      <c r="AB210">
        <v>4822.0534200000002</v>
      </c>
      <c r="AC210">
        <v>4819.9533600000004</v>
      </c>
      <c r="AD210">
        <v>0</v>
      </c>
      <c r="AE210">
        <f t="shared" si="32"/>
        <v>208</v>
      </c>
      <c r="AF210">
        <f t="shared" si="33"/>
        <v>207</v>
      </c>
      <c r="AG210">
        <f t="shared" si="27"/>
        <v>58.833920000000035</v>
      </c>
      <c r="AH210">
        <f t="shared" si="28"/>
        <v>3461.4301425664039</v>
      </c>
      <c r="AI210">
        <f t="shared" si="29"/>
        <v>4.6848850716682096</v>
      </c>
      <c r="AJ210">
        <f t="shared" si="30"/>
        <v>7.8390828624010913</v>
      </c>
      <c r="AK210">
        <f t="shared" si="31"/>
        <v>42849</v>
      </c>
      <c r="AL210">
        <f t="shared" si="34"/>
        <v>4814.6370699999998</v>
      </c>
      <c r="AM210" t="str">
        <f t="shared" si="35"/>
        <v/>
      </c>
    </row>
    <row r="211" spans="1:39" x14ac:dyDescent="0.55000000000000004">
      <c r="A211">
        <v>1776722402</v>
      </c>
      <c r="B211" t="s">
        <v>72</v>
      </c>
      <c r="C211" t="s">
        <v>73</v>
      </c>
      <c r="D211">
        <v>4829.1400000000003</v>
      </c>
      <c r="E211">
        <v>4518.5928199999998</v>
      </c>
      <c r="F211">
        <v>4596.0559499999999</v>
      </c>
      <c r="G211">
        <v>4755.40355</v>
      </c>
      <c r="H211">
        <v>4792.7697200000002</v>
      </c>
      <c r="Q211">
        <v>4761.7084800000002</v>
      </c>
      <c r="R211">
        <v>4791.0717800000002</v>
      </c>
      <c r="S211">
        <v>4817.6605499999996</v>
      </c>
      <c r="V211">
        <v>4726.7687100000003</v>
      </c>
      <c r="W211">
        <v>4693.2037099999998</v>
      </c>
      <c r="AB211">
        <v>4824.5102200000001</v>
      </c>
      <c r="AC211">
        <v>4822.2317899999998</v>
      </c>
      <c r="AD211">
        <v>0</v>
      </c>
      <c r="AE211">
        <f t="shared" si="32"/>
        <v>209</v>
      </c>
      <c r="AF211">
        <f t="shared" si="33"/>
        <v>208</v>
      </c>
      <c r="AG211">
        <f t="shared" si="27"/>
        <v>67.431520000000091</v>
      </c>
      <c r="AH211">
        <f t="shared" si="28"/>
        <v>4547.009889510412</v>
      </c>
      <c r="AI211">
        <f t="shared" si="29"/>
        <v>7.053496134063244</v>
      </c>
      <c r="AJ211">
        <f t="shared" si="30"/>
        <v>13.527137676058302</v>
      </c>
      <c r="AK211">
        <f t="shared" si="31"/>
        <v>43264</v>
      </c>
      <c r="AL211">
        <f t="shared" si="34"/>
        <v>4814.6370699999998</v>
      </c>
      <c r="AM211" t="str">
        <f t="shared" si="35"/>
        <v/>
      </c>
    </row>
    <row r="212" spans="1:39" x14ac:dyDescent="0.55000000000000004">
      <c r="A212">
        <v>1776723302</v>
      </c>
      <c r="B212" t="s">
        <v>72</v>
      </c>
      <c r="C212" t="s">
        <v>73</v>
      </c>
      <c r="D212">
        <v>4828.53</v>
      </c>
      <c r="E212">
        <v>4518.5928199999998</v>
      </c>
      <c r="F212">
        <v>4596.0559499999999</v>
      </c>
      <c r="G212">
        <v>4755.40355</v>
      </c>
      <c r="H212">
        <v>4792.7697200000002</v>
      </c>
      <c r="Q212">
        <v>4761.4408700000004</v>
      </c>
      <c r="R212">
        <v>4790.8041700000003</v>
      </c>
      <c r="S212">
        <v>4817.3929399999997</v>
      </c>
      <c r="V212">
        <v>4726.5011000000004</v>
      </c>
      <c r="W212">
        <v>4692.9361099999996</v>
      </c>
      <c r="Z212">
        <v>4833.25</v>
      </c>
      <c r="AB212">
        <v>4826.4047399999999</v>
      </c>
      <c r="AC212">
        <v>4824.3182699999998</v>
      </c>
      <c r="AD212">
        <v>0</v>
      </c>
      <c r="AE212">
        <f t="shared" si="32"/>
        <v>210</v>
      </c>
      <c r="AF212">
        <f t="shared" si="33"/>
        <v>209</v>
      </c>
      <c r="AG212">
        <f t="shared" si="27"/>
        <v>67.089129999999386</v>
      </c>
      <c r="AH212">
        <f t="shared" si="28"/>
        <v>4500.9513641568174</v>
      </c>
      <c r="AI212">
        <f t="shared" si="29"/>
        <v>6.9465963637705368</v>
      </c>
      <c r="AJ212">
        <f t="shared" si="30"/>
        <v>13.254481792324487</v>
      </c>
      <c r="AK212">
        <f t="shared" si="31"/>
        <v>43681</v>
      </c>
      <c r="AL212">
        <f t="shared" si="34"/>
        <v>4814.6370699999998</v>
      </c>
      <c r="AM212" t="str">
        <f t="shared" si="35"/>
        <v/>
      </c>
    </row>
    <row r="213" spans="1:39" x14ac:dyDescent="0.55000000000000004">
      <c r="A213">
        <v>1776724202</v>
      </c>
      <c r="B213" t="s">
        <v>72</v>
      </c>
      <c r="C213" t="s">
        <v>73</v>
      </c>
      <c r="D213">
        <v>4830.4399999999996</v>
      </c>
      <c r="E213">
        <v>4518.5928199999998</v>
      </c>
      <c r="F213">
        <v>4596.0559499999999</v>
      </c>
      <c r="G213">
        <v>4755.40355</v>
      </c>
      <c r="H213">
        <v>4792.7697200000002</v>
      </c>
      <c r="Q213">
        <v>4761.1732700000002</v>
      </c>
      <c r="R213">
        <v>4790.5365700000002</v>
      </c>
      <c r="S213">
        <v>4817.1253399999996</v>
      </c>
      <c r="V213">
        <v>4726.2335000000003</v>
      </c>
      <c r="W213">
        <v>4692.6684999999998</v>
      </c>
      <c r="AB213">
        <v>4827.6159500000003</v>
      </c>
      <c r="AC213">
        <v>4825.9671099999996</v>
      </c>
      <c r="AD213">
        <v>0</v>
      </c>
      <c r="AE213">
        <f t="shared" si="32"/>
        <v>211</v>
      </c>
      <c r="AF213">
        <f t="shared" si="33"/>
        <v>210</v>
      </c>
      <c r="AG213">
        <f t="shared" si="27"/>
        <v>69.26672999999937</v>
      </c>
      <c r="AH213">
        <f t="shared" si="28"/>
        <v>4797.8798848928127</v>
      </c>
      <c r="AI213">
        <f t="shared" si="29"/>
        <v>7.6452139094217202</v>
      </c>
      <c r="AJ213">
        <f t="shared" si="30"/>
        <v>15.06096693353031</v>
      </c>
      <c r="AK213">
        <f t="shared" si="31"/>
        <v>44100</v>
      </c>
      <c r="AL213">
        <f t="shared" si="34"/>
        <v>4814.6370699999998</v>
      </c>
      <c r="AM213" t="str">
        <f t="shared" si="35"/>
        <v/>
      </c>
    </row>
    <row r="214" spans="1:39" x14ac:dyDescent="0.55000000000000004">
      <c r="A214">
        <v>1776725102</v>
      </c>
      <c r="B214" t="s">
        <v>72</v>
      </c>
      <c r="C214" t="s">
        <v>73</v>
      </c>
      <c r="D214">
        <v>4827.62</v>
      </c>
      <c r="E214">
        <v>4518.5928199999998</v>
      </c>
      <c r="F214">
        <v>4596.0559499999999</v>
      </c>
      <c r="G214">
        <v>4755.40355</v>
      </c>
      <c r="H214">
        <v>4792.7697200000002</v>
      </c>
      <c r="Q214">
        <v>4760.9056600000004</v>
      </c>
      <c r="R214">
        <v>4790.2689600000003</v>
      </c>
      <c r="S214">
        <v>4816.8577299999997</v>
      </c>
      <c r="V214">
        <v>4725.9658900000004</v>
      </c>
      <c r="W214">
        <v>4692.4008999999996</v>
      </c>
      <c r="AB214">
        <v>4828.0382099999997</v>
      </c>
      <c r="AC214">
        <v>4827.0026600000001</v>
      </c>
      <c r="AD214">
        <v>0</v>
      </c>
      <c r="AE214">
        <f t="shared" si="32"/>
        <v>212</v>
      </c>
      <c r="AF214">
        <f t="shared" si="33"/>
        <v>211</v>
      </c>
      <c r="AG214">
        <f t="shared" si="27"/>
        <v>66.714339999999538</v>
      </c>
      <c r="AH214">
        <f t="shared" si="28"/>
        <v>4450.8031616355383</v>
      </c>
      <c r="AI214">
        <f t="shared" si="29"/>
        <v>6.8308251114580498</v>
      </c>
      <c r="AJ214">
        <f t="shared" si="30"/>
        <v>12.960772526140774</v>
      </c>
      <c r="AK214">
        <f t="shared" si="31"/>
        <v>44521</v>
      </c>
      <c r="AL214">
        <f t="shared" si="34"/>
        <v>4814.6370699999998</v>
      </c>
      <c r="AM214" t="str">
        <f t="shared" si="35"/>
        <v/>
      </c>
    </row>
    <row r="215" spans="1:39" x14ac:dyDescent="0.55000000000000004">
      <c r="A215">
        <v>1776726002</v>
      </c>
      <c r="B215" t="s">
        <v>72</v>
      </c>
      <c r="C215" t="s">
        <v>73</v>
      </c>
      <c r="D215">
        <v>4825.7700000000004</v>
      </c>
      <c r="E215">
        <v>4518.5928199999998</v>
      </c>
      <c r="F215">
        <v>4596.0559499999999</v>
      </c>
      <c r="G215">
        <v>4755.40355</v>
      </c>
      <c r="H215">
        <v>4792.7697200000002</v>
      </c>
      <c r="Q215">
        <v>4760.6380600000002</v>
      </c>
      <c r="R215">
        <v>4790.0013600000002</v>
      </c>
      <c r="S215">
        <v>4816.5901299999996</v>
      </c>
      <c r="V215">
        <v>4725.6982900000003</v>
      </c>
      <c r="W215">
        <v>4692.1332899999998</v>
      </c>
      <c r="AB215">
        <v>4827.7962100000004</v>
      </c>
      <c r="AC215">
        <v>4827.3994400000001</v>
      </c>
      <c r="AD215">
        <v>0</v>
      </c>
      <c r="AE215">
        <f t="shared" si="32"/>
        <v>213</v>
      </c>
      <c r="AF215">
        <f t="shared" si="33"/>
        <v>212</v>
      </c>
      <c r="AG215">
        <f t="shared" si="27"/>
        <v>65.131940000000213</v>
      </c>
      <c r="AH215">
        <f t="shared" si="28"/>
        <v>4242.1696081636273</v>
      </c>
      <c r="AI215">
        <f t="shared" si="29"/>
        <v>6.3562010669333127</v>
      </c>
      <c r="AJ215">
        <f t="shared" si="30"/>
        <v>11.77416639782699</v>
      </c>
      <c r="AK215">
        <f t="shared" si="31"/>
        <v>44944</v>
      </c>
      <c r="AL215">
        <f t="shared" si="34"/>
        <v>4814.6370699999998</v>
      </c>
      <c r="AM215" t="str">
        <f t="shared" si="35"/>
        <v/>
      </c>
    </row>
    <row r="216" spans="1:39" x14ac:dyDescent="0.55000000000000004">
      <c r="A216">
        <v>1776726902</v>
      </c>
      <c r="B216" t="s">
        <v>72</v>
      </c>
      <c r="C216" t="s">
        <v>73</v>
      </c>
      <c r="D216">
        <v>4825.84</v>
      </c>
      <c r="E216">
        <v>4518.5928199999998</v>
      </c>
      <c r="F216">
        <v>4596.0559499999999</v>
      </c>
      <c r="G216">
        <v>4755.40355</v>
      </c>
      <c r="H216">
        <v>4792.7697200000002</v>
      </c>
      <c r="Q216">
        <v>4760.3704600000001</v>
      </c>
      <c r="R216">
        <v>4789.7337500000003</v>
      </c>
      <c r="S216">
        <v>4816.3225300000004</v>
      </c>
      <c r="V216">
        <v>4725.4306900000001</v>
      </c>
      <c r="W216">
        <v>4691.8656899999996</v>
      </c>
      <c r="AB216">
        <v>4827.0749100000003</v>
      </c>
      <c r="AC216">
        <v>4827.2371700000003</v>
      </c>
      <c r="AD216">
        <v>1</v>
      </c>
      <c r="AE216">
        <f t="shared" si="32"/>
        <v>214</v>
      </c>
      <c r="AF216">
        <f t="shared" si="33"/>
        <v>213</v>
      </c>
      <c r="AG216">
        <f t="shared" si="27"/>
        <v>65.469540000000052</v>
      </c>
      <c r="AH216">
        <f t="shared" si="28"/>
        <v>4286.2606678116072</v>
      </c>
      <c r="AI216">
        <f t="shared" si="29"/>
        <v>6.4555530294208268</v>
      </c>
      <c r="AJ216">
        <f t="shared" si="30"/>
        <v>12.02018828883725</v>
      </c>
      <c r="AK216">
        <f t="shared" si="31"/>
        <v>45369</v>
      </c>
      <c r="AL216">
        <f t="shared" si="34"/>
        <v>4827.0749100000003</v>
      </c>
      <c r="AM216">
        <f t="shared" si="35"/>
        <v>12.437840000000506</v>
      </c>
    </row>
    <row r="217" spans="1:39" x14ac:dyDescent="0.55000000000000004">
      <c r="A217">
        <v>1776727802</v>
      </c>
      <c r="B217" t="s">
        <v>72</v>
      </c>
      <c r="C217" t="s">
        <v>73</v>
      </c>
      <c r="D217">
        <v>4824.16</v>
      </c>
      <c r="E217">
        <v>4518.5928199999998</v>
      </c>
      <c r="F217">
        <v>4596.0559499999999</v>
      </c>
      <c r="G217">
        <v>4755.40355</v>
      </c>
      <c r="H217">
        <v>4792.7697200000002</v>
      </c>
      <c r="Q217">
        <v>4760.1028500000002</v>
      </c>
      <c r="R217">
        <v>4789.4661500000002</v>
      </c>
      <c r="S217">
        <v>4816.0549199999996</v>
      </c>
      <c r="V217">
        <v>4725.1630800000003</v>
      </c>
      <c r="W217">
        <v>4691.5980900000004</v>
      </c>
      <c r="AB217">
        <v>4826.0393999999997</v>
      </c>
      <c r="AC217">
        <v>4826.6382899999999</v>
      </c>
      <c r="AD217">
        <v>0</v>
      </c>
      <c r="AE217">
        <f t="shared" si="32"/>
        <v>215</v>
      </c>
      <c r="AF217">
        <f t="shared" si="33"/>
        <v>214</v>
      </c>
      <c r="AG217">
        <f t="shared" si="27"/>
        <v>64.057149999999638</v>
      </c>
      <c r="AH217">
        <f t="shared" si="28"/>
        <v>4103.3184661224532</v>
      </c>
      <c r="AI217">
        <f t="shared" si="29"/>
        <v>6.0466999912280937</v>
      </c>
      <c r="AJ217">
        <f t="shared" si="30"/>
        <v>11.016016100444947</v>
      </c>
      <c r="AK217">
        <f t="shared" si="31"/>
        <v>45796</v>
      </c>
      <c r="AL217">
        <f t="shared" si="34"/>
        <v>4827.0749100000003</v>
      </c>
      <c r="AM217" t="str">
        <f t="shared" si="35"/>
        <v/>
      </c>
    </row>
    <row r="218" spans="1:39" x14ac:dyDescent="0.55000000000000004">
      <c r="A218">
        <v>1776728702</v>
      </c>
      <c r="B218" t="s">
        <v>72</v>
      </c>
      <c r="C218" t="s">
        <v>73</v>
      </c>
      <c r="D218">
        <v>4821.76</v>
      </c>
      <c r="E218">
        <v>4518.5928199999998</v>
      </c>
      <c r="F218">
        <v>4596.0559499999999</v>
      </c>
      <c r="G218">
        <v>4755.40355</v>
      </c>
      <c r="H218">
        <v>4792.7697200000002</v>
      </c>
      <c r="Q218">
        <v>4759.8352500000001</v>
      </c>
      <c r="R218">
        <v>4789.1985500000001</v>
      </c>
      <c r="S218">
        <v>4815.7873200000004</v>
      </c>
      <c r="V218">
        <v>4724.8954800000001</v>
      </c>
      <c r="W218">
        <v>4691.3304799999996</v>
      </c>
      <c r="AB218">
        <v>4824.8706000000002</v>
      </c>
      <c r="AC218">
        <v>4825.7544399999997</v>
      </c>
      <c r="AD218">
        <v>0</v>
      </c>
      <c r="AE218">
        <f t="shared" si="32"/>
        <v>216</v>
      </c>
      <c r="AF218">
        <f t="shared" si="33"/>
        <v>215</v>
      </c>
      <c r="AG218">
        <f t="shared" si="27"/>
        <v>61.924750000000131</v>
      </c>
      <c r="AH218">
        <f t="shared" si="28"/>
        <v>3834.674662562516</v>
      </c>
      <c r="AI218">
        <f t="shared" si="29"/>
        <v>5.4627128260758413</v>
      </c>
      <c r="AJ218">
        <f t="shared" si="30"/>
        <v>9.6207994225045717</v>
      </c>
      <c r="AK218">
        <f t="shared" si="31"/>
        <v>46225</v>
      </c>
      <c r="AL218">
        <f t="shared" si="34"/>
        <v>4827.0749100000003</v>
      </c>
      <c r="AM218" t="str">
        <f t="shared" si="35"/>
        <v/>
      </c>
    </row>
    <row r="219" spans="1:39" x14ac:dyDescent="0.55000000000000004">
      <c r="A219">
        <v>1776729602</v>
      </c>
      <c r="B219" t="s">
        <v>72</v>
      </c>
      <c r="C219" t="s">
        <v>73</v>
      </c>
      <c r="D219">
        <v>4828.53</v>
      </c>
      <c r="E219">
        <v>4518.5928199999998</v>
      </c>
      <c r="F219">
        <v>4596.0559499999999</v>
      </c>
      <c r="G219">
        <v>4755.40355</v>
      </c>
      <c r="H219">
        <v>4792.7697200000002</v>
      </c>
      <c r="Q219">
        <v>4759.5676400000002</v>
      </c>
      <c r="R219">
        <v>4788.9309400000002</v>
      </c>
      <c r="S219">
        <v>4815.5197099999996</v>
      </c>
      <c r="V219">
        <v>4724.6278700000003</v>
      </c>
      <c r="W219">
        <v>4691.0628800000004</v>
      </c>
      <c r="AB219">
        <v>4823.6896800000004</v>
      </c>
      <c r="AC219">
        <v>4824.7220600000001</v>
      </c>
      <c r="AD219">
        <v>0</v>
      </c>
      <c r="AE219">
        <f t="shared" si="32"/>
        <v>217</v>
      </c>
      <c r="AF219">
        <f t="shared" si="33"/>
        <v>216</v>
      </c>
      <c r="AG219">
        <f t="shared" si="27"/>
        <v>68.962359999999535</v>
      </c>
      <c r="AH219">
        <f t="shared" si="28"/>
        <v>4755.8070967695357</v>
      </c>
      <c r="AI219">
        <f t="shared" si="29"/>
        <v>7.5448729401353205</v>
      </c>
      <c r="AJ219">
        <f t="shared" si="30"/>
        <v>14.797984697432518</v>
      </c>
      <c r="AK219">
        <f t="shared" si="31"/>
        <v>46656</v>
      </c>
      <c r="AL219">
        <f t="shared" si="34"/>
        <v>4827.0749100000003</v>
      </c>
      <c r="AM219" t="str">
        <f t="shared" si="35"/>
        <v/>
      </c>
    </row>
    <row r="220" spans="1:39" x14ac:dyDescent="0.55000000000000004">
      <c r="A220">
        <v>1776730502</v>
      </c>
      <c r="B220" t="s">
        <v>72</v>
      </c>
      <c r="C220" t="s">
        <v>73</v>
      </c>
      <c r="D220">
        <v>4819.92</v>
      </c>
      <c r="E220">
        <v>4518.5928199999998</v>
      </c>
      <c r="F220">
        <v>4596.0559499999999</v>
      </c>
      <c r="G220">
        <v>4755.40355</v>
      </c>
      <c r="H220">
        <v>4792.7697200000002</v>
      </c>
      <c r="Q220">
        <v>4759.3000400000001</v>
      </c>
      <c r="R220">
        <v>4788.6633400000001</v>
      </c>
      <c r="S220">
        <v>4815.2521100000004</v>
      </c>
      <c r="V220">
        <v>4724.3602700000001</v>
      </c>
      <c r="W220">
        <v>4690.7952699999996</v>
      </c>
      <c r="AB220">
        <v>4822.33583</v>
      </c>
      <c r="AC220">
        <v>4823.5289499999999</v>
      </c>
      <c r="AD220">
        <v>0</v>
      </c>
      <c r="AE220">
        <f t="shared" si="32"/>
        <v>218</v>
      </c>
      <c r="AF220">
        <f t="shared" si="33"/>
        <v>217</v>
      </c>
      <c r="AG220">
        <f t="shared" si="27"/>
        <v>60.619959999999992</v>
      </c>
      <c r="AH220">
        <f t="shared" si="28"/>
        <v>3674.779550401599</v>
      </c>
      <c r="AI220">
        <f t="shared" si="29"/>
        <v>5.1246300734290511</v>
      </c>
      <c r="AJ220">
        <f t="shared" si="30"/>
        <v>8.8352062972581518</v>
      </c>
      <c r="AK220">
        <f t="shared" si="31"/>
        <v>47089</v>
      </c>
      <c r="AL220">
        <f t="shared" si="34"/>
        <v>4827.0749100000003</v>
      </c>
      <c r="AM220" t="str">
        <f t="shared" si="35"/>
        <v/>
      </c>
    </row>
    <row r="221" spans="1:39" x14ac:dyDescent="0.55000000000000004">
      <c r="A221">
        <v>1776731402</v>
      </c>
      <c r="B221" t="s">
        <v>72</v>
      </c>
      <c r="C221" t="s">
        <v>73</v>
      </c>
      <c r="D221">
        <v>4822.66</v>
      </c>
      <c r="E221">
        <v>4518.5928199999998</v>
      </c>
      <c r="F221">
        <v>4596.0559499999999</v>
      </c>
      <c r="G221">
        <v>4755.40355</v>
      </c>
      <c r="H221">
        <v>4792.7697200000002</v>
      </c>
      <c r="Q221">
        <v>4759.03244</v>
      </c>
      <c r="R221">
        <v>4788.3957300000002</v>
      </c>
      <c r="S221">
        <v>4814.9845100000002</v>
      </c>
      <c r="V221">
        <v>4724.09267</v>
      </c>
      <c r="W221">
        <v>4690.5276700000004</v>
      </c>
      <c r="AB221">
        <v>4821.0222700000004</v>
      </c>
      <c r="AC221">
        <v>4822.2756099999997</v>
      </c>
      <c r="AD221">
        <v>0</v>
      </c>
      <c r="AE221">
        <f t="shared" si="32"/>
        <v>219</v>
      </c>
      <c r="AF221">
        <f t="shared" si="33"/>
        <v>218</v>
      </c>
      <c r="AG221">
        <f t="shared" si="27"/>
        <v>63.627559999999903</v>
      </c>
      <c r="AH221">
        <f t="shared" si="28"/>
        <v>4048.4663915535875</v>
      </c>
      <c r="AI221">
        <f t="shared" si="29"/>
        <v>5.9258600685423843</v>
      </c>
      <c r="AJ221">
        <f t="shared" si="30"/>
        <v>10.72346625054792</v>
      </c>
      <c r="AK221">
        <f t="shared" si="31"/>
        <v>47524</v>
      </c>
      <c r="AL221">
        <f t="shared" si="34"/>
        <v>4827.0749100000003</v>
      </c>
      <c r="AM221" t="str">
        <f t="shared" si="35"/>
        <v/>
      </c>
    </row>
    <row r="222" spans="1:39" x14ac:dyDescent="0.55000000000000004">
      <c r="A222">
        <v>1776732302</v>
      </c>
      <c r="B222" t="s">
        <v>72</v>
      </c>
      <c r="C222" t="s">
        <v>73</v>
      </c>
      <c r="D222">
        <v>4823.76</v>
      </c>
      <c r="E222">
        <v>4518.5928199999998</v>
      </c>
      <c r="F222">
        <v>4596.0559499999999</v>
      </c>
      <c r="G222">
        <v>4755.40355</v>
      </c>
      <c r="H222">
        <v>4792.7697200000002</v>
      </c>
      <c r="Q222">
        <v>4758.7648300000001</v>
      </c>
      <c r="R222">
        <v>4788.1281300000001</v>
      </c>
      <c r="S222">
        <v>4814.7169000000004</v>
      </c>
      <c r="V222">
        <v>4723.8250600000001</v>
      </c>
      <c r="W222">
        <v>4690.2600599999996</v>
      </c>
      <c r="AB222">
        <v>4819.6217900000001</v>
      </c>
      <c r="AC222">
        <v>4820.9486999999999</v>
      </c>
      <c r="AD222">
        <v>0</v>
      </c>
      <c r="AE222">
        <f t="shared" si="32"/>
        <v>220</v>
      </c>
      <c r="AF222">
        <f t="shared" si="33"/>
        <v>219</v>
      </c>
      <c r="AG222">
        <f t="shared" si="27"/>
        <v>64.995170000000144</v>
      </c>
      <c r="AH222">
        <f t="shared" si="28"/>
        <v>4224.3721233289189</v>
      </c>
      <c r="AI222">
        <f t="shared" si="29"/>
        <v>6.316243096244758</v>
      </c>
      <c r="AJ222">
        <f t="shared" si="30"/>
        <v>11.675579591620956</v>
      </c>
      <c r="AK222">
        <f t="shared" si="31"/>
        <v>47961</v>
      </c>
      <c r="AL222">
        <f t="shared" si="34"/>
        <v>4827.0749100000003</v>
      </c>
      <c r="AM222" t="str">
        <f t="shared" si="35"/>
        <v/>
      </c>
    </row>
    <row r="223" spans="1:39" x14ac:dyDescent="0.55000000000000004">
      <c r="A223">
        <v>1776733202</v>
      </c>
      <c r="B223" t="s">
        <v>72</v>
      </c>
      <c r="C223" t="s">
        <v>73</v>
      </c>
      <c r="D223">
        <v>4814.78</v>
      </c>
      <c r="E223">
        <v>4518.5928199999998</v>
      </c>
      <c r="F223">
        <v>4596.0559499999999</v>
      </c>
      <c r="G223">
        <v>4755.40355</v>
      </c>
      <c r="H223">
        <v>4792.7697200000002</v>
      </c>
      <c r="Q223">
        <v>4758.4972299999999</v>
      </c>
      <c r="R223">
        <v>4787.8605299999999</v>
      </c>
      <c r="S223">
        <v>4814.4493000000002</v>
      </c>
      <c r="V223">
        <v>4723.55746</v>
      </c>
      <c r="W223">
        <v>4689.9924600000004</v>
      </c>
      <c r="AB223">
        <v>4817.9875300000003</v>
      </c>
      <c r="AC223">
        <v>4819.4681099999998</v>
      </c>
      <c r="AD223">
        <v>0</v>
      </c>
      <c r="AE223">
        <f t="shared" si="32"/>
        <v>221</v>
      </c>
      <c r="AF223">
        <f t="shared" si="33"/>
        <v>220</v>
      </c>
      <c r="AG223">
        <f t="shared" si="27"/>
        <v>56.2827699999998</v>
      </c>
      <c r="AH223">
        <f t="shared" si="28"/>
        <v>3167.7501988728777</v>
      </c>
      <c r="AI223">
        <f t="shared" si="29"/>
        <v>4.1014930008370323</v>
      </c>
      <c r="AJ223">
        <f t="shared" si="30"/>
        <v>6.5653210201946282</v>
      </c>
      <c r="AK223">
        <f t="shared" si="31"/>
        <v>48400</v>
      </c>
      <c r="AL223">
        <f t="shared" si="34"/>
        <v>4827.0749100000003</v>
      </c>
      <c r="AM223" t="str">
        <f t="shared" si="35"/>
        <v/>
      </c>
    </row>
    <row r="224" spans="1:39" x14ac:dyDescent="0.55000000000000004">
      <c r="A224">
        <v>1776734102</v>
      </c>
      <c r="B224" t="s">
        <v>72</v>
      </c>
      <c r="C224" t="s">
        <v>73</v>
      </c>
      <c r="D224">
        <v>4818.7</v>
      </c>
      <c r="E224">
        <v>4518.5928199999998</v>
      </c>
      <c r="F224">
        <v>4596.0559499999999</v>
      </c>
      <c r="G224">
        <v>4755.40355</v>
      </c>
      <c r="H224">
        <v>4792.7697200000002</v>
      </c>
      <c r="Q224">
        <v>4758.2296200000001</v>
      </c>
      <c r="R224">
        <v>4787.59292</v>
      </c>
      <c r="S224">
        <v>4814.1816900000003</v>
      </c>
      <c r="V224">
        <v>4723.2898500000001</v>
      </c>
      <c r="W224">
        <v>4689.7248600000003</v>
      </c>
      <c r="AB224">
        <v>4816.2736299999997</v>
      </c>
      <c r="AC224">
        <v>4817.8708699999997</v>
      </c>
      <c r="AD224">
        <v>0</v>
      </c>
      <c r="AE224">
        <f t="shared" si="32"/>
        <v>222</v>
      </c>
      <c r="AF224">
        <f t="shared" si="33"/>
        <v>221</v>
      </c>
      <c r="AG224">
        <f t="shared" si="27"/>
        <v>60.47037999999975</v>
      </c>
      <c r="AH224">
        <f t="shared" si="28"/>
        <v>3656.6668573443699</v>
      </c>
      <c r="AI224">
        <f t="shared" si="29"/>
        <v>5.0867884643536945</v>
      </c>
      <c r="AJ224">
        <f t="shared" si="30"/>
        <v>8.7483248984724451</v>
      </c>
      <c r="AK224">
        <f t="shared" si="31"/>
        <v>48841</v>
      </c>
      <c r="AL224">
        <f t="shared" si="34"/>
        <v>4827.0749100000003</v>
      </c>
      <c r="AM224" t="str">
        <f t="shared" si="35"/>
        <v/>
      </c>
    </row>
    <row r="225" spans="1:39" x14ac:dyDescent="0.55000000000000004">
      <c r="A225">
        <v>1776735002</v>
      </c>
      <c r="B225" t="s">
        <v>72</v>
      </c>
      <c r="C225" t="s">
        <v>73</v>
      </c>
      <c r="D225">
        <v>4813.59</v>
      </c>
      <c r="E225">
        <v>4518.5928199999998</v>
      </c>
      <c r="F225">
        <v>4596.0559499999999</v>
      </c>
      <c r="G225">
        <v>4755.40355</v>
      </c>
      <c r="H225">
        <v>4792.7697200000002</v>
      </c>
      <c r="Q225">
        <v>4757.9620199999999</v>
      </c>
      <c r="R225">
        <v>4787.3253199999999</v>
      </c>
      <c r="S225">
        <v>4813.9140900000002</v>
      </c>
      <c r="V225">
        <v>4723.02225</v>
      </c>
      <c r="W225">
        <v>4689.4572500000004</v>
      </c>
      <c r="AB225">
        <v>4814.3099400000001</v>
      </c>
      <c r="AC225">
        <v>4816.0904</v>
      </c>
      <c r="AD225">
        <v>0</v>
      </c>
      <c r="AE225">
        <f t="shared" si="32"/>
        <v>223</v>
      </c>
      <c r="AF225">
        <f t="shared" si="33"/>
        <v>222</v>
      </c>
      <c r="AG225">
        <f t="shared" si="27"/>
        <v>55.627980000000207</v>
      </c>
      <c r="AH225">
        <f t="shared" si="28"/>
        <v>3094.4721588804232</v>
      </c>
      <c r="AI225">
        <f t="shared" si="29"/>
        <v>3.9600024443914417</v>
      </c>
      <c r="AJ225">
        <f t="shared" si="30"/>
        <v>6.2650893919610935</v>
      </c>
      <c r="AK225">
        <f t="shared" si="31"/>
        <v>49284</v>
      </c>
      <c r="AL225">
        <f t="shared" si="34"/>
        <v>4827.0749100000003</v>
      </c>
      <c r="AM225" t="str">
        <f t="shared" si="35"/>
        <v/>
      </c>
    </row>
    <row r="226" spans="1:39" x14ac:dyDescent="0.55000000000000004">
      <c r="A226">
        <v>1776735902</v>
      </c>
      <c r="B226" t="s">
        <v>72</v>
      </c>
      <c r="C226" t="s">
        <v>73</v>
      </c>
      <c r="D226">
        <v>4810.0600000000004</v>
      </c>
      <c r="E226">
        <v>4518.5928199999998</v>
      </c>
      <c r="F226">
        <v>4596.0559499999999</v>
      </c>
      <c r="G226">
        <v>4755.40355</v>
      </c>
      <c r="H226">
        <v>4792.7697200000002</v>
      </c>
      <c r="Q226">
        <v>4757.6944100000001</v>
      </c>
      <c r="R226">
        <v>4787.05771</v>
      </c>
      <c r="S226">
        <v>4813.6464800000003</v>
      </c>
      <c r="V226">
        <v>4722.7546400000001</v>
      </c>
      <c r="W226">
        <v>4689.1896500000003</v>
      </c>
      <c r="AB226">
        <v>4812.1907799999999</v>
      </c>
      <c r="AC226">
        <v>4814.14059</v>
      </c>
      <c r="AD226">
        <v>0</v>
      </c>
      <c r="AE226">
        <f t="shared" si="32"/>
        <v>224</v>
      </c>
      <c r="AF226">
        <f t="shared" si="33"/>
        <v>223</v>
      </c>
      <c r="AG226">
        <f t="shared" si="27"/>
        <v>52.365590000000338</v>
      </c>
      <c r="AH226">
        <f t="shared" si="28"/>
        <v>2742.1550160481356</v>
      </c>
      <c r="AI226">
        <f t="shared" si="29"/>
        <v>3.3033423689388317</v>
      </c>
      <c r="AJ226">
        <f t="shared" si="30"/>
        <v>4.9196942944163942</v>
      </c>
      <c r="AK226">
        <f t="shared" si="31"/>
        <v>49729</v>
      </c>
      <c r="AL226">
        <f t="shared" si="34"/>
        <v>4827.0749100000003</v>
      </c>
      <c r="AM226" t="str">
        <f t="shared" si="35"/>
        <v/>
      </c>
    </row>
    <row r="227" spans="1:39" x14ac:dyDescent="0.55000000000000004">
      <c r="A227">
        <v>1776736802</v>
      </c>
      <c r="B227" t="s">
        <v>72</v>
      </c>
      <c r="C227" t="s">
        <v>73</v>
      </c>
      <c r="D227">
        <v>4807.3</v>
      </c>
      <c r="E227">
        <v>4518.5928199999998</v>
      </c>
      <c r="F227">
        <v>4596.0559499999999</v>
      </c>
      <c r="G227">
        <v>4755.40355</v>
      </c>
      <c r="H227">
        <v>4792.7697200000002</v>
      </c>
      <c r="Q227">
        <v>4757.4268099999999</v>
      </c>
      <c r="R227">
        <v>4786.7901099999999</v>
      </c>
      <c r="S227">
        <v>4813.3788800000002</v>
      </c>
      <c r="V227">
        <v>4722.48704</v>
      </c>
      <c r="W227">
        <v>4688.9220400000004</v>
      </c>
      <c r="AB227">
        <v>4809.9954799999996</v>
      </c>
      <c r="AC227">
        <v>4812.0680300000004</v>
      </c>
      <c r="AD227">
        <v>0</v>
      </c>
      <c r="AE227">
        <f t="shared" si="32"/>
        <v>225</v>
      </c>
      <c r="AF227">
        <f t="shared" si="33"/>
        <v>224</v>
      </c>
      <c r="AG227">
        <f t="shared" si="27"/>
        <v>49.87319000000025</v>
      </c>
      <c r="AH227">
        <f t="shared" si="28"/>
        <v>2487.3350807761249</v>
      </c>
      <c r="AI227">
        <f t="shared" si="29"/>
        <v>2.853757245376733</v>
      </c>
      <c r="AJ227">
        <f t="shared" si="30"/>
        <v>4.0478340827164505</v>
      </c>
      <c r="AK227">
        <f t="shared" si="31"/>
        <v>50176</v>
      </c>
      <c r="AL227">
        <f t="shared" si="34"/>
        <v>4827.0749100000003</v>
      </c>
      <c r="AM227" t="str">
        <f t="shared" si="35"/>
        <v/>
      </c>
    </row>
    <row r="228" spans="1:39" x14ac:dyDescent="0.55000000000000004">
      <c r="A228">
        <v>1776737702</v>
      </c>
      <c r="B228" t="s">
        <v>72</v>
      </c>
      <c r="C228" t="s">
        <v>73</v>
      </c>
      <c r="D228">
        <v>4807.7299999999996</v>
      </c>
      <c r="E228">
        <v>4518.5928199999998</v>
      </c>
      <c r="F228">
        <v>4596.0559499999999</v>
      </c>
      <c r="G228">
        <v>4755.40355</v>
      </c>
      <c r="H228">
        <v>4792.7697200000002</v>
      </c>
      <c r="Q228">
        <v>4757.1592099999998</v>
      </c>
      <c r="R228">
        <v>4786.5225099999998</v>
      </c>
      <c r="S228">
        <v>4813.1112800000001</v>
      </c>
      <c r="V228">
        <v>4722.2194399999998</v>
      </c>
      <c r="W228">
        <v>4688.6544400000002</v>
      </c>
      <c r="AB228">
        <v>4807.7812000000004</v>
      </c>
      <c r="AC228">
        <v>4809.9246199999998</v>
      </c>
      <c r="AD228">
        <v>0</v>
      </c>
      <c r="AE228">
        <f t="shared" si="32"/>
        <v>226</v>
      </c>
      <c r="AF228">
        <f t="shared" si="33"/>
        <v>225</v>
      </c>
      <c r="AG228">
        <f t="shared" si="27"/>
        <v>50.570789999999761</v>
      </c>
      <c r="AH228">
        <f t="shared" si="28"/>
        <v>2557.404801224076</v>
      </c>
      <c r="AI228">
        <f t="shared" si="29"/>
        <v>2.9751906379318069</v>
      </c>
      <c r="AJ228">
        <f t="shared" si="30"/>
        <v>4.2791061995117667</v>
      </c>
      <c r="AK228">
        <f t="shared" si="31"/>
        <v>50625</v>
      </c>
      <c r="AL228">
        <f t="shared" si="34"/>
        <v>4827.0749100000003</v>
      </c>
      <c r="AM228" t="str">
        <f t="shared" si="35"/>
        <v/>
      </c>
    </row>
    <row r="229" spans="1:39" x14ac:dyDescent="0.55000000000000004">
      <c r="A229">
        <v>1776738602</v>
      </c>
      <c r="B229" t="s">
        <v>72</v>
      </c>
      <c r="C229" t="s">
        <v>73</v>
      </c>
      <c r="D229">
        <v>4806.6099999999997</v>
      </c>
      <c r="E229">
        <v>4518.5928199999998</v>
      </c>
      <c r="F229">
        <v>4596.0559499999999</v>
      </c>
      <c r="G229">
        <v>4755.40355</v>
      </c>
      <c r="H229">
        <v>4792.7697200000002</v>
      </c>
      <c r="Q229">
        <v>4756.8915999999999</v>
      </c>
      <c r="R229">
        <v>4786.2548999999999</v>
      </c>
      <c r="S229">
        <v>4812.8436700000002</v>
      </c>
      <c r="V229">
        <v>4721.95183</v>
      </c>
      <c r="W229">
        <v>4688.3868400000001</v>
      </c>
      <c r="AB229">
        <v>4805.5404799999997</v>
      </c>
      <c r="AC229">
        <v>4807.7325499999997</v>
      </c>
      <c r="AD229">
        <v>0</v>
      </c>
      <c r="AE229">
        <f t="shared" si="32"/>
        <v>227</v>
      </c>
      <c r="AF229">
        <f t="shared" si="33"/>
        <v>226</v>
      </c>
      <c r="AG229">
        <f t="shared" si="27"/>
        <v>49.718399999999747</v>
      </c>
      <c r="AH229">
        <f t="shared" si="28"/>
        <v>2471.9192985599748</v>
      </c>
      <c r="AI229">
        <f t="shared" si="29"/>
        <v>2.8272682535163027</v>
      </c>
      <c r="AJ229">
        <f t="shared" si="30"/>
        <v>3.9978149606867359</v>
      </c>
      <c r="AK229">
        <f t="shared" si="31"/>
        <v>51076</v>
      </c>
      <c r="AL229">
        <f t="shared" si="34"/>
        <v>4827.0749100000003</v>
      </c>
      <c r="AM229" t="str">
        <f t="shared" si="35"/>
        <v/>
      </c>
    </row>
    <row r="230" spans="1:39" x14ac:dyDescent="0.55000000000000004">
      <c r="A230">
        <v>1776739502</v>
      </c>
      <c r="B230" t="s">
        <v>72</v>
      </c>
      <c r="C230" t="s">
        <v>73</v>
      </c>
      <c r="D230">
        <v>4806.8999999999996</v>
      </c>
      <c r="E230">
        <v>4518.5928199999998</v>
      </c>
      <c r="F230">
        <v>4596.0559499999999</v>
      </c>
      <c r="G230">
        <v>4755.40355</v>
      </c>
      <c r="H230">
        <v>4792.7697200000002</v>
      </c>
      <c r="Q230">
        <v>4756.6239999999998</v>
      </c>
      <c r="R230">
        <v>4785.9872999999998</v>
      </c>
      <c r="S230">
        <v>4812.5760700000001</v>
      </c>
      <c r="V230">
        <v>4721.6842299999998</v>
      </c>
      <c r="W230">
        <v>4688.1192300000002</v>
      </c>
      <c r="AB230">
        <v>4803.2892700000002</v>
      </c>
      <c r="AC230">
        <v>4805.51091</v>
      </c>
      <c r="AD230">
        <v>0</v>
      </c>
      <c r="AE230">
        <f t="shared" si="32"/>
        <v>228</v>
      </c>
      <c r="AF230">
        <f t="shared" si="33"/>
        <v>227</v>
      </c>
      <c r="AG230">
        <f t="shared" si="27"/>
        <v>50.27599999999984</v>
      </c>
      <c r="AH230">
        <f t="shared" si="28"/>
        <v>2527.676175999984</v>
      </c>
      <c r="AI230">
        <f t="shared" si="29"/>
        <v>2.9234639120579504</v>
      </c>
      <c r="AJ230">
        <f t="shared" si="30"/>
        <v>4.1801992490000419</v>
      </c>
      <c r="AK230">
        <f t="shared" si="31"/>
        <v>51529</v>
      </c>
      <c r="AL230">
        <f t="shared" si="34"/>
        <v>4827.0749100000003</v>
      </c>
      <c r="AM230" t="str">
        <f t="shared" si="35"/>
        <v/>
      </c>
    </row>
    <row r="231" spans="1:39" x14ac:dyDescent="0.55000000000000004">
      <c r="A231">
        <v>1776740402</v>
      </c>
      <c r="B231" t="s">
        <v>72</v>
      </c>
      <c r="C231" t="s">
        <v>73</v>
      </c>
      <c r="D231">
        <v>4800.74</v>
      </c>
      <c r="E231">
        <v>4518.5928199999998</v>
      </c>
      <c r="F231">
        <v>4596.0559499999999</v>
      </c>
      <c r="G231">
        <v>4755.40355</v>
      </c>
      <c r="H231">
        <v>4792.7697200000002</v>
      </c>
      <c r="Q231">
        <v>4756.3563899999999</v>
      </c>
      <c r="R231">
        <v>4785.7196899999999</v>
      </c>
      <c r="S231">
        <v>4812.3084600000002</v>
      </c>
      <c r="V231">
        <v>4721.41662</v>
      </c>
      <c r="W231">
        <v>4687.8516300000001</v>
      </c>
      <c r="AB231">
        <v>4801.0339700000004</v>
      </c>
      <c r="AC231">
        <v>4803.2724399999997</v>
      </c>
      <c r="AD231">
        <v>0</v>
      </c>
      <c r="AE231">
        <f t="shared" si="32"/>
        <v>229</v>
      </c>
      <c r="AF231">
        <f t="shared" si="33"/>
        <v>228</v>
      </c>
      <c r="AG231">
        <f t="shared" si="27"/>
        <v>44.383609999999862</v>
      </c>
      <c r="AH231">
        <f t="shared" si="28"/>
        <v>1969.9048366320878</v>
      </c>
      <c r="AI231">
        <f t="shared" si="29"/>
        <v>2.0113305690457683</v>
      </c>
      <c r="AJ231">
        <f t="shared" si="30"/>
        <v>2.5388942128058578</v>
      </c>
      <c r="AK231">
        <f t="shared" si="31"/>
        <v>51984</v>
      </c>
      <c r="AL231">
        <f t="shared" si="34"/>
        <v>4827.0749100000003</v>
      </c>
      <c r="AM231" t="str">
        <f t="shared" si="35"/>
        <v/>
      </c>
    </row>
    <row r="232" spans="1:39" x14ac:dyDescent="0.55000000000000004">
      <c r="A232">
        <v>1776741302</v>
      </c>
      <c r="B232" t="s">
        <v>72</v>
      </c>
      <c r="C232" t="s">
        <v>73</v>
      </c>
      <c r="D232">
        <v>4798.75</v>
      </c>
      <c r="E232">
        <v>4518.5928199999998</v>
      </c>
      <c r="F232">
        <v>4596.0559499999999</v>
      </c>
      <c r="G232">
        <v>4755.40355</v>
      </c>
      <c r="H232">
        <v>4792.7697200000002</v>
      </c>
      <c r="Q232">
        <v>4756.0887899999998</v>
      </c>
      <c r="R232">
        <v>4785.4520899999998</v>
      </c>
      <c r="S232">
        <v>4812.0408600000001</v>
      </c>
      <c r="V232">
        <v>4721.1490199999998</v>
      </c>
      <c r="W232">
        <v>4687.5840200000002</v>
      </c>
      <c r="AB232">
        <v>4798.9589999999998</v>
      </c>
      <c r="AC232">
        <v>4801.1157199999998</v>
      </c>
      <c r="AD232">
        <v>0</v>
      </c>
      <c r="AE232">
        <f t="shared" si="32"/>
        <v>230</v>
      </c>
      <c r="AF232">
        <f t="shared" si="33"/>
        <v>229</v>
      </c>
      <c r="AG232">
        <f t="shared" si="27"/>
        <v>42.66121000000021</v>
      </c>
      <c r="AH232">
        <f t="shared" si="28"/>
        <v>1819.978838664118</v>
      </c>
      <c r="AI232">
        <f t="shared" si="29"/>
        <v>1.7861383367197314</v>
      </c>
      <c r="AJ232">
        <f t="shared" si="30"/>
        <v>2.167139107688302</v>
      </c>
      <c r="AK232">
        <f t="shared" si="31"/>
        <v>52441</v>
      </c>
      <c r="AL232">
        <f t="shared" si="34"/>
        <v>4827.0749100000003</v>
      </c>
      <c r="AM232" t="str">
        <f t="shared" si="35"/>
        <v/>
      </c>
    </row>
    <row r="233" spans="1:39" x14ac:dyDescent="0.55000000000000004">
      <c r="A233">
        <v>1776742202</v>
      </c>
      <c r="B233" t="s">
        <v>72</v>
      </c>
      <c r="C233" t="s">
        <v>73</v>
      </c>
      <c r="D233">
        <v>4795.2</v>
      </c>
      <c r="E233">
        <v>4518.5928199999998</v>
      </c>
      <c r="F233">
        <v>4596.0559499999999</v>
      </c>
      <c r="G233">
        <v>4755.40355</v>
      </c>
      <c r="H233">
        <v>4792.7697200000002</v>
      </c>
      <c r="Q233">
        <v>4755.8211899999997</v>
      </c>
      <c r="R233">
        <v>4785.1844899999996</v>
      </c>
      <c r="S233">
        <v>4811.7732599999999</v>
      </c>
      <c r="V233">
        <v>4720.8814199999997</v>
      </c>
      <c r="W233">
        <v>4687.3164200000001</v>
      </c>
      <c r="AB233">
        <v>4797.12518</v>
      </c>
      <c r="AC233">
        <v>4799.1204500000003</v>
      </c>
      <c r="AD233">
        <v>0</v>
      </c>
      <c r="AE233">
        <f t="shared" si="32"/>
        <v>231</v>
      </c>
      <c r="AF233">
        <f t="shared" si="33"/>
        <v>230</v>
      </c>
      <c r="AG233">
        <f t="shared" si="27"/>
        <v>39.378810000000158</v>
      </c>
      <c r="AH233">
        <f t="shared" si="28"/>
        <v>1550.6906770161124</v>
      </c>
      <c r="AI233">
        <f t="shared" si="29"/>
        <v>1.4047639329126891</v>
      </c>
      <c r="AJ233">
        <f t="shared" si="30"/>
        <v>1.5732743579183779</v>
      </c>
      <c r="AK233">
        <f t="shared" si="31"/>
        <v>52900</v>
      </c>
      <c r="AL233">
        <f t="shared" si="34"/>
        <v>4827.0749100000003</v>
      </c>
      <c r="AM233" t="str">
        <f t="shared" si="35"/>
        <v/>
      </c>
    </row>
    <row r="234" spans="1:39" x14ac:dyDescent="0.55000000000000004">
      <c r="A234">
        <v>1776743102</v>
      </c>
      <c r="B234" t="s">
        <v>72</v>
      </c>
      <c r="C234" t="s">
        <v>73</v>
      </c>
      <c r="D234">
        <v>4797.3599999999997</v>
      </c>
      <c r="E234">
        <v>4518.5928199999998</v>
      </c>
      <c r="F234">
        <v>4596.0559499999999</v>
      </c>
      <c r="G234">
        <v>4755.40355</v>
      </c>
      <c r="H234">
        <v>4792.7697200000002</v>
      </c>
      <c r="Q234">
        <v>4755.5535799999998</v>
      </c>
      <c r="R234">
        <v>4784.9168799999998</v>
      </c>
      <c r="S234">
        <v>4811.5056500000001</v>
      </c>
      <c r="V234">
        <v>4720.6138099999998</v>
      </c>
      <c r="W234">
        <v>4687.04882</v>
      </c>
      <c r="AB234">
        <v>4795.6085800000001</v>
      </c>
      <c r="AC234">
        <v>4797.3645100000003</v>
      </c>
      <c r="AD234">
        <v>0</v>
      </c>
      <c r="AE234">
        <f t="shared" si="32"/>
        <v>232</v>
      </c>
      <c r="AF234">
        <f t="shared" si="33"/>
        <v>231</v>
      </c>
      <c r="AG234">
        <f t="shared" si="27"/>
        <v>41.806419999999889</v>
      </c>
      <c r="AH234">
        <f t="shared" si="28"/>
        <v>1747.7767532163907</v>
      </c>
      <c r="AI234">
        <f t="shared" si="29"/>
        <v>1.6809102380333558</v>
      </c>
      <c r="AJ234">
        <f t="shared" si="30"/>
        <v>1.9986006754177679</v>
      </c>
      <c r="AK234">
        <f t="shared" si="31"/>
        <v>53361</v>
      </c>
      <c r="AL234">
        <f t="shared" si="34"/>
        <v>4827.0749100000003</v>
      </c>
      <c r="AM234" t="str">
        <f t="shared" si="35"/>
        <v/>
      </c>
    </row>
    <row r="235" spans="1:39" x14ac:dyDescent="0.55000000000000004">
      <c r="A235">
        <v>1776744002</v>
      </c>
      <c r="B235" t="s">
        <v>72</v>
      </c>
      <c r="C235" t="s">
        <v>73</v>
      </c>
      <c r="D235">
        <v>4794.24</v>
      </c>
      <c r="E235">
        <v>4518.5928199999998</v>
      </c>
      <c r="F235">
        <v>4596.0559499999999</v>
      </c>
      <c r="G235">
        <v>4755.40355</v>
      </c>
      <c r="H235">
        <v>4792.7697200000002</v>
      </c>
      <c r="Q235">
        <v>4755.2859799999997</v>
      </c>
      <c r="R235">
        <v>4784.6492799999996</v>
      </c>
      <c r="S235">
        <v>4811.2380499999999</v>
      </c>
      <c r="V235">
        <v>4720.3462099999997</v>
      </c>
      <c r="W235">
        <v>4686.7812100000001</v>
      </c>
      <c r="AB235">
        <v>4794.2878499999997</v>
      </c>
      <c r="AC235">
        <v>4795.82618</v>
      </c>
      <c r="AD235">
        <v>0</v>
      </c>
      <c r="AE235">
        <f t="shared" si="32"/>
        <v>233</v>
      </c>
      <c r="AF235">
        <f t="shared" si="33"/>
        <v>232</v>
      </c>
      <c r="AG235">
        <f t="shared" si="27"/>
        <v>38.954020000000128</v>
      </c>
      <c r="AH235">
        <f t="shared" si="28"/>
        <v>1517.4156741604099</v>
      </c>
      <c r="AI235">
        <f t="shared" si="29"/>
        <v>1.3597918478496023</v>
      </c>
      <c r="AJ235">
        <f t="shared" si="30"/>
        <v>1.5064795625402609</v>
      </c>
      <c r="AK235">
        <f t="shared" si="31"/>
        <v>53824</v>
      </c>
      <c r="AL235">
        <f t="shared" si="34"/>
        <v>4827.0749100000003</v>
      </c>
      <c r="AM235" t="str">
        <f t="shared" si="35"/>
        <v/>
      </c>
    </row>
    <row r="236" spans="1:39" x14ac:dyDescent="0.55000000000000004">
      <c r="A236">
        <v>1776744902</v>
      </c>
      <c r="B236" t="s">
        <v>72</v>
      </c>
      <c r="C236" t="s">
        <v>73</v>
      </c>
      <c r="D236">
        <v>4792.33</v>
      </c>
      <c r="E236">
        <v>4518.5928199999998</v>
      </c>
      <c r="F236">
        <v>4596.0559499999999</v>
      </c>
      <c r="G236">
        <v>4755.40355</v>
      </c>
      <c r="H236">
        <v>4792.7697200000002</v>
      </c>
      <c r="Q236">
        <v>4755.0183699999998</v>
      </c>
      <c r="R236">
        <v>4784.3816699999998</v>
      </c>
      <c r="S236">
        <v>4810.9704400000001</v>
      </c>
      <c r="V236">
        <v>4720.0785999999998</v>
      </c>
      <c r="W236">
        <v>4686.51361</v>
      </c>
      <c r="AB236">
        <v>4793.1513100000002</v>
      </c>
      <c r="AC236">
        <v>4794.4887399999998</v>
      </c>
      <c r="AD236">
        <v>0</v>
      </c>
      <c r="AE236">
        <f t="shared" si="32"/>
        <v>234</v>
      </c>
      <c r="AF236">
        <f t="shared" si="33"/>
        <v>233</v>
      </c>
      <c r="AG236">
        <f t="shared" si="27"/>
        <v>37.31163000000015</v>
      </c>
      <c r="AH236">
        <f t="shared" si="28"/>
        <v>1392.1577332569111</v>
      </c>
      <c r="AI236">
        <f t="shared" si="29"/>
        <v>1.1949459200553167</v>
      </c>
      <c r="AJ236">
        <f t="shared" si="30"/>
        <v>1.2680342992963589</v>
      </c>
      <c r="AK236">
        <f t="shared" si="31"/>
        <v>54289</v>
      </c>
      <c r="AL236">
        <f t="shared" si="34"/>
        <v>4827.0749100000003</v>
      </c>
      <c r="AM236" t="str">
        <f t="shared" si="35"/>
        <v/>
      </c>
    </row>
    <row r="237" spans="1:39" x14ac:dyDescent="0.55000000000000004">
      <c r="A237">
        <v>1776745802</v>
      </c>
      <c r="B237" t="s">
        <v>72</v>
      </c>
      <c r="C237" t="s">
        <v>73</v>
      </c>
      <c r="D237">
        <v>4791.74</v>
      </c>
      <c r="E237">
        <v>4518.5928199999998</v>
      </c>
      <c r="F237">
        <v>4596.0559499999999</v>
      </c>
      <c r="G237">
        <v>4755.40355</v>
      </c>
      <c r="H237">
        <v>4792.7697200000002</v>
      </c>
      <c r="Q237">
        <v>4754.7507699999996</v>
      </c>
      <c r="R237">
        <v>4784.1140699999996</v>
      </c>
      <c r="S237">
        <v>4810.7028399999999</v>
      </c>
      <c r="V237">
        <v>4719.8109999999997</v>
      </c>
      <c r="W237">
        <v>4686.2460000000001</v>
      </c>
      <c r="AB237">
        <v>4792.1385600000003</v>
      </c>
      <c r="AC237">
        <v>4793.3136500000001</v>
      </c>
      <c r="AD237">
        <v>0</v>
      </c>
      <c r="AE237">
        <f t="shared" si="32"/>
        <v>235</v>
      </c>
      <c r="AF237">
        <f t="shared" si="33"/>
        <v>234</v>
      </c>
      <c r="AG237">
        <f t="shared" si="27"/>
        <v>36.989230000000134</v>
      </c>
      <c r="AH237">
        <f t="shared" si="28"/>
        <v>1368.2031359929099</v>
      </c>
      <c r="AI237">
        <f t="shared" si="29"/>
        <v>1.1642371595267043</v>
      </c>
      <c r="AJ237">
        <f t="shared" si="30"/>
        <v>1.2247720746053785</v>
      </c>
      <c r="AK237">
        <f t="shared" si="31"/>
        <v>54756</v>
      </c>
      <c r="AL237">
        <f t="shared" si="34"/>
        <v>4827.0749100000003</v>
      </c>
      <c r="AM237" t="str">
        <f t="shared" si="35"/>
        <v/>
      </c>
    </row>
    <row r="238" spans="1:39" x14ac:dyDescent="0.55000000000000004">
      <c r="A238">
        <v>1776746702</v>
      </c>
      <c r="B238" t="s">
        <v>72</v>
      </c>
      <c r="C238" t="s">
        <v>73</v>
      </c>
      <c r="D238">
        <v>4789.16</v>
      </c>
      <c r="E238">
        <v>4518.5928199999998</v>
      </c>
      <c r="F238">
        <v>4596.0559499999999</v>
      </c>
      <c r="G238">
        <v>4755.40355</v>
      </c>
      <c r="H238">
        <v>4792.7697200000002</v>
      </c>
      <c r="Q238">
        <v>4754.4831700000004</v>
      </c>
      <c r="R238">
        <v>4783.8464599999998</v>
      </c>
      <c r="S238">
        <v>4810.4352399999998</v>
      </c>
      <c r="V238">
        <v>4719.5433999999996</v>
      </c>
      <c r="W238">
        <v>4685.9784</v>
      </c>
      <c r="AB238">
        <v>4791.1540699999996</v>
      </c>
      <c r="AC238">
        <v>4792.2338600000003</v>
      </c>
      <c r="AD238">
        <v>0</v>
      </c>
      <c r="AE238">
        <f t="shared" si="32"/>
        <v>236</v>
      </c>
      <c r="AF238">
        <f t="shared" si="33"/>
        <v>235</v>
      </c>
      <c r="AG238">
        <f t="shared" si="27"/>
        <v>34.676829999999427</v>
      </c>
      <c r="AH238">
        <f t="shared" si="28"/>
        <v>1202.4825388488603</v>
      </c>
      <c r="AI238">
        <f t="shared" si="29"/>
        <v>0.95925429542220919</v>
      </c>
      <c r="AJ238">
        <f t="shared" si="30"/>
        <v>0.94604472854167365</v>
      </c>
      <c r="AK238">
        <f t="shared" si="31"/>
        <v>55225</v>
      </c>
      <c r="AL238">
        <f t="shared" si="34"/>
        <v>4827.0749100000003</v>
      </c>
      <c r="AM238" t="str">
        <f t="shared" si="35"/>
        <v/>
      </c>
    </row>
    <row r="239" spans="1:39" x14ac:dyDescent="0.55000000000000004">
      <c r="A239">
        <v>1776747602</v>
      </c>
      <c r="B239" t="s">
        <v>72</v>
      </c>
      <c r="C239" t="s">
        <v>73</v>
      </c>
      <c r="D239">
        <v>4789.51</v>
      </c>
      <c r="E239">
        <v>4518.5928199999998</v>
      </c>
      <c r="F239">
        <v>4596.0559499999999</v>
      </c>
      <c r="G239">
        <v>4755.40355</v>
      </c>
      <c r="H239">
        <v>4792.7697200000002</v>
      </c>
      <c r="Q239">
        <v>4754.2155599999996</v>
      </c>
      <c r="R239">
        <v>4783.5788599999996</v>
      </c>
      <c r="S239">
        <v>4810.1676299999999</v>
      </c>
      <c r="V239">
        <v>4719.2757899999997</v>
      </c>
      <c r="W239">
        <v>4685.7107999999998</v>
      </c>
      <c r="AB239">
        <v>4790.15661</v>
      </c>
      <c r="AC239">
        <v>4791.19524</v>
      </c>
      <c r="AD239">
        <v>0</v>
      </c>
      <c r="AE239">
        <f t="shared" si="32"/>
        <v>237</v>
      </c>
      <c r="AF239">
        <f t="shared" si="33"/>
        <v>236</v>
      </c>
      <c r="AG239">
        <f t="shared" si="27"/>
        <v>35.294440000000577</v>
      </c>
      <c r="AH239">
        <f t="shared" si="28"/>
        <v>1245.6974949136406</v>
      </c>
      <c r="AI239">
        <f t="shared" si="29"/>
        <v>1.011426832769956</v>
      </c>
      <c r="AJ239">
        <f t="shared" si="30"/>
        <v>1.0152647198074878</v>
      </c>
      <c r="AK239">
        <f t="shared" si="31"/>
        <v>55696</v>
      </c>
      <c r="AL239">
        <f t="shared" si="34"/>
        <v>4827.0749100000003</v>
      </c>
      <c r="AM239" t="str">
        <f t="shared" si="35"/>
        <v/>
      </c>
    </row>
    <row r="240" spans="1:39" x14ac:dyDescent="0.55000000000000004">
      <c r="A240">
        <v>1776748502</v>
      </c>
      <c r="B240" t="s">
        <v>72</v>
      </c>
      <c r="C240" t="s">
        <v>73</v>
      </c>
      <c r="D240">
        <v>4787.58</v>
      </c>
      <c r="E240">
        <v>4518.5928199999998</v>
      </c>
      <c r="F240">
        <v>4596.0559499999999</v>
      </c>
      <c r="G240">
        <v>4755.40355</v>
      </c>
      <c r="H240">
        <v>4792.7697200000002</v>
      </c>
      <c r="Q240">
        <v>4753.9479600000004</v>
      </c>
      <c r="R240">
        <v>4783.3112600000004</v>
      </c>
      <c r="S240">
        <v>4809.9000299999998</v>
      </c>
      <c r="V240">
        <v>4719.0081899999996</v>
      </c>
      <c r="W240">
        <v>4685.44319</v>
      </c>
      <c r="AB240">
        <v>4789.02178</v>
      </c>
      <c r="AC240">
        <v>4790.10851</v>
      </c>
      <c r="AD240">
        <v>0</v>
      </c>
      <c r="AE240">
        <f t="shared" si="32"/>
        <v>238</v>
      </c>
      <c r="AF240">
        <f t="shared" si="33"/>
        <v>237</v>
      </c>
      <c r="AG240">
        <f t="shared" si="27"/>
        <v>33.632039999999506</v>
      </c>
      <c r="AH240">
        <f t="shared" si="28"/>
        <v>1131.1141145615668</v>
      </c>
      <c r="AI240">
        <f t="shared" si="29"/>
        <v>0.8751353301047694</v>
      </c>
      <c r="AJ240">
        <f t="shared" si="30"/>
        <v>0.83707998169643438</v>
      </c>
      <c r="AK240">
        <f t="shared" si="31"/>
        <v>56169</v>
      </c>
      <c r="AL240">
        <f t="shared" si="34"/>
        <v>4827.0749100000003</v>
      </c>
      <c r="AM240" t="str">
        <f t="shared" si="35"/>
        <v/>
      </c>
    </row>
    <row r="241" spans="1:39" x14ac:dyDescent="0.55000000000000004">
      <c r="A241">
        <v>1776749402</v>
      </c>
      <c r="B241" t="s">
        <v>72</v>
      </c>
      <c r="C241" t="s">
        <v>73</v>
      </c>
      <c r="D241">
        <v>4796.37</v>
      </c>
      <c r="E241">
        <v>4518.5928199999998</v>
      </c>
      <c r="F241">
        <v>4596.0559499999999</v>
      </c>
      <c r="G241">
        <v>4755.40355</v>
      </c>
      <c r="H241">
        <v>4792.7697200000002</v>
      </c>
      <c r="Q241">
        <v>4753.6803499999996</v>
      </c>
      <c r="R241">
        <v>4783.0436499999996</v>
      </c>
      <c r="S241">
        <v>4809.6324199999999</v>
      </c>
      <c r="V241">
        <v>4718.7405799999997</v>
      </c>
      <c r="W241">
        <v>4685.1755899999998</v>
      </c>
      <c r="AB241">
        <v>4787.7137199999997</v>
      </c>
      <c r="AC241">
        <v>4788.9111199999998</v>
      </c>
      <c r="AD241">
        <v>0</v>
      </c>
      <c r="AE241">
        <f t="shared" si="32"/>
        <v>239</v>
      </c>
      <c r="AF241">
        <f t="shared" si="33"/>
        <v>238</v>
      </c>
      <c r="AG241">
        <f t="shared" si="27"/>
        <v>42.689650000000256</v>
      </c>
      <c r="AH241">
        <f t="shared" si="28"/>
        <v>1822.4062171225219</v>
      </c>
      <c r="AI241">
        <f t="shared" si="29"/>
        <v>1.7897128939845566</v>
      </c>
      <c r="AJ241">
        <f t="shared" si="30"/>
        <v>2.1729237626764308</v>
      </c>
      <c r="AK241">
        <f t="shared" si="31"/>
        <v>56644</v>
      </c>
      <c r="AL241">
        <f t="shared" si="34"/>
        <v>4827.0749100000003</v>
      </c>
      <c r="AM241" t="str">
        <f t="shared" si="35"/>
        <v/>
      </c>
    </row>
    <row r="242" spans="1:39" x14ac:dyDescent="0.55000000000000004">
      <c r="A242">
        <v>1776750302</v>
      </c>
      <c r="B242" t="s">
        <v>72</v>
      </c>
      <c r="C242" t="s">
        <v>73</v>
      </c>
      <c r="D242">
        <v>4784.33</v>
      </c>
      <c r="E242">
        <v>4518.5928199999998</v>
      </c>
      <c r="F242">
        <v>4596.0559499999999</v>
      </c>
      <c r="G242">
        <v>4755.40355</v>
      </c>
      <c r="H242">
        <v>4792.7697200000002</v>
      </c>
      <c r="Q242">
        <v>4753.4127500000004</v>
      </c>
      <c r="R242">
        <v>4782.7760500000004</v>
      </c>
      <c r="S242">
        <v>4809.3648199999998</v>
      </c>
      <c r="V242">
        <v>4718.4729799999996</v>
      </c>
      <c r="W242">
        <v>4684.90798</v>
      </c>
      <c r="AB242">
        <v>4785.9914699999999</v>
      </c>
      <c r="AC242">
        <v>4787.45129</v>
      </c>
      <c r="AD242">
        <v>0</v>
      </c>
      <c r="AE242">
        <f t="shared" si="32"/>
        <v>240</v>
      </c>
      <c r="AF242">
        <f t="shared" si="33"/>
        <v>239</v>
      </c>
      <c r="AG242">
        <f t="shared" si="27"/>
        <v>30.917249999999513</v>
      </c>
      <c r="AH242">
        <f t="shared" si="28"/>
        <v>955.87634756246985</v>
      </c>
      <c r="AI242">
        <f t="shared" si="29"/>
        <v>0.67985791442443311</v>
      </c>
      <c r="AJ242">
        <f t="shared" si="30"/>
        <v>0.59780224759548373</v>
      </c>
      <c r="AK242">
        <f t="shared" si="31"/>
        <v>57121</v>
      </c>
      <c r="AL242">
        <f t="shared" si="34"/>
        <v>4827.0749100000003</v>
      </c>
      <c r="AM242" t="str">
        <f t="shared" si="35"/>
        <v/>
      </c>
    </row>
    <row r="243" spans="1:39" x14ac:dyDescent="0.55000000000000004">
      <c r="A243">
        <v>1776751202</v>
      </c>
      <c r="B243" t="s">
        <v>72</v>
      </c>
      <c r="C243" t="s">
        <v>73</v>
      </c>
      <c r="D243">
        <v>4785.01</v>
      </c>
      <c r="E243">
        <v>4518.5928199999998</v>
      </c>
      <c r="F243">
        <v>4596.0559499999999</v>
      </c>
      <c r="G243">
        <v>4755.40355</v>
      </c>
      <c r="H243">
        <v>4792.7697200000002</v>
      </c>
      <c r="Q243">
        <v>4753.1451500000003</v>
      </c>
      <c r="R243">
        <v>4782.5084399999996</v>
      </c>
      <c r="S243">
        <v>4809.0972199999997</v>
      </c>
      <c r="V243">
        <v>4718.2053800000003</v>
      </c>
      <c r="W243">
        <v>4684.6403799999998</v>
      </c>
      <c r="AB243">
        <v>4784.2611900000002</v>
      </c>
      <c r="AC243">
        <v>4785.8562400000001</v>
      </c>
      <c r="AD243">
        <v>0</v>
      </c>
      <c r="AE243">
        <f t="shared" si="32"/>
        <v>241</v>
      </c>
      <c r="AF243">
        <f t="shared" si="33"/>
        <v>240</v>
      </c>
      <c r="AG243">
        <f t="shared" si="27"/>
        <v>31.864849999999933</v>
      </c>
      <c r="AH243">
        <f t="shared" si="28"/>
        <v>1015.3686655224957</v>
      </c>
      <c r="AI243">
        <f t="shared" si="29"/>
        <v>0.74430548557496612</v>
      </c>
      <c r="AJ243">
        <f t="shared" si="30"/>
        <v>0.67453055371646153</v>
      </c>
      <c r="AK243">
        <f t="shared" si="31"/>
        <v>57600</v>
      </c>
      <c r="AL243">
        <f t="shared" si="34"/>
        <v>4827.0749100000003</v>
      </c>
      <c r="AM243" t="str">
        <f t="shared" si="35"/>
        <v/>
      </c>
    </row>
    <row r="244" spans="1:39" x14ac:dyDescent="0.55000000000000004">
      <c r="A244">
        <v>1776752102</v>
      </c>
      <c r="B244" t="s">
        <v>72</v>
      </c>
      <c r="C244" t="s">
        <v>73</v>
      </c>
      <c r="D244">
        <v>4778.93</v>
      </c>
      <c r="E244">
        <v>4518.5928199999998</v>
      </c>
      <c r="F244">
        <v>4596.0559499999999</v>
      </c>
      <c r="G244">
        <v>4755.40355</v>
      </c>
      <c r="H244">
        <v>4792.7697200000002</v>
      </c>
      <c r="Q244">
        <v>4752.8775400000004</v>
      </c>
      <c r="R244">
        <v>4782.2408400000004</v>
      </c>
      <c r="S244">
        <v>4808.8296099999998</v>
      </c>
      <c r="V244">
        <v>4717.9377699999995</v>
      </c>
      <c r="W244">
        <v>4684.3727699999999</v>
      </c>
      <c r="AB244">
        <v>4782.6491599999999</v>
      </c>
      <c r="AC244">
        <v>4784.2527</v>
      </c>
      <c r="AD244">
        <v>0</v>
      </c>
      <c r="AE244">
        <f t="shared" si="32"/>
        <v>242</v>
      </c>
      <c r="AF244">
        <f t="shared" si="33"/>
        <v>241</v>
      </c>
      <c r="AG244">
        <f t="shared" si="27"/>
        <v>26.052459999999883</v>
      </c>
      <c r="AH244">
        <f t="shared" si="28"/>
        <v>678.73067205159384</v>
      </c>
      <c r="AI244">
        <f t="shared" si="29"/>
        <v>0.40678206607018513</v>
      </c>
      <c r="AJ244">
        <f t="shared" si="30"/>
        <v>0.30140403615061551</v>
      </c>
      <c r="AK244">
        <f t="shared" si="31"/>
        <v>58081</v>
      </c>
      <c r="AL244">
        <f t="shared" si="34"/>
        <v>4827.0749100000003</v>
      </c>
      <c r="AM244" t="str">
        <f t="shared" si="35"/>
        <v/>
      </c>
    </row>
    <row r="245" spans="1:39" x14ac:dyDescent="0.55000000000000004">
      <c r="A245">
        <v>1776753002</v>
      </c>
      <c r="B245" t="s">
        <v>72</v>
      </c>
      <c r="C245" t="s">
        <v>73</v>
      </c>
      <c r="D245">
        <v>4780.6000000000004</v>
      </c>
      <c r="E245">
        <v>4518.5928199999998</v>
      </c>
      <c r="F245">
        <v>4596.0559499999999</v>
      </c>
      <c r="G245">
        <v>4755.40355</v>
      </c>
      <c r="H245">
        <v>4792.7697200000002</v>
      </c>
      <c r="Q245">
        <v>4752.6099400000003</v>
      </c>
      <c r="R245">
        <v>4781.9732400000003</v>
      </c>
      <c r="S245">
        <v>4808.5620099999996</v>
      </c>
      <c r="V245">
        <v>4717.6701700000003</v>
      </c>
      <c r="W245">
        <v>4684.1051699999998</v>
      </c>
      <c r="AB245">
        <v>4781.5401400000001</v>
      </c>
      <c r="AC245">
        <v>4782.89642</v>
      </c>
      <c r="AD245">
        <v>0</v>
      </c>
      <c r="AE245">
        <f t="shared" si="32"/>
        <v>243</v>
      </c>
      <c r="AF245">
        <f t="shared" si="33"/>
        <v>242</v>
      </c>
      <c r="AG245">
        <f t="shared" si="27"/>
        <v>27.990060000000085</v>
      </c>
      <c r="AH245">
        <f t="shared" si="28"/>
        <v>783.44345880360481</v>
      </c>
      <c r="AI245">
        <f t="shared" si="29"/>
        <v>0.50446039170262058</v>
      </c>
      <c r="AJ245">
        <f t="shared" si="30"/>
        <v>0.40157755422776797</v>
      </c>
      <c r="AK245">
        <f t="shared" si="31"/>
        <v>58564</v>
      </c>
      <c r="AL245">
        <f t="shared" si="34"/>
        <v>4827.0749100000003</v>
      </c>
      <c r="AM245" t="str">
        <f t="shared" si="35"/>
        <v/>
      </c>
    </row>
    <row r="246" spans="1:39" x14ac:dyDescent="0.55000000000000004">
      <c r="A246">
        <v>1776753902</v>
      </c>
      <c r="B246" t="s">
        <v>72</v>
      </c>
      <c r="C246" t="s">
        <v>73</v>
      </c>
      <c r="D246">
        <v>4778.7299999999996</v>
      </c>
      <c r="E246">
        <v>4518.5928199999998</v>
      </c>
      <c r="F246">
        <v>4596.0559499999999</v>
      </c>
      <c r="G246">
        <v>4755.40355</v>
      </c>
      <c r="H246">
        <v>4792.7697200000002</v>
      </c>
      <c r="Q246">
        <v>4752.3423300000004</v>
      </c>
      <c r="R246">
        <v>4781.7056300000004</v>
      </c>
      <c r="S246">
        <v>4808.2943999999998</v>
      </c>
      <c r="V246">
        <v>4717.4025600000004</v>
      </c>
      <c r="W246">
        <v>4683.8375699999997</v>
      </c>
      <c r="AB246">
        <v>4781.0447899999999</v>
      </c>
      <c r="AC246">
        <v>4781.9706100000003</v>
      </c>
      <c r="AD246">
        <v>0</v>
      </c>
      <c r="AE246">
        <f t="shared" si="32"/>
        <v>244</v>
      </c>
      <c r="AF246">
        <f t="shared" si="33"/>
        <v>243</v>
      </c>
      <c r="AG246">
        <f t="shared" si="27"/>
        <v>26.387669999999162</v>
      </c>
      <c r="AH246">
        <f t="shared" si="28"/>
        <v>696.30912802885575</v>
      </c>
      <c r="AI246">
        <f t="shared" si="29"/>
        <v>0.42268683076884911</v>
      </c>
      <c r="AJ246">
        <f t="shared" si="30"/>
        <v>0.31721834103061086</v>
      </c>
      <c r="AK246">
        <f t="shared" si="31"/>
        <v>59049</v>
      </c>
      <c r="AL246">
        <f t="shared" si="34"/>
        <v>4827.0749100000003</v>
      </c>
      <c r="AM246" t="str">
        <f t="shared" si="35"/>
        <v/>
      </c>
    </row>
    <row r="247" spans="1:39" x14ac:dyDescent="0.55000000000000004">
      <c r="A247">
        <v>1776754802</v>
      </c>
      <c r="B247" t="s">
        <v>72</v>
      </c>
      <c r="C247" t="s">
        <v>73</v>
      </c>
      <c r="D247">
        <v>4782.82</v>
      </c>
      <c r="E247">
        <v>4518.5928199999998</v>
      </c>
      <c r="F247">
        <v>4596.0559499999999</v>
      </c>
      <c r="G247">
        <v>4755.40355</v>
      </c>
      <c r="H247">
        <v>4792.7697200000002</v>
      </c>
      <c r="Q247">
        <v>4752.0747300000003</v>
      </c>
      <c r="R247">
        <v>4781.4380300000003</v>
      </c>
      <c r="S247">
        <v>4808.0267999999996</v>
      </c>
      <c r="V247">
        <v>4717.1349600000003</v>
      </c>
      <c r="W247">
        <v>4683.5699599999998</v>
      </c>
      <c r="AA247">
        <v>4772.78</v>
      </c>
      <c r="AB247">
        <v>4781.27052</v>
      </c>
      <c r="AC247">
        <v>4781.6205600000003</v>
      </c>
      <c r="AD247">
        <v>0</v>
      </c>
      <c r="AE247">
        <f t="shared" si="32"/>
        <v>245</v>
      </c>
      <c r="AF247">
        <f t="shared" si="33"/>
        <v>244</v>
      </c>
      <c r="AG247">
        <f t="shared" si="27"/>
        <v>30.745269999999437</v>
      </c>
      <c r="AH247">
        <f t="shared" si="28"/>
        <v>945.2716273728654</v>
      </c>
      <c r="AI247">
        <f t="shared" si="29"/>
        <v>0.66857559328629024</v>
      </c>
      <c r="AJ247">
        <f t="shared" si="30"/>
        <v>0.58461150493048342</v>
      </c>
      <c r="AK247">
        <f t="shared" si="31"/>
        <v>59536</v>
      </c>
      <c r="AL247">
        <f t="shared" si="34"/>
        <v>4827.0749100000003</v>
      </c>
      <c r="AM247" t="str">
        <f t="shared" si="35"/>
        <v/>
      </c>
    </row>
    <row r="248" spans="1:39" x14ac:dyDescent="0.55000000000000004">
      <c r="A248">
        <v>1776755702</v>
      </c>
      <c r="B248" t="s">
        <v>72</v>
      </c>
      <c r="C248" t="s">
        <v>73</v>
      </c>
      <c r="D248">
        <v>4783.3500000000004</v>
      </c>
      <c r="E248">
        <v>4518.5928199999998</v>
      </c>
      <c r="F248">
        <v>4596.0559499999999</v>
      </c>
      <c r="G248">
        <v>4755.40355</v>
      </c>
      <c r="H248">
        <v>4792.7697200000002</v>
      </c>
      <c r="Q248">
        <v>4751.8071200000004</v>
      </c>
      <c r="R248">
        <v>4781.1704200000004</v>
      </c>
      <c r="S248">
        <v>4807.7591899999998</v>
      </c>
      <c r="V248">
        <v>4716.8673500000004</v>
      </c>
      <c r="W248">
        <v>4683.3023599999997</v>
      </c>
      <c r="AB248">
        <v>4782.0763100000004</v>
      </c>
      <c r="AC248">
        <v>4781.8484399999998</v>
      </c>
      <c r="AD248">
        <v>1</v>
      </c>
      <c r="AE248">
        <f t="shared" si="32"/>
        <v>246</v>
      </c>
      <c r="AF248">
        <f t="shared" si="33"/>
        <v>245</v>
      </c>
      <c r="AG248">
        <f t="shared" si="27"/>
        <v>31.542879999999968</v>
      </c>
      <c r="AH248">
        <f t="shared" si="28"/>
        <v>994.95327869439802</v>
      </c>
      <c r="AI248">
        <f t="shared" si="29"/>
        <v>0.72197077137888188</v>
      </c>
      <c r="AJ248">
        <f t="shared" si="30"/>
        <v>0.64767851038854407</v>
      </c>
      <c r="AK248">
        <f t="shared" si="31"/>
        <v>60025</v>
      </c>
      <c r="AL248">
        <f t="shared" si="34"/>
        <v>4782.0763100000004</v>
      </c>
      <c r="AM248">
        <f t="shared" si="35"/>
        <v>44.998599999999897</v>
      </c>
    </row>
    <row r="249" spans="1:39" x14ac:dyDescent="0.55000000000000004">
      <c r="A249">
        <v>1776756602</v>
      </c>
      <c r="B249" t="s">
        <v>72</v>
      </c>
      <c r="C249" t="s">
        <v>73</v>
      </c>
      <c r="D249">
        <v>4786.75</v>
      </c>
      <c r="E249">
        <v>4518.5928199999998</v>
      </c>
      <c r="F249">
        <v>4596.0559499999999</v>
      </c>
      <c r="G249">
        <v>4755.40355</v>
      </c>
      <c r="H249">
        <v>4792.7697200000002</v>
      </c>
      <c r="Q249">
        <v>4751.5395200000003</v>
      </c>
      <c r="R249">
        <v>4780.9028200000002</v>
      </c>
      <c r="S249">
        <v>4807.4915899999996</v>
      </c>
      <c r="V249">
        <v>4716.5997500000003</v>
      </c>
      <c r="W249">
        <v>4683.0347499999998</v>
      </c>
      <c r="AB249">
        <v>4783.2538100000002</v>
      </c>
      <c r="AC249">
        <v>4782.5511200000001</v>
      </c>
      <c r="AD249">
        <v>0</v>
      </c>
      <c r="AE249">
        <f t="shared" si="32"/>
        <v>247</v>
      </c>
      <c r="AF249">
        <f t="shared" si="33"/>
        <v>246</v>
      </c>
      <c r="AG249">
        <f t="shared" si="27"/>
        <v>35.210479999999734</v>
      </c>
      <c r="AH249">
        <f t="shared" si="28"/>
        <v>1239.7779018303813</v>
      </c>
      <c r="AI249">
        <f t="shared" si="29"/>
        <v>1.0042259070445843</v>
      </c>
      <c r="AJ249">
        <f t="shared" si="30"/>
        <v>1.0056385075148375</v>
      </c>
      <c r="AK249">
        <f t="shared" si="31"/>
        <v>60516</v>
      </c>
      <c r="AL249">
        <f t="shared" si="34"/>
        <v>4782.0763100000004</v>
      </c>
      <c r="AM249" t="str">
        <f t="shared" si="35"/>
        <v/>
      </c>
    </row>
    <row r="250" spans="1:39" x14ac:dyDescent="0.55000000000000004">
      <c r="A250">
        <v>1776757502</v>
      </c>
      <c r="B250" t="s">
        <v>72</v>
      </c>
      <c r="C250" t="s">
        <v>73</v>
      </c>
      <c r="D250">
        <v>4785.87</v>
      </c>
      <c r="E250">
        <v>4518.5928199999998</v>
      </c>
      <c r="F250">
        <v>4596.0559499999999</v>
      </c>
      <c r="G250">
        <v>4755.40355</v>
      </c>
      <c r="H250">
        <v>4792.7697200000002</v>
      </c>
      <c r="Q250">
        <v>4751.2719200000001</v>
      </c>
      <c r="R250">
        <v>4780.6352200000001</v>
      </c>
      <c r="S250">
        <v>4807.2239900000004</v>
      </c>
      <c r="V250">
        <v>4716.3321500000002</v>
      </c>
      <c r="W250">
        <v>4682.7671499999997</v>
      </c>
      <c r="AB250">
        <v>4784.4123900000004</v>
      </c>
      <c r="AC250">
        <v>4783.4817599999997</v>
      </c>
      <c r="AD250">
        <v>0</v>
      </c>
      <c r="AE250">
        <f t="shared" si="32"/>
        <v>248</v>
      </c>
      <c r="AF250">
        <f t="shared" si="33"/>
        <v>247</v>
      </c>
      <c r="AG250">
        <f t="shared" si="27"/>
        <v>34.598079999999754</v>
      </c>
      <c r="AH250">
        <f t="shared" si="28"/>
        <v>1197.027139686383</v>
      </c>
      <c r="AI250">
        <f t="shared" si="29"/>
        <v>0.95273381586182371</v>
      </c>
      <c r="AJ250">
        <f t="shared" si="30"/>
        <v>0.93748020610648664</v>
      </c>
      <c r="AK250">
        <f t="shared" si="31"/>
        <v>61009</v>
      </c>
      <c r="AL250">
        <f t="shared" si="34"/>
        <v>4782.0763100000004</v>
      </c>
      <c r="AM250" t="str">
        <f t="shared" si="35"/>
        <v/>
      </c>
    </row>
    <row r="251" spans="1:39" x14ac:dyDescent="0.55000000000000004">
      <c r="A251">
        <v>1776758402</v>
      </c>
      <c r="B251" t="s">
        <v>72</v>
      </c>
      <c r="C251" t="s">
        <v>73</v>
      </c>
      <c r="D251">
        <v>4776.03</v>
      </c>
      <c r="E251">
        <v>4518.5928199999998</v>
      </c>
      <c r="F251">
        <v>4596.0559499999999</v>
      </c>
      <c r="G251">
        <v>4755.40355</v>
      </c>
      <c r="H251">
        <v>4792.7697200000002</v>
      </c>
      <c r="Q251">
        <v>4751.0043100000003</v>
      </c>
      <c r="R251">
        <v>4780.3676100000002</v>
      </c>
      <c r="S251">
        <v>4806.9563799999996</v>
      </c>
      <c r="V251">
        <v>4716.0645400000003</v>
      </c>
      <c r="W251">
        <v>4682.4995500000005</v>
      </c>
      <c r="AB251">
        <v>4785.3476099999998</v>
      </c>
      <c r="AC251">
        <v>4784.4146799999999</v>
      </c>
      <c r="AD251">
        <v>0</v>
      </c>
      <c r="AE251">
        <f t="shared" si="32"/>
        <v>249</v>
      </c>
      <c r="AF251">
        <f t="shared" si="33"/>
        <v>248</v>
      </c>
      <c r="AG251">
        <f t="shared" si="27"/>
        <v>25.025689999999486</v>
      </c>
      <c r="AH251">
        <f t="shared" si="28"/>
        <v>626.28515997607428</v>
      </c>
      <c r="AI251">
        <f t="shared" si="29"/>
        <v>0.36055686264670306</v>
      </c>
      <c r="AJ251">
        <f t="shared" si="30"/>
        <v>0.25662464098523585</v>
      </c>
      <c r="AK251">
        <f t="shared" si="31"/>
        <v>61504</v>
      </c>
      <c r="AL251">
        <f t="shared" si="34"/>
        <v>4782.0763100000004</v>
      </c>
      <c r="AM251" t="str">
        <f t="shared" si="35"/>
        <v/>
      </c>
    </row>
    <row r="252" spans="1:39" x14ac:dyDescent="0.55000000000000004">
      <c r="A252">
        <v>1776759302</v>
      </c>
      <c r="B252" t="s">
        <v>72</v>
      </c>
      <c r="C252" t="s">
        <v>73</v>
      </c>
      <c r="D252">
        <v>4787.2</v>
      </c>
      <c r="E252">
        <v>4518.5928199999998</v>
      </c>
      <c r="F252">
        <v>4596.0559499999999</v>
      </c>
      <c r="G252">
        <v>4755.40355</v>
      </c>
      <c r="H252">
        <v>4792.7697200000002</v>
      </c>
      <c r="Q252">
        <v>4750.7367100000001</v>
      </c>
      <c r="R252">
        <v>4780.1000100000001</v>
      </c>
      <c r="S252">
        <v>4806.6887800000004</v>
      </c>
      <c r="V252">
        <v>4715.7969400000002</v>
      </c>
      <c r="W252">
        <v>4682.2319399999997</v>
      </c>
      <c r="AB252">
        <v>4786.1254099999996</v>
      </c>
      <c r="AC252">
        <v>4785.2700500000001</v>
      </c>
      <c r="AD252">
        <v>0</v>
      </c>
      <c r="AE252">
        <f t="shared" si="32"/>
        <v>250</v>
      </c>
      <c r="AF252">
        <f t="shared" si="33"/>
        <v>249</v>
      </c>
      <c r="AG252">
        <f t="shared" si="27"/>
        <v>36.463289999999688</v>
      </c>
      <c r="AH252">
        <f t="shared" si="28"/>
        <v>1329.5715176240772</v>
      </c>
      <c r="AI252">
        <f t="shared" si="29"/>
        <v>1.1152780092068546</v>
      </c>
      <c r="AJ252">
        <f t="shared" si="30"/>
        <v>1.1565849016696876</v>
      </c>
      <c r="AK252">
        <f t="shared" si="31"/>
        <v>62001</v>
      </c>
      <c r="AL252">
        <f t="shared" si="34"/>
        <v>4782.0763100000004</v>
      </c>
      <c r="AM252" t="str">
        <f t="shared" si="35"/>
        <v/>
      </c>
    </row>
    <row r="253" spans="1:39" x14ac:dyDescent="0.55000000000000004">
      <c r="A253">
        <v>1776760202</v>
      </c>
      <c r="B253" t="s">
        <v>72</v>
      </c>
      <c r="C253" t="s">
        <v>73</v>
      </c>
      <c r="D253">
        <v>4791.78</v>
      </c>
      <c r="E253">
        <v>4518.5928199999998</v>
      </c>
      <c r="F253">
        <v>4596.0559499999999</v>
      </c>
      <c r="G253">
        <v>4755.40355</v>
      </c>
      <c r="H253">
        <v>4792.7697200000002</v>
      </c>
      <c r="Q253">
        <v>4750.4691000000003</v>
      </c>
      <c r="R253">
        <v>4779.8324000000002</v>
      </c>
      <c r="S253">
        <v>4806.4211699999996</v>
      </c>
      <c r="V253">
        <v>4715.5293300000003</v>
      </c>
      <c r="W253">
        <v>4681.9643400000004</v>
      </c>
      <c r="AB253">
        <v>4786.33799</v>
      </c>
      <c r="AC253">
        <v>4785.8040199999996</v>
      </c>
      <c r="AD253">
        <v>0</v>
      </c>
      <c r="AE253">
        <f t="shared" si="32"/>
        <v>251</v>
      </c>
      <c r="AF253">
        <f t="shared" si="33"/>
        <v>250</v>
      </c>
      <c r="AG253">
        <f t="shared" si="27"/>
        <v>41.310899999999492</v>
      </c>
      <c r="AH253">
        <f t="shared" si="28"/>
        <v>1706.5904588099581</v>
      </c>
      <c r="AI253">
        <f t="shared" si="29"/>
        <v>1.6218457771579697</v>
      </c>
      <c r="AJ253">
        <f t="shared" si="30"/>
        <v>1.9055166116463922</v>
      </c>
      <c r="AK253">
        <f t="shared" si="31"/>
        <v>62500</v>
      </c>
      <c r="AL253">
        <f t="shared" si="34"/>
        <v>4782.0763100000004</v>
      </c>
      <c r="AM253" t="str">
        <f t="shared" si="35"/>
        <v/>
      </c>
    </row>
    <row r="254" spans="1:39" x14ac:dyDescent="0.55000000000000004">
      <c r="A254">
        <v>1776761102</v>
      </c>
      <c r="B254" t="s">
        <v>72</v>
      </c>
      <c r="C254" t="s">
        <v>73</v>
      </c>
      <c r="D254">
        <v>4786.04</v>
      </c>
      <c r="E254">
        <v>4518.5928199999998</v>
      </c>
      <c r="F254">
        <v>4596.0559499999999</v>
      </c>
      <c r="G254">
        <v>4755.40355</v>
      </c>
      <c r="H254">
        <v>4792.7697200000002</v>
      </c>
      <c r="Q254">
        <v>4750.2015000000001</v>
      </c>
      <c r="R254">
        <v>4779.5648000000001</v>
      </c>
      <c r="S254">
        <v>4806.1535700000004</v>
      </c>
      <c r="V254">
        <v>4715.2617300000002</v>
      </c>
      <c r="W254">
        <v>4681.6967299999997</v>
      </c>
      <c r="AB254">
        <v>4785.9194100000004</v>
      </c>
      <c r="AC254">
        <v>4785.8617100000001</v>
      </c>
      <c r="AD254">
        <v>0</v>
      </c>
      <c r="AE254">
        <f t="shared" si="32"/>
        <v>252</v>
      </c>
      <c r="AF254">
        <f t="shared" si="33"/>
        <v>251</v>
      </c>
      <c r="AG254">
        <f t="shared" si="27"/>
        <v>35.83849999999984</v>
      </c>
      <c r="AH254">
        <f t="shared" si="28"/>
        <v>1284.3980822499884</v>
      </c>
      <c r="AI254">
        <f t="shared" si="29"/>
        <v>1.0589246477557785</v>
      </c>
      <c r="AJ254">
        <f t="shared" si="30"/>
        <v>1.0793279150904138</v>
      </c>
      <c r="AK254">
        <f t="shared" si="31"/>
        <v>63001</v>
      </c>
      <c r="AL254">
        <f t="shared" si="34"/>
        <v>4782.0763100000004</v>
      </c>
      <c r="AM254" t="str">
        <f t="shared" si="35"/>
        <v/>
      </c>
    </row>
    <row r="255" spans="1:39" x14ac:dyDescent="0.55000000000000004">
      <c r="A255">
        <v>1776762002</v>
      </c>
      <c r="B255" t="s">
        <v>72</v>
      </c>
      <c r="C255" t="s">
        <v>73</v>
      </c>
      <c r="D255">
        <v>4784.2</v>
      </c>
      <c r="E255">
        <v>4518.5928199999998</v>
      </c>
      <c r="F255">
        <v>4596.0559499999999</v>
      </c>
      <c r="G255">
        <v>4755.40355</v>
      </c>
      <c r="H255">
        <v>4792.7697200000002</v>
      </c>
      <c r="Q255">
        <v>4749.9339</v>
      </c>
      <c r="R255">
        <v>4779.2972</v>
      </c>
      <c r="S255">
        <v>4805.8859700000003</v>
      </c>
      <c r="V255">
        <v>4714.99413</v>
      </c>
      <c r="W255">
        <v>4681.4291300000004</v>
      </c>
      <c r="AB255">
        <v>4785.1928600000001</v>
      </c>
      <c r="AC255">
        <v>4785.5272800000002</v>
      </c>
      <c r="AD255">
        <v>1</v>
      </c>
      <c r="AE255">
        <f t="shared" si="32"/>
        <v>253</v>
      </c>
      <c r="AF255">
        <f t="shared" si="33"/>
        <v>252</v>
      </c>
      <c r="AG255">
        <f t="shared" si="27"/>
        <v>34.266099999999824</v>
      </c>
      <c r="AH255">
        <f t="shared" si="28"/>
        <v>1174.1656092099879</v>
      </c>
      <c r="AI255">
        <f t="shared" si="29"/>
        <v>0.92557074329947564</v>
      </c>
      <c r="AJ255">
        <f t="shared" si="30"/>
        <v>0.90201305771675266</v>
      </c>
      <c r="AK255">
        <f t="shared" si="31"/>
        <v>63504</v>
      </c>
      <c r="AL255">
        <f t="shared" si="34"/>
        <v>4785.1928600000001</v>
      </c>
      <c r="AM255">
        <f t="shared" si="35"/>
        <v>3.1165499999997337</v>
      </c>
    </row>
    <row r="256" spans="1:39" x14ac:dyDescent="0.55000000000000004">
      <c r="A256">
        <v>1776762902</v>
      </c>
      <c r="B256" t="s">
        <v>72</v>
      </c>
      <c r="C256" t="s">
        <v>73</v>
      </c>
      <c r="D256">
        <v>4782.1400000000003</v>
      </c>
      <c r="E256">
        <v>4518.5928199999998</v>
      </c>
      <c r="F256">
        <v>4596.0559499999999</v>
      </c>
      <c r="G256">
        <v>4755.40355</v>
      </c>
      <c r="H256">
        <v>4792.7697200000002</v>
      </c>
      <c r="Q256">
        <v>4749.6662900000001</v>
      </c>
      <c r="R256">
        <v>4779.0295900000001</v>
      </c>
      <c r="S256">
        <v>4805.6183600000004</v>
      </c>
      <c r="V256">
        <v>4714.7265200000002</v>
      </c>
      <c r="W256">
        <v>4681.1615300000003</v>
      </c>
      <c r="AB256">
        <v>4784.4454599999999</v>
      </c>
      <c r="AC256">
        <v>4784.9863699999996</v>
      </c>
      <c r="AD256">
        <v>0</v>
      </c>
      <c r="AE256">
        <f t="shared" si="32"/>
        <v>254</v>
      </c>
      <c r="AF256">
        <f t="shared" si="33"/>
        <v>253</v>
      </c>
      <c r="AG256">
        <f t="shared" si="27"/>
        <v>32.47371000000021</v>
      </c>
      <c r="AH256">
        <f t="shared" si="28"/>
        <v>1054.5418411641137</v>
      </c>
      <c r="AI256">
        <f t="shared" si="29"/>
        <v>0.78779153232880805</v>
      </c>
      <c r="AJ256">
        <f t="shared" si="30"/>
        <v>0.72758166204017949</v>
      </c>
      <c r="AK256">
        <f t="shared" si="31"/>
        <v>64009</v>
      </c>
      <c r="AL256">
        <f t="shared" si="34"/>
        <v>4785.1928600000001</v>
      </c>
      <c r="AM256" t="str">
        <f t="shared" si="35"/>
        <v/>
      </c>
    </row>
    <row r="257" spans="1:39" x14ac:dyDescent="0.55000000000000004">
      <c r="A257">
        <v>1776763802</v>
      </c>
      <c r="B257" t="s">
        <v>72</v>
      </c>
      <c r="C257" t="s">
        <v>73</v>
      </c>
      <c r="D257">
        <v>4787.2</v>
      </c>
      <c r="E257">
        <v>4518.5928199999998</v>
      </c>
      <c r="F257">
        <v>4596.0559499999999</v>
      </c>
      <c r="G257">
        <v>4755.40355</v>
      </c>
      <c r="H257">
        <v>4792.7697200000002</v>
      </c>
      <c r="Q257">
        <v>4749.39869</v>
      </c>
      <c r="R257">
        <v>4778.76199</v>
      </c>
      <c r="S257">
        <v>4805.3507600000003</v>
      </c>
      <c r="V257">
        <v>4714.45892</v>
      </c>
      <c r="W257">
        <v>4680.8939200000004</v>
      </c>
      <c r="AB257">
        <v>4783.9782299999997</v>
      </c>
      <c r="AC257">
        <v>4784.4822999999997</v>
      </c>
      <c r="AD257">
        <v>0</v>
      </c>
      <c r="AE257">
        <f t="shared" si="32"/>
        <v>255</v>
      </c>
      <c r="AF257">
        <f t="shared" si="33"/>
        <v>254</v>
      </c>
      <c r="AG257">
        <f t="shared" si="27"/>
        <v>37.80130999999983</v>
      </c>
      <c r="AH257">
        <f t="shared" si="28"/>
        <v>1428.9390377160871</v>
      </c>
      <c r="AI257">
        <f t="shared" si="29"/>
        <v>1.2426136959666623</v>
      </c>
      <c r="AJ257">
        <f t="shared" si="30"/>
        <v>1.3359232699779477</v>
      </c>
      <c r="AK257">
        <f t="shared" si="31"/>
        <v>64516</v>
      </c>
      <c r="AL257">
        <f t="shared" si="34"/>
        <v>4785.1928600000001</v>
      </c>
      <c r="AM257" t="str">
        <f t="shared" si="35"/>
        <v/>
      </c>
    </row>
    <row r="258" spans="1:39" x14ac:dyDescent="0.55000000000000004">
      <c r="A258">
        <v>1776764702</v>
      </c>
      <c r="B258" t="s">
        <v>72</v>
      </c>
      <c r="C258" t="s">
        <v>73</v>
      </c>
      <c r="D258">
        <v>4783.8</v>
      </c>
      <c r="E258">
        <v>4518.5928199999998</v>
      </c>
      <c r="F258">
        <v>4596.0559499999999</v>
      </c>
      <c r="G258">
        <v>4755.40355</v>
      </c>
      <c r="H258">
        <v>4792.7697200000002</v>
      </c>
      <c r="Q258">
        <v>4749.1310800000001</v>
      </c>
      <c r="R258">
        <v>4778.4943800000001</v>
      </c>
      <c r="S258">
        <v>4805.0831500000004</v>
      </c>
      <c r="V258">
        <v>4714.1913100000002</v>
      </c>
      <c r="W258">
        <v>4680.6263200000003</v>
      </c>
      <c r="AB258">
        <v>4783.8195400000004</v>
      </c>
      <c r="AC258">
        <v>4784.15092</v>
      </c>
      <c r="AD258">
        <v>0</v>
      </c>
      <c r="AE258">
        <f t="shared" si="32"/>
        <v>256</v>
      </c>
      <c r="AF258">
        <f t="shared" si="33"/>
        <v>255</v>
      </c>
      <c r="AG258">
        <f t="shared" si="27"/>
        <v>34.668920000000071</v>
      </c>
      <c r="AH258">
        <f t="shared" si="28"/>
        <v>1201.934013966405</v>
      </c>
      <c r="AI258">
        <f t="shared" si="29"/>
        <v>0.95859800958472019</v>
      </c>
      <c r="AJ258">
        <f t="shared" si="30"/>
        <v>0.94518182916589111</v>
      </c>
      <c r="AK258">
        <f t="shared" si="31"/>
        <v>65025</v>
      </c>
      <c r="AL258">
        <f t="shared" si="34"/>
        <v>4785.1928600000001</v>
      </c>
      <c r="AM258" t="str">
        <f t="shared" si="35"/>
        <v/>
      </c>
    </row>
    <row r="259" spans="1:39" x14ac:dyDescent="0.55000000000000004">
      <c r="A259">
        <v>1776765602</v>
      </c>
      <c r="B259" t="s">
        <v>72</v>
      </c>
      <c r="C259" t="s">
        <v>73</v>
      </c>
      <c r="D259">
        <v>4783.0200000000004</v>
      </c>
      <c r="E259">
        <v>4518.5928199999998</v>
      </c>
      <c r="F259">
        <v>4596.0559499999999</v>
      </c>
      <c r="G259">
        <v>4755.40355</v>
      </c>
      <c r="H259">
        <v>4792.7697200000002</v>
      </c>
      <c r="Q259">
        <v>4748.86348</v>
      </c>
      <c r="R259">
        <v>4778.22678</v>
      </c>
      <c r="S259">
        <v>4804.8155500000003</v>
      </c>
      <c r="V259">
        <v>4713.92371</v>
      </c>
      <c r="W259">
        <v>4680.3587100000004</v>
      </c>
      <c r="AB259">
        <v>4784.1258099999995</v>
      </c>
      <c r="AC259">
        <v>4784.1383699999997</v>
      </c>
      <c r="AD259">
        <v>0</v>
      </c>
      <c r="AE259">
        <f t="shared" si="32"/>
        <v>257</v>
      </c>
      <c r="AF259">
        <f t="shared" si="33"/>
        <v>256</v>
      </c>
      <c r="AG259">
        <f t="shared" ref="AG259:AG322" si="36">D259-Q259</f>
        <v>34.156520000000455</v>
      </c>
      <c r="AH259">
        <f t="shared" ref="AH259:AH322" si="37">AG259^2</f>
        <v>1166.6678585104312</v>
      </c>
      <c r="AI259">
        <f t="shared" ref="AI259:AI322" si="38">(AG259/STDEV($AG$3:$AG$1137))^3</f>
        <v>0.91671942588519106</v>
      </c>
      <c r="AJ259">
        <f t="shared" ref="AJ259:AJ322" si="39">(AG259/STDEV($AG$3:$AG$1137))^4</f>
        <v>0.89053005079113567</v>
      </c>
      <c r="AK259">
        <f t="shared" ref="AK259:AK322" si="40">AF259^2</f>
        <v>65536</v>
      </c>
      <c r="AL259">
        <f t="shared" si="34"/>
        <v>4785.1928600000001</v>
      </c>
      <c r="AM259" t="str">
        <f t="shared" si="35"/>
        <v/>
      </c>
    </row>
    <row r="260" spans="1:39" x14ac:dyDescent="0.55000000000000004">
      <c r="A260">
        <v>1776766502</v>
      </c>
      <c r="B260" t="s">
        <v>72</v>
      </c>
      <c r="C260" t="s">
        <v>73</v>
      </c>
      <c r="D260">
        <v>4783.07</v>
      </c>
      <c r="E260">
        <v>4518.5928199999998</v>
      </c>
      <c r="F260">
        <v>4596.0559499999999</v>
      </c>
      <c r="G260">
        <v>4755.40355</v>
      </c>
      <c r="H260">
        <v>4792.7697200000002</v>
      </c>
      <c r="Q260">
        <v>4748.5958799999999</v>
      </c>
      <c r="R260">
        <v>4777.9591700000001</v>
      </c>
      <c r="S260">
        <v>4804.5479500000001</v>
      </c>
      <c r="V260">
        <v>4713.6561099999999</v>
      </c>
      <c r="W260">
        <v>4680.0911100000003</v>
      </c>
      <c r="AB260">
        <v>4784.8373199999996</v>
      </c>
      <c r="AC260">
        <v>4784.4878399999998</v>
      </c>
      <c r="AD260">
        <v>1</v>
      </c>
      <c r="AE260">
        <f t="shared" ref="AE260:AE323" si="41">AE259+1</f>
        <v>258</v>
      </c>
      <c r="AF260">
        <f t="shared" ref="AF260:AF323" si="42">AF259+1</f>
        <v>257</v>
      </c>
      <c r="AG260">
        <f t="shared" si="36"/>
        <v>34.474119999999857</v>
      </c>
      <c r="AH260">
        <f t="shared" si="37"/>
        <v>1188.4649497743901</v>
      </c>
      <c r="AI260">
        <f t="shared" si="38"/>
        <v>0.9425299331181014</v>
      </c>
      <c r="AJ260">
        <f t="shared" si="39"/>
        <v>0.92411680667121143</v>
      </c>
      <c r="AK260">
        <f t="shared" si="40"/>
        <v>66049</v>
      </c>
      <c r="AL260">
        <f t="shared" ref="AL260:AL323" si="43">IF(AD260=1,AB260,IF(AL259&lt;&gt;"",AL259,""))</f>
        <v>4784.8373199999996</v>
      </c>
      <c r="AM260">
        <f t="shared" ref="AM260:AM323" si="44">IF(AND(AD260=1,AL259&lt;&gt;""),ABS(AB260-AL259),"")</f>
        <v>0.35554000000047381</v>
      </c>
    </row>
    <row r="261" spans="1:39" x14ac:dyDescent="0.55000000000000004">
      <c r="A261">
        <v>1776767402</v>
      </c>
      <c r="B261" t="s">
        <v>72</v>
      </c>
      <c r="C261" t="s">
        <v>73</v>
      </c>
      <c r="D261">
        <v>4786.25</v>
      </c>
      <c r="E261">
        <v>4518.5928199999998</v>
      </c>
      <c r="F261">
        <v>4596.0559499999999</v>
      </c>
      <c r="G261">
        <v>4755.40355</v>
      </c>
      <c r="H261">
        <v>4792.7697200000002</v>
      </c>
      <c r="Q261">
        <v>4748.32827</v>
      </c>
      <c r="R261">
        <v>4777.69157</v>
      </c>
      <c r="S261">
        <v>4804.2803400000003</v>
      </c>
      <c r="V261">
        <v>4713.3885</v>
      </c>
      <c r="W261">
        <v>4679.8235100000002</v>
      </c>
      <c r="AB261">
        <v>4785.8180000000002</v>
      </c>
      <c r="AC261">
        <v>4785.1529200000004</v>
      </c>
      <c r="AD261">
        <v>0</v>
      </c>
      <c r="AE261">
        <f t="shared" si="41"/>
        <v>259</v>
      </c>
      <c r="AF261">
        <f t="shared" si="42"/>
        <v>258</v>
      </c>
      <c r="AG261">
        <f t="shared" si="36"/>
        <v>37.921730000000025</v>
      </c>
      <c r="AH261">
        <f t="shared" si="37"/>
        <v>1438.0576061929019</v>
      </c>
      <c r="AI261">
        <f t="shared" si="38"/>
        <v>1.2545269915906172</v>
      </c>
      <c r="AJ261">
        <f t="shared" si="39"/>
        <v>1.3530276745756005</v>
      </c>
      <c r="AK261">
        <f t="shared" si="40"/>
        <v>66564</v>
      </c>
      <c r="AL261">
        <f t="shared" si="43"/>
        <v>4784.8373199999996</v>
      </c>
      <c r="AM261" t="str">
        <f t="shared" si="44"/>
        <v/>
      </c>
    </row>
    <row r="262" spans="1:39" x14ac:dyDescent="0.55000000000000004">
      <c r="A262">
        <v>1776768302</v>
      </c>
      <c r="B262" t="s">
        <v>72</v>
      </c>
      <c r="C262" t="s">
        <v>73</v>
      </c>
      <c r="D262">
        <v>4789.79</v>
      </c>
      <c r="E262">
        <v>4518.5928199999998</v>
      </c>
      <c r="F262">
        <v>4596.0559499999999</v>
      </c>
      <c r="G262">
        <v>4755.40355</v>
      </c>
      <c r="H262">
        <v>4792.7697200000002</v>
      </c>
      <c r="Q262">
        <v>4748.0606699999998</v>
      </c>
      <c r="R262">
        <v>4777.4239699999998</v>
      </c>
      <c r="S262">
        <v>4804.0127400000001</v>
      </c>
      <c r="V262">
        <v>4713.1208999999999</v>
      </c>
      <c r="W262">
        <v>4679.5559000000003</v>
      </c>
      <c r="AB262">
        <v>4786.7973700000002</v>
      </c>
      <c r="AC262">
        <v>4785.9751500000002</v>
      </c>
      <c r="AD262">
        <v>0</v>
      </c>
      <c r="AE262">
        <f t="shared" si="41"/>
        <v>260</v>
      </c>
      <c r="AF262">
        <f t="shared" si="42"/>
        <v>259</v>
      </c>
      <c r="AG262">
        <f t="shared" si="36"/>
        <v>41.729330000000118</v>
      </c>
      <c r="AH262">
        <f t="shared" si="37"/>
        <v>1741.3369822489099</v>
      </c>
      <c r="AI262">
        <f t="shared" si="38"/>
        <v>1.6716287038366133</v>
      </c>
      <c r="AJ262">
        <f t="shared" si="39"/>
        <v>1.9838999197014031</v>
      </c>
      <c r="AK262">
        <f t="shared" si="40"/>
        <v>67081</v>
      </c>
      <c r="AL262">
        <f t="shared" si="43"/>
        <v>4784.8373199999996</v>
      </c>
      <c r="AM262" t="str">
        <f t="shared" si="44"/>
        <v/>
      </c>
    </row>
    <row r="263" spans="1:39" x14ac:dyDescent="0.55000000000000004">
      <c r="A263">
        <v>1776769202</v>
      </c>
      <c r="B263" t="s">
        <v>72</v>
      </c>
      <c r="C263" t="s">
        <v>73</v>
      </c>
      <c r="D263">
        <v>4781.7700000000004</v>
      </c>
      <c r="E263">
        <v>4518.5928199999998</v>
      </c>
      <c r="F263">
        <v>4596.0559499999999</v>
      </c>
      <c r="G263">
        <v>4755.40355</v>
      </c>
      <c r="H263">
        <v>4792.7697200000002</v>
      </c>
      <c r="Q263">
        <v>4747.79306</v>
      </c>
      <c r="R263">
        <v>4777.1563599999999</v>
      </c>
      <c r="S263">
        <v>4803.7451300000002</v>
      </c>
      <c r="V263">
        <v>4712.85329</v>
      </c>
      <c r="W263">
        <v>4679.2883000000002</v>
      </c>
      <c r="AB263">
        <v>4787.4863999999998</v>
      </c>
      <c r="AC263">
        <v>4786.7307700000001</v>
      </c>
      <c r="AD263">
        <v>0</v>
      </c>
      <c r="AE263">
        <f t="shared" si="41"/>
        <v>261</v>
      </c>
      <c r="AF263">
        <f t="shared" si="42"/>
        <v>260</v>
      </c>
      <c r="AG263">
        <f t="shared" si="36"/>
        <v>33.976940000000468</v>
      </c>
      <c r="AH263">
        <f t="shared" si="37"/>
        <v>1154.4324517636319</v>
      </c>
      <c r="AI263">
        <f t="shared" si="38"/>
        <v>0.90233618648576575</v>
      </c>
      <c r="AJ263">
        <f t="shared" si="39"/>
        <v>0.87194916415578227</v>
      </c>
      <c r="AK263">
        <f t="shared" si="40"/>
        <v>67600</v>
      </c>
      <c r="AL263">
        <f t="shared" si="43"/>
        <v>4784.8373199999996</v>
      </c>
      <c r="AM263" t="str">
        <f t="shared" si="44"/>
        <v/>
      </c>
    </row>
    <row r="264" spans="1:39" x14ac:dyDescent="0.55000000000000004">
      <c r="A264">
        <v>1776770102</v>
      </c>
      <c r="B264" t="s">
        <v>72</v>
      </c>
      <c r="C264" t="s">
        <v>73</v>
      </c>
      <c r="D264">
        <v>4783.57</v>
      </c>
      <c r="E264">
        <v>4518.5928199999998</v>
      </c>
      <c r="F264">
        <v>4596.0559499999999</v>
      </c>
      <c r="G264">
        <v>4755.40355</v>
      </c>
      <c r="H264">
        <v>4792.7697200000002</v>
      </c>
      <c r="Q264">
        <v>4747.5254599999998</v>
      </c>
      <c r="R264">
        <v>4776.8887599999998</v>
      </c>
      <c r="S264">
        <v>4803.4775300000001</v>
      </c>
      <c r="V264">
        <v>4712.5856899999999</v>
      </c>
      <c r="W264">
        <v>4679.0206900000003</v>
      </c>
      <c r="AB264">
        <v>4787.9256299999997</v>
      </c>
      <c r="AC264">
        <v>4787.3281999999999</v>
      </c>
      <c r="AD264">
        <v>0</v>
      </c>
      <c r="AE264">
        <f t="shared" si="41"/>
        <v>262</v>
      </c>
      <c r="AF264">
        <f t="shared" si="42"/>
        <v>261</v>
      </c>
      <c r="AG264">
        <f t="shared" si="36"/>
        <v>36.04453999999987</v>
      </c>
      <c r="AH264">
        <f t="shared" si="37"/>
        <v>1299.2088638115906</v>
      </c>
      <c r="AI264">
        <f t="shared" si="38"/>
        <v>1.0772935181339895</v>
      </c>
      <c r="AJ264">
        <f t="shared" si="39"/>
        <v>1.1043635455722098</v>
      </c>
      <c r="AK264">
        <f t="shared" si="40"/>
        <v>68121</v>
      </c>
      <c r="AL264">
        <f t="shared" si="43"/>
        <v>4784.8373199999996</v>
      </c>
      <c r="AM264" t="str">
        <f t="shared" si="44"/>
        <v/>
      </c>
    </row>
    <row r="265" spans="1:39" x14ac:dyDescent="0.55000000000000004">
      <c r="A265">
        <v>1776771002</v>
      </c>
      <c r="B265" t="s">
        <v>72</v>
      </c>
      <c r="C265" t="s">
        <v>73</v>
      </c>
      <c r="D265">
        <v>4793.1000000000004</v>
      </c>
      <c r="E265">
        <v>4518.5928199999998</v>
      </c>
      <c r="F265">
        <v>4596.0559499999999</v>
      </c>
      <c r="G265">
        <v>4755.40355</v>
      </c>
      <c r="H265">
        <v>4792.7697200000002</v>
      </c>
      <c r="Q265">
        <v>4747.2578599999997</v>
      </c>
      <c r="R265">
        <v>4776.6211499999999</v>
      </c>
      <c r="S265">
        <v>4803.20993</v>
      </c>
      <c r="V265">
        <v>4712.3180899999998</v>
      </c>
      <c r="W265">
        <v>4678.7530900000002</v>
      </c>
      <c r="AB265">
        <v>4787.9301800000003</v>
      </c>
      <c r="AC265">
        <v>4787.6291899999997</v>
      </c>
      <c r="AD265">
        <v>0</v>
      </c>
      <c r="AE265">
        <f t="shared" si="41"/>
        <v>263</v>
      </c>
      <c r="AF265">
        <f t="shared" si="42"/>
        <v>262</v>
      </c>
      <c r="AG265">
        <f t="shared" si="36"/>
        <v>45.842140000000654</v>
      </c>
      <c r="AH265">
        <f t="shared" si="37"/>
        <v>2101.5017997796599</v>
      </c>
      <c r="AI265">
        <f t="shared" si="38"/>
        <v>2.216206549030908</v>
      </c>
      <c r="AJ265">
        <f t="shared" si="39"/>
        <v>2.8894397642080443</v>
      </c>
      <c r="AK265">
        <f t="shared" si="40"/>
        <v>68644</v>
      </c>
      <c r="AL265">
        <f t="shared" si="43"/>
        <v>4784.8373199999996</v>
      </c>
      <c r="AM265" t="str">
        <f t="shared" si="44"/>
        <v/>
      </c>
    </row>
    <row r="266" spans="1:39" x14ac:dyDescent="0.55000000000000004">
      <c r="A266">
        <v>1776771902</v>
      </c>
      <c r="B266" t="s">
        <v>72</v>
      </c>
      <c r="C266" t="s">
        <v>73</v>
      </c>
      <c r="D266">
        <v>4794.6099999999997</v>
      </c>
      <c r="E266">
        <v>4518.5928199999998</v>
      </c>
      <c r="F266">
        <v>4596.0559499999999</v>
      </c>
      <c r="G266">
        <v>4755.40355</v>
      </c>
      <c r="H266">
        <v>4792.7697200000002</v>
      </c>
      <c r="Q266">
        <v>4746.9902499999998</v>
      </c>
      <c r="R266">
        <v>4776.3535499999998</v>
      </c>
      <c r="S266">
        <v>4802.9423200000001</v>
      </c>
      <c r="V266">
        <v>4712.0504799999999</v>
      </c>
      <c r="W266">
        <v>4678.4854800000003</v>
      </c>
      <c r="Z266">
        <v>4797.91</v>
      </c>
      <c r="AB266">
        <v>4787.2112399999996</v>
      </c>
      <c r="AC266">
        <v>4787.42022</v>
      </c>
      <c r="AD266">
        <v>1</v>
      </c>
      <c r="AE266">
        <f t="shared" si="41"/>
        <v>264</v>
      </c>
      <c r="AF266">
        <f t="shared" si="42"/>
        <v>263</v>
      </c>
      <c r="AG266">
        <f t="shared" si="36"/>
        <v>47.61974999999984</v>
      </c>
      <c r="AH266">
        <f t="shared" si="37"/>
        <v>2267.6405900624845</v>
      </c>
      <c r="AI266">
        <f t="shared" si="38"/>
        <v>2.4841448603230321</v>
      </c>
      <c r="AJ266">
        <f t="shared" si="39"/>
        <v>3.3643607439681942</v>
      </c>
      <c r="AK266">
        <f t="shared" si="40"/>
        <v>69169</v>
      </c>
      <c r="AL266">
        <f t="shared" si="43"/>
        <v>4787.2112399999996</v>
      </c>
      <c r="AM266">
        <f t="shared" si="44"/>
        <v>2.3739199999999983</v>
      </c>
    </row>
    <row r="267" spans="1:39" x14ac:dyDescent="0.55000000000000004">
      <c r="A267">
        <v>1776772802</v>
      </c>
      <c r="B267" t="s">
        <v>72</v>
      </c>
      <c r="C267" t="s">
        <v>73</v>
      </c>
      <c r="D267">
        <v>4791.0600000000004</v>
      </c>
      <c r="E267">
        <v>4518.5928199999998</v>
      </c>
      <c r="F267">
        <v>4596.0559499999999</v>
      </c>
      <c r="G267">
        <v>4755.40355</v>
      </c>
      <c r="H267">
        <v>4792.7697200000002</v>
      </c>
      <c r="Q267">
        <v>4746.7226499999997</v>
      </c>
      <c r="R267">
        <v>4776.0859499999997</v>
      </c>
      <c r="S267">
        <v>4802.67472</v>
      </c>
      <c r="V267">
        <v>4711.7828799999997</v>
      </c>
      <c r="W267">
        <v>4678.2178800000002</v>
      </c>
      <c r="AB267">
        <v>4785.8021200000003</v>
      </c>
      <c r="AC267">
        <v>4786.6111700000001</v>
      </c>
      <c r="AD267">
        <v>0</v>
      </c>
      <c r="AE267">
        <f t="shared" si="41"/>
        <v>265</v>
      </c>
      <c r="AF267">
        <f t="shared" si="42"/>
        <v>264</v>
      </c>
      <c r="AG267">
        <f t="shared" si="36"/>
        <v>44.337350000000697</v>
      </c>
      <c r="AH267">
        <f t="shared" si="37"/>
        <v>1965.8006050225617</v>
      </c>
      <c r="AI267">
        <f t="shared" si="38"/>
        <v>2.0050480331230385</v>
      </c>
      <c r="AJ267">
        <f t="shared" si="39"/>
        <v>2.5283258293931645</v>
      </c>
      <c r="AK267">
        <f t="shared" si="40"/>
        <v>69696</v>
      </c>
      <c r="AL267">
        <f t="shared" si="43"/>
        <v>4787.2112399999996</v>
      </c>
      <c r="AM267" t="str">
        <f t="shared" si="44"/>
        <v/>
      </c>
    </row>
    <row r="268" spans="1:39" x14ac:dyDescent="0.55000000000000004">
      <c r="A268">
        <v>1776773702</v>
      </c>
      <c r="B268" t="s">
        <v>72</v>
      </c>
      <c r="C268" t="s">
        <v>73</v>
      </c>
      <c r="D268">
        <v>4780.6099999999997</v>
      </c>
      <c r="E268">
        <v>4518.5928199999998</v>
      </c>
      <c r="F268">
        <v>4596.0559499999999</v>
      </c>
      <c r="G268">
        <v>4755.40355</v>
      </c>
      <c r="H268">
        <v>4792.7697200000002</v>
      </c>
      <c r="Q268">
        <v>4746.4550399999998</v>
      </c>
      <c r="R268">
        <v>4775.8183399999998</v>
      </c>
      <c r="S268">
        <v>4802.4071100000001</v>
      </c>
      <c r="V268">
        <v>4711.5152699999999</v>
      </c>
      <c r="W268">
        <v>4677.95028</v>
      </c>
      <c r="AB268">
        <v>4784.0365599999996</v>
      </c>
      <c r="AC268">
        <v>4785.3238700000002</v>
      </c>
      <c r="AD268">
        <v>0</v>
      </c>
      <c r="AE268">
        <f t="shared" si="41"/>
        <v>266</v>
      </c>
      <c r="AF268">
        <f t="shared" si="42"/>
        <v>265</v>
      </c>
      <c r="AG268">
        <f t="shared" si="36"/>
        <v>34.154959999999846</v>
      </c>
      <c r="AH268">
        <f t="shared" si="37"/>
        <v>1166.5612926015895</v>
      </c>
      <c r="AI268">
        <f t="shared" si="38"/>
        <v>0.91659382611761475</v>
      </c>
      <c r="AJ268">
        <f t="shared" si="39"/>
        <v>0.89036737242585595</v>
      </c>
      <c r="AK268">
        <f t="shared" si="40"/>
        <v>70225</v>
      </c>
      <c r="AL268">
        <f t="shared" si="43"/>
        <v>4787.2112399999996</v>
      </c>
      <c r="AM268" t="str">
        <f t="shared" si="44"/>
        <v/>
      </c>
    </row>
    <row r="269" spans="1:39" x14ac:dyDescent="0.55000000000000004">
      <c r="A269">
        <v>1776774602</v>
      </c>
      <c r="B269" t="s">
        <v>72</v>
      </c>
      <c r="C269" t="s">
        <v>73</v>
      </c>
      <c r="D269">
        <v>4778.8900000000003</v>
      </c>
      <c r="E269">
        <v>4518.5928199999998</v>
      </c>
      <c r="F269">
        <v>4596.0559499999999</v>
      </c>
      <c r="G269">
        <v>4755.40355</v>
      </c>
      <c r="H269">
        <v>4792.7697200000002</v>
      </c>
      <c r="Q269">
        <v>4746.1874399999997</v>
      </c>
      <c r="R269">
        <v>4775.5507399999997</v>
      </c>
      <c r="S269">
        <v>4802.13951</v>
      </c>
      <c r="V269">
        <v>4711.2476699999997</v>
      </c>
      <c r="W269">
        <v>4677.6826700000001</v>
      </c>
      <c r="AB269">
        <v>4782.33943</v>
      </c>
      <c r="AC269">
        <v>4783.8316500000001</v>
      </c>
      <c r="AD269">
        <v>0</v>
      </c>
      <c r="AE269">
        <f t="shared" si="41"/>
        <v>267</v>
      </c>
      <c r="AF269">
        <f t="shared" si="42"/>
        <v>266</v>
      </c>
      <c r="AG269">
        <f t="shared" si="36"/>
        <v>32.702560000000631</v>
      </c>
      <c r="AH269">
        <f t="shared" si="37"/>
        <v>1069.4574305536412</v>
      </c>
      <c r="AI269">
        <f t="shared" si="38"/>
        <v>0.80456444764360513</v>
      </c>
      <c r="AJ269">
        <f t="shared" si="39"/>
        <v>0.74830925613446964</v>
      </c>
      <c r="AK269">
        <f t="shared" si="40"/>
        <v>70756</v>
      </c>
      <c r="AL269">
        <f t="shared" si="43"/>
        <v>4787.2112399999996</v>
      </c>
      <c r="AM269" t="str">
        <f t="shared" si="44"/>
        <v/>
      </c>
    </row>
    <row r="270" spans="1:39" x14ac:dyDescent="0.55000000000000004">
      <c r="A270">
        <v>1776775502</v>
      </c>
      <c r="B270" t="s">
        <v>72</v>
      </c>
      <c r="C270" t="s">
        <v>73</v>
      </c>
      <c r="D270">
        <v>4778.78</v>
      </c>
      <c r="E270">
        <v>4518.5928199999998</v>
      </c>
      <c r="F270">
        <v>4596.0559499999999</v>
      </c>
      <c r="G270">
        <v>4755.40355</v>
      </c>
      <c r="H270">
        <v>4792.7697200000002</v>
      </c>
      <c r="Q270">
        <v>4745.9198399999996</v>
      </c>
      <c r="R270">
        <v>4775.2831299999998</v>
      </c>
      <c r="S270">
        <v>4801.8719000000001</v>
      </c>
      <c r="V270">
        <v>4710.9800599999999</v>
      </c>
      <c r="W270">
        <v>4677.41507</v>
      </c>
      <c r="AB270">
        <v>4780.7743700000001</v>
      </c>
      <c r="AC270">
        <v>4782.3030099999996</v>
      </c>
      <c r="AD270">
        <v>0</v>
      </c>
      <c r="AE270">
        <f t="shared" si="41"/>
        <v>268</v>
      </c>
      <c r="AF270">
        <f t="shared" si="42"/>
        <v>267</v>
      </c>
      <c r="AG270">
        <f t="shared" si="36"/>
        <v>32.860160000000178</v>
      </c>
      <c r="AH270">
        <f t="shared" si="37"/>
        <v>1079.7901152256118</v>
      </c>
      <c r="AI270">
        <f t="shared" si="38"/>
        <v>0.81625265272712544</v>
      </c>
      <c r="AJ270">
        <f t="shared" si="39"/>
        <v>0.76283885846978072</v>
      </c>
      <c r="AK270">
        <f t="shared" si="40"/>
        <v>71289</v>
      </c>
      <c r="AL270">
        <f t="shared" si="43"/>
        <v>4787.2112399999996</v>
      </c>
      <c r="AM270" t="str">
        <f t="shared" si="44"/>
        <v/>
      </c>
    </row>
    <row r="271" spans="1:39" x14ac:dyDescent="0.55000000000000004">
      <c r="A271">
        <v>1776776402</v>
      </c>
      <c r="B271" t="s">
        <v>72</v>
      </c>
      <c r="C271" t="s">
        <v>73</v>
      </c>
      <c r="D271">
        <v>4765.33</v>
      </c>
      <c r="E271">
        <v>4518.5928199999998</v>
      </c>
      <c r="F271">
        <v>4596.0559499999999</v>
      </c>
      <c r="G271">
        <v>4755.40355</v>
      </c>
      <c r="H271">
        <v>4792.7697200000002</v>
      </c>
      <c r="Q271">
        <v>4745.6522299999997</v>
      </c>
      <c r="R271">
        <v>4775.0155299999997</v>
      </c>
      <c r="S271">
        <v>4801.6043</v>
      </c>
      <c r="V271">
        <v>4710.7124599999997</v>
      </c>
      <c r="W271">
        <v>4677.1474600000001</v>
      </c>
      <c r="AB271">
        <v>4779.2534699999997</v>
      </c>
      <c r="AC271">
        <v>4780.7782399999996</v>
      </c>
      <c r="AD271">
        <v>0</v>
      </c>
      <c r="AE271">
        <f t="shared" si="41"/>
        <v>269</v>
      </c>
      <c r="AF271">
        <f t="shared" si="42"/>
        <v>268</v>
      </c>
      <c r="AG271">
        <f t="shared" si="36"/>
        <v>19.677770000000237</v>
      </c>
      <c r="AH271">
        <f t="shared" si="37"/>
        <v>387.21463217290932</v>
      </c>
      <c r="AI271">
        <f t="shared" si="38"/>
        <v>0.17528438320517578</v>
      </c>
      <c r="AJ271">
        <f t="shared" si="39"/>
        <v>9.8097430752297141E-2</v>
      </c>
      <c r="AK271">
        <f t="shared" si="40"/>
        <v>71824</v>
      </c>
      <c r="AL271">
        <f t="shared" si="43"/>
        <v>4787.2112399999996</v>
      </c>
      <c r="AM271" t="str">
        <f t="shared" si="44"/>
        <v/>
      </c>
    </row>
    <row r="272" spans="1:39" x14ac:dyDescent="0.55000000000000004">
      <c r="A272">
        <v>1776777302</v>
      </c>
      <c r="B272" t="s">
        <v>72</v>
      </c>
      <c r="C272" t="s">
        <v>73</v>
      </c>
      <c r="D272">
        <v>4774.96</v>
      </c>
      <c r="E272">
        <v>4518.5928199999998</v>
      </c>
      <c r="F272">
        <v>4596.0559499999999</v>
      </c>
      <c r="G272">
        <v>4755.40355</v>
      </c>
      <c r="H272">
        <v>4792.7697200000002</v>
      </c>
      <c r="Q272">
        <v>4745.3846299999996</v>
      </c>
      <c r="R272">
        <v>4774.7479300000005</v>
      </c>
      <c r="S272">
        <v>4801.3366999999998</v>
      </c>
      <c r="V272">
        <v>4710.4448599999996</v>
      </c>
      <c r="W272">
        <v>4676.87986</v>
      </c>
      <c r="AB272">
        <v>4777.9153999999999</v>
      </c>
      <c r="AC272">
        <v>4779.3468199999998</v>
      </c>
      <c r="AD272">
        <v>0</v>
      </c>
      <c r="AE272">
        <f t="shared" si="41"/>
        <v>270</v>
      </c>
      <c r="AF272">
        <f t="shared" si="42"/>
        <v>269</v>
      </c>
      <c r="AG272">
        <f t="shared" si="36"/>
        <v>29.575370000000476</v>
      </c>
      <c r="AH272">
        <f t="shared" si="37"/>
        <v>874.70251063692808</v>
      </c>
      <c r="AI272">
        <f t="shared" si="38"/>
        <v>0.5951221903063646</v>
      </c>
      <c r="AJ272">
        <f t="shared" si="39"/>
        <v>0.5005815731379567</v>
      </c>
      <c r="AK272">
        <f t="shared" si="40"/>
        <v>72361</v>
      </c>
      <c r="AL272">
        <f t="shared" si="43"/>
        <v>4787.2112399999996</v>
      </c>
      <c r="AM272" t="str">
        <f t="shared" si="44"/>
        <v/>
      </c>
    </row>
    <row r="273" spans="1:39" x14ac:dyDescent="0.55000000000000004">
      <c r="A273">
        <v>1776778202</v>
      </c>
      <c r="B273" t="s">
        <v>72</v>
      </c>
      <c r="C273" t="s">
        <v>73</v>
      </c>
      <c r="D273">
        <v>4789.04</v>
      </c>
      <c r="E273">
        <v>4518.5928199999998</v>
      </c>
      <c r="F273">
        <v>4596.0559499999999</v>
      </c>
      <c r="G273">
        <v>4755.40355</v>
      </c>
      <c r="H273">
        <v>4792.7697200000002</v>
      </c>
      <c r="Q273">
        <v>4745.1170199999997</v>
      </c>
      <c r="R273">
        <v>4774.4803199999997</v>
      </c>
      <c r="S273">
        <v>4801.06909</v>
      </c>
      <c r="V273">
        <v>4710.1772499999997</v>
      </c>
      <c r="W273">
        <v>4676.6122599999999</v>
      </c>
      <c r="AB273">
        <v>4776.2012999999997</v>
      </c>
      <c r="AC273">
        <v>4777.7740599999997</v>
      </c>
      <c r="AD273">
        <v>0</v>
      </c>
      <c r="AE273">
        <f t="shared" si="41"/>
        <v>271</v>
      </c>
      <c r="AF273">
        <f t="shared" si="42"/>
        <v>270</v>
      </c>
      <c r="AG273">
        <f t="shared" si="36"/>
        <v>43.92298000000028</v>
      </c>
      <c r="AH273">
        <f t="shared" si="37"/>
        <v>1929.2281720804247</v>
      </c>
      <c r="AI273">
        <f t="shared" si="38"/>
        <v>1.9493551837537204</v>
      </c>
      <c r="AJ273">
        <f t="shared" si="39"/>
        <v>2.4351252449836758</v>
      </c>
      <c r="AK273">
        <f t="shared" si="40"/>
        <v>72900</v>
      </c>
      <c r="AL273">
        <f t="shared" si="43"/>
        <v>4787.2112399999996</v>
      </c>
      <c r="AM273" t="str">
        <f t="shared" si="44"/>
        <v/>
      </c>
    </row>
    <row r="274" spans="1:39" x14ac:dyDescent="0.55000000000000004">
      <c r="A274">
        <v>1776779102</v>
      </c>
      <c r="B274" t="s">
        <v>72</v>
      </c>
      <c r="C274" t="s">
        <v>73</v>
      </c>
      <c r="D274">
        <v>4779.16</v>
      </c>
      <c r="E274">
        <v>4518.5928199999998</v>
      </c>
      <c r="F274">
        <v>4596.0559499999999</v>
      </c>
      <c r="G274">
        <v>4755.40355</v>
      </c>
      <c r="H274">
        <v>4792.7697200000002</v>
      </c>
      <c r="Q274">
        <v>4744.8494199999996</v>
      </c>
      <c r="R274">
        <v>4774.2127200000004</v>
      </c>
      <c r="S274">
        <v>4800.8014899999998</v>
      </c>
      <c r="V274">
        <v>4709.9096499999996</v>
      </c>
      <c r="W274">
        <v>4676.34465</v>
      </c>
      <c r="AB274">
        <v>4773.42706</v>
      </c>
      <c r="AC274">
        <v>4775.6005599999999</v>
      </c>
      <c r="AD274">
        <v>0</v>
      </c>
      <c r="AE274">
        <f t="shared" si="41"/>
        <v>272</v>
      </c>
      <c r="AF274">
        <f t="shared" si="42"/>
        <v>271</v>
      </c>
      <c r="AG274">
        <f t="shared" si="36"/>
        <v>34.3105800000003</v>
      </c>
      <c r="AH274">
        <f t="shared" si="37"/>
        <v>1177.2158999364206</v>
      </c>
      <c r="AI274">
        <f t="shared" si="38"/>
        <v>0.92917980742783179</v>
      </c>
      <c r="AJ274">
        <f t="shared" si="39"/>
        <v>0.90670571076389939</v>
      </c>
      <c r="AK274">
        <f t="shared" si="40"/>
        <v>73441</v>
      </c>
      <c r="AL274">
        <f t="shared" si="43"/>
        <v>4787.2112399999996</v>
      </c>
      <c r="AM274" t="str">
        <f t="shared" si="44"/>
        <v/>
      </c>
    </row>
    <row r="275" spans="1:39" x14ac:dyDescent="0.55000000000000004">
      <c r="A275">
        <v>1776780002</v>
      </c>
      <c r="B275" t="s">
        <v>72</v>
      </c>
      <c r="C275" t="s">
        <v>73</v>
      </c>
      <c r="D275">
        <v>4778.53</v>
      </c>
      <c r="E275">
        <v>4518.5928199999998</v>
      </c>
      <c r="F275">
        <v>4596.0559499999999</v>
      </c>
      <c r="G275">
        <v>4755.40355</v>
      </c>
      <c r="H275">
        <v>4792.7697200000002</v>
      </c>
      <c r="Q275">
        <v>4744.5818099999997</v>
      </c>
      <c r="R275">
        <v>4773.9451099999997</v>
      </c>
      <c r="S275">
        <v>4800.53388</v>
      </c>
      <c r="V275">
        <v>4709.6420399999997</v>
      </c>
      <c r="W275">
        <v>4676.0770499999999</v>
      </c>
      <c r="AB275">
        <v>4769.6983899999996</v>
      </c>
      <c r="AC275">
        <v>4772.64948</v>
      </c>
      <c r="AD275">
        <v>0</v>
      </c>
      <c r="AE275">
        <f t="shared" si="41"/>
        <v>273</v>
      </c>
      <c r="AF275">
        <f t="shared" si="42"/>
        <v>272</v>
      </c>
      <c r="AG275">
        <f t="shared" si="36"/>
        <v>33.948190000000068</v>
      </c>
      <c r="AH275">
        <f t="shared" si="37"/>
        <v>1152.4796042761045</v>
      </c>
      <c r="AI275">
        <f t="shared" si="38"/>
        <v>0.90004755599620601</v>
      </c>
      <c r="AJ275">
        <f t="shared" si="39"/>
        <v>0.86900166643021726</v>
      </c>
      <c r="AK275">
        <f t="shared" si="40"/>
        <v>73984</v>
      </c>
      <c r="AL275">
        <f t="shared" si="43"/>
        <v>4787.2112399999996</v>
      </c>
      <c r="AM275" t="str">
        <f t="shared" si="44"/>
        <v/>
      </c>
    </row>
    <row r="276" spans="1:39" x14ac:dyDescent="0.55000000000000004">
      <c r="A276">
        <v>1776780902</v>
      </c>
      <c r="B276" t="s">
        <v>72</v>
      </c>
      <c r="C276" t="s">
        <v>73</v>
      </c>
      <c r="D276">
        <v>4774.24</v>
      </c>
      <c r="E276">
        <v>4518.5928199999998</v>
      </c>
      <c r="F276">
        <v>4596.0559499999999</v>
      </c>
      <c r="G276">
        <v>4755.40355</v>
      </c>
      <c r="H276">
        <v>4792.7697200000002</v>
      </c>
      <c r="Q276">
        <v>4744.3142099999995</v>
      </c>
      <c r="R276">
        <v>4773.6775100000004</v>
      </c>
      <c r="S276">
        <v>4800.2662799999998</v>
      </c>
      <c r="V276">
        <v>4709.3744399999996</v>
      </c>
      <c r="W276">
        <v>4675.80944</v>
      </c>
      <c r="AB276">
        <v>4764.9908999999998</v>
      </c>
      <c r="AC276">
        <v>4768.8201900000004</v>
      </c>
      <c r="AD276">
        <v>0</v>
      </c>
      <c r="AE276">
        <f t="shared" si="41"/>
        <v>274</v>
      </c>
      <c r="AF276">
        <f t="shared" si="42"/>
        <v>273</v>
      </c>
      <c r="AG276">
        <f t="shared" si="36"/>
        <v>29.925790000000234</v>
      </c>
      <c r="AH276">
        <f t="shared" si="37"/>
        <v>895.55290712411397</v>
      </c>
      <c r="AI276">
        <f t="shared" si="38"/>
        <v>0.61652750510809085</v>
      </c>
      <c r="AJ276">
        <f t="shared" si="39"/>
        <v>0.52473086290828919</v>
      </c>
      <c r="AK276">
        <f t="shared" si="40"/>
        <v>74529</v>
      </c>
      <c r="AL276">
        <f t="shared" si="43"/>
        <v>4787.2112399999996</v>
      </c>
      <c r="AM276" t="str">
        <f t="shared" si="44"/>
        <v/>
      </c>
    </row>
    <row r="277" spans="1:39" x14ac:dyDescent="0.55000000000000004">
      <c r="A277">
        <v>1776781802</v>
      </c>
      <c r="B277" t="s">
        <v>72</v>
      </c>
      <c r="C277" t="s">
        <v>73</v>
      </c>
      <c r="D277">
        <v>4744.7</v>
      </c>
      <c r="E277">
        <v>4518.5928199999998</v>
      </c>
      <c r="F277">
        <v>4596.0559499999999</v>
      </c>
      <c r="G277">
        <v>4755.40355</v>
      </c>
      <c r="H277">
        <v>4792.7697200000002</v>
      </c>
      <c r="Q277">
        <v>4744.0466100000003</v>
      </c>
      <c r="R277">
        <v>4773.4099100000003</v>
      </c>
      <c r="S277">
        <v>4799.9986799999997</v>
      </c>
      <c r="V277">
        <v>4709.1068400000004</v>
      </c>
      <c r="W277">
        <v>4675.5418399999999</v>
      </c>
      <c r="AB277">
        <v>4759.4978300000002</v>
      </c>
      <c r="AC277">
        <v>4764.1590100000003</v>
      </c>
      <c r="AD277">
        <v>0</v>
      </c>
      <c r="AE277">
        <f t="shared" si="41"/>
        <v>275</v>
      </c>
      <c r="AF277">
        <f t="shared" si="42"/>
        <v>274</v>
      </c>
      <c r="AG277">
        <f t="shared" si="36"/>
        <v>0.6533899999994901</v>
      </c>
      <c r="AH277">
        <f t="shared" si="37"/>
        <v>0.42691849209933369</v>
      </c>
      <c r="AI277">
        <f t="shared" si="38"/>
        <v>6.4170147077538795E-6</v>
      </c>
      <c r="AJ277">
        <f t="shared" si="39"/>
        <v>1.1924606214117513E-7</v>
      </c>
      <c r="AK277">
        <f t="shared" si="40"/>
        <v>75076</v>
      </c>
      <c r="AL277">
        <f t="shared" si="43"/>
        <v>4787.2112399999996</v>
      </c>
      <c r="AM277" t="str">
        <f t="shared" si="44"/>
        <v/>
      </c>
    </row>
    <row r="278" spans="1:39" x14ac:dyDescent="0.55000000000000004">
      <c r="A278">
        <v>1776782702</v>
      </c>
      <c r="B278" t="s">
        <v>72</v>
      </c>
      <c r="C278" t="s">
        <v>73</v>
      </c>
      <c r="D278">
        <v>4738.97</v>
      </c>
      <c r="E278">
        <v>4518.5928199999998</v>
      </c>
      <c r="F278">
        <v>4596.0559499999999</v>
      </c>
      <c r="G278">
        <v>4755.40355</v>
      </c>
      <c r="H278">
        <v>4792.7697200000002</v>
      </c>
      <c r="Q278">
        <v>4743.7790000000005</v>
      </c>
      <c r="R278">
        <v>4773.1423000000004</v>
      </c>
      <c r="S278">
        <v>4799.7310699999998</v>
      </c>
      <c r="V278">
        <v>4708.8392299999996</v>
      </c>
      <c r="W278">
        <v>4675.2742399999997</v>
      </c>
      <c r="AB278">
        <v>4754.1285500000004</v>
      </c>
      <c r="AC278">
        <v>4759.1437800000003</v>
      </c>
      <c r="AD278">
        <v>0</v>
      </c>
      <c r="AE278">
        <f t="shared" si="41"/>
        <v>276</v>
      </c>
      <c r="AF278">
        <f t="shared" si="42"/>
        <v>275</v>
      </c>
      <c r="AG278">
        <f t="shared" si="36"/>
        <v>-4.8090000000001965</v>
      </c>
      <c r="AH278">
        <f t="shared" si="37"/>
        <v>23.126481000001888</v>
      </c>
      <c r="AI278">
        <f t="shared" si="38"/>
        <v>-2.5584675658124759E-3</v>
      </c>
      <c r="AJ278">
        <f t="shared" si="39"/>
        <v>3.4992358970535923E-4</v>
      </c>
      <c r="AK278">
        <f t="shared" si="40"/>
        <v>75625</v>
      </c>
      <c r="AL278">
        <f t="shared" si="43"/>
        <v>4787.2112399999996</v>
      </c>
      <c r="AM278" t="str">
        <f t="shared" si="44"/>
        <v/>
      </c>
    </row>
    <row r="279" spans="1:39" x14ac:dyDescent="0.55000000000000004">
      <c r="A279">
        <v>1776783602</v>
      </c>
      <c r="B279" t="s">
        <v>72</v>
      </c>
      <c r="C279" t="s">
        <v>73</v>
      </c>
      <c r="D279">
        <v>4748.21</v>
      </c>
      <c r="E279">
        <v>4518.5928199999998</v>
      </c>
      <c r="F279">
        <v>4596.0559499999999</v>
      </c>
      <c r="G279">
        <v>4755.40355</v>
      </c>
      <c r="H279">
        <v>4792.7697200000002</v>
      </c>
      <c r="Q279">
        <v>4743.5114000000003</v>
      </c>
      <c r="R279">
        <v>4772.8747000000003</v>
      </c>
      <c r="S279">
        <v>4799.4634699999997</v>
      </c>
      <c r="V279">
        <v>4708.5716300000004</v>
      </c>
      <c r="W279">
        <v>4675.0066299999999</v>
      </c>
      <c r="AB279">
        <v>4749.06783</v>
      </c>
      <c r="AC279">
        <v>4754.1058000000003</v>
      </c>
      <c r="AD279">
        <v>0</v>
      </c>
      <c r="AE279">
        <f t="shared" si="41"/>
        <v>277</v>
      </c>
      <c r="AF279">
        <f t="shared" si="42"/>
        <v>276</v>
      </c>
      <c r="AG279">
        <f t="shared" si="36"/>
        <v>4.6985999999997148</v>
      </c>
      <c r="AH279">
        <f t="shared" si="37"/>
        <v>22.076841959997321</v>
      </c>
      <c r="AI279">
        <f t="shared" si="38"/>
        <v>2.3862778362791041E-3</v>
      </c>
      <c r="AJ279">
        <f t="shared" si="39"/>
        <v>3.1888053504471861E-4</v>
      </c>
      <c r="AK279">
        <f t="shared" si="40"/>
        <v>76176</v>
      </c>
      <c r="AL279">
        <f t="shared" si="43"/>
        <v>4787.2112399999996</v>
      </c>
      <c r="AM279" t="str">
        <f t="shared" si="44"/>
        <v/>
      </c>
    </row>
    <row r="280" spans="1:39" x14ac:dyDescent="0.55000000000000004">
      <c r="A280">
        <v>1776784502</v>
      </c>
      <c r="B280" t="s">
        <v>72</v>
      </c>
      <c r="C280" t="s">
        <v>73</v>
      </c>
      <c r="D280">
        <v>4742.57</v>
      </c>
      <c r="E280">
        <v>4518.5928199999998</v>
      </c>
      <c r="F280">
        <v>4596.0559499999999</v>
      </c>
      <c r="G280">
        <v>4755.40355</v>
      </c>
      <c r="H280">
        <v>4792.7697200000002</v>
      </c>
      <c r="Q280">
        <v>4743.2437900000004</v>
      </c>
      <c r="R280">
        <v>4772.6070900000004</v>
      </c>
      <c r="S280">
        <v>4799.1958599999998</v>
      </c>
      <c r="V280">
        <v>4708.3040199999996</v>
      </c>
      <c r="W280">
        <v>4674.7390299999997</v>
      </c>
      <c r="AB280">
        <v>4743.9676399999998</v>
      </c>
      <c r="AC280">
        <v>4749.0367200000001</v>
      </c>
      <c r="AD280">
        <v>0</v>
      </c>
      <c r="AE280">
        <f t="shared" si="41"/>
        <v>278</v>
      </c>
      <c r="AF280">
        <f t="shared" si="42"/>
        <v>277</v>
      </c>
      <c r="AG280">
        <f t="shared" si="36"/>
        <v>-0.67379000000073574</v>
      </c>
      <c r="AH280">
        <f t="shared" si="37"/>
        <v>0.45399296410099149</v>
      </c>
      <c r="AI280">
        <f t="shared" si="38"/>
        <v>-7.0370278194802278E-6</v>
      </c>
      <c r="AJ280">
        <f t="shared" si="39"/>
        <v>1.3485043670761229E-7</v>
      </c>
      <c r="AK280">
        <f t="shared" si="40"/>
        <v>76729</v>
      </c>
      <c r="AL280">
        <f t="shared" si="43"/>
        <v>4787.2112399999996</v>
      </c>
      <c r="AM280" t="str">
        <f t="shared" si="44"/>
        <v/>
      </c>
    </row>
    <row r="281" spans="1:39" x14ac:dyDescent="0.55000000000000004">
      <c r="A281">
        <v>1776785402</v>
      </c>
      <c r="B281" t="s">
        <v>72</v>
      </c>
      <c r="C281" t="s">
        <v>73</v>
      </c>
      <c r="D281">
        <v>4745.93</v>
      </c>
      <c r="E281">
        <v>4518.5928199999998</v>
      </c>
      <c r="F281">
        <v>4596.0559499999999</v>
      </c>
      <c r="G281">
        <v>4755.40355</v>
      </c>
      <c r="H281">
        <v>4792.7697200000002</v>
      </c>
      <c r="Q281">
        <v>4742.9761900000003</v>
      </c>
      <c r="R281">
        <v>4772.3394900000003</v>
      </c>
      <c r="S281">
        <v>4798.9282599999997</v>
      </c>
      <c r="V281">
        <v>4708.0364200000004</v>
      </c>
      <c r="W281">
        <v>4674.4714199999999</v>
      </c>
      <c r="AB281">
        <v>4738.8401800000001</v>
      </c>
      <c r="AC281">
        <v>4743.9384499999996</v>
      </c>
      <c r="AD281">
        <v>0</v>
      </c>
      <c r="AE281">
        <f t="shared" si="41"/>
        <v>279</v>
      </c>
      <c r="AF281">
        <f t="shared" si="42"/>
        <v>278</v>
      </c>
      <c r="AG281">
        <f t="shared" si="36"/>
        <v>2.9538099999999758</v>
      </c>
      <c r="AH281">
        <f t="shared" si="37"/>
        <v>8.7249935160998575</v>
      </c>
      <c r="AI281">
        <f t="shared" si="38"/>
        <v>5.928751585760558E-4</v>
      </c>
      <c r="AJ281">
        <f t="shared" si="39"/>
        <v>4.9806306683086225E-5</v>
      </c>
      <c r="AK281">
        <f t="shared" si="40"/>
        <v>77284</v>
      </c>
      <c r="AL281">
        <f t="shared" si="43"/>
        <v>4787.2112399999996</v>
      </c>
      <c r="AM281" t="str">
        <f t="shared" si="44"/>
        <v/>
      </c>
    </row>
    <row r="282" spans="1:39" x14ac:dyDescent="0.55000000000000004">
      <c r="A282">
        <v>1776786302</v>
      </c>
      <c r="B282" t="s">
        <v>72</v>
      </c>
      <c r="C282" t="s">
        <v>73</v>
      </c>
      <c r="D282">
        <v>4741.8100000000004</v>
      </c>
      <c r="E282">
        <v>4518.5928199999998</v>
      </c>
      <c r="F282">
        <v>4596.0559499999999</v>
      </c>
      <c r="G282">
        <v>4755.40355</v>
      </c>
      <c r="H282">
        <v>4792.7697200000002</v>
      </c>
      <c r="Q282">
        <v>4742.7085900000002</v>
      </c>
      <c r="R282">
        <v>4772.0718800000004</v>
      </c>
      <c r="S282">
        <v>4798.6606599999996</v>
      </c>
      <c r="V282">
        <v>4707.7688200000002</v>
      </c>
      <c r="W282">
        <v>4674.2038199999997</v>
      </c>
      <c r="AB282">
        <v>4733.5031099999997</v>
      </c>
      <c r="AC282">
        <v>4738.7207799999996</v>
      </c>
      <c r="AD282">
        <v>0</v>
      </c>
      <c r="AE282">
        <f t="shared" si="41"/>
        <v>280</v>
      </c>
      <c r="AF282">
        <f t="shared" si="42"/>
        <v>279</v>
      </c>
      <c r="AG282">
        <f t="shared" si="36"/>
        <v>-0.8985899999997855</v>
      </c>
      <c r="AH282">
        <f t="shared" si="37"/>
        <v>0.8074639880996145</v>
      </c>
      <c r="AI282">
        <f t="shared" si="38"/>
        <v>-1.6691690683842201E-5</v>
      </c>
      <c r="AJ282">
        <f t="shared" si="39"/>
        <v>4.2657994854924398E-7</v>
      </c>
      <c r="AK282">
        <f t="shared" si="40"/>
        <v>77841</v>
      </c>
      <c r="AL282">
        <f t="shared" si="43"/>
        <v>4787.2112399999996</v>
      </c>
      <c r="AM282" t="str">
        <f t="shared" si="44"/>
        <v/>
      </c>
    </row>
    <row r="283" spans="1:39" x14ac:dyDescent="0.55000000000000004">
      <c r="A283">
        <v>1776787202</v>
      </c>
      <c r="B283" t="s">
        <v>72</v>
      </c>
      <c r="C283" t="s">
        <v>73</v>
      </c>
      <c r="D283">
        <v>4730.4399999999996</v>
      </c>
      <c r="E283">
        <v>4518.5928199999998</v>
      </c>
      <c r="F283">
        <v>4596.0559499999999</v>
      </c>
      <c r="G283">
        <v>4755.40355</v>
      </c>
      <c r="H283">
        <v>4792.7697200000002</v>
      </c>
      <c r="Q283">
        <v>4742.4409800000003</v>
      </c>
      <c r="R283">
        <v>4771.8042800000003</v>
      </c>
      <c r="S283">
        <v>4798.3930499999997</v>
      </c>
      <c r="V283">
        <v>4707.5012100000004</v>
      </c>
      <c r="W283">
        <v>4673.9362199999996</v>
      </c>
      <c r="AB283">
        <v>4728.0410000000002</v>
      </c>
      <c r="AC283">
        <v>4733.3808900000004</v>
      </c>
      <c r="AD283">
        <v>0</v>
      </c>
      <c r="AE283">
        <f t="shared" si="41"/>
        <v>281</v>
      </c>
      <c r="AF283">
        <f t="shared" si="42"/>
        <v>280</v>
      </c>
      <c r="AG283">
        <f t="shared" si="36"/>
        <v>-12.000980000000709</v>
      </c>
      <c r="AH283">
        <f t="shared" si="37"/>
        <v>144.02352096041702</v>
      </c>
      <c r="AI283">
        <f t="shared" si="38"/>
        <v>-3.9761771062590746E-2</v>
      </c>
      <c r="AJ283">
        <f t="shared" si="39"/>
        <v>1.3571284678308093E-2</v>
      </c>
      <c r="AK283">
        <f t="shared" si="40"/>
        <v>78400</v>
      </c>
      <c r="AL283">
        <f t="shared" si="43"/>
        <v>4787.2112399999996</v>
      </c>
      <c r="AM283" t="str">
        <f t="shared" si="44"/>
        <v/>
      </c>
    </row>
    <row r="284" spans="1:39" x14ac:dyDescent="0.55000000000000004">
      <c r="A284">
        <v>1776788102</v>
      </c>
      <c r="B284" t="s">
        <v>72</v>
      </c>
      <c r="C284" t="s">
        <v>73</v>
      </c>
      <c r="D284">
        <v>4720.8599999999997</v>
      </c>
      <c r="E284">
        <v>4518.5928199999998</v>
      </c>
      <c r="F284">
        <v>4596.0559499999999</v>
      </c>
      <c r="G284">
        <v>4755.40355</v>
      </c>
      <c r="H284">
        <v>4792.7697200000002</v>
      </c>
      <c r="Q284">
        <v>4742.1733800000002</v>
      </c>
      <c r="R284">
        <v>4771.5366800000002</v>
      </c>
      <c r="S284">
        <v>4798.1254499999995</v>
      </c>
      <c r="V284">
        <v>4707.2336100000002</v>
      </c>
      <c r="W284">
        <v>4673.6686099999997</v>
      </c>
      <c r="AB284">
        <v>4722.8411599999999</v>
      </c>
      <c r="AC284">
        <v>4728.11103</v>
      </c>
      <c r="AD284">
        <v>0</v>
      </c>
      <c r="AE284">
        <f t="shared" si="41"/>
        <v>282</v>
      </c>
      <c r="AF284">
        <f t="shared" si="42"/>
        <v>281</v>
      </c>
      <c r="AG284">
        <f t="shared" si="36"/>
        <v>-21.313380000000507</v>
      </c>
      <c r="AH284">
        <f t="shared" si="37"/>
        <v>454.26016702442161</v>
      </c>
      <c r="AI284">
        <f t="shared" si="38"/>
        <v>-0.2227268468875799</v>
      </c>
      <c r="AJ284">
        <f t="shared" si="39"/>
        <v>0.13500921905632973</v>
      </c>
      <c r="AK284">
        <f t="shared" si="40"/>
        <v>78961</v>
      </c>
      <c r="AL284">
        <f t="shared" si="43"/>
        <v>4787.2112399999996</v>
      </c>
      <c r="AM284" t="str">
        <f t="shared" si="44"/>
        <v/>
      </c>
    </row>
    <row r="285" spans="1:39" x14ac:dyDescent="0.55000000000000004">
      <c r="A285">
        <v>1776789002</v>
      </c>
      <c r="B285" t="s">
        <v>72</v>
      </c>
      <c r="C285" t="s">
        <v>73</v>
      </c>
      <c r="D285">
        <v>4721.05</v>
      </c>
      <c r="E285">
        <v>4518.5928199999998</v>
      </c>
      <c r="F285">
        <v>4596.0559499999999</v>
      </c>
      <c r="G285">
        <v>4755.40355</v>
      </c>
      <c r="H285">
        <v>4792.7697200000002</v>
      </c>
      <c r="Q285">
        <v>4741.9057700000003</v>
      </c>
      <c r="R285">
        <v>4771.2690700000003</v>
      </c>
      <c r="S285">
        <v>4797.8578399999997</v>
      </c>
      <c r="V285">
        <v>4706.9660000000003</v>
      </c>
      <c r="W285">
        <v>4673.4010099999996</v>
      </c>
      <c r="AB285">
        <v>4718.29378</v>
      </c>
      <c r="AC285">
        <v>4723.2024000000001</v>
      </c>
      <c r="AD285">
        <v>0</v>
      </c>
      <c r="AE285">
        <f t="shared" si="41"/>
        <v>283</v>
      </c>
      <c r="AF285">
        <f t="shared" si="42"/>
        <v>282</v>
      </c>
      <c r="AG285">
        <f t="shared" si="36"/>
        <v>-20.85577000000012</v>
      </c>
      <c r="AH285">
        <f t="shared" si="37"/>
        <v>434.96314229290505</v>
      </c>
      <c r="AI285">
        <f t="shared" si="38"/>
        <v>-0.20868645933358937</v>
      </c>
      <c r="AJ285">
        <f t="shared" si="39"/>
        <v>0.1237824366730825</v>
      </c>
      <c r="AK285">
        <f t="shared" si="40"/>
        <v>79524</v>
      </c>
      <c r="AL285">
        <f t="shared" si="43"/>
        <v>4787.2112399999996</v>
      </c>
      <c r="AM285" t="str">
        <f t="shared" si="44"/>
        <v/>
      </c>
    </row>
    <row r="286" spans="1:39" x14ac:dyDescent="0.55000000000000004">
      <c r="A286">
        <v>1776789902</v>
      </c>
      <c r="B286" t="s">
        <v>72</v>
      </c>
      <c r="C286" t="s">
        <v>73</v>
      </c>
      <c r="D286">
        <v>4711.5600000000004</v>
      </c>
      <c r="E286">
        <v>4518.5928199999998</v>
      </c>
      <c r="F286">
        <v>4596.0559499999999</v>
      </c>
      <c r="G286">
        <v>4755.40355</v>
      </c>
      <c r="H286">
        <v>4792.7697200000002</v>
      </c>
      <c r="Q286">
        <v>4741.6381700000002</v>
      </c>
      <c r="R286">
        <v>4771.0014700000002</v>
      </c>
      <c r="S286">
        <v>4797.5902400000004</v>
      </c>
      <c r="V286">
        <v>4706.6984000000002</v>
      </c>
      <c r="W286">
        <v>4673.1333999999997</v>
      </c>
      <c r="AB286">
        <v>4714.4788900000003</v>
      </c>
      <c r="AC286">
        <v>4718.8406500000001</v>
      </c>
      <c r="AD286">
        <v>0</v>
      </c>
      <c r="AE286">
        <f t="shared" si="41"/>
        <v>284</v>
      </c>
      <c r="AF286">
        <f t="shared" si="42"/>
        <v>283</v>
      </c>
      <c r="AG286">
        <f t="shared" si="36"/>
        <v>-30.078169999999773</v>
      </c>
      <c r="AH286">
        <f t="shared" si="37"/>
        <v>904.69631054888634</v>
      </c>
      <c r="AI286">
        <f t="shared" si="38"/>
        <v>-0.6259934849754315</v>
      </c>
      <c r="AJ286">
        <f t="shared" si="39"/>
        <v>0.53550034021901238</v>
      </c>
      <c r="AK286">
        <f t="shared" si="40"/>
        <v>80089</v>
      </c>
      <c r="AL286">
        <f t="shared" si="43"/>
        <v>4787.2112399999996</v>
      </c>
      <c r="AM286" t="str">
        <f t="shared" si="44"/>
        <v/>
      </c>
    </row>
    <row r="287" spans="1:39" x14ac:dyDescent="0.55000000000000004">
      <c r="A287">
        <v>1776790802</v>
      </c>
      <c r="B287" t="s">
        <v>72</v>
      </c>
      <c r="C287" t="s">
        <v>73</v>
      </c>
      <c r="D287">
        <v>4706.5</v>
      </c>
      <c r="E287">
        <v>4518.5928199999998</v>
      </c>
      <c r="F287">
        <v>4596.0559499999999</v>
      </c>
      <c r="G287">
        <v>4755.40355</v>
      </c>
      <c r="H287">
        <v>4792.7697200000002</v>
      </c>
      <c r="Q287">
        <v>4741.37057</v>
      </c>
      <c r="R287">
        <v>4770.7338600000003</v>
      </c>
      <c r="S287">
        <v>4797.3226400000003</v>
      </c>
      <c r="V287">
        <v>4706.4308000000001</v>
      </c>
      <c r="W287">
        <v>4672.8657999999996</v>
      </c>
      <c r="AB287">
        <v>4711.6392599999999</v>
      </c>
      <c r="AC287">
        <v>4715.2399500000001</v>
      </c>
      <c r="AD287">
        <v>0</v>
      </c>
      <c r="AE287">
        <f t="shared" si="41"/>
        <v>285</v>
      </c>
      <c r="AF287">
        <f t="shared" si="42"/>
        <v>284</v>
      </c>
      <c r="AG287">
        <f t="shared" si="36"/>
        <v>-34.870570000000043</v>
      </c>
      <c r="AH287">
        <f t="shared" si="37"/>
        <v>1215.956652124903</v>
      </c>
      <c r="AI287">
        <f t="shared" si="38"/>
        <v>-0.97542239830710331</v>
      </c>
      <c r="AJ287">
        <f t="shared" si="39"/>
        <v>0.96736484039175086</v>
      </c>
      <c r="AK287">
        <f t="shared" si="40"/>
        <v>80656</v>
      </c>
      <c r="AL287">
        <f t="shared" si="43"/>
        <v>4787.2112399999996</v>
      </c>
      <c r="AM287" t="str">
        <f t="shared" si="44"/>
        <v/>
      </c>
    </row>
    <row r="288" spans="1:39" x14ac:dyDescent="0.55000000000000004">
      <c r="A288">
        <v>1776791702</v>
      </c>
      <c r="B288" t="s">
        <v>72</v>
      </c>
      <c r="C288" t="s">
        <v>73</v>
      </c>
      <c r="D288">
        <v>4700.29</v>
      </c>
      <c r="E288">
        <v>4518.5928199999998</v>
      </c>
      <c r="F288">
        <v>4596.0559499999999</v>
      </c>
      <c r="G288">
        <v>4755.40355</v>
      </c>
      <c r="H288">
        <v>4792.7697200000002</v>
      </c>
      <c r="Q288">
        <v>4741.1029600000002</v>
      </c>
      <c r="R288">
        <v>4770.4662600000001</v>
      </c>
      <c r="S288">
        <v>4797.0550300000004</v>
      </c>
      <c r="V288">
        <v>4706.1631900000002</v>
      </c>
      <c r="W288">
        <v>4672.5981899999997</v>
      </c>
      <c r="AB288">
        <v>4709.7586000000001</v>
      </c>
      <c r="AC288">
        <v>4712.4992700000003</v>
      </c>
      <c r="AD288">
        <v>0</v>
      </c>
      <c r="AE288">
        <f t="shared" si="41"/>
        <v>286</v>
      </c>
      <c r="AF288">
        <f t="shared" si="42"/>
        <v>285</v>
      </c>
      <c r="AG288">
        <f t="shared" si="36"/>
        <v>-40.812960000000203</v>
      </c>
      <c r="AH288">
        <f t="shared" si="37"/>
        <v>1665.6977039616165</v>
      </c>
      <c r="AI288">
        <f t="shared" si="38"/>
        <v>-1.5639031886557431</v>
      </c>
      <c r="AJ288">
        <f t="shared" si="39"/>
        <v>1.8152919712727971</v>
      </c>
      <c r="AK288">
        <f t="shared" si="40"/>
        <v>81225</v>
      </c>
      <c r="AL288">
        <f t="shared" si="43"/>
        <v>4787.2112399999996</v>
      </c>
      <c r="AM288" t="str">
        <f t="shared" si="44"/>
        <v/>
      </c>
    </row>
    <row r="289" spans="1:39" x14ac:dyDescent="0.55000000000000004">
      <c r="A289">
        <v>1776792602</v>
      </c>
      <c r="B289" t="s">
        <v>72</v>
      </c>
      <c r="C289" t="s">
        <v>73</v>
      </c>
      <c r="D289">
        <v>4717.8900000000003</v>
      </c>
      <c r="E289">
        <v>4518.5928199999998</v>
      </c>
      <c r="F289">
        <v>4596.0559499999999</v>
      </c>
      <c r="G289">
        <v>4755.40355</v>
      </c>
      <c r="H289">
        <v>4792.7697200000002</v>
      </c>
      <c r="Q289">
        <v>4740.83536</v>
      </c>
      <c r="R289">
        <v>4770.19866</v>
      </c>
      <c r="S289">
        <v>4796.7874300000003</v>
      </c>
      <c r="V289">
        <v>4705.8955900000001</v>
      </c>
      <c r="W289">
        <v>4672.3305899999996</v>
      </c>
      <c r="AB289">
        <v>4708.7196400000003</v>
      </c>
      <c r="AC289">
        <v>4710.6094599999997</v>
      </c>
      <c r="AD289">
        <v>0</v>
      </c>
      <c r="AE289">
        <f t="shared" si="41"/>
        <v>287</v>
      </c>
      <c r="AF289">
        <f t="shared" si="42"/>
        <v>286</v>
      </c>
      <c r="AG289">
        <f t="shared" si="36"/>
        <v>-22.94535999999971</v>
      </c>
      <c r="AH289">
        <f t="shared" si="37"/>
        <v>526.48954552958662</v>
      </c>
      <c r="AI289">
        <f t="shared" si="38"/>
        <v>-0.27790746470667588</v>
      </c>
      <c r="AJ289">
        <f t="shared" si="39"/>
        <v>0.18135670486814015</v>
      </c>
      <c r="AK289">
        <f t="shared" si="40"/>
        <v>81796</v>
      </c>
      <c r="AL289">
        <f t="shared" si="43"/>
        <v>4787.2112399999996</v>
      </c>
      <c r="AM289" t="str">
        <f t="shared" si="44"/>
        <v/>
      </c>
    </row>
    <row r="290" spans="1:39" x14ac:dyDescent="0.55000000000000004">
      <c r="A290">
        <v>1776793502</v>
      </c>
      <c r="B290" t="s">
        <v>72</v>
      </c>
      <c r="C290" t="s">
        <v>73</v>
      </c>
      <c r="D290">
        <v>4711.38</v>
      </c>
      <c r="E290">
        <v>4518.5928199999998</v>
      </c>
      <c r="F290">
        <v>4596.0559499999999</v>
      </c>
      <c r="G290">
        <v>4755.40355</v>
      </c>
      <c r="H290">
        <v>4792.7697200000002</v>
      </c>
      <c r="Q290">
        <v>4740.5677500000002</v>
      </c>
      <c r="R290">
        <v>4769.9310500000001</v>
      </c>
      <c r="S290">
        <v>4796.5198200000004</v>
      </c>
      <c r="V290">
        <v>4705.6279800000002</v>
      </c>
      <c r="W290">
        <v>4672.0629900000004</v>
      </c>
      <c r="AB290">
        <v>4707.6586399999997</v>
      </c>
      <c r="AC290">
        <v>4709.1340499999997</v>
      </c>
      <c r="AD290">
        <v>0</v>
      </c>
      <c r="AE290">
        <f t="shared" si="41"/>
        <v>288</v>
      </c>
      <c r="AF290">
        <f t="shared" si="42"/>
        <v>287</v>
      </c>
      <c r="AG290">
        <f t="shared" si="36"/>
        <v>-29.187750000000051</v>
      </c>
      <c r="AH290">
        <f t="shared" si="37"/>
        <v>851.92475006250299</v>
      </c>
      <c r="AI290">
        <f t="shared" si="38"/>
        <v>-0.5720281980027242</v>
      </c>
      <c r="AJ290">
        <f t="shared" si="39"/>
        <v>0.4748501545542253</v>
      </c>
      <c r="AK290">
        <f t="shared" si="40"/>
        <v>82369</v>
      </c>
      <c r="AL290">
        <f t="shared" si="43"/>
        <v>4787.2112399999996</v>
      </c>
      <c r="AM290" t="str">
        <f t="shared" si="44"/>
        <v/>
      </c>
    </row>
    <row r="291" spans="1:39" x14ac:dyDescent="0.55000000000000004">
      <c r="A291">
        <v>1776794402</v>
      </c>
      <c r="B291" t="s">
        <v>72</v>
      </c>
      <c r="C291" t="s">
        <v>73</v>
      </c>
      <c r="D291">
        <v>4704.63</v>
      </c>
      <c r="E291">
        <v>4518.5928199999998</v>
      </c>
      <c r="F291">
        <v>4596.0559499999999</v>
      </c>
      <c r="G291">
        <v>4755.40355</v>
      </c>
      <c r="H291">
        <v>4792.7697200000002</v>
      </c>
      <c r="Q291">
        <v>4740.30015</v>
      </c>
      <c r="R291">
        <v>4769.66345</v>
      </c>
      <c r="S291">
        <v>4796.2522200000003</v>
      </c>
      <c r="V291">
        <v>4705.3603800000001</v>
      </c>
      <c r="W291">
        <v>4671.7953799999996</v>
      </c>
      <c r="AB291">
        <v>4706.4068299999999</v>
      </c>
      <c r="AC291">
        <v>4707.7704400000002</v>
      </c>
      <c r="AD291">
        <v>0</v>
      </c>
      <c r="AE291">
        <f t="shared" si="41"/>
        <v>289</v>
      </c>
      <c r="AF291">
        <f t="shared" si="42"/>
        <v>288</v>
      </c>
      <c r="AG291">
        <f t="shared" si="36"/>
        <v>-35.670149999999921</v>
      </c>
      <c r="AH291">
        <f t="shared" si="37"/>
        <v>1272.3596010224944</v>
      </c>
      <c r="AI291">
        <f t="shared" si="38"/>
        <v>-1.0440718615675026</v>
      </c>
      <c r="AJ291">
        <f t="shared" si="39"/>
        <v>1.0591899593402594</v>
      </c>
      <c r="AK291">
        <f t="shared" si="40"/>
        <v>82944</v>
      </c>
      <c r="AL291">
        <f t="shared" si="43"/>
        <v>4787.2112399999996</v>
      </c>
      <c r="AM291" t="str">
        <f t="shared" si="44"/>
        <v/>
      </c>
    </row>
    <row r="292" spans="1:39" x14ac:dyDescent="0.55000000000000004">
      <c r="A292">
        <v>1776795302</v>
      </c>
      <c r="B292" t="s">
        <v>72</v>
      </c>
      <c r="C292" t="s">
        <v>73</v>
      </c>
      <c r="D292">
        <v>4696.62</v>
      </c>
      <c r="E292">
        <v>4518.5928199999998</v>
      </c>
      <c r="F292">
        <v>4596.0559499999999</v>
      </c>
      <c r="G292">
        <v>4755.40355</v>
      </c>
      <c r="H292">
        <v>4792.7697200000002</v>
      </c>
      <c r="Q292">
        <v>4740.0325499999999</v>
      </c>
      <c r="R292">
        <v>4769.3958400000001</v>
      </c>
      <c r="S292">
        <v>4795.9846100000004</v>
      </c>
      <c r="V292">
        <v>4705.0927700000002</v>
      </c>
      <c r="W292">
        <v>4671.5277800000003</v>
      </c>
      <c r="AB292">
        <v>4704.9124599999996</v>
      </c>
      <c r="AC292">
        <v>4706.3414499999999</v>
      </c>
      <c r="AD292">
        <v>0</v>
      </c>
      <c r="AE292">
        <f t="shared" si="41"/>
        <v>290</v>
      </c>
      <c r="AF292">
        <f t="shared" si="42"/>
        <v>289</v>
      </c>
      <c r="AG292">
        <f t="shared" si="36"/>
        <v>-43.41255000000001</v>
      </c>
      <c r="AH292">
        <f t="shared" si="37"/>
        <v>1884.6494975025009</v>
      </c>
      <c r="AI292">
        <f t="shared" si="38"/>
        <v>-1.8821813856487055</v>
      </c>
      <c r="AJ292">
        <f t="shared" si="39"/>
        <v>2.3238885636917366</v>
      </c>
      <c r="AK292">
        <f t="shared" si="40"/>
        <v>83521</v>
      </c>
      <c r="AL292">
        <f t="shared" si="43"/>
        <v>4787.2112399999996</v>
      </c>
      <c r="AM292" t="str">
        <f t="shared" si="44"/>
        <v/>
      </c>
    </row>
    <row r="293" spans="1:39" x14ac:dyDescent="0.55000000000000004">
      <c r="A293">
        <v>1776796202</v>
      </c>
      <c r="B293" t="s">
        <v>72</v>
      </c>
      <c r="C293" t="s">
        <v>73</v>
      </c>
      <c r="D293">
        <v>4703.21</v>
      </c>
      <c r="E293">
        <v>4518.5928199999998</v>
      </c>
      <c r="F293">
        <v>4596.0559499999999</v>
      </c>
      <c r="G293">
        <v>4755.40355</v>
      </c>
      <c r="H293">
        <v>4792.7697200000002</v>
      </c>
      <c r="Q293">
        <v>4739.76494</v>
      </c>
      <c r="R293">
        <v>4769.12824</v>
      </c>
      <c r="S293">
        <v>4795.7170100000003</v>
      </c>
      <c r="V293">
        <v>4704.8251700000001</v>
      </c>
      <c r="W293">
        <v>4671.2601699999996</v>
      </c>
      <c r="AB293">
        <v>4703.2618400000001</v>
      </c>
      <c r="AC293">
        <v>4704.8016399999997</v>
      </c>
      <c r="AD293">
        <v>0</v>
      </c>
      <c r="AE293">
        <f t="shared" si="41"/>
        <v>291</v>
      </c>
      <c r="AF293">
        <f t="shared" si="42"/>
        <v>290</v>
      </c>
      <c r="AG293">
        <f t="shared" si="36"/>
        <v>-36.554939999999988</v>
      </c>
      <c r="AH293">
        <f t="shared" si="37"/>
        <v>1336.2636384035991</v>
      </c>
      <c r="AI293">
        <f t="shared" si="38"/>
        <v>-1.1237088744495582</v>
      </c>
      <c r="AJ293">
        <f t="shared" si="39"/>
        <v>1.1682570601102535</v>
      </c>
      <c r="AK293">
        <f t="shared" si="40"/>
        <v>84100</v>
      </c>
      <c r="AL293">
        <f t="shared" si="43"/>
        <v>4787.2112399999996</v>
      </c>
      <c r="AM293" t="str">
        <f t="shared" si="44"/>
        <v/>
      </c>
    </row>
    <row r="294" spans="1:39" x14ac:dyDescent="0.55000000000000004">
      <c r="A294">
        <v>1776797102</v>
      </c>
      <c r="B294" t="s">
        <v>72</v>
      </c>
      <c r="C294" t="s">
        <v>73</v>
      </c>
      <c r="D294">
        <v>4709.51</v>
      </c>
      <c r="E294">
        <v>4518.5928199999998</v>
      </c>
      <c r="F294">
        <v>4596.0559499999999</v>
      </c>
      <c r="G294">
        <v>4755.40355</v>
      </c>
      <c r="H294">
        <v>4792.7697200000002</v>
      </c>
      <c r="Q294">
        <v>4739.4973399999999</v>
      </c>
      <c r="R294">
        <v>4768.8606399999999</v>
      </c>
      <c r="S294">
        <v>4795.4494100000002</v>
      </c>
      <c r="V294">
        <v>4704.5575699999999</v>
      </c>
      <c r="W294">
        <v>4670.9925700000003</v>
      </c>
      <c r="AB294">
        <v>4701.2994200000003</v>
      </c>
      <c r="AC294">
        <v>4703.0505300000004</v>
      </c>
      <c r="AD294">
        <v>0</v>
      </c>
      <c r="AE294">
        <f t="shared" si="41"/>
        <v>292</v>
      </c>
      <c r="AF294">
        <f t="shared" si="42"/>
        <v>291</v>
      </c>
      <c r="AG294">
        <f t="shared" si="36"/>
        <v>-29.987339999999676</v>
      </c>
      <c r="AH294">
        <f t="shared" si="37"/>
        <v>899.24056027558061</v>
      </c>
      <c r="AI294">
        <f t="shared" si="38"/>
        <v>-0.62033947160832692</v>
      </c>
      <c r="AJ294">
        <f t="shared" si="39"/>
        <v>0.52906116962649863</v>
      </c>
      <c r="AK294">
        <f t="shared" si="40"/>
        <v>84681</v>
      </c>
      <c r="AL294">
        <f t="shared" si="43"/>
        <v>4787.2112399999996</v>
      </c>
      <c r="AM294" t="str">
        <f t="shared" si="44"/>
        <v/>
      </c>
    </row>
    <row r="295" spans="1:39" x14ac:dyDescent="0.55000000000000004">
      <c r="A295">
        <v>1776798002</v>
      </c>
      <c r="B295" t="s">
        <v>72</v>
      </c>
      <c r="C295" t="s">
        <v>73</v>
      </c>
      <c r="D295">
        <v>4707.33</v>
      </c>
      <c r="E295">
        <v>4518.5928199999998</v>
      </c>
      <c r="F295">
        <v>4596.0559499999999</v>
      </c>
      <c r="G295">
        <v>4755.40355</v>
      </c>
      <c r="H295">
        <v>4792.7697200000002</v>
      </c>
      <c r="Q295">
        <v>4739.22973</v>
      </c>
      <c r="R295">
        <v>4768.59303</v>
      </c>
      <c r="S295">
        <v>4795.1818000000003</v>
      </c>
      <c r="V295">
        <v>4704.2899600000001</v>
      </c>
      <c r="W295">
        <v>4670.7249700000002</v>
      </c>
      <c r="AB295">
        <v>4699.0256799999997</v>
      </c>
      <c r="AC295">
        <v>4701.0381100000004</v>
      </c>
      <c r="AD295">
        <v>0</v>
      </c>
      <c r="AE295">
        <f t="shared" si="41"/>
        <v>293</v>
      </c>
      <c r="AF295">
        <f t="shared" si="42"/>
        <v>292</v>
      </c>
      <c r="AG295">
        <f t="shared" si="36"/>
        <v>-31.899730000000091</v>
      </c>
      <c r="AH295">
        <f t="shared" si="37"/>
        <v>1017.5927740729057</v>
      </c>
      <c r="AI295">
        <f t="shared" si="38"/>
        <v>-0.74675236390262545</v>
      </c>
      <c r="AJ295">
        <f t="shared" si="39"/>
        <v>0.67748883341778177</v>
      </c>
      <c r="AK295">
        <f t="shared" si="40"/>
        <v>85264</v>
      </c>
      <c r="AL295">
        <f t="shared" si="43"/>
        <v>4787.2112399999996</v>
      </c>
      <c r="AM295" t="str">
        <f t="shared" si="44"/>
        <v/>
      </c>
    </row>
    <row r="296" spans="1:39" x14ac:dyDescent="0.55000000000000004">
      <c r="A296">
        <v>1776798902</v>
      </c>
      <c r="B296" t="s">
        <v>72</v>
      </c>
      <c r="C296" t="s">
        <v>73</v>
      </c>
      <c r="D296">
        <v>4714.21</v>
      </c>
      <c r="E296">
        <v>4518.5928199999998</v>
      </c>
      <c r="F296">
        <v>4596.0559499999999</v>
      </c>
      <c r="G296">
        <v>4755.40355</v>
      </c>
      <c r="H296">
        <v>4792.7697200000002</v>
      </c>
      <c r="Q296">
        <v>4738.9621299999999</v>
      </c>
      <c r="R296">
        <v>4768.3254299999999</v>
      </c>
      <c r="S296">
        <v>4794.9142000000002</v>
      </c>
      <c r="V296">
        <v>4704.0223599999999</v>
      </c>
      <c r="W296">
        <v>4670.4573600000003</v>
      </c>
      <c r="AB296">
        <v>4696.8540300000004</v>
      </c>
      <c r="AC296">
        <v>4698.94607</v>
      </c>
      <c r="AD296">
        <v>0</v>
      </c>
      <c r="AE296">
        <f t="shared" si="41"/>
        <v>294</v>
      </c>
      <c r="AF296">
        <f t="shared" si="42"/>
        <v>293</v>
      </c>
      <c r="AG296">
        <f t="shared" si="36"/>
        <v>-24.752129999999852</v>
      </c>
      <c r="AH296">
        <f t="shared" si="37"/>
        <v>612.66793953689262</v>
      </c>
      <c r="AI296">
        <f t="shared" si="38"/>
        <v>-0.34886171898633939</v>
      </c>
      <c r="AJ296">
        <f t="shared" si="39"/>
        <v>0.24558646161306272</v>
      </c>
      <c r="AK296">
        <f t="shared" si="40"/>
        <v>85849</v>
      </c>
      <c r="AL296">
        <f t="shared" si="43"/>
        <v>4787.2112399999996</v>
      </c>
      <c r="AM296" t="str">
        <f t="shared" si="44"/>
        <v/>
      </c>
    </row>
    <row r="297" spans="1:39" x14ac:dyDescent="0.55000000000000004">
      <c r="A297">
        <v>1776799802</v>
      </c>
      <c r="B297" t="s">
        <v>72</v>
      </c>
      <c r="C297" t="s">
        <v>73</v>
      </c>
      <c r="D297">
        <v>4671.47</v>
      </c>
      <c r="E297">
        <v>4518.5928199999998</v>
      </c>
      <c r="F297">
        <v>4596.0559499999999</v>
      </c>
      <c r="G297">
        <v>4755.40355</v>
      </c>
      <c r="H297">
        <v>4792.7697200000002</v>
      </c>
      <c r="Q297">
        <v>4738.69452</v>
      </c>
      <c r="R297">
        <v>4768.05782</v>
      </c>
      <c r="S297">
        <v>4794.6465900000003</v>
      </c>
      <c r="V297">
        <v>4703.7547500000001</v>
      </c>
      <c r="W297">
        <v>4670.1897600000002</v>
      </c>
      <c r="AA297">
        <v>4668.6099999999997</v>
      </c>
      <c r="AB297">
        <v>4695.0878700000003</v>
      </c>
      <c r="AC297">
        <v>4697.0169699999997</v>
      </c>
      <c r="AD297">
        <v>0</v>
      </c>
      <c r="AE297">
        <f t="shared" si="41"/>
        <v>295</v>
      </c>
      <c r="AF297">
        <f t="shared" si="42"/>
        <v>294</v>
      </c>
      <c r="AG297">
        <f t="shared" si="36"/>
        <v>-67.224519999999757</v>
      </c>
      <c r="AH297">
        <f t="shared" si="37"/>
        <v>4519.1360892303674</v>
      </c>
      <c r="AI297">
        <f t="shared" si="38"/>
        <v>-6.988737271460594</v>
      </c>
      <c r="AJ297">
        <f t="shared" si="39"/>
        <v>13.361799552614087</v>
      </c>
      <c r="AK297">
        <f t="shared" si="40"/>
        <v>86436</v>
      </c>
      <c r="AL297">
        <f t="shared" si="43"/>
        <v>4787.2112399999996</v>
      </c>
      <c r="AM297" t="str">
        <f t="shared" si="44"/>
        <v/>
      </c>
    </row>
    <row r="298" spans="1:39" x14ac:dyDescent="0.55000000000000004">
      <c r="A298">
        <v>1776800702</v>
      </c>
      <c r="B298" t="s">
        <v>72</v>
      </c>
      <c r="C298" t="s">
        <v>73</v>
      </c>
      <c r="D298">
        <v>4679.2299999999996</v>
      </c>
      <c r="E298">
        <v>4518.5928199999998</v>
      </c>
      <c r="F298">
        <v>4596.0559499999999</v>
      </c>
      <c r="G298">
        <v>4755.40355</v>
      </c>
      <c r="H298">
        <v>4792.7697200000002</v>
      </c>
      <c r="Q298">
        <v>4738.4269199999999</v>
      </c>
      <c r="R298">
        <v>4767.7902199999999</v>
      </c>
      <c r="S298">
        <v>4794.3789900000002</v>
      </c>
      <c r="V298">
        <v>4703.4871499999999</v>
      </c>
      <c r="W298">
        <v>4669.9221500000003</v>
      </c>
      <c r="AB298">
        <v>4695.3685699999996</v>
      </c>
      <c r="AC298">
        <v>4696.1927699999997</v>
      </c>
      <c r="AD298">
        <v>0</v>
      </c>
      <c r="AE298">
        <f t="shared" si="41"/>
        <v>296</v>
      </c>
      <c r="AF298">
        <f t="shared" si="42"/>
        <v>295</v>
      </c>
      <c r="AG298">
        <f t="shared" si="36"/>
        <v>-59.196920000000318</v>
      </c>
      <c r="AH298">
        <f t="shared" si="37"/>
        <v>3504.2753374864378</v>
      </c>
      <c r="AI298">
        <f t="shared" si="38"/>
        <v>-4.7721371615350492</v>
      </c>
      <c r="AJ298">
        <f t="shared" si="39"/>
        <v>8.0343464855795617</v>
      </c>
      <c r="AK298">
        <f t="shared" si="40"/>
        <v>87025</v>
      </c>
      <c r="AL298">
        <f t="shared" si="43"/>
        <v>4787.2112399999996</v>
      </c>
      <c r="AM298" t="str">
        <f t="shared" si="44"/>
        <v/>
      </c>
    </row>
    <row r="299" spans="1:39" x14ac:dyDescent="0.55000000000000004">
      <c r="A299">
        <v>1776801602</v>
      </c>
      <c r="B299" t="s">
        <v>72</v>
      </c>
      <c r="C299" t="s">
        <v>73</v>
      </c>
      <c r="D299">
        <v>4696.9799999999996</v>
      </c>
      <c r="E299">
        <v>4518.5928199999998</v>
      </c>
      <c r="F299">
        <v>4596.0559499999999</v>
      </c>
      <c r="G299">
        <v>4755.40355</v>
      </c>
      <c r="H299">
        <v>4792.7697200000002</v>
      </c>
      <c r="Q299">
        <v>4738.1593199999998</v>
      </c>
      <c r="R299">
        <v>4767.5226199999997</v>
      </c>
      <c r="S299">
        <v>4794.11139</v>
      </c>
      <c r="V299">
        <v>4703.2195499999998</v>
      </c>
      <c r="W299">
        <v>4669.6545500000002</v>
      </c>
      <c r="AB299">
        <v>4697.7102299999997</v>
      </c>
      <c r="AC299">
        <v>4696.9515000000001</v>
      </c>
      <c r="AD299">
        <v>1</v>
      </c>
      <c r="AE299">
        <f t="shared" si="41"/>
        <v>297</v>
      </c>
      <c r="AF299">
        <f t="shared" si="42"/>
        <v>296</v>
      </c>
      <c r="AG299">
        <f t="shared" si="36"/>
        <v>-41.179320000000189</v>
      </c>
      <c r="AH299">
        <f t="shared" si="37"/>
        <v>1695.7363956624156</v>
      </c>
      <c r="AI299">
        <f t="shared" si="38"/>
        <v>-1.6063977856514886</v>
      </c>
      <c r="AJ299">
        <f t="shared" si="39"/>
        <v>1.881355189708503</v>
      </c>
      <c r="AK299">
        <f t="shared" si="40"/>
        <v>87616</v>
      </c>
      <c r="AL299">
        <f t="shared" si="43"/>
        <v>4697.7102299999997</v>
      </c>
      <c r="AM299">
        <f t="shared" si="44"/>
        <v>89.501009999999951</v>
      </c>
    </row>
    <row r="300" spans="1:39" x14ac:dyDescent="0.55000000000000004">
      <c r="A300">
        <v>1776802502</v>
      </c>
      <c r="B300" t="s">
        <v>72</v>
      </c>
      <c r="C300" t="s">
        <v>73</v>
      </c>
      <c r="D300">
        <v>4705.6499999999996</v>
      </c>
      <c r="E300">
        <v>4518.5928199999998</v>
      </c>
      <c r="F300">
        <v>4596.0559499999999</v>
      </c>
      <c r="G300">
        <v>4755.40355</v>
      </c>
      <c r="H300">
        <v>4792.7697200000002</v>
      </c>
      <c r="Q300">
        <v>4737.8917099999999</v>
      </c>
      <c r="R300">
        <v>4767.2550099999999</v>
      </c>
      <c r="S300">
        <v>4793.8437800000002</v>
      </c>
      <c r="V300">
        <v>4702.9519399999999</v>
      </c>
      <c r="W300">
        <v>4669.3869500000001</v>
      </c>
      <c r="AB300">
        <v>4701.5039900000002</v>
      </c>
      <c r="AC300">
        <v>4699.22775</v>
      </c>
      <c r="AD300">
        <v>0</v>
      </c>
      <c r="AE300">
        <f t="shared" si="41"/>
        <v>298</v>
      </c>
      <c r="AF300">
        <f t="shared" si="42"/>
        <v>297</v>
      </c>
      <c r="AG300">
        <f t="shared" si="36"/>
        <v>-32.241710000000239</v>
      </c>
      <c r="AH300">
        <f t="shared" si="37"/>
        <v>1039.5278637241154</v>
      </c>
      <c r="AI300">
        <f t="shared" si="38"/>
        <v>-0.77102735518171017</v>
      </c>
      <c r="AJ300">
        <f t="shared" si="39"/>
        <v>0.70701134404541055</v>
      </c>
      <c r="AK300">
        <f t="shared" si="40"/>
        <v>88209</v>
      </c>
      <c r="AL300">
        <f t="shared" si="43"/>
        <v>4697.7102299999997</v>
      </c>
      <c r="AM300" t="str">
        <f t="shared" si="44"/>
        <v/>
      </c>
    </row>
    <row r="301" spans="1:39" x14ac:dyDescent="0.55000000000000004">
      <c r="A301">
        <v>1776803402</v>
      </c>
      <c r="B301" t="s">
        <v>72</v>
      </c>
      <c r="C301" t="s">
        <v>73</v>
      </c>
      <c r="D301">
        <v>4711.42</v>
      </c>
      <c r="E301">
        <v>4518.5928199999998</v>
      </c>
      <c r="F301">
        <v>4596.0559499999999</v>
      </c>
      <c r="G301">
        <v>4755.40355</v>
      </c>
      <c r="H301">
        <v>4792.7697200000002</v>
      </c>
      <c r="Q301">
        <v>4737.6241099999997</v>
      </c>
      <c r="R301">
        <v>4766.9874099999997</v>
      </c>
      <c r="S301">
        <v>4793.57618</v>
      </c>
      <c r="V301">
        <v>4702.6843399999998</v>
      </c>
      <c r="W301">
        <v>4669.1193400000002</v>
      </c>
      <c r="AB301">
        <v>4706.1689999999999</v>
      </c>
      <c r="AC301">
        <v>4702.6983700000001</v>
      </c>
      <c r="AD301">
        <v>0</v>
      </c>
      <c r="AE301">
        <f t="shared" si="41"/>
        <v>299</v>
      </c>
      <c r="AF301">
        <f t="shared" si="42"/>
        <v>298</v>
      </c>
      <c r="AG301">
        <f t="shared" si="36"/>
        <v>-26.204109999999673</v>
      </c>
      <c r="AH301">
        <f t="shared" si="37"/>
        <v>686.65538089208292</v>
      </c>
      <c r="AI301">
        <f t="shared" si="38"/>
        <v>-0.41392706687732161</v>
      </c>
      <c r="AJ301">
        <f t="shared" si="39"/>
        <v>0.30848337809287174</v>
      </c>
      <c r="AK301">
        <f t="shared" si="40"/>
        <v>88804</v>
      </c>
      <c r="AL301">
        <f t="shared" si="43"/>
        <v>4697.7102299999997</v>
      </c>
      <c r="AM301" t="str">
        <f t="shared" si="44"/>
        <v/>
      </c>
    </row>
    <row r="302" spans="1:39" x14ac:dyDescent="0.55000000000000004">
      <c r="A302">
        <v>1776804302</v>
      </c>
      <c r="B302" t="s">
        <v>72</v>
      </c>
      <c r="C302" t="s">
        <v>73</v>
      </c>
      <c r="D302">
        <v>4720.16</v>
      </c>
      <c r="E302">
        <v>4518.5928199999998</v>
      </c>
      <c r="F302">
        <v>4596.0559499999999</v>
      </c>
      <c r="G302">
        <v>4755.40355</v>
      </c>
      <c r="H302">
        <v>4792.7697200000002</v>
      </c>
      <c r="Q302">
        <v>4737.3564999999999</v>
      </c>
      <c r="R302">
        <v>4766.7197999999999</v>
      </c>
      <c r="S302">
        <v>4793.3085700000001</v>
      </c>
      <c r="V302">
        <v>4702.4167299999999</v>
      </c>
      <c r="W302">
        <v>4668.8517400000001</v>
      </c>
      <c r="AB302">
        <v>4711.1367399999999</v>
      </c>
      <c r="AC302">
        <v>4706.9175500000001</v>
      </c>
      <c r="AD302">
        <v>0</v>
      </c>
      <c r="AE302">
        <f t="shared" si="41"/>
        <v>300</v>
      </c>
      <c r="AF302">
        <f t="shared" si="42"/>
        <v>299</v>
      </c>
      <c r="AG302">
        <f t="shared" si="36"/>
        <v>-17.196500000000015</v>
      </c>
      <c r="AH302">
        <f t="shared" si="37"/>
        <v>295.71961225000052</v>
      </c>
      <c r="AI302">
        <f t="shared" si="38"/>
        <v>-0.11698650771651081</v>
      </c>
      <c r="AJ302">
        <f t="shared" si="39"/>
        <v>5.7215588433588795E-2</v>
      </c>
      <c r="AK302">
        <f t="shared" si="40"/>
        <v>89401</v>
      </c>
      <c r="AL302">
        <f t="shared" si="43"/>
        <v>4697.7102299999997</v>
      </c>
      <c r="AM302" t="str">
        <f t="shared" si="44"/>
        <v/>
      </c>
    </row>
    <row r="303" spans="1:39" x14ac:dyDescent="0.55000000000000004">
      <c r="A303">
        <v>1776808802</v>
      </c>
      <c r="B303" t="s">
        <v>72</v>
      </c>
      <c r="C303" t="s">
        <v>73</v>
      </c>
      <c r="D303">
        <v>4721.88</v>
      </c>
      <c r="E303">
        <v>4518.5928199999998</v>
      </c>
      <c r="F303">
        <v>4596.0559499999999</v>
      </c>
      <c r="G303">
        <v>4755.40355</v>
      </c>
      <c r="H303">
        <v>4792.7697200000002</v>
      </c>
      <c r="Q303">
        <v>4737.0888999999997</v>
      </c>
      <c r="R303">
        <v>4766.4521999999997</v>
      </c>
      <c r="S303">
        <v>4793.04097</v>
      </c>
      <c r="V303">
        <v>4702.1491299999998</v>
      </c>
      <c r="W303">
        <v>4668.5841300000002</v>
      </c>
      <c r="AB303">
        <v>4715.7483099999999</v>
      </c>
      <c r="AC303">
        <v>4711.3329299999996</v>
      </c>
      <c r="AD303">
        <v>0</v>
      </c>
      <c r="AE303">
        <f t="shared" si="41"/>
        <v>301</v>
      </c>
      <c r="AF303">
        <f t="shared" si="42"/>
        <v>300</v>
      </c>
      <c r="AG303">
        <f t="shared" si="36"/>
        <v>-15.20889999999963</v>
      </c>
      <c r="AH303">
        <f t="shared" si="37"/>
        <v>231.31063920998875</v>
      </c>
      <c r="AI303">
        <f t="shared" si="38"/>
        <v>-8.0929898853663196E-2</v>
      </c>
      <c r="AJ303">
        <f t="shared" si="39"/>
        <v>3.5006229053620282E-2</v>
      </c>
      <c r="AK303">
        <f t="shared" si="40"/>
        <v>90000</v>
      </c>
      <c r="AL303">
        <f t="shared" si="43"/>
        <v>4697.7102299999997</v>
      </c>
      <c r="AM303" t="str">
        <f t="shared" si="44"/>
        <v/>
      </c>
    </row>
    <row r="304" spans="1:39" x14ac:dyDescent="0.55000000000000004">
      <c r="A304">
        <v>1776809702</v>
      </c>
      <c r="B304" t="s">
        <v>72</v>
      </c>
      <c r="C304" t="s">
        <v>73</v>
      </c>
      <c r="D304">
        <v>4719.05</v>
      </c>
      <c r="E304">
        <v>4518.5928199999998</v>
      </c>
      <c r="F304">
        <v>4596.0559499999999</v>
      </c>
      <c r="G304">
        <v>4755.40355</v>
      </c>
      <c r="H304">
        <v>4792.7697200000002</v>
      </c>
      <c r="Q304">
        <v>4736.8212999999996</v>
      </c>
      <c r="R304">
        <v>4766.1845899999998</v>
      </c>
      <c r="S304">
        <v>4792.7733699999999</v>
      </c>
      <c r="V304">
        <v>4701.8815299999997</v>
      </c>
      <c r="W304">
        <v>4668.3165300000001</v>
      </c>
      <c r="AB304">
        <v>4719.6941999999999</v>
      </c>
      <c r="AC304">
        <v>4715.5135700000001</v>
      </c>
      <c r="AD304">
        <v>0</v>
      </c>
      <c r="AE304">
        <f t="shared" si="41"/>
        <v>302</v>
      </c>
      <c r="AF304">
        <f t="shared" si="42"/>
        <v>301</v>
      </c>
      <c r="AG304">
        <f t="shared" si="36"/>
        <v>-17.771299999999428</v>
      </c>
      <c r="AH304">
        <f t="shared" si="37"/>
        <v>315.81910368997967</v>
      </c>
      <c r="AI304">
        <f t="shared" si="38"/>
        <v>-0.12911395348199886</v>
      </c>
      <c r="AJ304">
        <f t="shared" si="39"/>
        <v>6.5257571210239382E-2</v>
      </c>
      <c r="AK304">
        <f t="shared" si="40"/>
        <v>90601</v>
      </c>
      <c r="AL304">
        <f t="shared" si="43"/>
        <v>4697.7102299999997</v>
      </c>
      <c r="AM304" t="str">
        <f t="shared" si="44"/>
        <v/>
      </c>
    </row>
    <row r="305" spans="1:39" x14ac:dyDescent="0.55000000000000004">
      <c r="A305">
        <v>1776810602</v>
      </c>
      <c r="B305" t="s">
        <v>72</v>
      </c>
      <c r="C305" t="s">
        <v>73</v>
      </c>
      <c r="D305">
        <v>4716.95</v>
      </c>
      <c r="E305">
        <v>4518.5928199999998</v>
      </c>
      <c r="F305">
        <v>4596.0559499999999</v>
      </c>
      <c r="G305">
        <v>4755.40355</v>
      </c>
      <c r="H305">
        <v>4792.7697200000002</v>
      </c>
      <c r="Q305">
        <v>4736.5536899999997</v>
      </c>
      <c r="R305">
        <v>4765.9169899999997</v>
      </c>
      <c r="S305">
        <v>4792.50576</v>
      </c>
      <c r="V305">
        <v>4701.6139199999998</v>
      </c>
      <c r="W305">
        <v>4668.0489299999999</v>
      </c>
      <c r="AB305">
        <v>4723.0300200000001</v>
      </c>
      <c r="AC305">
        <v>4719.2718000000004</v>
      </c>
      <c r="AD305">
        <v>0</v>
      </c>
      <c r="AE305">
        <f t="shared" si="41"/>
        <v>303</v>
      </c>
      <c r="AF305">
        <f t="shared" si="42"/>
        <v>302</v>
      </c>
      <c r="AG305">
        <f t="shared" si="36"/>
        <v>-19.603689999999915</v>
      </c>
      <c r="AH305">
        <f t="shared" si="37"/>
        <v>384.30466161609667</v>
      </c>
      <c r="AI305">
        <f t="shared" si="38"/>
        <v>-0.17331217128823509</v>
      </c>
      <c r="AJ305">
        <f t="shared" si="39"/>
        <v>9.6628539993349055E-2</v>
      </c>
      <c r="AK305">
        <f t="shared" si="40"/>
        <v>91204</v>
      </c>
      <c r="AL305">
        <f t="shared" si="43"/>
        <v>4697.7102299999997</v>
      </c>
      <c r="AM305" t="str">
        <f t="shared" si="44"/>
        <v/>
      </c>
    </row>
    <row r="306" spans="1:39" x14ac:dyDescent="0.55000000000000004">
      <c r="A306">
        <v>1776811502</v>
      </c>
      <c r="B306" t="s">
        <v>72</v>
      </c>
      <c r="C306" t="s">
        <v>73</v>
      </c>
      <c r="D306">
        <v>4719.51</v>
      </c>
      <c r="E306">
        <v>4518.5928199999998</v>
      </c>
      <c r="F306">
        <v>4596.0559499999999</v>
      </c>
      <c r="G306">
        <v>4755.40355</v>
      </c>
      <c r="H306">
        <v>4792.7697200000002</v>
      </c>
      <c r="Q306">
        <v>4736.2860899999996</v>
      </c>
      <c r="R306">
        <v>4765.6493899999996</v>
      </c>
      <c r="S306">
        <v>4792.2381599999999</v>
      </c>
      <c r="V306">
        <v>4701.3463199999997</v>
      </c>
      <c r="W306">
        <v>4667.7813200000001</v>
      </c>
      <c r="AB306">
        <v>4725.9430300000004</v>
      </c>
      <c r="AC306">
        <v>4722.6074200000003</v>
      </c>
      <c r="AD306">
        <v>0</v>
      </c>
      <c r="AE306">
        <f t="shared" si="41"/>
        <v>304</v>
      </c>
      <c r="AF306">
        <f t="shared" si="42"/>
        <v>303</v>
      </c>
      <c r="AG306">
        <f t="shared" si="36"/>
        <v>-16.776089999999385</v>
      </c>
      <c r="AH306">
        <f t="shared" si="37"/>
        <v>281.43719568807938</v>
      </c>
      <c r="AI306">
        <f t="shared" si="38"/>
        <v>-0.10861450481782628</v>
      </c>
      <c r="AJ306">
        <f t="shared" si="39"/>
        <v>5.1822349872196936E-2</v>
      </c>
      <c r="AK306">
        <f t="shared" si="40"/>
        <v>91809</v>
      </c>
      <c r="AL306">
        <f t="shared" si="43"/>
        <v>4697.7102299999997</v>
      </c>
      <c r="AM306" t="str">
        <f t="shared" si="44"/>
        <v/>
      </c>
    </row>
    <row r="307" spans="1:39" x14ac:dyDescent="0.55000000000000004">
      <c r="A307">
        <v>1776812402</v>
      </c>
      <c r="B307" t="s">
        <v>72</v>
      </c>
      <c r="C307" t="s">
        <v>73</v>
      </c>
      <c r="D307">
        <v>4727.47</v>
      </c>
      <c r="E307">
        <v>4518.5928199999998</v>
      </c>
      <c r="F307">
        <v>4596.0559499999999</v>
      </c>
      <c r="G307">
        <v>4755.40355</v>
      </c>
      <c r="H307">
        <v>4792.7697200000002</v>
      </c>
      <c r="Q307">
        <v>4736.0184799999997</v>
      </c>
      <c r="R307">
        <v>4765.3817799999997</v>
      </c>
      <c r="S307">
        <v>4791.97055</v>
      </c>
      <c r="V307">
        <v>4701.0787099999998</v>
      </c>
      <c r="W307">
        <v>4667.5137199999999</v>
      </c>
      <c r="AB307">
        <v>4728.5683300000001</v>
      </c>
      <c r="AC307">
        <v>4725.5878700000003</v>
      </c>
      <c r="AD307">
        <v>0</v>
      </c>
      <c r="AE307">
        <f t="shared" si="41"/>
        <v>305</v>
      </c>
      <c r="AF307">
        <f t="shared" si="42"/>
        <v>304</v>
      </c>
      <c r="AG307">
        <f t="shared" si="36"/>
        <v>-8.5484799999994721</v>
      </c>
      <c r="AH307">
        <f t="shared" si="37"/>
        <v>73.076510310390972</v>
      </c>
      <c r="AI307">
        <f t="shared" si="38"/>
        <v>-1.4370844309321836E-2</v>
      </c>
      <c r="AJ307">
        <f t="shared" si="39"/>
        <v>3.4938938997021306E-3</v>
      </c>
      <c r="AK307">
        <f t="shared" si="40"/>
        <v>92416</v>
      </c>
      <c r="AL307">
        <f t="shared" si="43"/>
        <v>4697.7102299999997</v>
      </c>
      <c r="AM307" t="str">
        <f t="shared" si="44"/>
        <v/>
      </c>
    </row>
    <row r="308" spans="1:39" x14ac:dyDescent="0.55000000000000004">
      <c r="A308">
        <v>1776813302</v>
      </c>
      <c r="B308" t="s">
        <v>72</v>
      </c>
      <c r="C308" t="s">
        <v>73</v>
      </c>
      <c r="D308">
        <v>4730</v>
      </c>
      <c r="E308">
        <v>4518.5928199999998</v>
      </c>
      <c r="F308">
        <v>4596.0559499999999</v>
      </c>
      <c r="G308">
        <v>4755.40355</v>
      </c>
      <c r="H308">
        <v>4792.7697200000002</v>
      </c>
      <c r="Q308">
        <v>4735.7508799999996</v>
      </c>
      <c r="R308">
        <v>4765.1141799999996</v>
      </c>
      <c r="S308">
        <v>4791.7029499999999</v>
      </c>
      <c r="V308">
        <v>4700.8111099999996</v>
      </c>
      <c r="W308">
        <v>4667.24611</v>
      </c>
      <c r="AB308">
        <v>4730.9655700000003</v>
      </c>
      <c r="AC308">
        <v>4728.2767199999998</v>
      </c>
      <c r="AD308">
        <v>0</v>
      </c>
      <c r="AE308">
        <f t="shared" si="41"/>
        <v>306</v>
      </c>
      <c r="AF308">
        <f t="shared" si="42"/>
        <v>305</v>
      </c>
      <c r="AG308">
        <f t="shared" si="36"/>
        <v>-5.7508799999995972</v>
      </c>
      <c r="AH308">
        <f t="shared" si="37"/>
        <v>33.072620774395368</v>
      </c>
      <c r="AI308">
        <f t="shared" si="38"/>
        <v>-4.3754074416617553E-3</v>
      </c>
      <c r="AJ308">
        <f t="shared" si="39"/>
        <v>7.156346079790467E-4</v>
      </c>
      <c r="AK308">
        <f t="shared" si="40"/>
        <v>93025</v>
      </c>
      <c r="AL308">
        <f t="shared" si="43"/>
        <v>4697.7102299999997</v>
      </c>
      <c r="AM308" t="str">
        <f t="shared" si="44"/>
        <v/>
      </c>
    </row>
    <row r="309" spans="1:39" x14ac:dyDescent="0.55000000000000004">
      <c r="A309">
        <v>1776814202</v>
      </c>
      <c r="B309" t="s">
        <v>72</v>
      </c>
      <c r="C309" t="s">
        <v>73</v>
      </c>
      <c r="D309">
        <v>4731.9399999999996</v>
      </c>
      <c r="E309">
        <v>4518.5928199999998</v>
      </c>
      <c r="F309">
        <v>4596.0559499999999</v>
      </c>
      <c r="G309">
        <v>4755.40355</v>
      </c>
      <c r="H309">
        <v>4792.7697200000002</v>
      </c>
      <c r="Q309">
        <v>4735.4832800000004</v>
      </c>
      <c r="R309">
        <v>4764.8465699999997</v>
      </c>
      <c r="S309">
        <v>4791.4353499999997</v>
      </c>
      <c r="V309">
        <v>4700.5435100000004</v>
      </c>
      <c r="W309">
        <v>4666.9785099999999</v>
      </c>
      <c r="AB309">
        <v>4733.2586000000001</v>
      </c>
      <c r="AC309">
        <v>4730.7676600000004</v>
      </c>
      <c r="AD309">
        <v>0</v>
      </c>
      <c r="AE309">
        <f t="shared" si="41"/>
        <v>307</v>
      </c>
      <c r="AF309">
        <f t="shared" si="42"/>
        <v>306</v>
      </c>
      <c r="AG309">
        <f t="shared" si="36"/>
        <v>-3.5432800000007774</v>
      </c>
      <c r="AH309">
        <f t="shared" si="37"/>
        <v>12.55483315840551</v>
      </c>
      <c r="AI309">
        <f t="shared" si="38"/>
        <v>-1.0233684013463704E-3</v>
      </c>
      <c r="AJ309">
        <f t="shared" si="39"/>
        <v>1.031278595942059E-4</v>
      </c>
      <c r="AK309">
        <f t="shared" si="40"/>
        <v>93636</v>
      </c>
      <c r="AL309">
        <f t="shared" si="43"/>
        <v>4697.7102299999997</v>
      </c>
      <c r="AM309" t="str">
        <f t="shared" si="44"/>
        <v/>
      </c>
    </row>
    <row r="310" spans="1:39" x14ac:dyDescent="0.55000000000000004">
      <c r="A310">
        <v>1776815102</v>
      </c>
      <c r="B310" t="s">
        <v>72</v>
      </c>
      <c r="C310" t="s">
        <v>73</v>
      </c>
      <c r="D310">
        <v>4737.96</v>
      </c>
      <c r="E310">
        <v>4518.5928199999998</v>
      </c>
      <c r="F310">
        <v>4596.0559499999999</v>
      </c>
      <c r="G310">
        <v>4755.40355</v>
      </c>
      <c r="H310">
        <v>4792.7697200000002</v>
      </c>
      <c r="Q310">
        <v>4735.2156699999996</v>
      </c>
      <c r="R310">
        <v>4764.5789699999996</v>
      </c>
      <c r="S310">
        <v>4791.1677399999999</v>
      </c>
      <c r="V310">
        <v>4700.2758999999996</v>
      </c>
      <c r="W310">
        <v>4666.7109</v>
      </c>
      <c r="AB310">
        <v>4735.5027799999998</v>
      </c>
      <c r="AC310">
        <v>4733.1352200000001</v>
      </c>
      <c r="AD310">
        <v>0</v>
      </c>
      <c r="AE310">
        <f t="shared" si="41"/>
        <v>308</v>
      </c>
      <c r="AF310">
        <f t="shared" si="42"/>
        <v>307</v>
      </c>
      <c r="AG310">
        <f t="shared" si="36"/>
        <v>2.7443300000004456</v>
      </c>
      <c r="AH310">
        <f t="shared" si="37"/>
        <v>7.5313471489024453</v>
      </c>
      <c r="AI310">
        <f t="shared" si="38"/>
        <v>4.7547160271877874E-4</v>
      </c>
      <c r="AJ310">
        <f t="shared" si="39"/>
        <v>3.7110725558101219E-5</v>
      </c>
      <c r="AK310">
        <f t="shared" si="40"/>
        <v>94249</v>
      </c>
      <c r="AL310">
        <f t="shared" si="43"/>
        <v>4697.7102299999997</v>
      </c>
      <c r="AM310" t="str">
        <f t="shared" si="44"/>
        <v/>
      </c>
    </row>
    <row r="311" spans="1:39" x14ac:dyDescent="0.55000000000000004">
      <c r="A311">
        <v>1776816002</v>
      </c>
      <c r="B311" t="s">
        <v>72</v>
      </c>
      <c r="C311" t="s">
        <v>73</v>
      </c>
      <c r="D311">
        <v>4742.93</v>
      </c>
      <c r="E311">
        <v>4518.5928199999998</v>
      </c>
      <c r="F311">
        <v>4596.0559499999999</v>
      </c>
      <c r="G311">
        <v>4755.40355</v>
      </c>
      <c r="H311">
        <v>4792.7697200000002</v>
      </c>
      <c r="Q311">
        <v>4734.9480700000004</v>
      </c>
      <c r="R311">
        <v>4764.3113700000004</v>
      </c>
      <c r="S311">
        <v>4790.9001399999997</v>
      </c>
      <c r="V311">
        <v>4700.0083000000004</v>
      </c>
      <c r="W311">
        <v>4666.4432999999999</v>
      </c>
      <c r="AB311">
        <v>4737.5974999999999</v>
      </c>
      <c r="AC311">
        <v>4735.36636</v>
      </c>
      <c r="AD311">
        <v>0</v>
      </c>
      <c r="AE311">
        <f t="shared" si="41"/>
        <v>309</v>
      </c>
      <c r="AF311">
        <f t="shared" si="42"/>
        <v>308</v>
      </c>
      <c r="AG311">
        <f t="shared" si="36"/>
        <v>7.9819299999999203</v>
      </c>
      <c r="AH311">
        <f t="shared" si="37"/>
        <v>63.711206524898728</v>
      </c>
      <c r="AI311">
        <f t="shared" si="38"/>
        <v>1.1698746459288676E-2</v>
      </c>
      <c r="AJ311">
        <f t="shared" si="39"/>
        <v>2.6557413266109502E-3</v>
      </c>
      <c r="AK311">
        <f t="shared" si="40"/>
        <v>94864</v>
      </c>
      <c r="AL311">
        <f t="shared" si="43"/>
        <v>4697.7102299999997</v>
      </c>
      <c r="AM311" t="str">
        <f t="shared" si="44"/>
        <v/>
      </c>
    </row>
    <row r="312" spans="1:39" x14ac:dyDescent="0.55000000000000004">
      <c r="A312">
        <v>1776816902</v>
      </c>
      <c r="B312" t="s">
        <v>72</v>
      </c>
      <c r="C312" t="s">
        <v>73</v>
      </c>
      <c r="D312">
        <v>4742.51</v>
      </c>
      <c r="E312">
        <v>4518.5928199999998</v>
      </c>
      <c r="F312">
        <v>4596.0559499999999</v>
      </c>
      <c r="G312">
        <v>4755.40355</v>
      </c>
      <c r="H312">
        <v>4792.7697200000002</v>
      </c>
      <c r="Q312">
        <v>4734.6804599999996</v>
      </c>
      <c r="R312">
        <v>4764.0437599999996</v>
      </c>
      <c r="S312">
        <v>4790.6325299999999</v>
      </c>
      <c r="V312">
        <v>4699.7406899999996</v>
      </c>
      <c r="W312">
        <v>4666.1756999999998</v>
      </c>
      <c r="AB312">
        <v>4739.4390299999995</v>
      </c>
      <c r="AC312">
        <v>4737.4026999999996</v>
      </c>
      <c r="AD312">
        <v>0</v>
      </c>
      <c r="AE312">
        <f t="shared" si="41"/>
        <v>310</v>
      </c>
      <c r="AF312">
        <f t="shared" si="42"/>
        <v>309</v>
      </c>
      <c r="AG312">
        <f t="shared" si="36"/>
        <v>7.8295400000006339</v>
      </c>
      <c r="AH312">
        <f t="shared" si="37"/>
        <v>61.301696611609927</v>
      </c>
      <c r="AI312">
        <f t="shared" si="38"/>
        <v>1.104140464269601E-2</v>
      </c>
      <c r="AJ312">
        <f t="shared" si="39"/>
        <v>2.4586635423547629E-3</v>
      </c>
      <c r="AK312">
        <f t="shared" si="40"/>
        <v>95481</v>
      </c>
      <c r="AL312">
        <f t="shared" si="43"/>
        <v>4697.7102299999997</v>
      </c>
      <c r="AM312" t="str">
        <f t="shared" si="44"/>
        <v/>
      </c>
    </row>
    <row r="313" spans="1:39" x14ac:dyDescent="0.55000000000000004">
      <c r="A313">
        <v>1776817802</v>
      </c>
      <c r="B313" t="s">
        <v>72</v>
      </c>
      <c r="C313" t="s">
        <v>73</v>
      </c>
      <c r="D313">
        <v>4742.1099999999997</v>
      </c>
      <c r="E313">
        <v>4518.5928199999998</v>
      </c>
      <c r="F313">
        <v>4596.0559499999999</v>
      </c>
      <c r="G313">
        <v>4755.40355</v>
      </c>
      <c r="H313">
        <v>4792.7697200000002</v>
      </c>
      <c r="Q313">
        <v>4734.4128600000004</v>
      </c>
      <c r="R313">
        <v>4763.7761600000003</v>
      </c>
      <c r="S313">
        <v>4790.3649299999997</v>
      </c>
      <c r="V313">
        <v>4699.4730900000004</v>
      </c>
      <c r="W313">
        <v>4665.9080899999999</v>
      </c>
      <c r="AB313">
        <v>4741.1049800000001</v>
      </c>
      <c r="AC313">
        <v>4739.2538400000003</v>
      </c>
      <c r="AD313">
        <v>0</v>
      </c>
      <c r="AE313">
        <f t="shared" si="41"/>
        <v>311</v>
      </c>
      <c r="AF313">
        <f t="shared" si="42"/>
        <v>310</v>
      </c>
      <c r="AG313">
        <f t="shared" si="36"/>
        <v>7.6971399999993082</v>
      </c>
      <c r="AH313">
        <f t="shared" si="37"/>
        <v>59.24596417958935</v>
      </c>
      <c r="AI313">
        <f t="shared" si="38"/>
        <v>1.0490682467293093E-2</v>
      </c>
      <c r="AJ313">
        <f t="shared" si="39"/>
        <v>2.2965275300084369E-3</v>
      </c>
      <c r="AK313">
        <f t="shared" si="40"/>
        <v>96100</v>
      </c>
      <c r="AL313">
        <f t="shared" si="43"/>
        <v>4697.7102299999997</v>
      </c>
      <c r="AM313" t="str">
        <f t="shared" si="44"/>
        <v/>
      </c>
    </row>
    <row r="314" spans="1:39" x14ac:dyDescent="0.55000000000000004">
      <c r="A314">
        <v>1776818702</v>
      </c>
      <c r="B314" t="s">
        <v>72</v>
      </c>
      <c r="C314" t="s">
        <v>73</v>
      </c>
      <c r="D314">
        <v>4739.7700000000004</v>
      </c>
      <c r="E314">
        <v>4518.5928199999998</v>
      </c>
      <c r="F314">
        <v>4596.0559499999999</v>
      </c>
      <c r="G314">
        <v>4755.40355</v>
      </c>
      <c r="H314">
        <v>4792.7697200000002</v>
      </c>
      <c r="Q314">
        <v>4734.1452600000002</v>
      </c>
      <c r="R314">
        <v>4763.5085499999996</v>
      </c>
      <c r="S314">
        <v>4790.0973199999999</v>
      </c>
      <c r="V314">
        <v>4699.2054799999996</v>
      </c>
      <c r="W314">
        <v>4665.6404899999998</v>
      </c>
      <c r="AB314">
        <v>4742.7174100000002</v>
      </c>
      <c r="AC314">
        <v>4740.9856200000004</v>
      </c>
      <c r="AD314">
        <v>0</v>
      </c>
      <c r="AE314">
        <f t="shared" si="41"/>
        <v>312</v>
      </c>
      <c r="AF314">
        <f t="shared" si="42"/>
        <v>311</v>
      </c>
      <c r="AG314">
        <f t="shared" si="36"/>
        <v>5.6247400000002017</v>
      </c>
      <c r="AH314">
        <f t="shared" si="37"/>
        <v>31.637700067602267</v>
      </c>
      <c r="AI314">
        <f t="shared" si="38"/>
        <v>4.0937653076329782E-3</v>
      </c>
      <c r="AJ314">
        <f t="shared" si="39"/>
        <v>6.5488330898301765E-4</v>
      </c>
      <c r="AK314">
        <f t="shared" si="40"/>
        <v>96721</v>
      </c>
      <c r="AL314">
        <f t="shared" si="43"/>
        <v>4697.7102299999997</v>
      </c>
      <c r="AM314" t="str">
        <f t="shared" si="44"/>
        <v/>
      </c>
    </row>
    <row r="315" spans="1:39" x14ac:dyDescent="0.55000000000000004">
      <c r="A315">
        <v>1776819602</v>
      </c>
      <c r="B315" t="s">
        <v>72</v>
      </c>
      <c r="C315" t="s">
        <v>73</v>
      </c>
      <c r="D315">
        <v>4738.28</v>
      </c>
      <c r="E315">
        <v>4518.5928199999998</v>
      </c>
      <c r="F315">
        <v>4596.0559499999999</v>
      </c>
      <c r="G315">
        <v>4755.40355</v>
      </c>
      <c r="H315">
        <v>4792.7697200000002</v>
      </c>
      <c r="Q315">
        <v>4733.8776500000004</v>
      </c>
      <c r="R315">
        <v>4763.2409500000003</v>
      </c>
      <c r="S315">
        <v>4789.8297199999997</v>
      </c>
      <c r="V315">
        <v>4698.9378800000004</v>
      </c>
      <c r="W315">
        <v>4665.3728799999999</v>
      </c>
      <c r="AB315">
        <v>4744.4661699999997</v>
      </c>
      <c r="AC315">
        <v>4742.7259000000004</v>
      </c>
      <c r="AD315">
        <v>0</v>
      </c>
      <c r="AE315">
        <f t="shared" si="41"/>
        <v>313</v>
      </c>
      <c r="AF315">
        <f t="shared" si="42"/>
        <v>312</v>
      </c>
      <c r="AG315">
        <f t="shared" si="36"/>
        <v>4.4023499999993874</v>
      </c>
      <c r="AH315">
        <f t="shared" si="37"/>
        <v>19.380685522494606</v>
      </c>
      <c r="AI315">
        <f t="shared" si="38"/>
        <v>1.9627694351278206E-3</v>
      </c>
      <c r="AJ315">
        <f t="shared" si="39"/>
        <v>2.4574935228782149E-4</v>
      </c>
      <c r="AK315">
        <f t="shared" si="40"/>
        <v>97344</v>
      </c>
      <c r="AL315">
        <f t="shared" si="43"/>
        <v>4697.7102299999997</v>
      </c>
      <c r="AM315" t="str">
        <f t="shared" si="44"/>
        <v/>
      </c>
    </row>
    <row r="316" spans="1:39" x14ac:dyDescent="0.55000000000000004">
      <c r="A316">
        <v>1776820502</v>
      </c>
      <c r="B316" t="s">
        <v>72</v>
      </c>
      <c r="C316" t="s">
        <v>73</v>
      </c>
      <c r="D316">
        <v>4746.5200000000004</v>
      </c>
      <c r="E316">
        <v>4518.5928199999998</v>
      </c>
      <c r="F316">
        <v>4596.0559499999999</v>
      </c>
      <c r="G316">
        <v>4755.40355</v>
      </c>
      <c r="H316">
        <v>4792.7697200000002</v>
      </c>
      <c r="Q316">
        <v>4733.6100500000002</v>
      </c>
      <c r="R316">
        <v>4762.9733500000002</v>
      </c>
      <c r="S316">
        <v>4789.5621199999996</v>
      </c>
      <c r="V316">
        <v>4698.6702800000003</v>
      </c>
      <c r="W316">
        <v>4665.1052799999998</v>
      </c>
      <c r="AB316">
        <v>4746.4741000000004</v>
      </c>
      <c r="AC316">
        <v>4744.6000000000004</v>
      </c>
      <c r="AD316">
        <v>0</v>
      </c>
      <c r="AE316">
        <f t="shared" si="41"/>
        <v>314</v>
      </c>
      <c r="AF316">
        <f t="shared" si="42"/>
        <v>313</v>
      </c>
      <c r="AG316">
        <f t="shared" si="36"/>
        <v>12.909950000000208</v>
      </c>
      <c r="AH316">
        <f t="shared" si="37"/>
        <v>166.66680900250537</v>
      </c>
      <c r="AI316">
        <f t="shared" si="38"/>
        <v>4.9498183944742799E-2</v>
      </c>
      <c r="AJ316">
        <f t="shared" si="39"/>
        <v>1.8174076578521006E-2</v>
      </c>
      <c r="AK316">
        <f t="shared" si="40"/>
        <v>97969</v>
      </c>
      <c r="AL316">
        <f t="shared" si="43"/>
        <v>4697.7102299999997</v>
      </c>
      <c r="AM316" t="str">
        <f t="shared" si="44"/>
        <v/>
      </c>
    </row>
    <row r="317" spans="1:39" x14ac:dyDescent="0.55000000000000004">
      <c r="A317">
        <v>1776821402</v>
      </c>
      <c r="B317" t="s">
        <v>72</v>
      </c>
      <c r="C317" t="s">
        <v>73</v>
      </c>
      <c r="D317">
        <v>4749.74</v>
      </c>
      <c r="E317">
        <v>4518.5928199999998</v>
      </c>
      <c r="F317">
        <v>4596.0559499999999</v>
      </c>
      <c r="G317">
        <v>4755.40355</v>
      </c>
      <c r="H317">
        <v>4792.7697200000002</v>
      </c>
      <c r="Q317">
        <v>4733.3424400000004</v>
      </c>
      <c r="R317">
        <v>4762.7057400000003</v>
      </c>
      <c r="S317">
        <v>4789.2945099999997</v>
      </c>
      <c r="V317">
        <v>4698.4026700000004</v>
      </c>
      <c r="W317">
        <v>4664.8376799999996</v>
      </c>
      <c r="AB317">
        <v>4748.5721100000001</v>
      </c>
      <c r="AC317">
        <v>4746.5860499999999</v>
      </c>
      <c r="AD317">
        <v>0</v>
      </c>
      <c r="AE317">
        <f t="shared" si="41"/>
        <v>315</v>
      </c>
      <c r="AF317">
        <f t="shared" si="42"/>
        <v>314</v>
      </c>
      <c r="AG317">
        <f t="shared" si="36"/>
        <v>16.39755999999943</v>
      </c>
      <c r="AH317">
        <f t="shared" si="37"/>
        <v>268.87997395358133</v>
      </c>
      <c r="AI317">
        <f t="shared" si="38"/>
        <v>0.10142692770097529</v>
      </c>
      <c r="AJ317">
        <f t="shared" si="39"/>
        <v>4.7301076794533499E-2</v>
      </c>
      <c r="AK317">
        <f t="shared" si="40"/>
        <v>98596</v>
      </c>
      <c r="AL317">
        <f t="shared" si="43"/>
        <v>4697.7102299999997</v>
      </c>
      <c r="AM317" t="str">
        <f t="shared" si="44"/>
        <v/>
      </c>
    </row>
    <row r="318" spans="1:39" x14ac:dyDescent="0.55000000000000004">
      <c r="A318">
        <v>1776822302</v>
      </c>
      <c r="B318" t="s">
        <v>72</v>
      </c>
      <c r="C318" t="s">
        <v>73</v>
      </c>
      <c r="D318">
        <v>4752.3100000000004</v>
      </c>
      <c r="E318">
        <v>4518.5928199999998</v>
      </c>
      <c r="F318">
        <v>4596.0559499999999</v>
      </c>
      <c r="G318">
        <v>4755.40355</v>
      </c>
      <c r="H318">
        <v>4792.7697200000002</v>
      </c>
      <c r="Q318">
        <v>4733.0748400000002</v>
      </c>
      <c r="R318">
        <v>4762.4381400000002</v>
      </c>
      <c r="S318">
        <v>4789.0269099999996</v>
      </c>
      <c r="V318">
        <v>4698.1350700000003</v>
      </c>
      <c r="W318">
        <v>4664.5700699999998</v>
      </c>
      <c r="AB318">
        <v>4750.6824999999999</v>
      </c>
      <c r="AC318">
        <v>4748.6342800000002</v>
      </c>
      <c r="AD318">
        <v>0</v>
      </c>
      <c r="AE318">
        <f t="shared" si="41"/>
        <v>316</v>
      </c>
      <c r="AF318">
        <f t="shared" si="42"/>
        <v>315</v>
      </c>
      <c r="AG318">
        <f t="shared" si="36"/>
        <v>19.235160000000178</v>
      </c>
      <c r="AH318">
        <f t="shared" si="37"/>
        <v>369.99138022560686</v>
      </c>
      <c r="AI318">
        <f t="shared" si="38"/>
        <v>0.16372047424158814</v>
      </c>
      <c r="AJ318">
        <f t="shared" si="39"/>
        <v>8.9564792751212E-2</v>
      </c>
      <c r="AK318">
        <f t="shared" si="40"/>
        <v>99225</v>
      </c>
      <c r="AL318">
        <f t="shared" si="43"/>
        <v>4697.7102299999997</v>
      </c>
      <c r="AM318" t="str">
        <f t="shared" si="44"/>
        <v/>
      </c>
    </row>
    <row r="319" spans="1:39" x14ac:dyDescent="0.55000000000000004">
      <c r="A319">
        <v>1776823202</v>
      </c>
      <c r="B319" t="s">
        <v>72</v>
      </c>
      <c r="C319" t="s">
        <v>73</v>
      </c>
      <c r="D319">
        <v>4755.68</v>
      </c>
      <c r="E319">
        <v>4518.5928199999998</v>
      </c>
      <c r="F319">
        <v>4596.0559499999999</v>
      </c>
      <c r="G319">
        <v>4755.40355</v>
      </c>
      <c r="H319">
        <v>4792.7697200000002</v>
      </c>
      <c r="Q319">
        <v>4732.8072300000003</v>
      </c>
      <c r="R319">
        <v>4762.1705300000003</v>
      </c>
      <c r="S319">
        <v>4788.7592999999997</v>
      </c>
      <c r="V319">
        <v>4697.8674600000004</v>
      </c>
      <c r="W319">
        <v>4664.3024699999996</v>
      </c>
      <c r="AB319">
        <v>4752.7290199999998</v>
      </c>
      <c r="AC319">
        <v>4750.6816500000004</v>
      </c>
      <c r="AD319">
        <v>0</v>
      </c>
      <c r="AE319">
        <f t="shared" si="41"/>
        <v>317</v>
      </c>
      <c r="AF319">
        <f t="shared" si="42"/>
        <v>316</v>
      </c>
      <c r="AG319">
        <f t="shared" si="36"/>
        <v>22.872769999999946</v>
      </c>
      <c r="AH319">
        <f t="shared" si="37"/>
        <v>523.16360747289752</v>
      </c>
      <c r="AI319">
        <f t="shared" si="38"/>
        <v>0.27527823380542271</v>
      </c>
      <c r="AJ319">
        <f t="shared" si="39"/>
        <v>0.17907261028505331</v>
      </c>
      <c r="AK319">
        <f t="shared" si="40"/>
        <v>99856</v>
      </c>
      <c r="AL319">
        <f t="shared" si="43"/>
        <v>4697.7102299999997</v>
      </c>
      <c r="AM319" t="str">
        <f t="shared" si="44"/>
        <v/>
      </c>
    </row>
    <row r="320" spans="1:39" x14ac:dyDescent="0.55000000000000004">
      <c r="A320">
        <v>1776824102</v>
      </c>
      <c r="B320" t="s">
        <v>72</v>
      </c>
      <c r="C320" t="s">
        <v>73</v>
      </c>
      <c r="D320">
        <v>4755.59</v>
      </c>
      <c r="E320">
        <v>4518.5928199999998</v>
      </c>
      <c r="F320">
        <v>4596.0559499999999</v>
      </c>
      <c r="G320">
        <v>4755.40355</v>
      </c>
      <c r="H320">
        <v>4792.7697200000002</v>
      </c>
      <c r="Q320">
        <v>4732.5396300000002</v>
      </c>
      <c r="R320">
        <v>4761.9029300000002</v>
      </c>
      <c r="S320">
        <v>4788.4916999999996</v>
      </c>
      <c r="V320">
        <v>4697.5998600000003</v>
      </c>
      <c r="W320">
        <v>4664.0348599999998</v>
      </c>
      <c r="AB320">
        <v>4754.5365000000002</v>
      </c>
      <c r="AC320">
        <v>4752.6090700000004</v>
      </c>
      <c r="AD320">
        <v>0</v>
      </c>
      <c r="AE320">
        <f t="shared" si="41"/>
        <v>318</v>
      </c>
      <c r="AF320">
        <f t="shared" si="42"/>
        <v>317</v>
      </c>
      <c r="AG320">
        <f t="shared" si="36"/>
        <v>23.05036999999993</v>
      </c>
      <c r="AH320">
        <f t="shared" si="37"/>
        <v>531.31955713689672</v>
      </c>
      <c r="AI320">
        <f t="shared" si="38"/>
        <v>0.28174050418968299</v>
      </c>
      <c r="AJ320">
        <f t="shared" si="39"/>
        <v>0.18469949866029761</v>
      </c>
      <c r="AK320">
        <f t="shared" si="40"/>
        <v>100489</v>
      </c>
      <c r="AL320">
        <f t="shared" si="43"/>
        <v>4697.7102299999997</v>
      </c>
      <c r="AM320" t="str">
        <f t="shared" si="44"/>
        <v/>
      </c>
    </row>
    <row r="321" spans="1:39" x14ac:dyDescent="0.55000000000000004">
      <c r="A321">
        <v>1776825002</v>
      </c>
      <c r="B321" t="s">
        <v>72</v>
      </c>
      <c r="C321" t="s">
        <v>73</v>
      </c>
      <c r="D321">
        <v>4751.37</v>
      </c>
      <c r="E321">
        <v>4518.5928199999998</v>
      </c>
      <c r="F321">
        <v>4596.0559499999999</v>
      </c>
      <c r="G321">
        <v>4755.40355</v>
      </c>
      <c r="H321">
        <v>4792.7697200000002</v>
      </c>
      <c r="Q321">
        <v>4732.2720300000001</v>
      </c>
      <c r="R321">
        <v>4761.6353300000001</v>
      </c>
      <c r="S321">
        <v>4788.2241000000004</v>
      </c>
      <c r="V321">
        <v>4697.3322600000001</v>
      </c>
      <c r="W321">
        <v>4663.7672599999996</v>
      </c>
      <c r="AB321">
        <v>4756.0619699999997</v>
      </c>
      <c r="AC321">
        <v>4754.3355199999996</v>
      </c>
      <c r="AD321">
        <v>0</v>
      </c>
      <c r="AE321">
        <f t="shared" si="41"/>
        <v>319</v>
      </c>
      <c r="AF321">
        <f t="shared" si="42"/>
        <v>318</v>
      </c>
      <c r="AG321">
        <f t="shared" si="36"/>
        <v>19.097969999999805</v>
      </c>
      <c r="AH321">
        <f t="shared" si="37"/>
        <v>364.73245812089255</v>
      </c>
      <c r="AI321">
        <f t="shared" si="38"/>
        <v>0.16024231291298427</v>
      </c>
      <c r="AJ321">
        <f t="shared" si="39"/>
        <v>8.7036804905219409E-2</v>
      </c>
      <c r="AK321">
        <f t="shared" si="40"/>
        <v>101124</v>
      </c>
      <c r="AL321">
        <f t="shared" si="43"/>
        <v>4697.7102299999997</v>
      </c>
      <c r="AM321" t="str">
        <f t="shared" si="44"/>
        <v/>
      </c>
    </row>
    <row r="322" spans="1:39" x14ac:dyDescent="0.55000000000000004">
      <c r="A322">
        <v>1776825902</v>
      </c>
      <c r="B322" t="s">
        <v>72</v>
      </c>
      <c r="C322" t="s">
        <v>73</v>
      </c>
      <c r="D322">
        <v>4755.8100000000004</v>
      </c>
      <c r="E322">
        <v>4518.5928199999998</v>
      </c>
      <c r="F322">
        <v>4596.0559499999999</v>
      </c>
      <c r="G322">
        <v>4755.40355</v>
      </c>
      <c r="H322">
        <v>4792.7697200000002</v>
      </c>
      <c r="Q322">
        <v>4732.0044200000002</v>
      </c>
      <c r="R322">
        <v>4761.3677200000002</v>
      </c>
      <c r="S322">
        <v>4787.9564899999996</v>
      </c>
      <c r="V322">
        <v>4697.0646500000003</v>
      </c>
      <c r="W322">
        <v>4663.4996600000004</v>
      </c>
      <c r="AB322">
        <v>4757.3758699999998</v>
      </c>
      <c r="AC322">
        <v>4755.8557000000001</v>
      </c>
      <c r="AD322">
        <v>0</v>
      </c>
      <c r="AE322">
        <f t="shared" si="41"/>
        <v>320</v>
      </c>
      <c r="AF322">
        <f t="shared" si="42"/>
        <v>319</v>
      </c>
      <c r="AG322">
        <f t="shared" si="36"/>
        <v>23.805580000000191</v>
      </c>
      <c r="AH322">
        <f t="shared" si="37"/>
        <v>566.7056391364091</v>
      </c>
      <c r="AI322">
        <f t="shared" si="38"/>
        <v>0.31035009724530599</v>
      </c>
      <c r="AJ322">
        <f t="shared" si="39"/>
        <v>0.21012086552543111</v>
      </c>
      <c r="AK322">
        <f t="shared" si="40"/>
        <v>101761</v>
      </c>
      <c r="AL322">
        <f t="shared" si="43"/>
        <v>4697.7102299999997</v>
      </c>
      <c r="AM322" t="str">
        <f t="shared" si="44"/>
        <v/>
      </c>
    </row>
    <row r="323" spans="1:39" x14ac:dyDescent="0.55000000000000004">
      <c r="A323">
        <v>1776826802</v>
      </c>
      <c r="B323" t="s">
        <v>72</v>
      </c>
      <c r="C323" t="s">
        <v>73</v>
      </c>
      <c r="D323">
        <v>4757.6099999999997</v>
      </c>
      <c r="E323">
        <v>4518.5928199999998</v>
      </c>
      <c r="F323">
        <v>4596.0559499999999</v>
      </c>
      <c r="G323">
        <v>4755.40355</v>
      </c>
      <c r="H323">
        <v>4792.7697200000002</v>
      </c>
      <c r="Q323">
        <v>4731.7368200000001</v>
      </c>
      <c r="R323">
        <v>4761.1001200000001</v>
      </c>
      <c r="S323">
        <v>4787.6888900000004</v>
      </c>
      <c r="V323">
        <v>4696.7970500000001</v>
      </c>
      <c r="W323">
        <v>4663.2320499999996</v>
      </c>
      <c r="AB323">
        <v>4758.2846200000004</v>
      </c>
      <c r="AC323">
        <v>4757.0701600000002</v>
      </c>
      <c r="AD323">
        <v>0</v>
      </c>
      <c r="AE323">
        <f t="shared" si="41"/>
        <v>321</v>
      </c>
      <c r="AF323">
        <f t="shared" si="42"/>
        <v>320</v>
      </c>
      <c r="AG323">
        <f t="shared" ref="AG323:AG386" si="45">D323-Q323</f>
        <v>25.873179999999593</v>
      </c>
      <c r="AH323">
        <f t="shared" ref="AH323:AH386" si="46">AG323^2</f>
        <v>669.42144331237898</v>
      </c>
      <c r="AI323">
        <f t="shared" ref="AI323:AI386" si="47">(AG323/STDEV($AG$3:$AG$1137))^3</f>
        <v>0.39844191085461111</v>
      </c>
      <c r="AJ323">
        <f t="shared" ref="AJ323:AJ386" si="48">(AG323/STDEV($AG$3:$AG$1137))^4</f>
        <v>0.29319283461218815</v>
      </c>
      <c r="AK323">
        <f t="shared" ref="AK323:AK386" si="49">AF323^2</f>
        <v>102400</v>
      </c>
      <c r="AL323">
        <f t="shared" si="43"/>
        <v>4697.7102299999997</v>
      </c>
      <c r="AM323" t="str">
        <f t="shared" si="44"/>
        <v/>
      </c>
    </row>
    <row r="324" spans="1:39" x14ac:dyDescent="0.55000000000000004">
      <c r="A324">
        <v>1776827702</v>
      </c>
      <c r="B324" t="s">
        <v>72</v>
      </c>
      <c r="C324" t="s">
        <v>73</v>
      </c>
      <c r="D324">
        <v>4763.12</v>
      </c>
      <c r="E324">
        <v>4518.5928199999998</v>
      </c>
      <c r="F324">
        <v>4596.0559499999999</v>
      </c>
      <c r="G324">
        <v>4755.40355</v>
      </c>
      <c r="H324">
        <v>4792.7697200000002</v>
      </c>
      <c r="Q324">
        <v>4731.4692100000002</v>
      </c>
      <c r="R324">
        <v>4760.8325100000002</v>
      </c>
      <c r="S324">
        <v>4787.4212799999996</v>
      </c>
      <c r="V324">
        <v>4696.5294400000002</v>
      </c>
      <c r="W324">
        <v>4662.9644500000004</v>
      </c>
      <c r="AB324">
        <v>4758.6765400000004</v>
      </c>
      <c r="AC324">
        <v>4757.8733499999998</v>
      </c>
      <c r="AD324">
        <v>0</v>
      </c>
      <c r="AE324">
        <f t="shared" ref="AE324:AE387" si="50">AE323+1</f>
        <v>322</v>
      </c>
      <c r="AF324">
        <f t="shared" ref="AF324:AF387" si="51">AF323+1</f>
        <v>321</v>
      </c>
      <c r="AG324">
        <f t="shared" si="45"/>
        <v>31.650789999999688</v>
      </c>
      <c r="AH324">
        <f t="shared" si="46"/>
        <v>1001.7725076240803</v>
      </c>
      <c r="AI324">
        <f t="shared" si="47"/>
        <v>0.72940585946989578</v>
      </c>
      <c r="AJ324">
        <f t="shared" si="48"/>
        <v>0.65658707654948123</v>
      </c>
      <c r="AK324">
        <f t="shared" si="49"/>
        <v>103041</v>
      </c>
      <c r="AL324">
        <f t="shared" ref="AL324:AL387" si="52">IF(AD324=1,AB324,IF(AL323&lt;&gt;"",AL323,""))</f>
        <v>4697.7102299999997</v>
      </c>
      <c r="AM324" t="str">
        <f t="shared" ref="AM324:AM387" si="53">IF(AND(AD324=1,AL323&lt;&gt;""),ABS(AB324-AL323),"")</f>
        <v/>
      </c>
    </row>
    <row r="325" spans="1:39" x14ac:dyDescent="0.55000000000000004">
      <c r="A325">
        <v>1776828602</v>
      </c>
      <c r="B325" t="s">
        <v>72</v>
      </c>
      <c r="C325" t="s">
        <v>73</v>
      </c>
      <c r="D325">
        <v>4759.16</v>
      </c>
      <c r="E325">
        <v>4518.5928199999998</v>
      </c>
      <c r="F325">
        <v>4596.0559499999999</v>
      </c>
      <c r="G325">
        <v>4755.40355</v>
      </c>
      <c r="H325">
        <v>4792.7697200000002</v>
      </c>
      <c r="Q325">
        <v>4731.2016100000001</v>
      </c>
      <c r="R325">
        <v>4760.5649100000001</v>
      </c>
      <c r="S325">
        <v>4787.1536800000003</v>
      </c>
      <c r="V325">
        <v>4696.2618400000001</v>
      </c>
      <c r="W325">
        <v>4662.6968399999996</v>
      </c>
      <c r="AB325">
        <v>4758.4253399999998</v>
      </c>
      <c r="AC325">
        <v>4758.1493399999999</v>
      </c>
      <c r="AD325">
        <v>0</v>
      </c>
      <c r="AE325">
        <f t="shared" si="50"/>
        <v>323</v>
      </c>
      <c r="AF325">
        <f t="shared" si="51"/>
        <v>322</v>
      </c>
      <c r="AG325">
        <f t="shared" si="45"/>
        <v>27.958389999999781</v>
      </c>
      <c r="AH325">
        <f t="shared" si="46"/>
        <v>781.6715713920878</v>
      </c>
      <c r="AI325">
        <f t="shared" si="47"/>
        <v>0.50274997835795388</v>
      </c>
      <c r="AJ325">
        <f t="shared" si="48"/>
        <v>0.39976313977157391</v>
      </c>
      <c r="AK325">
        <f t="shared" si="49"/>
        <v>103684</v>
      </c>
      <c r="AL325">
        <f t="shared" si="52"/>
        <v>4697.7102299999997</v>
      </c>
      <c r="AM325" t="str">
        <f t="shared" si="53"/>
        <v/>
      </c>
    </row>
    <row r="326" spans="1:39" x14ac:dyDescent="0.55000000000000004">
      <c r="A326">
        <v>1776829502</v>
      </c>
      <c r="B326" t="s">
        <v>72</v>
      </c>
      <c r="C326" t="s">
        <v>73</v>
      </c>
      <c r="D326">
        <v>4758.09</v>
      </c>
      <c r="E326">
        <v>4518.5928199999998</v>
      </c>
      <c r="F326">
        <v>4596.0559499999999</v>
      </c>
      <c r="G326">
        <v>4755.40355</v>
      </c>
      <c r="H326">
        <v>4792.7697200000002</v>
      </c>
      <c r="Q326">
        <v>4730.9340099999999</v>
      </c>
      <c r="R326">
        <v>4760.2973000000002</v>
      </c>
      <c r="S326">
        <v>4786.8860800000002</v>
      </c>
      <c r="V326">
        <v>4695.99424</v>
      </c>
      <c r="W326">
        <v>4662.4292400000004</v>
      </c>
      <c r="AB326">
        <v>4757.80926</v>
      </c>
      <c r="AC326">
        <v>4757.9793</v>
      </c>
      <c r="AD326">
        <v>1</v>
      </c>
      <c r="AE326">
        <f t="shared" si="50"/>
        <v>324</v>
      </c>
      <c r="AF326">
        <f t="shared" si="51"/>
        <v>323</v>
      </c>
      <c r="AG326">
        <f t="shared" si="45"/>
        <v>27.155990000000202</v>
      </c>
      <c r="AH326">
        <f t="shared" si="46"/>
        <v>737.44779288011091</v>
      </c>
      <c r="AI326">
        <f t="shared" si="47"/>
        <v>0.46069394547957487</v>
      </c>
      <c r="AJ326">
        <f t="shared" si="48"/>
        <v>0.35580879011624683</v>
      </c>
      <c r="AK326">
        <f t="shared" si="49"/>
        <v>104329</v>
      </c>
      <c r="AL326">
        <f t="shared" si="52"/>
        <v>4757.80926</v>
      </c>
      <c r="AM326">
        <f t="shared" si="53"/>
        <v>60.099030000000312</v>
      </c>
    </row>
    <row r="327" spans="1:39" x14ac:dyDescent="0.55000000000000004">
      <c r="A327">
        <v>1776830402</v>
      </c>
      <c r="B327" t="s">
        <v>72</v>
      </c>
      <c r="C327" t="s">
        <v>73</v>
      </c>
      <c r="D327">
        <v>4757.32</v>
      </c>
      <c r="E327">
        <v>4518.5928199999998</v>
      </c>
      <c r="F327">
        <v>4596.0559499999999</v>
      </c>
      <c r="G327">
        <v>4755.40355</v>
      </c>
      <c r="H327">
        <v>4792.7697200000002</v>
      </c>
      <c r="Q327">
        <v>4730.6664000000001</v>
      </c>
      <c r="R327">
        <v>4760.0297</v>
      </c>
      <c r="S327">
        <v>4786.6184700000003</v>
      </c>
      <c r="V327">
        <v>4695.7266300000001</v>
      </c>
      <c r="W327">
        <v>4662.1616400000003</v>
      </c>
      <c r="AB327">
        <v>4757.1160200000004</v>
      </c>
      <c r="AC327">
        <v>4757.5476600000002</v>
      </c>
      <c r="AD327">
        <v>0</v>
      </c>
      <c r="AE327">
        <f t="shared" si="50"/>
        <v>325</v>
      </c>
      <c r="AF327">
        <f t="shared" si="51"/>
        <v>324</v>
      </c>
      <c r="AG327">
        <f t="shared" si="45"/>
        <v>26.653599999999642</v>
      </c>
      <c r="AH327">
        <f t="shared" si="46"/>
        <v>710.41439295998089</v>
      </c>
      <c r="AI327">
        <f t="shared" si="47"/>
        <v>0.43559532688835256</v>
      </c>
      <c r="AJ327">
        <f t="shared" si="48"/>
        <v>0.33020041589950427</v>
      </c>
      <c r="AK327">
        <f t="shared" si="49"/>
        <v>104976</v>
      </c>
      <c r="AL327">
        <f t="shared" si="52"/>
        <v>4757.80926</v>
      </c>
      <c r="AM327" t="str">
        <f t="shared" si="53"/>
        <v/>
      </c>
    </row>
    <row r="328" spans="1:39" x14ac:dyDescent="0.55000000000000004">
      <c r="A328">
        <v>1776831302</v>
      </c>
      <c r="B328" t="s">
        <v>72</v>
      </c>
      <c r="C328" t="s">
        <v>73</v>
      </c>
      <c r="D328">
        <v>4755.87</v>
      </c>
      <c r="E328">
        <v>4518.5928199999998</v>
      </c>
      <c r="F328">
        <v>4596.0559499999999</v>
      </c>
      <c r="G328">
        <v>4755.40355</v>
      </c>
      <c r="H328">
        <v>4792.7697200000002</v>
      </c>
      <c r="Q328">
        <v>4730.3987999999999</v>
      </c>
      <c r="R328">
        <v>4759.7620999999999</v>
      </c>
      <c r="S328">
        <v>4786.3508700000002</v>
      </c>
      <c r="V328">
        <v>4695.45903</v>
      </c>
      <c r="W328">
        <v>4661.8940300000004</v>
      </c>
      <c r="AB328">
        <v>4756.7654599999996</v>
      </c>
      <c r="AC328">
        <v>4757.1565600000004</v>
      </c>
      <c r="AD328">
        <v>0</v>
      </c>
      <c r="AE328">
        <f t="shared" si="50"/>
        <v>326</v>
      </c>
      <c r="AF328">
        <f t="shared" si="51"/>
        <v>325</v>
      </c>
      <c r="AG328">
        <f t="shared" si="45"/>
        <v>25.471199999999953</v>
      </c>
      <c r="AH328">
        <f t="shared" si="46"/>
        <v>648.78202943999759</v>
      </c>
      <c r="AI328">
        <f t="shared" si="47"/>
        <v>0.38015770951630062</v>
      </c>
      <c r="AJ328">
        <f t="shared" si="48"/>
        <v>0.27539226401168837</v>
      </c>
      <c r="AK328">
        <f t="shared" si="49"/>
        <v>105625</v>
      </c>
      <c r="AL328">
        <f t="shared" si="52"/>
        <v>4757.80926</v>
      </c>
      <c r="AM328" t="str">
        <f t="shared" si="53"/>
        <v/>
      </c>
    </row>
    <row r="329" spans="1:39" x14ac:dyDescent="0.55000000000000004">
      <c r="A329">
        <v>1776832202</v>
      </c>
      <c r="B329" t="s">
        <v>72</v>
      </c>
      <c r="C329" t="s">
        <v>73</v>
      </c>
      <c r="D329">
        <v>4756.3599999999997</v>
      </c>
      <c r="E329">
        <v>4518.5928199999998</v>
      </c>
      <c r="F329">
        <v>4596.0559499999999</v>
      </c>
      <c r="G329">
        <v>4755.40355</v>
      </c>
      <c r="H329">
        <v>4792.7697200000002</v>
      </c>
      <c r="Q329">
        <v>4730.1311900000001</v>
      </c>
      <c r="R329">
        <v>4759.49449</v>
      </c>
      <c r="S329">
        <v>4786.0832600000003</v>
      </c>
      <c r="V329">
        <v>4695.1914200000001</v>
      </c>
      <c r="W329">
        <v>4661.6264300000003</v>
      </c>
      <c r="AB329">
        <v>4757.0384800000002</v>
      </c>
      <c r="AC329">
        <v>4757.0975200000003</v>
      </c>
      <c r="AD329">
        <v>0</v>
      </c>
      <c r="AE329">
        <f t="shared" si="50"/>
        <v>327</v>
      </c>
      <c r="AF329">
        <f t="shared" si="51"/>
        <v>326</v>
      </c>
      <c r="AG329">
        <f t="shared" si="45"/>
        <v>26.228809999999612</v>
      </c>
      <c r="AH329">
        <f t="shared" si="46"/>
        <v>687.95047401607962</v>
      </c>
      <c r="AI329">
        <f t="shared" si="47"/>
        <v>0.41509867378057219</v>
      </c>
      <c r="AJ329">
        <f t="shared" si="48"/>
        <v>0.30964812964975152</v>
      </c>
      <c r="AK329">
        <f t="shared" si="49"/>
        <v>106276</v>
      </c>
      <c r="AL329">
        <f t="shared" si="52"/>
        <v>4757.80926</v>
      </c>
      <c r="AM329" t="str">
        <f t="shared" si="53"/>
        <v/>
      </c>
    </row>
    <row r="330" spans="1:39" x14ac:dyDescent="0.55000000000000004">
      <c r="A330">
        <v>1776833102</v>
      </c>
      <c r="B330" t="s">
        <v>72</v>
      </c>
      <c r="C330" t="s">
        <v>73</v>
      </c>
      <c r="D330">
        <v>4754.62</v>
      </c>
      <c r="E330">
        <v>4518.5928199999998</v>
      </c>
      <c r="F330">
        <v>4596.0559499999999</v>
      </c>
      <c r="G330">
        <v>4755.40355</v>
      </c>
      <c r="H330">
        <v>4792.7697200000002</v>
      </c>
      <c r="Q330">
        <v>4729.8635899999999</v>
      </c>
      <c r="R330">
        <v>4759.2268899999999</v>
      </c>
      <c r="S330">
        <v>4785.8156600000002</v>
      </c>
      <c r="V330">
        <v>4694.92382</v>
      </c>
      <c r="W330">
        <v>4661.3588200000004</v>
      </c>
      <c r="AB330">
        <v>4758.0106100000003</v>
      </c>
      <c r="AC330">
        <v>4757.5540700000001</v>
      </c>
      <c r="AD330">
        <v>1</v>
      </c>
      <c r="AE330">
        <f t="shared" si="50"/>
        <v>328</v>
      </c>
      <c r="AF330">
        <f t="shared" si="51"/>
        <v>327</v>
      </c>
      <c r="AG330">
        <f t="shared" si="45"/>
        <v>24.75640999999996</v>
      </c>
      <c r="AH330">
        <f t="shared" si="46"/>
        <v>612.87983608809805</v>
      </c>
      <c r="AI330">
        <f t="shared" si="47"/>
        <v>0.34904271993723424</v>
      </c>
      <c r="AJ330">
        <f t="shared" si="48"/>
        <v>0.24575636742969748</v>
      </c>
      <c r="AK330">
        <f t="shared" si="49"/>
        <v>106929</v>
      </c>
      <c r="AL330">
        <f t="shared" si="52"/>
        <v>4758.0106100000003</v>
      </c>
      <c r="AM330">
        <f t="shared" si="53"/>
        <v>0.20135000000027503</v>
      </c>
    </row>
    <row r="331" spans="1:39" x14ac:dyDescent="0.55000000000000004">
      <c r="A331">
        <v>1776834002</v>
      </c>
      <c r="B331" t="s">
        <v>72</v>
      </c>
      <c r="C331" t="s">
        <v>73</v>
      </c>
      <c r="D331">
        <v>4756.8</v>
      </c>
      <c r="E331">
        <v>4518.5928199999998</v>
      </c>
      <c r="F331">
        <v>4596.0559499999999</v>
      </c>
      <c r="G331">
        <v>4755.40355</v>
      </c>
      <c r="H331">
        <v>4792.7697200000002</v>
      </c>
      <c r="Q331">
        <v>4729.5959899999998</v>
      </c>
      <c r="R331">
        <v>4758.95928</v>
      </c>
      <c r="S331">
        <v>4785.5480600000001</v>
      </c>
      <c r="V331">
        <v>4694.6562199999998</v>
      </c>
      <c r="W331">
        <v>4661.0912200000002</v>
      </c>
      <c r="AB331">
        <v>4759.6796899999999</v>
      </c>
      <c r="AC331">
        <v>4758.6168799999996</v>
      </c>
      <c r="AD331">
        <v>0</v>
      </c>
      <c r="AE331">
        <f t="shared" si="50"/>
        <v>329</v>
      </c>
      <c r="AF331">
        <f t="shared" si="51"/>
        <v>328</v>
      </c>
      <c r="AG331">
        <f t="shared" si="45"/>
        <v>27.20401000000038</v>
      </c>
      <c r="AH331">
        <f t="shared" si="46"/>
        <v>740.05816008012073</v>
      </c>
      <c r="AI331">
        <f t="shared" si="47"/>
        <v>0.46314220816077839</v>
      </c>
      <c r="AJ331">
        <f t="shared" si="48"/>
        <v>0.35833218347540335</v>
      </c>
      <c r="AK331">
        <f t="shared" si="49"/>
        <v>107584</v>
      </c>
      <c r="AL331">
        <f t="shared" si="52"/>
        <v>4758.0106100000003</v>
      </c>
      <c r="AM331" t="str">
        <f t="shared" si="53"/>
        <v/>
      </c>
    </row>
    <row r="332" spans="1:39" x14ac:dyDescent="0.55000000000000004">
      <c r="A332">
        <v>1776834902</v>
      </c>
      <c r="B332" t="s">
        <v>72</v>
      </c>
      <c r="C332" t="s">
        <v>73</v>
      </c>
      <c r="D332">
        <v>4766.1899999999996</v>
      </c>
      <c r="E332">
        <v>4518.5928199999998</v>
      </c>
      <c r="F332">
        <v>4596.0559499999999</v>
      </c>
      <c r="G332">
        <v>4755.40355</v>
      </c>
      <c r="H332">
        <v>4792.7697200000002</v>
      </c>
      <c r="Q332">
        <v>4729.3283799999999</v>
      </c>
      <c r="R332">
        <v>4758.6916799999999</v>
      </c>
      <c r="S332">
        <v>4785.2804500000002</v>
      </c>
      <c r="V332">
        <v>4694.38861</v>
      </c>
      <c r="W332">
        <v>4660.8236200000001</v>
      </c>
      <c r="AB332">
        <v>4761.8063700000002</v>
      </c>
      <c r="AC332">
        <v>4760.2116299999998</v>
      </c>
      <c r="AD332">
        <v>0</v>
      </c>
      <c r="AE332">
        <f t="shared" si="50"/>
        <v>330</v>
      </c>
      <c r="AF332">
        <f t="shared" si="51"/>
        <v>329</v>
      </c>
      <c r="AG332">
        <f t="shared" si="45"/>
        <v>36.861619999999675</v>
      </c>
      <c r="AH332">
        <f t="shared" si="46"/>
        <v>1358.7790290243761</v>
      </c>
      <c r="AI332">
        <f t="shared" si="47"/>
        <v>1.1522290957644692</v>
      </c>
      <c r="AJ332">
        <f t="shared" si="48"/>
        <v>1.2079578587993907</v>
      </c>
      <c r="AK332">
        <f t="shared" si="49"/>
        <v>108241</v>
      </c>
      <c r="AL332">
        <f t="shared" si="52"/>
        <v>4758.0106100000003</v>
      </c>
      <c r="AM332" t="str">
        <f t="shared" si="53"/>
        <v/>
      </c>
    </row>
    <row r="333" spans="1:39" x14ac:dyDescent="0.55000000000000004">
      <c r="A333">
        <v>1776835802</v>
      </c>
      <c r="B333" t="s">
        <v>72</v>
      </c>
      <c r="C333" t="s">
        <v>73</v>
      </c>
      <c r="D333">
        <v>4767.4799999999996</v>
      </c>
      <c r="E333">
        <v>4518.5928199999998</v>
      </c>
      <c r="F333">
        <v>4596.0559499999999</v>
      </c>
      <c r="G333">
        <v>4755.40355</v>
      </c>
      <c r="H333">
        <v>4792.7697200000002</v>
      </c>
      <c r="Q333">
        <v>4729.0607799999998</v>
      </c>
      <c r="R333">
        <v>4758.4240799999998</v>
      </c>
      <c r="S333">
        <v>4785.0128500000001</v>
      </c>
      <c r="V333">
        <v>4694.1210099999998</v>
      </c>
      <c r="W333">
        <v>4660.5560100000002</v>
      </c>
      <c r="AB333">
        <v>4763.8538900000003</v>
      </c>
      <c r="AC333">
        <v>4762.0327600000001</v>
      </c>
      <c r="AD333">
        <v>0</v>
      </c>
      <c r="AE333">
        <f t="shared" si="50"/>
        <v>331</v>
      </c>
      <c r="AF333">
        <f t="shared" si="51"/>
        <v>330</v>
      </c>
      <c r="AG333">
        <f t="shared" si="45"/>
        <v>38.419219999999768</v>
      </c>
      <c r="AH333">
        <f t="shared" si="46"/>
        <v>1476.0364654083821</v>
      </c>
      <c r="AI333">
        <f t="shared" si="47"/>
        <v>1.3045514587281883</v>
      </c>
      <c r="AJ333">
        <f t="shared" si="48"/>
        <v>1.4254378493232818</v>
      </c>
      <c r="AK333">
        <f t="shared" si="49"/>
        <v>108900</v>
      </c>
      <c r="AL333">
        <f t="shared" si="52"/>
        <v>4758.0106100000003</v>
      </c>
      <c r="AM333" t="str">
        <f t="shared" si="53"/>
        <v/>
      </c>
    </row>
    <row r="334" spans="1:39" x14ac:dyDescent="0.55000000000000004">
      <c r="A334">
        <v>1776836702</v>
      </c>
      <c r="B334" t="s">
        <v>72</v>
      </c>
      <c r="C334" t="s">
        <v>73</v>
      </c>
      <c r="D334">
        <v>4767.6400000000003</v>
      </c>
      <c r="E334">
        <v>4518.5928199999998</v>
      </c>
      <c r="F334">
        <v>4596.0559499999999</v>
      </c>
      <c r="G334">
        <v>4755.40355</v>
      </c>
      <c r="H334">
        <v>4792.7697200000002</v>
      </c>
      <c r="Q334">
        <v>4728.7931699999999</v>
      </c>
      <c r="R334">
        <v>4758.1564699999999</v>
      </c>
      <c r="S334">
        <v>4784.7452400000002</v>
      </c>
      <c r="V334">
        <v>4693.8534</v>
      </c>
      <c r="W334">
        <v>4660.2884100000001</v>
      </c>
      <c r="AB334">
        <v>4765.5244700000003</v>
      </c>
      <c r="AC334">
        <v>4763.7786100000003</v>
      </c>
      <c r="AD334">
        <v>0</v>
      </c>
      <c r="AE334">
        <f t="shared" si="50"/>
        <v>332</v>
      </c>
      <c r="AF334">
        <f t="shared" si="51"/>
        <v>331</v>
      </c>
      <c r="AG334">
        <f t="shared" si="45"/>
        <v>38.846830000000409</v>
      </c>
      <c r="AH334">
        <f t="shared" si="46"/>
        <v>1509.0762010489318</v>
      </c>
      <c r="AI334">
        <f t="shared" si="47"/>
        <v>1.348597467023912</v>
      </c>
      <c r="AJ334">
        <f t="shared" si="48"/>
        <v>1.4899663246366188</v>
      </c>
      <c r="AK334">
        <f t="shared" si="49"/>
        <v>109561</v>
      </c>
      <c r="AL334">
        <f t="shared" si="52"/>
        <v>4758.0106100000003</v>
      </c>
      <c r="AM334" t="str">
        <f t="shared" si="53"/>
        <v/>
      </c>
    </row>
    <row r="335" spans="1:39" x14ac:dyDescent="0.55000000000000004">
      <c r="A335">
        <v>1776837602</v>
      </c>
      <c r="B335" t="s">
        <v>72</v>
      </c>
      <c r="C335" t="s">
        <v>73</v>
      </c>
      <c r="D335">
        <v>4762.84</v>
      </c>
      <c r="E335">
        <v>4518.5928199999998</v>
      </c>
      <c r="F335">
        <v>4596.0559499999999</v>
      </c>
      <c r="G335">
        <v>4755.40355</v>
      </c>
      <c r="H335">
        <v>4792.7697200000002</v>
      </c>
      <c r="Q335">
        <v>4728.5255699999998</v>
      </c>
      <c r="R335">
        <v>4757.8888699999998</v>
      </c>
      <c r="S335">
        <v>4784.4776400000001</v>
      </c>
      <c r="V335">
        <v>4693.5857999999998</v>
      </c>
      <c r="W335">
        <v>4660.0208000000002</v>
      </c>
      <c r="AB335">
        <v>4766.6217699999997</v>
      </c>
      <c r="AC335">
        <v>4765.2001899999996</v>
      </c>
      <c r="AD335">
        <v>0</v>
      </c>
      <c r="AE335">
        <f t="shared" si="50"/>
        <v>333</v>
      </c>
      <c r="AF335">
        <f t="shared" si="51"/>
        <v>332</v>
      </c>
      <c r="AG335">
        <f t="shared" si="45"/>
        <v>34.314430000000357</v>
      </c>
      <c r="AH335">
        <f t="shared" si="46"/>
        <v>1177.4801062249244</v>
      </c>
      <c r="AI335">
        <f t="shared" si="47"/>
        <v>0.92949263312371866</v>
      </c>
      <c r="AJ335">
        <f t="shared" si="48"/>
        <v>0.90711274609688475</v>
      </c>
      <c r="AK335">
        <f t="shared" si="49"/>
        <v>110224</v>
      </c>
      <c r="AL335">
        <f t="shared" si="52"/>
        <v>4758.0106100000003</v>
      </c>
      <c r="AM335" t="str">
        <f t="shared" si="53"/>
        <v/>
      </c>
    </row>
    <row r="336" spans="1:39" x14ac:dyDescent="0.55000000000000004">
      <c r="A336">
        <v>1776838502</v>
      </c>
      <c r="B336" t="s">
        <v>72</v>
      </c>
      <c r="C336" t="s">
        <v>73</v>
      </c>
      <c r="D336">
        <v>4767.37</v>
      </c>
      <c r="E336">
        <v>4518.5928199999998</v>
      </c>
      <c r="F336">
        <v>4596.0559499999999</v>
      </c>
      <c r="G336">
        <v>4755.40355</v>
      </c>
      <c r="H336">
        <v>4792.7697200000002</v>
      </c>
      <c r="Q336">
        <v>4728.2579699999997</v>
      </c>
      <c r="R336">
        <v>4757.6212599999999</v>
      </c>
      <c r="S336">
        <v>4784.2100300000002</v>
      </c>
      <c r="V336">
        <v>4693.31819</v>
      </c>
      <c r="W336">
        <v>4659.7532000000001</v>
      </c>
      <c r="AB336">
        <v>4767.1889899999996</v>
      </c>
      <c r="AC336">
        <v>4766.1945900000001</v>
      </c>
      <c r="AD336">
        <v>0</v>
      </c>
      <c r="AE336">
        <f t="shared" si="50"/>
        <v>334</v>
      </c>
      <c r="AF336">
        <f t="shared" si="51"/>
        <v>333</v>
      </c>
      <c r="AG336">
        <f t="shared" si="45"/>
        <v>39.112030000000232</v>
      </c>
      <c r="AH336">
        <f t="shared" si="46"/>
        <v>1529.7508907209181</v>
      </c>
      <c r="AI336">
        <f t="shared" si="47"/>
        <v>1.3764063152851116</v>
      </c>
      <c r="AJ336">
        <f t="shared" si="48"/>
        <v>1.5310717457433018</v>
      </c>
      <c r="AK336">
        <f t="shared" si="49"/>
        <v>110889</v>
      </c>
      <c r="AL336">
        <f t="shared" si="52"/>
        <v>4758.0106100000003</v>
      </c>
      <c r="AM336" t="str">
        <f t="shared" si="53"/>
        <v/>
      </c>
    </row>
    <row r="337" spans="1:39" x14ac:dyDescent="0.55000000000000004">
      <c r="A337">
        <v>1776839402</v>
      </c>
      <c r="B337" t="s">
        <v>72</v>
      </c>
      <c r="C337" t="s">
        <v>73</v>
      </c>
      <c r="D337">
        <v>4763.8</v>
      </c>
      <c r="E337">
        <v>4518.5928199999998</v>
      </c>
      <c r="F337">
        <v>4596.0559499999999</v>
      </c>
      <c r="G337">
        <v>4755.40355</v>
      </c>
      <c r="H337">
        <v>4792.7697200000002</v>
      </c>
      <c r="Q337">
        <v>4727.9903599999998</v>
      </c>
      <c r="R337">
        <v>4757.3536599999998</v>
      </c>
      <c r="S337">
        <v>4783.9424300000001</v>
      </c>
      <c r="V337">
        <v>4693.0505899999998</v>
      </c>
      <c r="W337">
        <v>4659.4855900000002</v>
      </c>
      <c r="AB337">
        <v>4767.1052300000001</v>
      </c>
      <c r="AC337">
        <v>4766.6499100000001</v>
      </c>
      <c r="AD337">
        <v>0</v>
      </c>
      <c r="AE337">
        <f t="shared" si="50"/>
        <v>335</v>
      </c>
      <c r="AF337">
        <f t="shared" si="51"/>
        <v>334</v>
      </c>
      <c r="AG337">
        <f t="shared" si="45"/>
        <v>35.8096400000004</v>
      </c>
      <c r="AH337">
        <f t="shared" si="46"/>
        <v>1282.3303169296287</v>
      </c>
      <c r="AI337">
        <f t="shared" si="47"/>
        <v>1.0563685171573354</v>
      </c>
      <c r="AJ337">
        <f t="shared" si="48"/>
        <v>1.0758554708896382</v>
      </c>
      <c r="AK337">
        <f t="shared" si="49"/>
        <v>111556</v>
      </c>
      <c r="AL337">
        <f t="shared" si="52"/>
        <v>4758.0106100000003</v>
      </c>
      <c r="AM337" t="str">
        <f t="shared" si="53"/>
        <v/>
      </c>
    </row>
    <row r="338" spans="1:39" x14ac:dyDescent="0.55000000000000004">
      <c r="A338">
        <v>1776840302</v>
      </c>
      <c r="B338" t="s">
        <v>72</v>
      </c>
      <c r="C338" t="s">
        <v>73</v>
      </c>
      <c r="D338">
        <v>4767.6899999999996</v>
      </c>
      <c r="E338">
        <v>4518.5928199999998</v>
      </c>
      <c r="F338">
        <v>4596.0559499999999</v>
      </c>
      <c r="G338">
        <v>4755.40355</v>
      </c>
      <c r="H338">
        <v>4792.7697200000002</v>
      </c>
      <c r="Q338">
        <v>4727.7227599999997</v>
      </c>
      <c r="R338">
        <v>4757.0860599999996</v>
      </c>
      <c r="S338">
        <v>4783.6748299999999</v>
      </c>
      <c r="V338">
        <v>4692.7829899999997</v>
      </c>
      <c r="W338">
        <v>4659.2179900000001</v>
      </c>
      <c r="AB338">
        <v>4766.5311199999996</v>
      </c>
      <c r="AC338">
        <v>4766.59051</v>
      </c>
      <c r="AD338">
        <v>1</v>
      </c>
      <c r="AE338">
        <f t="shared" si="50"/>
        <v>336</v>
      </c>
      <c r="AF338">
        <f t="shared" si="51"/>
        <v>335</v>
      </c>
      <c r="AG338">
        <f t="shared" si="45"/>
        <v>39.967239999999947</v>
      </c>
      <c r="AH338">
        <f t="shared" si="46"/>
        <v>1597.3802732175957</v>
      </c>
      <c r="AI338">
        <f t="shared" si="47"/>
        <v>1.468682972217533</v>
      </c>
      <c r="AJ338">
        <f t="shared" si="48"/>
        <v>1.6694397357678781</v>
      </c>
      <c r="AK338">
        <f t="shared" si="49"/>
        <v>112225</v>
      </c>
      <c r="AL338">
        <f t="shared" si="52"/>
        <v>4766.5311199999996</v>
      </c>
      <c r="AM338">
        <f t="shared" si="53"/>
        <v>8.5205099999993763</v>
      </c>
    </row>
    <row r="339" spans="1:39" x14ac:dyDescent="0.55000000000000004">
      <c r="A339">
        <v>1776841202</v>
      </c>
      <c r="B339" t="s">
        <v>72</v>
      </c>
      <c r="C339" t="s">
        <v>73</v>
      </c>
      <c r="D339">
        <v>4765.67</v>
      </c>
      <c r="E339">
        <v>4518.5928199999998</v>
      </c>
      <c r="F339">
        <v>4596.0559499999999</v>
      </c>
      <c r="G339">
        <v>4755.40355</v>
      </c>
      <c r="H339">
        <v>4792.7697200000002</v>
      </c>
      <c r="Q339">
        <v>4727.4551499999998</v>
      </c>
      <c r="R339">
        <v>4756.8184499999998</v>
      </c>
      <c r="S339">
        <v>4783.4072200000001</v>
      </c>
      <c r="V339">
        <v>4692.5153799999998</v>
      </c>
      <c r="W339">
        <v>4658.95039</v>
      </c>
      <c r="Z339">
        <v>4772.1499999999996</v>
      </c>
      <c r="AB339">
        <v>4765.45658</v>
      </c>
      <c r="AC339">
        <v>4766.0235499999999</v>
      </c>
      <c r="AD339">
        <v>0</v>
      </c>
      <c r="AE339">
        <f t="shared" si="50"/>
        <v>337</v>
      </c>
      <c r="AF339">
        <f t="shared" si="51"/>
        <v>336</v>
      </c>
      <c r="AG339">
        <f t="shared" si="45"/>
        <v>38.214850000000297</v>
      </c>
      <c r="AH339">
        <f t="shared" si="46"/>
        <v>1460.3747605225226</v>
      </c>
      <c r="AI339">
        <f t="shared" si="47"/>
        <v>1.2838434277940407</v>
      </c>
      <c r="AJ339">
        <f t="shared" si="48"/>
        <v>1.3953486920290081</v>
      </c>
      <c r="AK339">
        <f t="shared" si="49"/>
        <v>112896</v>
      </c>
      <c r="AL339">
        <f t="shared" si="52"/>
        <v>4766.5311199999996</v>
      </c>
      <c r="AM339" t="str">
        <f t="shared" si="53"/>
        <v/>
      </c>
    </row>
    <row r="340" spans="1:39" x14ac:dyDescent="0.55000000000000004">
      <c r="A340">
        <v>1776842102</v>
      </c>
      <c r="B340" t="s">
        <v>72</v>
      </c>
      <c r="C340" t="s">
        <v>73</v>
      </c>
      <c r="D340">
        <v>4766.08</v>
      </c>
      <c r="E340">
        <v>4518.5928199999998</v>
      </c>
      <c r="F340">
        <v>4596.0559499999999</v>
      </c>
      <c r="G340">
        <v>4755.40355</v>
      </c>
      <c r="H340">
        <v>4792.7697200000002</v>
      </c>
      <c r="Q340">
        <v>4727.1875499999996</v>
      </c>
      <c r="R340">
        <v>4756.5508499999996</v>
      </c>
      <c r="S340">
        <v>4783.1396199999999</v>
      </c>
      <c r="V340">
        <v>4692.2477799999997</v>
      </c>
      <c r="W340">
        <v>4658.6827800000001</v>
      </c>
      <c r="AB340">
        <v>4764.0655200000001</v>
      </c>
      <c r="AC340">
        <v>4765.0445300000001</v>
      </c>
      <c r="AD340">
        <v>0</v>
      </c>
      <c r="AE340">
        <f t="shared" si="50"/>
        <v>338</v>
      </c>
      <c r="AF340">
        <f t="shared" si="51"/>
        <v>337</v>
      </c>
      <c r="AG340">
        <f t="shared" si="45"/>
        <v>38.892450000000281</v>
      </c>
      <c r="AH340">
        <f t="shared" si="46"/>
        <v>1512.6226670025219</v>
      </c>
      <c r="AI340">
        <f t="shared" si="47"/>
        <v>1.353354248566099</v>
      </c>
      <c r="AJ340">
        <f t="shared" si="48"/>
        <v>1.4969776656321632</v>
      </c>
      <c r="AK340">
        <f t="shared" si="49"/>
        <v>113569</v>
      </c>
      <c r="AL340">
        <f t="shared" si="52"/>
        <v>4766.5311199999996</v>
      </c>
      <c r="AM340" t="str">
        <f t="shared" si="53"/>
        <v/>
      </c>
    </row>
    <row r="341" spans="1:39" x14ac:dyDescent="0.55000000000000004">
      <c r="A341">
        <v>1776843002</v>
      </c>
      <c r="B341" t="s">
        <v>72</v>
      </c>
      <c r="C341" t="s">
        <v>73</v>
      </c>
      <c r="D341">
        <v>4763.82</v>
      </c>
      <c r="E341">
        <v>4518.5928199999998</v>
      </c>
      <c r="F341">
        <v>4596.0559499999999</v>
      </c>
      <c r="G341">
        <v>4755.40355</v>
      </c>
      <c r="H341">
        <v>4792.7697200000002</v>
      </c>
      <c r="Q341">
        <v>4726.9199399999998</v>
      </c>
      <c r="R341">
        <v>4756.2832399999998</v>
      </c>
      <c r="S341">
        <v>4782.87201</v>
      </c>
      <c r="V341">
        <v>4691.9801699999998</v>
      </c>
      <c r="W341">
        <v>4658.41518</v>
      </c>
      <c r="AB341">
        <v>4762.4421000000002</v>
      </c>
      <c r="AC341">
        <v>4763.7433199999996</v>
      </c>
      <c r="AD341">
        <v>0</v>
      </c>
      <c r="AE341">
        <f t="shared" si="50"/>
        <v>339</v>
      </c>
      <c r="AF341">
        <f t="shared" si="51"/>
        <v>338</v>
      </c>
      <c r="AG341">
        <f t="shared" si="45"/>
        <v>36.900059999999939</v>
      </c>
      <c r="AH341">
        <f t="shared" si="46"/>
        <v>1361.6144280035955</v>
      </c>
      <c r="AI341">
        <f t="shared" si="47"/>
        <v>1.1558375555157001</v>
      </c>
      <c r="AJ341">
        <f t="shared" si="48"/>
        <v>1.2130044719255093</v>
      </c>
      <c r="AK341">
        <f t="shared" si="49"/>
        <v>114244</v>
      </c>
      <c r="AL341">
        <f t="shared" si="52"/>
        <v>4766.5311199999996</v>
      </c>
      <c r="AM341" t="str">
        <f t="shared" si="53"/>
        <v/>
      </c>
    </row>
    <row r="342" spans="1:39" x14ac:dyDescent="0.55000000000000004">
      <c r="A342">
        <v>1776843902</v>
      </c>
      <c r="B342" t="s">
        <v>72</v>
      </c>
      <c r="C342" t="s">
        <v>73</v>
      </c>
      <c r="D342">
        <v>4760.46</v>
      </c>
      <c r="E342">
        <v>4518.5928199999998</v>
      </c>
      <c r="F342">
        <v>4596.0559499999999</v>
      </c>
      <c r="G342">
        <v>4755.40355</v>
      </c>
      <c r="H342">
        <v>4792.7697200000002</v>
      </c>
      <c r="Q342">
        <v>4726.6523399999996</v>
      </c>
      <c r="R342">
        <v>4756.0156399999996</v>
      </c>
      <c r="S342">
        <v>4782.6044099999999</v>
      </c>
      <c r="V342">
        <v>4691.7125699999997</v>
      </c>
      <c r="W342">
        <v>4658.1475700000001</v>
      </c>
      <c r="AB342">
        <v>4760.7437499999996</v>
      </c>
      <c r="AC342">
        <v>4762.2435299999997</v>
      </c>
      <c r="AD342">
        <v>0</v>
      </c>
      <c r="AE342">
        <f t="shared" si="50"/>
        <v>340</v>
      </c>
      <c r="AF342">
        <f t="shared" si="51"/>
        <v>339</v>
      </c>
      <c r="AG342">
        <f t="shared" si="45"/>
        <v>33.807660000000396</v>
      </c>
      <c r="AH342">
        <f t="shared" si="46"/>
        <v>1142.9578746756267</v>
      </c>
      <c r="AI342">
        <f t="shared" si="47"/>
        <v>0.88891640401100891</v>
      </c>
      <c r="AJ342">
        <f t="shared" si="48"/>
        <v>0.85470168659205059</v>
      </c>
      <c r="AK342">
        <f t="shared" si="49"/>
        <v>114921</v>
      </c>
      <c r="AL342">
        <f t="shared" si="52"/>
        <v>4766.5311199999996</v>
      </c>
      <c r="AM342" t="str">
        <f t="shared" si="53"/>
        <v/>
      </c>
    </row>
    <row r="343" spans="1:39" x14ac:dyDescent="0.55000000000000004">
      <c r="A343">
        <v>1776844802</v>
      </c>
      <c r="B343" t="s">
        <v>72</v>
      </c>
      <c r="C343" t="s">
        <v>73</v>
      </c>
      <c r="D343">
        <v>4758.0200000000004</v>
      </c>
      <c r="E343">
        <v>4518.5928199999998</v>
      </c>
      <c r="F343">
        <v>4596.0559499999999</v>
      </c>
      <c r="G343">
        <v>4755.40355</v>
      </c>
      <c r="H343">
        <v>4792.7697200000002</v>
      </c>
      <c r="Q343">
        <v>4726.3847400000004</v>
      </c>
      <c r="R343">
        <v>4755.7480400000004</v>
      </c>
      <c r="S343">
        <v>4782.3368099999998</v>
      </c>
      <c r="V343">
        <v>4691.4449699999996</v>
      </c>
      <c r="W343">
        <v>4657.87997</v>
      </c>
      <c r="AB343">
        <v>4759.1679599999998</v>
      </c>
      <c r="AC343">
        <v>4760.7057400000003</v>
      </c>
      <c r="AD343">
        <v>0</v>
      </c>
      <c r="AE343">
        <f t="shared" si="50"/>
        <v>341</v>
      </c>
      <c r="AF343">
        <f t="shared" si="51"/>
        <v>340</v>
      </c>
      <c r="AG343">
        <f t="shared" si="45"/>
        <v>31.635260000000017</v>
      </c>
      <c r="AH343">
        <f t="shared" si="46"/>
        <v>1000.7896752676011</v>
      </c>
      <c r="AI343">
        <f t="shared" si="47"/>
        <v>0.72833269992565608</v>
      </c>
      <c r="AJ343">
        <f t="shared" si="48"/>
        <v>0.65529936210008821</v>
      </c>
      <c r="AK343">
        <f t="shared" si="49"/>
        <v>115600</v>
      </c>
      <c r="AL343">
        <f t="shared" si="52"/>
        <v>4766.5311199999996</v>
      </c>
      <c r="AM343" t="str">
        <f t="shared" si="53"/>
        <v/>
      </c>
    </row>
    <row r="344" spans="1:39" x14ac:dyDescent="0.55000000000000004">
      <c r="A344">
        <v>1776845702</v>
      </c>
      <c r="B344" t="s">
        <v>72</v>
      </c>
      <c r="C344" t="s">
        <v>73</v>
      </c>
      <c r="D344">
        <v>4754.37</v>
      </c>
      <c r="E344">
        <v>4518.5928199999998</v>
      </c>
      <c r="F344">
        <v>4596.0559499999999</v>
      </c>
      <c r="G344">
        <v>4755.40355</v>
      </c>
      <c r="H344">
        <v>4792.7697200000002</v>
      </c>
      <c r="Q344">
        <v>4726.1171299999996</v>
      </c>
      <c r="R344">
        <v>4755.4804299999996</v>
      </c>
      <c r="S344">
        <v>4782.0691999999999</v>
      </c>
      <c r="V344">
        <v>4691.1773599999997</v>
      </c>
      <c r="W344">
        <v>4657.6123699999998</v>
      </c>
      <c r="AB344">
        <v>4757.8704399999997</v>
      </c>
      <c r="AC344">
        <v>4759.28809</v>
      </c>
      <c r="AD344">
        <v>0</v>
      </c>
      <c r="AE344">
        <f t="shared" si="50"/>
        <v>342</v>
      </c>
      <c r="AF344">
        <f t="shared" si="51"/>
        <v>341</v>
      </c>
      <c r="AG344">
        <f t="shared" si="45"/>
        <v>28.252870000000257</v>
      </c>
      <c r="AH344">
        <f t="shared" si="46"/>
        <v>798.22466323691458</v>
      </c>
      <c r="AI344">
        <f t="shared" si="47"/>
        <v>0.5188039786296923</v>
      </c>
      <c r="AJ344">
        <f t="shared" si="48"/>
        <v>0.41687360434561233</v>
      </c>
      <c r="AK344">
        <f t="shared" si="49"/>
        <v>116281</v>
      </c>
      <c r="AL344">
        <f t="shared" si="52"/>
        <v>4766.5311199999996</v>
      </c>
      <c r="AM344" t="str">
        <f t="shared" si="53"/>
        <v/>
      </c>
    </row>
    <row r="345" spans="1:39" x14ac:dyDescent="0.55000000000000004">
      <c r="A345">
        <v>1776846602</v>
      </c>
      <c r="B345" t="s">
        <v>72</v>
      </c>
      <c r="C345" t="s">
        <v>73</v>
      </c>
      <c r="D345">
        <v>4756.1499999999996</v>
      </c>
      <c r="E345">
        <v>4518.5928199999998</v>
      </c>
      <c r="F345">
        <v>4596.0559499999999</v>
      </c>
      <c r="G345">
        <v>4755.40355</v>
      </c>
      <c r="H345">
        <v>4792.7697200000002</v>
      </c>
      <c r="Q345">
        <v>4725.8495300000004</v>
      </c>
      <c r="R345">
        <v>4755.2128300000004</v>
      </c>
      <c r="S345">
        <v>4781.8015999999998</v>
      </c>
      <c r="V345">
        <v>4690.9097599999996</v>
      </c>
      <c r="W345">
        <v>4657.34476</v>
      </c>
      <c r="AB345">
        <v>4756.9844400000002</v>
      </c>
      <c r="AC345">
        <v>4758.13627</v>
      </c>
      <c r="AD345">
        <v>0</v>
      </c>
      <c r="AE345">
        <f t="shared" si="50"/>
        <v>343</v>
      </c>
      <c r="AF345">
        <f t="shared" si="51"/>
        <v>342</v>
      </c>
      <c r="AG345">
        <f t="shared" si="45"/>
        <v>30.300469999999223</v>
      </c>
      <c r="AH345">
        <f t="shared" si="46"/>
        <v>918.11848222085291</v>
      </c>
      <c r="AI345">
        <f t="shared" si="47"/>
        <v>0.63997598812932899</v>
      </c>
      <c r="AJ345">
        <f t="shared" si="48"/>
        <v>0.55150769041687764</v>
      </c>
      <c r="AK345">
        <f t="shared" si="49"/>
        <v>116964</v>
      </c>
      <c r="AL345">
        <f t="shared" si="52"/>
        <v>4766.5311199999996</v>
      </c>
      <c r="AM345" t="str">
        <f t="shared" si="53"/>
        <v/>
      </c>
    </row>
    <row r="346" spans="1:39" x14ac:dyDescent="0.55000000000000004">
      <c r="A346">
        <v>1776847502</v>
      </c>
      <c r="B346" t="s">
        <v>72</v>
      </c>
      <c r="C346" t="s">
        <v>73</v>
      </c>
      <c r="D346">
        <v>4757.1400000000003</v>
      </c>
      <c r="E346">
        <v>4518.5928199999998</v>
      </c>
      <c r="F346">
        <v>4596.0559499999999</v>
      </c>
      <c r="G346">
        <v>4755.40355</v>
      </c>
      <c r="H346">
        <v>4792.7697200000002</v>
      </c>
      <c r="Q346">
        <v>4725.5819199999996</v>
      </c>
      <c r="R346">
        <v>4754.9452199999996</v>
      </c>
      <c r="S346">
        <v>4781.5339899999999</v>
      </c>
      <c r="V346">
        <v>4690.6421499999997</v>
      </c>
      <c r="W346">
        <v>4657.0771599999998</v>
      </c>
      <c r="AB346">
        <v>4756.4407899999997</v>
      </c>
      <c r="AC346">
        <v>4757.2885299999998</v>
      </c>
      <c r="AD346">
        <v>0</v>
      </c>
      <c r="AE346">
        <f t="shared" si="50"/>
        <v>344</v>
      </c>
      <c r="AF346">
        <f t="shared" si="51"/>
        <v>343</v>
      </c>
      <c r="AG346">
        <f t="shared" si="45"/>
        <v>31.5580800000007</v>
      </c>
      <c r="AH346">
        <f t="shared" si="46"/>
        <v>995.91241328644423</v>
      </c>
      <c r="AI346">
        <f t="shared" si="47"/>
        <v>0.72301499226918098</v>
      </c>
      <c r="AJ346">
        <f t="shared" si="48"/>
        <v>0.64892783596124914</v>
      </c>
      <c r="AK346">
        <f t="shared" si="49"/>
        <v>117649</v>
      </c>
      <c r="AL346">
        <f t="shared" si="52"/>
        <v>4766.5311199999996</v>
      </c>
      <c r="AM346" t="str">
        <f t="shared" si="53"/>
        <v/>
      </c>
    </row>
    <row r="347" spans="1:39" x14ac:dyDescent="0.55000000000000004">
      <c r="A347">
        <v>1776848402</v>
      </c>
      <c r="B347" t="s">
        <v>72</v>
      </c>
      <c r="C347" t="s">
        <v>73</v>
      </c>
      <c r="D347">
        <v>4760.72</v>
      </c>
      <c r="E347">
        <v>4518.5928199999998</v>
      </c>
      <c r="F347">
        <v>4596.0559499999999</v>
      </c>
      <c r="G347">
        <v>4755.40355</v>
      </c>
      <c r="H347">
        <v>4792.7697200000002</v>
      </c>
      <c r="Q347">
        <v>4725.3143200000004</v>
      </c>
      <c r="R347">
        <v>4754.6776200000004</v>
      </c>
      <c r="S347">
        <v>4781.2663899999998</v>
      </c>
      <c r="V347">
        <v>4690.3745500000005</v>
      </c>
      <c r="W347">
        <v>4656.8095499999999</v>
      </c>
      <c r="AB347">
        <v>4756.1481700000004</v>
      </c>
      <c r="AC347">
        <v>4756.7183500000001</v>
      </c>
      <c r="AD347">
        <v>0</v>
      </c>
      <c r="AE347">
        <f t="shared" si="50"/>
        <v>345</v>
      </c>
      <c r="AF347">
        <f t="shared" si="51"/>
        <v>344</v>
      </c>
      <c r="AG347">
        <f t="shared" si="45"/>
        <v>35.405679999999847</v>
      </c>
      <c r="AH347">
        <f t="shared" si="46"/>
        <v>1253.5621762623891</v>
      </c>
      <c r="AI347">
        <f t="shared" si="47"/>
        <v>1.0210203638817466</v>
      </c>
      <c r="AJ347">
        <f t="shared" si="48"/>
        <v>1.0281248873050588</v>
      </c>
      <c r="AK347">
        <f t="shared" si="49"/>
        <v>118336</v>
      </c>
      <c r="AL347">
        <f t="shared" si="52"/>
        <v>4766.5311199999996</v>
      </c>
      <c r="AM347" t="str">
        <f t="shared" si="53"/>
        <v/>
      </c>
    </row>
    <row r="348" spans="1:39" x14ac:dyDescent="0.55000000000000004">
      <c r="A348">
        <v>1776849302</v>
      </c>
      <c r="B348" t="s">
        <v>72</v>
      </c>
      <c r="C348" t="s">
        <v>73</v>
      </c>
      <c r="D348">
        <v>4756.45</v>
      </c>
      <c r="E348">
        <v>4518.5928199999998</v>
      </c>
      <c r="F348">
        <v>4596.0559499999999</v>
      </c>
      <c r="G348">
        <v>4755.40355</v>
      </c>
      <c r="H348">
        <v>4792.7697200000002</v>
      </c>
      <c r="Q348">
        <v>4725.0467200000003</v>
      </c>
      <c r="R348">
        <v>4754.4100099999996</v>
      </c>
      <c r="S348">
        <v>4780.9987899999996</v>
      </c>
      <c r="V348">
        <v>4690.1069500000003</v>
      </c>
      <c r="W348">
        <v>4656.5419499999998</v>
      </c>
      <c r="AB348">
        <v>4755.9388799999997</v>
      </c>
      <c r="AC348">
        <v>4756.3286099999996</v>
      </c>
      <c r="AD348">
        <v>0</v>
      </c>
      <c r="AE348">
        <f t="shared" si="50"/>
        <v>346</v>
      </c>
      <c r="AF348">
        <f t="shared" si="51"/>
        <v>345</v>
      </c>
      <c r="AG348">
        <f t="shared" si="45"/>
        <v>31.40327999999954</v>
      </c>
      <c r="AH348">
        <f t="shared" si="46"/>
        <v>986.16599475837108</v>
      </c>
      <c r="AI348">
        <f t="shared" si="47"/>
        <v>0.71242740799461968</v>
      </c>
      <c r="AJ348">
        <f t="shared" si="48"/>
        <v>0.63628862391577523</v>
      </c>
      <c r="AK348">
        <f t="shared" si="49"/>
        <v>119025</v>
      </c>
      <c r="AL348">
        <f t="shared" si="52"/>
        <v>4766.5311199999996</v>
      </c>
      <c r="AM348" t="str">
        <f t="shared" si="53"/>
        <v/>
      </c>
    </row>
    <row r="349" spans="1:39" x14ac:dyDescent="0.55000000000000004">
      <c r="A349">
        <v>1776850202</v>
      </c>
      <c r="B349" t="s">
        <v>72</v>
      </c>
      <c r="C349" t="s">
        <v>73</v>
      </c>
      <c r="D349">
        <v>4758.47</v>
      </c>
      <c r="E349">
        <v>4518.5928199999998</v>
      </c>
      <c r="F349">
        <v>4596.0559499999999</v>
      </c>
      <c r="G349">
        <v>4755.40355</v>
      </c>
      <c r="H349">
        <v>4792.7697200000002</v>
      </c>
      <c r="Q349">
        <v>4724.7791100000004</v>
      </c>
      <c r="R349">
        <v>4754.1424100000004</v>
      </c>
      <c r="S349">
        <v>4780.7311799999998</v>
      </c>
      <c r="V349">
        <v>4689.8393400000004</v>
      </c>
      <c r="W349">
        <v>4656.2743499999997</v>
      </c>
      <c r="AB349">
        <v>4755.8751199999997</v>
      </c>
      <c r="AC349">
        <v>4756.1018700000004</v>
      </c>
      <c r="AD349">
        <v>0</v>
      </c>
      <c r="AE349">
        <f t="shared" si="50"/>
        <v>347</v>
      </c>
      <c r="AF349">
        <f t="shared" si="51"/>
        <v>346</v>
      </c>
      <c r="AG349">
        <f t="shared" si="45"/>
        <v>33.690889999999854</v>
      </c>
      <c r="AH349">
        <f t="shared" si="46"/>
        <v>1135.0760689920901</v>
      </c>
      <c r="AI349">
        <f t="shared" si="47"/>
        <v>0.87973736008381065</v>
      </c>
      <c r="AJ349">
        <f t="shared" si="48"/>
        <v>0.84295433337404002</v>
      </c>
      <c r="AK349">
        <f t="shared" si="49"/>
        <v>119716</v>
      </c>
      <c r="AL349">
        <f t="shared" si="52"/>
        <v>4766.5311199999996</v>
      </c>
      <c r="AM349" t="str">
        <f t="shared" si="53"/>
        <v/>
      </c>
    </row>
    <row r="350" spans="1:39" x14ac:dyDescent="0.55000000000000004">
      <c r="A350">
        <v>1776851102</v>
      </c>
      <c r="B350" t="s">
        <v>72</v>
      </c>
      <c r="C350" t="s">
        <v>73</v>
      </c>
      <c r="D350">
        <v>4755.32</v>
      </c>
      <c r="E350">
        <v>4518.5928199999998</v>
      </c>
      <c r="F350">
        <v>4596.0559499999999</v>
      </c>
      <c r="G350">
        <v>4755.40355</v>
      </c>
      <c r="H350">
        <v>4792.7697200000002</v>
      </c>
      <c r="Q350">
        <v>4724.5115100000003</v>
      </c>
      <c r="R350">
        <v>4753.8748100000003</v>
      </c>
      <c r="S350">
        <v>4780.4635799999996</v>
      </c>
      <c r="V350">
        <v>4689.5717400000003</v>
      </c>
      <c r="W350">
        <v>4656.0067399999998</v>
      </c>
      <c r="AB350">
        <v>4755.8441400000002</v>
      </c>
      <c r="AC350">
        <v>4755.973</v>
      </c>
      <c r="AD350">
        <v>0</v>
      </c>
      <c r="AE350">
        <f t="shared" si="50"/>
        <v>348</v>
      </c>
      <c r="AF350">
        <f t="shared" si="51"/>
        <v>347</v>
      </c>
      <c r="AG350">
        <f t="shared" si="45"/>
        <v>30.808489999999438</v>
      </c>
      <c r="AH350">
        <f t="shared" si="46"/>
        <v>949.1630560800653</v>
      </c>
      <c r="AI350">
        <f t="shared" si="47"/>
        <v>0.67270835785802496</v>
      </c>
      <c r="AJ350">
        <f t="shared" si="48"/>
        <v>0.58943478885109635</v>
      </c>
      <c r="AK350">
        <f t="shared" si="49"/>
        <v>120409</v>
      </c>
      <c r="AL350">
        <f t="shared" si="52"/>
        <v>4766.5311199999996</v>
      </c>
      <c r="AM350" t="str">
        <f t="shared" si="53"/>
        <v/>
      </c>
    </row>
    <row r="351" spans="1:39" x14ac:dyDescent="0.55000000000000004">
      <c r="A351">
        <v>1776852002</v>
      </c>
      <c r="B351" t="s">
        <v>72</v>
      </c>
      <c r="C351" t="s">
        <v>73</v>
      </c>
      <c r="D351">
        <v>4748.72</v>
      </c>
      <c r="E351">
        <v>4518.5928199999998</v>
      </c>
      <c r="F351">
        <v>4596.0559499999999</v>
      </c>
      <c r="G351">
        <v>4755.40355</v>
      </c>
      <c r="H351">
        <v>4792.7697200000002</v>
      </c>
      <c r="Q351">
        <v>4724.2439000000004</v>
      </c>
      <c r="R351">
        <v>4753.6072000000004</v>
      </c>
      <c r="S351">
        <v>4780.1959699999998</v>
      </c>
      <c r="V351">
        <v>4689.3041300000004</v>
      </c>
      <c r="W351">
        <v>4655.7391399999997</v>
      </c>
      <c r="AB351">
        <v>4755.8898399999998</v>
      </c>
      <c r="AC351">
        <v>4755.9314199999999</v>
      </c>
      <c r="AD351">
        <v>0</v>
      </c>
      <c r="AE351">
        <f t="shared" si="50"/>
        <v>349</v>
      </c>
      <c r="AF351">
        <f t="shared" si="51"/>
        <v>348</v>
      </c>
      <c r="AG351">
        <f t="shared" si="45"/>
        <v>24.47609999999986</v>
      </c>
      <c r="AH351">
        <f t="shared" si="46"/>
        <v>599.07947120999313</v>
      </c>
      <c r="AI351">
        <f t="shared" si="47"/>
        <v>0.33732011611825202</v>
      </c>
      <c r="AJ351">
        <f t="shared" si="48"/>
        <v>0.23481346013395757</v>
      </c>
      <c r="AK351">
        <f t="shared" si="49"/>
        <v>121104</v>
      </c>
      <c r="AL351">
        <f t="shared" si="52"/>
        <v>4766.5311199999996</v>
      </c>
      <c r="AM351" t="str">
        <f t="shared" si="53"/>
        <v/>
      </c>
    </row>
    <row r="352" spans="1:39" x14ac:dyDescent="0.55000000000000004">
      <c r="A352">
        <v>1776852902</v>
      </c>
      <c r="B352" t="s">
        <v>72</v>
      </c>
      <c r="C352" t="s">
        <v>73</v>
      </c>
      <c r="D352">
        <v>4754.63</v>
      </c>
      <c r="E352">
        <v>4518.5928199999998</v>
      </c>
      <c r="F352">
        <v>4596.0559499999999</v>
      </c>
      <c r="G352">
        <v>4755.40355</v>
      </c>
      <c r="H352">
        <v>4792.7697200000002</v>
      </c>
      <c r="Q352">
        <v>4723.9763000000003</v>
      </c>
      <c r="R352">
        <v>4753.3396000000002</v>
      </c>
      <c r="S352">
        <v>4779.9283699999996</v>
      </c>
      <c r="V352">
        <v>4689.0365300000003</v>
      </c>
      <c r="W352">
        <v>4655.4715299999998</v>
      </c>
      <c r="AB352">
        <v>4756.1254300000001</v>
      </c>
      <c r="AC352">
        <v>4756.0284300000003</v>
      </c>
      <c r="AD352">
        <v>1</v>
      </c>
      <c r="AE352">
        <f t="shared" si="50"/>
        <v>350</v>
      </c>
      <c r="AF352">
        <f t="shared" si="51"/>
        <v>349</v>
      </c>
      <c r="AG352">
        <f t="shared" si="45"/>
        <v>30.653699999999844</v>
      </c>
      <c r="AH352">
        <f t="shared" si="46"/>
        <v>939.64932368999041</v>
      </c>
      <c r="AI352">
        <f t="shared" si="47"/>
        <v>0.66261962254758977</v>
      </c>
      <c r="AJ352">
        <f t="shared" si="48"/>
        <v>0.57767786069641835</v>
      </c>
      <c r="AK352">
        <f t="shared" si="49"/>
        <v>121801</v>
      </c>
      <c r="AL352">
        <f t="shared" si="52"/>
        <v>4756.1254300000001</v>
      </c>
      <c r="AM352">
        <f t="shared" si="53"/>
        <v>10.405689999999595</v>
      </c>
    </row>
    <row r="353" spans="1:39" x14ac:dyDescent="0.55000000000000004">
      <c r="A353">
        <v>1776853802</v>
      </c>
      <c r="B353" t="s">
        <v>72</v>
      </c>
      <c r="C353" t="s">
        <v>73</v>
      </c>
      <c r="D353">
        <v>4756.53</v>
      </c>
      <c r="E353">
        <v>4518.5928199999998</v>
      </c>
      <c r="F353">
        <v>4596.0559499999999</v>
      </c>
      <c r="G353">
        <v>4755.40355</v>
      </c>
      <c r="H353">
        <v>4792.7697200000002</v>
      </c>
      <c r="Q353">
        <v>4723.7087000000001</v>
      </c>
      <c r="R353">
        <v>4753.0719900000004</v>
      </c>
      <c r="S353">
        <v>4779.6607700000004</v>
      </c>
      <c r="V353">
        <v>4688.7689300000002</v>
      </c>
      <c r="W353">
        <v>4655.2039299999997</v>
      </c>
      <c r="AB353">
        <v>4756.2561699999997</v>
      </c>
      <c r="AC353">
        <v>4756.1423000000004</v>
      </c>
      <c r="AD353">
        <v>0</v>
      </c>
      <c r="AE353">
        <f t="shared" si="50"/>
        <v>351</v>
      </c>
      <c r="AF353">
        <f t="shared" si="51"/>
        <v>350</v>
      </c>
      <c r="AG353">
        <f t="shared" si="45"/>
        <v>32.82129999999961</v>
      </c>
      <c r="AH353">
        <f t="shared" si="46"/>
        <v>1077.2377336899744</v>
      </c>
      <c r="AI353">
        <f t="shared" si="47"/>
        <v>0.81336020652087537</v>
      </c>
      <c r="AJ353">
        <f t="shared" si="48"/>
        <v>0.7592367610101366</v>
      </c>
      <c r="AK353">
        <f t="shared" si="49"/>
        <v>122500</v>
      </c>
      <c r="AL353">
        <f t="shared" si="52"/>
        <v>4756.1254300000001</v>
      </c>
      <c r="AM353" t="str">
        <f t="shared" si="53"/>
        <v/>
      </c>
    </row>
    <row r="354" spans="1:39" x14ac:dyDescent="0.55000000000000004">
      <c r="A354">
        <v>1776854702</v>
      </c>
      <c r="B354" t="s">
        <v>72</v>
      </c>
      <c r="C354" t="s">
        <v>73</v>
      </c>
      <c r="D354">
        <v>4759.21</v>
      </c>
      <c r="E354">
        <v>4518.5928199999998</v>
      </c>
      <c r="F354">
        <v>4596.0559499999999</v>
      </c>
      <c r="G354">
        <v>4755.40355</v>
      </c>
      <c r="H354">
        <v>4792.7697200000002</v>
      </c>
      <c r="Q354">
        <v>4723.4410900000003</v>
      </c>
      <c r="R354">
        <v>4752.8043900000002</v>
      </c>
      <c r="S354">
        <v>4779.3931599999996</v>
      </c>
      <c r="V354">
        <v>4688.5013200000003</v>
      </c>
      <c r="W354">
        <v>4654.9363300000005</v>
      </c>
      <c r="AB354">
        <v>4756.0877499999997</v>
      </c>
      <c r="AC354">
        <v>4756.1150200000002</v>
      </c>
      <c r="AD354">
        <v>1</v>
      </c>
      <c r="AE354">
        <f t="shared" si="50"/>
        <v>352</v>
      </c>
      <c r="AF354">
        <f t="shared" si="51"/>
        <v>351</v>
      </c>
      <c r="AG354">
        <f t="shared" si="45"/>
        <v>35.768909999999778</v>
      </c>
      <c r="AH354">
        <f t="shared" si="46"/>
        <v>1279.4149225880842</v>
      </c>
      <c r="AI354">
        <f t="shared" si="47"/>
        <v>1.0527680645580255</v>
      </c>
      <c r="AJ354">
        <f t="shared" si="48"/>
        <v>1.070969089548462</v>
      </c>
      <c r="AK354">
        <f t="shared" si="49"/>
        <v>123201</v>
      </c>
      <c r="AL354">
        <f t="shared" si="52"/>
        <v>4756.0877499999997</v>
      </c>
      <c r="AM354">
        <f t="shared" si="53"/>
        <v>3.7680000000364089E-2</v>
      </c>
    </row>
    <row r="355" spans="1:39" x14ac:dyDescent="0.55000000000000004">
      <c r="A355">
        <v>1776855602</v>
      </c>
      <c r="B355" t="s">
        <v>72</v>
      </c>
      <c r="C355" t="s">
        <v>73</v>
      </c>
      <c r="D355">
        <v>4757.2700000000004</v>
      </c>
      <c r="E355">
        <v>4518.5928199999998</v>
      </c>
      <c r="F355">
        <v>4596.0559499999999</v>
      </c>
      <c r="G355">
        <v>4755.40355</v>
      </c>
      <c r="H355">
        <v>4792.7697200000002</v>
      </c>
      <c r="Q355">
        <v>4723.1734900000001</v>
      </c>
      <c r="R355">
        <v>4752.5367900000001</v>
      </c>
      <c r="S355">
        <v>4779.1255600000004</v>
      </c>
      <c r="V355">
        <v>4688.2337200000002</v>
      </c>
      <c r="W355">
        <v>4654.6687199999997</v>
      </c>
      <c r="AB355">
        <v>4755.4432200000001</v>
      </c>
      <c r="AC355">
        <v>4755.7791200000001</v>
      </c>
      <c r="AD355">
        <v>0</v>
      </c>
      <c r="AE355">
        <f t="shared" si="50"/>
        <v>353</v>
      </c>
      <c r="AF355">
        <f t="shared" si="51"/>
        <v>352</v>
      </c>
      <c r="AG355">
        <f t="shared" si="45"/>
        <v>34.096510000000308</v>
      </c>
      <c r="AH355">
        <f t="shared" si="46"/>
        <v>1162.571994180121</v>
      </c>
      <c r="AI355">
        <f t="shared" si="47"/>
        <v>0.91189612384599139</v>
      </c>
      <c r="AJ355">
        <f t="shared" si="48"/>
        <v>0.88428819274468129</v>
      </c>
      <c r="AK355">
        <f t="shared" si="49"/>
        <v>123904</v>
      </c>
      <c r="AL355">
        <f t="shared" si="52"/>
        <v>4756.0877499999997</v>
      </c>
      <c r="AM355" t="str">
        <f t="shared" si="53"/>
        <v/>
      </c>
    </row>
    <row r="356" spans="1:39" x14ac:dyDescent="0.55000000000000004">
      <c r="A356">
        <v>1776856502</v>
      </c>
      <c r="B356" t="s">
        <v>72</v>
      </c>
      <c r="C356" t="s">
        <v>73</v>
      </c>
      <c r="D356">
        <v>4757.3599999999997</v>
      </c>
      <c r="E356">
        <v>4518.5928199999998</v>
      </c>
      <c r="F356">
        <v>4596.0559499999999</v>
      </c>
      <c r="G356">
        <v>4755.40355</v>
      </c>
      <c r="H356">
        <v>4792.7697200000002</v>
      </c>
      <c r="Q356">
        <v>4722.9058800000003</v>
      </c>
      <c r="R356">
        <v>4752.2691800000002</v>
      </c>
      <c r="S356">
        <v>4778.8579499999996</v>
      </c>
      <c r="V356">
        <v>4687.9661100000003</v>
      </c>
      <c r="W356">
        <v>4654.4011200000004</v>
      </c>
      <c r="AB356">
        <v>4754.3490700000002</v>
      </c>
      <c r="AC356">
        <v>4755.0640899999999</v>
      </c>
      <c r="AD356">
        <v>0</v>
      </c>
      <c r="AE356">
        <f t="shared" si="50"/>
        <v>354</v>
      </c>
      <c r="AF356">
        <f t="shared" si="51"/>
        <v>353</v>
      </c>
      <c r="AG356">
        <f t="shared" si="45"/>
        <v>34.454119999999421</v>
      </c>
      <c r="AH356">
        <f t="shared" si="46"/>
        <v>1187.08638497436</v>
      </c>
      <c r="AI356">
        <f t="shared" si="47"/>
        <v>0.94089047157210548</v>
      </c>
      <c r="AJ356">
        <f t="shared" si="48"/>
        <v>0.92197418389310593</v>
      </c>
      <c r="AK356">
        <f t="shared" si="49"/>
        <v>124609</v>
      </c>
      <c r="AL356">
        <f t="shared" si="52"/>
        <v>4756.0877499999997</v>
      </c>
      <c r="AM356" t="str">
        <f t="shared" si="53"/>
        <v/>
      </c>
    </row>
    <row r="357" spans="1:39" x14ac:dyDescent="0.55000000000000004">
      <c r="A357">
        <v>1776857402</v>
      </c>
      <c r="B357" t="s">
        <v>72</v>
      </c>
      <c r="C357" t="s">
        <v>73</v>
      </c>
      <c r="D357">
        <v>4748.68</v>
      </c>
      <c r="E357">
        <v>4518.5928199999998</v>
      </c>
      <c r="F357">
        <v>4596.0559499999999</v>
      </c>
      <c r="G357">
        <v>4755.40355</v>
      </c>
      <c r="H357">
        <v>4792.7697200000002</v>
      </c>
      <c r="Q357">
        <v>4722.6382800000001</v>
      </c>
      <c r="R357">
        <v>4752.0015800000001</v>
      </c>
      <c r="S357">
        <v>4778.5903500000004</v>
      </c>
      <c r="V357">
        <v>4687.6985100000002</v>
      </c>
      <c r="W357">
        <v>4654.1335099999997</v>
      </c>
      <c r="AB357">
        <v>4752.8876</v>
      </c>
      <c r="AC357">
        <v>4753.9758499999998</v>
      </c>
      <c r="AD357">
        <v>0</v>
      </c>
      <c r="AE357">
        <f t="shared" si="50"/>
        <v>355</v>
      </c>
      <c r="AF357">
        <f t="shared" si="51"/>
        <v>354</v>
      </c>
      <c r="AG357">
        <f t="shared" si="45"/>
        <v>26.041720000000169</v>
      </c>
      <c r="AH357">
        <f t="shared" si="46"/>
        <v>678.17118055840876</v>
      </c>
      <c r="AI357">
        <f t="shared" si="47"/>
        <v>0.40627919164633064</v>
      </c>
      <c r="AJ357">
        <f t="shared" si="48"/>
        <v>0.30090733400534342</v>
      </c>
      <c r="AK357">
        <f t="shared" si="49"/>
        <v>125316</v>
      </c>
      <c r="AL357">
        <f t="shared" si="52"/>
        <v>4756.0877499999997</v>
      </c>
      <c r="AM357" t="str">
        <f t="shared" si="53"/>
        <v/>
      </c>
    </row>
    <row r="358" spans="1:39" x14ac:dyDescent="0.55000000000000004">
      <c r="A358">
        <v>1776858302</v>
      </c>
      <c r="B358" t="s">
        <v>72</v>
      </c>
      <c r="C358" t="s">
        <v>73</v>
      </c>
      <c r="D358">
        <v>4750.3100000000004</v>
      </c>
      <c r="E358">
        <v>4518.5928199999998</v>
      </c>
      <c r="F358">
        <v>4596.0559499999999</v>
      </c>
      <c r="G358">
        <v>4755.40355</v>
      </c>
      <c r="H358">
        <v>4792.7697200000002</v>
      </c>
      <c r="Q358">
        <v>4722.37068</v>
      </c>
      <c r="R358">
        <v>4751.7339700000002</v>
      </c>
      <c r="S358">
        <v>4778.3227399999996</v>
      </c>
      <c r="V358">
        <v>4687.4309000000003</v>
      </c>
      <c r="W358">
        <v>4653.8659100000004</v>
      </c>
      <c r="AB358">
        <v>4751.4667300000001</v>
      </c>
      <c r="AC358">
        <v>4752.7212900000004</v>
      </c>
      <c r="AD358">
        <v>0</v>
      </c>
      <c r="AE358">
        <f t="shared" si="50"/>
        <v>356</v>
      </c>
      <c r="AF358">
        <f t="shared" si="51"/>
        <v>355</v>
      </c>
      <c r="AG358">
        <f t="shared" si="45"/>
        <v>27.939320000000407</v>
      </c>
      <c r="AH358">
        <f t="shared" si="46"/>
        <v>780.6056020624228</v>
      </c>
      <c r="AI358">
        <f t="shared" si="47"/>
        <v>0.501721925155732</v>
      </c>
      <c r="AJ358">
        <f t="shared" si="48"/>
        <v>0.39867356532533127</v>
      </c>
      <c r="AK358">
        <f t="shared" si="49"/>
        <v>126025</v>
      </c>
      <c r="AL358">
        <f t="shared" si="52"/>
        <v>4756.0877499999997</v>
      </c>
      <c r="AM358" t="str">
        <f t="shared" si="53"/>
        <v/>
      </c>
    </row>
    <row r="359" spans="1:39" x14ac:dyDescent="0.55000000000000004">
      <c r="A359">
        <v>1776859202</v>
      </c>
      <c r="B359" t="s">
        <v>72</v>
      </c>
      <c r="C359" t="s">
        <v>73</v>
      </c>
      <c r="D359">
        <v>4752.51</v>
      </c>
      <c r="E359">
        <v>4518.5928199999998</v>
      </c>
      <c r="F359">
        <v>4596.0559499999999</v>
      </c>
      <c r="G359">
        <v>4755.40355</v>
      </c>
      <c r="H359">
        <v>4792.7697200000002</v>
      </c>
      <c r="Q359">
        <v>4722.1030700000001</v>
      </c>
      <c r="R359">
        <v>4751.4663700000001</v>
      </c>
      <c r="S359">
        <v>4778.0551400000004</v>
      </c>
      <c r="V359">
        <v>4687.1633000000002</v>
      </c>
      <c r="W359">
        <v>4653.5982999999997</v>
      </c>
      <c r="AB359">
        <v>4750.2142100000001</v>
      </c>
      <c r="AC359">
        <v>4751.4677499999998</v>
      </c>
      <c r="AD359">
        <v>0</v>
      </c>
      <c r="AE359">
        <f t="shared" si="50"/>
        <v>357</v>
      </c>
      <c r="AF359">
        <f t="shared" si="51"/>
        <v>356</v>
      </c>
      <c r="AG359">
        <f t="shared" si="45"/>
        <v>30.406930000000102</v>
      </c>
      <c r="AH359">
        <f t="shared" si="46"/>
        <v>924.58139202490622</v>
      </c>
      <c r="AI359">
        <f t="shared" si="47"/>
        <v>0.64674533893850117</v>
      </c>
      <c r="AJ359">
        <f t="shared" si="48"/>
        <v>0.55929947278590364</v>
      </c>
      <c r="AK359">
        <f t="shared" si="49"/>
        <v>126736</v>
      </c>
      <c r="AL359">
        <f t="shared" si="52"/>
        <v>4756.0877499999997</v>
      </c>
      <c r="AM359" t="str">
        <f t="shared" si="53"/>
        <v/>
      </c>
    </row>
    <row r="360" spans="1:39" x14ac:dyDescent="0.55000000000000004">
      <c r="A360">
        <v>1776860102</v>
      </c>
      <c r="B360" t="s">
        <v>72</v>
      </c>
      <c r="C360" t="s">
        <v>73</v>
      </c>
      <c r="D360">
        <v>4753.2</v>
      </c>
      <c r="E360">
        <v>4518.5928199999998</v>
      </c>
      <c r="F360">
        <v>4596.0559499999999</v>
      </c>
      <c r="G360">
        <v>4755.40355</v>
      </c>
      <c r="H360">
        <v>4792.7697200000002</v>
      </c>
      <c r="Q360">
        <v>4721.83547</v>
      </c>
      <c r="R360">
        <v>4751.19877</v>
      </c>
      <c r="S360">
        <v>4777.7875400000003</v>
      </c>
      <c r="V360">
        <v>4686.8957</v>
      </c>
      <c r="W360">
        <v>4653.3307000000004</v>
      </c>
      <c r="AB360">
        <v>4749.2244300000002</v>
      </c>
      <c r="AC360">
        <v>4750.34609</v>
      </c>
      <c r="AD360">
        <v>0</v>
      </c>
      <c r="AE360">
        <f t="shared" si="50"/>
        <v>358</v>
      </c>
      <c r="AF360">
        <f t="shared" si="51"/>
        <v>357</v>
      </c>
      <c r="AG360">
        <f t="shared" si="45"/>
        <v>31.364529999999831</v>
      </c>
      <c r="AH360">
        <f t="shared" si="46"/>
        <v>983.73374212088947</v>
      </c>
      <c r="AI360">
        <f t="shared" si="47"/>
        <v>0.70979336680320637</v>
      </c>
      <c r="AJ360">
        <f t="shared" si="48"/>
        <v>0.63315384499452421</v>
      </c>
      <c r="AK360">
        <f t="shared" si="49"/>
        <v>127449</v>
      </c>
      <c r="AL360">
        <f t="shared" si="52"/>
        <v>4756.0877499999997</v>
      </c>
      <c r="AM360" t="str">
        <f t="shared" si="53"/>
        <v/>
      </c>
    </row>
    <row r="361" spans="1:39" x14ac:dyDescent="0.55000000000000004">
      <c r="A361">
        <v>1776861002</v>
      </c>
      <c r="B361" t="s">
        <v>72</v>
      </c>
      <c r="C361" t="s">
        <v>73</v>
      </c>
      <c r="D361">
        <v>4746.7299999999996</v>
      </c>
      <c r="E361">
        <v>4518.5928199999998</v>
      </c>
      <c r="F361">
        <v>4596.0559499999999</v>
      </c>
      <c r="G361">
        <v>4755.40355</v>
      </c>
      <c r="H361">
        <v>4792.7697200000002</v>
      </c>
      <c r="Q361">
        <v>4721.5678600000001</v>
      </c>
      <c r="R361">
        <v>4750.9311600000001</v>
      </c>
      <c r="S361">
        <v>4777.5199300000004</v>
      </c>
      <c r="V361">
        <v>4686.6280900000002</v>
      </c>
      <c r="W361">
        <v>4653.0631000000003</v>
      </c>
      <c r="AB361">
        <v>4748.5637299999999</v>
      </c>
      <c r="AC361">
        <v>4749.4549100000004</v>
      </c>
      <c r="AD361">
        <v>0</v>
      </c>
      <c r="AE361">
        <f t="shared" si="50"/>
        <v>359</v>
      </c>
      <c r="AF361">
        <f t="shared" si="51"/>
        <v>358</v>
      </c>
      <c r="AG361">
        <f t="shared" si="45"/>
        <v>25.162139999999454</v>
      </c>
      <c r="AH361">
        <f t="shared" si="46"/>
        <v>633.13328937957249</v>
      </c>
      <c r="AI361">
        <f t="shared" si="47"/>
        <v>0.36648677527449069</v>
      </c>
      <c r="AJ361">
        <f t="shared" si="48"/>
        <v>0.26226746001057666</v>
      </c>
      <c r="AK361">
        <f t="shared" si="49"/>
        <v>128164</v>
      </c>
      <c r="AL361">
        <f t="shared" si="52"/>
        <v>4756.0877499999997</v>
      </c>
      <c r="AM361" t="str">
        <f t="shared" si="53"/>
        <v/>
      </c>
    </row>
    <row r="362" spans="1:39" x14ac:dyDescent="0.55000000000000004">
      <c r="A362">
        <v>1776861902</v>
      </c>
      <c r="B362" t="s">
        <v>72</v>
      </c>
      <c r="C362" t="s">
        <v>73</v>
      </c>
      <c r="D362">
        <v>4744.2299999999996</v>
      </c>
      <c r="E362">
        <v>4518.5928199999998</v>
      </c>
      <c r="F362">
        <v>4596.0559499999999</v>
      </c>
      <c r="G362">
        <v>4755.40355</v>
      </c>
      <c r="H362">
        <v>4792.7697200000002</v>
      </c>
      <c r="Q362">
        <v>4721.30026</v>
      </c>
      <c r="R362">
        <v>4750.66356</v>
      </c>
      <c r="S362">
        <v>4777.2523300000003</v>
      </c>
      <c r="V362">
        <v>4686.36049</v>
      </c>
      <c r="W362">
        <v>4652.7954900000004</v>
      </c>
      <c r="AB362">
        <v>4748.3941299999997</v>
      </c>
      <c r="AC362">
        <v>4748.9245199999996</v>
      </c>
      <c r="AD362">
        <v>0</v>
      </c>
      <c r="AE362">
        <f t="shared" si="50"/>
        <v>360</v>
      </c>
      <c r="AF362">
        <f t="shared" si="51"/>
        <v>359</v>
      </c>
      <c r="AG362">
        <f t="shared" si="45"/>
        <v>22.929739999999583</v>
      </c>
      <c r="AH362">
        <f t="shared" si="46"/>
        <v>525.77297646758086</v>
      </c>
      <c r="AI362">
        <f t="shared" si="47"/>
        <v>0.27734029641619712</v>
      </c>
      <c r="AJ362">
        <f t="shared" si="48"/>
        <v>0.18086337629659177</v>
      </c>
      <c r="AK362">
        <f t="shared" si="49"/>
        <v>128881</v>
      </c>
      <c r="AL362">
        <f t="shared" si="52"/>
        <v>4756.0877499999997</v>
      </c>
      <c r="AM362" t="str">
        <f t="shared" si="53"/>
        <v/>
      </c>
    </row>
    <row r="363" spans="1:39" x14ac:dyDescent="0.55000000000000004">
      <c r="A363">
        <v>1776862802</v>
      </c>
      <c r="B363" t="s">
        <v>72</v>
      </c>
      <c r="C363" t="s">
        <v>73</v>
      </c>
      <c r="D363">
        <v>4742.3900000000003</v>
      </c>
      <c r="E363">
        <v>4518.5928199999998</v>
      </c>
      <c r="F363">
        <v>4596.0559499999999</v>
      </c>
      <c r="G363">
        <v>4755.40355</v>
      </c>
      <c r="H363">
        <v>4792.7697200000002</v>
      </c>
      <c r="Q363">
        <v>4721.0326500000001</v>
      </c>
      <c r="R363">
        <v>4750.3959500000001</v>
      </c>
      <c r="S363">
        <v>4776.9847200000004</v>
      </c>
      <c r="V363">
        <v>4686.0928800000002</v>
      </c>
      <c r="W363">
        <v>4652.5278900000003</v>
      </c>
      <c r="AB363">
        <v>4748.6133399999999</v>
      </c>
      <c r="AC363">
        <v>4748.7689300000002</v>
      </c>
      <c r="AD363">
        <v>0</v>
      </c>
      <c r="AE363">
        <f t="shared" si="50"/>
        <v>361</v>
      </c>
      <c r="AF363">
        <f t="shared" si="51"/>
        <v>360</v>
      </c>
      <c r="AG363">
        <f t="shared" si="45"/>
        <v>21.357350000000224</v>
      </c>
      <c r="AH363">
        <f t="shared" si="46"/>
        <v>456.13639902250958</v>
      </c>
      <c r="AI363">
        <f t="shared" si="47"/>
        <v>0.22410816470151637</v>
      </c>
      <c r="AJ363">
        <f t="shared" si="48"/>
        <v>0.13612678011886398</v>
      </c>
      <c r="AK363">
        <f t="shared" si="49"/>
        <v>129600</v>
      </c>
      <c r="AL363">
        <f t="shared" si="52"/>
        <v>4756.0877499999997</v>
      </c>
      <c r="AM363" t="str">
        <f t="shared" si="53"/>
        <v/>
      </c>
    </row>
    <row r="364" spans="1:39" x14ac:dyDescent="0.55000000000000004">
      <c r="A364">
        <v>1776863702</v>
      </c>
      <c r="B364" t="s">
        <v>72</v>
      </c>
      <c r="C364" t="s">
        <v>73</v>
      </c>
      <c r="D364">
        <v>4750.2</v>
      </c>
      <c r="E364">
        <v>4518.5928199999998</v>
      </c>
      <c r="F364">
        <v>4596.0559499999999</v>
      </c>
      <c r="G364">
        <v>4755.40355</v>
      </c>
      <c r="H364">
        <v>4792.7697200000002</v>
      </c>
      <c r="Q364">
        <v>4720.76505</v>
      </c>
      <c r="R364">
        <v>4750.12835</v>
      </c>
      <c r="S364">
        <v>4776.7171200000003</v>
      </c>
      <c r="V364">
        <v>4685.82528</v>
      </c>
      <c r="W364">
        <v>4652.2602800000004</v>
      </c>
      <c r="AB364">
        <v>4748.9847</v>
      </c>
      <c r="AC364">
        <v>4748.8768099999998</v>
      </c>
      <c r="AD364">
        <v>1</v>
      </c>
      <c r="AE364">
        <f t="shared" si="50"/>
        <v>362</v>
      </c>
      <c r="AF364">
        <f t="shared" si="51"/>
        <v>361</v>
      </c>
      <c r="AG364">
        <f t="shared" si="45"/>
        <v>29.434949999999844</v>
      </c>
      <c r="AH364">
        <f t="shared" si="46"/>
        <v>866.41628150249085</v>
      </c>
      <c r="AI364">
        <f t="shared" si="47"/>
        <v>0.58668568516038244</v>
      </c>
      <c r="AJ364">
        <f t="shared" si="48"/>
        <v>0.49114228042001179</v>
      </c>
      <c r="AK364">
        <f t="shared" si="49"/>
        <v>130321</v>
      </c>
      <c r="AL364">
        <f t="shared" si="52"/>
        <v>4748.9847</v>
      </c>
      <c r="AM364">
        <f t="shared" si="53"/>
        <v>7.1030499999997119</v>
      </c>
    </row>
    <row r="365" spans="1:39" x14ac:dyDescent="0.55000000000000004">
      <c r="A365">
        <v>1776864602</v>
      </c>
      <c r="B365" t="s">
        <v>72</v>
      </c>
      <c r="C365" t="s">
        <v>73</v>
      </c>
      <c r="D365">
        <v>4755.33</v>
      </c>
      <c r="E365">
        <v>4518.5928199999998</v>
      </c>
      <c r="F365">
        <v>4596.0559499999999</v>
      </c>
      <c r="G365">
        <v>4755.40355</v>
      </c>
      <c r="H365">
        <v>4792.7697200000002</v>
      </c>
      <c r="Q365">
        <v>4720.4974499999998</v>
      </c>
      <c r="R365">
        <v>4749.8607499999998</v>
      </c>
      <c r="S365">
        <v>4776.4495200000001</v>
      </c>
      <c r="V365">
        <v>4685.5576799999999</v>
      </c>
      <c r="W365">
        <v>4651.9926800000003</v>
      </c>
      <c r="AB365">
        <v>4748.9431299999997</v>
      </c>
      <c r="AC365">
        <v>4748.9099699999997</v>
      </c>
      <c r="AD365">
        <v>0</v>
      </c>
      <c r="AE365">
        <f t="shared" si="50"/>
        <v>363</v>
      </c>
      <c r="AF365">
        <f t="shared" si="51"/>
        <v>362</v>
      </c>
      <c r="AG365">
        <f t="shared" si="45"/>
        <v>34.832550000000083</v>
      </c>
      <c r="AH365">
        <f t="shared" si="46"/>
        <v>1213.3065395025058</v>
      </c>
      <c r="AI365">
        <f t="shared" si="47"/>
        <v>0.97223531482350301</v>
      </c>
      <c r="AJ365">
        <f t="shared" si="48"/>
        <v>0.963152795288434</v>
      </c>
      <c r="AK365">
        <f t="shared" si="49"/>
        <v>131044</v>
      </c>
      <c r="AL365">
        <f t="shared" si="52"/>
        <v>4748.9847</v>
      </c>
      <c r="AM365" t="str">
        <f t="shared" si="53"/>
        <v/>
      </c>
    </row>
    <row r="366" spans="1:39" x14ac:dyDescent="0.55000000000000004">
      <c r="A366">
        <v>1776865502</v>
      </c>
      <c r="B366" t="s">
        <v>72</v>
      </c>
      <c r="C366" t="s">
        <v>73</v>
      </c>
      <c r="D366">
        <v>4752.9399999999996</v>
      </c>
      <c r="E366">
        <v>4518.5928199999998</v>
      </c>
      <c r="F366">
        <v>4596.0559499999999</v>
      </c>
      <c r="G366">
        <v>4755.40355</v>
      </c>
      <c r="H366">
        <v>4792.7697200000002</v>
      </c>
      <c r="Q366">
        <v>4720.22984</v>
      </c>
      <c r="R366">
        <v>4749.5931399999999</v>
      </c>
      <c r="S366">
        <v>4776.1819100000002</v>
      </c>
      <c r="V366">
        <v>4685.29007</v>
      </c>
      <c r="W366">
        <v>4651.7250800000002</v>
      </c>
      <c r="AB366">
        <v>4748.0625200000004</v>
      </c>
      <c r="AC366">
        <v>4748.4862499999999</v>
      </c>
      <c r="AD366">
        <v>1</v>
      </c>
      <c r="AE366">
        <f t="shared" si="50"/>
        <v>364</v>
      </c>
      <c r="AF366">
        <f t="shared" si="51"/>
        <v>363</v>
      </c>
      <c r="AG366">
        <f t="shared" si="45"/>
        <v>32.710159999999632</v>
      </c>
      <c r="AH366">
        <f t="shared" si="46"/>
        <v>1069.9545672255761</v>
      </c>
      <c r="AI366">
        <f t="shared" si="47"/>
        <v>0.80512551481552685</v>
      </c>
      <c r="AJ366">
        <f t="shared" si="48"/>
        <v>0.74900512008813047</v>
      </c>
      <c r="AK366">
        <f t="shared" si="49"/>
        <v>131769</v>
      </c>
      <c r="AL366">
        <f t="shared" si="52"/>
        <v>4748.0625200000004</v>
      </c>
      <c r="AM366">
        <f t="shared" si="53"/>
        <v>0.92217999999957101</v>
      </c>
    </row>
    <row r="367" spans="1:39" x14ac:dyDescent="0.55000000000000004">
      <c r="A367">
        <v>1776866402</v>
      </c>
      <c r="B367" t="s">
        <v>72</v>
      </c>
      <c r="C367" t="s">
        <v>73</v>
      </c>
      <c r="D367">
        <v>4745.59</v>
      </c>
      <c r="E367">
        <v>4518.5928199999998</v>
      </c>
      <c r="F367">
        <v>4596.0559499999999</v>
      </c>
      <c r="G367">
        <v>4755.40355</v>
      </c>
      <c r="H367">
        <v>4792.7697200000002</v>
      </c>
      <c r="Q367">
        <v>4719.9622399999998</v>
      </c>
      <c r="R367">
        <v>4749.3255399999998</v>
      </c>
      <c r="S367">
        <v>4775.9143100000001</v>
      </c>
      <c r="V367">
        <v>4685.0224699999999</v>
      </c>
      <c r="W367">
        <v>4651.4574700000003</v>
      </c>
      <c r="AB367">
        <v>4746.2443499999999</v>
      </c>
      <c r="AC367">
        <v>4747.3653000000004</v>
      </c>
      <c r="AD367">
        <v>0</v>
      </c>
      <c r="AE367">
        <f t="shared" si="50"/>
        <v>365</v>
      </c>
      <c r="AF367">
        <f t="shared" si="51"/>
        <v>364</v>
      </c>
      <c r="AG367">
        <f t="shared" si="45"/>
        <v>25.627760000000308</v>
      </c>
      <c r="AH367">
        <f t="shared" si="46"/>
        <v>656.78208261761574</v>
      </c>
      <c r="AI367">
        <f t="shared" si="47"/>
        <v>0.38721085986860743</v>
      </c>
      <c r="AJ367">
        <f t="shared" si="48"/>
        <v>0.28222579534284975</v>
      </c>
      <c r="AK367">
        <f t="shared" si="49"/>
        <v>132496</v>
      </c>
      <c r="AL367">
        <f t="shared" si="52"/>
        <v>4748.0625200000004</v>
      </c>
      <c r="AM367" t="str">
        <f t="shared" si="53"/>
        <v/>
      </c>
    </row>
    <row r="368" spans="1:39" x14ac:dyDescent="0.55000000000000004">
      <c r="A368">
        <v>1776867302</v>
      </c>
      <c r="B368" t="s">
        <v>72</v>
      </c>
      <c r="C368" t="s">
        <v>73</v>
      </c>
      <c r="D368">
        <v>4743.96</v>
      </c>
      <c r="E368">
        <v>4518.5928199999998</v>
      </c>
      <c r="F368">
        <v>4596.0559499999999</v>
      </c>
      <c r="G368">
        <v>4755.40355</v>
      </c>
      <c r="H368">
        <v>4792.7697200000002</v>
      </c>
      <c r="Q368">
        <v>4719.69463</v>
      </c>
      <c r="R368">
        <v>4749.0579299999999</v>
      </c>
      <c r="S368">
        <v>4775.6467000000002</v>
      </c>
      <c r="V368">
        <v>4684.75486</v>
      </c>
      <c r="W368">
        <v>4651.1898700000002</v>
      </c>
      <c r="AB368">
        <v>4743.6987300000001</v>
      </c>
      <c r="AC368">
        <v>4745.5320099999999</v>
      </c>
      <c r="AD368">
        <v>0</v>
      </c>
      <c r="AE368">
        <f t="shared" si="50"/>
        <v>366</v>
      </c>
      <c r="AF368">
        <f t="shared" si="51"/>
        <v>365</v>
      </c>
      <c r="AG368">
        <f t="shared" si="45"/>
        <v>24.265370000000075</v>
      </c>
      <c r="AH368">
        <f t="shared" si="46"/>
        <v>588.80818123690369</v>
      </c>
      <c r="AI368">
        <f t="shared" si="47"/>
        <v>0.32868231566504108</v>
      </c>
      <c r="AJ368">
        <f t="shared" si="48"/>
        <v>0.22683067443074079</v>
      </c>
      <c r="AK368">
        <f t="shared" si="49"/>
        <v>133225</v>
      </c>
      <c r="AL368">
        <f t="shared" si="52"/>
        <v>4748.0625200000004</v>
      </c>
      <c r="AM368" t="str">
        <f t="shared" si="53"/>
        <v/>
      </c>
    </row>
    <row r="369" spans="1:39" x14ac:dyDescent="0.55000000000000004">
      <c r="A369">
        <v>1776868202</v>
      </c>
      <c r="B369" t="s">
        <v>72</v>
      </c>
      <c r="C369" t="s">
        <v>73</v>
      </c>
      <c r="D369">
        <v>4733.08</v>
      </c>
      <c r="E369">
        <v>4518.5928199999998</v>
      </c>
      <c r="F369">
        <v>4596.0559499999999</v>
      </c>
      <c r="G369">
        <v>4755.40355</v>
      </c>
      <c r="H369">
        <v>4792.7697200000002</v>
      </c>
      <c r="Q369">
        <v>4719.4270299999998</v>
      </c>
      <c r="R369">
        <v>4748.7903299999998</v>
      </c>
      <c r="S369">
        <v>4775.3791000000001</v>
      </c>
      <c r="V369">
        <v>4684.4872599999999</v>
      </c>
      <c r="W369">
        <v>4650.9222600000003</v>
      </c>
      <c r="AB369">
        <v>4740.6026400000001</v>
      </c>
      <c r="AC369">
        <v>4743.0673299999999</v>
      </c>
      <c r="AD369">
        <v>0</v>
      </c>
      <c r="AE369">
        <f t="shared" si="50"/>
        <v>367</v>
      </c>
      <c r="AF369">
        <f t="shared" si="51"/>
        <v>366</v>
      </c>
      <c r="AG369">
        <f t="shared" si="45"/>
        <v>13.652970000000096</v>
      </c>
      <c r="AH369">
        <f t="shared" si="46"/>
        <v>186.40358982090262</v>
      </c>
      <c r="AI369">
        <f t="shared" si="47"/>
        <v>5.8545968172854387E-2</v>
      </c>
      <c r="AJ369">
        <f t="shared" si="48"/>
        <v>2.2733309070053616E-2</v>
      </c>
      <c r="AK369">
        <f t="shared" si="49"/>
        <v>133956</v>
      </c>
      <c r="AL369">
        <f t="shared" si="52"/>
        <v>4748.0625200000004</v>
      </c>
      <c r="AM369" t="str">
        <f t="shared" si="53"/>
        <v/>
      </c>
    </row>
    <row r="370" spans="1:39" x14ac:dyDescent="0.55000000000000004">
      <c r="A370">
        <v>1776869102</v>
      </c>
      <c r="B370" t="s">
        <v>72</v>
      </c>
      <c r="C370" t="s">
        <v>73</v>
      </c>
      <c r="D370">
        <v>4736.03</v>
      </c>
      <c r="E370">
        <v>4518.5928199999998</v>
      </c>
      <c r="F370">
        <v>4596.0559499999999</v>
      </c>
      <c r="G370">
        <v>4755.40355</v>
      </c>
      <c r="H370">
        <v>4792.7697200000002</v>
      </c>
      <c r="Q370">
        <v>4719.1594299999997</v>
      </c>
      <c r="R370">
        <v>4748.5227299999997</v>
      </c>
      <c r="S370">
        <v>4775.1115</v>
      </c>
      <c r="V370">
        <v>4684.2196599999997</v>
      </c>
      <c r="W370">
        <v>4650.6546600000001</v>
      </c>
      <c r="AB370">
        <v>4737.4701500000001</v>
      </c>
      <c r="AC370">
        <v>4740.2687400000004</v>
      </c>
      <c r="AD370">
        <v>0</v>
      </c>
      <c r="AE370">
        <f t="shared" si="50"/>
        <v>368</v>
      </c>
      <c r="AF370">
        <f t="shared" si="51"/>
        <v>367</v>
      </c>
      <c r="AG370">
        <f t="shared" si="45"/>
        <v>16.870570000000043</v>
      </c>
      <c r="AH370">
        <f t="shared" si="46"/>
        <v>284.61613212490147</v>
      </c>
      <c r="AI370">
        <f t="shared" si="47"/>
        <v>0.11045995273623536</v>
      </c>
      <c r="AJ370">
        <f t="shared" si="48"/>
        <v>5.2999666573247603E-2</v>
      </c>
      <c r="AK370">
        <f t="shared" si="49"/>
        <v>134689</v>
      </c>
      <c r="AL370">
        <f t="shared" si="52"/>
        <v>4748.0625200000004</v>
      </c>
      <c r="AM370" t="str">
        <f t="shared" si="53"/>
        <v/>
      </c>
    </row>
    <row r="371" spans="1:39" x14ac:dyDescent="0.55000000000000004">
      <c r="A371">
        <v>1776870002</v>
      </c>
      <c r="B371" t="s">
        <v>72</v>
      </c>
      <c r="C371" t="s">
        <v>73</v>
      </c>
      <c r="D371">
        <v>4737.74</v>
      </c>
      <c r="E371">
        <v>4518.5928199999998</v>
      </c>
      <c r="F371">
        <v>4596.0559499999999</v>
      </c>
      <c r="G371">
        <v>4755.40355</v>
      </c>
      <c r="H371">
        <v>4792.7697200000002</v>
      </c>
      <c r="Q371">
        <v>4718.8918199999998</v>
      </c>
      <c r="R371">
        <v>4748.2551199999998</v>
      </c>
      <c r="S371">
        <v>4774.8438900000001</v>
      </c>
      <c r="V371">
        <v>4683.9520499999999</v>
      </c>
      <c r="W371">
        <v>4650.38706</v>
      </c>
      <c r="AB371">
        <v>4734.4492499999997</v>
      </c>
      <c r="AC371">
        <v>4737.3590000000004</v>
      </c>
      <c r="AD371">
        <v>0</v>
      </c>
      <c r="AE371">
        <f t="shared" si="50"/>
        <v>369</v>
      </c>
      <c r="AF371">
        <f t="shared" si="51"/>
        <v>368</v>
      </c>
      <c r="AG371">
        <f t="shared" si="45"/>
        <v>18.848179999999957</v>
      </c>
      <c r="AH371">
        <f t="shared" si="46"/>
        <v>355.25388931239837</v>
      </c>
      <c r="AI371">
        <f t="shared" si="47"/>
        <v>0.15403657246978325</v>
      </c>
      <c r="AJ371">
        <f t="shared" si="48"/>
        <v>8.2571808217075215E-2</v>
      </c>
      <c r="AK371">
        <f t="shared" si="49"/>
        <v>135424</v>
      </c>
      <c r="AL371">
        <f t="shared" si="52"/>
        <v>4748.0625200000004</v>
      </c>
      <c r="AM371" t="str">
        <f t="shared" si="53"/>
        <v/>
      </c>
    </row>
    <row r="372" spans="1:39" x14ac:dyDescent="0.55000000000000004">
      <c r="A372">
        <v>1776870902</v>
      </c>
      <c r="B372" t="s">
        <v>72</v>
      </c>
      <c r="C372" t="s">
        <v>73</v>
      </c>
      <c r="D372">
        <v>4735.09</v>
      </c>
      <c r="E372">
        <v>4518.5928199999998</v>
      </c>
      <c r="F372">
        <v>4596.0559499999999</v>
      </c>
      <c r="G372">
        <v>4755.40355</v>
      </c>
      <c r="H372">
        <v>4792.7697200000002</v>
      </c>
      <c r="Q372">
        <v>4718.6242199999997</v>
      </c>
      <c r="R372">
        <v>4747.9875199999997</v>
      </c>
      <c r="S372">
        <v>4774.57629</v>
      </c>
      <c r="V372">
        <v>4683.6844499999997</v>
      </c>
      <c r="W372">
        <v>4650.1194500000001</v>
      </c>
      <c r="AB372">
        <v>4731.7262799999999</v>
      </c>
      <c r="AC372">
        <v>4734.5426399999997</v>
      </c>
      <c r="AD372">
        <v>0</v>
      </c>
      <c r="AE372">
        <f t="shared" si="50"/>
        <v>370</v>
      </c>
      <c r="AF372">
        <f t="shared" si="51"/>
        <v>369</v>
      </c>
      <c r="AG372">
        <f t="shared" si="45"/>
        <v>16.46578000000045</v>
      </c>
      <c r="AH372">
        <f t="shared" si="46"/>
        <v>271.12191100841483</v>
      </c>
      <c r="AI372">
        <f t="shared" si="47"/>
        <v>0.10269812390335119</v>
      </c>
      <c r="AJ372">
        <f t="shared" si="48"/>
        <v>4.8093163644906789E-2</v>
      </c>
      <c r="AK372">
        <f t="shared" si="49"/>
        <v>136161</v>
      </c>
      <c r="AL372">
        <f t="shared" si="52"/>
        <v>4748.0625200000004</v>
      </c>
      <c r="AM372" t="str">
        <f t="shared" si="53"/>
        <v/>
      </c>
    </row>
    <row r="373" spans="1:39" x14ac:dyDescent="0.55000000000000004">
      <c r="A373">
        <v>1776871802</v>
      </c>
      <c r="B373" t="s">
        <v>72</v>
      </c>
      <c r="C373" t="s">
        <v>73</v>
      </c>
      <c r="D373">
        <v>4727.2</v>
      </c>
      <c r="E373">
        <v>4518.5928199999998</v>
      </c>
      <c r="F373">
        <v>4596.0559499999999</v>
      </c>
      <c r="G373">
        <v>4755.40355</v>
      </c>
      <c r="H373">
        <v>4792.7697200000002</v>
      </c>
      <c r="Q373">
        <v>4718.3566099999998</v>
      </c>
      <c r="R373">
        <v>4747.7199099999998</v>
      </c>
      <c r="S373">
        <v>4774.3086800000001</v>
      </c>
      <c r="V373">
        <v>4683.4168399999999</v>
      </c>
      <c r="W373">
        <v>4649.85185</v>
      </c>
      <c r="AB373">
        <v>4729.5702600000004</v>
      </c>
      <c r="AC373">
        <v>4732.05645</v>
      </c>
      <c r="AD373">
        <v>0</v>
      </c>
      <c r="AE373">
        <f t="shared" si="50"/>
        <v>371</v>
      </c>
      <c r="AF373">
        <f t="shared" si="51"/>
        <v>370</v>
      </c>
      <c r="AG373">
        <f t="shared" si="45"/>
        <v>8.8433899999999994</v>
      </c>
      <c r="AH373">
        <f t="shared" si="46"/>
        <v>78.205546692099986</v>
      </c>
      <c r="AI373">
        <f t="shared" si="47"/>
        <v>1.5910063716772067E-2</v>
      </c>
      <c r="AJ373">
        <f t="shared" si="48"/>
        <v>4.0015590055019982E-3</v>
      </c>
      <c r="AK373">
        <f t="shared" si="49"/>
        <v>136900</v>
      </c>
      <c r="AL373">
        <f t="shared" si="52"/>
        <v>4748.0625200000004</v>
      </c>
      <c r="AM373" t="str">
        <f t="shared" si="53"/>
        <v/>
      </c>
    </row>
    <row r="374" spans="1:39" x14ac:dyDescent="0.55000000000000004">
      <c r="A374">
        <v>1776872702</v>
      </c>
      <c r="B374" t="s">
        <v>72</v>
      </c>
      <c r="C374" t="s">
        <v>73</v>
      </c>
      <c r="D374">
        <v>4727.6899999999996</v>
      </c>
      <c r="E374">
        <v>4518.5928199999998</v>
      </c>
      <c r="F374">
        <v>4596.0559499999999</v>
      </c>
      <c r="G374">
        <v>4755.40355</v>
      </c>
      <c r="H374">
        <v>4792.7697200000002</v>
      </c>
      <c r="Q374">
        <v>4718.0890099999997</v>
      </c>
      <c r="R374">
        <v>4747.4523099999997</v>
      </c>
      <c r="S374">
        <v>4774.04108</v>
      </c>
      <c r="V374">
        <v>4683.1492399999997</v>
      </c>
      <c r="W374">
        <v>4649.5842400000001</v>
      </c>
      <c r="AB374">
        <v>4728.3652199999997</v>
      </c>
      <c r="AC374">
        <v>4730.21083</v>
      </c>
      <c r="AD374">
        <v>0</v>
      </c>
      <c r="AE374">
        <f t="shared" si="50"/>
        <v>372</v>
      </c>
      <c r="AF374">
        <f t="shared" si="51"/>
        <v>371</v>
      </c>
      <c r="AG374">
        <f t="shared" si="45"/>
        <v>9.6009899999999107</v>
      </c>
      <c r="AH374">
        <f t="shared" si="46"/>
        <v>92.179008980098288</v>
      </c>
      <c r="AI374">
        <f t="shared" si="47"/>
        <v>2.0359337253114944E-2</v>
      </c>
      <c r="AJ374">
        <f t="shared" si="48"/>
        <v>5.559275310805559E-3</v>
      </c>
      <c r="AK374">
        <f t="shared" si="49"/>
        <v>137641</v>
      </c>
      <c r="AL374">
        <f t="shared" si="52"/>
        <v>4748.0625200000004</v>
      </c>
      <c r="AM374" t="str">
        <f t="shared" si="53"/>
        <v/>
      </c>
    </row>
    <row r="375" spans="1:39" x14ac:dyDescent="0.55000000000000004">
      <c r="A375">
        <v>1776873602</v>
      </c>
      <c r="B375" t="s">
        <v>72</v>
      </c>
      <c r="C375" t="s">
        <v>73</v>
      </c>
      <c r="D375">
        <v>4730.22</v>
      </c>
      <c r="E375">
        <v>4518.5928199999998</v>
      </c>
      <c r="F375">
        <v>4596.0559499999999</v>
      </c>
      <c r="G375">
        <v>4755.40355</v>
      </c>
      <c r="H375">
        <v>4792.7697200000002</v>
      </c>
      <c r="Q375">
        <v>4717.8214099999996</v>
      </c>
      <c r="R375">
        <v>4747.1846999999998</v>
      </c>
      <c r="S375">
        <v>4773.7734799999998</v>
      </c>
      <c r="V375">
        <v>4682.8816399999996</v>
      </c>
      <c r="W375">
        <v>4649.31664</v>
      </c>
      <c r="AB375">
        <v>4728.0325999999995</v>
      </c>
      <c r="AC375">
        <v>4729.1217200000001</v>
      </c>
      <c r="AD375">
        <v>0</v>
      </c>
      <c r="AE375">
        <f t="shared" si="50"/>
        <v>373</v>
      </c>
      <c r="AF375">
        <f t="shared" si="51"/>
        <v>372</v>
      </c>
      <c r="AG375">
        <f t="shared" si="45"/>
        <v>12.398590000000695</v>
      </c>
      <c r="AH375">
        <f t="shared" si="46"/>
        <v>153.72503398811725</v>
      </c>
      <c r="AI375">
        <f t="shared" si="47"/>
        <v>4.3846252557155983E-2</v>
      </c>
      <c r="AJ375">
        <f t="shared" si="48"/>
        <v>1.5461203918168374E-2</v>
      </c>
      <c r="AK375">
        <f t="shared" si="49"/>
        <v>138384</v>
      </c>
      <c r="AL375">
        <f t="shared" si="52"/>
        <v>4748.0625200000004</v>
      </c>
      <c r="AM375" t="str">
        <f t="shared" si="53"/>
        <v/>
      </c>
    </row>
    <row r="376" spans="1:39" x14ac:dyDescent="0.55000000000000004">
      <c r="A376">
        <v>1776874502</v>
      </c>
      <c r="B376" t="s">
        <v>72</v>
      </c>
      <c r="C376" t="s">
        <v>73</v>
      </c>
      <c r="D376">
        <v>4727.08</v>
      </c>
      <c r="E376">
        <v>4518.5928199999998</v>
      </c>
      <c r="F376">
        <v>4596.0559499999999</v>
      </c>
      <c r="G376">
        <v>4755.40355</v>
      </c>
      <c r="H376">
        <v>4792.7697200000002</v>
      </c>
      <c r="Q376">
        <v>4717.5537999999997</v>
      </c>
      <c r="R376">
        <v>4746.9170999999997</v>
      </c>
      <c r="S376">
        <v>4773.50587</v>
      </c>
      <c r="V376">
        <v>4682.6140299999997</v>
      </c>
      <c r="W376">
        <v>4649.0490399999999</v>
      </c>
      <c r="AB376">
        <v>4728.4057700000003</v>
      </c>
      <c r="AC376">
        <v>4728.7637400000003</v>
      </c>
      <c r="AD376">
        <v>0</v>
      </c>
      <c r="AE376">
        <f t="shared" si="50"/>
        <v>374</v>
      </c>
      <c r="AF376">
        <f t="shared" si="51"/>
        <v>373</v>
      </c>
      <c r="AG376">
        <f t="shared" si="45"/>
        <v>9.5262000000002445</v>
      </c>
      <c r="AH376">
        <f t="shared" si="46"/>
        <v>90.748486440004655</v>
      </c>
      <c r="AI376">
        <f t="shared" si="47"/>
        <v>1.9887247103960903E-2</v>
      </c>
      <c r="AJ376">
        <f t="shared" si="48"/>
        <v>5.3880658316694469E-3</v>
      </c>
      <c r="AK376">
        <f t="shared" si="49"/>
        <v>139129</v>
      </c>
      <c r="AL376">
        <f t="shared" si="52"/>
        <v>4748.0625200000004</v>
      </c>
      <c r="AM376" t="str">
        <f t="shared" si="53"/>
        <v/>
      </c>
    </row>
    <row r="377" spans="1:39" x14ac:dyDescent="0.55000000000000004">
      <c r="A377">
        <v>1776875402</v>
      </c>
      <c r="B377" t="s">
        <v>72</v>
      </c>
      <c r="C377" t="s">
        <v>73</v>
      </c>
      <c r="D377">
        <v>4728.3</v>
      </c>
      <c r="E377">
        <v>4518.5928199999998</v>
      </c>
      <c r="F377">
        <v>4596.0559499999999</v>
      </c>
      <c r="G377">
        <v>4755.40355</v>
      </c>
      <c r="H377">
        <v>4792.7697200000002</v>
      </c>
      <c r="Q377">
        <v>4717.2861999999996</v>
      </c>
      <c r="R377">
        <v>4746.6495000000004</v>
      </c>
      <c r="S377">
        <v>4773.2382699999998</v>
      </c>
      <c r="V377">
        <v>4682.3464299999996</v>
      </c>
      <c r="W377">
        <v>4648.78143</v>
      </c>
      <c r="AA377">
        <v>4724.03</v>
      </c>
      <c r="AB377">
        <v>4729.4163900000003</v>
      </c>
      <c r="AC377">
        <v>4729.0900700000002</v>
      </c>
      <c r="AD377">
        <v>1</v>
      </c>
      <c r="AE377">
        <f t="shared" si="50"/>
        <v>375</v>
      </c>
      <c r="AF377">
        <f t="shared" si="51"/>
        <v>374</v>
      </c>
      <c r="AG377">
        <f t="shared" si="45"/>
        <v>11.013800000000629</v>
      </c>
      <c r="AH377">
        <f t="shared" si="46"/>
        <v>121.30379044001384</v>
      </c>
      <c r="AI377">
        <f t="shared" si="47"/>
        <v>3.0734570045242233E-2</v>
      </c>
      <c r="AJ377">
        <f t="shared" si="48"/>
        <v>9.6272634410198687E-3</v>
      </c>
      <c r="AK377">
        <f t="shared" si="49"/>
        <v>139876</v>
      </c>
      <c r="AL377">
        <f t="shared" si="52"/>
        <v>4729.4163900000003</v>
      </c>
      <c r="AM377">
        <f t="shared" si="53"/>
        <v>18.646130000000085</v>
      </c>
    </row>
    <row r="378" spans="1:39" x14ac:dyDescent="0.55000000000000004">
      <c r="A378">
        <v>1776876302</v>
      </c>
      <c r="B378" t="s">
        <v>72</v>
      </c>
      <c r="C378" t="s">
        <v>73</v>
      </c>
      <c r="D378">
        <v>4728.79</v>
      </c>
      <c r="E378">
        <v>4518.5928199999998</v>
      </c>
      <c r="F378">
        <v>4596.0559499999999</v>
      </c>
      <c r="G378">
        <v>4755.40355</v>
      </c>
      <c r="H378">
        <v>4792.7697200000002</v>
      </c>
      <c r="Q378">
        <v>4717.0185899999997</v>
      </c>
      <c r="R378">
        <v>4746.3818899999997</v>
      </c>
      <c r="S378">
        <v>4772.97066</v>
      </c>
      <c r="V378">
        <v>4682.0788199999997</v>
      </c>
      <c r="W378">
        <v>4648.5138299999999</v>
      </c>
      <c r="AB378">
        <v>4730.8556399999998</v>
      </c>
      <c r="AC378">
        <v>4729.9728500000001</v>
      </c>
      <c r="AD378">
        <v>0</v>
      </c>
      <c r="AE378">
        <f t="shared" si="50"/>
        <v>376</v>
      </c>
      <c r="AF378">
        <f t="shared" si="51"/>
        <v>375</v>
      </c>
      <c r="AG378">
        <f t="shared" si="45"/>
        <v>11.771410000000287</v>
      </c>
      <c r="AH378">
        <f t="shared" si="46"/>
        <v>138.56609338810676</v>
      </c>
      <c r="AI378">
        <f t="shared" si="47"/>
        <v>3.752330159355502E-2</v>
      </c>
      <c r="AJ378">
        <f t="shared" si="48"/>
        <v>1.2562268127207791E-2</v>
      </c>
      <c r="AK378">
        <f t="shared" si="49"/>
        <v>140625</v>
      </c>
      <c r="AL378">
        <f t="shared" si="52"/>
        <v>4729.4163900000003</v>
      </c>
      <c r="AM378" t="str">
        <f t="shared" si="53"/>
        <v/>
      </c>
    </row>
    <row r="379" spans="1:39" x14ac:dyDescent="0.55000000000000004">
      <c r="A379">
        <v>1776877202</v>
      </c>
      <c r="B379" t="s">
        <v>72</v>
      </c>
      <c r="C379" t="s">
        <v>73</v>
      </c>
      <c r="D379">
        <v>4735.49</v>
      </c>
      <c r="E379">
        <v>4518.5928199999998</v>
      </c>
      <c r="F379">
        <v>4596.0559499999999</v>
      </c>
      <c r="G379">
        <v>4755.40355</v>
      </c>
      <c r="H379">
        <v>4792.7697200000002</v>
      </c>
      <c r="Q379">
        <v>4716.7509899999995</v>
      </c>
      <c r="R379">
        <v>4746.1142900000004</v>
      </c>
      <c r="S379">
        <v>4772.7030599999998</v>
      </c>
      <c r="V379">
        <v>4681.8112199999996</v>
      </c>
      <c r="W379">
        <v>4648.24622</v>
      </c>
      <c r="AB379">
        <v>4732.52412</v>
      </c>
      <c r="AC379">
        <v>4731.2484899999999</v>
      </c>
      <c r="AD379">
        <v>0</v>
      </c>
      <c r="AE379">
        <f t="shared" si="50"/>
        <v>377</v>
      </c>
      <c r="AF379">
        <f t="shared" si="51"/>
        <v>376</v>
      </c>
      <c r="AG379">
        <f t="shared" si="45"/>
        <v>18.739010000000235</v>
      </c>
      <c r="AH379">
        <f t="shared" si="46"/>
        <v>351.15049578010883</v>
      </c>
      <c r="AI379">
        <f t="shared" si="47"/>
        <v>0.15137547306421451</v>
      </c>
      <c r="AJ379">
        <f t="shared" si="48"/>
        <v>8.0675317729310234E-2</v>
      </c>
      <c r="AK379">
        <f t="shared" si="49"/>
        <v>141376</v>
      </c>
      <c r="AL379">
        <f t="shared" si="52"/>
        <v>4729.4163900000003</v>
      </c>
      <c r="AM379" t="str">
        <f t="shared" si="53"/>
        <v/>
      </c>
    </row>
    <row r="380" spans="1:39" x14ac:dyDescent="0.55000000000000004">
      <c r="A380">
        <v>1776878102</v>
      </c>
      <c r="B380" t="s">
        <v>72</v>
      </c>
      <c r="C380" t="s">
        <v>73</v>
      </c>
      <c r="D380">
        <v>4735.05</v>
      </c>
      <c r="E380">
        <v>4518.5928199999998</v>
      </c>
      <c r="F380">
        <v>4596.0559499999999</v>
      </c>
      <c r="G380">
        <v>4755.40355</v>
      </c>
      <c r="H380">
        <v>4792.7697200000002</v>
      </c>
      <c r="Q380">
        <v>4716.4833900000003</v>
      </c>
      <c r="R380">
        <v>4745.8466799999997</v>
      </c>
      <c r="S380">
        <v>4772.4354499999999</v>
      </c>
      <c r="V380">
        <v>4681.5436200000004</v>
      </c>
      <c r="W380">
        <v>4647.9786199999999</v>
      </c>
      <c r="AB380">
        <v>4734.0357400000003</v>
      </c>
      <c r="AC380">
        <v>4732.6421099999998</v>
      </c>
      <c r="AD380">
        <v>0</v>
      </c>
      <c r="AE380">
        <f t="shared" si="50"/>
        <v>378</v>
      </c>
      <c r="AF380">
        <f t="shared" si="51"/>
        <v>377</v>
      </c>
      <c r="AG380">
        <f t="shared" si="45"/>
        <v>18.566609999999855</v>
      </c>
      <c r="AH380">
        <f t="shared" si="46"/>
        <v>344.71900689209463</v>
      </c>
      <c r="AI380">
        <f t="shared" si="47"/>
        <v>0.14723580303370476</v>
      </c>
      <c r="AJ380">
        <f t="shared" si="48"/>
        <v>7.7747166925686645E-2</v>
      </c>
      <c r="AK380">
        <f t="shared" si="49"/>
        <v>142129</v>
      </c>
      <c r="AL380">
        <f t="shared" si="52"/>
        <v>4729.4163900000003</v>
      </c>
      <c r="AM380" t="str">
        <f t="shared" si="53"/>
        <v/>
      </c>
    </row>
    <row r="381" spans="1:39" x14ac:dyDescent="0.55000000000000004">
      <c r="A381">
        <v>1776879002</v>
      </c>
      <c r="B381" t="s">
        <v>72</v>
      </c>
      <c r="C381" t="s">
        <v>73</v>
      </c>
      <c r="D381">
        <v>4736.17</v>
      </c>
      <c r="E381">
        <v>4518.5928199999998</v>
      </c>
      <c r="F381">
        <v>4596.0559499999999</v>
      </c>
      <c r="G381">
        <v>4755.40355</v>
      </c>
      <c r="H381">
        <v>4792.7697200000002</v>
      </c>
      <c r="Q381">
        <v>4716.2157800000004</v>
      </c>
      <c r="R381">
        <v>4745.5790800000004</v>
      </c>
      <c r="S381">
        <v>4772.1678499999998</v>
      </c>
      <c r="V381">
        <v>4681.2760099999996</v>
      </c>
      <c r="W381">
        <v>4647.71101</v>
      </c>
      <c r="AB381">
        <v>4735.3019199999999</v>
      </c>
      <c r="AC381">
        <v>4733.9720200000002</v>
      </c>
      <c r="AD381">
        <v>0</v>
      </c>
      <c r="AE381">
        <f t="shared" si="50"/>
        <v>379</v>
      </c>
      <c r="AF381">
        <f t="shared" si="51"/>
        <v>378</v>
      </c>
      <c r="AG381">
        <f t="shared" si="45"/>
        <v>19.954219999999623</v>
      </c>
      <c r="AH381">
        <f t="shared" si="46"/>
        <v>398.17089580838496</v>
      </c>
      <c r="AI381">
        <f t="shared" si="47"/>
        <v>0.18277628791955547</v>
      </c>
      <c r="AJ381">
        <f t="shared" si="48"/>
        <v>0.10372731519830511</v>
      </c>
      <c r="AK381">
        <f t="shared" si="49"/>
        <v>142884</v>
      </c>
      <c r="AL381">
        <f t="shared" si="52"/>
        <v>4729.4163900000003</v>
      </c>
      <c r="AM381" t="str">
        <f t="shared" si="53"/>
        <v/>
      </c>
    </row>
    <row r="382" spans="1:39" x14ac:dyDescent="0.55000000000000004">
      <c r="A382">
        <v>1776879902</v>
      </c>
      <c r="B382" t="s">
        <v>72</v>
      </c>
      <c r="C382" t="s">
        <v>73</v>
      </c>
      <c r="D382">
        <v>4737.1499999999996</v>
      </c>
      <c r="E382">
        <v>4518.5928199999998</v>
      </c>
      <c r="F382">
        <v>4596.0559499999999</v>
      </c>
      <c r="G382">
        <v>4755.40355</v>
      </c>
      <c r="H382">
        <v>4792.7697200000002</v>
      </c>
      <c r="Q382">
        <v>4715.9481800000003</v>
      </c>
      <c r="R382">
        <v>4745.3114800000003</v>
      </c>
      <c r="S382">
        <v>4771.9002499999997</v>
      </c>
      <c r="V382">
        <v>4681.0084100000004</v>
      </c>
      <c r="W382">
        <v>4647.4434099999999</v>
      </c>
      <c r="AB382">
        <v>4736.2876699999997</v>
      </c>
      <c r="AC382">
        <v>4735.1298399999996</v>
      </c>
      <c r="AD382">
        <v>0</v>
      </c>
      <c r="AE382">
        <f t="shared" si="50"/>
        <v>380</v>
      </c>
      <c r="AF382">
        <f t="shared" si="51"/>
        <v>379</v>
      </c>
      <c r="AG382">
        <f t="shared" si="45"/>
        <v>21.201819999999316</v>
      </c>
      <c r="AH382">
        <f t="shared" si="46"/>
        <v>449.51717131237098</v>
      </c>
      <c r="AI382">
        <f t="shared" si="47"/>
        <v>0.21924768367114691</v>
      </c>
      <c r="AJ382">
        <f t="shared" si="48"/>
        <v>0.13220463608920993</v>
      </c>
      <c r="AK382">
        <f t="shared" si="49"/>
        <v>143641</v>
      </c>
      <c r="AL382">
        <f t="shared" si="52"/>
        <v>4729.4163900000003</v>
      </c>
      <c r="AM382" t="str">
        <f t="shared" si="53"/>
        <v/>
      </c>
    </row>
    <row r="383" spans="1:39" x14ac:dyDescent="0.55000000000000004">
      <c r="A383">
        <v>1776880802</v>
      </c>
      <c r="B383" t="s">
        <v>72</v>
      </c>
      <c r="C383" t="s">
        <v>73</v>
      </c>
      <c r="D383">
        <v>4735.9399999999996</v>
      </c>
      <c r="E383">
        <v>4518.5928199999998</v>
      </c>
      <c r="F383">
        <v>4596.0559499999999</v>
      </c>
      <c r="G383">
        <v>4755.40355</v>
      </c>
      <c r="H383">
        <v>4792.7697200000002</v>
      </c>
      <c r="Q383">
        <v>4715.6805700000004</v>
      </c>
      <c r="R383">
        <v>4745.0438700000004</v>
      </c>
      <c r="S383">
        <v>4771.6326399999998</v>
      </c>
      <c r="V383">
        <v>4680.7407999999996</v>
      </c>
      <c r="W383">
        <v>4647.1758099999997</v>
      </c>
      <c r="AB383">
        <v>4736.9690799999998</v>
      </c>
      <c r="AC383">
        <v>4736.0494600000002</v>
      </c>
      <c r="AD383">
        <v>0</v>
      </c>
      <c r="AE383">
        <f t="shared" si="50"/>
        <v>381</v>
      </c>
      <c r="AF383">
        <f t="shared" si="51"/>
        <v>380</v>
      </c>
      <c r="AG383">
        <f t="shared" si="45"/>
        <v>20.259429999999156</v>
      </c>
      <c r="AH383">
        <f t="shared" si="46"/>
        <v>410.44450392486584</v>
      </c>
      <c r="AI383">
        <f t="shared" si="47"/>
        <v>0.19129219537314027</v>
      </c>
      <c r="AJ383">
        <f t="shared" si="48"/>
        <v>0.11022065863065224</v>
      </c>
      <c r="AK383">
        <f t="shared" si="49"/>
        <v>144400</v>
      </c>
      <c r="AL383">
        <f t="shared" si="52"/>
        <v>4729.4163900000003</v>
      </c>
      <c r="AM383" t="str">
        <f t="shared" si="53"/>
        <v/>
      </c>
    </row>
    <row r="384" spans="1:39" x14ac:dyDescent="0.55000000000000004">
      <c r="A384">
        <v>1776881702</v>
      </c>
      <c r="B384" t="s">
        <v>72</v>
      </c>
      <c r="C384" t="s">
        <v>73</v>
      </c>
      <c r="D384">
        <v>4730.43</v>
      </c>
      <c r="E384">
        <v>4518.5928199999998</v>
      </c>
      <c r="F384">
        <v>4596.0559499999999</v>
      </c>
      <c r="G384">
        <v>4755.40355</v>
      </c>
      <c r="H384">
        <v>4792.7697200000002</v>
      </c>
      <c r="Q384">
        <v>4715.4129700000003</v>
      </c>
      <c r="R384">
        <v>4744.7762700000003</v>
      </c>
      <c r="S384">
        <v>4771.3650399999997</v>
      </c>
      <c r="V384">
        <v>4680.4732000000004</v>
      </c>
      <c r="W384">
        <v>4646.9081999999999</v>
      </c>
      <c r="AB384">
        <v>4737.4773999999998</v>
      </c>
      <c r="AC384">
        <v>4736.76343</v>
      </c>
      <c r="AD384">
        <v>0</v>
      </c>
      <c r="AE384">
        <f t="shared" si="50"/>
        <v>382</v>
      </c>
      <c r="AF384">
        <f t="shared" si="51"/>
        <v>381</v>
      </c>
      <c r="AG384">
        <f t="shared" si="45"/>
        <v>15.017029999999977</v>
      </c>
      <c r="AH384">
        <f t="shared" si="46"/>
        <v>225.51119002089931</v>
      </c>
      <c r="AI384">
        <f t="shared" si="47"/>
        <v>7.7905430106148074E-2</v>
      </c>
      <c r="AJ384">
        <f t="shared" si="48"/>
        <v>3.3272873289828461E-2</v>
      </c>
      <c r="AK384">
        <f t="shared" si="49"/>
        <v>145161</v>
      </c>
      <c r="AL384">
        <f t="shared" si="52"/>
        <v>4729.4163900000003</v>
      </c>
      <c r="AM384" t="str">
        <f t="shared" si="53"/>
        <v/>
      </c>
    </row>
    <row r="385" spans="1:39" x14ac:dyDescent="0.55000000000000004">
      <c r="A385">
        <v>1776882602</v>
      </c>
      <c r="B385" t="s">
        <v>72</v>
      </c>
      <c r="C385" t="s">
        <v>73</v>
      </c>
      <c r="D385">
        <v>4739.45</v>
      </c>
      <c r="E385">
        <v>4518.5928199999998</v>
      </c>
      <c r="F385">
        <v>4596.0559499999999</v>
      </c>
      <c r="G385">
        <v>4755.40355</v>
      </c>
      <c r="H385">
        <v>4792.7697200000002</v>
      </c>
      <c r="Q385">
        <v>4715.1453600000004</v>
      </c>
      <c r="R385">
        <v>4744.5086600000004</v>
      </c>
      <c r="S385">
        <v>4771.0974299999998</v>
      </c>
      <c r="V385">
        <v>4680.2055899999996</v>
      </c>
      <c r="W385">
        <v>4646.6405999999997</v>
      </c>
      <c r="AB385">
        <v>4738.0568300000004</v>
      </c>
      <c r="AC385">
        <v>4737.4101300000002</v>
      </c>
      <c r="AD385">
        <v>0</v>
      </c>
      <c r="AE385">
        <f t="shared" si="50"/>
        <v>383</v>
      </c>
      <c r="AF385">
        <f t="shared" si="51"/>
        <v>382</v>
      </c>
      <c r="AG385">
        <f t="shared" si="45"/>
        <v>24.304639999999381</v>
      </c>
      <c r="AH385">
        <f t="shared" si="46"/>
        <v>590.71552552956996</v>
      </c>
      <c r="AI385">
        <f t="shared" si="47"/>
        <v>0.33028067429240748</v>
      </c>
      <c r="AJ385">
        <f t="shared" si="48"/>
        <v>0.22830261366272603</v>
      </c>
      <c r="AK385">
        <f t="shared" si="49"/>
        <v>145924</v>
      </c>
      <c r="AL385">
        <f t="shared" si="52"/>
        <v>4729.4163900000003</v>
      </c>
      <c r="AM385" t="str">
        <f t="shared" si="53"/>
        <v/>
      </c>
    </row>
    <row r="386" spans="1:39" x14ac:dyDescent="0.55000000000000004">
      <c r="A386">
        <v>1776883502</v>
      </c>
      <c r="B386" t="s">
        <v>72</v>
      </c>
      <c r="C386" t="s">
        <v>73</v>
      </c>
      <c r="D386">
        <v>4741.6899999999996</v>
      </c>
      <c r="E386">
        <v>4518.5928199999998</v>
      </c>
      <c r="F386">
        <v>4596.0559499999999</v>
      </c>
      <c r="G386">
        <v>4755.40355</v>
      </c>
      <c r="H386">
        <v>4792.7697200000002</v>
      </c>
      <c r="Q386">
        <v>4714.8777600000003</v>
      </c>
      <c r="R386">
        <v>4744.2410600000003</v>
      </c>
      <c r="S386">
        <v>4770.8298299999997</v>
      </c>
      <c r="V386">
        <v>4679.9379900000004</v>
      </c>
      <c r="W386">
        <v>4646.3729899999998</v>
      </c>
      <c r="Z386">
        <v>4749.34</v>
      </c>
      <c r="AB386">
        <v>4738.5371100000002</v>
      </c>
      <c r="AC386">
        <v>4737.9736199999998</v>
      </c>
      <c r="AD386">
        <v>0</v>
      </c>
      <c r="AE386">
        <f t="shared" si="50"/>
        <v>384</v>
      </c>
      <c r="AF386">
        <f t="shared" si="51"/>
        <v>383</v>
      </c>
      <c r="AG386">
        <f t="shared" si="45"/>
        <v>26.812239999999292</v>
      </c>
      <c r="AH386">
        <f t="shared" si="46"/>
        <v>718.89621381756206</v>
      </c>
      <c r="AI386">
        <f t="shared" si="47"/>
        <v>0.44341959299114603</v>
      </c>
      <c r="AJ386">
        <f t="shared" si="48"/>
        <v>0.33813218064837758</v>
      </c>
      <c r="AK386">
        <f t="shared" si="49"/>
        <v>146689</v>
      </c>
      <c r="AL386">
        <f t="shared" si="52"/>
        <v>4729.4163900000003</v>
      </c>
      <c r="AM386" t="str">
        <f t="shared" si="53"/>
        <v/>
      </c>
    </row>
    <row r="387" spans="1:39" x14ac:dyDescent="0.55000000000000004">
      <c r="A387">
        <v>1776884402</v>
      </c>
      <c r="B387" t="s">
        <v>72</v>
      </c>
      <c r="C387" t="s">
        <v>73</v>
      </c>
      <c r="D387">
        <v>4738.6400000000003</v>
      </c>
      <c r="E387">
        <v>4518.5928199999998</v>
      </c>
      <c r="F387">
        <v>4596.0559499999999</v>
      </c>
      <c r="G387">
        <v>4755.40355</v>
      </c>
      <c r="H387">
        <v>4792.7697200000002</v>
      </c>
      <c r="Q387">
        <v>4714.6101600000002</v>
      </c>
      <c r="R387">
        <v>4743.9734600000002</v>
      </c>
      <c r="S387">
        <v>4770.5622300000005</v>
      </c>
      <c r="V387">
        <v>4679.6703900000002</v>
      </c>
      <c r="W387">
        <v>4646.1053899999997</v>
      </c>
      <c r="AB387">
        <v>4738.9208399999998</v>
      </c>
      <c r="AC387">
        <v>4738.4472299999998</v>
      </c>
      <c r="AD387">
        <v>0</v>
      </c>
      <c r="AE387">
        <f t="shared" si="50"/>
        <v>385</v>
      </c>
      <c r="AF387">
        <f t="shared" si="51"/>
        <v>384</v>
      </c>
      <c r="AG387">
        <f t="shared" ref="AG387:AG450" si="54">D387-Q387</f>
        <v>24.029840000000149</v>
      </c>
      <c r="AH387">
        <f t="shared" ref="AH387:AH450" si="55">AG387^2</f>
        <v>577.43321042560717</v>
      </c>
      <c r="AI387">
        <f t="shared" ref="AI387:AI450" si="56">(AG387/STDEV($AG$3:$AG$1137))^3</f>
        <v>0.31920392421634686</v>
      </c>
      <c r="AJ387">
        <f t="shared" ref="AJ387:AJ450" si="57">(AG387/STDEV($AG$3:$AG$1137))^4</f>
        <v>0.2181512114595974</v>
      </c>
      <c r="AK387">
        <f t="shared" ref="AK387:AK450" si="58">AF387^2</f>
        <v>147456</v>
      </c>
      <c r="AL387">
        <f t="shared" si="52"/>
        <v>4729.4163900000003</v>
      </c>
      <c r="AM387" t="str">
        <f t="shared" si="53"/>
        <v/>
      </c>
    </row>
    <row r="388" spans="1:39" x14ac:dyDescent="0.55000000000000004">
      <c r="A388">
        <v>1776885302</v>
      </c>
      <c r="B388" t="s">
        <v>72</v>
      </c>
      <c r="C388" t="s">
        <v>73</v>
      </c>
      <c r="D388">
        <v>4744.32</v>
      </c>
      <c r="E388">
        <v>4518.5928199999998</v>
      </c>
      <c r="F388">
        <v>4596.0559499999999</v>
      </c>
      <c r="G388">
        <v>4755.40355</v>
      </c>
      <c r="H388">
        <v>4792.7697200000002</v>
      </c>
      <c r="Q388">
        <v>4714.3425500000003</v>
      </c>
      <c r="R388">
        <v>4743.7058500000003</v>
      </c>
      <c r="S388">
        <v>4770.2946199999997</v>
      </c>
      <c r="V388">
        <v>4679.4027800000003</v>
      </c>
      <c r="W388">
        <v>4645.8377899999996</v>
      </c>
      <c r="AB388">
        <v>4739.3533200000002</v>
      </c>
      <c r="AC388">
        <v>4738.9002799999998</v>
      </c>
      <c r="AD388">
        <v>0</v>
      </c>
      <c r="AE388">
        <f t="shared" ref="AE388:AE451" si="59">AE387+1</f>
        <v>386</v>
      </c>
      <c r="AF388">
        <f t="shared" ref="AF388:AF451" si="60">AF387+1</f>
        <v>385</v>
      </c>
      <c r="AG388">
        <f t="shared" si="54"/>
        <v>29.977449999999408</v>
      </c>
      <c r="AH388">
        <f t="shared" si="55"/>
        <v>898.64750850246446</v>
      </c>
      <c r="AI388">
        <f t="shared" si="56"/>
        <v>0.61972589926219113</v>
      </c>
      <c r="AJ388">
        <f t="shared" si="57"/>
        <v>0.52836356496862857</v>
      </c>
      <c r="AK388">
        <f t="shared" si="58"/>
        <v>148225</v>
      </c>
      <c r="AL388">
        <f t="shared" ref="AL388:AL451" si="61">IF(AD388=1,AB388,IF(AL387&lt;&gt;"",AL387,""))</f>
        <v>4729.4163900000003</v>
      </c>
      <c r="AM388" t="str">
        <f t="shared" ref="AM388:AM451" si="62">IF(AND(AD388=1,AL387&lt;&gt;""),ABS(AB388-AL387),"")</f>
        <v/>
      </c>
    </row>
    <row r="389" spans="1:39" x14ac:dyDescent="0.55000000000000004">
      <c r="A389">
        <v>1776886202</v>
      </c>
      <c r="B389" t="s">
        <v>72</v>
      </c>
      <c r="C389" t="s">
        <v>73</v>
      </c>
      <c r="D389">
        <v>4739.38</v>
      </c>
      <c r="E389">
        <v>4518.5928199999998</v>
      </c>
      <c r="F389">
        <v>4596.0559499999999</v>
      </c>
      <c r="G389">
        <v>4755.40355</v>
      </c>
      <c r="H389">
        <v>4792.7697200000002</v>
      </c>
      <c r="Q389">
        <v>4714.0749500000002</v>
      </c>
      <c r="R389">
        <v>4743.4382500000002</v>
      </c>
      <c r="S389">
        <v>4770.0270200000004</v>
      </c>
      <c r="V389">
        <v>4679.1351800000002</v>
      </c>
      <c r="W389">
        <v>4645.5701799999997</v>
      </c>
      <c r="AB389">
        <v>4739.67749</v>
      </c>
      <c r="AC389">
        <v>4739.2888800000001</v>
      </c>
      <c r="AD389">
        <v>0</v>
      </c>
      <c r="AE389">
        <f t="shared" si="59"/>
        <v>387</v>
      </c>
      <c r="AF389">
        <f t="shared" si="60"/>
        <v>386</v>
      </c>
      <c r="AG389">
        <f t="shared" si="54"/>
        <v>25.305049999999937</v>
      </c>
      <c r="AH389">
        <f t="shared" si="55"/>
        <v>640.34555550249684</v>
      </c>
      <c r="AI389">
        <f t="shared" si="56"/>
        <v>0.37276676417200538</v>
      </c>
      <c r="AJ389">
        <f t="shared" si="57"/>
        <v>0.2682766729082422</v>
      </c>
      <c r="AK389">
        <f t="shared" si="58"/>
        <v>148996</v>
      </c>
      <c r="AL389">
        <f t="shared" si="61"/>
        <v>4729.4163900000003</v>
      </c>
      <c r="AM389" t="str">
        <f t="shared" si="62"/>
        <v/>
      </c>
    </row>
    <row r="390" spans="1:39" x14ac:dyDescent="0.55000000000000004">
      <c r="A390">
        <v>1776887102</v>
      </c>
      <c r="B390" t="s">
        <v>72</v>
      </c>
      <c r="C390" t="s">
        <v>73</v>
      </c>
      <c r="D390">
        <v>4740.3599999999997</v>
      </c>
      <c r="E390">
        <v>4518.5928199999998</v>
      </c>
      <c r="F390">
        <v>4596.0559499999999</v>
      </c>
      <c r="G390">
        <v>4755.40355</v>
      </c>
      <c r="H390">
        <v>4792.7697200000002</v>
      </c>
      <c r="Q390">
        <v>4713.8073400000003</v>
      </c>
      <c r="R390">
        <v>4743.1706400000003</v>
      </c>
      <c r="S390">
        <v>4769.7594099999997</v>
      </c>
      <c r="V390">
        <v>4678.8675700000003</v>
      </c>
      <c r="W390">
        <v>4645.3025799999996</v>
      </c>
      <c r="AB390">
        <v>4739.9590399999997</v>
      </c>
      <c r="AC390">
        <v>4739.6239599999999</v>
      </c>
      <c r="AD390">
        <v>0</v>
      </c>
      <c r="AE390">
        <f t="shared" si="59"/>
        <v>388</v>
      </c>
      <c r="AF390">
        <f t="shared" si="60"/>
        <v>387</v>
      </c>
      <c r="AG390">
        <f t="shared" si="54"/>
        <v>26.552659999999378</v>
      </c>
      <c r="AH390">
        <f t="shared" si="55"/>
        <v>705.043753075567</v>
      </c>
      <c r="AI390">
        <f t="shared" si="56"/>
        <v>0.43066510876255448</v>
      </c>
      <c r="AJ390">
        <f t="shared" si="57"/>
        <v>0.32522674348483105</v>
      </c>
      <c r="AK390">
        <f t="shared" si="58"/>
        <v>149769</v>
      </c>
      <c r="AL390">
        <f t="shared" si="61"/>
        <v>4729.4163900000003</v>
      </c>
      <c r="AM390" t="str">
        <f t="shared" si="62"/>
        <v/>
      </c>
    </row>
    <row r="391" spans="1:39" x14ac:dyDescent="0.55000000000000004">
      <c r="A391">
        <v>1776888002</v>
      </c>
      <c r="B391" t="s">
        <v>72</v>
      </c>
      <c r="C391" t="s">
        <v>73</v>
      </c>
      <c r="D391">
        <v>4736.16</v>
      </c>
      <c r="E391">
        <v>4518.5928199999998</v>
      </c>
      <c r="F391">
        <v>4596.0559499999999</v>
      </c>
      <c r="G391">
        <v>4755.40355</v>
      </c>
      <c r="H391">
        <v>4792.7697200000002</v>
      </c>
      <c r="Q391">
        <v>4713.5397400000002</v>
      </c>
      <c r="R391">
        <v>4742.9030400000001</v>
      </c>
      <c r="S391">
        <v>4769.4918100000004</v>
      </c>
      <c r="V391">
        <v>4678.5999700000002</v>
      </c>
      <c r="W391">
        <v>4645.0349699999997</v>
      </c>
      <c r="AB391">
        <v>4740.0375400000003</v>
      </c>
      <c r="AC391">
        <v>4739.8307500000001</v>
      </c>
      <c r="AD391">
        <v>0</v>
      </c>
      <c r="AE391">
        <f t="shared" si="59"/>
        <v>389</v>
      </c>
      <c r="AF391">
        <f t="shared" si="60"/>
        <v>388</v>
      </c>
      <c r="AG391">
        <f t="shared" si="54"/>
        <v>22.620259999999689</v>
      </c>
      <c r="AH391">
        <f t="shared" si="55"/>
        <v>511.67616246758593</v>
      </c>
      <c r="AI391">
        <f t="shared" si="56"/>
        <v>0.26626149236061258</v>
      </c>
      <c r="AJ391">
        <f t="shared" si="57"/>
        <v>0.17129491957879847</v>
      </c>
      <c r="AK391">
        <f t="shared" si="58"/>
        <v>150544</v>
      </c>
      <c r="AL391">
        <f t="shared" si="61"/>
        <v>4729.4163900000003</v>
      </c>
      <c r="AM391" t="str">
        <f t="shared" si="62"/>
        <v/>
      </c>
    </row>
    <row r="392" spans="1:39" x14ac:dyDescent="0.55000000000000004">
      <c r="A392">
        <v>1776888902</v>
      </c>
      <c r="B392" t="s">
        <v>72</v>
      </c>
      <c r="C392" t="s">
        <v>73</v>
      </c>
      <c r="D392">
        <v>4736.99</v>
      </c>
      <c r="E392">
        <v>4518.5928199999998</v>
      </c>
      <c r="F392">
        <v>4596.0559499999999</v>
      </c>
      <c r="G392">
        <v>4755.40355</v>
      </c>
      <c r="H392">
        <v>4792.7697200000002</v>
      </c>
      <c r="Q392">
        <v>4713.27214</v>
      </c>
      <c r="R392">
        <v>4742.63544</v>
      </c>
      <c r="S392">
        <v>4769.2242100000003</v>
      </c>
      <c r="V392">
        <v>4678.3323700000001</v>
      </c>
      <c r="W392">
        <v>4644.7673699999996</v>
      </c>
      <c r="AB392">
        <v>4739.85448</v>
      </c>
      <c r="AC392">
        <v>4739.8426200000004</v>
      </c>
      <c r="AD392">
        <v>0</v>
      </c>
      <c r="AE392">
        <f t="shared" si="59"/>
        <v>390</v>
      </c>
      <c r="AF392">
        <f t="shared" si="60"/>
        <v>389</v>
      </c>
      <c r="AG392">
        <f t="shared" si="54"/>
        <v>23.717859999999746</v>
      </c>
      <c r="AH392">
        <f t="shared" si="55"/>
        <v>562.53688297958797</v>
      </c>
      <c r="AI392">
        <f t="shared" si="56"/>
        <v>0.30693194263064733</v>
      </c>
      <c r="AJ392">
        <f t="shared" si="57"/>
        <v>0.2070408860059082</v>
      </c>
      <c r="AK392">
        <f t="shared" si="58"/>
        <v>151321</v>
      </c>
      <c r="AL392">
        <f t="shared" si="61"/>
        <v>4729.4163900000003</v>
      </c>
      <c r="AM392" t="str">
        <f t="shared" si="62"/>
        <v/>
      </c>
    </row>
    <row r="393" spans="1:39" x14ac:dyDescent="0.55000000000000004">
      <c r="A393">
        <v>1776889802</v>
      </c>
      <c r="B393" t="s">
        <v>72</v>
      </c>
      <c r="C393" t="s">
        <v>73</v>
      </c>
      <c r="D393">
        <v>4737.4799999999996</v>
      </c>
      <c r="E393">
        <v>4518.5928199999998</v>
      </c>
      <c r="F393">
        <v>4596.0559499999999</v>
      </c>
      <c r="G393">
        <v>4755.40355</v>
      </c>
      <c r="H393">
        <v>4792.7697200000002</v>
      </c>
      <c r="Q393">
        <v>4713.0045300000002</v>
      </c>
      <c r="R393">
        <v>4742.3678300000001</v>
      </c>
      <c r="S393">
        <v>4768.9566000000004</v>
      </c>
      <c r="V393">
        <v>4678.0647600000002</v>
      </c>
      <c r="W393">
        <v>4644.4997700000004</v>
      </c>
      <c r="AB393">
        <v>4739.1687099999999</v>
      </c>
      <c r="AC393">
        <v>4739.5056599999998</v>
      </c>
      <c r="AD393">
        <v>1</v>
      </c>
      <c r="AE393">
        <f t="shared" si="59"/>
        <v>391</v>
      </c>
      <c r="AF393">
        <f t="shared" si="60"/>
        <v>390</v>
      </c>
      <c r="AG393">
        <f t="shared" si="54"/>
        <v>24.475469999999405</v>
      </c>
      <c r="AH393">
        <f t="shared" si="55"/>
        <v>599.04863172087084</v>
      </c>
      <c r="AI393">
        <f t="shared" si="56"/>
        <v>0.33729406954178359</v>
      </c>
      <c r="AJ393">
        <f t="shared" si="57"/>
        <v>0.23478928524195267</v>
      </c>
      <c r="AK393">
        <f t="shared" si="58"/>
        <v>152100</v>
      </c>
      <c r="AL393">
        <f t="shared" si="61"/>
        <v>4739.1687099999999</v>
      </c>
      <c r="AM393">
        <f t="shared" si="62"/>
        <v>9.7523199999995995</v>
      </c>
    </row>
    <row r="394" spans="1:39" x14ac:dyDescent="0.55000000000000004">
      <c r="A394">
        <v>1776890702</v>
      </c>
      <c r="B394" t="s">
        <v>72</v>
      </c>
      <c r="C394" t="s">
        <v>73</v>
      </c>
      <c r="D394">
        <v>4740.38</v>
      </c>
      <c r="E394">
        <v>4518.5928199999998</v>
      </c>
      <c r="F394">
        <v>4596.0559499999999</v>
      </c>
      <c r="G394">
        <v>4755.40355</v>
      </c>
      <c r="H394">
        <v>4792.7697200000002</v>
      </c>
      <c r="Q394">
        <v>4712.73693</v>
      </c>
      <c r="R394">
        <v>4742.10023</v>
      </c>
      <c r="S394">
        <v>4768.6890000000003</v>
      </c>
      <c r="V394">
        <v>4677.7971600000001</v>
      </c>
      <c r="W394">
        <v>4644.2321599999996</v>
      </c>
      <c r="AB394">
        <v>4737.77412</v>
      </c>
      <c r="AC394">
        <v>4738.6398900000004</v>
      </c>
      <c r="AD394">
        <v>0</v>
      </c>
      <c r="AE394">
        <f t="shared" si="59"/>
        <v>392</v>
      </c>
      <c r="AF394">
        <f t="shared" si="60"/>
        <v>391</v>
      </c>
      <c r="AG394">
        <f t="shared" si="54"/>
        <v>27.64307000000008</v>
      </c>
      <c r="AH394">
        <f t="shared" si="55"/>
        <v>764.13931902490435</v>
      </c>
      <c r="AI394">
        <f t="shared" si="56"/>
        <v>0.48593077534488549</v>
      </c>
      <c r="AJ394">
        <f t="shared" si="57"/>
        <v>0.38203152903078241</v>
      </c>
      <c r="AK394">
        <f t="shared" si="58"/>
        <v>152881</v>
      </c>
      <c r="AL394">
        <f t="shared" si="61"/>
        <v>4739.1687099999999</v>
      </c>
      <c r="AM394" t="str">
        <f t="shared" si="62"/>
        <v/>
      </c>
    </row>
    <row r="395" spans="1:39" x14ac:dyDescent="0.55000000000000004">
      <c r="A395">
        <v>1776895202</v>
      </c>
      <c r="B395" t="s">
        <v>72</v>
      </c>
      <c r="C395" t="s">
        <v>73</v>
      </c>
      <c r="D395">
        <v>4736.6899999999996</v>
      </c>
      <c r="E395">
        <v>4518.5928199999998</v>
      </c>
      <c r="F395">
        <v>4596.0559499999999</v>
      </c>
      <c r="G395">
        <v>4755.40355</v>
      </c>
      <c r="H395">
        <v>4792.7697200000002</v>
      </c>
      <c r="Q395">
        <v>4712.4693200000002</v>
      </c>
      <c r="R395">
        <v>4741.8326200000001</v>
      </c>
      <c r="S395">
        <v>4768.4213900000004</v>
      </c>
      <c r="V395">
        <v>4677.5295500000002</v>
      </c>
      <c r="W395">
        <v>4643.9645600000003</v>
      </c>
      <c r="AB395">
        <v>4735.5040399999998</v>
      </c>
      <c r="AC395">
        <v>4737.0719600000002</v>
      </c>
      <c r="AD395">
        <v>0</v>
      </c>
      <c r="AE395">
        <f t="shared" si="59"/>
        <v>393</v>
      </c>
      <c r="AF395">
        <f t="shared" si="60"/>
        <v>392</v>
      </c>
      <c r="AG395">
        <f t="shared" si="54"/>
        <v>24.220679999999447</v>
      </c>
      <c r="AH395">
        <f t="shared" si="55"/>
        <v>586.64133966237318</v>
      </c>
      <c r="AI395">
        <f t="shared" si="56"/>
        <v>0.32686963653110462</v>
      </c>
      <c r="AJ395">
        <f t="shared" si="57"/>
        <v>0.22516425141348351</v>
      </c>
      <c r="AK395">
        <f t="shared" si="58"/>
        <v>153664</v>
      </c>
      <c r="AL395">
        <f t="shared" si="61"/>
        <v>4739.1687099999999</v>
      </c>
      <c r="AM395" t="str">
        <f t="shared" si="62"/>
        <v/>
      </c>
    </row>
    <row r="396" spans="1:39" x14ac:dyDescent="0.55000000000000004">
      <c r="A396">
        <v>1776896102</v>
      </c>
      <c r="B396" t="s">
        <v>72</v>
      </c>
      <c r="C396" t="s">
        <v>73</v>
      </c>
      <c r="D396">
        <v>4732.96</v>
      </c>
      <c r="E396">
        <v>4518.5928199999998</v>
      </c>
      <c r="F396">
        <v>4596.0559499999999</v>
      </c>
      <c r="G396">
        <v>4755.40355</v>
      </c>
      <c r="H396">
        <v>4792.7697200000002</v>
      </c>
      <c r="Q396">
        <v>4712.20172</v>
      </c>
      <c r="R396">
        <v>4741.56502</v>
      </c>
      <c r="S396">
        <v>4768.1537900000003</v>
      </c>
      <c r="V396">
        <v>4677.2619500000001</v>
      </c>
      <c r="W396">
        <v>4643.6969499999996</v>
      </c>
      <c r="AB396">
        <v>4732.5574200000001</v>
      </c>
      <c r="AC396">
        <v>4734.8146900000002</v>
      </c>
      <c r="AD396">
        <v>0</v>
      </c>
      <c r="AE396">
        <f t="shared" si="59"/>
        <v>394</v>
      </c>
      <c r="AF396">
        <f t="shared" si="60"/>
        <v>393</v>
      </c>
      <c r="AG396">
        <f t="shared" si="54"/>
        <v>20.758280000000013</v>
      </c>
      <c r="AH396">
        <f t="shared" si="55"/>
        <v>430.90618855840057</v>
      </c>
      <c r="AI396">
        <f t="shared" si="56"/>
        <v>0.20577361227606586</v>
      </c>
      <c r="AJ396">
        <f t="shared" si="57"/>
        <v>0.12148413769018505</v>
      </c>
      <c r="AK396">
        <f t="shared" si="58"/>
        <v>154449</v>
      </c>
      <c r="AL396">
        <f t="shared" si="61"/>
        <v>4739.1687099999999</v>
      </c>
      <c r="AM396" t="str">
        <f t="shared" si="62"/>
        <v/>
      </c>
    </row>
    <row r="397" spans="1:39" x14ac:dyDescent="0.55000000000000004">
      <c r="A397">
        <v>1776897002</v>
      </c>
      <c r="B397" t="s">
        <v>72</v>
      </c>
      <c r="C397" t="s">
        <v>73</v>
      </c>
      <c r="D397">
        <v>4729.9399999999996</v>
      </c>
      <c r="E397">
        <v>4518.5928199999998</v>
      </c>
      <c r="F397">
        <v>4596.0559499999999</v>
      </c>
      <c r="G397">
        <v>4755.40355</v>
      </c>
      <c r="H397">
        <v>4792.7697200000002</v>
      </c>
      <c r="Q397">
        <v>4711.9341199999999</v>
      </c>
      <c r="R397">
        <v>4741.2974100000001</v>
      </c>
      <c r="S397">
        <v>4767.8861900000002</v>
      </c>
      <c r="V397">
        <v>4676.9943499999999</v>
      </c>
      <c r="W397">
        <v>4643.4293500000003</v>
      </c>
      <c r="AB397">
        <v>4729.3153899999998</v>
      </c>
      <c r="AC397">
        <v>4732.0650400000004</v>
      </c>
      <c r="AD397">
        <v>0</v>
      </c>
      <c r="AE397">
        <f t="shared" si="59"/>
        <v>395</v>
      </c>
      <c r="AF397">
        <f t="shared" si="60"/>
        <v>394</v>
      </c>
      <c r="AG397">
        <f t="shared" si="54"/>
        <v>18.005879999999706</v>
      </c>
      <c r="AH397">
        <f t="shared" si="55"/>
        <v>324.21171457438942</v>
      </c>
      <c r="AI397">
        <f t="shared" si="56"/>
        <v>0.13429462748846693</v>
      </c>
      <c r="AJ397">
        <f t="shared" si="57"/>
        <v>6.8771978465784617E-2</v>
      </c>
      <c r="AK397">
        <f t="shared" si="58"/>
        <v>155236</v>
      </c>
      <c r="AL397">
        <f t="shared" si="61"/>
        <v>4739.1687099999999</v>
      </c>
      <c r="AM397" t="str">
        <f t="shared" si="62"/>
        <v/>
      </c>
    </row>
    <row r="398" spans="1:39" x14ac:dyDescent="0.55000000000000004">
      <c r="A398">
        <v>1776897902</v>
      </c>
      <c r="B398" t="s">
        <v>72</v>
      </c>
      <c r="C398" t="s">
        <v>73</v>
      </c>
      <c r="D398">
        <v>4725.92</v>
      </c>
      <c r="E398">
        <v>4518.5928199999998</v>
      </c>
      <c r="F398">
        <v>4596.0559499999999</v>
      </c>
      <c r="G398">
        <v>4755.40355</v>
      </c>
      <c r="H398">
        <v>4792.7697200000002</v>
      </c>
      <c r="Q398">
        <v>4711.66651</v>
      </c>
      <c r="R398">
        <v>4741.02981</v>
      </c>
      <c r="S398">
        <v>4767.6185800000003</v>
      </c>
      <c r="V398">
        <v>4676.7267400000001</v>
      </c>
      <c r="W398">
        <v>4643.1617500000002</v>
      </c>
      <c r="AB398">
        <v>4726.3223099999996</v>
      </c>
      <c r="AC398">
        <v>4729.1936800000003</v>
      </c>
      <c r="AD398">
        <v>0</v>
      </c>
      <c r="AE398">
        <f t="shared" si="59"/>
        <v>396</v>
      </c>
      <c r="AF398">
        <f t="shared" si="60"/>
        <v>395</v>
      </c>
      <c r="AG398">
        <f t="shared" si="54"/>
        <v>14.253490000000056</v>
      </c>
      <c r="AH398">
        <f t="shared" si="55"/>
        <v>203.16197718010159</v>
      </c>
      <c r="AI398">
        <f t="shared" si="56"/>
        <v>6.661610414472012E-2</v>
      </c>
      <c r="AJ398">
        <f t="shared" si="57"/>
        <v>2.7004676194422792E-2</v>
      </c>
      <c r="AK398">
        <f t="shared" si="58"/>
        <v>156025</v>
      </c>
      <c r="AL398">
        <f t="shared" si="61"/>
        <v>4739.1687099999999</v>
      </c>
      <c r="AM398" t="str">
        <f t="shared" si="62"/>
        <v/>
      </c>
    </row>
    <row r="399" spans="1:39" x14ac:dyDescent="0.55000000000000004">
      <c r="A399">
        <v>1776898802</v>
      </c>
      <c r="B399" t="s">
        <v>72</v>
      </c>
      <c r="C399" t="s">
        <v>73</v>
      </c>
      <c r="D399">
        <v>4725.95</v>
      </c>
      <c r="E399">
        <v>4518.5928199999998</v>
      </c>
      <c r="F399">
        <v>4596.0559499999999</v>
      </c>
      <c r="G399">
        <v>4755.40355</v>
      </c>
      <c r="H399">
        <v>4792.7697200000002</v>
      </c>
      <c r="Q399">
        <v>4711.3989099999999</v>
      </c>
      <c r="R399">
        <v>4740.7622099999999</v>
      </c>
      <c r="S399">
        <v>4767.3509800000002</v>
      </c>
      <c r="V399">
        <v>4676.4591399999999</v>
      </c>
      <c r="W399">
        <v>4642.8941400000003</v>
      </c>
      <c r="AB399">
        <v>4724.18073</v>
      </c>
      <c r="AC399">
        <v>4726.6872100000001</v>
      </c>
      <c r="AD399">
        <v>0</v>
      </c>
      <c r="AE399">
        <f t="shared" si="59"/>
        <v>397</v>
      </c>
      <c r="AF399">
        <f t="shared" si="60"/>
        <v>396</v>
      </c>
      <c r="AG399">
        <f t="shared" si="54"/>
        <v>14.551089999999931</v>
      </c>
      <c r="AH399">
        <f t="shared" si="55"/>
        <v>211.73422018809799</v>
      </c>
      <c r="AI399">
        <f t="shared" si="56"/>
        <v>7.0876483990499534E-2</v>
      </c>
      <c r="AJ399">
        <f t="shared" si="57"/>
        <v>2.9331631496462621E-2</v>
      </c>
      <c r="AK399">
        <f t="shared" si="58"/>
        <v>156816</v>
      </c>
      <c r="AL399">
        <f t="shared" si="61"/>
        <v>4739.1687099999999</v>
      </c>
      <c r="AM399" t="str">
        <f t="shared" si="62"/>
        <v/>
      </c>
    </row>
    <row r="400" spans="1:39" x14ac:dyDescent="0.55000000000000004">
      <c r="A400">
        <v>1776899702</v>
      </c>
      <c r="B400" t="s">
        <v>72</v>
      </c>
      <c r="C400" t="s">
        <v>73</v>
      </c>
      <c r="D400">
        <v>4728.1400000000003</v>
      </c>
      <c r="E400">
        <v>4518.5928199999998</v>
      </c>
      <c r="F400">
        <v>4596.0559499999999</v>
      </c>
      <c r="G400">
        <v>4755.40355</v>
      </c>
      <c r="H400">
        <v>4792.7697200000002</v>
      </c>
      <c r="Q400">
        <v>4711.1313</v>
      </c>
      <c r="R400">
        <v>4740.4946</v>
      </c>
      <c r="S400">
        <v>4767.0833700000003</v>
      </c>
      <c r="V400">
        <v>4676.1915300000001</v>
      </c>
      <c r="W400">
        <v>4642.6265400000002</v>
      </c>
      <c r="AB400">
        <v>4723.3117899999997</v>
      </c>
      <c r="AC400">
        <v>4724.9994999999999</v>
      </c>
      <c r="AD400">
        <v>0</v>
      </c>
      <c r="AE400">
        <f t="shared" si="59"/>
        <v>398</v>
      </c>
      <c r="AF400">
        <f t="shared" si="60"/>
        <v>397</v>
      </c>
      <c r="AG400">
        <f t="shared" si="54"/>
        <v>17.008700000000317</v>
      </c>
      <c r="AH400">
        <f t="shared" si="55"/>
        <v>289.2958756900108</v>
      </c>
      <c r="AI400">
        <f t="shared" si="56"/>
        <v>0.11319544413808191</v>
      </c>
      <c r="AJ400">
        <f t="shared" si="57"/>
        <v>5.4756867727666587E-2</v>
      </c>
      <c r="AK400">
        <f t="shared" si="58"/>
        <v>157609</v>
      </c>
      <c r="AL400">
        <f t="shared" si="61"/>
        <v>4739.1687099999999</v>
      </c>
      <c r="AM400" t="str">
        <f t="shared" si="62"/>
        <v/>
      </c>
    </row>
    <row r="401" spans="1:39" x14ac:dyDescent="0.55000000000000004">
      <c r="A401">
        <v>1776900602</v>
      </c>
      <c r="B401" t="s">
        <v>72</v>
      </c>
      <c r="C401" t="s">
        <v>73</v>
      </c>
      <c r="D401">
        <v>4724.57</v>
      </c>
      <c r="E401">
        <v>4518.5928199999998</v>
      </c>
      <c r="F401">
        <v>4596.0559499999999</v>
      </c>
      <c r="G401">
        <v>4755.40355</v>
      </c>
      <c r="H401">
        <v>4792.7697200000002</v>
      </c>
      <c r="Q401">
        <v>4710.8636999999999</v>
      </c>
      <c r="R401">
        <v>4740.2269999999999</v>
      </c>
      <c r="S401">
        <v>4766.8157700000002</v>
      </c>
      <c r="V401">
        <v>4675.9239299999999</v>
      </c>
      <c r="W401">
        <v>4642.3589300000003</v>
      </c>
      <c r="AB401">
        <v>4723.8704500000003</v>
      </c>
      <c r="AC401">
        <v>4724.4349700000002</v>
      </c>
      <c r="AD401">
        <v>0</v>
      </c>
      <c r="AE401">
        <f t="shared" si="59"/>
        <v>399</v>
      </c>
      <c r="AF401">
        <f t="shared" si="60"/>
        <v>398</v>
      </c>
      <c r="AG401">
        <f t="shared" si="54"/>
        <v>13.706299999999828</v>
      </c>
      <c r="AH401">
        <f t="shared" si="55"/>
        <v>187.8626596899953</v>
      </c>
      <c r="AI401">
        <f t="shared" si="56"/>
        <v>5.9234712432627429E-2</v>
      </c>
      <c r="AJ401">
        <f t="shared" si="57"/>
        <v>2.3090590847957899E-2</v>
      </c>
      <c r="AK401">
        <f t="shared" si="58"/>
        <v>158404</v>
      </c>
      <c r="AL401">
        <f t="shared" si="61"/>
        <v>4739.1687099999999</v>
      </c>
      <c r="AM401" t="str">
        <f t="shared" si="62"/>
        <v/>
      </c>
    </row>
    <row r="402" spans="1:39" x14ac:dyDescent="0.55000000000000004">
      <c r="A402">
        <v>1776901502</v>
      </c>
      <c r="B402" t="s">
        <v>72</v>
      </c>
      <c r="C402" t="s">
        <v>73</v>
      </c>
      <c r="D402">
        <v>4727.72</v>
      </c>
      <c r="E402">
        <v>4518.5928199999998</v>
      </c>
      <c r="F402">
        <v>4596.0559499999999</v>
      </c>
      <c r="G402">
        <v>4755.40355</v>
      </c>
      <c r="H402">
        <v>4792.7697200000002</v>
      </c>
      <c r="Q402">
        <v>4710.5960999999998</v>
      </c>
      <c r="R402">
        <v>4739.95939</v>
      </c>
      <c r="S402">
        <v>4766.54817</v>
      </c>
      <c r="V402">
        <v>4675.6563299999998</v>
      </c>
      <c r="W402">
        <v>4642.0913300000002</v>
      </c>
      <c r="AB402">
        <v>4725.8975700000001</v>
      </c>
      <c r="AC402">
        <v>4725.1662699999997</v>
      </c>
      <c r="AD402">
        <v>1</v>
      </c>
      <c r="AE402">
        <f t="shared" si="59"/>
        <v>400</v>
      </c>
      <c r="AF402">
        <f t="shared" si="60"/>
        <v>399</v>
      </c>
      <c r="AG402">
        <f t="shared" si="54"/>
        <v>17.123900000000503</v>
      </c>
      <c r="AH402">
        <f t="shared" si="55"/>
        <v>293.22795121001724</v>
      </c>
      <c r="AI402">
        <f t="shared" si="56"/>
        <v>0.11551107707671721</v>
      </c>
      <c r="AJ402">
        <f t="shared" si="57"/>
        <v>5.6255481284325309E-2</v>
      </c>
      <c r="AK402">
        <f t="shared" si="58"/>
        <v>159201</v>
      </c>
      <c r="AL402">
        <f t="shared" si="61"/>
        <v>4725.8975700000001</v>
      </c>
      <c r="AM402">
        <f t="shared" si="62"/>
        <v>13.271139999999832</v>
      </c>
    </row>
    <row r="403" spans="1:39" x14ac:dyDescent="0.55000000000000004">
      <c r="A403">
        <v>1776902402</v>
      </c>
      <c r="B403" t="s">
        <v>72</v>
      </c>
      <c r="C403" t="s">
        <v>73</v>
      </c>
      <c r="D403">
        <v>4699.4799999999996</v>
      </c>
      <c r="E403">
        <v>4518.5928199999998</v>
      </c>
      <c r="F403">
        <v>4596.0559499999999</v>
      </c>
      <c r="G403">
        <v>4755.40355</v>
      </c>
      <c r="H403">
        <v>4792.7697200000002</v>
      </c>
      <c r="Q403">
        <v>4710.3284899999999</v>
      </c>
      <c r="R403">
        <v>4739.6917899999999</v>
      </c>
      <c r="S403">
        <v>4766.2805600000002</v>
      </c>
      <c r="V403">
        <v>4675.3887199999999</v>
      </c>
      <c r="W403">
        <v>4641.8237200000003</v>
      </c>
      <c r="AB403">
        <v>4728.9688900000001</v>
      </c>
      <c r="AC403">
        <v>4727.0675799999999</v>
      </c>
      <c r="AD403">
        <v>0</v>
      </c>
      <c r="AE403">
        <f t="shared" si="59"/>
        <v>401</v>
      </c>
      <c r="AF403">
        <f t="shared" si="60"/>
        <v>400</v>
      </c>
      <c r="AG403">
        <f t="shared" si="54"/>
        <v>-10.848490000000311</v>
      </c>
      <c r="AH403">
        <f t="shared" si="55"/>
        <v>117.68973528010675</v>
      </c>
      <c r="AI403">
        <f t="shared" si="56"/>
        <v>-2.9371319900904365E-2</v>
      </c>
      <c r="AJ403">
        <f t="shared" si="57"/>
        <v>9.0621507955647319E-3</v>
      </c>
      <c r="AK403">
        <f t="shared" si="58"/>
        <v>160000</v>
      </c>
      <c r="AL403">
        <f t="shared" si="61"/>
        <v>4725.8975700000001</v>
      </c>
      <c r="AM403" t="str">
        <f t="shared" si="62"/>
        <v/>
      </c>
    </row>
    <row r="404" spans="1:39" x14ac:dyDescent="0.55000000000000004">
      <c r="A404">
        <v>1776903302</v>
      </c>
      <c r="B404" t="s">
        <v>72</v>
      </c>
      <c r="C404" t="s">
        <v>73</v>
      </c>
      <c r="D404">
        <v>4741.59</v>
      </c>
      <c r="E404">
        <v>4518.5928199999998</v>
      </c>
      <c r="F404">
        <v>4596.0559499999999</v>
      </c>
      <c r="G404">
        <v>4755.40355</v>
      </c>
      <c r="H404">
        <v>4792.7697200000002</v>
      </c>
      <c r="Q404">
        <v>4710.0608899999997</v>
      </c>
      <c r="R404">
        <v>4739.4241899999997</v>
      </c>
      <c r="S404">
        <v>4766.01296</v>
      </c>
      <c r="V404">
        <v>4675.1211199999998</v>
      </c>
      <c r="W404">
        <v>4641.5561200000002</v>
      </c>
      <c r="AA404">
        <v>4694.34</v>
      </c>
      <c r="AB404">
        <v>4733.1929899999996</v>
      </c>
      <c r="AC404">
        <v>4730.1302800000003</v>
      </c>
      <c r="AD404">
        <v>0</v>
      </c>
      <c r="AE404">
        <f t="shared" si="59"/>
        <v>402</v>
      </c>
      <c r="AF404">
        <f t="shared" si="60"/>
        <v>401</v>
      </c>
      <c r="AG404">
        <f t="shared" si="54"/>
        <v>31.529110000000401</v>
      </c>
      <c r="AH404">
        <f t="shared" si="55"/>
        <v>994.08477739212526</v>
      </c>
      <c r="AI404">
        <f t="shared" si="56"/>
        <v>0.72102565810556718</v>
      </c>
      <c r="AJ404">
        <f t="shared" si="57"/>
        <v>0.6465482781805052</v>
      </c>
      <c r="AK404">
        <f t="shared" si="58"/>
        <v>160801</v>
      </c>
      <c r="AL404">
        <f t="shared" si="61"/>
        <v>4725.8975700000001</v>
      </c>
      <c r="AM404" t="str">
        <f t="shared" si="62"/>
        <v/>
      </c>
    </row>
    <row r="405" spans="1:39" x14ac:dyDescent="0.55000000000000004">
      <c r="A405">
        <v>1776904202</v>
      </c>
      <c r="B405" t="s">
        <v>72</v>
      </c>
      <c r="C405" t="s">
        <v>73</v>
      </c>
      <c r="D405">
        <v>4744.84</v>
      </c>
      <c r="E405">
        <v>4518.5928199999998</v>
      </c>
      <c r="F405">
        <v>4596.0559499999999</v>
      </c>
      <c r="G405">
        <v>4755.40355</v>
      </c>
      <c r="H405">
        <v>4792.7697200000002</v>
      </c>
      <c r="Q405">
        <v>4709.7932799999999</v>
      </c>
      <c r="R405">
        <v>4739.1565799999998</v>
      </c>
      <c r="S405">
        <v>4765.7453500000001</v>
      </c>
      <c r="V405">
        <v>4674.8535099999999</v>
      </c>
      <c r="W405">
        <v>4641.2885200000001</v>
      </c>
      <c r="AB405">
        <v>4736.5225300000002</v>
      </c>
      <c r="AC405">
        <v>4733.3264099999997</v>
      </c>
      <c r="AD405">
        <v>0</v>
      </c>
      <c r="AE405">
        <f t="shared" si="59"/>
        <v>403</v>
      </c>
      <c r="AF405">
        <f t="shared" si="60"/>
        <v>402</v>
      </c>
      <c r="AG405">
        <f t="shared" si="54"/>
        <v>35.046720000000278</v>
      </c>
      <c r="AH405">
        <f t="shared" si="55"/>
        <v>1228.2725827584195</v>
      </c>
      <c r="AI405">
        <f t="shared" si="56"/>
        <v>0.99027934576975074</v>
      </c>
      <c r="AJ405">
        <f t="shared" si="57"/>
        <v>0.98706017126283407</v>
      </c>
      <c r="AK405">
        <f t="shared" si="58"/>
        <v>161604</v>
      </c>
      <c r="AL405">
        <f t="shared" si="61"/>
        <v>4725.8975700000001</v>
      </c>
      <c r="AM405" t="str">
        <f t="shared" si="62"/>
        <v/>
      </c>
    </row>
    <row r="406" spans="1:39" x14ac:dyDescent="0.55000000000000004">
      <c r="A406">
        <v>1776905102</v>
      </c>
      <c r="B406" t="s">
        <v>72</v>
      </c>
      <c r="C406" t="s">
        <v>73</v>
      </c>
      <c r="D406">
        <v>4748.05</v>
      </c>
      <c r="E406">
        <v>4518.5928199999998</v>
      </c>
      <c r="F406">
        <v>4596.0559499999999</v>
      </c>
      <c r="G406">
        <v>4755.40355</v>
      </c>
      <c r="H406">
        <v>4792.7697200000002</v>
      </c>
      <c r="Q406">
        <v>4709.5256799999997</v>
      </c>
      <c r="R406">
        <v>4738.8889799999997</v>
      </c>
      <c r="S406">
        <v>4765.47775</v>
      </c>
      <c r="V406">
        <v>4674.5859099999998</v>
      </c>
      <c r="W406">
        <v>4641.0209100000002</v>
      </c>
      <c r="Z406">
        <v>4753.33</v>
      </c>
      <c r="AB406">
        <v>4738.0339800000002</v>
      </c>
      <c r="AC406">
        <v>4735.68019</v>
      </c>
      <c r="AD406">
        <v>0</v>
      </c>
      <c r="AE406">
        <f t="shared" si="59"/>
        <v>404</v>
      </c>
      <c r="AF406">
        <f t="shared" si="60"/>
        <v>403</v>
      </c>
      <c r="AG406">
        <f t="shared" si="54"/>
        <v>38.524320000000444</v>
      </c>
      <c r="AH406">
        <f t="shared" si="55"/>
        <v>1484.1232314624342</v>
      </c>
      <c r="AI406">
        <f t="shared" si="56"/>
        <v>1.3152870053103631</v>
      </c>
      <c r="AJ406">
        <f t="shared" si="57"/>
        <v>1.4410997380230466</v>
      </c>
      <c r="AK406">
        <f t="shared" si="58"/>
        <v>162409</v>
      </c>
      <c r="AL406">
        <f t="shared" si="61"/>
        <v>4725.8975700000001</v>
      </c>
      <c r="AM406" t="str">
        <f t="shared" si="62"/>
        <v/>
      </c>
    </row>
    <row r="407" spans="1:39" x14ac:dyDescent="0.55000000000000004">
      <c r="A407">
        <v>1776906002</v>
      </c>
      <c r="B407" t="s">
        <v>72</v>
      </c>
      <c r="C407" t="s">
        <v>73</v>
      </c>
      <c r="D407">
        <v>4737</v>
      </c>
      <c r="E407">
        <v>4518.5928199999998</v>
      </c>
      <c r="F407">
        <v>4596.0559499999999</v>
      </c>
      <c r="G407">
        <v>4755.40355</v>
      </c>
      <c r="H407">
        <v>4792.7697200000002</v>
      </c>
      <c r="Q407">
        <v>4709.2580699999999</v>
      </c>
      <c r="R407">
        <v>4738.6213699999998</v>
      </c>
      <c r="S407">
        <v>4765.2101400000001</v>
      </c>
      <c r="V407">
        <v>4674.3182999999999</v>
      </c>
      <c r="W407">
        <v>4640.7533100000001</v>
      </c>
      <c r="AB407">
        <v>4737.1209600000002</v>
      </c>
      <c r="AC407">
        <v>4736.4005800000004</v>
      </c>
      <c r="AD407">
        <v>0</v>
      </c>
      <c r="AE407">
        <f t="shared" si="59"/>
        <v>405</v>
      </c>
      <c r="AF407">
        <f t="shared" si="60"/>
        <v>404</v>
      </c>
      <c r="AG407">
        <f t="shared" si="54"/>
        <v>27.741930000000139</v>
      </c>
      <c r="AH407">
        <f t="shared" si="55"/>
        <v>769.61468012490764</v>
      </c>
      <c r="AI407">
        <f t="shared" si="56"/>
        <v>0.49116295003129862</v>
      </c>
      <c r="AJ407">
        <f t="shared" si="57"/>
        <v>0.38752595829929182</v>
      </c>
      <c r="AK407">
        <f t="shared" si="58"/>
        <v>163216</v>
      </c>
      <c r="AL407">
        <f t="shared" si="61"/>
        <v>4725.8975700000001</v>
      </c>
      <c r="AM407" t="str">
        <f t="shared" si="62"/>
        <v/>
      </c>
    </row>
    <row r="408" spans="1:39" x14ac:dyDescent="0.55000000000000004">
      <c r="A408">
        <v>1776906902</v>
      </c>
      <c r="B408" t="s">
        <v>72</v>
      </c>
      <c r="C408" t="s">
        <v>73</v>
      </c>
      <c r="D408">
        <v>4728.26</v>
      </c>
      <c r="E408">
        <v>4518.5928199999998</v>
      </c>
      <c r="F408">
        <v>4596.0559499999999</v>
      </c>
      <c r="G408">
        <v>4755.40355</v>
      </c>
      <c r="H408">
        <v>4792.7697200000002</v>
      </c>
      <c r="Q408">
        <v>4708.9904699999997</v>
      </c>
      <c r="R408">
        <v>4738.3537699999997</v>
      </c>
      <c r="S408">
        <v>4764.94254</v>
      </c>
      <c r="V408">
        <v>4674.0506999999998</v>
      </c>
      <c r="W408">
        <v>4640.4857000000002</v>
      </c>
      <c r="AB408">
        <v>4733.9721099999997</v>
      </c>
      <c r="AC408">
        <v>4735.1863400000002</v>
      </c>
      <c r="AD408">
        <v>1</v>
      </c>
      <c r="AE408">
        <f t="shared" si="59"/>
        <v>406</v>
      </c>
      <c r="AF408">
        <f t="shared" si="60"/>
        <v>405</v>
      </c>
      <c r="AG408">
        <f t="shared" si="54"/>
        <v>19.269530000000486</v>
      </c>
      <c r="AH408">
        <f t="shared" si="55"/>
        <v>371.31478642091872</v>
      </c>
      <c r="AI408">
        <f t="shared" si="56"/>
        <v>0.16459966630270728</v>
      </c>
      <c r="AJ408">
        <f t="shared" si="57"/>
        <v>9.0206659515958354E-2</v>
      </c>
      <c r="AK408">
        <f t="shared" si="58"/>
        <v>164025</v>
      </c>
      <c r="AL408">
        <f t="shared" si="61"/>
        <v>4733.9721099999997</v>
      </c>
      <c r="AM408">
        <f t="shared" si="62"/>
        <v>8.0745399999996152</v>
      </c>
    </row>
    <row r="409" spans="1:39" x14ac:dyDescent="0.55000000000000004">
      <c r="A409">
        <v>1776907802</v>
      </c>
      <c r="B409" t="s">
        <v>72</v>
      </c>
      <c r="C409" t="s">
        <v>73</v>
      </c>
      <c r="D409">
        <v>4733.91</v>
      </c>
      <c r="E409">
        <v>4518.5928199999998</v>
      </c>
      <c r="F409">
        <v>4596.0559499999999</v>
      </c>
      <c r="G409">
        <v>4755.40355</v>
      </c>
      <c r="H409">
        <v>4792.7697200000002</v>
      </c>
      <c r="Q409">
        <v>4708.7228699999996</v>
      </c>
      <c r="R409">
        <v>4738.0861699999996</v>
      </c>
      <c r="S409">
        <v>4764.6749399999999</v>
      </c>
      <c r="V409">
        <v>4673.7830999999996</v>
      </c>
      <c r="W409">
        <v>4640.2181</v>
      </c>
      <c r="AB409">
        <v>4729.0602399999998</v>
      </c>
      <c r="AC409">
        <v>4732.1232900000005</v>
      </c>
      <c r="AD409">
        <v>0</v>
      </c>
      <c r="AE409">
        <f t="shared" si="59"/>
        <v>407</v>
      </c>
      <c r="AF409">
        <f t="shared" si="60"/>
        <v>406</v>
      </c>
      <c r="AG409">
        <f t="shared" si="54"/>
        <v>25.187130000000252</v>
      </c>
      <c r="AH409">
        <f t="shared" si="55"/>
        <v>634.39151763691268</v>
      </c>
      <c r="AI409">
        <f t="shared" si="56"/>
        <v>0.36757979876629432</v>
      </c>
      <c r="AJ409">
        <f t="shared" si="57"/>
        <v>0.26331090609761393</v>
      </c>
      <c r="AK409">
        <f t="shared" si="58"/>
        <v>164836</v>
      </c>
      <c r="AL409">
        <f t="shared" si="61"/>
        <v>4733.9721099999997</v>
      </c>
      <c r="AM409" t="str">
        <f t="shared" si="62"/>
        <v/>
      </c>
    </row>
    <row r="410" spans="1:39" x14ac:dyDescent="0.55000000000000004">
      <c r="A410">
        <v>1776908702</v>
      </c>
      <c r="B410" t="s">
        <v>72</v>
      </c>
      <c r="C410" t="s">
        <v>73</v>
      </c>
      <c r="D410">
        <v>4723.33</v>
      </c>
      <c r="E410">
        <v>4518.5928199999998</v>
      </c>
      <c r="F410">
        <v>4596.0559499999999</v>
      </c>
      <c r="G410">
        <v>4755.40355</v>
      </c>
      <c r="H410">
        <v>4792.7697200000002</v>
      </c>
      <c r="Q410">
        <v>4708.4552599999997</v>
      </c>
      <c r="R410">
        <v>4737.8185599999997</v>
      </c>
      <c r="S410">
        <v>4764.40733</v>
      </c>
      <c r="V410">
        <v>4673.5154899999998</v>
      </c>
      <c r="W410">
        <v>4639.9504999999999</v>
      </c>
      <c r="AB410">
        <v>4722.7455200000004</v>
      </c>
      <c r="AC410">
        <v>4727.4344099999998</v>
      </c>
      <c r="AD410">
        <v>0</v>
      </c>
      <c r="AE410">
        <f t="shared" si="59"/>
        <v>408</v>
      </c>
      <c r="AF410">
        <f t="shared" si="60"/>
        <v>407</v>
      </c>
      <c r="AG410">
        <f t="shared" si="54"/>
        <v>14.874740000000202</v>
      </c>
      <c r="AH410">
        <f t="shared" si="55"/>
        <v>221.25789006760601</v>
      </c>
      <c r="AI410">
        <f t="shared" si="56"/>
        <v>7.571182841936118E-2</v>
      </c>
      <c r="AJ410">
        <f t="shared" si="57"/>
        <v>3.202960964910543E-2</v>
      </c>
      <c r="AK410">
        <f t="shared" si="58"/>
        <v>165649</v>
      </c>
      <c r="AL410">
        <f t="shared" si="61"/>
        <v>4733.9721099999997</v>
      </c>
      <c r="AM410" t="str">
        <f t="shared" si="62"/>
        <v/>
      </c>
    </row>
    <row r="411" spans="1:39" x14ac:dyDescent="0.55000000000000004">
      <c r="A411">
        <v>1776909602</v>
      </c>
      <c r="B411" t="s">
        <v>72</v>
      </c>
      <c r="C411" t="s">
        <v>73</v>
      </c>
      <c r="D411">
        <v>4707.1899999999996</v>
      </c>
      <c r="E411">
        <v>4518.5928199999998</v>
      </c>
      <c r="F411">
        <v>4596.0559499999999</v>
      </c>
      <c r="G411">
        <v>4755.40355</v>
      </c>
      <c r="H411">
        <v>4792.7697200000002</v>
      </c>
      <c r="Q411">
        <v>4708.1876599999996</v>
      </c>
      <c r="R411">
        <v>4737.5509599999996</v>
      </c>
      <c r="S411">
        <v>4764.1397299999999</v>
      </c>
      <c r="V411">
        <v>4673.2478899999996</v>
      </c>
      <c r="W411">
        <v>4639.68289</v>
      </c>
      <c r="AB411">
        <v>4716.0094399999998</v>
      </c>
      <c r="AC411">
        <v>4721.72192</v>
      </c>
      <c r="AD411">
        <v>0</v>
      </c>
      <c r="AE411">
        <f t="shared" si="59"/>
        <v>409</v>
      </c>
      <c r="AF411">
        <f t="shared" si="60"/>
        <v>408</v>
      </c>
      <c r="AG411">
        <f t="shared" si="54"/>
        <v>-0.99765999999999622</v>
      </c>
      <c r="AH411">
        <f t="shared" si="55"/>
        <v>0.9953254755999924</v>
      </c>
      <c r="AI411">
        <f t="shared" si="56"/>
        <v>-2.2843532552752654E-5</v>
      </c>
      <c r="AJ411">
        <f t="shared" si="57"/>
        <v>6.4816317440589631E-7</v>
      </c>
      <c r="AK411">
        <f t="shared" si="58"/>
        <v>166464</v>
      </c>
      <c r="AL411">
        <f t="shared" si="61"/>
        <v>4733.9721099999997</v>
      </c>
      <c r="AM411" t="str">
        <f t="shared" si="62"/>
        <v/>
      </c>
    </row>
    <row r="412" spans="1:39" x14ac:dyDescent="0.55000000000000004">
      <c r="A412">
        <v>1776910502</v>
      </c>
      <c r="B412" t="s">
        <v>72</v>
      </c>
      <c r="C412" t="s">
        <v>73</v>
      </c>
      <c r="D412">
        <v>4714.1000000000004</v>
      </c>
      <c r="E412">
        <v>4518.5928199999998</v>
      </c>
      <c r="F412">
        <v>4596.0559499999999</v>
      </c>
      <c r="G412">
        <v>4755.40355</v>
      </c>
      <c r="H412">
        <v>4792.7697200000002</v>
      </c>
      <c r="Q412">
        <v>4707.9200499999997</v>
      </c>
      <c r="R412">
        <v>4737.2833499999997</v>
      </c>
      <c r="S412">
        <v>4763.87212</v>
      </c>
      <c r="V412">
        <v>4672.9802799999998</v>
      </c>
      <c r="W412">
        <v>4639.4152899999999</v>
      </c>
      <c r="AB412">
        <v>4710.0102900000002</v>
      </c>
      <c r="AC412">
        <v>4715.8661000000002</v>
      </c>
      <c r="AD412">
        <v>0</v>
      </c>
      <c r="AE412">
        <f t="shared" si="59"/>
        <v>410</v>
      </c>
      <c r="AF412">
        <f t="shared" si="60"/>
        <v>409</v>
      </c>
      <c r="AG412">
        <f t="shared" si="54"/>
        <v>6.1799500000006446</v>
      </c>
      <c r="AH412">
        <f t="shared" si="55"/>
        <v>38.191782002507971</v>
      </c>
      <c r="AI412">
        <f t="shared" si="56"/>
        <v>5.4296329106556119E-3</v>
      </c>
      <c r="AJ412">
        <f t="shared" si="57"/>
        <v>9.543198517503054E-4</v>
      </c>
      <c r="AK412">
        <f t="shared" si="58"/>
        <v>167281</v>
      </c>
      <c r="AL412">
        <f t="shared" si="61"/>
        <v>4733.9721099999997</v>
      </c>
      <c r="AM412" t="str">
        <f t="shared" si="62"/>
        <v/>
      </c>
    </row>
    <row r="413" spans="1:39" x14ac:dyDescent="0.55000000000000004">
      <c r="A413">
        <v>1776911402</v>
      </c>
      <c r="B413" t="s">
        <v>72</v>
      </c>
      <c r="C413" t="s">
        <v>73</v>
      </c>
      <c r="D413">
        <v>4701.42</v>
      </c>
      <c r="E413">
        <v>4518.5928199999998</v>
      </c>
      <c r="F413">
        <v>4596.0559499999999</v>
      </c>
      <c r="G413">
        <v>4755.40355</v>
      </c>
      <c r="H413">
        <v>4792.7697200000002</v>
      </c>
      <c r="Q413">
        <v>4707.6524499999996</v>
      </c>
      <c r="R413">
        <v>4737.0157499999996</v>
      </c>
      <c r="S413">
        <v>4763.6045199999999</v>
      </c>
      <c r="V413">
        <v>4672.7126799999996</v>
      </c>
      <c r="W413">
        <v>4639.14768</v>
      </c>
      <c r="AB413">
        <v>4705.1245399999998</v>
      </c>
      <c r="AC413">
        <v>4710.49532</v>
      </c>
      <c r="AD413">
        <v>0</v>
      </c>
      <c r="AE413">
        <f t="shared" si="59"/>
        <v>411</v>
      </c>
      <c r="AF413">
        <f t="shared" si="60"/>
        <v>410</v>
      </c>
      <c r="AG413">
        <f t="shared" si="54"/>
        <v>-6.2324499999995169</v>
      </c>
      <c r="AH413">
        <f t="shared" si="55"/>
        <v>38.843433002493981</v>
      </c>
      <c r="AI413">
        <f t="shared" si="56"/>
        <v>-5.5691894740647748E-3</v>
      </c>
      <c r="AJ413">
        <f t="shared" si="57"/>
        <v>9.8716403584357226E-4</v>
      </c>
      <c r="AK413">
        <f t="shared" si="58"/>
        <v>168100</v>
      </c>
      <c r="AL413">
        <f t="shared" si="61"/>
        <v>4733.9721099999997</v>
      </c>
      <c r="AM413" t="str">
        <f t="shared" si="62"/>
        <v/>
      </c>
    </row>
    <row r="414" spans="1:39" x14ac:dyDescent="0.55000000000000004">
      <c r="A414">
        <v>1776912302</v>
      </c>
      <c r="B414" t="s">
        <v>72</v>
      </c>
      <c r="C414" t="s">
        <v>73</v>
      </c>
      <c r="D414">
        <v>4699.2299999999996</v>
      </c>
      <c r="E414">
        <v>4518.5928199999998</v>
      </c>
      <c r="F414">
        <v>4596.0559499999999</v>
      </c>
      <c r="G414">
        <v>4755.40355</v>
      </c>
      <c r="H414">
        <v>4792.7697200000002</v>
      </c>
      <c r="Q414">
        <v>4707.3848500000004</v>
      </c>
      <c r="R414">
        <v>4736.7481500000004</v>
      </c>
      <c r="S414">
        <v>4763.3369199999997</v>
      </c>
      <c r="V414">
        <v>4672.4450800000004</v>
      </c>
      <c r="W414">
        <v>4638.8800799999999</v>
      </c>
      <c r="AB414">
        <v>4702.0156399999996</v>
      </c>
      <c r="AC414">
        <v>4706.2554799999998</v>
      </c>
      <c r="AD414">
        <v>0</v>
      </c>
      <c r="AE414">
        <f t="shared" si="59"/>
        <v>412</v>
      </c>
      <c r="AF414">
        <f t="shared" si="60"/>
        <v>411</v>
      </c>
      <c r="AG414">
        <f t="shared" si="54"/>
        <v>-8.1548500000008062</v>
      </c>
      <c r="AH414">
        <f t="shared" si="55"/>
        <v>66.501578522513142</v>
      </c>
      <c r="AI414">
        <f t="shared" si="56"/>
        <v>-1.2475659576512048E-2</v>
      </c>
      <c r="AJ414">
        <f t="shared" si="57"/>
        <v>2.8934635839315769E-3</v>
      </c>
      <c r="AK414">
        <f t="shared" si="58"/>
        <v>168921</v>
      </c>
      <c r="AL414">
        <f t="shared" si="61"/>
        <v>4733.9721099999997</v>
      </c>
      <c r="AM414" t="str">
        <f t="shared" si="62"/>
        <v/>
      </c>
    </row>
    <row r="415" spans="1:39" x14ac:dyDescent="0.55000000000000004">
      <c r="A415">
        <v>1776913202</v>
      </c>
      <c r="B415" t="s">
        <v>72</v>
      </c>
      <c r="C415" t="s">
        <v>73</v>
      </c>
      <c r="D415">
        <v>4702.0600000000004</v>
      </c>
      <c r="E415">
        <v>4518.5928199999998</v>
      </c>
      <c r="F415">
        <v>4596.0559499999999</v>
      </c>
      <c r="G415">
        <v>4755.40355</v>
      </c>
      <c r="H415">
        <v>4792.7697200000002</v>
      </c>
      <c r="Q415">
        <v>4707.1172399999996</v>
      </c>
      <c r="R415">
        <v>4736.4805399999996</v>
      </c>
      <c r="S415">
        <v>4763.0693099999999</v>
      </c>
      <c r="V415">
        <v>4672.1774699999996</v>
      </c>
      <c r="W415">
        <v>4638.6124799999998</v>
      </c>
      <c r="AB415">
        <v>4700.7395100000003</v>
      </c>
      <c r="AC415">
        <v>4703.4975000000004</v>
      </c>
      <c r="AD415">
        <v>0</v>
      </c>
      <c r="AE415">
        <f t="shared" si="59"/>
        <v>413</v>
      </c>
      <c r="AF415">
        <f t="shared" si="60"/>
        <v>412</v>
      </c>
      <c r="AG415">
        <f t="shared" si="54"/>
        <v>-5.0572399999991831</v>
      </c>
      <c r="AH415">
        <f t="shared" si="55"/>
        <v>25.575676417591737</v>
      </c>
      <c r="AI415">
        <f t="shared" si="56"/>
        <v>-2.9754748064846829E-3</v>
      </c>
      <c r="AJ415">
        <f t="shared" si="57"/>
        <v>4.2796511536210142E-4</v>
      </c>
      <c r="AK415">
        <f t="shared" si="58"/>
        <v>169744</v>
      </c>
      <c r="AL415">
        <f t="shared" si="61"/>
        <v>4733.9721099999997</v>
      </c>
      <c r="AM415" t="str">
        <f t="shared" si="62"/>
        <v/>
      </c>
    </row>
    <row r="416" spans="1:39" x14ac:dyDescent="0.55000000000000004">
      <c r="A416">
        <v>1776914102</v>
      </c>
      <c r="B416" t="s">
        <v>72</v>
      </c>
      <c r="C416" t="s">
        <v>73</v>
      </c>
      <c r="D416">
        <v>4703.22</v>
      </c>
      <c r="E416">
        <v>4518.5928199999998</v>
      </c>
      <c r="F416">
        <v>4596.0559499999999</v>
      </c>
      <c r="G416">
        <v>4755.40355</v>
      </c>
      <c r="H416">
        <v>4792.7697200000002</v>
      </c>
      <c r="Q416">
        <v>4706.8496400000004</v>
      </c>
      <c r="R416">
        <v>4736.2129400000003</v>
      </c>
      <c r="S416">
        <v>4762.8017099999997</v>
      </c>
      <c r="V416">
        <v>4671.9098700000004</v>
      </c>
      <c r="W416">
        <v>4638.3448699999999</v>
      </c>
      <c r="AB416">
        <v>4700.8810899999999</v>
      </c>
      <c r="AC416">
        <v>4702.1892900000003</v>
      </c>
      <c r="AD416">
        <v>0</v>
      </c>
      <c r="AE416">
        <f t="shared" si="59"/>
        <v>414</v>
      </c>
      <c r="AF416">
        <f t="shared" si="60"/>
        <v>413</v>
      </c>
      <c r="AG416">
        <f t="shared" si="54"/>
        <v>-3.6296400000001086</v>
      </c>
      <c r="AH416">
        <f t="shared" si="55"/>
        <v>13.174286529600788</v>
      </c>
      <c r="AI416">
        <f t="shared" si="56"/>
        <v>-1.100034336897666E-3</v>
      </c>
      <c r="AJ416">
        <f t="shared" si="57"/>
        <v>1.13555538764346E-4</v>
      </c>
      <c r="AK416">
        <f t="shared" si="58"/>
        <v>170569</v>
      </c>
      <c r="AL416">
        <f t="shared" si="61"/>
        <v>4733.9721099999997</v>
      </c>
      <c r="AM416" t="str">
        <f t="shared" si="62"/>
        <v/>
      </c>
    </row>
    <row r="417" spans="1:39" x14ac:dyDescent="0.55000000000000004">
      <c r="A417">
        <v>1776915002</v>
      </c>
      <c r="B417" t="s">
        <v>72</v>
      </c>
      <c r="C417" t="s">
        <v>73</v>
      </c>
      <c r="D417">
        <v>4704.99</v>
      </c>
      <c r="E417">
        <v>4518.5928199999998</v>
      </c>
      <c r="F417">
        <v>4596.0559499999999</v>
      </c>
      <c r="G417">
        <v>4755.40355</v>
      </c>
      <c r="H417">
        <v>4792.7697200000002</v>
      </c>
      <c r="Q417">
        <v>4706.5820299999996</v>
      </c>
      <c r="R417">
        <v>4735.9453299999996</v>
      </c>
      <c r="S417">
        <v>4762.5340999999999</v>
      </c>
      <c r="V417">
        <v>4671.6422599999996</v>
      </c>
      <c r="W417">
        <v>4638.0772699999998</v>
      </c>
      <c r="AB417">
        <v>4701.90823</v>
      </c>
      <c r="AC417">
        <v>4702.0487599999997</v>
      </c>
      <c r="AD417">
        <v>0</v>
      </c>
      <c r="AE417">
        <f t="shared" si="59"/>
        <v>415</v>
      </c>
      <c r="AF417">
        <f t="shared" si="60"/>
        <v>414</v>
      </c>
      <c r="AG417">
        <f t="shared" si="54"/>
        <v>-1.5920299999997951</v>
      </c>
      <c r="AH417">
        <f t="shared" si="55"/>
        <v>2.5345595208993474</v>
      </c>
      <c r="AI417">
        <f t="shared" si="56"/>
        <v>-9.2825933692324187E-5</v>
      </c>
      <c r="AJ417">
        <f t="shared" si="57"/>
        <v>4.2029972099609434E-6</v>
      </c>
      <c r="AK417">
        <f t="shared" si="58"/>
        <v>171396</v>
      </c>
      <c r="AL417">
        <f t="shared" si="61"/>
        <v>4733.9721099999997</v>
      </c>
      <c r="AM417" t="str">
        <f t="shared" si="62"/>
        <v/>
      </c>
    </row>
    <row r="418" spans="1:39" x14ac:dyDescent="0.55000000000000004">
      <c r="A418">
        <v>1776915902</v>
      </c>
      <c r="B418" t="s">
        <v>72</v>
      </c>
      <c r="C418" t="s">
        <v>73</v>
      </c>
      <c r="D418">
        <v>4704.1000000000004</v>
      </c>
      <c r="E418">
        <v>4518.5928199999998</v>
      </c>
      <c r="F418">
        <v>4596.0559499999999</v>
      </c>
      <c r="G418">
        <v>4755.40355</v>
      </c>
      <c r="H418">
        <v>4792.7697200000002</v>
      </c>
      <c r="Q418">
        <v>4706.3144300000004</v>
      </c>
      <c r="R418">
        <v>4735.6777300000003</v>
      </c>
      <c r="S418">
        <v>4762.2664999999997</v>
      </c>
      <c r="V418">
        <v>4671.3746600000004</v>
      </c>
      <c r="W418">
        <v>4637.8096599999999</v>
      </c>
      <c r="AB418">
        <v>4703.2629900000002</v>
      </c>
      <c r="AC418">
        <v>4702.6558699999996</v>
      </c>
      <c r="AD418">
        <v>1</v>
      </c>
      <c r="AE418">
        <f t="shared" si="59"/>
        <v>416</v>
      </c>
      <c r="AF418">
        <f t="shared" si="60"/>
        <v>415</v>
      </c>
      <c r="AG418">
        <f t="shared" si="54"/>
        <v>-2.214429999999993</v>
      </c>
      <c r="AH418">
        <f t="shared" si="55"/>
        <v>4.9037002248999695</v>
      </c>
      <c r="AI418">
        <f t="shared" si="56"/>
        <v>-2.4980518806665933E-4</v>
      </c>
      <c r="AJ418">
        <f t="shared" si="57"/>
        <v>1.5732652072176367E-5</v>
      </c>
      <c r="AK418">
        <f t="shared" si="58"/>
        <v>172225</v>
      </c>
      <c r="AL418">
        <f t="shared" si="61"/>
        <v>4703.2629900000002</v>
      </c>
      <c r="AM418">
        <f t="shared" si="62"/>
        <v>30.70911999999953</v>
      </c>
    </row>
    <row r="419" spans="1:39" x14ac:dyDescent="0.55000000000000004">
      <c r="A419">
        <v>1776916802</v>
      </c>
      <c r="B419" t="s">
        <v>72</v>
      </c>
      <c r="C419" t="s">
        <v>73</v>
      </c>
      <c r="D419">
        <v>4706.25</v>
      </c>
      <c r="E419">
        <v>4518.5928199999998</v>
      </c>
      <c r="F419">
        <v>4596.0559499999999</v>
      </c>
      <c r="G419">
        <v>4755.40355</v>
      </c>
      <c r="H419">
        <v>4792.7697200000002</v>
      </c>
      <c r="Q419">
        <v>4706.0468300000002</v>
      </c>
      <c r="R419">
        <v>4735.4101199999996</v>
      </c>
      <c r="S419">
        <v>4761.9988999999996</v>
      </c>
      <c r="V419">
        <v>4671.1070600000003</v>
      </c>
      <c r="W419">
        <v>4637.5420599999998</v>
      </c>
      <c r="AB419">
        <v>4704.53773</v>
      </c>
      <c r="AC419">
        <v>4703.5968000000003</v>
      </c>
      <c r="AD419">
        <v>0</v>
      </c>
      <c r="AE419">
        <f t="shared" si="59"/>
        <v>417</v>
      </c>
      <c r="AF419">
        <f t="shared" si="60"/>
        <v>416</v>
      </c>
      <c r="AG419">
        <f t="shared" si="54"/>
        <v>0.2031699999997727</v>
      </c>
      <c r="AH419">
        <f t="shared" si="55"/>
        <v>4.1278048899907639E-2</v>
      </c>
      <c r="AI419">
        <f t="shared" si="56"/>
        <v>1.9292758424052588E-7</v>
      </c>
      <c r="AJ419">
        <f t="shared" si="57"/>
        <v>1.114788384737428E-9</v>
      </c>
      <c r="AK419">
        <f t="shared" si="58"/>
        <v>173056</v>
      </c>
      <c r="AL419">
        <f t="shared" si="61"/>
        <v>4703.2629900000002</v>
      </c>
      <c r="AM419" t="str">
        <f t="shared" si="62"/>
        <v/>
      </c>
    </row>
    <row r="420" spans="1:39" x14ac:dyDescent="0.55000000000000004">
      <c r="A420">
        <v>1776917702</v>
      </c>
      <c r="B420" t="s">
        <v>72</v>
      </c>
      <c r="C420" t="s">
        <v>73</v>
      </c>
      <c r="D420">
        <v>4705.7299999999996</v>
      </c>
      <c r="E420">
        <v>4518.5928199999998</v>
      </c>
      <c r="F420">
        <v>4596.0559499999999</v>
      </c>
      <c r="G420">
        <v>4755.40355</v>
      </c>
      <c r="H420">
        <v>4792.7697200000002</v>
      </c>
      <c r="Q420">
        <v>4705.7792200000004</v>
      </c>
      <c r="R420">
        <v>4735.1425200000003</v>
      </c>
      <c r="S420">
        <v>4761.7312899999997</v>
      </c>
      <c r="V420">
        <v>4670.8394500000004</v>
      </c>
      <c r="W420">
        <v>4637.2744599999996</v>
      </c>
      <c r="AB420">
        <v>4705.42947</v>
      </c>
      <c r="AC420">
        <v>4704.51314</v>
      </c>
      <c r="AD420">
        <v>0</v>
      </c>
      <c r="AE420">
        <f t="shared" si="59"/>
        <v>418</v>
      </c>
      <c r="AF420">
        <f t="shared" si="60"/>
        <v>417</v>
      </c>
      <c r="AG420">
        <f t="shared" si="54"/>
        <v>-4.9220000000786968E-2</v>
      </c>
      <c r="AH420">
        <f t="shared" si="55"/>
        <v>2.4226084000774691E-3</v>
      </c>
      <c r="AI420">
        <f t="shared" si="56"/>
        <v>-2.7430922466183907E-9</v>
      </c>
      <c r="AJ420">
        <f t="shared" si="57"/>
        <v>3.8399056204537389E-12</v>
      </c>
      <c r="AK420">
        <f t="shared" si="58"/>
        <v>173889</v>
      </c>
      <c r="AL420">
        <f t="shared" si="61"/>
        <v>4703.2629900000002</v>
      </c>
      <c r="AM420" t="str">
        <f t="shared" si="62"/>
        <v/>
      </c>
    </row>
    <row r="421" spans="1:39" x14ac:dyDescent="0.55000000000000004">
      <c r="A421">
        <v>1776918602</v>
      </c>
      <c r="B421" t="s">
        <v>72</v>
      </c>
      <c r="C421" t="s">
        <v>73</v>
      </c>
      <c r="D421">
        <v>4701.88</v>
      </c>
      <c r="E421">
        <v>4518.5928199999998</v>
      </c>
      <c r="F421">
        <v>4596.0559499999999</v>
      </c>
      <c r="G421">
        <v>4755.40355</v>
      </c>
      <c r="H421">
        <v>4792.7697200000002</v>
      </c>
      <c r="Q421">
        <v>4705.5116200000002</v>
      </c>
      <c r="R421">
        <v>4734.8749200000002</v>
      </c>
      <c r="S421">
        <v>4761.4636899999996</v>
      </c>
      <c r="V421">
        <v>4670.5718500000003</v>
      </c>
      <c r="W421">
        <v>4637.0068499999998</v>
      </c>
      <c r="AB421">
        <v>4705.88832</v>
      </c>
      <c r="AC421">
        <v>4705.2007299999996</v>
      </c>
      <c r="AD421">
        <v>0</v>
      </c>
      <c r="AE421">
        <f t="shared" si="59"/>
        <v>419</v>
      </c>
      <c r="AF421">
        <f t="shared" si="60"/>
        <v>418</v>
      </c>
      <c r="AG421">
        <f t="shared" si="54"/>
        <v>-3.6316200000001118</v>
      </c>
      <c r="AH421">
        <f t="shared" si="55"/>
        <v>13.188663824400813</v>
      </c>
      <c r="AI421">
        <f t="shared" si="56"/>
        <v>-1.1018355538431714E-3</v>
      </c>
      <c r="AJ421">
        <f t="shared" si="57"/>
        <v>1.1380352370157315E-4</v>
      </c>
      <c r="AK421">
        <f t="shared" si="58"/>
        <v>174724</v>
      </c>
      <c r="AL421">
        <f t="shared" si="61"/>
        <v>4703.2629900000002</v>
      </c>
      <c r="AM421" t="str">
        <f t="shared" si="62"/>
        <v/>
      </c>
    </row>
    <row r="422" spans="1:39" x14ac:dyDescent="0.55000000000000004">
      <c r="A422">
        <v>1776919502</v>
      </c>
      <c r="B422" t="s">
        <v>72</v>
      </c>
      <c r="C422" t="s">
        <v>73</v>
      </c>
      <c r="D422">
        <v>4704.3500000000004</v>
      </c>
      <c r="E422">
        <v>4518.5928199999998</v>
      </c>
      <c r="F422">
        <v>4596.0559499999999</v>
      </c>
      <c r="G422">
        <v>4755.40355</v>
      </c>
      <c r="H422">
        <v>4792.7697200000002</v>
      </c>
      <c r="Q422">
        <v>4705.2440100000003</v>
      </c>
      <c r="R422">
        <v>4734.6073100000003</v>
      </c>
      <c r="S422">
        <v>4761.1960799999997</v>
      </c>
      <c r="V422">
        <v>4670.3042400000004</v>
      </c>
      <c r="W422">
        <v>4636.7392499999996</v>
      </c>
      <c r="AB422">
        <v>4706.1543300000003</v>
      </c>
      <c r="AC422">
        <v>4705.6775299999999</v>
      </c>
      <c r="AD422">
        <v>0</v>
      </c>
      <c r="AE422">
        <f t="shared" si="59"/>
        <v>420</v>
      </c>
      <c r="AF422">
        <f t="shared" si="60"/>
        <v>419</v>
      </c>
      <c r="AG422">
        <f t="shared" si="54"/>
        <v>-0.89400999999998021</v>
      </c>
      <c r="AH422">
        <f t="shared" si="55"/>
        <v>0.79925388009996456</v>
      </c>
      <c r="AI422">
        <f t="shared" si="56"/>
        <v>-1.6437762997847055E-5</v>
      </c>
      <c r="AJ422">
        <f t="shared" si="57"/>
        <v>4.1794931641027117E-7</v>
      </c>
      <c r="AK422">
        <f t="shared" si="58"/>
        <v>175561</v>
      </c>
      <c r="AL422">
        <f t="shared" si="61"/>
        <v>4703.2629900000002</v>
      </c>
      <c r="AM422" t="str">
        <f t="shared" si="62"/>
        <v/>
      </c>
    </row>
    <row r="423" spans="1:39" x14ac:dyDescent="0.55000000000000004">
      <c r="A423">
        <v>1776920402</v>
      </c>
      <c r="B423" t="s">
        <v>72</v>
      </c>
      <c r="C423" t="s">
        <v>73</v>
      </c>
      <c r="D423">
        <v>4707.71</v>
      </c>
      <c r="E423">
        <v>4518.5928199999998</v>
      </c>
      <c r="F423">
        <v>4596.0559499999999</v>
      </c>
      <c r="G423">
        <v>4755.40355</v>
      </c>
      <c r="H423">
        <v>4792.7697200000002</v>
      </c>
      <c r="Q423">
        <v>4704.9764100000002</v>
      </c>
      <c r="R423">
        <v>4734.3397100000002</v>
      </c>
      <c r="S423">
        <v>4760.9284799999996</v>
      </c>
      <c r="V423">
        <v>4670.0366400000003</v>
      </c>
      <c r="W423">
        <v>4636.4716399999998</v>
      </c>
      <c r="AB423">
        <v>4706.3814000000002</v>
      </c>
      <c r="AC423">
        <v>4706.0294599999997</v>
      </c>
      <c r="AD423">
        <v>0</v>
      </c>
      <c r="AE423">
        <f t="shared" si="59"/>
        <v>421</v>
      </c>
      <c r="AF423">
        <f t="shared" si="60"/>
        <v>420</v>
      </c>
      <c r="AG423">
        <f t="shared" si="54"/>
        <v>2.7335899999998219</v>
      </c>
      <c r="AH423">
        <f t="shared" si="55"/>
        <v>7.4725142880990258</v>
      </c>
      <c r="AI423">
        <f t="shared" si="56"/>
        <v>4.6991111281265331E-4</v>
      </c>
      <c r="AJ423">
        <f t="shared" si="57"/>
        <v>3.6533192133135869E-5</v>
      </c>
      <c r="AK423">
        <f t="shared" si="58"/>
        <v>176400</v>
      </c>
      <c r="AL423">
        <f t="shared" si="61"/>
        <v>4703.2629900000002</v>
      </c>
      <c r="AM423" t="str">
        <f t="shared" si="62"/>
        <v/>
      </c>
    </row>
    <row r="424" spans="1:39" x14ac:dyDescent="0.55000000000000004">
      <c r="A424">
        <v>1776921302</v>
      </c>
      <c r="B424" t="s">
        <v>72</v>
      </c>
      <c r="C424" t="s">
        <v>73</v>
      </c>
      <c r="D424">
        <v>4705.92</v>
      </c>
      <c r="E424">
        <v>4518.5928199999998</v>
      </c>
      <c r="F424">
        <v>4596.0559499999999</v>
      </c>
      <c r="G424">
        <v>4755.40355</v>
      </c>
      <c r="H424">
        <v>4792.7697200000002</v>
      </c>
      <c r="Q424">
        <v>4704.7088100000001</v>
      </c>
      <c r="R424">
        <v>4734.0721000000003</v>
      </c>
      <c r="S424">
        <v>4760.6608800000004</v>
      </c>
      <c r="V424">
        <v>4669.7690400000001</v>
      </c>
      <c r="W424">
        <v>4636.2040399999996</v>
      </c>
      <c r="AB424">
        <v>4706.7036699999999</v>
      </c>
      <c r="AC424">
        <v>4706.3665700000001</v>
      </c>
      <c r="AD424">
        <v>0</v>
      </c>
      <c r="AE424">
        <f t="shared" si="59"/>
        <v>422</v>
      </c>
      <c r="AF424">
        <f t="shared" si="60"/>
        <v>421</v>
      </c>
      <c r="AG424">
        <f t="shared" si="54"/>
        <v>1.2111899999999878</v>
      </c>
      <c r="AH424">
        <f t="shared" si="55"/>
        <v>1.4669812160999705</v>
      </c>
      <c r="AI424">
        <f t="shared" si="56"/>
        <v>4.0874496308848845E-5</v>
      </c>
      <c r="AJ424">
        <f t="shared" si="57"/>
        <v>1.4080018278278155E-6</v>
      </c>
      <c r="AK424">
        <f t="shared" si="58"/>
        <v>177241</v>
      </c>
      <c r="AL424">
        <f t="shared" si="61"/>
        <v>4703.2629900000002</v>
      </c>
      <c r="AM424" t="str">
        <f t="shared" si="62"/>
        <v/>
      </c>
    </row>
    <row r="425" spans="1:39" x14ac:dyDescent="0.55000000000000004">
      <c r="A425">
        <v>1776922202</v>
      </c>
      <c r="B425" t="s">
        <v>72</v>
      </c>
      <c r="C425" t="s">
        <v>73</v>
      </c>
      <c r="D425">
        <v>4701.58</v>
      </c>
      <c r="E425">
        <v>4518.5928199999998</v>
      </c>
      <c r="F425">
        <v>4596.0559499999999</v>
      </c>
      <c r="G425">
        <v>4755.40355</v>
      </c>
      <c r="H425">
        <v>4792.7697200000002</v>
      </c>
      <c r="Q425">
        <v>4704.4412000000002</v>
      </c>
      <c r="R425">
        <v>4733.8045000000002</v>
      </c>
      <c r="S425">
        <v>4760.3932699999996</v>
      </c>
      <c r="V425">
        <v>4669.5014300000003</v>
      </c>
      <c r="W425">
        <v>4635.9364299999997</v>
      </c>
      <c r="AA425">
        <v>4693.0600000000004</v>
      </c>
      <c r="AB425">
        <v>4707.34591</v>
      </c>
      <c r="AC425">
        <v>4706.8562400000001</v>
      </c>
      <c r="AD425">
        <v>0</v>
      </c>
      <c r="AE425">
        <f t="shared" si="59"/>
        <v>423</v>
      </c>
      <c r="AF425">
        <f t="shared" si="60"/>
        <v>422</v>
      </c>
      <c r="AG425">
        <f t="shared" si="54"/>
        <v>-2.8612000000002809</v>
      </c>
      <c r="AH425">
        <f t="shared" si="55"/>
        <v>8.1864654400016068</v>
      </c>
      <c r="AI425">
        <f t="shared" si="56"/>
        <v>-5.3884050390823259E-4</v>
      </c>
      <c r="AJ425">
        <f t="shared" si="57"/>
        <v>4.3847716199315127E-5</v>
      </c>
      <c r="AK425">
        <f t="shared" si="58"/>
        <v>178084</v>
      </c>
      <c r="AL425">
        <f t="shared" si="61"/>
        <v>4703.2629900000002</v>
      </c>
      <c r="AM425" t="str">
        <f t="shared" si="62"/>
        <v/>
      </c>
    </row>
    <row r="426" spans="1:39" x14ac:dyDescent="0.55000000000000004">
      <c r="A426">
        <v>1776923102</v>
      </c>
      <c r="B426" t="s">
        <v>72</v>
      </c>
      <c r="C426" t="s">
        <v>73</v>
      </c>
      <c r="D426">
        <v>4713.6000000000004</v>
      </c>
      <c r="E426">
        <v>4518.5928199999998</v>
      </c>
      <c r="F426">
        <v>4596.0559499999999</v>
      </c>
      <c r="G426">
        <v>4755.40355</v>
      </c>
      <c r="H426">
        <v>4792.7697200000002</v>
      </c>
      <c r="Q426">
        <v>4704.1736000000001</v>
      </c>
      <c r="R426">
        <v>4733.5369000000001</v>
      </c>
      <c r="S426">
        <v>4760.1256700000004</v>
      </c>
      <c r="V426">
        <v>4669.2338300000001</v>
      </c>
      <c r="W426">
        <v>4635.6688299999996</v>
      </c>
      <c r="AB426">
        <v>4708.5204199999998</v>
      </c>
      <c r="AC426">
        <v>4707.68833</v>
      </c>
      <c r="AD426">
        <v>0</v>
      </c>
      <c r="AE426">
        <f t="shared" si="59"/>
        <v>424</v>
      </c>
      <c r="AF426">
        <f t="shared" si="60"/>
        <v>423</v>
      </c>
      <c r="AG426">
        <f t="shared" si="54"/>
        <v>9.4264000000002852</v>
      </c>
      <c r="AH426">
        <f t="shared" si="55"/>
        <v>88.857016960005382</v>
      </c>
      <c r="AI426">
        <f t="shared" si="56"/>
        <v>1.9268733869408815E-2</v>
      </c>
      <c r="AJ426">
        <f t="shared" si="57"/>
        <v>5.1657998025323179E-3</v>
      </c>
      <c r="AK426">
        <f t="shared" si="58"/>
        <v>178929</v>
      </c>
      <c r="AL426">
        <f t="shared" si="61"/>
        <v>4703.2629900000002</v>
      </c>
      <c r="AM426" t="str">
        <f t="shared" si="62"/>
        <v/>
      </c>
    </row>
    <row r="427" spans="1:39" x14ac:dyDescent="0.55000000000000004">
      <c r="A427">
        <v>1776924002</v>
      </c>
      <c r="B427" t="s">
        <v>72</v>
      </c>
      <c r="C427" t="s">
        <v>73</v>
      </c>
      <c r="D427">
        <v>4711.99</v>
      </c>
      <c r="E427">
        <v>4518.5928199999998</v>
      </c>
      <c r="F427">
        <v>4596.0559499999999</v>
      </c>
      <c r="G427">
        <v>4755.40355</v>
      </c>
      <c r="H427">
        <v>4792.7697200000002</v>
      </c>
      <c r="Q427">
        <v>4703.9059900000002</v>
      </c>
      <c r="R427">
        <v>4733.2692900000002</v>
      </c>
      <c r="S427">
        <v>4759.8580599999996</v>
      </c>
      <c r="V427">
        <v>4668.9662200000002</v>
      </c>
      <c r="W427">
        <v>4635.4012300000004</v>
      </c>
      <c r="AB427">
        <v>4709.8301300000003</v>
      </c>
      <c r="AC427">
        <v>4708.7592299999997</v>
      </c>
      <c r="AD427">
        <v>0</v>
      </c>
      <c r="AE427">
        <f t="shared" si="59"/>
        <v>425</v>
      </c>
      <c r="AF427">
        <f t="shared" si="60"/>
        <v>424</v>
      </c>
      <c r="AG427">
        <f t="shared" si="54"/>
        <v>8.08400999999958</v>
      </c>
      <c r="AH427">
        <f t="shared" si="55"/>
        <v>65.351217680093214</v>
      </c>
      <c r="AI427">
        <f t="shared" si="56"/>
        <v>1.2153352952923777E-2</v>
      </c>
      <c r="AJ427">
        <f t="shared" si="57"/>
        <v>2.7942256881229944E-3</v>
      </c>
      <c r="AK427">
        <f t="shared" si="58"/>
        <v>179776</v>
      </c>
      <c r="AL427">
        <f t="shared" si="61"/>
        <v>4703.2629900000002</v>
      </c>
      <c r="AM427" t="str">
        <f t="shared" si="62"/>
        <v/>
      </c>
    </row>
    <row r="428" spans="1:39" x14ac:dyDescent="0.55000000000000004">
      <c r="A428">
        <v>1776924902</v>
      </c>
      <c r="B428" t="s">
        <v>72</v>
      </c>
      <c r="C428" t="s">
        <v>73</v>
      </c>
      <c r="D428">
        <v>4712.13</v>
      </c>
      <c r="E428">
        <v>4518.5928199999998</v>
      </c>
      <c r="F428">
        <v>4596.0559499999999</v>
      </c>
      <c r="G428">
        <v>4755.40355</v>
      </c>
      <c r="H428">
        <v>4792.7697200000002</v>
      </c>
      <c r="Q428">
        <v>4703.6383900000001</v>
      </c>
      <c r="R428">
        <v>4733.0016900000001</v>
      </c>
      <c r="S428">
        <v>4759.5904600000003</v>
      </c>
      <c r="V428">
        <v>4668.6986200000001</v>
      </c>
      <c r="W428">
        <v>4635.1336199999996</v>
      </c>
      <c r="AB428">
        <v>4711.1706299999996</v>
      </c>
      <c r="AC428">
        <v>4709.9649300000001</v>
      </c>
      <c r="AD428">
        <v>0</v>
      </c>
      <c r="AE428">
        <f t="shared" si="59"/>
        <v>426</v>
      </c>
      <c r="AF428">
        <f t="shared" si="60"/>
        <v>425</v>
      </c>
      <c r="AG428">
        <f t="shared" si="54"/>
        <v>8.491610000000037</v>
      </c>
      <c r="AH428">
        <f t="shared" si="55"/>
        <v>72.107440392100628</v>
      </c>
      <c r="AI428">
        <f t="shared" si="56"/>
        <v>1.4085935775993643E-2</v>
      </c>
      <c r="AJ428">
        <f t="shared" si="57"/>
        <v>3.401843042897308E-3</v>
      </c>
      <c r="AK428">
        <f t="shared" si="58"/>
        <v>180625</v>
      </c>
      <c r="AL428">
        <f t="shared" si="61"/>
        <v>4703.2629900000002</v>
      </c>
      <c r="AM428" t="str">
        <f t="shared" si="62"/>
        <v/>
      </c>
    </row>
    <row r="429" spans="1:39" x14ac:dyDescent="0.55000000000000004">
      <c r="A429">
        <v>1776925802</v>
      </c>
      <c r="B429" t="s">
        <v>72</v>
      </c>
      <c r="C429" t="s">
        <v>73</v>
      </c>
      <c r="D429">
        <v>4714.9799999999996</v>
      </c>
      <c r="E429">
        <v>4518.5928199999998</v>
      </c>
      <c r="F429">
        <v>4596.0559499999999</v>
      </c>
      <c r="G429">
        <v>4755.40355</v>
      </c>
      <c r="H429">
        <v>4792.7697200000002</v>
      </c>
      <c r="Q429">
        <v>4703.3707800000002</v>
      </c>
      <c r="R429">
        <v>4732.7340800000002</v>
      </c>
      <c r="S429">
        <v>4759.3228499999996</v>
      </c>
      <c r="V429">
        <v>4668.4310100000002</v>
      </c>
      <c r="W429">
        <v>4634.8660200000004</v>
      </c>
      <c r="AB429">
        <v>4712.4076599999999</v>
      </c>
      <c r="AC429">
        <v>4711.1863000000003</v>
      </c>
      <c r="AD429">
        <v>0</v>
      </c>
      <c r="AE429">
        <f t="shared" si="59"/>
        <v>427</v>
      </c>
      <c r="AF429">
        <f t="shared" si="60"/>
        <v>426</v>
      </c>
      <c r="AG429">
        <f t="shared" si="54"/>
        <v>11.609219999999368</v>
      </c>
      <c r="AH429">
        <f t="shared" si="55"/>
        <v>134.77398900838534</v>
      </c>
      <c r="AI429">
        <f t="shared" si="56"/>
        <v>3.5993552141516845E-2</v>
      </c>
      <c r="AJ429">
        <f t="shared" si="57"/>
        <v>1.1884099466146717E-2</v>
      </c>
      <c r="AK429">
        <f t="shared" si="58"/>
        <v>181476</v>
      </c>
      <c r="AL429">
        <f t="shared" si="61"/>
        <v>4703.2629900000002</v>
      </c>
      <c r="AM429" t="str">
        <f t="shared" si="62"/>
        <v/>
      </c>
    </row>
    <row r="430" spans="1:39" x14ac:dyDescent="0.55000000000000004">
      <c r="A430">
        <v>1776926702</v>
      </c>
      <c r="B430" t="s">
        <v>72</v>
      </c>
      <c r="C430" t="s">
        <v>73</v>
      </c>
      <c r="D430">
        <v>4713.0200000000004</v>
      </c>
      <c r="E430">
        <v>4518.5928199999998</v>
      </c>
      <c r="F430">
        <v>4596.0559499999999</v>
      </c>
      <c r="G430">
        <v>4755.40355</v>
      </c>
      <c r="H430">
        <v>4792.7697200000002</v>
      </c>
      <c r="Q430">
        <v>4703.1031800000001</v>
      </c>
      <c r="R430">
        <v>4732.46648</v>
      </c>
      <c r="S430">
        <v>4759.0552500000003</v>
      </c>
      <c r="V430">
        <v>4668.1634100000001</v>
      </c>
      <c r="W430">
        <v>4634.5984099999996</v>
      </c>
      <c r="AB430">
        <v>4713.3364700000002</v>
      </c>
      <c r="AC430">
        <v>4712.2613799999999</v>
      </c>
      <c r="AD430">
        <v>0</v>
      </c>
      <c r="AE430">
        <f t="shared" si="59"/>
        <v>428</v>
      </c>
      <c r="AF430">
        <f t="shared" si="60"/>
        <v>427</v>
      </c>
      <c r="AG430">
        <f t="shared" si="54"/>
        <v>9.9168200000003708</v>
      </c>
      <c r="AH430">
        <f t="shared" si="55"/>
        <v>98.343318912407355</v>
      </c>
      <c r="AI430">
        <f t="shared" si="56"/>
        <v>2.2435351379772466E-2</v>
      </c>
      <c r="AJ430">
        <f t="shared" si="57"/>
        <v>6.3276701834114515E-3</v>
      </c>
      <c r="AK430">
        <f t="shared" si="58"/>
        <v>182329</v>
      </c>
      <c r="AL430">
        <f t="shared" si="61"/>
        <v>4703.2629900000002</v>
      </c>
      <c r="AM430" t="str">
        <f t="shared" si="62"/>
        <v/>
      </c>
    </row>
    <row r="431" spans="1:39" x14ac:dyDescent="0.55000000000000004">
      <c r="A431">
        <v>1776927602</v>
      </c>
      <c r="B431" t="s">
        <v>72</v>
      </c>
      <c r="C431" t="s">
        <v>73</v>
      </c>
      <c r="D431">
        <v>4712.47</v>
      </c>
      <c r="E431">
        <v>4518.5928199999998</v>
      </c>
      <c r="F431">
        <v>4596.0559499999999</v>
      </c>
      <c r="G431">
        <v>4755.40355</v>
      </c>
      <c r="H431">
        <v>4792.7697200000002</v>
      </c>
      <c r="Q431">
        <v>4702.8355799999999</v>
      </c>
      <c r="R431">
        <v>4732.1988799999999</v>
      </c>
      <c r="S431">
        <v>4758.7876500000002</v>
      </c>
      <c r="V431">
        <v>4667.89581</v>
      </c>
      <c r="W431">
        <v>4634.3308100000004</v>
      </c>
      <c r="AB431">
        <v>4713.9286499999998</v>
      </c>
      <c r="AC431">
        <v>4713.0950199999997</v>
      </c>
      <c r="AD431">
        <v>0</v>
      </c>
      <c r="AE431">
        <f t="shared" si="59"/>
        <v>429</v>
      </c>
      <c r="AF431">
        <f t="shared" si="60"/>
        <v>428</v>
      </c>
      <c r="AG431">
        <f t="shared" si="54"/>
        <v>9.6344200000003184</v>
      </c>
      <c r="AH431">
        <f t="shared" si="55"/>
        <v>92.822048736406131</v>
      </c>
      <c r="AI431">
        <f t="shared" si="56"/>
        <v>2.0572748133330043E-2</v>
      </c>
      <c r="AJ431">
        <f t="shared" si="57"/>
        <v>5.6371087370016551E-3</v>
      </c>
      <c r="AK431">
        <f t="shared" si="58"/>
        <v>183184</v>
      </c>
      <c r="AL431">
        <f t="shared" si="61"/>
        <v>4703.2629900000002</v>
      </c>
      <c r="AM431" t="str">
        <f t="shared" si="62"/>
        <v/>
      </c>
    </row>
    <row r="432" spans="1:39" x14ac:dyDescent="0.55000000000000004">
      <c r="A432">
        <v>1776928502</v>
      </c>
      <c r="B432" t="s">
        <v>72</v>
      </c>
      <c r="C432" t="s">
        <v>73</v>
      </c>
      <c r="D432">
        <v>4706.12</v>
      </c>
      <c r="E432">
        <v>4518.5928199999998</v>
      </c>
      <c r="F432">
        <v>4596.0559499999999</v>
      </c>
      <c r="G432">
        <v>4755.40355</v>
      </c>
      <c r="H432">
        <v>4792.7697200000002</v>
      </c>
      <c r="Q432">
        <v>4702.5679700000001</v>
      </c>
      <c r="R432">
        <v>4731.93127</v>
      </c>
      <c r="S432">
        <v>4758.5200400000003</v>
      </c>
      <c r="V432">
        <v>4667.6282000000001</v>
      </c>
      <c r="W432">
        <v>4634.0632100000003</v>
      </c>
      <c r="AB432">
        <v>4714.1976100000002</v>
      </c>
      <c r="AC432">
        <v>4713.6463100000001</v>
      </c>
      <c r="AD432">
        <v>0</v>
      </c>
      <c r="AE432">
        <f t="shared" si="59"/>
        <v>430</v>
      </c>
      <c r="AF432">
        <f t="shared" si="60"/>
        <v>429</v>
      </c>
      <c r="AG432">
        <f t="shared" si="54"/>
        <v>3.5520299999998315</v>
      </c>
      <c r="AH432">
        <f t="shared" si="55"/>
        <v>12.616917120898803</v>
      </c>
      <c r="AI432">
        <f t="shared" si="56"/>
        <v>1.0309686512195802E-3</v>
      </c>
      <c r="AJ432">
        <f t="shared" si="57"/>
        <v>1.0415032107339336E-4</v>
      </c>
      <c r="AK432">
        <f t="shared" si="58"/>
        <v>184041</v>
      </c>
      <c r="AL432">
        <f t="shared" si="61"/>
        <v>4703.2629900000002</v>
      </c>
      <c r="AM432" t="str">
        <f t="shared" si="62"/>
        <v/>
      </c>
    </row>
    <row r="433" spans="1:39" x14ac:dyDescent="0.55000000000000004">
      <c r="A433">
        <v>1776929402</v>
      </c>
      <c r="B433" t="s">
        <v>72</v>
      </c>
      <c r="C433" t="s">
        <v>73</v>
      </c>
      <c r="D433">
        <v>4713.7700000000004</v>
      </c>
      <c r="E433">
        <v>4518.5928199999998</v>
      </c>
      <c r="F433">
        <v>4596.0559499999999</v>
      </c>
      <c r="G433">
        <v>4755.40355</v>
      </c>
      <c r="H433">
        <v>4792.7697200000002</v>
      </c>
      <c r="Q433">
        <v>4702.3003699999999</v>
      </c>
      <c r="R433">
        <v>4731.6636699999999</v>
      </c>
      <c r="S433">
        <v>4758.2524400000002</v>
      </c>
      <c r="V433">
        <v>4667.3606</v>
      </c>
      <c r="W433">
        <v>4633.7956000000004</v>
      </c>
      <c r="AB433">
        <v>4714.3111399999998</v>
      </c>
      <c r="AC433">
        <v>4713.9787299999998</v>
      </c>
      <c r="AD433">
        <v>0</v>
      </c>
      <c r="AE433">
        <f t="shared" si="59"/>
        <v>431</v>
      </c>
      <c r="AF433">
        <f t="shared" si="60"/>
        <v>430</v>
      </c>
      <c r="AG433">
        <f t="shared" si="54"/>
        <v>11.469630000000507</v>
      </c>
      <c r="AH433">
        <f t="shared" si="55"/>
        <v>131.55241233691163</v>
      </c>
      <c r="AI433">
        <f t="shared" si="56"/>
        <v>3.4710734924669445E-2</v>
      </c>
      <c r="AJ433">
        <f t="shared" si="57"/>
        <v>1.1322745487313182E-2</v>
      </c>
      <c r="AK433">
        <f t="shared" si="58"/>
        <v>184900</v>
      </c>
      <c r="AL433">
        <f t="shared" si="61"/>
        <v>4703.2629900000002</v>
      </c>
      <c r="AM433" t="str">
        <f t="shared" si="62"/>
        <v/>
      </c>
    </row>
    <row r="434" spans="1:39" x14ac:dyDescent="0.55000000000000004">
      <c r="A434">
        <v>1776930302</v>
      </c>
      <c r="B434" t="s">
        <v>72</v>
      </c>
      <c r="C434" t="s">
        <v>73</v>
      </c>
      <c r="D434">
        <v>4719.22</v>
      </c>
      <c r="E434">
        <v>4518.5928199999998</v>
      </c>
      <c r="F434">
        <v>4596.0559499999999</v>
      </c>
      <c r="G434">
        <v>4755.40355</v>
      </c>
      <c r="H434">
        <v>4792.7697200000002</v>
      </c>
      <c r="Q434">
        <v>4702.0327600000001</v>
      </c>
      <c r="R434">
        <v>4731.39606</v>
      </c>
      <c r="S434">
        <v>4757.9848300000003</v>
      </c>
      <c r="V434">
        <v>4667.0929900000001</v>
      </c>
      <c r="W434">
        <v>4633.5280000000002</v>
      </c>
      <c r="AB434">
        <v>4714.0749999999998</v>
      </c>
      <c r="AC434">
        <v>4714.0268599999999</v>
      </c>
      <c r="AD434">
        <v>0</v>
      </c>
      <c r="AE434">
        <f t="shared" si="59"/>
        <v>432</v>
      </c>
      <c r="AF434">
        <f t="shared" si="60"/>
        <v>431</v>
      </c>
      <c r="AG434">
        <f t="shared" si="54"/>
        <v>17.187240000000202</v>
      </c>
      <c r="AH434">
        <f t="shared" si="55"/>
        <v>295.40121881760695</v>
      </c>
      <c r="AI434">
        <f t="shared" si="56"/>
        <v>0.11679762419400218</v>
      </c>
      <c r="AJ434">
        <f t="shared" si="57"/>
        <v>5.7092449758183034E-2</v>
      </c>
      <c r="AK434">
        <f t="shared" si="58"/>
        <v>185761</v>
      </c>
      <c r="AL434">
        <f t="shared" si="61"/>
        <v>4703.2629900000002</v>
      </c>
      <c r="AM434" t="str">
        <f t="shared" si="62"/>
        <v/>
      </c>
    </row>
    <row r="435" spans="1:39" x14ac:dyDescent="0.55000000000000004">
      <c r="A435">
        <v>1776931202</v>
      </c>
      <c r="B435" t="s">
        <v>72</v>
      </c>
      <c r="C435" t="s">
        <v>73</v>
      </c>
      <c r="D435">
        <v>4718.21</v>
      </c>
      <c r="E435">
        <v>4518.5928199999998</v>
      </c>
      <c r="F435">
        <v>4596.0559499999999</v>
      </c>
      <c r="G435">
        <v>4755.40355</v>
      </c>
      <c r="H435">
        <v>4792.7697200000002</v>
      </c>
      <c r="Q435">
        <v>4701.7651599999999</v>
      </c>
      <c r="R435">
        <v>4731.1284599999999</v>
      </c>
      <c r="S435">
        <v>4757.7172300000002</v>
      </c>
      <c r="V435">
        <v>4666.82539</v>
      </c>
      <c r="W435">
        <v>4633.2603900000004</v>
      </c>
      <c r="AB435">
        <v>4713.1717200000003</v>
      </c>
      <c r="AC435">
        <v>4713.5992900000001</v>
      </c>
      <c r="AD435">
        <v>1</v>
      </c>
      <c r="AE435">
        <f t="shared" si="59"/>
        <v>433</v>
      </c>
      <c r="AF435">
        <f t="shared" si="60"/>
        <v>432</v>
      </c>
      <c r="AG435">
        <f t="shared" si="54"/>
        <v>16.444840000000113</v>
      </c>
      <c r="AH435">
        <f t="shared" si="55"/>
        <v>270.43276262560369</v>
      </c>
      <c r="AI435">
        <f t="shared" si="56"/>
        <v>0.10230680960965532</v>
      </c>
      <c r="AJ435">
        <f t="shared" si="57"/>
        <v>4.7848984166239769E-2</v>
      </c>
      <c r="AK435">
        <f t="shared" si="58"/>
        <v>186624</v>
      </c>
      <c r="AL435">
        <f t="shared" si="61"/>
        <v>4713.1717200000003</v>
      </c>
      <c r="AM435">
        <f t="shared" si="62"/>
        <v>9.9087300000001051</v>
      </c>
    </row>
    <row r="436" spans="1:39" x14ac:dyDescent="0.55000000000000004">
      <c r="A436">
        <v>1776932102</v>
      </c>
      <c r="B436" t="s">
        <v>72</v>
      </c>
      <c r="C436" t="s">
        <v>73</v>
      </c>
      <c r="D436">
        <v>4715.43</v>
      </c>
      <c r="E436">
        <v>4518.5928199999998</v>
      </c>
      <c r="F436">
        <v>4596.0559499999999</v>
      </c>
      <c r="G436">
        <v>4755.40355</v>
      </c>
      <c r="H436">
        <v>4792.7697200000002</v>
      </c>
      <c r="Q436">
        <v>4701.4975599999998</v>
      </c>
      <c r="R436">
        <v>4730.8608599999998</v>
      </c>
      <c r="S436">
        <v>4757.4496300000001</v>
      </c>
      <c r="V436">
        <v>4666.5577899999998</v>
      </c>
      <c r="W436">
        <v>4632.9927900000002</v>
      </c>
      <c r="AB436">
        <v>4711.5254400000003</v>
      </c>
      <c r="AC436">
        <v>4712.5623699999996</v>
      </c>
      <c r="AD436">
        <v>0</v>
      </c>
      <c r="AE436">
        <f t="shared" si="59"/>
        <v>434</v>
      </c>
      <c r="AF436">
        <f t="shared" si="60"/>
        <v>433</v>
      </c>
      <c r="AG436">
        <f t="shared" si="54"/>
        <v>13.932440000000497</v>
      </c>
      <c r="AH436">
        <f t="shared" si="55"/>
        <v>194.11288435361385</v>
      </c>
      <c r="AI436">
        <f t="shared" si="56"/>
        <v>6.221528985786428E-2</v>
      </c>
      <c r="AJ436">
        <f t="shared" si="57"/>
        <v>2.4652606203977193E-2</v>
      </c>
      <c r="AK436">
        <f t="shared" si="58"/>
        <v>187489</v>
      </c>
      <c r="AL436">
        <f t="shared" si="61"/>
        <v>4713.1717200000003</v>
      </c>
      <c r="AM436" t="str">
        <f t="shared" si="62"/>
        <v/>
      </c>
    </row>
    <row r="437" spans="1:39" x14ac:dyDescent="0.55000000000000004">
      <c r="A437">
        <v>1776933002</v>
      </c>
      <c r="B437" t="s">
        <v>72</v>
      </c>
      <c r="C437" t="s">
        <v>73</v>
      </c>
      <c r="D437">
        <v>4703.76</v>
      </c>
      <c r="E437">
        <v>4518.5928199999998</v>
      </c>
      <c r="F437">
        <v>4596.0559499999999</v>
      </c>
      <c r="G437">
        <v>4755.40355</v>
      </c>
      <c r="H437">
        <v>4792.7697200000002</v>
      </c>
      <c r="Q437">
        <v>4701.2299499999999</v>
      </c>
      <c r="R437">
        <v>4730.5932499999999</v>
      </c>
      <c r="S437">
        <v>4757.1820200000002</v>
      </c>
      <c r="V437">
        <v>4666.29018</v>
      </c>
      <c r="W437">
        <v>4632.7251900000001</v>
      </c>
      <c r="AB437">
        <v>4709.1417600000004</v>
      </c>
      <c r="AC437">
        <v>4710.8520600000002</v>
      </c>
      <c r="AD437">
        <v>0</v>
      </c>
      <c r="AE437">
        <f t="shared" si="59"/>
        <v>435</v>
      </c>
      <c r="AF437">
        <f t="shared" si="60"/>
        <v>434</v>
      </c>
      <c r="AG437">
        <f t="shared" si="54"/>
        <v>2.5300500000003012</v>
      </c>
      <c r="AH437">
        <f t="shared" si="55"/>
        <v>6.4011530025015242</v>
      </c>
      <c r="AI437">
        <f t="shared" si="56"/>
        <v>3.72565723214509E-4</v>
      </c>
      <c r="AJ437">
        <f t="shared" si="57"/>
        <v>2.6808377391334964E-5</v>
      </c>
      <c r="AK437">
        <f t="shared" si="58"/>
        <v>188356</v>
      </c>
      <c r="AL437">
        <f t="shared" si="61"/>
        <v>4713.1717200000003</v>
      </c>
      <c r="AM437" t="str">
        <f t="shared" si="62"/>
        <v/>
      </c>
    </row>
    <row r="438" spans="1:39" x14ac:dyDescent="0.55000000000000004">
      <c r="A438">
        <v>1776933902</v>
      </c>
      <c r="B438" t="s">
        <v>72</v>
      </c>
      <c r="C438" t="s">
        <v>73</v>
      </c>
      <c r="D438">
        <v>4703.28</v>
      </c>
      <c r="E438">
        <v>4518.5928199999998</v>
      </c>
      <c r="F438">
        <v>4596.0559499999999</v>
      </c>
      <c r="G438">
        <v>4755.40355</v>
      </c>
      <c r="H438">
        <v>4792.7697200000002</v>
      </c>
      <c r="Q438">
        <v>4700.9623499999998</v>
      </c>
      <c r="R438">
        <v>4730.3256499999998</v>
      </c>
      <c r="S438">
        <v>4756.9144200000001</v>
      </c>
      <c r="V438">
        <v>4666.0225799999998</v>
      </c>
      <c r="W438">
        <v>4632.4575800000002</v>
      </c>
      <c r="AB438">
        <v>4706.3191399999996</v>
      </c>
      <c r="AC438">
        <v>4708.5856000000003</v>
      </c>
      <c r="AD438">
        <v>0</v>
      </c>
      <c r="AE438">
        <f t="shared" si="59"/>
        <v>436</v>
      </c>
      <c r="AF438">
        <f t="shared" si="60"/>
        <v>435</v>
      </c>
      <c r="AG438">
        <f t="shared" si="54"/>
        <v>2.3176499999999578</v>
      </c>
      <c r="AH438">
        <f t="shared" si="55"/>
        <v>5.3715015224998046</v>
      </c>
      <c r="AI438">
        <f t="shared" si="56"/>
        <v>2.8639085052715329E-4</v>
      </c>
      <c r="AJ438">
        <f t="shared" si="57"/>
        <v>1.8877545207391158E-5</v>
      </c>
      <c r="AK438">
        <f t="shared" si="58"/>
        <v>189225</v>
      </c>
      <c r="AL438">
        <f t="shared" si="61"/>
        <v>4713.1717200000003</v>
      </c>
      <c r="AM438" t="str">
        <f t="shared" si="62"/>
        <v/>
      </c>
    </row>
    <row r="439" spans="1:39" x14ac:dyDescent="0.55000000000000004">
      <c r="A439">
        <v>1776934802</v>
      </c>
      <c r="B439" t="s">
        <v>72</v>
      </c>
      <c r="C439" t="s">
        <v>73</v>
      </c>
      <c r="D439">
        <v>4696.92</v>
      </c>
      <c r="E439">
        <v>4518.5928199999998</v>
      </c>
      <c r="F439">
        <v>4596.0559499999999</v>
      </c>
      <c r="G439">
        <v>4755.40355</v>
      </c>
      <c r="H439">
        <v>4792.7697200000002</v>
      </c>
      <c r="Q439">
        <v>4700.6947399999999</v>
      </c>
      <c r="R439">
        <v>4730.0580399999999</v>
      </c>
      <c r="S439">
        <v>4756.6468100000002</v>
      </c>
      <c r="V439">
        <v>4665.75497</v>
      </c>
      <c r="W439">
        <v>4632.1899800000001</v>
      </c>
      <c r="AB439">
        <v>4703.0792199999996</v>
      </c>
      <c r="AC439">
        <v>4705.83241</v>
      </c>
      <c r="AD439">
        <v>0</v>
      </c>
      <c r="AE439">
        <f t="shared" si="59"/>
        <v>437</v>
      </c>
      <c r="AF439">
        <f t="shared" si="60"/>
        <v>436</v>
      </c>
      <c r="AG439">
        <f t="shared" si="54"/>
        <v>-3.7747399999998379</v>
      </c>
      <c r="AH439">
        <f t="shared" si="55"/>
        <v>14.248662067598776</v>
      </c>
      <c r="AI439">
        <f t="shared" si="56"/>
        <v>-1.2373048471275268E-3</v>
      </c>
      <c r="AJ439">
        <f t="shared" si="57"/>
        <v>1.3283186970463752E-4</v>
      </c>
      <c r="AK439">
        <f t="shared" si="58"/>
        <v>190096</v>
      </c>
      <c r="AL439">
        <f t="shared" si="61"/>
        <v>4713.1717200000003</v>
      </c>
      <c r="AM439" t="str">
        <f t="shared" si="62"/>
        <v/>
      </c>
    </row>
    <row r="440" spans="1:39" x14ac:dyDescent="0.55000000000000004">
      <c r="A440">
        <v>1776935702</v>
      </c>
      <c r="B440" t="s">
        <v>72</v>
      </c>
      <c r="C440" t="s">
        <v>73</v>
      </c>
      <c r="D440">
        <v>4700.9399999999996</v>
      </c>
      <c r="E440">
        <v>4518.5928199999998</v>
      </c>
      <c r="F440">
        <v>4596.0559499999999</v>
      </c>
      <c r="G440">
        <v>4755.40355</v>
      </c>
      <c r="H440">
        <v>4792.7697200000002</v>
      </c>
      <c r="Q440">
        <v>4700.4271399999998</v>
      </c>
      <c r="R440">
        <v>4729.7904399999998</v>
      </c>
      <c r="S440">
        <v>4756.3792100000001</v>
      </c>
      <c r="V440">
        <v>4665.4873699999998</v>
      </c>
      <c r="W440">
        <v>4631.9223700000002</v>
      </c>
      <c r="AB440">
        <v>4699.6385799999998</v>
      </c>
      <c r="AC440">
        <v>4702.73549</v>
      </c>
      <c r="AD440">
        <v>0</v>
      </c>
      <c r="AE440">
        <f t="shared" si="59"/>
        <v>438</v>
      </c>
      <c r="AF440">
        <f t="shared" si="60"/>
        <v>437</v>
      </c>
      <c r="AG440">
        <f t="shared" si="54"/>
        <v>0.51285999999981868</v>
      </c>
      <c r="AH440">
        <f t="shared" si="55"/>
        <v>0.26302537959981404</v>
      </c>
      <c r="AI440">
        <f t="shared" si="56"/>
        <v>3.1032164484960819E-6</v>
      </c>
      <c r="AJ440">
        <f t="shared" si="57"/>
        <v>4.5263634657666936E-8</v>
      </c>
      <c r="AK440">
        <f t="shared" si="58"/>
        <v>190969</v>
      </c>
      <c r="AL440">
        <f t="shared" si="61"/>
        <v>4713.1717200000003</v>
      </c>
      <c r="AM440" t="str">
        <f t="shared" si="62"/>
        <v/>
      </c>
    </row>
    <row r="441" spans="1:39" x14ac:dyDescent="0.55000000000000004">
      <c r="A441">
        <v>1776936602</v>
      </c>
      <c r="B441" t="s">
        <v>72</v>
      </c>
      <c r="C441" t="s">
        <v>73</v>
      </c>
      <c r="D441">
        <v>4700.99</v>
      </c>
      <c r="E441">
        <v>4518.5928199999998</v>
      </c>
      <c r="F441">
        <v>4596.0559499999999</v>
      </c>
      <c r="G441">
        <v>4755.40355</v>
      </c>
      <c r="H441">
        <v>4792.7697200000002</v>
      </c>
      <c r="Q441">
        <v>4700.1595399999997</v>
      </c>
      <c r="R441">
        <v>4729.5228299999999</v>
      </c>
      <c r="S441">
        <v>4756.1116099999999</v>
      </c>
      <c r="V441">
        <v>4665.2197699999997</v>
      </c>
      <c r="W441">
        <v>4631.6547700000001</v>
      </c>
      <c r="AB441">
        <v>4696.0944300000001</v>
      </c>
      <c r="AC441">
        <v>4699.4149600000001</v>
      </c>
      <c r="AD441">
        <v>0</v>
      </c>
      <c r="AE441">
        <f t="shared" si="59"/>
        <v>439</v>
      </c>
      <c r="AF441">
        <f t="shared" si="60"/>
        <v>438</v>
      </c>
      <c r="AG441">
        <f t="shared" si="54"/>
        <v>0.83046000000013009</v>
      </c>
      <c r="AH441">
        <f t="shared" si="55"/>
        <v>0.68966381160021606</v>
      </c>
      <c r="AI441">
        <f t="shared" si="56"/>
        <v>1.3175640653669787E-5</v>
      </c>
      <c r="AJ441">
        <f t="shared" si="57"/>
        <v>3.1119240483223148E-7</v>
      </c>
      <c r="AK441">
        <f t="shared" si="58"/>
        <v>191844</v>
      </c>
      <c r="AL441">
        <f t="shared" si="61"/>
        <v>4713.1717200000003</v>
      </c>
      <c r="AM441" t="str">
        <f t="shared" si="62"/>
        <v/>
      </c>
    </row>
    <row r="442" spans="1:39" x14ac:dyDescent="0.55000000000000004">
      <c r="A442">
        <v>1776937502</v>
      </c>
      <c r="B442" t="s">
        <v>72</v>
      </c>
      <c r="C442" t="s">
        <v>73</v>
      </c>
      <c r="D442">
        <v>4697.62</v>
      </c>
      <c r="E442">
        <v>4518.5928199999998</v>
      </c>
      <c r="F442">
        <v>4596.0559499999999</v>
      </c>
      <c r="G442">
        <v>4755.40355</v>
      </c>
      <c r="H442">
        <v>4792.7697200000002</v>
      </c>
      <c r="Q442">
        <v>4699.8919299999998</v>
      </c>
      <c r="R442">
        <v>4729.2552299999998</v>
      </c>
      <c r="S442">
        <v>4755.8440000000001</v>
      </c>
      <c r="V442">
        <v>4664.9521599999998</v>
      </c>
      <c r="W442">
        <v>4631.38717</v>
      </c>
      <c r="AB442">
        <v>4692.8289299999997</v>
      </c>
      <c r="AC442">
        <v>4696.1219499999997</v>
      </c>
      <c r="AD442">
        <v>0</v>
      </c>
      <c r="AE442">
        <f t="shared" si="59"/>
        <v>440</v>
      </c>
      <c r="AF442">
        <f t="shared" si="60"/>
        <v>439</v>
      </c>
      <c r="AG442">
        <f t="shared" si="54"/>
        <v>-2.2719299999998839</v>
      </c>
      <c r="AH442">
        <f t="shared" si="55"/>
        <v>5.1616659248994727</v>
      </c>
      <c r="AI442">
        <f t="shared" si="56"/>
        <v>-2.6977420620739558E-4</v>
      </c>
      <c r="AJ442">
        <f t="shared" si="57"/>
        <v>1.7431465382658032E-5</v>
      </c>
      <c r="AK442">
        <f t="shared" si="58"/>
        <v>192721</v>
      </c>
      <c r="AL442">
        <f t="shared" si="61"/>
        <v>4713.1717200000003</v>
      </c>
      <c r="AM442" t="str">
        <f t="shared" si="62"/>
        <v/>
      </c>
    </row>
    <row r="443" spans="1:39" x14ac:dyDescent="0.55000000000000004">
      <c r="A443">
        <v>1776938402</v>
      </c>
      <c r="B443" t="s">
        <v>72</v>
      </c>
      <c r="C443" t="s">
        <v>73</v>
      </c>
      <c r="D443">
        <v>4689.1400000000003</v>
      </c>
      <c r="E443">
        <v>4518.5928199999998</v>
      </c>
      <c r="F443">
        <v>4596.0559499999999</v>
      </c>
      <c r="G443">
        <v>4755.40355</v>
      </c>
      <c r="H443">
        <v>4792.7697200000002</v>
      </c>
      <c r="Q443">
        <v>4699.6243299999996</v>
      </c>
      <c r="R443">
        <v>4728.9876299999996</v>
      </c>
      <c r="S443">
        <v>4755.5763999999999</v>
      </c>
      <c r="V443">
        <v>4664.6845599999997</v>
      </c>
      <c r="W443">
        <v>4631.1195600000001</v>
      </c>
      <c r="AB443">
        <v>4690.3722600000001</v>
      </c>
      <c r="AC443">
        <v>4693.2470999999996</v>
      </c>
      <c r="AD443">
        <v>0</v>
      </c>
      <c r="AE443">
        <f t="shared" si="59"/>
        <v>441</v>
      </c>
      <c r="AF443">
        <f t="shared" si="60"/>
        <v>440</v>
      </c>
      <c r="AG443">
        <f t="shared" si="54"/>
        <v>-10.484329999999318</v>
      </c>
      <c r="AH443">
        <f t="shared" si="55"/>
        <v>109.9211755488857</v>
      </c>
      <c r="AI443">
        <f t="shared" si="56"/>
        <v>-2.6511703308081235E-2</v>
      </c>
      <c r="AJ443">
        <f t="shared" si="57"/>
        <v>7.9052724323491492E-3</v>
      </c>
      <c r="AK443">
        <f t="shared" si="58"/>
        <v>193600</v>
      </c>
      <c r="AL443">
        <f t="shared" si="61"/>
        <v>4713.1717200000003</v>
      </c>
      <c r="AM443" t="str">
        <f t="shared" si="62"/>
        <v/>
      </c>
    </row>
    <row r="444" spans="1:39" x14ac:dyDescent="0.55000000000000004">
      <c r="A444">
        <v>1776939302</v>
      </c>
      <c r="B444" t="s">
        <v>72</v>
      </c>
      <c r="C444" t="s">
        <v>73</v>
      </c>
      <c r="D444">
        <v>4686.7</v>
      </c>
      <c r="E444">
        <v>4518.5928199999998</v>
      </c>
      <c r="F444">
        <v>4596.0559499999999</v>
      </c>
      <c r="G444">
        <v>4755.40355</v>
      </c>
      <c r="H444">
        <v>4792.7697200000002</v>
      </c>
      <c r="Q444">
        <v>4699.3567199999998</v>
      </c>
      <c r="R444">
        <v>4728.7200199999997</v>
      </c>
      <c r="S444">
        <v>4755.30879</v>
      </c>
      <c r="V444">
        <v>4664.4169499999998</v>
      </c>
      <c r="W444">
        <v>4630.85196</v>
      </c>
      <c r="AB444">
        <v>4689.4720399999997</v>
      </c>
      <c r="AC444">
        <v>4691.3595699999996</v>
      </c>
      <c r="AD444">
        <v>0</v>
      </c>
      <c r="AE444">
        <f t="shared" si="59"/>
        <v>442</v>
      </c>
      <c r="AF444">
        <f t="shared" si="60"/>
        <v>441</v>
      </c>
      <c r="AG444">
        <f t="shared" si="54"/>
        <v>-12.65671999999995</v>
      </c>
      <c r="AH444">
        <f t="shared" si="55"/>
        <v>160.19256115839875</v>
      </c>
      <c r="AI444">
        <f t="shared" si="56"/>
        <v>-4.6642208058918888E-2</v>
      </c>
      <c r="AJ444">
        <f t="shared" si="57"/>
        <v>1.6789540194464429E-2</v>
      </c>
      <c r="AK444">
        <f t="shared" si="58"/>
        <v>194481</v>
      </c>
      <c r="AL444">
        <f t="shared" si="61"/>
        <v>4713.1717200000003</v>
      </c>
      <c r="AM444" t="str">
        <f t="shared" si="62"/>
        <v/>
      </c>
    </row>
    <row r="445" spans="1:39" x14ac:dyDescent="0.55000000000000004">
      <c r="A445">
        <v>1776940202</v>
      </c>
      <c r="B445" t="s">
        <v>72</v>
      </c>
      <c r="C445" t="s">
        <v>73</v>
      </c>
      <c r="D445">
        <v>4690.7700000000004</v>
      </c>
      <c r="E445">
        <v>4518.5928199999998</v>
      </c>
      <c r="F445">
        <v>4596.0559499999999</v>
      </c>
      <c r="G445">
        <v>4755.40355</v>
      </c>
      <c r="H445">
        <v>4792.7697200000002</v>
      </c>
      <c r="Q445">
        <v>4699.0891199999996</v>
      </c>
      <c r="R445">
        <v>4728.4524199999996</v>
      </c>
      <c r="S445">
        <v>4755.0411899999999</v>
      </c>
      <c r="V445">
        <v>4664.1493499999997</v>
      </c>
      <c r="W445">
        <v>4630.5843500000001</v>
      </c>
      <c r="AA445">
        <v>4684.26</v>
      </c>
      <c r="AB445">
        <v>4690.4865499999996</v>
      </c>
      <c r="AC445">
        <v>4690.9230600000001</v>
      </c>
      <c r="AD445">
        <v>0</v>
      </c>
      <c r="AE445">
        <f t="shared" si="59"/>
        <v>443</v>
      </c>
      <c r="AF445">
        <f t="shared" si="60"/>
        <v>442</v>
      </c>
      <c r="AG445">
        <f t="shared" si="54"/>
        <v>-8.3191199999992023</v>
      </c>
      <c r="AH445">
        <f t="shared" si="55"/>
        <v>69.207757574386733</v>
      </c>
      <c r="AI445">
        <f t="shared" si="56"/>
        <v>-1.3244871558087599E-2</v>
      </c>
      <c r="AJ445">
        <f t="shared" si="57"/>
        <v>3.1337451016395144E-3</v>
      </c>
      <c r="AK445">
        <f t="shared" si="58"/>
        <v>195364</v>
      </c>
      <c r="AL445">
        <f t="shared" si="61"/>
        <v>4713.1717200000003</v>
      </c>
      <c r="AM445" t="str">
        <f t="shared" si="62"/>
        <v/>
      </c>
    </row>
    <row r="446" spans="1:39" x14ac:dyDescent="0.55000000000000004">
      <c r="A446">
        <v>1776941102</v>
      </c>
      <c r="B446" t="s">
        <v>72</v>
      </c>
      <c r="C446" t="s">
        <v>73</v>
      </c>
      <c r="D446">
        <v>4696.6099999999997</v>
      </c>
      <c r="E446">
        <v>4518.5928199999998</v>
      </c>
      <c r="F446">
        <v>4596.0559499999999</v>
      </c>
      <c r="G446">
        <v>4755.40355</v>
      </c>
      <c r="H446">
        <v>4792.7697200000002</v>
      </c>
      <c r="Q446">
        <v>4698.8215200000004</v>
      </c>
      <c r="R446">
        <v>4728.1848099999997</v>
      </c>
      <c r="S446">
        <v>4754.7735899999998</v>
      </c>
      <c r="V446">
        <v>4663.8817499999996</v>
      </c>
      <c r="W446">
        <v>4630.31675</v>
      </c>
      <c r="AB446">
        <v>4693.4592700000003</v>
      </c>
      <c r="AC446">
        <v>4692.1911700000001</v>
      </c>
      <c r="AD446">
        <v>1</v>
      </c>
      <c r="AE446">
        <f t="shared" si="59"/>
        <v>444</v>
      </c>
      <c r="AF446">
        <f t="shared" si="60"/>
        <v>443</v>
      </c>
      <c r="AG446">
        <f t="shared" si="54"/>
        <v>-2.2115200000007462</v>
      </c>
      <c r="AH446">
        <f t="shared" si="55"/>
        <v>4.8908207104033004</v>
      </c>
      <c r="AI446">
        <f t="shared" si="56"/>
        <v>-2.4882166872264533E-4</v>
      </c>
      <c r="AJ446">
        <f t="shared" si="57"/>
        <v>1.565011732908747E-5</v>
      </c>
      <c r="AK446">
        <f t="shared" si="58"/>
        <v>196249</v>
      </c>
      <c r="AL446">
        <f t="shared" si="61"/>
        <v>4693.4592700000003</v>
      </c>
      <c r="AM446">
        <f t="shared" si="62"/>
        <v>19.71244999999999</v>
      </c>
    </row>
    <row r="447" spans="1:39" x14ac:dyDescent="0.55000000000000004">
      <c r="A447">
        <v>1776942002</v>
      </c>
      <c r="B447" t="s">
        <v>72</v>
      </c>
      <c r="C447" t="s">
        <v>73</v>
      </c>
      <c r="D447">
        <v>4697.96</v>
      </c>
      <c r="E447">
        <v>4518.5928199999998</v>
      </c>
      <c r="F447">
        <v>4596.0559499999999</v>
      </c>
      <c r="G447">
        <v>4755.40355</v>
      </c>
      <c r="H447">
        <v>4792.7697200000002</v>
      </c>
      <c r="Q447">
        <v>4698.5539099999996</v>
      </c>
      <c r="R447">
        <v>4727.9172099999996</v>
      </c>
      <c r="S447">
        <v>4754.5059799999999</v>
      </c>
      <c r="V447">
        <v>4663.6141399999997</v>
      </c>
      <c r="W447">
        <v>4630.0491400000001</v>
      </c>
      <c r="AB447">
        <v>4698.1914699999998</v>
      </c>
      <c r="AC447">
        <v>4695.1913199999999</v>
      </c>
      <c r="AD447">
        <v>0</v>
      </c>
      <c r="AE447">
        <f t="shared" si="59"/>
        <v>445</v>
      </c>
      <c r="AF447">
        <f t="shared" si="60"/>
        <v>444</v>
      </c>
      <c r="AG447">
        <f t="shared" si="54"/>
        <v>-0.59390999999959604</v>
      </c>
      <c r="AH447">
        <f t="shared" si="55"/>
        <v>0.35272908809952019</v>
      </c>
      <c r="AI447">
        <f t="shared" si="56"/>
        <v>-4.8192282709966391E-6</v>
      </c>
      <c r="AJ447">
        <f t="shared" si="57"/>
        <v>8.14022977353008E-8</v>
      </c>
      <c r="AK447">
        <f t="shared" si="58"/>
        <v>197136</v>
      </c>
      <c r="AL447">
        <f t="shared" si="61"/>
        <v>4693.4592700000003</v>
      </c>
      <c r="AM447" t="str">
        <f t="shared" si="62"/>
        <v/>
      </c>
    </row>
    <row r="448" spans="1:39" x14ac:dyDescent="0.55000000000000004">
      <c r="A448">
        <v>1776942902</v>
      </c>
      <c r="B448" t="s">
        <v>72</v>
      </c>
      <c r="C448" t="s">
        <v>73</v>
      </c>
      <c r="D448">
        <v>4699.2700000000004</v>
      </c>
      <c r="E448">
        <v>4518.5928199999998</v>
      </c>
      <c r="F448">
        <v>4596.0559499999999</v>
      </c>
      <c r="G448">
        <v>4755.40355</v>
      </c>
      <c r="H448">
        <v>4792.7697200000002</v>
      </c>
      <c r="Q448">
        <v>4698.2863100000004</v>
      </c>
      <c r="R448">
        <v>4727.6496100000004</v>
      </c>
      <c r="S448">
        <v>4754.2383799999998</v>
      </c>
      <c r="V448">
        <v>4663.3465399999995</v>
      </c>
      <c r="W448">
        <v>4629.7815399999999</v>
      </c>
      <c r="AB448">
        <v>4704.4113100000004</v>
      </c>
      <c r="AC448">
        <v>4699.8013099999998</v>
      </c>
      <c r="AD448">
        <v>0</v>
      </c>
      <c r="AE448">
        <f t="shared" si="59"/>
        <v>446</v>
      </c>
      <c r="AF448">
        <f t="shared" si="60"/>
        <v>445</v>
      </c>
      <c r="AG448">
        <f t="shared" si="54"/>
        <v>0.98369000000002416</v>
      </c>
      <c r="AH448">
        <f t="shared" si="55"/>
        <v>0.96764601610004752</v>
      </c>
      <c r="AI448">
        <f t="shared" si="56"/>
        <v>2.1897289183765215E-5</v>
      </c>
      <c r="AJ448">
        <f t="shared" si="57"/>
        <v>6.1261431176446269E-7</v>
      </c>
      <c r="AK448">
        <f t="shared" si="58"/>
        <v>198025</v>
      </c>
      <c r="AL448">
        <f t="shared" si="61"/>
        <v>4693.4592700000003</v>
      </c>
      <c r="AM448" t="str">
        <f t="shared" si="62"/>
        <v/>
      </c>
    </row>
    <row r="449" spans="1:39" x14ac:dyDescent="0.55000000000000004">
      <c r="A449">
        <v>1776943802</v>
      </c>
      <c r="B449" t="s">
        <v>72</v>
      </c>
      <c r="C449" t="s">
        <v>73</v>
      </c>
      <c r="D449">
        <v>4705.4799999999996</v>
      </c>
      <c r="E449">
        <v>4518.5928199999998</v>
      </c>
      <c r="F449">
        <v>4596.0559499999999</v>
      </c>
      <c r="G449">
        <v>4755.40355</v>
      </c>
      <c r="H449">
        <v>4792.7697200000002</v>
      </c>
      <c r="Q449">
        <v>4698.0186999999996</v>
      </c>
      <c r="R449">
        <v>4727.3819999999996</v>
      </c>
      <c r="S449">
        <v>4753.9707699999999</v>
      </c>
      <c r="V449">
        <v>4663.0789299999997</v>
      </c>
      <c r="W449">
        <v>4629.5139399999998</v>
      </c>
      <c r="AB449">
        <v>4711.6560399999998</v>
      </c>
      <c r="AC449">
        <v>4705.7286700000004</v>
      </c>
      <c r="AD449">
        <v>0</v>
      </c>
      <c r="AE449">
        <f t="shared" si="59"/>
        <v>447</v>
      </c>
      <c r="AF449">
        <f t="shared" si="60"/>
        <v>446</v>
      </c>
      <c r="AG449">
        <f t="shared" si="54"/>
        <v>7.4612999999999374</v>
      </c>
      <c r="AH449">
        <f t="shared" si="55"/>
        <v>55.670997689999069</v>
      </c>
      <c r="AI449">
        <f t="shared" si="56"/>
        <v>9.5556248493607453E-3</v>
      </c>
      <c r="AJ449">
        <f t="shared" si="57"/>
        <v>2.0277393147225017E-3</v>
      </c>
      <c r="AK449">
        <f t="shared" si="58"/>
        <v>198916</v>
      </c>
      <c r="AL449">
        <f t="shared" si="61"/>
        <v>4693.4592700000003</v>
      </c>
      <c r="AM449" t="str">
        <f t="shared" si="62"/>
        <v/>
      </c>
    </row>
    <row r="450" spans="1:39" x14ac:dyDescent="0.55000000000000004">
      <c r="A450">
        <v>1776944702</v>
      </c>
      <c r="B450" t="s">
        <v>72</v>
      </c>
      <c r="C450" t="s">
        <v>73</v>
      </c>
      <c r="D450">
        <v>4720.71</v>
      </c>
      <c r="E450">
        <v>4518.5928199999998</v>
      </c>
      <c r="F450">
        <v>4596.0559499999999</v>
      </c>
      <c r="G450">
        <v>4755.40355</v>
      </c>
      <c r="H450">
        <v>4792.7697200000002</v>
      </c>
      <c r="Q450">
        <v>4697.7511000000004</v>
      </c>
      <c r="R450">
        <v>4727.1144000000004</v>
      </c>
      <c r="S450">
        <v>4753.7031699999998</v>
      </c>
      <c r="V450">
        <v>4662.8113300000005</v>
      </c>
      <c r="W450">
        <v>4629.2463299999999</v>
      </c>
      <c r="AB450">
        <v>4719.1472100000001</v>
      </c>
      <c r="AC450">
        <v>4712.4379399999998</v>
      </c>
      <c r="AD450">
        <v>0</v>
      </c>
      <c r="AE450">
        <f t="shared" si="59"/>
        <v>448</v>
      </c>
      <c r="AF450">
        <f t="shared" si="60"/>
        <v>447</v>
      </c>
      <c r="AG450">
        <f t="shared" si="54"/>
        <v>22.95889999999963</v>
      </c>
      <c r="AH450">
        <f t="shared" si="55"/>
        <v>527.11108920998299</v>
      </c>
      <c r="AI450">
        <f t="shared" si="56"/>
        <v>0.27839973259448303</v>
      </c>
      <c r="AJ450">
        <f t="shared" si="57"/>
        <v>0.18178515649017571</v>
      </c>
      <c r="AK450">
        <f t="shared" si="58"/>
        <v>199809</v>
      </c>
      <c r="AL450">
        <f t="shared" si="61"/>
        <v>4693.4592700000003</v>
      </c>
      <c r="AM450" t="str">
        <f t="shared" si="62"/>
        <v/>
      </c>
    </row>
    <row r="451" spans="1:39" x14ac:dyDescent="0.55000000000000004">
      <c r="A451">
        <v>1776945602</v>
      </c>
      <c r="B451" t="s">
        <v>72</v>
      </c>
      <c r="C451" t="s">
        <v>73</v>
      </c>
      <c r="D451">
        <v>4729.21</v>
      </c>
      <c r="E451">
        <v>4518.5928199999998</v>
      </c>
      <c r="F451">
        <v>4596.0559499999999</v>
      </c>
      <c r="G451">
        <v>4755.40355</v>
      </c>
      <c r="H451">
        <v>4792.7697200000002</v>
      </c>
      <c r="Q451">
        <v>4697.4834899999996</v>
      </c>
      <c r="R451">
        <v>4726.8467899999996</v>
      </c>
      <c r="S451">
        <v>4753.4355599999999</v>
      </c>
      <c r="V451">
        <v>4662.5437199999997</v>
      </c>
      <c r="W451">
        <v>4628.9787299999998</v>
      </c>
      <c r="AB451">
        <v>4725.80123</v>
      </c>
      <c r="AC451">
        <v>4719.1195799999996</v>
      </c>
      <c r="AD451">
        <v>0</v>
      </c>
      <c r="AE451">
        <f t="shared" si="59"/>
        <v>449</v>
      </c>
      <c r="AF451">
        <f t="shared" si="60"/>
        <v>448</v>
      </c>
      <c r="AG451">
        <f t="shared" ref="AG451:AG514" si="63">D451-Q451</f>
        <v>31.726510000000417</v>
      </c>
      <c r="AH451">
        <f t="shared" ref="AH451:AH514" si="64">AG451^2</f>
        <v>1006.5714367801264</v>
      </c>
      <c r="AI451">
        <f t="shared" ref="AI451:AI514" si="65">(AG451/STDEV($AG$3:$AG$1137))^3</f>
        <v>0.73465339184501599</v>
      </c>
      <c r="AJ451">
        <f t="shared" ref="AJ451:AJ514" si="66">(AG451/STDEV($AG$3:$AG$1137))^4</f>
        <v>0.6628928235576258</v>
      </c>
      <c r="AK451">
        <f t="shared" ref="AK451:AK514" si="67">AF451^2</f>
        <v>200704</v>
      </c>
      <c r="AL451">
        <f t="shared" si="61"/>
        <v>4693.4592700000003</v>
      </c>
      <c r="AM451" t="str">
        <f t="shared" si="62"/>
        <v/>
      </c>
    </row>
    <row r="452" spans="1:39" x14ac:dyDescent="0.55000000000000004">
      <c r="A452">
        <v>1776946502</v>
      </c>
      <c r="B452" t="s">
        <v>72</v>
      </c>
      <c r="C452" t="s">
        <v>73</v>
      </c>
      <c r="D452">
        <v>4733.3900000000003</v>
      </c>
      <c r="E452">
        <v>4518.5928199999998</v>
      </c>
      <c r="F452">
        <v>4596.0559499999999</v>
      </c>
      <c r="G452">
        <v>4755.40355</v>
      </c>
      <c r="H452">
        <v>4792.7697200000002</v>
      </c>
      <c r="Q452">
        <v>4697.2158900000004</v>
      </c>
      <c r="R452">
        <v>4726.5791900000004</v>
      </c>
      <c r="S452">
        <v>4753.1679599999998</v>
      </c>
      <c r="V452">
        <v>4662.2761200000004</v>
      </c>
      <c r="W452">
        <v>4628.7111199999999</v>
      </c>
      <c r="AB452">
        <v>4730.8655799999997</v>
      </c>
      <c r="AC452">
        <v>4724.9925800000001</v>
      </c>
      <c r="AD452">
        <v>0</v>
      </c>
      <c r="AE452">
        <f t="shared" ref="AE452:AE515" si="68">AE451+1</f>
        <v>450</v>
      </c>
      <c r="AF452">
        <f t="shared" ref="AF452:AF515" si="69">AF451+1</f>
        <v>449</v>
      </c>
      <c r="AG452">
        <f t="shared" si="63"/>
        <v>36.174109999999928</v>
      </c>
      <c r="AH452">
        <f t="shared" si="64"/>
        <v>1308.5662342920948</v>
      </c>
      <c r="AI452">
        <f t="shared" si="65"/>
        <v>1.0889530336372959</v>
      </c>
      <c r="AJ452">
        <f t="shared" si="66"/>
        <v>1.1203288818717665</v>
      </c>
      <c r="AK452">
        <f t="shared" si="67"/>
        <v>201601</v>
      </c>
      <c r="AL452">
        <f t="shared" ref="AL452:AL515" si="70">IF(AD452=1,AB452,IF(AL451&lt;&gt;"",AL451,""))</f>
        <v>4693.4592700000003</v>
      </c>
      <c r="AM452" t="str">
        <f t="shared" ref="AM452:AM515" si="71">IF(AND(AD452=1,AL451&lt;&gt;""),ABS(AB452-AL451),"")</f>
        <v/>
      </c>
    </row>
    <row r="453" spans="1:39" x14ac:dyDescent="0.55000000000000004">
      <c r="A453">
        <v>1776947402</v>
      </c>
      <c r="B453" t="s">
        <v>72</v>
      </c>
      <c r="C453" t="s">
        <v>73</v>
      </c>
      <c r="D453">
        <v>4739.41</v>
      </c>
      <c r="E453">
        <v>4518.5928199999998</v>
      </c>
      <c r="F453">
        <v>4596.0559499999999</v>
      </c>
      <c r="G453">
        <v>4755.40355</v>
      </c>
      <c r="H453">
        <v>4792.7697200000002</v>
      </c>
      <c r="Q453">
        <v>4696.9482900000003</v>
      </c>
      <c r="R453">
        <v>4726.3115900000003</v>
      </c>
      <c r="S453">
        <v>4752.9003599999996</v>
      </c>
      <c r="V453">
        <v>4662.0085200000003</v>
      </c>
      <c r="W453">
        <v>4628.4435199999998</v>
      </c>
      <c r="AB453">
        <v>4733.9320200000002</v>
      </c>
      <c r="AC453">
        <v>4729.4623000000001</v>
      </c>
      <c r="AD453">
        <v>0</v>
      </c>
      <c r="AE453">
        <f t="shared" si="68"/>
        <v>451</v>
      </c>
      <c r="AF453">
        <f t="shared" si="69"/>
        <v>450</v>
      </c>
      <c r="AG453">
        <f t="shared" si="63"/>
        <v>42.461709999999584</v>
      </c>
      <c r="AH453">
        <f t="shared" si="64"/>
        <v>1802.9968161240647</v>
      </c>
      <c r="AI453">
        <f t="shared" si="65"/>
        <v>1.7611973535687813</v>
      </c>
      <c r="AJ453">
        <f t="shared" si="66"/>
        <v>2.1268851170409055</v>
      </c>
      <c r="AK453">
        <f t="shared" si="67"/>
        <v>202500</v>
      </c>
      <c r="AL453">
        <f t="shared" si="70"/>
        <v>4693.4592700000003</v>
      </c>
      <c r="AM453" t="str">
        <f t="shared" si="71"/>
        <v/>
      </c>
    </row>
    <row r="454" spans="1:39" x14ac:dyDescent="0.55000000000000004">
      <c r="A454">
        <v>1776948302</v>
      </c>
      <c r="B454" t="s">
        <v>72</v>
      </c>
      <c r="C454" t="s">
        <v>73</v>
      </c>
      <c r="D454">
        <v>4740.04</v>
      </c>
      <c r="E454">
        <v>4518.5928199999998</v>
      </c>
      <c r="F454">
        <v>4596.0559499999999</v>
      </c>
      <c r="G454">
        <v>4755.40355</v>
      </c>
      <c r="H454">
        <v>4792.7697200000002</v>
      </c>
      <c r="Q454">
        <v>4696.6806800000004</v>
      </c>
      <c r="R454">
        <v>4726.0439800000004</v>
      </c>
      <c r="S454">
        <v>4752.6327499999998</v>
      </c>
      <c r="V454">
        <v>4661.7409100000004</v>
      </c>
      <c r="W454">
        <v>4628.1759199999997</v>
      </c>
      <c r="Z454">
        <v>4743.22</v>
      </c>
      <c r="AB454">
        <v>4734.8776600000001</v>
      </c>
      <c r="AC454">
        <v>4732.1699799999997</v>
      </c>
      <c r="AD454">
        <v>0</v>
      </c>
      <c r="AE454">
        <f t="shared" si="68"/>
        <v>452</v>
      </c>
      <c r="AF454">
        <f t="shared" si="69"/>
        <v>451</v>
      </c>
      <c r="AG454">
        <f t="shared" si="63"/>
        <v>43.35931999999957</v>
      </c>
      <c r="AH454">
        <f t="shared" si="64"/>
        <v>1880.0306308623628</v>
      </c>
      <c r="AI454">
        <f t="shared" si="65"/>
        <v>1.875266400011518</v>
      </c>
      <c r="AJ454">
        <f t="shared" si="66"/>
        <v>2.31251182933965</v>
      </c>
      <c r="AK454">
        <f t="shared" si="67"/>
        <v>203401</v>
      </c>
      <c r="AL454">
        <f t="shared" si="70"/>
        <v>4693.4592700000003</v>
      </c>
      <c r="AM454" t="str">
        <f t="shared" si="71"/>
        <v/>
      </c>
    </row>
    <row r="455" spans="1:39" x14ac:dyDescent="0.55000000000000004">
      <c r="A455">
        <v>1776949202</v>
      </c>
      <c r="B455" t="s">
        <v>72</v>
      </c>
      <c r="C455" t="s">
        <v>73</v>
      </c>
      <c r="D455">
        <v>4725.95</v>
      </c>
      <c r="E455">
        <v>4518.5928199999998</v>
      </c>
      <c r="F455">
        <v>4596.0559499999999</v>
      </c>
      <c r="G455">
        <v>4755.40355</v>
      </c>
      <c r="H455">
        <v>4792.7697200000002</v>
      </c>
      <c r="Q455">
        <v>4696.4130800000003</v>
      </c>
      <c r="R455">
        <v>4725.7763800000002</v>
      </c>
      <c r="S455">
        <v>4752.3651499999996</v>
      </c>
      <c r="V455">
        <v>4661.4733100000003</v>
      </c>
      <c r="W455">
        <v>4627.9083099999998</v>
      </c>
      <c r="AB455">
        <v>4734.0504899999996</v>
      </c>
      <c r="AC455">
        <v>4733.11024</v>
      </c>
      <c r="AD455">
        <v>0</v>
      </c>
      <c r="AE455">
        <f t="shared" si="68"/>
        <v>453</v>
      </c>
      <c r="AF455">
        <f t="shared" si="69"/>
        <v>452</v>
      </c>
      <c r="AG455">
        <f t="shared" si="63"/>
        <v>29.536919999999554</v>
      </c>
      <c r="AH455">
        <f t="shared" si="64"/>
        <v>872.42964308637363</v>
      </c>
      <c r="AI455">
        <f t="shared" si="65"/>
        <v>0.59280410816252205</v>
      </c>
      <c r="AJ455">
        <f t="shared" si="66"/>
        <v>0.49798348429813083</v>
      </c>
      <c r="AK455">
        <f t="shared" si="67"/>
        <v>204304</v>
      </c>
      <c r="AL455">
        <f t="shared" si="70"/>
        <v>4693.4592700000003</v>
      </c>
      <c r="AM455" t="str">
        <f t="shared" si="71"/>
        <v/>
      </c>
    </row>
    <row r="456" spans="1:39" x14ac:dyDescent="0.55000000000000004">
      <c r="A456">
        <v>1776950102</v>
      </c>
      <c r="B456" t="s">
        <v>72</v>
      </c>
      <c r="C456" t="s">
        <v>73</v>
      </c>
      <c r="D456">
        <v>4727.53</v>
      </c>
      <c r="E456">
        <v>4518.5928199999998</v>
      </c>
      <c r="F456">
        <v>4596.0559499999999</v>
      </c>
      <c r="G456">
        <v>4755.40355</v>
      </c>
      <c r="H456">
        <v>4792.7697200000002</v>
      </c>
      <c r="Q456">
        <v>4696.1454700000004</v>
      </c>
      <c r="R456">
        <v>4725.5087700000004</v>
      </c>
      <c r="S456">
        <v>4752.0975399999998</v>
      </c>
      <c r="V456">
        <v>4661.2057000000004</v>
      </c>
      <c r="W456">
        <v>4627.6407099999997</v>
      </c>
      <c r="AB456">
        <v>4732.42029</v>
      </c>
      <c r="AC456">
        <v>4732.7652600000001</v>
      </c>
      <c r="AD456">
        <v>1</v>
      </c>
      <c r="AE456">
        <f t="shared" si="68"/>
        <v>454</v>
      </c>
      <c r="AF456">
        <f t="shared" si="69"/>
        <v>453</v>
      </c>
      <c r="AG456">
        <f t="shared" si="63"/>
        <v>31.384529999999359</v>
      </c>
      <c r="AH456">
        <f t="shared" si="64"/>
        <v>984.98872332085978</v>
      </c>
      <c r="AI456">
        <f t="shared" si="65"/>
        <v>0.7111520597062112</v>
      </c>
      <c r="AJ456">
        <f t="shared" si="66"/>
        <v>0.63477034544425204</v>
      </c>
      <c r="AK456">
        <f t="shared" si="67"/>
        <v>205209</v>
      </c>
      <c r="AL456">
        <f t="shared" si="70"/>
        <v>4732.42029</v>
      </c>
      <c r="AM456">
        <f t="shared" si="71"/>
        <v>38.961019999999735</v>
      </c>
    </row>
    <row r="457" spans="1:39" x14ac:dyDescent="0.55000000000000004">
      <c r="A457">
        <v>1776951002</v>
      </c>
      <c r="B457" t="s">
        <v>72</v>
      </c>
      <c r="C457" t="s">
        <v>73</v>
      </c>
      <c r="D457">
        <v>4734.55</v>
      </c>
      <c r="E457">
        <v>4518.5928199999998</v>
      </c>
      <c r="F457">
        <v>4596.0559499999999</v>
      </c>
      <c r="G457">
        <v>4755.40355</v>
      </c>
      <c r="H457">
        <v>4792.7697200000002</v>
      </c>
      <c r="Q457">
        <v>4695.8778700000003</v>
      </c>
      <c r="R457">
        <v>4725.2411700000002</v>
      </c>
      <c r="S457">
        <v>4751.8299399999996</v>
      </c>
      <c r="V457">
        <v>4660.9381000000003</v>
      </c>
      <c r="W457">
        <v>4627.3730999999998</v>
      </c>
      <c r="AB457">
        <v>4730.5474899999999</v>
      </c>
      <c r="AC457">
        <v>4731.6563800000004</v>
      </c>
      <c r="AD457">
        <v>0</v>
      </c>
      <c r="AE457">
        <f t="shared" si="68"/>
        <v>455</v>
      </c>
      <c r="AF457">
        <f t="shared" si="69"/>
        <v>454</v>
      </c>
      <c r="AG457">
        <f t="shared" si="63"/>
        <v>38.672129999999925</v>
      </c>
      <c r="AH457">
        <f t="shared" si="64"/>
        <v>1495.5336387368941</v>
      </c>
      <c r="AI457">
        <f t="shared" si="65"/>
        <v>1.3304846348468249</v>
      </c>
      <c r="AJ457">
        <f t="shared" si="66"/>
        <v>1.4633441798917981</v>
      </c>
      <c r="AK457">
        <f t="shared" si="67"/>
        <v>206116</v>
      </c>
      <c r="AL457">
        <f t="shared" si="70"/>
        <v>4732.42029</v>
      </c>
      <c r="AM457" t="str">
        <f t="shared" si="71"/>
        <v/>
      </c>
    </row>
    <row r="458" spans="1:39" x14ac:dyDescent="0.55000000000000004">
      <c r="A458">
        <v>1776951902</v>
      </c>
      <c r="B458" t="s">
        <v>72</v>
      </c>
      <c r="C458" t="s">
        <v>73</v>
      </c>
      <c r="D458">
        <v>4724.46</v>
      </c>
      <c r="E458">
        <v>4518.5928199999998</v>
      </c>
      <c r="F458">
        <v>4596.0559499999999</v>
      </c>
      <c r="G458">
        <v>4755.40355</v>
      </c>
      <c r="H458">
        <v>4792.7697200000002</v>
      </c>
      <c r="Q458">
        <v>4695.6102700000001</v>
      </c>
      <c r="R458">
        <v>4724.9735700000001</v>
      </c>
      <c r="S458">
        <v>4751.5623400000004</v>
      </c>
      <c r="V458">
        <v>4660.6705000000002</v>
      </c>
      <c r="W458">
        <v>4627.1054999999997</v>
      </c>
      <c r="AB458">
        <v>4728.79684</v>
      </c>
      <c r="AC458">
        <v>4730.2266099999997</v>
      </c>
      <c r="AD458">
        <v>0</v>
      </c>
      <c r="AE458">
        <f t="shared" si="68"/>
        <v>456</v>
      </c>
      <c r="AF458">
        <f t="shared" si="69"/>
        <v>455</v>
      </c>
      <c r="AG458">
        <f t="shared" si="63"/>
        <v>28.849729999999909</v>
      </c>
      <c r="AH458">
        <f t="shared" si="64"/>
        <v>832.30692107289474</v>
      </c>
      <c r="AI458">
        <f t="shared" si="65"/>
        <v>0.55238368577134145</v>
      </c>
      <c r="AJ458">
        <f t="shared" si="66"/>
        <v>0.45323258391098059</v>
      </c>
      <c r="AK458">
        <f t="shared" si="67"/>
        <v>207025</v>
      </c>
      <c r="AL458">
        <f t="shared" si="70"/>
        <v>4732.42029</v>
      </c>
      <c r="AM458" t="str">
        <f t="shared" si="71"/>
        <v/>
      </c>
    </row>
    <row r="459" spans="1:39" x14ac:dyDescent="0.55000000000000004">
      <c r="A459">
        <v>1776952802</v>
      </c>
      <c r="B459" t="s">
        <v>72</v>
      </c>
      <c r="C459" t="s">
        <v>73</v>
      </c>
      <c r="D459">
        <v>4724.3100000000004</v>
      </c>
      <c r="E459">
        <v>4518.5928199999998</v>
      </c>
      <c r="F459">
        <v>4596.0559499999999</v>
      </c>
      <c r="G459">
        <v>4755.40355</v>
      </c>
      <c r="H459">
        <v>4792.7697200000002</v>
      </c>
      <c r="Q459">
        <v>4695.3426600000003</v>
      </c>
      <c r="R459">
        <v>4724.7059600000002</v>
      </c>
      <c r="S459">
        <v>4751.2947299999996</v>
      </c>
      <c r="V459">
        <v>4660.4028900000003</v>
      </c>
      <c r="W459">
        <v>4626.8379000000004</v>
      </c>
      <c r="AB459">
        <v>4727.8482400000003</v>
      </c>
      <c r="AC459">
        <v>4729.0374199999997</v>
      </c>
      <c r="AD459">
        <v>0</v>
      </c>
      <c r="AE459">
        <f t="shared" si="68"/>
        <v>457</v>
      </c>
      <c r="AF459">
        <f t="shared" si="69"/>
        <v>456</v>
      </c>
      <c r="AG459">
        <f t="shared" si="63"/>
        <v>28.967340000000149</v>
      </c>
      <c r="AH459">
        <f t="shared" si="64"/>
        <v>839.10678667560865</v>
      </c>
      <c r="AI459">
        <f t="shared" si="65"/>
        <v>0.55916687378929453</v>
      </c>
      <c r="AJ459">
        <f t="shared" si="66"/>
        <v>0.46066856713589655</v>
      </c>
      <c r="AK459">
        <f t="shared" si="67"/>
        <v>207936</v>
      </c>
      <c r="AL459">
        <f t="shared" si="70"/>
        <v>4732.42029</v>
      </c>
      <c r="AM459" t="str">
        <f t="shared" si="71"/>
        <v/>
      </c>
    </row>
    <row r="460" spans="1:39" x14ac:dyDescent="0.55000000000000004">
      <c r="A460">
        <v>1776953702</v>
      </c>
      <c r="B460" t="s">
        <v>72</v>
      </c>
      <c r="C460" t="s">
        <v>73</v>
      </c>
      <c r="D460">
        <v>4731.54</v>
      </c>
      <c r="E460">
        <v>4518.5928199999998</v>
      </c>
      <c r="F460">
        <v>4596.0559499999999</v>
      </c>
      <c r="G460">
        <v>4755.40355</v>
      </c>
      <c r="H460">
        <v>4792.7697200000002</v>
      </c>
      <c r="Q460">
        <v>4695.0750600000001</v>
      </c>
      <c r="R460">
        <v>4724.4383600000001</v>
      </c>
      <c r="S460">
        <v>4751.0271300000004</v>
      </c>
      <c r="V460">
        <v>4660.1352900000002</v>
      </c>
      <c r="W460">
        <v>4626.5702899999997</v>
      </c>
      <c r="AB460">
        <v>4727.84825</v>
      </c>
      <c r="AC460">
        <v>4728.44283</v>
      </c>
      <c r="AD460">
        <v>0</v>
      </c>
      <c r="AE460">
        <f t="shared" si="68"/>
        <v>458</v>
      </c>
      <c r="AF460">
        <f t="shared" si="69"/>
        <v>457</v>
      </c>
      <c r="AG460">
        <f t="shared" si="63"/>
        <v>36.464939999999842</v>
      </c>
      <c r="AH460">
        <f t="shared" si="64"/>
        <v>1329.6918492035884</v>
      </c>
      <c r="AI460">
        <f t="shared" si="65"/>
        <v>1.1154294183628484</v>
      </c>
      <c r="AJ460">
        <f t="shared" si="66"/>
        <v>1.1567942623307752</v>
      </c>
      <c r="AK460">
        <f t="shared" si="67"/>
        <v>208849</v>
      </c>
      <c r="AL460">
        <f t="shared" si="70"/>
        <v>4732.42029</v>
      </c>
      <c r="AM460" t="str">
        <f t="shared" si="71"/>
        <v/>
      </c>
    </row>
    <row r="461" spans="1:39" x14ac:dyDescent="0.55000000000000004">
      <c r="A461">
        <v>1776954602</v>
      </c>
      <c r="B461" t="s">
        <v>72</v>
      </c>
      <c r="C461" t="s">
        <v>73</v>
      </c>
      <c r="D461">
        <v>4730.97</v>
      </c>
      <c r="E461">
        <v>4518.5928199999998</v>
      </c>
      <c r="F461">
        <v>4596.0559499999999</v>
      </c>
      <c r="G461">
        <v>4755.40355</v>
      </c>
      <c r="H461">
        <v>4792.7697200000002</v>
      </c>
      <c r="Q461">
        <v>4694.8074500000002</v>
      </c>
      <c r="R461">
        <v>4724.1707500000002</v>
      </c>
      <c r="S461">
        <v>4750.7595199999996</v>
      </c>
      <c r="V461">
        <v>4659.8676800000003</v>
      </c>
      <c r="W461">
        <v>4626.3026900000004</v>
      </c>
      <c r="AB461">
        <v>4728.4897700000001</v>
      </c>
      <c r="AC461">
        <v>4728.4663</v>
      </c>
      <c r="AD461">
        <v>1</v>
      </c>
      <c r="AE461">
        <f t="shared" si="68"/>
        <v>459</v>
      </c>
      <c r="AF461">
        <f t="shared" si="69"/>
        <v>458</v>
      </c>
      <c r="AG461">
        <f t="shared" si="63"/>
        <v>36.16255000000001</v>
      </c>
      <c r="AH461">
        <f t="shared" si="64"/>
        <v>1307.7300225025008</v>
      </c>
      <c r="AI461">
        <f t="shared" si="65"/>
        <v>1.0879093915371052</v>
      </c>
      <c r="AJ461">
        <f t="shared" si="66"/>
        <v>1.1188974940471121</v>
      </c>
      <c r="AK461">
        <f t="shared" si="67"/>
        <v>209764</v>
      </c>
      <c r="AL461">
        <f t="shared" si="70"/>
        <v>4728.4897700000001</v>
      </c>
      <c r="AM461">
        <f t="shared" si="71"/>
        <v>3.9305199999998877</v>
      </c>
    </row>
    <row r="462" spans="1:39" x14ac:dyDescent="0.55000000000000004">
      <c r="A462">
        <v>1776955502</v>
      </c>
      <c r="B462" t="s">
        <v>72</v>
      </c>
      <c r="C462" t="s">
        <v>73</v>
      </c>
      <c r="D462">
        <v>4733.72</v>
      </c>
      <c r="E462">
        <v>4518.5928199999998</v>
      </c>
      <c r="F462">
        <v>4596.0559499999999</v>
      </c>
      <c r="G462">
        <v>4755.40355</v>
      </c>
      <c r="H462">
        <v>4792.7697200000002</v>
      </c>
      <c r="Q462">
        <v>4694.5398500000001</v>
      </c>
      <c r="R462">
        <v>4723.9031500000001</v>
      </c>
      <c r="S462">
        <v>4750.4919200000004</v>
      </c>
      <c r="V462">
        <v>4659.6000800000002</v>
      </c>
      <c r="W462">
        <v>4626.0350799999997</v>
      </c>
      <c r="AB462">
        <v>4729.4937200000004</v>
      </c>
      <c r="AC462">
        <v>4728.9800100000002</v>
      </c>
      <c r="AD462">
        <v>0</v>
      </c>
      <c r="AE462">
        <f t="shared" si="68"/>
        <v>460</v>
      </c>
      <c r="AF462">
        <f t="shared" si="69"/>
        <v>459</v>
      </c>
      <c r="AG462">
        <f t="shared" si="63"/>
        <v>39.18015000000014</v>
      </c>
      <c r="AH462">
        <f t="shared" si="64"/>
        <v>1535.084154022511</v>
      </c>
      <c r="AI462">
        <f t="shared" si="65"/>
        <v>1.3836105585401901</v>
      </c>
      <c r="AJ462">
        <f t="shared" si="66"/>
        <v>1.5417660920343155</v>
      </c>
      <c r="AK462">
        <f t="shared" si="67"/>
        <v>210681</v>
      </c>
      <c r="AL462">
        <f t="shared" si="70"/>
        <v>4728.4897700000001</v>
      </c>
      <c r="AM462" t="str">
        <f t="shared" si="71"/>
        <v/>
      </c>
    </row>
    <row r="463" spans="1:39" x14ac:dyDescent="0.55000000000000004">
      <c r="A463">
        <v>1776956402</v>
      </c>
      <c r="B463" t="s">
        <v>72</v>
      </c>
      <c r="C463" t="s">
        <v>73</v>
      </c>
      <c r="D463">
        <v>4730.76</v>
      </c>
      <c r="E463">
        <v>4518.5928199999998</v>
      </c>
      <c r="F463">
        <v>4596.0559499999999</v>
      </c>
      <c r="G463">
        <v>4755.40355</v>
      </c>
      <c r="H463">
        <v>4792.7697200000002</v>
      </c>
      <c r="Q463">
        <v>4694.27225</v>
      </c>
      <c r="R463">
        <v>4723.6355400000002</v>
      </c>
      <c r="S463">
        <v>4750.2243200000003</v>
      </c>
      <c r="V463">
        <v>4659.33248</v>
      </c>
      <c r="W463">
        <v>4625.7674800000004</v>
      </c>
      <c r="AB463">
        <v>4730.3876899999996</v>
      </c>
      <c r="AC463">
        <v>4729.6838500000003</v>
      </c>
      <c r="AD463">
        <v>0</v>
      </c>
      <c r="AE463">
        <f t="shared" si="68"/>
        <v>461</v>
      </c>
      <c r="AF463">
        <f t="shared" si="69"/>
        <v>460</v>
      </c>
      <c r="AG463">
        <f t="shared" si="63"/>
        <v>36.487750000000233</v>
      </c>
      <c r="AH463">
        <f t="shared" si="64"/>
        <v>1331.3559000625171</v>
      </c>
      <c r="AI463">
        <f t="shared" si="65"/>
        <v>1.1175239395991887</v>
      </c>
      <c r="AJ463">
        <f t="shared" si="66"/>
        <v>1.1596914283037461</v>
      </c>
      <c r="AK463">
        <f t="shared" si="67"/>
        <v>211600</v>
      </c>
      <c r="AL463">
        <f t="shared" si="70"/>
        <v>4728.4897700000001</v>
      </c>
      <c r="AM463" t="str">
        <f t="shared" si="71"/>
        <v/>
      </c>
    </row>
    <row r="464" spans="1:39" x14ac:dyDescent="0.55000000000000004">
      <c r="A464">
        <v>1776957302</v>
      </c>
      <c r="B464" t="s">
        <v>72</v>
      </c>
      <c r="C464" t="s">
        <v>73</v>
      </c>
      <c r="D464">
        <v>4733.6000000000004</v>
      </c>
      <c r="E464">
        <v>4518.5928199999998</v>
      </c>
      <c r="F464">
        <v>4596.0559499999999</v>
      </c>
      <c r="G464">
        <v>4755.40355</v>
      </c>
      <c r="H464">
        <v>4792.7697200000002</v>
      </c>
      <c r="Q464">
        <v>4694.0046400000001</v>
      </c>
      <c r="R464">
        <v>4723.3679400000001</v>
      </c>
      <c r="S464">
        <v>4749.9567100000004</v>
      </c>
      <c r="V464">
        <v>4659.0648700000002</v>
      </c>
      <c r="W464">
        <v>4625.4998800000003</v>
      </c>
      <c r="AB464">
        <v>4730.8310099999999</v>
      </c>
      <c r="AC464">
        <v>4730.2574299999997</v>
      </c>
      <c r="AD464">
        <v>0</v>
      </c>
      <c r="AE464">
        <f t="shared" si="68"/>
        <v>462</v>
      </c>
      <c r="AF464">
        <f t="shared" si="69"/>
        <v>461</v>
      </c>
      <c r="AG464">
        <f t="shared" si="63"/>
        <v>39.595360000000255</v>
      </c>
      <c r="AH464">
        <f t="shared" si="64"/>
        <v>1567.7925335296202</v>
      </c>
      <c r="AI464">
        <f t="shared" si="65"/>
        <v>1.4280666340314632</v>
      </c>
      <c r="AJ464">
        <f t="shared" si="66"/>
        <v>1.608167556429309</v>
      </c>
      <c r="AK464">
        <f t="shared" si="67"/>
        <v>212521</v>
      </c>
      <c r="AL464">
        <f t="shared" si="70"/>
        <v>4728.4897700000001</v>
      </c>
      <c r="AM464" t="str">
        <f t="shared" si="71"/>
        <v/>
      </c>
    </row>
    <row r="465" spans="1:39" x14ac:dyDescent="0.55000000000000004">
      <c r="A465">
        <v>1776958202</v>
      </c>
      <c r="B465" t="s">
        <v>72</v>
      </c>
      <c r="C465" t="s">
        <v>73</v>
      </c>
      <c r="D465">
        <v>4728.34</v>
      </c>
      <c r="E465">
        <v>4518.5928199999998</v>
      </c>
      <c r="F465">
        <v>4596.0559499999999</v>
      </c>
      <c r="G465">
        <v>4755.40355</v>
      </c>
      <c r="H465">
        <v>4792.7697200000002</v>
      </c>
      <c r="Q465">
        <v>4693.73704</v>
      </c>
      <c r="R465">
        <v>4723.10034</v>
      </c>
      <c r="S465">
        <v>4749.6891100000003</v>
      </c>
      <c r="V465">
        <v>4658.79727</v>
      </c>
      <c r="W465">
        <v>4625.2322700000004</v>
      </c>
      <c r="AB465">
        <v>4730.4201400000002</v>
      </c>
      <c r="AC465">
        <v>4730.33878</v>
      </c>
      <c r="AD465">
        <v>0</v>
      </c>
      <c r="AE465">
        <f t="shared" si="68"/>
        <v>463</v>
      </c>
      <c r="AF465">
        <f t="shared" si="69"/>
        <v>462</v>
      </c>
      <c r="AG465">
        <f t="shared" si="63"/>
        <v>34.602960000000166</v>
      </c>
      <c r="AH465">
        <f t="shared" si="64"/>
        <v>1197.3648407616115</v>
      </c>
      <c r="AI465">
        <f t="shared" si="65"/>
        <v>0.95313701715226173</v>
      </c>
      <c r="AJ465">
        <f t="shared" si="66"/>
        <v>0.93800923793954238</v>
      </c>
      <c r="AK465">
        <f t="shared" si="67"/>
        <v>213444</v>
      </c>
      <c r="AL465">
        <f t="shared" si="70"/>
        <v>4728.4897700000001</v>
      </c>
      <c r="AM465" t="str">
        <f t="shared" si="71"/>
        <v/>
      </c>
    </row>
    <row r="466" spans="1:39" x14ac:dyDescent="0.55000000000000004">
      <c r="A466">
        <v>1776959102</v>
      </c>
      <c r="B466" t="s">
        <v>72</v>
      </c>
      <c r="C466" t="s">
        <v>73</v>
      </c>
      <c r="D466">
        <v>4720.42</v>
      </c>
      <c r="E466">
        <v>4518.5928199999998</v>
      </c>
      <c r="F466">
        <v>4596.0559499999999</v>
      </c>
      <c r="G466">
        <v>4755.40355</v>
      </c>
      <c r="H466">
        <v>4792.7697200000002</v>
      </c>
      <c r="Q466">
        <v>4693.4694300000001</v>
      </c>
      <c r="R466">
        <v>4722.8327300000001</v>
      </c>
      <c r="S466">
        <v>4749.4215000000004</v>
      </c>
      <c r="V466">
        <v>4658.5296600000001</v>
      </c>
      <c r="W466">
        <v>4624.9646700000003</v>
      </c>
      <c r="AB466">
        <v>4729.1198400000003</v>
      </c>
      <c r="AC466">
        <v>4729.7293099999997</v>
      </c>
      <c r="AD466">
        <v>1</v>
      </c>
      <c r="AE466">
        <f t="shared" si="68"/>
        <v>464</v>
      </c>
      <c r="AF466">
        <f t="shared" si="69"/>
        <v>463</v>
      </c>
      <c r="AG466">
        <f t="shared" si="63"/>
        <v>26.950569999999971</v>
      </c>
      <c r="AH466">
        <f t="shared" si="64"/>
        <v>726.33322332489843</v>
      </c>
      <c r="AI466">
        <f t="shared" si="65"/>
        <v>0.45031814753892446</v>
      </c>
      <c r="AJ466">
        <f t="shared" si="66"/>
        <v>0.3451643488210181</v>
      </c>
      <c r="AK466">
        <f t="shared" si="67"/>
        <v>214369</v>
      </c>
      <c r="AL466">
        <f t="shared" si="70"/>
        <v>4729.1198400000003</v>
      </c>
      <c r="AM466">
        <f t="shared" si="71"/>
        <v>0.63007000000015978</v>
      </c>
    </row>
    <row r="467" spans="1:39" x14ac:dyDescent="0.55000000000000004">
      <c r="A467">
        <v>1776960002</v>
      </c>
      <c r="B467" t="s">
        <v>72</v>
      </c>
      <c r="C467" t="s">
        <v>73</v>
      </c>
      <c r="D467">
        <v>4719.3900000000003</v>
      </c>
      <c r="E467">
        <v>4518.5928199999998</v>
      </c>
      <c r="F467">
        <v>4596.0559499999999</v>
      </c>
      <c r="G467">
        <v>4755.40355</v>
      </c>
      <c r="H467">
        <v>4792.7697200000002</v>
      </c>
      <c r="Q467">
        <v>4693.20183</v>
      </c>
      <c r="R467">
        <v>4722.56513</v>
      </c>
      <c r="S467">
        <v>4749.1539000000002</v>
      </c>
      <c r="V467">
        <v>4658.26206</v>
      </c>
      <c r="W467">
        <v>4624.6970600000004</v>
      </c>
      <c r="AB467">
        <v>4727.1175700000003</v>
      </c>
      <c r="AC467">
        <v>4728.4234399999996</v>
      </c>
      <c r="AD467">
        <v>0</v>
      </c>
      <c r="AE467">
        <f t="shared" si="68"/>
        <v>465</v>
      </c>
      <c r="AF467">
        <f t="shared" si="69"/>
        <v>464</v>
      </c>
      <c r="AG467">
        <f t="shared" si="63"/>
        <v>26.188170000000355</v>
      </c>
      <c r="AH467">
        <f t="shared" si="64"/>
        <v>685.82024794891856</v>
      </c>
      <c r="AI467">
        <f t="shared" si="65"/>
        <v>0.41317214888686049</v>
      </c>
      <c r="AJ467">
        <f t="shared" si="66"/>
        <v>0.30773345907137206</v>
      </c>
      <c r="AK467">
        <f t="shared" si="67"/>
        <v>215296</v>
      </c>
      <c r="AL467">
        <f t="shared" si="70"/>
        <v>4729.1198400000003</v>
      </c>
      <c r="AM467" t="str">
        <f t="shared" si="71"/>
        <v/>
      </c>
    </row>
    <row r="468" spans="1:39" x14ac:dyDescent="0.55000000000000004">
      <c r="A468">
        <v>1776960902</v>
      </c>
      <c r="B468" t="s">
        <v>72</v>
      </c>
      <c r="C468" t="s">
        <v>73</v>
      </c>
      <c r="D468">
        <v>4723.22</v>
      </c>
      <c r="E468">
        <v>4518.5928199999998</v>
      </c>
      <c r="F468">
        <v>4596.0559499999999</v>
      </c>
      <c r="G468">
        <v>4755.40355</v>
      </c>
      <c r="H468">
        <v>4792.7697200000002</v>
      </c>
      <c r="Q468">
        <v>4692.9342299999998</v>
      </c>
      <c r="R468">
        <v>4722.2975200000001</v>
      </c>
      <c r="S468">
        <v>4748.8863000000001</v>
      </c>
      <c r="V468">
        <v>4657.9944599999999</v>
      </c>
      <c r="W468">
        <v>4624.4294600000003</v>
      </c>
      <c r="AB468">
        <v>4724.5583900000001</v>
      </c>
      <c r="AC468">
        <v>4726.4909100000004</v>
      </c>
      <c r="AD468">
        <v>0</v>
      </c>
      <c r="AE468">
        <f t="shared" si="68"/>
        <v>466</v>
      </c>
      <c r="AF468">
        <f t="shared" si="69"/>
        <v>465</v>
      </c>
      <c r="AG468">
        <f t="shared" si="63"/>
        <v>30.285770000000412</v>
      </c>
      <c r="AH468">
        <f t="shared" si="64"/>
        <v>917.22786449292494</v>
      </c>
      <c r="AI468">
        <f t="shared" si="65"/>
        <v>0.63904500418146071</v>
      </c>
      <c r="AJ468">
        <f t="shared" si="66"/>
        <v>0.55043823304137129</v>
      </c>
      <c r="AK468">
        <f t="shared" si="67"/>
        <v>216225</v>
      </c>
      <c r="AL468">
        <f t="shared" si="70"/>
        <v>4729.1198400000003</v>
      </c>
      <c r="AM468" t="str">
        <f t="shared" si="71"/>
        <v/>
      </c>
    </row>
    <row r="469" spans="1:39" x14ac:dyDescent="0.55000000000000004">
      <c r="A469">
        <v>1776961802</v>
      </c>
      <c r="B469" t="s">
        <v>72</v>
      </c>
      <c r="C469" t="s">
        <v>73</v>
      </c>
      <c r="D469">
        <v>4734.05</v>
      </c>
      <c r="E469">
        <v>4518.5928199999998</v>
      </c>
      <c r="F469">
        <v>4596.0559499999999</v>
      </c>
      <c r="G469">
        <v>4755.40355</v>
      </c>
      <c r="H469">
        <v>4792.7697200000002</v>
      </c>
      <c r="Q469">
        <v>4692.66662</v>
      </c>
      <c r="R469">
        <v>4722.0299199999999</v>
      </c>
      <c r="S469">
        <v>4748.6186900000002</v>
      </c>
      <c r="V469">
        <v>4657.72685</v>
      </c>
      <c r="W469">
        <v>4624.1618500000004</v>
      </c>
      <c r="AB469">
        <v>4721.4871499999999</v>
      </c>
      <c r="AC469">
        <v>4723.9890299999997</v>
      </c>
      <c r="AD469">
        <v>0</v>
      </c>
      <c r="AE469">
        <f t="shared" si="68"/>
        <v>467</v>
      </c>
      <c r="AF469">
        <f t="shared" si="69"/>
        <v>466</v>
      </c>
      <c r="AG469">
        <f t="shared" si="63"/>
        <v>41.383380000000216</v>
      </c>
      <c r="AH469">
        <f t="shared" si="64"/>
        <v>1712.5841402244178</v>
      </c>
      <c r="AI469">
        <f t="shared" si="65"/>
        <v>1.6303973516713366</v>
      </c>
      <c r="AJ469">
        <f t="shared" si="66"/>
        <v>1.9189247673942937</v>
      </c>
      <c r="AK469">
        <f t="shared" si="67"/>
        <v>217156</v>
      </c>
      <c r="AL469">
        <f t="shared" si="70"/>
        <v>4729.1198400000003</v>
      </c>
      <c r="AM469" t="str">
        <f t="shared" si="71"/>
        <v/>
      </c>
    </row>
    <row r="470" spans="1:39" x14ac:dyDescent="0.55000000000000004">
      <c r="A470">
        <v>1776962702</v>
      </c>
      <c r="B470" t="s">
        <v>72</v>
      </c>
      <c r="C470" t="s">
        <v>73</v>
      </c>
      <c r="D470">
        <v>4733.09</v>
      </c>
      <c r="E470">
        <v>4518.5928199999998</v>
      </c>
      <c r="F470">
        <v>4596.0559499999999</v>
      </c>
      <c r="G470">
        <v>4755.40355</v>
      </c>
      <c r="H470">
        <v>4792.7697200000002</v>
      </c>
      <c r="Q470">
        <v>4692.3990199999998</v>
      </c>
      <c r="R470">
        <v>4721.7623199999998</v>
      </c>
      <c r="S470">
        <v>4748.3510900000001</v>
      </c>
      <c r="V470">
        <v>4657.4592499999999</v>
      </c>
      <c r="W470">
        <v>4623.8942500000003</v>
      </c>
      <c r="AB470">
        <v>4717.8300799999997</v>
      </c>
      <c r="AC470">
        <v>4720.9095600000001</v>
      </c>
      <c r="AD470">
        <v>0</v>
      </c>
      <c r="AE470">
        <f t="shared" si="68"/>
        <v>468</v>
      </c>
      <c r="AF470">
        <f t="shared" si="69"/>
        <v>467</v>
      </c>
      <c r="AG470">
        <f t="shared" si="63"/>
        <v>40.690980000000309</v>
      </c>
      <c r="AH470">
        <f t="shared" si="64"/>
        <v>1655.7558533604251</v>
      </c>
      <c r="AI470">
        <f t="shared" si="65"/>
        <v>1.5499226788548035</v>
      </c>
      <c r="AJ470">
        <f t="shared" si="66"/>
        <v>1.7936872071319594</v>
      </c>
      <c r="AK470">
        <f t="shared" si="67"/>
        <v>218089</v>
      </c>
      <c r="AL470">
        <f t="shared" si="70"/>
        <v>4729.1198400000003</v>
      </c>
      <c r="AM470" t="str">
        <f t="shared" si="71"/>
        <v/>
      </c>
    </row>
    <row r="471" spans="1:39" x14ac:dyDescent="0.55000000000000004">
      <c r="A471">
        <v>1776963602</v>
      </c>
      <c r="B471" t="s">
        <v>72</v>
      </c>
      <c r="C471" t="s">
        <v>73</v>
      </c>
      <c r="D471">
        <v>4716.04</v>
      </c>
      <c r="E471">
        <v>4518.5928199999998</v>
      </c>
      <c r="F471">
        <v>4596.0559499999999</v>
      </c>
      <c r="G471">
        <v>4755.40355</v>
      </c>
      <c r="H471">
        <v>4792.7697200000002</v>
      </c>
      <c r="Q471">
        <v>4692.13141</v>
      </c>
      <c r="R471">
        <v>4721.4947099999999</v>
      </c>
      <c r="S471">
        <v>4748.0834800000002</v>
      </c>
      <c r="V471">
        <v>4657.19164</v>
      </c>
      <c r="W471">
        <v>4623.6266500000002</v>
      </c>
      <c r="AB471">
        <v>4713.9130800000003</v>
      </c>
      <c r="AC471">
        <v>4717.4113200000002</v>
      </c>
      <c r="AD471">
        <v>0</v>
      </c>
      <c r="AE471">
        <f t="shared" si="68"/>
        <v>469</v>
      </c>
      <c r="AF471">
        <f t="shared" si="69"/>
        <v>468</v>
      </c>
      <c r="AG471">
        <f t="shared" si="63"/>
        <v>23.908590000000004</v>
      </c>
      <c r="AH471">
        <f t="shared" si="64"/>
        <v>571.62067578810013</v>
      </c>
      <c r="AI471">
        <f t="shared" si="65"/>
        <v>0.31439633741136885</v>
      </c>
      <c r="AJ471">
        <f t="shared" si="66"/>
        <v>0.21378142653087345</v>
      </c>
      <c r="AK471">
        <f t="shared" si="67"/>
        <v>219024</v>
      </c>
      <c r="AL471">
        <f t="shared" si="70"/>
        <v>4729.1198400000003</v>
      </c>
      <c r="AM471" t="str">
        <f t="shared" si="71"/>
        <v/>
      </c>
    </row>
    <row r="472" spans="1:39" x14ac:dyDescent="0.55000000000000004">
      <c r="A472">
        <v>1776964502</v>
      </c>
      <c r="B472" t="s">
        <v>72</v>
      </c>
      <c r="C472" t="s">
        <v>73</v>
      </c>
      <c r="D472">
        <v>4706.47</v>
      </c>
      <c r="E472">
        <v>4518.5928199999998</v>
      </c>
      <c r="F472">
        <v>4596.0559499999999</v>
      </c>
      <c r="G472">
        <v>4755.40355</v>
      </c>
      <c r="H472">
        <v>4792.7697200000002</v>
      </c>
      <c r="Q472">
        <v>4691.8638099999998</v>
      </c>
      <c r="R472">
        <v>4721.2271099999998</v>
      </c>
      <c r="S472">
        <v>4747.8158800000001</v>
      </c>
      <c r="V472">
        <v>4656.9240399999999</v>
      </c>
      <c r="W472">
        <v>4623.3590400000003</v>
      </c>
      <c r="AB472">
        <v>4710.4993700000005</v>
      </c>
      <c r="AC472">
        <v>4713.9553400000004</v>
      </c>
      <c r="AD472">
        <v>0</v>
      </c>
      <c r="AE472">
        <f t="shared" si="68"/>
        <v>470</v>
      </c>
      <c r="AF472">
        <f t="shared" si="69"/>
        <v>469</v>
      </c>
      <c r="AG472">
        <f t="shared" si="63"/>
        <v>14.606190000000424</v>
      </c>
      <c r="AH472">
        <f t="shared" si="64"/>
        <v>213.3407863161124</v>
      </c>
      <c r="AI472">
        <f t="shared" si="65"/>
        <v>7.1684691680860599E-2</v>
      </c>
      <c r="AJ472">
        <f t="shared" si="66"/>
        <v>2.977843676868952E-2</v>
      </c>
      <c r="AK472">
        <f t="shared" si="67"/>
        <v>219961</v>
      </c>
      <c r="AL472">
        <f t="shared" si="70"/>
        <v>4729.1198400000003</v>
      </c>
      <c r="AM472" t="str">
        <f t="shared" si="71"/>
        <v/>
      </c>
    </row>
    <row r="473" spans="1:39" x14ac:dyDescent="0.55000000000000004">
      <c r="A473">
        <v>1776965402</v>
      </c>
      <c r="B473" t="s">
        <v>72</v>
      </c>
      <c r="C473" t="s">
        <v>73</v>
      </c>
      <c r="D473">
        <v>4677.41</v>
      </c>
      <c r="E473">
        <v>4518.5928199999998</v>
      </c>
      <c r="F473">
        <v>4596.0559499999999</v>
      </c>
      <c r="G473">
        <v>4755.40355</v>
      </c>
      <c r="H473">
        <v>4792.7697200000002</v>
      </c>
      <c r="Q473">
        <v>4691.5962099999997</v>
      </c>
      <c r="R473">
        <v>4720.9594999999999</v>
      </c>
      <c r="S473">
        <v>4747.5482700000002</v>
      </c>
      <c r="V473">
        <v>4656.65643</v>
      </c>
      <c r="W473">
        <v>4623.0914400000001</v>
      </c>
      <c r="AB473">
        <v>4708.0068499999998</v>
      </c>
      <c r="AC473">
        <v>4710.9811</v>
      </c>
      <c r="AD473">
        <v>0</v>
      </c>
      <c r="AE473">
        <f t="shared" si="68"/>
        <v>471</v>
      </c>
      <c r="AF473">
        <f t="shared" si="69"/>
        <v>470</v>
      </c>
      <c r="AG473">
        <f t="shared" si="63"/>
        <v>-14.186209999999846</v>
      </c>
      <c r="AH473">
        <f t="shared" si="64"/>
        <v>201.24855416409565</v>
      </c>
      <c r="AI473">
        <f t="shared" si="65"/>
        <v>-6.5677216416580225E-2</v>
      </c>
      <c r="AJ473">
        <f t="shared" si="66"/>
        <v>2.6498399934722649E-2</v>
      </c>
      <c r="AK473">
        <f t="shared" si="67"/>
        <v>220900</v>
      </c>
      <c r="AL473">
        <f t="shared" si="70"/>
        <v>4729.1198400000003</v>
      </c>
      <c r="AM473" t="str">
        <f t="shared" si="71"/>
        <v/>
      </c>
    </row>
    <row r="474" spans="1:39" x14ac:dyDescent="0.55000000000000004">
      <c r="A474">
        <v>1776966302</v>
      </c>
      <c r="B474" t="s">
        <v>72</v>
      </c>
      <c r="C474" t="s">
        <v>73</v>
      </c>
      <c r="D474">
        <v>4709.41</v>
      </c>
      <c r="E474">
        <v>4518.5928199999998</v>
      </c>
      <c r="F474">
        <v>4596.0559499999999</v>
      </c>
      <c r="G474">
        <v>4755.40355</v>
      </c>
      <c r="H474">
        <v>4792.7697200000002</v>
      </c>
      <c r="Q474">
        <v>4691.3285999999998</v>
      </c>
      <c r="R474">
        <v>4720.6918999999998</v>
      </c>
      <c r="S474">
        <v>4747.2806700000001</v>
      </c>
      <c r="V474">
        <v>4656.3888299999999</v>
      </c>
      <c r="W474">
        <v>4622.8238300000003</v>
      </c>
      <c r="AA474">
        <v>4664.3</v>
      </c>
      <c r="AB474">
        <v>4707.1694699999998</v>
      </c>
      <c r="AC474">
        <v>4709.07528</v>
      </c>
      <c r="AD474">
        <v>0</v>
      </c>
      <c r="AE474">
        <f t="shared" si="68"/>
        <v>472</v>
      </c>
      <c r="AF474">
        <f t="shared" si="69"/>
        <v>471</v>
      </c>
      <c r="AG474">
        <f t="shared" si="63"/>
        <v>18.081400000000031</v>
      </c>
      <c r="AH474">
        <f t="shared" si="64"/>
        <v>326.93702596000111</v>
      </c>
      <c r="AI474">
        <f t="shared" si="65"/>
        <v>0.13599149432428964</v>
      </c>
      <c r="AJ474">
        <f t="shared" si="66"/>
        <v>6.993302719673139E-2</v>
      </c>
      <c r="AK474">
        <f t="shared" si="67"/>
        <v>221841</v>
      </c>
      <c r="AL474">
        <f t="shared" si="70"/>
        <v>4729.1198400000003</v>
      </c>
      <c r="AM474" t="str">
        <f t="shared" si="71"/>
        <v/>
      </c>
    </row>
    <row r="475" spans="1:39" x14ac:dyDescent="0.55000000000000004">
      <c r="A475">
        <v>1776967202</v>
      </c>
      <c r="B475" t="s">
        <v>72</v>
      </c>
      <c r="C475" t="s">
        <v>73</v>
      </c>
      <c r="D475">
        <v>4713.84</v>
      </c>
      <c r="E475">
        <v>4518.5928199999998</v>
      </c>
      <c r="F475">
        <v>4596.0559499999999</v>
      </c>
      <c r="G475">
        <v>4755.40355</v>
      </c>
      <c r="H475">
        <v>4792.7697200000002</v>
      </c>
      <c r="Q475">
        <v>4691.0609999999997</v>
      </c>
      <c r="R475">
        <v>4720.4242999999997</v>
      </c>
      <c r="S475">
        <v>4747.01307</v>
      </c>
      <c r="V475">
        <v>4656.1212299999997</v>
      </c>
      <c r="W475">
        <v>4622.5562300000001</v>
      </c>
      <c r="AB475">
        <v>4706.7647299999999</v>
      </c>
      <c r="AC475">
        <v>4707.9200099999998</v>
      </c>
      <c r="AD475">
        <v>0</v>
      </c>
      <c r="AE475">
        <f t="shared" si="68"/>
        <v>473</v>
      </c>
      <c r="AF475">
        <f t="shared" si="69"/>
        <v>472</v>
      </c>
      <c r="AG475">
        <f t="shared" si="63"/>
        <v>22.779000000000451</v>
      </c>
      <c r="AH475">
        <f t="shared" si="64"/>
        <v>518.88284100002056</v>
      </c>
      <c r="AI475">
        <f t="shared" si="65"/>
        <v>0.27190647410383306</v>
      </c>
      <c r="AJ475">
        <f t="shared" si="66"/>
        <v>0.17615408992758888</v>
      </c>
      <c r="AK475">
        <f t="shared" si="67"/>
        <v>222784</v>
      </c>
      <c r="AL475">
        <f t="shared" si="70"/>
        <v>4729.1198400000003</v>
      </c>
      <c r="AM475" t="str">
        <f t="shared" si="71"/>
        <v/>
      </c>
    </row>
    <row r="476" spans="1:39" x14ac:dyDescent="0.55000000000000004">
      <c r="A476">
        <v>1776968102</v>
      </c>
      <c r="B476" t="s">
        <v>72</v>
      </c>
      <c r="C476" t="s">
        <v>73</v>
      </c>
      <c r="D476">
        <v>4716.58</v>
      </c>
      <c r="E476">
        <v>4518.5928199999998</v>
      </c>
      <c r="F476">
        <v>4596.0559499999999</v>
      </c>
      <c r="G476">
        <v>4755.40355</v>
      </c>
      <c r="H476">
        <v>4792.7697200000002</v>
      </c>
      <c r="Q476">
        <v>4690.7933899999998</v>
      </c>
      <c r="R476">
        <v>4720.1566899999998</v>
      </c>
      <c r="S476">
        <v>4746.7454600000001</v>
      </c>
      <c r="V476">
        <v>4655.8536199999999</v>
      </c>
      <c r="W476">
        <v>4622.28863</v>
      </c>
      <c r="AB476">
        <v>4706.1890400000002</v>
      </c>
      <c r="AC476">
        <v>4707.0545199999997</v>
      </c>
      <c r="AD476">
        <v>0</v>
      </c>
      <c r="AE476">
        <f t="shared" si="68"/>
        <v>474</v>
      </c>
      <c r="AF476">
        <f t="shared" si="69"/>
        <v>473</v>
      </c>
      <c r="AG476">
        <f t="shared" si="63"/>
        <v>25.78661000000011</v>
      </c>
      <c r="AH476">
        <f t="shared" si="64"/>
        <v>664.9492552921057</v>
      </c>
      <c r="AI476">
        <f t="shared" si="65"/>
        <v>0.39445579474644898</v>
      </c>
      <c r="AJ476">
        <f t="shared" si="66"/>
        <v>0.28928846734349317</v>
      </c>
      <c r="AK476">
        <f t="shared" si="67"/>
        <v>223729</v>
      </c>
      <c r="AL476">
        <f t="shared" si="70"/>
        <v>4729.1198400000003</v>
      </c>
      <c r="AM476" t="str">
        <f t="shared" si="71"/>
        <v/>
      </c>
    </row>
    <row r="477" spans="1:39" x14ac:dyDescent="0.55000000000000004">
      <c r="A477">
        <v>1776969002</v>
      </c>
      <c r="B477" t="s">
        <v>72</v>
      </c>
      <c r="C477" t="s">
        <v>73</v>
      </c>
      <c r="D477">
        <v>4711.3100000000004</v>
      </c>
      <c r="E477">
        <v>4518.5928199999998</v>
      </c>
      <c r="F477">
        <v>4596.0559499999999</v>
      </c>
      <c r="G477">
        <v>4755.40355</v>
      </c>
      <c r="H477">
        <v>4792.7697200000002</v>
      </c>
      <c r="Q477">
        <v>4690.5257899999997</v>
      </c>
      <c r="R477">
        <v>4719.8890899999997</v>
      </c>
      <c r="S477">
        <v>4746.47786</v>
      </c>
      <c r="V477">
        <v>4655.5860199999997</v>
      </c>
      <c r="W477">
        <v>4622.0210200000001</v>
      </c>
      <c r="AB477">
        <v>4704.9892900000004</v>
      </c>
      <c r="AC477">
        <v>4706.0219100000004</v>
      </c>
      <c r="AD477">
        <v>0</v>
      </c>
      <c r="AE477">
        <f t="shared" si="68"/>
        <v>475</v>
      </c>
      <c r="AF477">
        <f t="shared" si="69"/>
        <v>474</v>
      </c>
      <c r="AG477">
        <f t="shared" si="63"/>
        <v>20.784210000000712</v>
      </c>
      <c r="AH477">
        <f t="shared" si="64"/>
        <v>431.98338532412959</v>
      </c>
      <c r="AI477">
        <f t="shared" si="65"/>
        <v>0.20654569612752641</v>
      </c>
      <c r="AJ477">
        <f t="shared" si="66"/>
        <v>0.12209227881766907</v>
      </c>
      <c r="AK477">
        <f t="shared" si="67"/>
        <v>224676</v>
      </c>
      <c r="AL477">
        <f t="shared" si="70"/>
        <v>4729.1198400000003</v>
      </c>
      <c r="AM477" t="str">
        <f t="shared" si="71"/>
        <v/>
      </c>
    </row>
    <row r="478" spans="1:39" x14ac:dyDescent="0.55000000000000004">
      <c r="A478">
        <v>1776969902</v>
      </c>
      <c r="B478" t="s">
        <v>72</v>
      </c>
      <c r="C478" t="s">
        <v>73</v>
      </c>
      <c r="D478">
        <v>4700.8999999999996</v>
      </c>
      <c r="E478">
        <v>4518.5928199999998</v>
      </c>
      <c r="F478">
        <v>4596.0559499999999</v>
      </c>
      <c r="G478">
        <v>4755.40355</v>
      </c>
      <c r="H478">
        <v>4792.7697200000002</v>
      </c>
      <c r="Q478">
        <v>4690.2581799999998</v>
      </c>
      <c r="R478">
        <v>4719.6214799999998</v>
      </c>
      <c r="S478">
        <v>4746.2102500000001</v>
      </c>
      <c r="V478">
        <v>4655.3184099999999</v>
      </c>
      <c r="W478">
        <v>4621.75342</v>
      </c>
      <c r="AB478">
        <v>4703.1364999999996</v>
      </c>
      <c r="AC478">
        <v>4704.5792000000001</v>
      </c>
      <c r="AD478">
        <v>0</v>
      </c>
      <c r="AE478">
        <f t="shared" si="68"/>
        <v>476</v>
      </c>
      <c r="AF478">
        <f t="shared" si="69"/>
        <v>475</v>
      </c>
      <c r="AG478">
        <f t="shared" si="63"/>
        <v>10.641819999999825</v>
      </c>
      <c r="AH478">
        <f t="shared" si="64"/>
        <v>113.24833291239628</v>
      </c>
      <c r="AI478">
        <f t="shared" si="65"/>
        <v>2.7724473722911022E-2</v>
      </c>
      <c r="AJ478">
        <f t="shared" si="66"/>
        <v>8.3910778028729472E-3</v>
      </c>
      <c r="AK478">
        <f t="shared" si="67"/>
        <v>225625</v>
      </c>
      <c r="AL478">
        <f t="shared" si="70"/>
        <v>4729.1198400000003</v>
      </c>
      <c r="AM478" t="str">
        <f t="shared" si="71"/>
        <v/>
      </c>
    </row>
    <row r="479" spans="1:39" x14ac:dyDescent="0.55000000000000004">
      <c r="A479">
        <v>1776970802</v>
      </c>
      <c r="B479" t="s">
        <v>72</v>
      </c>
      <c r="C479" t="s">
        <v>73</v>
      </c>
      <c r="D479">
        <v>4696.41</v>
      </c>
      <c r="E479">
        <v>4518.5928199999998</v>
      </c>
      <c r="F479">
        <v>4596.0559499999999</v>
      </c>
      <c r="G479">
        <v>4755.40355</v>
      </c>
      <c r="H479">
        <v>4792.7697200000002</v>
      </c>
      <c r="Q479">
        <v>4689.9905799999997</v>
      </c>
      <c r="R479">
        <v>4719.3538799999997</v>
      </c>
      <c r="S479">
        <v>4745.94265</v>
      </c>
      <c r="V479">
        <v>4655.0508099999997</v>
      </c>
      <c r="W479">
        <v>4621.4858100000001</v>
      </c>
      <c r="AB479">
        <v>4700.9289399999998</v>
      </c>
      <c r="AC479">
        <v>4702.75407</v>
      </c>
      <c r="AD479">
        <v>0</v>
      </c>
      <c r="AE479">
        <f t="shared" si="68"/>
        <v>477</v>
      </c>
      <c r="AF479">
        <f t="shared" si="69"/>
        <v>476</v>
      </c>
      <c r="AG479">
        <f t="shared" si="63"/>
        <v>6.4194200000001729</v>
      </c>
      <c r="AH479">
        <f t="shared" si="64"/>
        <v>41.208953136402222</v>
      </c>
      <c r="AI479">
        <f t="shared" si="65"/>
        <v>6.0855937524496974E-3</v>
      </c>
      <c r="AJ479">
        <f t="shared" si="66"/>
        <v>1.1110593961657137E-3</v>
      </c>
      <c r="AK479">
        <f t="shared" si="67"/>
        <v>226576</v>
      </c>
      <c r="AL479">
        <f t="shared" si="70"/>
        <v>4729.1198400000003</v>
      </c>
      <c r="AM479" t="str">
        <f t="shared" si="71"/>
        <v/>
      </c>
    </row>
    <row r="480" spans="1:39" x14ac:dyDescent="0.55000000000000004">
      <c r="A480">
        <v>1776971702</v>
      </c>
      <c r="B480" t="s">
        <v>72</v>
      </c>
      <c r="C480" t="s">
        <v>73</v>
      </c>
      <c r="D480">
        <v>4700.16</v>
      </c>
      <c r="E480">
        <v>4518.5928199999998</v>
      </c>
      <c r="F480">
        <v>4596.0559499999999</v>
      </c>
      <c r="G480">
        <v>4755.40355</v>
      </c>
      <c r="H480">
        <v>4792.7697200000002</v>
      </c>
      <c r="Q480">
        <v>4689.7229799999996</v>
      </c>
      <c r="R480">
        <v>4719.0862800000004</v>
      </c>
      <c r="S480">
        <v>4745.6750499999998</v>
      </c>
      <c r="V480">
        <v>4654.7832099999996</v>
      </c>
      <c r="W480">
        <v>4621.21821</v>
      </c>
      <c r="AB480">
        <v>4698.6375399999997</v>
      </c>
      <c r="AC480">
        <v>4700.6958000000004</v>
      </c>
      <c r="AD480">
        <v>0</v>
      </c>
      <c r="AE480">
        <f t="shared" si="68"/>
        <v>478</v>
      </c>
      <c r="AF480">
        <f t="shared" si="69"/>
        <v>477</v>
      </c>
      <c r="AG480">
        <f t="shared" si="63"/>
        <v>10.437020000000302</v>
      </c>
      <c r="AH480">
        <f t="shared" si="64"/>
        <v>108.93138648040632</v>
      </c>
      <c r="AI480">
        <f t="shared" si="65"/>
        <v>2.6154422287616743E-2</v>
      </c>
      <c r="AJ480">
        <f t="shared" si="66"/>
        <v>7.7635468008518732E-3</v>
      </c>
      <c r="AK480">
        <f t="shared" si="67"/>
        <v>227529</v>
      </c>
      <c r="AL480">
        <f t="shared" si="70"/>
        <v>4729.1198400000003</v>
      </c>
      <c r="AM480" t="str">
        <f t="shared" si="71"/>
        <v/>
      </c>
    </row>
    <row r="481" spans="1:39" x14ac:dyDescent="0.55000000000000004">
      <c r="A481">
        <v>1776972602</v>
      </c>
      <c r="B481" t="s">
        <v>72</v>
      </c>
      <c r="C481" t="s">
        <v>73</v>
      </c>
      <c r="D481">
        <v>4692.49</v>
      </c>
      <c r="E481">
        <v>4518.5928199999998</v>
      </c>
      <c r="F481">
        <v>4596.0559499999999</v>
      </c>
      <c r="G481">
        <v>4755.40355</v>
      </c>
      <c r="H481">
        <v>4792.7697200000002</v>
      </c>
      <c r="Q481">
        <v>4689.4553699999997</v>
      </c>
      <c r="R481">
        <v>4718.8186699999997</v>
      </c>
      <c r="S481">
        <v>4745.40744</v>
      </c>
      <c r="V481">
        <v>4654.5155999999997</v>
      </c>
      <c r="W481">
        <v>4620.9506099999999</v>
      </c>
      <c r="AB481">
        <v>4696.3532500000001</v>
      </c>
      <c r="AC481">
        <v>4698.5245299999997</v>
      </c>
      <c r="AD481">
        <v>0</v>
      </c>
      <c r="AE481">
        <f t="shared" si="68"/>
        <v>479</v>
      </c>
      <c r="AF481">
        <f t="shared" si="69"/>
        <v>478</v>
      </c>
      <c r="AG481">
        <f t="shared" si="63"/>
        <v>3.0346300000001065</v>
      </c>
      <c r="AH481">
        <f t="shared" si="64"/>
        <v>9.208979236900646</v>
      </c>
      <c r="AI481">
        <f t="shared" si="65"/>
        <v>6.4288430778913731E-4</v>
      </c>
      <c r="AJ481">
        <f t="shared" si="66"/>
        <v>5.5485192896951086E-5</v>
      </c>
      <c r="AK481">
        <f t="shared" si="67"/>
        <v>228484</v>
      </c>
      <c r="AL481">
        <f t="shared" si="70"/>
        <v>4729.1198400000003</v>
      </c>
      <c r="AM481" t="str">
        <f t="shared" si="71"/>
        <v/>
      </c>
    </row>
    <row r="482" spans="1:39" x14ac:dyDescent="0.55000000000000004">
      <c r="A482">
        <v>1776973502</v>
      </c>
      <c r="B482" t="s">
        <v>72</v>
      </c>
      <c r="C482" t="s">
        <v>73</v>
      </c>
      <c r="D482">
        <v>4696.1000000000004</v>
      </c>
      <c r="E482">
        <v>4518.5928199999998</v>
      </c>
      <c r="F482">
        <v>4596.0559499999999</v>
      </c>
      <c r="G482">
        <v>4755.40355</v>
      </c>
      <c r="H482">
        <v>4792.7697200000002</v>
      </c>
      <c r="Q482">
        <v>4689.1877699999995</v>
      </c>
      <c r="R482">
        <v>4718.5510700000004</v>
      </c>
      <c r="S482">
        <v>4745.1398399999998</v>
      </c>
      <c r="V482">
        <v>4654.2479999999996</v>
      </c>
      <c r="W482">
        <v>4620.683</v>
      </c>
      <c r="AB482">
        <v>4694.4818999999998</v>
      </c>
      <c r="AC482">
        <v>4696.5032099999999</v>
      </c>
      <c r="AD482">
        <v>0</v>
      </c>
      <c r="AE482">
        <f t="shared" si="68"/>
        <v>480</v>
      </c>
      <c r="AF482">
        <f t="shared" si="69"/>
        <v>479</v>
      </c>
      <c r="AG482">
        <f t="shared" si="63"/>
        <v>6.9122300000008181</v>
      </c>
      <c r="AH482">
        <f t="shared" si="64"/>
        <v>47.77892357291131</v>
      </c>
      <c r="AI482">
        <f t="shared" si="65"/>
        <v>7.5974898093916039E-3</v>
      </c>
      <c r="AJ482">
        <f t="shared" si="66"/>
        <v>1.4935743099376928E-3</v>
      </c>
      <c r="AK482">
        <f t="shared" si="67"/>
        <v>229441</v>
      </c>
      <c r="AL482">
        <f t="shared" si="70"/>
        <v>4729.1198400000003</v>
      </c>
      <c r="AM482" t="str">
        <f t="shared" si="71"/>
        <v/>
      </c>
    </row>
    <row r="483" spans="1:39" x14ac:dyDescent="0.55000000000000004">
      <c r="A483">
        <v>1776974402</v>
      </c>
      <c r="B483" t="s">
        <v>72</v>
      </c>
      <c r="C483" t="s">
        <v>73</v>
      </c>
      <c r="D483">
        <v>4690.84</v>
      </c>
      <c r="E483">
        <v>4518.5928199999998</v>
      </c>
      <c r="F483">
        <v>4596.0559499999999</v>
      </c>
      <c r="G483">
        <v>4755.40355</v>
      </c>
      <c r="H483">
        <v>4792.7697200000002</v>
      </c>
      <c r="Q483">
        <v>4688.9201599999997</v>
      </c>
      <c r="R483">
        <v>4718.2834599999996</v>
      </c>
      <c r="S483">
        <v>4744.8722299999999</v>
      </c>
      <c r="V483">
        <v>4653.9803899999997</v>
      </c>
      <c r="W483">
        <v>4620.4153999999999</v>
      </c>
      <c r="AB483">
        <v>4693.0710799999997</v>
      </c>
      <c r="AC483">
        <v>4694.7871500000001</v>
      </c>
      <c r="AD483">
        <v>0</v>
      </c>
      <c r="AE483">
        <f t="shared" si="68"/>
        <v>481</v>
      </c>
      <c r="AF483">
        <f t="shared" si="69"/>
        <v>480</v>
      </c>
      <c r="AG483">
        <f t="shared" si="63"/>
        <v>1.9198400000004767</v>
      </c>
      <c r="AH483">
        <f t="shared" si="64"/>
        <v>3.6857856256018304</v>
      </c>
      <c r="AI483">
        <f t="shared" si="65"/>
        <v>1.627836163686784E-4</v>
      </c>
      <c r="AJ483">
        <f t="shared" si="66"/>
        <v>8.8882089676811177E-6</v>
      </c>
      <c r="AK483">
        <f t="shared" si="67"/>
        <v>230400</v>
      </c>
      <c r="AL483">
        <f t="shared" si="70"/>
        <v>4729.1198400000003</v>
      </c>
      <c r="AM483" t="str">
        <f t="shared" si="71"/>
        <v/>
      </c>
    </row>
    <row r="484" spans="1:39" x14ac:dyDescent="0.55000000000000004">
      <c r="A484">
        <v>1776975302</v>
      </c>
      <c r="B484" t="s">
        <v>72</v>
      </c>
      <c r="C484" t="s">
        <v>73</v>
      </c>
      <c r="D484">
        <v>4689.41</v>
      </c>
      <c r="E484">
        <v>4518.5928199999998</v>
      </c>
      <c r="F484">
        <v>4596.0559499999999</v>
      </c>
      <c r="G484">
        <v>4755.40355</v>
      </c>
      <c r="H484">
        <v>4792.7697200000002</v>
      </c>
      <c r="Q484">
        <v>4688.6525600000004</v>
      </c>
      <c r="R484">
        <v>4718.0158600000004</v>
      </c>
      <c r="S484">
        <v>4744.6046299999998</v>
      </c>
      <c r="V484">
        <v>4653.7127899999996</v>
      </c>
      <c r="W484">
        <v>4620.14779</v>
      </c>
      <c r="AB484">
        <v>4692.26685</v>
      </c>
      <c r="AC484">
        <v>4693.527</v>
      </c>
      <c r="AD484">
        <v>0</v>
      </c>
      <c r="AE484">
        <f t="shared" si="68"/>
        <v>482</v>
      </c>
      <c r="AF484">
        <f t="shared" si="69"/>
        <v>481</v>
      </c>
      <c r="AG484">
        <f t="shared" si="63"/>
        <v>0.7574399999994057</v>
      </c>
      <c r="AH484">
        <f t="shared" si="64"/>
        <v>0.57371535359909975</v>
      </c>
      <c r="AI484">
        <f t="shared" si="65"/>
        <v>9.9967836501531464E-6</v>
      </c>
      <c r="AJ484">
        <f t="shared" si="66"/>
        <v>2.1535108174716568E-7</v>
      </c>
      <c r="AK484">
        <f t="shared" si="67"/>
        <v>231361</v>
      </c>
      <c r="AL484">
        <f t="shared" si="70"/>
        <v>4729.1198400000003</v>
      </c>
      <c r="AM484" t="str">
        <f t="shared" si="71"/>
        <v/>
      </c>
    </row>
    <row r="485" spans="1:39" x14ac:dyDescent="0.55000000000000004">
      <c r="A485">
        <v>1776976202</v>
      </c>
      <c r="B485" t="s">
        <v>72</v>
      </c>
      <c r="C485" t="s">
        <v>73</v>
      </c>
      <c r="D485">
        <v>4691.3900000000003</v>
      </c>
      <c r="E485">
        <v>4518.5928199999998</v>
      </c>
      <c r="F485">
        <v>4596.0559499999999</v>
      </c>
      <c r="G485">
        <v>4755.40355</v>
      </c>
      <c r="H485">
        <v>4792.7697200000002</v>
      </c>
      <c r="Q485">
        <v>4688.3849600000003</v>
      </c>
      <c r="R485">
        <v>4717.7482499999996</v>
      </c>
      <c r="S485">
        <v>4744.3370299999997</v>
      </c>
      <c r="V485">
        <v>4653.4451900000004</v>
      </c>
      <c r="W485">
        <v>4619.8801899999999</v>
      </c>
      <c r="AB485">
        <v>4692.0236999999997</v>
      </c>
      <c r="AC485">
        <v>4692.7753499999999</v>
      </c>
      <c r="AD485">
        <v>0</v>
      </c>
      <c r="AE485">
        <f t="shared" si="68"/>
        <v>483</v>
      </c>
      <c r="AF485">
        <f t="shared" si="69"/>
        <v>482</v>
      </c>
      <c r="AG485">
        <f t="shared" si="63"/>
        <v>3.0050400000000081</v>
      </c>
      <c r="AH485">
        <f t="shared" si="64"/>
        <v>9.0302654016000492</v>
      </c>
      <c r="AI485">
        <f t="shared" si="65"/>
        <v>6.2426121926274975E-4</v>
      </c>
      <c r="AJ485">
        <f t="shared" si="66"/>
        <v>5.3352545110630937E-5</v>
      </c>
      <c r="AK485">
        <f t="shared" si="67"/>
        <v>232324</v>
      </c>
      <c r="AL485">
        <f t="shared" si="70"/>
        <v>4729.1198400000003</v>
      </c>
      <c r="AM485" t="str">
        <f t="shared" si="71"/>
        <v/>
      </c>
    </row>
    <row r="486" spans="1:39" x14ac:dyDescent="0.55000000000000004">
      <c r="A486">
        <v>1776977102</v>
      </c>
      <c r="B486" t="s">
        <v>72</v>
      </c>
      <c r="C486" t="s">
        <v>73</v>
      </c>
      <c r="D486">
        <v>4694.41</v>
      </c>
      <c r="E486">
        <v>4518.5928199999998</v>
      </c>
      <c r="F486">
        <v>4596.0559499999999</v>
      </c>
      <c r="G486">
        <v>4755.40355</v>
      </c>
      <c r="H486">
        <v>4792.7697200000002</v>
      </c>
      <c r="Q486">
        <v>4688.1173500000004</v>
      </c>
      <c r="R486">
        <v>4717.4806500000004</v>
      </c>
      <c r="S486">
        <v>4744.0694199999998</v>
      </c>
      <c r="V486">
        <v>4653.1775799999996</v>
      </c>
      <c r="W486">
        <v>4619.6125899999997</v>
      </c>
      <c r="AB486">
        <v>4692.16896</v>
      </c>
      <c r="AC486">
        <v>4692.4721499999996</v>
      </c>
      <c r="AD486">
        <v>0</v>
      </c>
      <c r="AE486">
        <f t="shared" si="68"/>
        <v>484</v>
      </c>
      <c r="AF486">
        <f t="shared" si="69"/>
        <v>483</v>
      </c>
      <c r="AG486">
        <f t="shared" si="63"/>
        <v>6.2926499999994121</v>
      </c>
      <c r="AH486">
        <f t="shared" si="64"/>
        <v>39.597444022492603</v>
      </c>
      <c r="AI486">
        <f t="shared" si="65"/>
        <v>5.7321337419240417E-3</v>
      </c>
      <c r="AJ486">
        <f t="shared" si="66"/>
        <v>1.0258607640017572E-3</v>
      </c>
      <c r="AK486">
        <f t="shared" si="67"/>
        <v>233289</v>
      </c>
      <c r="AL486">
        <f t="shared" si="70"/>
        <v>4729.1198400000003</v>
      </c>
      <c r="AM486" t="str">
        <f t="shared" si="71"/>
        <v/>
      </c>
    </row>
    <row r="487" spans="1:39" x14ac:dyDescent="0.55000000000000004">
      <c r="A487">
        <v>1776981602</v>
      </c>
      <c r="B487" t="s">
        <v>72</v>
      </c>
      <c r="C487" t="s">
        <v>73</v>
      </c>
      <c r="D487">
        <v>4697.43</v>
      </c>
      <c r="E487">
        <v>4518.5928199999998</v>
      </c>
      <c r="F487">
        <v>4596.0559499999999</v>
      </c>
      <c r="G487">
        <v>4755.40355</v>
      </c>
      <c r="H487">
        <v>4792.7697200000002</v>
      </c>
      <c r="Q487">
        <v>4687.8497500000003</v>
      </c>
      <c r="R487">
        <v>4717.2130500000003</v>
      </c>
      <c r="S487">
        <v>4743.8018199999997</v>
      </c>
      <c r="V487">
        <v>4652.9099800000004</v>
      </c>
      <c r="W487">
        <v>4619.3449799999999</v>
      </c>
      <c r="AB487">
        <v>4692.4510399999999</v>
      </c>
      <c r="AC487">
        <v>4692.4615999999996</v>
      </c>
      <c r="AD487">
        <v>0</v>
      </c>
      <c r="AE487">
        <f t="shared" si="68"/>
        <v>485</v>
      </c>
      <c r="AF487">
        <f t="shared" si="69"/>
        <v>484</v>
      </c>
      <c r="AG487">
        <f t="shared" si="63"/>
        <v>9.5802499999999782</v>
      </c>
      <c r="AH487">
        <f t="shared" si="64"/>
        <v>91.781190062499576</v>
      </c>
      <c r="AI487">
        <f t="shared" si="65"/>
        <v>2.0227681716396519E-2</v>
      </c>
      <c r="AJ487">
        <f t="shared" si="66"/>
        <v>5.5113942884528148E-3</v>
      </c>
      <c r="AK487">
        <f t="shared" si="67"/>
        <v>234256</v>
      </c>
      <c r="AL487">
        <f t="shared" si="70"/>
        <v>4729.1198400000003</v>
      </c>
      <c r="AM487" t="str">
        <f t="shared" si="71"/>
        <v/>
      </c>
    </row>
    <row r="488" spans="1:39" x14ac:dyDescent="0.55000000000000004">
      <c r="A488">
        <v>1776982502</v>
      </c>
      <c r="B488" t="s">
        <v>72</v>
      </c>
      <c r="C488" t="s">
        <v>73</v>
      </c>
      <c r="D488">
        <v>4692.8999999999996</v>
      </c>
      <c r="E488">
        <v>4518.5928199999998</v>
      </c>
      <c r="F488">
        <v>4596.0559499999999</v>
      </c>
      <c r="G488">
        <v>4755.40355</v>
      </c>
      <c r="H488">
        <v>4792.7697200000002</v>
      </c>
      <c r="Q488">
        <v>4687.5821400000004</v>
      </c>
      <c r="R488">
        <v>4716.9454400000004</v>
      </c>
      <c r="S488">
        <v>4743.5342099999998</v>
      </c>
      <c r="V488">
        <v>4652.6423699999996</v>
      </c>
      <c r="W488">
        <v>4619.0773799999997</v>
      </c>
      <c r="AB488">
        <v>4692.6568100000004</v>
      </c>
      <c r="AC488">
        <v>4692.5591999999997</v>
      </c>
      <c r="AD488">
        <v>1</v>
      </c>
      <c r="AE488">
        <f t="shared" si="68"/>
        <v>486</v>
      </c>
      <c r="AF488">
        <f t="shared" si="69"/>
        <v>485</v>
      </c>
      <c r="AG488">
        <f t="shared" si="63"/>
        <v>5.3178599999992002</v>
      </c>
      <c r="AH488">
        <f t="shared" si="64"/>
        <v>28.279634979591492</v>
      </c>
      <c r="AI488">
        <f t="shared" si="65"/>
        <v>3.4596031488487206E-3</v>
      </c>
      <c r="AJ488">
        <f t="shared" si="66"/>
        <v>5.2324093328864527E-4</v>
      </c>
      <c r="AK488">
        <f t="shared" si="67"/>
        <v>235225</v>
      </c>
      <c r="AL488">
        <f t="shared" si="70"/>
        <v>4692.6568100000004</v>
      </c>
      <c r="AM488">
        <f t="shared" si="71"/>
        <v>36.46302999999989</v>
      </c>
    </row>
    <row r="489" spans="1:39" x14ac:dyDescent="0.55000000000000004">
      <c r="A489">
        <v>1776983402</v>
      </c>
      <c r="B489" t="s">
        <v>72</v>
      </c>
      <c r="C489" t="s">
        <v>73</v>
      </c>
      <c r="D489">
        <v>4693.76</v>
      </c>
      <c r="E489">
        <v>4518.5928199999998</v>
      </c>
      <c r="F489">
        <v>4596.0559499999999</v>
      </c>
      <c r="G489">
        <v>4755.40355</v>
      </c>
      <c r="H489">
        <v>4792.7697200000002</v>
      </c>
      <c r="Q489">
        <v>4687.3145400000003</v>
      </c>
      <c r="R489">
        <v>4716.6778400000003</v>
      </c>
      <c r="S489">
        <v>4743.2666099999997</v>
      </c>
      <c r="V489">
        <v>4652.3747700000004</v>
      </c>
      <c r="W489">
        <v>4618.8097699999998</v>
      </c>
      <c r="AB489">
        <v>4692.9109200000003</v>
      </c>
      <c r="AC489">
        <v>4692.73506</v>
      </c>
      <c r="AD489">
        <v>0</v>
      </c>
      <c r="AE489">
        <f t="shared" si="68"/>
        <v>487</v>
      </c>
      <c r="AF489">
        <f t="shared" si="69"/>
        <v>486</v>
      </c>
      <c r="AG489">
        <f t="shared" si="63"/>
        <v>6.4454599999999118</v>
      </c>
      <c r="AH489">
        <f t="shared" si="64"/>
        <v>41.543954611598863</v>
      </c>
      <c r="AI489">
        <f t="shared" si="65"/>
        <v>6.1599521291204251E-3</v>
      </c>
      <c r="AJ489">
        <f t="shared" si="66"/>
        <v>1.1291971747076687E-3</v>
      </c>
      <c r="AK489">
        <f t="shared" si="67"/>
        <v>236196</v>
      </c>
      <c r="AL489">
        <f t="shared" si="70"/>
        <v>4692.6568100000004</v>
      </c>
      <c r="AM489" t="str">
        <f t="shared" si="71"/>
        <v/>
      </c>
    </row>
    <row r="490" spans="1:39" x14ac:dyDescent="0.55000000000000004">
      <c r="A490">
        <v>1776984302</v>
      </c>
      <c r="B490" t="s">
        <v>72</v>
      </c>
      <c r="C490" t="s">
        <v>73</v>
      </c>
      <c r="D490">
        <v>4693.3500000000004</v>
      </c>
      <c r="E490">
        <v>4518.5928199999998</v>
      </c>
      <c r="F490">
        <v>4596.0559499999999</v>
      </c>
      <c r="G490">
        <v>4755.40355</v>
      </c>
      <c r="H490">
        <v>4792.7697200000002</v>
      </c>
      <c r="Q490">
        <v>4687.0469400000002</v>
      </c>
      <c r="R490">
        <v>4716.4102300000004</v>
      </c>
      <c r="S490">
        <v>4742.9990100000005</v>
      </c>
      <c r="V490">
        <v>4652.1071700000002</v>
      </c>
      <c r="W490">
        <v>4618.5421699999997</v>
      </c>
      <c r="AB490">
        <v>4693.2768299999998</v>
      </c>
      <c r="AC490">
        <v>4693.00594</v>
      </c>
      <c r="AD490">
        <v>0</v>
      </c>
      <c r="AE490">
        <f t="shared" si="68"/>
        <v>488</v>
      </c>
      <c r="AF490">
        <f t="shared" si="69"/>
        <v>487</v>
      </c>
      <c r="AG490">
        <f t="shared" si="63"/>
        <v>6.3030600000001868</v>
      </c>
      <c r="AH490">
        <f t="shared" si="64"/>
        <v>39.728565363602357</v>
      </c>
      <c r="AI490">
        <f t="shared" si="65"/>
        <v>5.7606290254363073E-3</v>
      </c>
      <c r="AJ490">
        <f t="shared" si="66"/>
        <v>1.0326659986137977E-3</v>
      </c>
      <c r="AK490">
        <f t="shared" si="67"/>
        <v>237169</v>
      </c>
      <c r="AL490">
        <f t="shared" si="70"/>
        <v>4692.6568100000004</v>
      </c>
      <c r="AM490" t="str">
        <f t="shared" si="71"/>
        <v/>
      </c>
    </row>
    <row r="491" spans="1:39" x14ac:dyDescent="0.55000000000000004">
      <c r="A491">
        <v>1776985202</v>
      </c>
      <c r="B491" t="s">
        <v>72</v>
      </c>
      <c r="C491" t="s">
        <v>73</v>
      </c>
      <c r="D491">
        <v>4689.74</v>
      </c>
      <c r="E491">
        <v>4518.5928199999998</v>
      </c>
      <c r="F491">
        <v>4596.0559499999999</v>
      </c>
      <c r="G491">
        <v>4755.40355</v>
      </c>
      <c r="H491">
        <v>4792.7697200000002</v>
      </c>
      <c r="Q491">
        <v>4686.7793300000003</v>
      </c>
      <c r="R491">
        <v>4716.1426300000003</v>
      </c>
      <c r="S491">
        <v>4742.7313999999997</v>
      </c>
      <c r="V491">
        <v>4651.8395600000003</v>
      </c>
      <c r="W491">
        <v>4618.2745599999998</v>
      </c>
      <c r="AB491">
        <v>4693.8901299999998</v>
      </c>
      <c r="AC491">
        <v>4693.4480400000002</v>
      </c>
      <c r="AD491">
        <v>0</v>
      </c>
      <c r="AE491">
        <f t="shared" si="68"/>
        <v>489</v>
      </c>
      <c r="AF491">
        <f t="shared" si="69"/>
        <v>488</v>
      </c>
      <c r="AG491">
        <f t="shared" si="63"/>
        <v>2.9606699999994817</v>
      </c>
      <c r="AH491">
        <f t="shared" si="64"/>
        <v>8.7655668488969312</v>
      </c>
      <c r="AI491">
        <f t="shared" si="65"/>
        <v>5.9701548224573131E-4</v>
      </c>
      <c r="AJ491">
        <f t="shared" si="66"/>
        <v>5.0270606507645638E-5</v>
      </c>
      <c r="AK491">
        <f t="shared" si="67"/>
        <v>238144</v>
      </c>
      <c r="AL491">
        <f t="shared" si="70"/>
        <v>4692.6568100000004</v>
      </c>
      <c r="AM491" t="str">
        <f t="shared" si="71"/>
        <v/>
      </c>
    </row>
    <row r="492" spans="1:39" x14ac:dyDescent="0.55000000000000004">
      <c r="A492">
        <v>1776986102</v>
      </c>
      <c r="B492" t="s">
        <v>72</v>
      </c>
      <c r="C492" t="s">
        <v>73</v>
      </c>
      <c r="D492">
        <v>4694.54</v>
      </c>
      <c r="E492">
        <v>4518.5928199999998</v>
      </c>
      <c r="F492">
        <v>4596.0559499999999</v>
      </c>
      <c r="G492">
        <v>4755.40355</v>
      </c>
      <c r="H492">
        <v>4792.7697200000002</v>
      </c>
      <c r="Q492">
        <v>4686.5117300000002</v>
      </c>
      <c r="R492">
        <v>4715.8750300000002</v>
      </c>
      <c r="S492">
        <v>4742.4638000000004</v>
      </c>
      <c r="V492">
        <v>4651.5719600000002</v>
      </c>
      <c r="W492">
        <v>4618.0069599999997</v>
      </c>
      <c r="AB492">
        <v>4694.9549699999998</v>
      </c>
      <c r="AC492">
        <v>4694.2015099999999</v>
      </c>
      <c r="AD492">
        <v>0</v>
      </c>
      <c r="AE492">
        <f t="shared" si="68"/>
        <v>490</v>
      </c>
      <c r="AF492">
        <f t="shared" si="69"/>
        <v>489</v>
      </c>
      <c r="AG492">
        <f t="shared" si="63"/>
        <v>8.0282699999997931</v>
      </c>
      <c r="AH492">
        <f t="shared" si="64"/>
        <v>64.453119192896679</v>
      </c>
      <c r="AI492">
        <f t="shared" si="65"/>
        <v>1.19036868710566E-2</v>
      </c>
      <c r="AJ492">
        <f t="shared" si="66"/>
        <v>2.7179533112775319E-3</v>
      </c>
      <c r="AK492">
        <f t="shared" si="67"/>
        <v>239121</v>
      </c>
      <c r="AL492">
        <f t="shared" si="70"/>
        <v>4692.6568100000004</v>
      </c>
      <c r="AM492" t="str">
        <f t="shared" si="71"/>
        <v/>
      </c>
    </row>
    <row r="493" spans="1:39" x14ac:dyDescent="0.55000000000000004">
      <c r="A493">
        <v>1776987002</v>
      </c>
      <c r="B493" t="s">
        <v>72</v>
      </c>
      <c r="C493" t="s">
        <v>73</v>
      </c>
      <c r="D493">
        <v>4697.37</v>
      </c>
      <c r="E493">
        <v>4518.5928199999998</v>
      </c>
      <c r="F493">
        <v>4596.0559499999999</v>
      </c>
      <c r="G493">
        <v>4755.40355</v>
      </c>
      <c r="H493">
        <v>4792.7697200000002</v>
      </c>
      <c r="Q493">
        <v>4686.2441200000003</v>
      </c>
      <c r="R493">
        <v>4715.6074200000003</v>
      </c>
      <c r="S493">
        <v>4742.1961899999997</v>
      </c>
      <c r="V493">
        <v>4651.3043500000003</v>
      </c>
      <c r="W493">
        <v>4617.7393599999996</v>
      </c>
      <c r="AB493">
        <v>4696.38321</v>
      </c>
      <c r="AC493">
        <v>4695.2923600000004</v>
      </c>
      <c r="AD493">
        <v>0</v>
      </c>
      <c r="AE493">
        <f t="shared" si="68"/>
        <v>491</v>
      </c>
      <c r="AF493">
        <f t="shared" si="69"/>
        <v>490</v>
      </c>
      <c r="AG493">
        <f t="shared" si="63"/>
        <v>11.125879999999597</v>
      </c>
      <c r="AH493">
        <f t="shared" si="64"/>
        <v>123.78520577439103</v>
      </c>
      <c r="AI493">
        <f t="shared" si="65"/>
        <v>3.1682445678246733E-2</v>
      </c>
      <c r="AJ493">
        <f t="shared" si="66"/>
        <v>1.0025166600391169E-2</v>
      </c>
      <c r="AK493">
        <f t="shared" si="67"/>
        <v>240100</v>
      </c>
      <c r="AL493">
        <f t="shared" si="70"/>
        <v>4692.6568100000004</v>
      </c>
      <c r="AM493" t="str">
        <f t="shared" si="71"/>
        <v/>
      </c>
    </row>
    <row r="494" spans="1:39" x14ac:dyDescent="0.55000000000000004">
      <c r="A494">
        <v>1776987902</v>
      </c>
      <c r="B494" t="s">
        <v>72</v>
      </c>
      <c r="C494" t="s">
        <v>73</v>
      </c>
      <c r="D494">
        <v>4695.41</v>
      </c>
      <c r="E494">
        <v>4518.5928199999998</v>
      </c>
      <c r="F494">
        <v>4596.0559499999999</v>
      </c>
      <c r="G494">
        <v>4755.40355</v>
      </c>
      <c r="H494">
        <v>4792.7697200000002</v>
      </c>
      <c r="Q494">
        <v>4685.9765200000002</v>
      </c>
      <c r="R494">
        <v>4715.3398200000001</v>
      </c>
      <c r="S494">
        <v>4741.9285900000004</v>
      </c>
      <c r="V494">
        <v>4651.0367500000002</v>
      </c>
      <c r="W494">
        <v>4617.4717499999997</v>
      </c>
      <c r="AB494">
        <v>4698.0533800000003</v>
      </c>
      <c r="AC494">
        <v>4696.6728700000003</v>
      </c>
      <c r="AD494">
        <v>0</v>
      </c>
      <c r="AE494">
        <f t="shared" si="68"/>
        <v>492</v>
      </c>
      <c r="AF494">
        <f t="shared" si="69"/>
        <v>491</v>
      </c>
      <c r="AG494">
        <f t="shared" si="63"/>
        <v>9.4334799999996903</v>
      </c>
      <c r="AH494">
        <f t="shared" si="64"/>
        <v>88.990544910394163</v>
      </c>
      <c r="AI494">
        <f t="shared" si="65"/>
        <v>1.9312183688862387E-2</v>
      </c>
      <c r="AJ494">
        <f t="shared" si="66"/>
        <v>5.1813370545875813E-3</v>
      </c>
      <c r="AK494">
        <f t="shared" si="67"/>
        <v>241081</v>
      </c>
      <c r="AL494">
        <f t="shared" si="70"/>
        <v>4692.6568100000004</v>
      </c>
      <c r="AM494" t="str">
        <f t="shared" si="71"/>
        <v/>
      </c>
    </row>
    <row r="495" spans="1:39" x14ac:dyDescent="0.55000000000000004">
      <c r="A495">
        <v>1776988802</v>
      </c>
      <c r="B495" t="s">
        <v>72</v>
      </c>
      <c r="C495" t="s">
        <v>73</v>
      </c>
      <c r="D495">
        <v>4698.34</v>
      </c>
      <c r="E495">
        <v>4518.5928199999998</v>
      </c>
      <c r="F495">
        <v>4596.0559499999999</v>
      </c>
      <c r="G495">
        <v>4755.40355</v>
      </c>
      <c r="H495">
        <v>4792.7697200000002</v>
      </c>
      <c r="Q495">
        <v>4685.70892</v>
      </c>
      <c r="R495">
        <v>4715.0722100000003</v>
      </c>
      <c r="S495">
        <v>4741.6609799999997</v>
      </c>
      <c r="V495">
        <v>4650.7691400000003</v>
      </c>
      <c r="W495">
        <v>4617.2041499999996</v>
      </c>
      <c r="AB495">
        <v>4699.8961200000003</v>
      </c>
      <c r="AC495">
        <v>4698.28449</v>
      </c>
      <c r="AD495">
        <v>0</v>
      </c>
      <c r="AE495">
        <f t="shared" si="68"/>
        <v>493</v>
      </c>
      <c r="AF495">
        <f t="shared" si="69"/>
        <v>492</v>
      </c>
      <c r="AG495">
        <f t="shared" si="63"/>
        <v>12.631080000000111</v>
      </c>
      <c r="AH495">
        <f t="shared" si="64"/>
        <v>159.54418196640279</v>
      </c>
      <c r="AI495">
        <f t="shared" si="65"/>
        <v>4.6359318372920205E-2</v>
      </c>
      <c r="AJ495">
        <f t="shared" si="66"/>
        <v>1.6653903958746073E-2</v>
      </c>
      <c r="AK495">
        <f t="shared" si="67"/>
        <v>242064</v>
      </c>
      <c r="AL495">
        <f t="shared" si="70"/>
        <v>4692.6568100000004</v>
      </c>
      <c r="AM495" t="str">
        <f t="shared" si="71"/>
        <v/>
      </c>
    </row>
    <row r="496" spans="1:39" x14ac:dyDescent="0.55000000000000004">
      <c r="A496">
        <v>1776989702</v>
      </c>
      <c r="B496" t="s">
        <v>72</v>
      </c>
      <c r="C496" t="s">
        <v>73</v>
      </c>
      <c r="D496">
        <v>4705.83</v>
      </c>
      <c r="E496">
        <v>4518.5928199999998</v>
      </c>
      <c r="F496">
        <v>4596.0559499999999</v>
      </c>
      <c r="G496">
        <v>4755.40355</v>
      </c>
      <c r="H496">
        <v>4792.7697200000002</v>
      </c>
      <c r="Q496">
        <v>4685.4413100000002</v>
      </c>
      <c r="R496">
        <v>4714.8046100000001</v>
      </c>
      <c r="S496">
        <v>4741.3933800000004</v>
      </c>
      <c r="V496">
        <v>4650.5015400000002</v>
      </c>
      <c r="W496">
        <v>4616.9365399999997</v>
      </c>
      <c r="AB496">
        <v>4701.6500599999999</v>
      </c>
      <c r="AC496">
        <v>4699.9672799999998</v>
      </c>
      <c r="AD496">
        <v>0</v>
      </c>
      <c r="AE496">
        <f t="shared" si="68"/>
        <v>494</v>
      </c>
      <c r="AF496">
        <f t="shared" si="69"/>
        <v>493</v>
      </c>
      <c r="AG496">
        <f t="shared" si="63"/>
        <v>20.388689999999769</v>
      </c>
      <c r="AH496">
        <f t="shared" si="64"/>
        <v>415.69867991609061</v>
      </c>
      <c r="AI496">
        <f t="shared" si="65"/>
        <v>0.19497707572936931</v>
      </c>
      <c r="AJ496">
        <f t="shared" si="66"/>
        <v>0.11306063059162993</v>
      </c>
      <c r="AK496">
        <f t="shared" si="67"/>
        <v>243049</v>
      </c>
      <c r="AL496">
        <f t="shared" si="70"/>
        <v>4692.6568100000004</v>
      </c>
      <c r="AM496" t="str">
        <f t="shared" si="71"/>
        <v/>
      </c>
    </row>
    <row r="497" spans="1:39" x14ac:dyDescent="0.55000000000000004">
      <c r="A497">
        <v>1776990602</v>
      </c>
      <c r="B497" t="s">
        <v>72</v>
      </c>
      <c r="C497" t="s">
        <v>73</v>
      </c>
      <c r="D497">
        <v>4701.8</v>
      </c>
      <c r="E497">
        <v>4518.5928199999998</v>
      </c>
      <c r="F497">
        <v>4596.0559499999999</v>
      </c>
      <c r="G497">
        <v>4755.40355</v>
      </c>
      <c r="H497">
        <v>4792.7697200000002</v>
      </c>
      <c r="Q497">
        <v>4685.17371</v>
      </c>
      <c r="R497">
        <v>4714.53701</v>
      </c>
      <c r="S497">
        <v>4741.1257800000003</v>
      </c>
      <c r="V497">
        <v>4650.2339400000001</v>
      </c>
      <c r="W497">
        <v>4616.6689399999996</v>
      </c>
      <c r="AB497">
        <v>4702.87104</v>
      </c>
      <c r="AC497">
        <v>4701.4191600000004</v>
      </c>
      <c r="AD497">
        <v>0</v>
      </c>
      <c r="AE497">
        <f t="shared" si="68"/>
        <v>495</v>
      </c>
      <c r="AF497">
        <f t="shared" si="69"/>
        <v>494</v>
      </c>
      <c r="AG497">
        <f t="shared" si="63"/>
        <v>16.626290000000154</v>
      </c>
      <c r="AH497">
        <f t="shared" si="64"/>
        <v>276.43351916410512</v>
      </c>
      <c r="AI497">
        <f t="shared" si="65"/>
        <v>0.10573082925093372</v>
      </c>
      <c r="AJ497">
        <f t="shared" si="66"/>
        <v>4.9996029757420436E-2</v>
      </c>
      <c r="AK497">
        <f t="shared" si="67"/>
        <v>244036</v>
      </c>
      <c r="AL497">
        <f t="shared" si="70"/>
        <v>4692.6568100000004</v>
      </c>
      <c r="AM497" t="str">
        <f t="shared" si="71"/>
        <v/>
      </c>
    </row>
    <row r="498" spans="1:39" x14ac:dyDescent="0.55000000000000004">
      <c r="A498">
        <v>1776991502</v>
      </c>
      <c r="B498" t="s">
        <v>72</v>
      </c>
      <c r="C498" t="s">
        <v>73</v>
      </c>
      <c r="D498">
        <v>4704.71</v>
      </c>
      <c r="E498">
        <v>4518.5928199999998</v>
      </c>
      <c r="F498">
        <v>4596.0559499999999</v>
      </c>
      <c r="G498">
        <v>4755.40355</v>
      </c>
      <c r="H498">
        <v>4792.7697200000002</v>
      </c>
      <c r="Q498">
        <v>4684.9061000000002</v>
      </c>
      <c r="R498">
        <v>4714.2694000000001</v>
      </c>
      <c r="S498">
        <v>4740.8581700000004</v>
      </c>
      <c r="V498">
        <v>4649.9663300000002</v>
      </c>
      <c r="W498">
        <v>4616.4013400000003</v>
      </c>
      <c r="AB498">
        <v>4703.4389600000004</v>
      </c>
      <c r="AC498">
        <v>4702.4290600000004</v>
      </c>
      <c r="AD498">
        <v>0</v>
      </c>
      <c r="AE498">
        <f t="shared" si="68"/>
        <v>496</v>
      </c>
      <c r="AF498">
        <f t="shared" si="69"/>
        <v>495</v>
      </c>
      <c r="AG498">
        <f t="shared" si="63"/>
        <v>19.803899999999885</v>
      </c>
      <c r="AH498">
        <f t="shared" si="64"/>
        <v>392.19445520999545</v>
      </c>
      <c r="AI498">
        <f t="shared" si="65"/>
        <v>0.17867663241117934</v>
      </c>
      <c r="AJ498">
        <f t="shared" si="66"/>
        <v>0.10063684462427375</v>
      </c>
      <c r="AK498">
        <f t="shared" si="67"/>
        <v>245025</v>
      </c>
      <c r="AL498">
        <f t="shared" si="70"/>
        <v>4692.6568100000004</v>
      </c>
      <c r="AM498" t="str">
        <f t="shared" si="71"/>
        <v/>
      </c>
    </row>
    <row r="499" spans="1:39" x14ac:dyDescent="0.55000000000000004">
      <c r="A499">
        <v>1776992402</v>
      </c>
      <c r="B499" t="s">
        <v>72</v>
      </c>
      <c r="C499" t="s">
        <v>73</v>
      </c>
      <c r="D499">
        <v>4709.47</v>
      </c>
      <c r="E499">
        <v>4518.5928199999998</v>
      </c>
      <c r="F499">
        <v>4596.0559499999999</v>
      </c>
      <c r="G499">
        <v>4755.40355</v>
      </c>
      <c r="H499">
        <v>4792.7697200000002</v>
      </c>
      <c r="Q499">
        <v>4684.6385</v>
      </c>
      <c r="R499">
        <v>4714.0018</v>
      </c>
      <c r="S499">
        <v>4740.5905700000003</v>
      </c>
      <c r="V499">
        <v>4649.6987300000001</v>
      </c>
      <c r="W499">
        <v>4616.1337299999996</v>
      </c>
      <c r="AB499">
        <v>4703.0390200000002</v>
      </c>
      <c r="AC499">
        <v>4702.7340400000003</v>
      </c>
      <c r="AD499">
        <v>0</v>
      </c>
      <c r="AE499">
        <f t="shared" si="68"/>
        <v>497</v>
      </c>
      <c r="AF499">
        <f t="shared" si="69"/>
        <v>496</v>
      </c>
      <c r="AG499">
        <f t="shared" si="63"/>
        <v>24.831500000000233</v>
      </c>
      <c r="AH499">
        <f t="shared" si="64"/>
        <v>616.60339225001155</v>
      </c>
      <c r="AI499">
        <f t="shared" si="65"/>
        <v>0.35222846407616332</v>
      </c>
      <c r="AJ499">
        <f t="shared" si="66"/>
        <v>0.24875162814220531</v>
      </c>
      <c r="AK499">
        <f t="shared" si="67"/>
        <v>246016</v>
      </c>
      <c r="AL499">
        <f t="shared" si="70"/>
        <v>4692.6568100000004</v>
      </c>
      <c r="AM499" t="str">
        <f t="shared" si="71"/>
        <v/>
      </c>
    </row>
    <row r="500" spans="1:39" x14ac:dyDescent="0.55000000000000004">
      <c r="A500">
        <v>1776993302</v>
      </c>
      <c r="B500" t="s">
        <v>72</v>
      </c>
      <c r="C500" t="s">
        <v>73</v>
      </c>
      <c r="D500">
        <v>4698.41</v>
      </c>
      <c r="E500">
        <v>4518.5928199999998</v>
      </c>
      <c r="F500">
        <v>4596.0559499999999</v>
      </c>
      <c r="G500">
        <v>4755.40355</v>
      </c>
      <c r="H500">
        <v>4792.7697200000002</v>
      </c>
      <c r="Q500">
        <v>4684.3708900000001</v>
      </c>
      <c r="R500">
        <v>4713.7341900000001</v>
      </c>
      <c r="S500">
        <v>4740.3229600000004</v>
      </c>
      <c r="V500">
        <v>4649.4311200000002</v>
      </c>
      <c r="W500">
        <v>4615.8661300000003</v>
      </c>
      <c r="Z500">
        <v>4711.2299999999996</v>
      </c>
      <c r="AB500">
        <v>4701.3644000000004</v>
      </c>
      <c r="AC500">
        <v>4702.0492199999999</v>
      </c>
      <c r="AD500">
        <v>1</v>
      </c>
      <c r="AE500">
        <f t="shared" si="68"/>
        <v>498</v>
      </c>
      <c r="AF500">
        <f t="shared" si="69"/>
        <v>497</v>
      </c>
      <c r="AG500">
        <f t="shared" si="63"/>
        <v>14.03910999999971</v>
      </c>
      <c r="AH500">
        <f t="shared" si="64"/>
        <v>197.09660959209185</v>
      </c>
      <c r="AI500">
        <f t="shared" si="65"/>
        <v>6.365526274132291E-2</v>
      </c>
      <c r="AJ500">
        <f t="shared" si="66"/>
        <v>2.5416305387530886E-2</v>
      </c>
      <c r="AK500">
        <f t="shared" si="67"/>
        <v>247009</v>
      </c>
      <c r="AL500">
        <f t="shared" si="70"/>
        <v>4701.3644000000004</v>
      </c>
      <c r="AM500">
        <f t="shared" si="71"/>
        <v>8.707589999999982</v>
      </c>
    </row>
    <row r="501" spans="1:39" x14ac:dyDescent="0.55000000000000004">
      <c r="A501">
        <v>1776994202</v>
      </c>
      <c r="B501" t="s">
        <v>72</v>
      </c>
      <c r="C501" t="s">
        <v>73</v>
      </c>
      <c r="D501">
        <v>4690.8100000000004</v>
      </c>
      <c r="E501">
        <v>4518.5928199999998</v>
      </c>
      <c r="F501">
        <v>4596.0559499999999</v>
      </c>
      <c r="G501">
        <v>4755.40355</v>
      </c>
      <c r="H501">
        <v>4792.7697200000002</v>
      </c>
      <c r="Q501">
        <v>4684.10329</v>
      </c>
      <c r="R501">
        <v>4713.46659</v>
      </c>
      <c r="S501">
        <v>4740.0553600000003</v>
      </c>
      <c r="V501">
        <v>4649.1635200000001</v>
      </c>
      <c r="W501">
        <v>4615.5985199999996</v>
      </c>
      <c r="AB501">
        <v>4698.6827000000003</v>
      </c>
      <c r="AC501">
        <v>4700.3659600000001</v>
      </c>
      <c r="AD501">
        <v>0</v>
      </c>
      <c r="AE501">
        <f t="shared" si="68"/>
        <v>499</v>
      </c>
      <c r="AF501">
        <f t="shared" si="69"/>
        <v>498</v>
      </c>
      <c r="AG501">
        <f t="shared" si="63"/>
        <v>6.7067100000003848</v>
      </c>
      <c r="AH501">
        <f t="shared" si="64"/>
        <v>44.979959024105163</v>
      </c>
      <c r="AI501">
        <f t="shared" si="65"/>
        <v>6.9397554669570743E-3</v>
      </c>
      <c r="AJ501">
        <f t="shared" si="66"/>
        <v>1.3237080914329548E-3</v>
      </c>
      <c r="AK501">
        <f t="shared" si="67"/>
        <v>248004</v>
      </c>
      <c r="AL501">
        <f t="shared" si="70"/>
        <v>4701.3644000000004</v>
      </c>
      <c r="AM501" t="str">
        <f t="shared" si="71"/>
        <v/>
      </c>
    </row>
    <row r="502" spans="1:39" x14ac:dyDescent="0.55000000000000004">
      <c r="A502">
        <v>1776995102</v>
      </c>
      <c r="B502" t="s">
        <v>72</v>
      </c>
      <c r="C502" t="s">
        <v>73</v>
      </c>
      <c r="D502">
        <v>4699.09</v>
      </c>
      <c r="E502">
        <v>4518.5928199999998</v>
      </c>
      <c r="F502">
        <v>4596.0559499999999</v>
      </c>
      <c r="G502">
        <v>4755.40355</v>
      </c>
      <c r="H502">
        <v>4792.7697200000002</v>
      </c>
      <c r="Q502">
        <v>4683.8356899999999</v>
      </c>
      <c r="R502">
        <v>4713.1989899999999</v>
      </c>
      <c r="S502">
        <v>4739.7877600000002</v>
      </c>
      <c r="V502">
        <v>4648.8959199999999</v>
      </c>
      <c r="W502">
        <v>4615.3309200000003</v>
      </c>
      <c r="AB502">
        <v>4695.2984200000001</v>
      </c>
      <c r="AC502">
        <v>4697.8321900000001</v>
      </c>
      <c r="AD502">
        <v>0</v>
      </c>
      <c r="AE502">
        <f t="shared" si="68"/>
        <v>500</v>
      </c>
      <c r="AF502">
        <f t="shared" si="69"/>
        <v>499</v>
      </c>
      <c r="AG502">
        <f t="shared" si="63"/>
        <v>15.25431000000026</v>
      </c>
      <c r="AH502">
        <f t="shared" si="64"/>
        <v>232.69397357610791</v>
      </c>
      <c r="AI502">
        <f t="shared" si="65"/>
        <v>8.1656975173135041E-2</v>
      </c>
      <c r="AJ502">
        <f t="shared" si="66"/>
        <v>3.5426184847063814E-2</v>
      </c>
      <c r="AK502">
        <f t="shared" si="67"/>
        <v>249001</v>
      </c>
      <c r="AL502">
        <f t="shared" si="70"/>
        <v>4701.3644000000004</v>
      </c>
      <c r="AM502" t="str">
        <f t="shared" si="71"/>
        <v/>
      </c>
    </row>
    <row r="503" spans="1:39" x14ac:dyDescent="0.55000000000000004">
      <c r="A503">
        <v>1776996002</v>
      </c>
      <c r="B503" t="s">
        <v>72</v>
      </c>
      <c r="C503" t="s">
        <v>73</v>
      </c>
      <c r="D503">
        <v>4693.29</v>
      </c>
      <c r="E503">
        <v>4518.5928199999998</v>
      </c>
      <c r="F503">
        <v>4596.0559499999999</v>
      </c>
      <c r="G503">
        <v>4755.40355</v>
      </c>
      <c r="H503">
        <v>4792.7697200000002</v>
      </c>
      <c r="Q503">
        <v>4683.56808</v>
      </c>
      <c r="R503">
        <v>4712.93138</v>
      </c>
      <c r="S503">
        <v>4739.5201500000003</v>
      </c>
      <c r="V503">
        <v>4648.6283100000001</v>
      </c>
      <c r="W503">
        <v>4615.0633200000002</v>
      </c>
      <c r="AB503">
        <v>4691.1674999999996</v>
      </c>
      <c r="AC503">
        <v>4694.4998400000004</v>
      </c>
      <c r="AD503">
        <v>0</v>
      </c>
      <c r="AE503">
        <f t="shared" si="68"/>
        <v>501</v>
      </c>
      <c r="AF503">
        <f t="shared" si="69"/>
        <v>500</v>
      </c>
      <c r="AG503">
        <f t="shared" si="63"/>
        <v>9.7219199999999546</v>
      </c>
      <c r="AH503">
        <f t="shared" si="64"/>
        <v>94.515728486399112</v>
      </c>
      <c r="AI503">
        <f t="shared" si="65"/>
        <v>2.1138380617763936E-2</v>
      </c>
      <c r="AJ503">
        <f t="shared" si="66"/>
        <v>5.8447008123527202E-3</v>
      </c>
      <c r="AK503">
        <f t="shared" si="67"/>
        <v>250000</v>
      </c>
      <c r="AL503">
        <f t="shared" si="70"/>
        <v>4701.3644000000004</v>
      </c>
      <c r="AM503" t="str">
        <f t="shared" si="71"/>
        <v/>
      </c>
    </row>
    <row r="504" spans="1:39" x14ac:dyDescent="0.55000000000000004">
      <c r="A504">
        <v>1776996902</v>
      </c>
      <c r="B504" t="s">
        <v>72</v>
      </c>
      <c r="C504" t="s">
        <v>73</v>
      </c>
      <c r="D504">
        <v>4684.1400000000003</v>
      </c>
      <c r="E504">
        <v>4518.5928199999998</v>
      </c>
      <c r="F504">
        <v>4596.0559499999999</v>
      </c>
      <c r="G504">
        <v>4755.40355</v>
      </c>
      <c r="H504">
        <v>4792.7697200000002</v>
      </c>
      <c r="Q504">
        <v>4683.3004799999999</v>
      </c>
      <c r="R504">
        <v>4712.6637799999999</v>
      </c>
      <c r="S504">
        <v>4739.2525500000002</v>
      </c>
      <c r="V504">
        <v>4648.3607099999999</v>
      </c>
      <c r="W504">
        <v>4614.7957100000003</v>
      </c>
      <c r="AB504">
        <v>4686.6927100000003</v>
      </c>
      <c r="AC504">
        <v>4690.59627</v>
      </c>
      <c r="AD504">
        <v>0</v>
      </c>
      <c r="AE504">
        <f t="shared" si="68"/>
        <v>502</v>
      </c>
      <c r="AF504">
        <f t="shared" si="69"/>
        <v>501</v>
      </c>
      <c r="AG504">
        <f t="shared" si="63"/>
        <v>0.83952000000044791</v>
      </c>
      <c r="AH504">
        <f t="shared" si="64"/>
        <v>0.70479383040075205</v>
      </c>
      <c r="AI504">
        <f t="shared" si="65"/>
        <v>1.3611585799640052E-5</v>
      </c>
      <c r="AJ504">
        <f t="shared" si="66"/>
        <v>3.2499621273824955E-7</v>
      </c>
      <c r="AK504">
        <f t="shared" si="67"/>
        <v>251001</v>
      </c>
      <c r="AL504">
        <f t="shared" si="70"/>
        <v>4701.3644000000004</v>
      </c>
      <c r="AM504" t="str">
        <f t="shared" si="71"/>
        <v/>
      </c>
    </row>
    <row r="505" spans="1:39" x14ac:dyDescent="0.55000000000000004">
      <c r="A505">
        <v>1776997802</v>
      </c>
      <c r="B505" t="s">
        <v>72</v>
      </c>
      <c r="C505" t="s">
        <v>73</v>
      </c>
      <c r="D505">
        <v>4683.54</v>
      </c>
      <c r="E505">
        <v>4518.5928199999998</v>
      </c>
      <c r="F505">
        <v>4596.0559499999999</v>
      </c>
      <c r="G505">
        <v>4755.40355</v>
      </c>
      <c r="H505">
        <v>4792.7697200000002</v>
      </c>
      <c r="Q505">
        <v>4683.03287</v>
      </c>
      <c r="R505">
        <v>4712.39617</v>
      </c>
      <c r="S505">
        <v>4738.9849400000003</v>
      </c>
      <c r="V505">
        <v>4648.0931</v>
      </c>
      <c r="W505">
        <v>4614.5281100000002</v>
      </c>
      <c r="AB505">
        <v>4682.2824000000001</v>
      </c>
      <c r="AC505">
        <v>4686.4393399999999</v>
      </c>
      <c r="AD505">
        <v>0</v>
      </c>
      <c r="AE505">
        <f t="shared" si="68"/>
        <v>503</v>
      </c>
      <c r="AF505">
        <f t="shared" si="69"/>
        <v>502</v>
      </c>
      <c r="AG505">
        <f t="shared" si="63"/>
        <v>0.507129999999961</v>
      </c>
      <c r="AH505">
        <f t="shared" si="64"/>
        <v>0.25718083689996046</v>
      </c>
      <c r="AI505">
        <f t="shared" si="65"/>
        <v>3.0003608664159442E-6</v>
      </c>
      <c r="AJ505">
        <f t="shared" si="66"/>
        <v>4.3274426707452861E-8</v>
      </c>
      <c r="AK505">
        <f t="shared" si="67"/>
        <v>252004</v>
      </c>
      <c r="AL505">
        <f t="shared" si="70"/>
        <v>4701.3644000000004</v>
      </c>
      <c r="AM505" t="str">
        <f t="shared" si="71"/>
        <v/>
      </c>
    </row>
    <row r="506" spans="1:39" x14ac:dyDescent="0.55000000000000004">
      <c r="A506">
        <v>1776998702</v>
      </c>
      <c r="B506" t="s">
        <v>72</v>
      </c>
      <c r="C506" t="s">
        <v>73</v>
      </c>
      <c r="D506">
        <v>4676.83</v>
      </c>
      <c r="E506">
        <v>4518.5928199999998</v>
      </c>
      <c r="F506">
        <v>4596.0559499999999</v>
      </c>
      <c r="G506">
        <v>4755.40355</v>
      </c>
      <c r="H506">
        <v>4792.7697200000002</v>
      </c>
      <c r="Q506">
        <v>4682.7652699999999</v>
      </c>
      <c r="R506">
        <v>4712.1285699999999</v>
      </c>
      <c r="S506">
        <v>4738.7173400000001</v>
      </c>
      <c r="V506">
        <v>4647.8254999999999</v>
      </c>
      <c r="W506">
        <v>4614.2605000000003</v>
      </c>
      <c r="AB506">
        <v>4678.1208900000001</v>
      </c>
      <c r="AC506">
        <v>4682.2801099999997</v>
      </c>
      <c r="AD506">
        <v>0</v>
      </c>
      <c r="AE506">
        <f t="shared" si="68"/>
        <v>504</v>
      </c>
      <c r="AF506">
        <f t="shared" si="69"/>
        <v>503</v>
      </c>
      <c r="AG506">
        <f t="shared" si="63"/>
        <v>-5.9352699999999459</v>
      </c>
      <c r="AH506">
        <f t="shared" si="64"/>
        <v>35.227429972899358</v>
      </c>
      <c r="AI506">
        <f t="shared" si="65"/>
        <v>-4.8099108270036519E-3</v>
      </c>
      <c r="AJ506">
        <f t="shared" si="66"/>
        <v>8.1192522282425505E-4</v>
      </c>
      <c r="AK506">
        <f t="shared" si="67"/>
        <v>253009</v>
      </c>
      <c r="AL506">
        <f t="shared" si="70"/>
        <v>4701.3644000000004</v>
      </c>
      <c r="AM506" t="str">
        <f t="shared" si="71"/>
        <v/>
      </c>
    </row>
    <row r="507" spans="1:39" x14ac:dyDescent="0.55000000000000004">
      <c r="A507">
        <v>1776999602</v>
      </c>
      <c r="B507" t="s">
        <v>72</v>
      </c>
      <c r="C507" t="s">
        <v>73</v>
      </c>
      <c r="D507">
        <v>4670.5</v>
      </c>
      <c r="E507">
        <v>4518.5928199999998</v>
      </c>
      <c r="F507">
        <v>4596.0559499999999</v>
      </c>
      <c r="G507">
        <v>4755.40355</v>
      </c>
      <c r="H507">
        <v>4792.7697200000002</v>
      </c>
      <c r="Q507">
        <v>4682.4976699999997</v>
      </c>
      <c r="R507">
        <v>4711.86096</v>
      </c>
      <c r="S507">
        <v>4738.44974</v>
      </c>
      <c r="V507">
        <v>4647.5578999999998</v>
      </c>
      <c r="W507">
        <v>4613.9929000000002</v>
      </c>
      <c r="AB507">
        <v>4674.53755</v>
      </c>
      <c r="AC507">
        <v>4678.4088300000003</v>
      </c>
      <c r="AD507">
        <v>0</v>
      </c>
      <c r="AE507">
        <f t="shared" si="68"/>
        <v>505</v>
      </c>
      <c r="AF507">
        <f t="shared" si="69"/>
        <v>504</v>
      </c>
      <c r="AG507">
        <f t="shared" si="63"/>
        <v>-11.997669999999744</v>
      </c>
      <c r="AH507">
        <f t="shared" si="64"/>
        <v>143.94408542889386</v>
      </c>
      <c r="AI507">
        <f t="shared" si="65"/>
        <v>-3.9728879957265428E-2</v>
      </c>
      <c r="AJ507">
        <f t="shared" si="66"/>
        <v>1.3556318443487606E-2</v>
      </c>
      <c r="AK507">
        <f t="shared" si="67"/>
        <v>254016</v>
      </c>
      <c r="AL507">
        <f t="shared" si="70"/>
        <v>4701.3644000000004</v>
      </c>
      <c r="AM507" t="str">
        <f t="shared" si="71"/>
        <v/>
      </c>
    </row>
    <row r="508" spans="1:39" x14ac:dyDescent="0.55000000000000004">
      <c r="A508">
        <v>1777000502</v>
      </c>
      <c r="B508" t="s">
        <v>72</v>
      </c>
      <c r="C508" t="s">
        <v>73</v>
      </c>
      <c r="D508">
        <v>4674.62</v>
      </c>
      <c r="E508">
        <v>4518.5928199999998</v>
      </c>
      <c r="F508">
        <v>4596.0559499999999</v>
      </c>
      <c r="G508">
        <v>4755.40355</v>
      </c>
      <c r="H508">
        <v>4792.7697200000002</v>
      </c>
      <c r="Q508">
        <v>4682.2300599999999</v>
      </c>
      <c r="R508">
        <v>4711.5933599999998</v>
      </c>
      <c r="S508">
        <v>4738.1821300000001</v>
      </c>
      <c r="V508">
        <v>4647.2902899999999</v>
      </c>
      <c r="W508">
        <v>4613.7253000000001</v>
      </c>
      <c r="AB508">
        <v>4671.8266199999998</v>
      </c>
      <c r="AC508">
        <v>4675.1177200000002</v>
      </c>
      <c r="AD508">
        <v>0</v>
      </c>
      <c r="AE508">
        <f t="shared" si="68"/>
        <v>506</v>
      </c>
      <c r="AF508">
        <f t="shared" si="69"/>
        <v>505</v>
      </c>
      <c r="AG508">
        <f t="shared" si="63"/>
        <v>-7.6100599999999758</v>
      </c>
      <c r="AH508">
        <f t="shared" si="64"/>
        <v>57.913013203599633</v>
      </c>
      <c r="AI508">
        <f t="shared" si="65"/>
        <v>-1.0138642909782055E-2</v>
      </c>
      <c r="AJ508">
        <f t="shared" si="66"/>
        <v>2.1943527145618213E-3</v>
      </c>
      <c r="AK508">
        <f t="shared" si="67"/>
        <v>255025</v>
      </c>
      <c r="AL508">
        <f t="shared" si="70"/>
        <v>4701.3644000000004</v>
      </c>
      <c r="AM508" t="str">
        <f t="shared" si="71"/>
        <v/>
      </c>
    </row>
    <row r="509" spans="1:39" x14ac:dyDescent="0.55000000000000004">
      <c r="A509">
        <v>1777001402</v>
      </c>
      <c r="B509" t="s">
        <v>72</v>
      </c>
      <c r="C509" t="s">
        <v>73</v>
      </c>
      <c r="D509">
        <v>4675.32</v>
      </c>
      <c r="E509">
        <v>4518.5928199999998</v>
      </c>
      <c r="F509">
        <v>4596.0559499999999</v>
      </c>
      <c r="G509">
        <v>4755.40355</v>
      </c>
      <c r="H509">
        <v>4792.7697200000002</v>
      </c>
      <c r="Q509">
        <v>4681.9624599999997</v>
      </c>
      <c r="R509">
        <v>4711.3257599999997</v>
      </c>
      <c r="S509">
        <v>4737.91453</v>
      </c>
      <c r="V509">
        <v>4647.0226899999998</v>
      </c>
      <c r="W509">
        <v>4613.4576900000002</v>
      </c>
      <c r="AB509">
        <v>4669.94697</v>
      </c>
      <c r="AC509">
        <v>4672.5323500000004</v>
      </c>
      <c r="AD509">
        <v>0</v>
      </c>
      <c r="AE509">
        <f t="shared" si="68"/>
        <v>507</v>
      </c>
      <c r="AF509">
        <f t="shared" si="69"/>
        <v>506</v>
      </c>
      <c r="AG509">
        <f t="shared" si="63"/>
        <v>-6.6424600000000282</v>
      </c>
      <c r="AH509">
        <f t="shared" si="64"/>
        <v>44.122274851600373</v>
      </c>
      <c r="AI509">
        <f t="shared" si="65"/>
        <v>-6.742212368694914E-3</v>
      </c>
      <c r="AJ509">
        <f t="shared" si="66"/>
        <v>1.2737080803300477E-3</v>
      </c>
      <c r="AK509">
        <f t="shared" si="67"/>
        <v>256036</v>
      </c>
      <c r="AL509">
        <f t="shared" si="70"/>
        <v>4701.3644000000004</v>
      </c>
      <c r="AM509" t="str">
        <f t="shared" si="71"/>
        <v/>
      </c>
    </row>
    <row r="510" spans="1:39" x14ac:dyDescent="0.55000000000000004">
      <c r="A510">
        <v>1777002302</v>
      </c>
      <c r="B510" t="s">
        <v>72</v>
      </c>
      <c r="C510" t="s">
        <v>73</v>
      </c>
      <c r="D510">
        <v>4672.16</v>
      </c>
      <c r="E510">
        <v>4518.5928199999998</v>
      </c>
      <c r="F510">
        <v>4596.0559499999999</v>
      </c>
      <c r="G510">
        <v>4755.40355</v>
      </c>
      <c r="H510">
        <v>4792.7697200000002</v>
      </c>
      <c r="Q510">
        <v>4681.6948499999999</v>
      </c>
      <c r="R510">
        <v>4711.0581499999998</v>
      </c>
      <c r="S510">
        <v>4737.6469200000001</v>
      </c>
      <c r="V510">
        <v>4646.7550799999999</v>
      </c>
      <c r="W510">
        <v>4613.1900900000001</v>
      </c>
      <c r="AB510">
        <v>4668.8726299999998</v>
      </c>
      <c r="AC510">
        <v>4670.7024899999997</v>
      </c>
      <c r="AD510">
        <v>0</v>
      </c>
      <c r="AE510">
        <f t="shared" si="68"/>
        <v>508</v>
      </c>
      <c r="AF510">
        <f t="shared" si="69"/>
        <v>507</v>
      </c>
      <c r="AG510">
        <f t="shared" si="63"/>
        <v>-9.5348500000000058</v>
      </c>
      <c r="AH510">
        <f t="shared" si="64"/>
        <v>90.913364522500117</v>
      </c>
      <c r="AI510">
        <f t="shared" si="65"/>
        <v>-1.9941470489026877E-2</v>
      </c>
      <c r="AJ510">
        <f t="shared" si="66"/>
        <v>5.4076624338163272E-3</v>
      </c>
      <c r="AK510">
        <f t="shared" si="67"/>
        <v>257049</v>
      </c>
      <c r="AL510">
        <f t="shared" si="70"/>
        <v>4701.3644000000004</v>
      </c>
      <c r="AM510" t="str">
        <f t="shared" si="71"/>
        <v/>
      </c>
    </row>
    <row r="511" spans="1:39" x14ac:dyDescent="0.55000000000000004">
      <c r="A511">
        <v>1777003202</v>
      </c>
      <c r="B511" t="s">
        <v>72</v>
      </c>
      <c r="C511" t="s">
        <v>73</v>
      </c>
      <c r="D511">
        <v>4670.01</v>
      </c>
      <c r="E511">
        <v>4518.5928199999998</v>
      </c>
      <c r="F511">
        <v>4596.0559499999999</v>
      </c>
      <c r="G511">
        <v>4755.40355</v>
      </c>
      <c r="H511">
        <v>4792.7697200000002</v>
      </c>
      <c r="Q511">
        <v>4681.4272499999997</v>
      </c>
      <c r="R511">
        <v>4710.7905499999997</v>
      </c>
      <c r="S511">
        <v>4737.37932</v>
      </c>
      <c r="V511">
        <v>4646.4874799999998</v>
      </c>
      <c r="W511">
        <v>4612.9224800000002</v>
      </c>
      <c r="AB511">
        <v>4668.6490599999997</v>
      </c>
      <c r="AC511">
        <v>4669.6757799999996</v>
      </c>
      <c r="AD511">
        <v>0</v>
      </c>
      <c r="AE511">
        <f t="shared" si="68"/>
        <v>509</v>
      </c>
      <c r="AF511">
        <f t="shared" si="69"/>
        <v>508</v>
      </c>
      <c r="AG511">
        <f t="shared" si="63"/>
        <v>-11.417249999999513</v>
      </c>
      <c r="AH511">
        <f t="shared" si="64"/>
        <v>130.35359756248886</v>
      </c>
      <c r="AI511">
        <f t="shared" si="65"/>
        <v>-3.4237347970437135E-2</v>
      </c>
      <c r="AJ511">
        <f t="shared" si="66"/>
        <v>1.1117321259338703E-2</v>
      </c>
      <c r="AK511">
        <f t="shared" si="67"/>
        <v>258064</v>
      </c>
      <c r="AL511">
        <f t="shared" si="70"/>
        <v>4701.3644000000004</v>
      </c>
      <c r="AM511" t="str">
        <f t="shared" si="71"/>
        <v/>
      </c>
    </row>
    <row r="512" spans="1:39" x14ac:dyDescent="0.55000000000000004">
      <c r="A512">
        <v>1777004102</v>
      </c>
      <c r="B512" t="s">
        <v>72</v>
      </c>
      <c r="C512" t="s">
        <v>73</v>
      </c>
      <c r="D512">
        <v>4659.6499999999996</v>
      </c>
      <c r="E512">
        <v>4518.5928199999998</v>
      </c>
      <c r="F512">
        <v>4596.0559499999999</v>
      </c>
      <c r="G512">
        <v>4755.40355</v>
      </c>
      <c r="H512">
        <v>4792.7697200000002</v>
      </c>
      <c r="Q512">
        <v>4681.1596499999996</v>
      </c>
      <c r="R512">
        <v>4710.5229399999998</v>
      </c>
      <c r="S512">
        <v>4737.1117199999999</v>
      </c>
      <c r="V512">
        <v>4646.2198799999996</v>
      </c>
      <c r="W512">
        <v>4612.65488</v>
      </c>
      <c r="AB512">
        <v>4669.3183900000004</v>
      </c>
      <c r="AC512">
        <v>4669.4970800000001</v>
      </c>
      <c r="AD512">
        <v>0</v>
      </c>
      <c r="AE512">
        <f t="shared" si="68"/>
        <v>510</v>
      </c>
      <c r="AF512">
        <f t="shared" si="69"/>
        <v>509</v>
      </c>
      <c r="AG512">
        <f t="shared" si="63"/>
        <v>-21.509649999999965</v>
      </c>
      <c r="AH512">
        <f t="shared" si="64"/>
        <v>462.6650431224985</v>
      </c>
      <c r="AI512">
        <f t="shared" si="65"/>
        <v>-0.22893680395352964</v>
      </c>
      <c r="AJ512">
        <f t="shared" si="66"/>
        <v>0.14005141062343207</v>
      </c>
      <c r="AK512">
        <f t="shared" si="67"/>
        <v>259081</v>
      </c>
      <c r="AL512">
        <f t="shared" si="70"/>
        <v>4701.3644000000004</v>
      </c>
      <c r="AM512" t="str">
        <f t="shared" si="71"/>
        <v/>
      </c>
    </row>
    <row r="513" spans="1:39" x14ac:dyDescent="0.55000000000000004">
      <c r="A513">
        <v>1777005002</v>
      </c>
      <c r="B513" t="s">
        <v>72</v>
      </c>
      <c r="C513" t="s">
        <v>73</v>
      </c>
      <c r="D513">
        <v>4668.58</v>
      </c>
      <c r="E513">
        <v>4518.5928199999998</v>
      </c>
      <c r="F513">
        <v>4596.0559499999999</v>
      </c>
      <c r="G513">
        <v>4755.40355</v>
      </c>
      <c r="H513">
        <v>4792.7697200000002</v>
      </c>
      <c r="Q513">
        <v>4680.8920399999997</v>
      </c>
      <c r="R513">
        <v>4710.2553399999997</v>
      </c>
      <c r="S513">
        <v>4736.84411</v>
      </c>
      <c r="V513">
        <v>4645.9522699999998</v>
      </c>
      <c r="W513">
        <v>4612.3872700000002</v>
      </c>
      <c r="AA513">
        <v>4658.17</v>
      </c>
      <c r="AB513">
        <v>4671.0085200000003</v>
      </c>
      <c r="AC513">
        <v>4670.2528000000002</v>
      </c>
      <c r="AD513">
        <v>1</v>
      </c>
      <c r="AE513">
        <f t="shared" si="68"/>
        <v>511</v>
      </c>
      <c r="AF513">
        <f t="shared" si="69"/>
        <v>510</v>
      </c>
      <c r="AG513">
        <f t="shared" si="63"/>
        <v>-12.312039999999797</v>
      </c>
      <c r="AH513">
        <f t="shared" si="64"/>
        <v>151.586328961595</v>
      </c>
      <c r="AI513">
        <f t="shared" si="65"/>
        <v>-4.2934423701170787E-2</v>
      </c>
      <c r="AJ513">
        <f t="shared" si="66"/>
        <v>1.5033987464336492E-2</v>
      </c>
      <c r="AK513">
        <f t="shared" si="67"/>
        <v>260100</v>
      </c>
      <c r="AL513">
        <f t="shared" si="70"/>
        <v>4671.0085200000003</v>
      </c>
      <c r="AM513">
        <f t="shared" si="71"/>
        <v>30.35588000000007</v>
      </c>
    </row>
    <row r="514" spans="1:39" x14ac:dyDescent="0.55000000000000004">
      <c r="A514">
        <v>1777005902</v>
      </c>
      <c r="B514" t="s">
        <v>72</v>
      </c>
      <c r="C514" t="s">
        <v>73</v>
      </c>
      <c r="D514">
        <v>4674.53</v>
      </c>
      <c r="E514">
        <v>4518.5928199999998</v>
      </c>
      <c r="F514">
        <v>4596.0559499999999</v>
      </c>
      <c r="G514">
        <v>4755.40355</v>
      </c>
      <c r="H514">
        <v>4792.7697200000002</v>
      </c>
      <c r="Q514">
        <v>4680.6244399999996</v>
      </c>
      <c r="R514">
        <v>4709.9877399999996</v>
      </c>
      <c r="S514">
        <v>4736.5765099999999</v>
      </c>
      <c r="V514">
        <v>4645.6846699999996</v>
      </c>
      <c r="W514">
        <v>4612.11967</v>
      </c>
      <c r="AB514">
        <v>4673.2037700000001</v>
      </c>
      <c r="AC514">
        <v>4671.72829</v>
      </c>
      <c r="AD514">
        <v>0</v>
      </c>
      <c r="AE514">
        <f t="shared" si="68"/>
        <v>512</v>
      </c>
      <c r="AF514">
        <f t="shared" si="69"/>
        <v>511</v>
      </c>
      <c r="AG514">
        <f t="shared" si="63"/>
        <v>-6.0944399999998495</v>
      </c>
      <c r="AH514">
        <f t="shared" si="64"/>
        <v>37.142198913598165</v>
      </c>
      <c r="AI514">
        <f t="shared" si="65"/>
        <v>-5.2073527937619053E-3</v>
      </c>
      <c r="AJ514">
        <f t="shared" si="66"/>
        <v>9.025875436995557E-4</v>
      </c>
      <c r="AK514">
        <f t="shared" si="67"/>
        <v>261121</v>
      </c>
      <c r="AL514">
        <f t="shared" si="70"/>
        <v>4671.0085200000003</v>
      </c>
      <c r="AM514" t="str">
        <f t="shared" si="71"/>
        <v/>
      </c>
    </row>
    <row r="515" spans="1:39" x14ac:dyDescent="0.55000000000000004">
      <c r="A515">
        <v>1777006802</v>
      </c>
      <c r="B515" t="s">
        <v>72</v>
      </c>
      <c r="C515" t="s">
        <v>73</v>
      </c>
      <c r="D515">
        <v>4673.4399999999996</v>
      </c>
      <c r="E515">
        <v>4518.5928199999998</v>
      </c>
      <c r="F515">
        <v>4596.0559499999999</v>
      </c>
      <c r="G515">
        <v>4755.40355</v>
      </c>
      <c r="H515">
        <v>4792.7697200000002</v>
      </c>
      <c r="Q515">
        <v>4680.3568299999997</v>
      </c>
      <c r="R515">
        <v>4709.7201299999997</v>
      </c>
      <c r="S515">
        <v>4736.3089</v>
      </c>
      <c r="V515">
        <v>4645.4170599999998</v>
      </c>
      <c r="W515">
        <v>4611.8520699999999</v>
      </c>
      <c r="AB515">
        <v>4675.3896699999996</v>
      </c>
      <c r="AC515">
        <v>4673.5589799999998</v>
      </c>
      <c r="AD515">
        <v>0</v>
      </c>
      <c r="AE515">
        <f t="shared" si="68"/>
        <v>513</v>
      </c>
      <c r="AF515">
        <f t="shared" si="69"/>
        <v>512</v>
      </c>
      <c r="AG515">
        <f t="shared" ref="AG515:AG578" si="72">D515-Q515</f>
        <v>-6.9168300000001182</v>
      </c>
      <c r="AH515">
        <f t="shared" ref="AH515:AH578" si="73">AG515^2</f>
        <v>47.842537248901635</v>
      </c>
      <c r="AI515">
        <f t="shared" ref="AI515:AI578" si="74">(AG515/STDEV($AG$3:$AG$1137))^3</f>
        <v>-7.612668000520525E-3</v>
      </c>
      <c r="AJ515">
        <f t="shared" ref="AJ515:AJ578" si="75">(AG515/STDEV($AG$3:$AG$1137))^4</f>
        <v>1.4975540983149128E-3</v>
      </c>
      <c r="AK515">
        <f t="shared" ref="AK515:AK578" si="76">AF515^2</f>
        <v>262144</v>
      </c>
      <c r="AL515">
        <f t="shared" si="70"/>
        <v>4671.0085200000003</v>
      </c>
      <c r="AM515" t="str">
        <f t="shared" si="71"/>
        <v/>
      </c>
    </row>
    <row r="516" spans="1:39" x14ac:dyDescent="0.55000000000000004">
      <c r="A516">
        <v>1777007702</v>
      </c>
      <c r="B516" t="s">
        <v>72</v>
      </c>
      <c r="C516" t="s">
        <v>73</v>
      </c>
      <c r="D516">
        <v>4676.49</v>
      </c>
      <c r="E516">
        <v>4518.5928199999998</v>
      </c>
      <c r="F516">
        <v>4596.0559499999999</v>
      </c>
      <c r="G516">
        <v>4755.40355</v>
      </c>
      <c r="H516">
        <v>4792.7697200000002</v>
      </c>
      <c r="Q516">
        <v>4680.0892299999996</v>
      </c>
      <c r="R516">
        <v>4709.4525299999996</v>
      </c>
      <c r="S516">
        <v>4736.0412999999999</v>
      </c>
      <c r="V516">
        <v>4645.1494599999996</v>
      </c>
      <c r="W516">
        <v>4611.58446</v>
      </c>
      <c r="AB516">
        <v>4677.27477</v>
      </c>
      <c r="AC516">
        <v>4675.4168799999998</v>
      </c>
      <c r="AD516">
        <v>0</v>
      </c>
      <c r="AE516">
        <f t="shared" ref="AE516:AE579" si="77">AE515+1</f>
        <v>514</v>
      </c>
      <c r="AF516">
        <f t="shared" ref="AF516:AF579" si="78">AF515+1</f>
        <v>513</v>
      </c>
      <c r="AG516">
        <f t="shared" si="72"/>
        <v>-3.5992299999998068</v>
      </c>
      <c r="AH516">
        <f t="shared" si="73"/>
        <v>12.954456592898609</v>
      </c>
      <c r="AI516">
        <f t="shared" si="74"/>
        <v>-1.0726162808869699E-3</v>
      </c>
      <c r="AJ516">
        <f t="shared" si="75"/>
        <v>1.0979751547881845E-4</v>
      </c>
      <c r="AK516">
        <f t="shared" si="76"/>
        <v>263169</v>
      </c>
      <c r="AL516">
        <f t="shared" ref="AL516:AL579" si="79">IF(AD516=1,AB516,IF(AL515&lt;&gt;"",AL515,""))</f>
        <v>4671.0085200000003</v>
      </c>
      <c r="AM516" t="str">
        <f t="shared" ref="AM516:AM579" si="80">IF(AND(AD516=1,AL515&lt;&gt;""),ABS(AB516-AL515),"")</f>
        <v/>
      </c>
    </row>
    <row r="517" spans="1:39" x14ac:dyDescent="0.55000000000000004">
      <c r="A517">
        <v>1777008602</v>
      </c>
      <c r="B517" t="s">
        <v>72</v>
      </c>
      <c r="C517" t="s">
        <v>73</v>
      </c>
      <c r="D517">
        <v>4682.6499999999996</v>
      </c>
      <c r="E517">
        <v>4518.5928199999998</v>
      </c>
      <c r="F517">
        <v>4596.0559499999999</v>
      </c>
      <c r="G517">
        <v>4755.40355</v>
      </c>
      <c r="H517">
        <v>4792.7697200000002</v>
      </c>
      <c r="Q517">
        <v>4679.8216300000004</v>
      </c>
      <c r="R517">
        <v>4709.1849199999997</v>
      </c>
      <c r="S517">
        <v>4735.77369</v>
      </c>
      <c r="V517">
        <v>4644.8818499999998</v>
      </c>
      <c r="W517">
        <v>4611.3168599999999</v>
      </c>
      <c r="AB517">
        <v>4678.5193200000003</v>
      </c>
      <c r="AC517">
        <v>4676.9681</v>
      </c>
      <c r="AD517">
        <v>0</v>
      </c>
      <c r="AE517">
        <f t="shared" si="77"/>
        <v>515</v>
      </c>
      <c r="AF517">
        <f t="shared" si="78"/>
        <v>514</v>
      </c>
      <c r="AG517">
        <f t="shared" si="72"/>
        <v>2.8283699999992677</v>
      </c>
      <c r="AH517">
        <f t="shared" si="73"/>
        <v>7.9996768568958583</v>
      </c>
      <c r="AI517">
        <f t="shared" si="74"/>
        <v>5.2050421510654908E-4</v>
      </c>
      <c r="AJ517">
        <f t="shared" si="75"/>
        <v>4.1869618241982784E-5</v>
      </c>
      <c r="AK517">
        <f t="shared" si="76"/>
        <v>264196</v>
      </c>
      <c r="AL517">
        <f t="shared" si="79"/>
        <v>4671.0085200000003</v>
      </c>
      <c r="AM517" t="str">
        <f t="shared" si="80"/>
        <v/>
      </c>
    </row>
    <row r="518" spans="1:39" x14ac:dyDescent="0.55000000000000004">
      <c r="A518">
        <v>1777009502</v>
      </c>
      <c r="B518" t="s">
        <v>72</v>
      </c>
      <c r="C518" t="s">
        <v>73</v>
      </c>
      <c r="D518">
        <v>4686.43</v>
      </c>
      <c r="E518">
        <v>4518.5928199999998</v>
      </c>
      <c r="F518">
        <v>4596.0559499999999</v>
      </c>
      <c r="G518">
        <v>4755.40355</v>
      </c>
      <c r="H518">
        <v>4792.7697200000002</v>
      </c>
      <c r="Q518">
        <v>4679.5540199999996</v>
      </c>
      <c r="R518">
        <v>4708.9173199999996</v>
      </c>
      <c r="S518">
        <v>4735.5060899999999</v>
      </c>
      <c r="V518">
        <v>4644.6142499999996</v>
      </c>
      <c r="W518">
        <v>4611.04925</v>
      </c>
      <c r="AB518">
        <v>4678.8694299999997</v>
      </c>
      <c r="AC518">
        <v>4677.9187599999996</v>
      </c>
      <c r="AD518">
        <v>0</v>
      </c>
      <c r="AE518">
        <f t="shared" si="77"/>
        <v>516</v>
      </c>
      <c r="AF518">
        <f t="shared" si="78"/>
        <v>515</v>
      </c>
      <c r="AG518">
        <f t="shared" si="72"/>
        <v>6.875980000000709</v>
      </c>
      <c r="AH518">
        <f t="shared" si="73"/>
        <v>47.27910096040975</v>
      </c>
      <c r="AI518">
        <f t="shared" si="74"/>
        <v>7.4785843930467782E-3</v>
      </c>
      <c r="AJ518">
        <f t="shared" si="75"/>
        <v>1.4624887426367807E-3</v>
      </c>
      <c r="AK518">
        <f t="shared" si="76"/>
        <v>265225</v>
      </c>
      <c r="AL518">
        <f t="shared" si="79"/>
        <v>4671.0085200000003</v>
      </c>
      <c r="AM518" t="str">
        <f t="shared" si="80"/>
        <v/>
      </c>
    </row>
    <row r="519" spans="1:39" x14ac:dyDescent="0.55000000000000004">
      <c r="A519">
        <v>1777010402</v>
      </c>
      <c r="B519" t="s">
        <v>72</v>
      </c>
      <c r="C519" t="s">
        <v>73</v>
      </c>
      <c r="D519">
        <v>4681.83</v>
      </c>
      <c r="E519">
        <v>4518.5928199999998</v>
      </c>
      <c r="F519">
        <v>4596.0559499999999</v>
      </c>
      <c r="G519">
        <v>4755.40355</v>
      </c>
      <c r="H519">
        <v>4792.7697200000002</v>
      </c>
      <c r="Q519">
        <v>4679.2864200000004</v>
      </c>
      <c r="R519">
        <v>4708.6497200000003</v>
      </c>
      <c r="S519">
        <v>4735.2384899999997</v>
      </c>
      <c r="V519">
        <v>4644.3466500000004</v>
      </c>
      <c r="W519">
        <v>4610.7816499999999</v>
      </c>
      <c r="AB519">
        <v>4678.3994700000003</v>
      </c>
      <c r="AC519">
        <v>4678.1591099999996</v>
      </c>
      <c r="AD519">
        <v>0</v>
      </c>
      <c r="AE519">
        <f t="shared" si="77"/>
        <v>517</v>
      </c>
      <c r="AF519">
        <f t="shared" si="78"/>
        <v>516</v>
      </c>
      <c r="AG519">
        <f t="shared" si="72"/>
        <v>2.5435799999995652</v>
      </c>
      <c r="AH519">
        <f t="shared" si="73"/>
        <v>6.4697992163977878</v>
      </c>
      <c r="AI519">
        <f t="shared" si="74"/>
        <v>3.7857487617891112E-4</v>
      </c>
      <c r="AJ519">
        <f t="shared" si="75"/>
        <v>2.7386448653818671E-5</v>
      </c>
      <c r="AK519">
        <f t="shared" si="76"/>
        <v>266256</v>
      </c>
      <c r="AL519">
        <f t="shared" si="79"/>
        <v>4671.0085200000003</v>
      </c>
      <c r="AM519" t="str">
        <f t="shared" si="80"/>
        <v/>
      </c>
    </row>
    <row r="520" spans="1:39" x14ac:dyDescent="0.55000000000000004">
      <c r="A520">
        <v>1777011302</v>
      </c>
      <c r="B520" t="s">
        <v>72</v>
      </c>
      <c r="C520" t="s">
        <v>73</v>
      </c>
      <c r="D520">
        <v>4671.45</v>
      </c>
      <c r="E520">
        <v>4518.5928199999998</v>
      </c>
      <c r="F520">
        <v>4596.0559499999999</v>
      </c>
      <c r="G520">
        <v>4755.40355</v>
      </c>
      <c r="H520">
        <v>4792.7697200000002</v>
      </c>
      <c r="Q520">
        <v>4679.0188099999996</v>
      </c>
      <c r="R520">
        <v>4708.3821099999996</v>
      </c>
      <c r="S520">
        <v>4734.9708799999999</v>
      </c>
      <c r="V520">
        <v>4644.0790399999996</v>
      </c>
      <c r="W520">
        <v>4610.5140499999998</v>
      </c>
      <c r="AB520">
        <v>4677.5967899999996</v>
      </c>
      <c r="AC520">
        <v>4677.8779500000001</v>
      </c>
      <c r="AD520">
        <v>1</v>
      </c>
      <c r="AE520">
        <f t="shared" si="77"/>
        <v>518</v>
      </c>
      <c r="AF520">
        <f t="shared" si="78"/>
        <v>517</v>
      </c>
      <c r="AG520">
        <f t="shared" si="72"/>
        <v>-7.5688099999997576</v>
      </c>
      <c r="AH520">
        <f t="shared" si="73"/>
        <v>57.286884816096332</v>
      </c>
      <c r="AI520">
        <f t="shared" si="74"/>
        <v>-9.974666734327238E-3</v>
      </c>
      <c r="AJ520">
        <f t="shared" si="75"/>
        <v>2.1471605821596572E-3</v>
      </c>
      <c r="AK520">
        <f t="shared" si="76"/>
        <v>267289</v>
      </c>
      <c r="AL520">
        <f t="shared" si="79"/>
        <v>4677.5967899999996</v>
      </c>
      <c r="AM520">
        <f t="shared" si="80"/>
        <v>6.5882699999992838</v>
      </c>
    </row>
    <row r="521" spans="1:39" x14ac:dyDescent="0.55000000000000004">
      <c r="A521">
        <v>1777012202</v>
      </c>
      <c r="B521" t="s">
        <v>72</v>
      </c>
      <c r="C521" t="s">
        <v>73</v>
      </c>
      <c r="D521">
        <v>4673.71</v>
      </c>
      <c r="E521">
        <v>4518.5928199999998</v>
      </c>
      <c r="F521">
        <v>4596.0559499999999</v>
      </c>
      <c r="G521">
        <v>4755.40355</v>
      </c>
      <c r="H521">
        <v>4792.7697200000002</v>
      </c>
      <c r="Q521">
        <v>4678.7512100000004</v>
      </c>
      <c r="R521">
        <v>4708.1145100000003</v>
      </c>
      <c r="S521">
        <v>4734.7032799999997</v>
      </c>
      <c r="V521">
        <v>4643.8114400000004</v>
      </c>
      <c r="W521">
        <v>4610.2464399999999</v>
      </c>
      <c r="AB521">
        <v>4677.2332800000004</v>
      </c>
      <c r="AC521">
        <v>4677.5556200000001</v>
      </c>
      <c r="AD521">
        <v>0</v>
      </c>
      <c r="AE521">
        <f t="shared" si="77"/>
        <v>519</v>
      </c>
      <c r="AF521">
        <f t="shared" si="78"/>
        <v>518</v>
      </c>
      <c r="AG521">
        <f t="shared" si="72"/>
        <v>-5.0412100000003193</v>
      </c>
      <c r="AH521">
        <f t="shared" si="73"/>
        <v>25.413798264103217</v>
      </c>
      <c r="AI521">
        <f t="shared" si="74"/>
        <v>-2.9472701916062618E-3</v>
      </c>
      <c r="AJ521">
        <f t="shared" si="75"/>
        <v>4.2256475311959235E-4</v>
      </c>
      <c r="AK521">
        <f t="shared" si="76"/>
        <v>268324</v>
      </c>
      <c r="AL521">
        <f t="shared" si="79"/>
        <v>4677.5967899999996</v>
      </c>
      <c r="AM521" t="str">
        <f t="shared" si="80"/>
        <v/>
      </c>
    </row>
    <row r="522" spans="1:39" x14ac:dyDescent="0.55000000000000004">
      <c r="A522">
        <v>1777013102</v>
      </c>
      <c r="B522" t="s">
        <v>72</v>
      </c>
      <c r="C522" t="s">
        <v>73</v>
      </c>
      <c r="D522">
        <v>4671.9799999999996</v>
      </c>
      <c r="E522">
        <v>4518.5928199999998</v>
      </c>
      <c r="F522">
        <v>4596.0559499999999</v>
      </c>
      <c r="G522">
        <v>4755.40355</v>
      </c>
      <c r="H522">
        <v>4792.7697200000002</v>
      </c>
      <c r="Q522">
        <v>4678.4835999999996</v>
      </c>
      <c r="R522">
        <v>4707.8468999999996</v>
      </c>
      <c r="S522">
        <v>4734.4356699999998</v>
      </c>
      <c r="V522">
        <v>4643.5438299999996</v>
      </c>
      <c r="W522">
        <v>4609.9788399999998</v>
      </c>
      <c r="AB522">
        <v>4677.6687300000003</v>
      </c>
      <c r="AC522">
        <v>4677.6121700000003</v>
      </c>
      <c r="AD522">
        <v>1</v>
      </c>
      <c r="AE522">
        <f t="shared" si="77"/>
        <v>520</v>
      </c>
      <c r="AF522">
        <f t="shared" si="78"/>
        <v>519</v>
      </c>
      <c r="AG522">
        <f t="shared" si="72"/>
        <v>-6.5036000000000058</v>
      </c>
      <c r="AH522">
        <f t="shared" si="73"/>
        <v>42.296812960000075</v>
      </c>
      <c r="AI522">
        <f t="shared" si="74"/>
        <v>-6.3281541773710769E-3</v>
      </c>
      <c r="AJ522">
        <f t="shared" si="75"/>
        <v>1.1704945669794521E-3</v>
      </c>
      <c r="AK522">
        <f t="shared" si="76"/>
        <v>269361</v>
      </c>
      <c r="AL522">
        <f t="shared" si="79"/>
        <v>4677.6687300000003</v>
      </c>
      <c r="AM522">
        <f t="shared" si="80"/>
        <v>7.1940000000722648E-2</v>
      </c>
    </row>
    <row r="523" spans="1:39" x14ac:dyDescent="0.55000000000000004">
      <c r="A523">
        <v>1777014002</v>
      </c>
      <c r="B523" t="s">
        <v>72</v>
      </c>
      <c r="C523" t="s">
        <v>73</v>
      </c>
      <c r="D523">
        <v>4680.6099999999997</v>
      </c>
      <c r="E523">
        <v>4518.5928199999998</v>
      </c>
      <c r="F523">
        <v>4596.0559499999999</v>
      </c>
      <c r="G523">
        <v>4755.40355</v>
      </c>
      <c r="H523">
        <v>4792.7697200000002</v>
      </c>
      <c r="Q523">
        <v>4678.2160000000003</v>
      </c>
      <c r="R523">
        <v>4707.5793000000003</v>
      </c>
      <c r="S523">
        <v>4734.1680699999997</v>
      </c>
      <c r="V523">
        <v>4643.2762300000004</v>
      </c>
      <c r="W523">
        <v>4609.7112299999999</v>
      </c>
      <c r="AB523">
        <v>4679.2271799999999</v>
      </c>
      <c r="AC523">
        <v>4678.41968</v>
      </c>
      <c r="AD523">
        <v>0</v>
      </c>
      <c r="AE523">
        <f t="shared" si="77"/>
        <v>521</v>
      </c>
      <c r="AF523">
        <f t="shared" si="78"/>
        <v>520</v>
      </c>
      <c r="AG523">
        <f t="shared" si="72"/>
        <v>2.3939999999993233</v>
      </c>
      <c r="AH523">
        <f t="shared" si="73"/>
        <v>5.7312359999967599</v>
      </c>
      <c r="AI523">
        <f t="shared" si="74"/>
        <v>3.1563708413092891E-4</v>
      </c>
      <c r="AJ523">
        <f t="shared" si="75"/>
        <v>2.1490706693657873E-5</v>
      </c>
      <c r="AK523">
        <f t="shared" si="76"/>
        <v>270400</v>
      </c>
      <c r="AL523">
        <f t="shared" si="79"/>
        <v>4677.6687300000003</v>
      </c>
      <c r="AM523" t="str">
        <f t="shared" si="80"/>
        <v/>
      </c>
    </row>
    <row r="524" spans="1:39" x14ac:dyDescent="0.55000000000000004">
      <c r="A524">
        <v>1777014902</v>
      </c>
      <c r="B524" t="s">
        <v>72</v>
      </c>
      <c r="C524" t="s">
        <v>73</v>
      </c>
      <c r="D524">
        <v>4684.49</v>
      </c>
      <c r="E524">
        <v>4518.5928199999998</v>
      </c>
      <c r="F524">
        <v>4596.0559499999999</v>
      </c>
      <c r="G524">
        <v>4755.40355</v>
      </c>
      <c r="H524">
        <v>4792.7697200000002</v>
      </c>
      <c r="Q524">
        <v>4677.9484000000002</v>
      </c>
      <c r="R524">
        <v>4707.3117000000002</v>
      </c>
      <c r="S524">
        <v>4733.9004699999996</v>
      </c>
      <c r="V524">
        <v>4643.0086300000003</v>
      </c>
      <c r="W524">
        <v>4609.4436299999998</v>
      </c>
      <c r="AB524">
        <v>4681.6808000000001</v>
      </c>
      <c r="AC524">
        <v>4680.0502399999996</v>
      </c>
      <c r="AD524">
        <v>0</v>
      </c>
      <c r="AE524">
        <f t="shared" si="77"/>
        <v>522</v>
      </c>
      <c r="AF524">
        <f t="shared" si="78"/>
        <v>521</v>
      </c>
      <c r="AG524">
        <f t="shared" si="72"/>
        <v>6.541599999999562</v>
      </c>
      <c r="AH524">
        <f t="shared" si="73"/>
        <v>42.792530559994269</v>
      </c>
      <c r="AI524">
        <f t="shared" si="74"/>
        <v>6.4397282167660431E-3</v>
      </c>
      <c r="AJ524">
        <f t="shared" si="75"/>
        <v>1.1980916782130041E-3</v>
      </c>
      <c r="AK524">
        <f t="shared" si="76"/>
        <v>271441</v>
      </c>
      <c r="AL524">
        <f t="shared" si="79"/>
        <v>4677.6687300000003</v>
      </c>
      <c r="AM524" t="str">
        <f t="shared" si="80"/>
        <v/>
      </c>
    </row>
    <row r="525" spans="1:39" x14ac:dyDescent="0.55000000000000004">
      <c r="A525">
        <v>1777015802</v>
      </c>
      <c r="B525" t="s">
        <v>72</v>
      </c>
      <c r="C525" t="s">
        <v>73</v>
      </c>
      <c r="D525">
        <v>4685.6099999999997</v>
      </c>
      <c r="E525">
        <v>4518.5928199999998</v>
      </c>
      <c r="F525">
        <v>4596.0559499999999</v>
      </c>
      <c r="G525">
        <v>4755.40355</v>
      </c>
      <c r="H525">
        <v>4792.7697200000002</v>
      </c>
      <c r="Q525">
        <v>4677.6807900000003</v>
      </c>
      <c r="R525">
        <v>4707.0440900000003</v>
      </c>
      <c r="S525">
        <v>4733.6328599999997</v>
      </c>
      <c r="V525">
        <v>4642.7410200000004</v>
      </c>
      <c r="W525">
        <v>4609.1760299999996</v>
      </c>
      <c r="AB525">
        <v>4684.7010499999997</v>
      </c>
      <c r="AC525">
        <v>4682.3756400000002</v>
      </c>
      <c r="AD525">
        <v>0</v>
      </c>
      <c r="AE525">
        <f t="shared" si="77"/>
        <v>523</v>
      </c>
      <c r="AF525">
        <f t="shared" si="78"/>
        <v>522</v>
      </c>
      <c r="AG525">
        <f t="shared" si="72"/>
        <v>7.9292099999993297</v>
      </c>
      <c r="AH525">
        <f t="shared" si="73"/>
        <v>62.87237122408937</v>
      </c>
      <c r="AI525">
        <f t="shared" si="74"/>
        <v>1.1468466346817845E-2</v>
      </c>
      <c r="AJ525">
        <f t="shared" si="75"/>
        <v>2.5862695864099384E-3</v>
      </c>
      <c r="AK525">
        <f t="shared" si="76"/>
        <v>272484</v>
      </c>
      <c r="AL525">
        <f t="shared" si="79"/>
        <v>4677.6687300000003</v>
      </c>
      <c r="AM525" t="str">
        <f t="shared" si="80"/>
        <v/>
      </c>
    </row>
    <row r="526" spans="1:39" x14ac:dyDescent="0.55000000000000004">
      <c r="A526">
        <v>1777016702</v>
      </c>
      <c r="B526" t="s">
        <v>72</v>
      </c>
      <c r="C526" t="s">
        <v>73</v>
      </c>
      <c r="D526">
        <v>4694.57</v>
      </c>
      <c r="E526">
        <v>4518.5928199999998</v>
      </c>
      <c r="F526">
        <v>4596.0559499999999</v>
      </c>
      <c r="G526">
        <v>4755.40355</v>
      </c>
      <c r="H526">
        <v>4792.7697200000002</v>
      </c>
      <c r="Q526">
        <v>4677.4131900000002</v>
      </c>
      <c r="R526">
        <v>4706.7764900000002</v>
      </c>
      <c r="S526">
        <v>4733.3652599999996</v>
      </c>
      <c r="V526">
        <v>4642.4734200000003</v>
      </c>
      <c r="W526">
        <v>4608.9084199999998</v>
      </c>
      <c r="AB526">
        <v>4687.8302899999999</v>
      </c>
      <c r="AC526">
        <v>4685.1029699999999</v>
      </c>
      <c r="AD526">
        <v>0</v>
      </c>
      <c r="AE526">
        <f t="shared" si="77"/>
        <v>524</v>
      </c>
      <c r="AF526">
        <f t="shared" si="78"/>
        <v>523</v>
      </c>
      <c r="AG526">
        <f t="shared" si="72"/>
        <v>17.156809999999496</v>
      </c>
      <c r="AH526">
        <f t="shared" si="73"/>
        <v>294.35612937608272</v>
      </c>
      <c r="AI526">
        <f t="shared" si="74"/>
        <v>0.11617835150202539</v>
      </c>
      <c r="AJ526">
        <f t="shared" si="75"/>
        <v>5.6689193669417347E-2</v>
      </c>
      <c r="AK526">
        <f t="shared" si="76"/>
        <v>273529</v>
      </c>
      <c r="AL526">
        <f t="shared" si="79"/>
        <v>4677.6687300000003</v>
      </c>
      <c r="AM526" t="str">
        <f t="shared" si="80"/>
        <v/>
      </c>
    </row>
    <row r="527" spans="1:39" x14ac:dyDescent="0.55000000000000004">
      <c r="A527">
        <v>1777017602</v>
      </c>
      <c r="B527" t="s">
        <v>72</v>
      </c>
      <c r="C527" t="s">
        <v>73</v>
      </c>
      <c r="D527">
        <v>4687.45</v>
      </c>
      <c r="E527">
        <v>4518.5928199999998</v>
      </c>
      <c r="F527">
        <v>4596.0559499999999</v>
      </c>
      <c r="G527">
        <v>4755.40355</v>
      </c>
      <c r="H527">
        <v>4792.7697200000002</v>
      </c>
      <c r="Q527">
        <v>4677.1455800000003</v>
      </c>
      <c r="R527">
        <v>4706.5088800000003</v>
      </c>
      <c r="S527">
        <v>4733.0976499999997</v>
      </c>
      <c r="V527">
        <v>4642.2058100000004</v>
      </c>
      <c r="W527">
        <v>4608.6408199999996</v>
      </c>
      <c r="AB527">
        <v>4690.2907699999996</v>
      </c>
      <c r="AC527">
        <v>4687.6968699999998</v>
      </c>
      <c r="AD527">
        <v>0</v>
      </c>
      <c r="AE527">
        <f t="shared" si="77"/>
        <v>525</v>
      </c>
      <c r="AF527">
        <f t="shared" si="78"/>
        <v>524</v>
      </c>
      <c r="AG527">
        <f t="shared" si="72"/>
        <v>10.304419999999482</v>
      </c>
      <c r="AH527">
        <f t="shared" si="73"/>
        <v>106.18107153638931</v>
      </c>
      <c r="AI527">
        <f t="shared" si="74"/>
        <v>2.5170175292512423E-2</v>
      </c>
      <c r="AJ527">
        <f t="shared" si="75"/>
        <v>7.3764655782704658E-3</v>
      </c>
      <c r="AK527">
        <f t="shared" si="76"/>
        <v>274576</v>
      </c>
      <c r="AL527">
        <f t="shared" si="79"/>
        <v>4677.6687300000003</v>
      </c>
      <c r="AM527" t="str">
        <f t="shared" si="80"/>
        <v/>
      </c>
    </row>
    <row r="528" spans="1:39" x14ac:dyDescent="0.55000000000000004">
      <c r="A528">
        <v>1777018502</v>
      </c>
      <c r="B528" t="s">
        <v>72</v>
      </c>
      <c r="C528" t="s">
        <v>73</v>
      </c>
      <c r="D528">
        <v>4687.83</v>
      </c>
      <c r="E528">
        <v>4518.5928199999998</v>
      </c>
      <c r="F528">
        <v>4596.0559499999999</v>
      </c>
      <c r="G528">
        <v>4755.40355</v>
      </c>
      <c r="H528">
        <v>4792.7697200000002</v>
      </c>
      <c r="Q528">
        <v>4676.8779800000002</v>
      </c>
      <c r="R528">
        <v>4706.2412800000002</v>
      </c>
      <c r="S528">
        <v>4732.8300499999996</v>
      </c>
      <c r="V528">
        <v>4641.9382100000003</v>
      </c>
      <c r="W528">
        <v>4608.3732099999997</v>
      </c>
      <c r="AB528">
        <v>4691.8050300000004</v>
      </c>
      <c r="AC528">
        <v>4689.7509499999996</v>
      </c>
      <c r="AD528">
        <v>0</v>
      </c>
      <c r="AE528">
        <f t="shared" si="77"/>
        <v>526</v>
      </c>
      <c r="AF528">
        <f t="shared" si="78"/>
        <v>525</v>
      </c>
      <c r="AG528">
        <f t="shared" si="72"/>
        <v>10.95201999999972</v>
      </c>
      <c r="AH528">
        <f t="shared" si="73"/>
        <v>119.94674208039388</v>
      </c>
      <c r="AI528">
        <f t="shared" si="74"/>
        <v>3.0220265055454613E-2</v>
      </c>
      <c r="AJ528">
        <f t="shared" si="75"/>
        <v>9.4130643035470977E-3</v>
      </c>
      <c r="AK528">
        <f t="shared" si="76"/>
        <v>275625</v>
      </c>
      <c r="AL528">
        <f t="shared" si="79"/>
        <v>4677.6687300000003</v>
      </c>
      <c r="AM528" t="str">
        <f t="shared" si="80"/>
        <v/>
      </c>
    </row>
    <row r="529" spans="1:39" x14ac:dyDescent="0.55000000000000004">
      <c r="A529">
        <v>1777019402</v>
      </c>
      <c r="B529" t="s">
        <v>72</v>
      </c>
      <c r="C529" t="s">
        <v>73</v>
      </c>
      <c r="D529">
        <v>4688.13</v>
      </c>
      <c r="E529">
        <v>4518.5928199999998</v>
      </c>
      <c r="F529">
        <v>4596.0559499999999</v>
      </c>
      <c r="G529">
        <v>4755.40355</v>
      </c>
      <c r="H529">
        <v>4792.7697200000002</v>
      </c>
      <c r="Q529">
        <v>4676.6103800000001</v>
      </c>
      <c r="R529">
        <v>4705.9736700000003</v>
      </c>
      <c r="S529">
        <v>4732.5624500000004</v>
      </c>
      <c r="V529">
        <v>4641.6706100000001</v>
      </c>
      <c r="W529">
        <v>4608.1056099999996</v>
      </c>
      <c r="AB529">
        <v>4692.0533500000001</v>
      </c>
      <c r="AC529">
        <v>4690.9021499999999</v>
      </c>
      <c r="AD529">
        <v>0</v>
      </c>
      <c r="AE529">
        <f t="shared" si="77"/>
        <v>527</v>
      </c>
      <c r="AF529">
        <f t="shared" si="78"/>
        <v>526</v>
      </c>
      <c r="AG529">
        <f t="shared" si="72"/>
        <v>11.519620000000032</v>
      </c>
      <c r="AH529">
        <f t="shared" si="73"/>
        <v>132.70164494440073</v>
      </c>
      <c r="AI529">
        <f t="shared" si="74"/>
        <v>3.5166572661131365E-2</v>
      </c>
      <c r="AJ529">
        <f t="shared" si="75"/>
        <v>1.1521439013208649E-2</v>
      </c>
      <c r="AK529">
        <f t="shared" si="76"/>
        <v>276676</v>
      </c>
      <c r="AL529">
        <f t="shared" si="79"/>
        <v>4677.6687300000003</v>
      </c>
      <c r="AM529" t="str">
        <f t="shared" si="80"/>
        <v/>
      </c>
    </row>
    <row r="530" spans="1:39" x14ac:dyDescent="0.55000000000000004">
      <c r="A530">
        <v>1777020302</v>
      </c>
      <c r="B530" t="s">
        <v>72</v>
      </c>
      <c r="C530" t="s">
        <v>73</v>
      </c>
      <c r="D530">
        <v>4690.84</v>
      </c>
      <c r="E530">
        <v>4518.5928199999998</v>
      </c>
      <c r="F530">
        <v>4596.0559499999999</v>
      </c>
      <c r="G530">
        <v>4755.40355</v>
      </c>
      <c r="H530">
        <v>4792.7697200000002</v>
      </c>
      <c r="Q530">
        <v>4676.3427700000002</v>
      </c>
      <c r="R530">
        <v>4705.7060700000002</v>
      </c>
      <c r="S530">
        <v>4732.2948399999996</v>
      </c>
      <c r="V530">
        <v>4641.4030000000002</v>
      </c>
      <c r="W530">
        <v>4607.8380100000004</v>
      </c>
      <c r="AB530">
        <v>4690.9620599999998</v>
      </c>
      <c r="AC530">
        <v>4690.9321</v>
      </c>
      <c r="AD530">
        <v>0</v>
      </c>
      <c r="AE530">
        <f t="shared" si="77"/>
        <v>528</v>
      </c>
      <c r="AF530">
        <f t="shared" si="78"/>
        <v>527</v>
      </c>
      <c r="AG530">
        <f t="shared" si="72"/>
        <v>14.497229999999945</v>
      </c>
      <c r="AH530">
        <f t="shared" si="73"/>
        <v>210.16967767289842</v>
      </c>
      <c r="AI530">
        <f t="shared" si="74"/>
        <v>7.0092358206109248E-2</v>
      </c>
      <c r="AJ530">
        <f t="shared" si="75"/>
        <v>2.8899759524572417E-2</v>
      </c>
      <c r="AK530">
        <f t="shared" si="76"/>
        <v>277729</v>
      </c>
      <c r="AL530">
        <f t="shared" si="79"/>
        <v>4677.6687300000003</v>
      </c>
      <c r="AM530" t="str">
        <f t="shared" si="80"/>
        <v/>
      </c>
    </row>
    <row r="531" spans="1:39" x14ac:dyDescent="0.55000000000000004">
      <c r="A531">
        <v>1777021202</v>
      </c>
      <c r="B531" t="s">
        <v>72</v>
      </c>
      <c r="C531" t="s">
        <v>73</v>
      </c>
      <c r="D531">
        <v>4695.33</v>
      </c>
      <c r="E531">
        <v>4518.5928199999998</v>
      </c>
      <c r="F531">
        <v>4596.0559499999999</v>
      </c>
      <c r="G531">
        <v>4755.40355</v>
      </c>
      <c r="H531">
        <v>4792.7697200000002</v>
      </c>
      <c r="Q531">
        <v>4676.0751700000001</v>
      </c>
      <c r="R531">
        <v>4705.4384700000001</v>
      </c>
      <c r="S531">
        <v>4732.0272400000003</v>
      </c>
      <c r="V531">
        <v>4641.1354000000001</v>
      </c>
      <c r="W531">
        <v>4607.5703999999996</v>
      </c>
      <c r="AB531">
        <v>4688.6921499999999</v>
      </c>
      <c r="AC531">
        <v>4689.8121300000003</v>
      </c>
      <c r="AD531">
        <v>1</v>
      </c>
      <c r="AE531">
        <f t="shared" si="77"/>
        <v>529</v>
      </c>
      <c r="AF531">
        <f t="shared" si="78"/>
        <v>528</v>
      </c>
      <c r="AG531">
        <f t="shared" si="72"/>
        <v>19.254829999999856</v>
      </c>
      <c r="AH531">
        <f t="shared" si="73"/>
        <v>370.74847832889446</v>
      </c>
      <c r="AI531">
        <f t="shared" si="74"/>
        <v>0.16422325290849341</v>
      </c>
      <c r="AJ531">
        <f t="shared" si="75"/>
        <v>8.9931713258357387E-2</v>
      </c>
      <c r="AK531">
        <f t="shared" si="76"/>
        <v>278784</v>
      </c>
      <c r="AL531">
        <f t="shared" si="79"/>
        <v>4688.6921499999999</v>
      </c>
      <c r="AM531">
        <f t="shared" si="80"/>
        <v>11.023419999999533</v>
      </c>
    </row>
    <row r="532" spans="1:39" x14ac:dyDescent="0.55000000000000004">
      <c r="A532">
        <v>1777022102</v>
      </c>
      <c r="B532" t="s">
        <v>72</v>
      </c>
      <c r="C532" t="s">
        <v>73</v>
      </c>
      <c r="D532">
        <v>4683.3</v>
      </c>
      <c r="E532">
        <v>4518.5928199999998</v>
      </c>
      <c r="F532">
        <v>4596.0559499999999</v>
      </c>
      <c r="G532">
        <v>4755.40355</v>
      </c>
      <c r="H532">
        <v>4792.7697200000002</v>
      </c>
      <c r="Q532">
        <v>4675.8075600000002</v>
      </c>
      <c r="R532">
        <v>4705.1708600000002</v>
      </c>
      <c r="S532">
        <v>4731.7596299999996</v>
      </c>
      <c r="V532">
        <v>4640.8677900000002</v>
      </c>
      <c r="W532">
        <v>4607.3028000000004</v>
      </c>
      <c r="AB532">
        <v>4685.6385</v>
      </c>
      <c r="AC532">
        <v>4687.7253199999996</v>
      </c>
      <c r="AD532">
        <v>0</v>
      </c>
      <c r="AE532">
        <f t="shared" si="77"/>
        <v>530</v>
      </c>
      <c r="AF532">
        <f t="shared" si="78"/>
        <v>529</v>
      </c>
      <c r="AG532">
        <f t="shared" si="72"/>
        <v>7.4924399999999878</v>
      </c>
      <c r="AH532">
        <f t="shared" si="73"/>
        <v>56.136657153599813</v>
      </c>
      <c r="AI532">
        <f t="shared" si="74"/>
        <v>9.6757670920156573E-3</v>
      </c>
      <c r="AJ532">
        <f t="shared" si="75"/>
        <v>2.0618031923937525E-3</v>
      </c>
      <c r="AK532">
        <f t="shared" si="76"/>
        <v>279841</v>
      </c>
      <c r="AL532">
        <f t="shared" si="79"/>
        <v>4688.6921499999999</v>
      </c>
      <c r="AM532" t="str">
        <f t="shared" si="80"/>
        <v/>
      </c>
    </row>
    <row r="533" spans="1:39" x14ac:dyDescent="0.55000000000000004">
      <c r="A533">
        <v>1777023002</v>
      </c>
      <c r="B533" t="s">
        <v>72</v>
      </c>
      <c r="C533" t="s">
        <v>73</v>
      </c>
      <c r="D533">
        <v>4685.99</v>
      </c>
      <c r="E533">
        <v>4518.5928199999998</v>
      </c>
      <c r="F533">
        <v>4596.0559499999999</v>
      </c>
      <c r="G533">
        <v>4755.40355</v>
      </c>
      <c r="H533">
        <v>4792.7697200000002</v>
      </c>
      <c r="Q533">
        <v>4675.5399600000001</v>
      </c>
      <c r="R533">
        <v>4704.90326</v>
      </c>
      <c r="S533">
        <v>4731.4920300000003</v>
      </c>
      <c r="V533">
        <v>4640.6001900000001</v>
      </c>
      <c r="W533">
        <v>4607.0351899999996</v>
      </c>
      <c r="AB533">
        <v>4682.8050300000004</v>
      </c>
      <c r="AC533">
        <v>4685.2651800000003</v>
      </c>
      <c r="AD533">
        <v>0</v>
      </c>
      <c r="AE533">
        <f t="shared" si="77"/>
        <v>531</v>
      </c>
      <c r="AF533">
        <f t="shared" si="78"/>
        <v>530</v>
      </c>
      <c r="AG533">
        <f t="shared" si="72"/>
        <v>10.450039999999717</v>
      </c>
      <c r="AH533">
        <f t="shared" si="73"/>
        <v>109.20333600159408</v>
      </c>
      <c r="AI533">
        <f t="shared" si="74"/>
        <v>2.6252425997706073E-2</v>
      </c>
      <c r="AJ533">
        <f t="shared" si="75"/>
        <v>7.8023589072103144E-3</v>
      </c>
      <c r="AK533">
        <f t="shared" si="76"/>
        <v>280900</v>
      </c>
      <c r="AL533">
        <f t="shared" si="79"/>
        <v>4688.6921499999999</v>
      </c>
      <c r="AM533" t="str">
        <f t="shared" si="80"/>
        <v/>
      </c>
    </row>
    <row r="534" spans="1:39" x14ac:dyDescent="0.55000000000000004">
      <c r="A534">
        <v>1777023902</v>
      </c>
      <c r="B534" t="s">
        <v>72</v>
      </c>
      <c r="C534" t="s">
        <v>73</v>
      </c>
      <c r="D534">
        <v>4682.04</v>
      </c>
      <c r="E534">
        <v>4518.5928199999998</v>
      </c>
      <c r="F534">
        <v>4596.0559499999999</v>
      </c>
      <c r="G534">
        <v>4755.40355</v>
      </c>
      <c r="H534">
        <v>4792.7697200000002</v>
      </c>
      <c r="Q534">
        <v>4675.2723599999999</v>
      </c>
      <c r="R534">
        <v>4704.6356500000002</v>
      </c>
      <c r="S534">
        <v>4731.2244300000002</v>
      </c>
      <c r="V534">
        <v>4640.33259</v>
      </c>
      <c r="W534">
        <v>4606.7675900000004</v>
      </c>
      <c r="AB534">
        <v>4680.8547099999996</v>
      </c>
      <c r="AC534">
        <v>4683.0599400000001</v>
      </c>
      <c r="AD534">
        <v>0</v>
      </c>
      <c r="AE534">
        <f t="shared" si="77"/>
        <v>532</v>
      </c>
      <c r="AF534">
        <f t="shared" si="78"/>
        <v>531</v>
      </c>
      <c r="AG534">
        <f t="shared" si="72"/>
        <v>6.7676400000000285</v>
      </c>
      <c r="AH534">
        <f t="shared" si="73"/>
        <v>45.800951169600388</v>
      </c>
      <c r="AI534">
        <f t="shared" si="74"/>
        <v>7.130620615341178E-3</v>
      </c>
      <c r="AJ534">
        <f t="shared" si="75"/>
        <v>1.3724707805479576E-3</v>
      </c>
      <c r="AK534">
        <f t="shared" si="76"/>
        <v>281961</v>
      </c>
      <c r="AL534">
        <f t="shared" si="79"/>
        <v>4688.6921499999999</v>
      </c>
      <c r="AM534" t="str">
        <f t="shared" si="80"/>
        <v/>
      </c>
    </row>
    <row r="535" spans="1:39" x14ac:dyDescent="0.55000000000000004">
      <c r="A535">
        <v>1777024802</v>
      </c>
      <c r="B535" t="s">
        <v>72</v>
      </c>
      <c r="C535" t="s">
        <v>73</v>
      </c>
      <c r="D535">
        <v>4682.45</v>
      </c>
      <c r="E535">
        <v>4518.5928199999998</v>
      </c>
      <c r="F535">
        <v>4596.0559499999999</v>
      </c>
      <c r="G535">
        <v>4755.40355</v>
      </c>
      <c r="H535">
        <v>4792.7697200000002</v>
      </c>
      <c r="Q535">
        <v>4675.0047500000001</v>
      </c>
      <c r="R535">
        <v>4704.36805</v>
      </c>
      <c r="S535">
        <v>4730.9568200000003</v>
      </c>
      <c r="V535">
        <v>4640.0649800000001</v>
      </c>
      <c r="W535">
        <v>4606.4999900000003</v>
      </c>
      <c r="AB535">
        <v>4680.5117099999998</v>
      </c>
      <c r="AC535">
        <v>4681.7858200000001</v>
      </c>
      <c r="AD535">
        <v>0</v>
      </c>
      <c r="AE535">
        <f t="shared" si="77"/>
        <v>533</v>
      </c>
      <c r="AF535">
        <f t="shared" si="78"/>
        <v>532</v>
      </c>
      <c r="AG535">
        <f t="shared" si="72"/>
        <v>7.4452499999997599</v>
      </c>
      <c r="AH535">
        <f t="shared" si="73"/>
        <v>55.431747562496426</v>
      </c>
      <c r="AI535">
        <f t="shared" si="74"/>
        <v>9.494092097959185E-3</v>
      </c>
      <c r="AJ535">
        <f t="shared" si="75"/>
        <v>2.0103480534090306E-3</v>
      </c>
      <c r="AK535">
        <f t="shared" si="76"/>
        <v>283024</v>
      </c>
      <c r="AL535">
        <f t="shared" si="79"/>
        <v>4688.6921499999999</v>
      </c>
      <c r="AM535" t="str">
        <f t="shared" si="80"/>
        <v/>
      </c>
    </row>
    <row r="536" spans="1:39" x14ac:dyDescent="0.55000000000000004">
      <c r="A536">
        <v>1777025702</v>
      </c>
      <c r="B536" t="s">
        <v>72</v>
      </c>
      <c r="C536" t="s">
        <v>73</v>
      </c>
      <c r="D536">
        <v>4682.25</v>
      </c>
      <c r="E536">
        <v>4518.5928199999998</v>
      </c>
      <c r="F536">
        <v>4596.0559499999999</v>
      </c>
      <c r="G536">
        <v>4755.40355</v>
      </c>
      <c r="H536">
        <v>4792.7697200000002</v>
      </c>
      <c r="Q536">
        <v>4674.7371499999999</v>
      </c>
      <c r="R536">
        <v>4704.1004499999999</v>
      </c>
      <c r="S536">
        <v>4730.6892200000002</v>
      </c>
      <c r="V536">
        <v>4639.79738</v>
      </c>
      <c r="W536">
        <v>4606.2323800000004</v>
      </c>
      <c r="AB536">
        <v>4682.0741200000002</v>
      </c>
      <c r="AC536">
        <v>4681.9299700000001</v>
      </c>
      <c r="AD536">
        <v>1</v>
      </c>
      <c r="AE536">
        <f t="shared" si="77"/>
        <v>534</v>
      </c>
      <c r="AF536">
        <f t="shared" si="78"/>
        <v>533</v>
      </c>
      <c r="AG536">
        <f t="shared" si="72"/>
        <v>7.5128500000000713</v>
      </c>
      <c r="AH536">
        <f t="shared" si="73"/>
        <v>56.44291512250107</v>
      </c>
      <c r="AI536">
        <f t="shared" si="74"/>
        <v>9.755055355603429E-3</v>
      </c>
      <c r="AJ536">
        <f t="shared" si="75"/>
        <v>2.0843612190190259E-3</v>
      </c>
      <c r="AK536">
        <f t="shared" si="76"/>
        <v>284089</v>
      </c>
      <c r="AL536">
        <f t="shared" si="79"/>
        <v>4682.0741200000002</v>
      </c>
      <c r="AM536">
        <f t="shared" si="80"/>
        <v>6.618029999999635</v>
      </c>
    </row>
    <row r="537" spans="1:39" x14ac:dyDescent="0.55000000000000004">
      <c r="A537">
        <v>1777026602</v>
      </c>
      <c r="B537" t="s">
        <v>72</v>
      </c>
      <c r="C537" t="s">
        <v>73</v>
      </c>
      <c r="D537">
        <v>4679.01</v>
      </c>
      <c r="E537">
        <v>4518.5928199999998</v>
      </c>
      <c r="F537">
        <v>4596.0559499999999</v>
      </c>
      <c r="G537">
        <v>4755.40355</v>
      </c>
      <c r="H537">
        <v>4792.7697200000002</v>
      </c>
      <c r="Q537">
        <v>4674.4695400000001</v>
      </c>
      <c r="R537">
        <v>4703.83284</v>
      </c>
      <c r="S537">
        <v>4730.4216100000003</v>
      </c>
      <c r="V537">
        <v>4639.5297700000001</v>
      </c>
      <c r="W537">
        <v>4605.9647800000002</v>
      </c>
      <c r="AB537">
        <v>4685.4997899999998</v>
      </c>
      <c r="AC537">
        <v>4683.7148800000004</v>
      </c>
      <c r="AD537">
        <v>0</v>
      </c>
      <c r="AE537">
        <f t="shared" si="77"/>
        <v>535</v>
      </c>
      <c r="AF537">
        <f t="shared" si="78"/>
        <v>534</v>
      </c>
      <c r="AG537">
        <f t="shared" si="72"/>
        <v>4.5404600000001665</v>
      </c>
      <c r="AH537">
        <f t="shared" si="73"/>
        <v>20.615777011601512</v>
      </c>
      <c r="AI537">
        <f t="shared" si="74"/>
        <v>2.1533525877867111E-3</v>
      </c>
      <c r="AJ537">
        <f t="shared" si="75"/>
        <v>2.7806961064933523E-4</v>
      </c>
      <c r="AK537">
        <f t="shared" si="76"/>
        <v>285156</v>
      </c>
      <c r="AL537">
        <f t="shared" si="79"/>
        <v>4682.0741200000002</v>
      </c>
      <c r="AM537" t="str">
        <f t="shared" si="80"/>
        <v/>
      </c>
    </row>
    <row r="538" spans="1:39" x14ac:dyDescent="0.55000000000000004">
      <c r="A538">
        <v>1777027502</v>
      </c>
      <c r="B538" t="s">
        <v>72</v>
      </c>
      <c r="C538" t="s">
        <v>73</v>
      </c>
      <c r="D538">
        <v>4678.04</v>
      </c>
      <c r="E538">
        <v>4518.5928199999998</v>
      </c>
      <c r="F538">
        <v>4596.0559499999999</v>
      </c>
      <c r="G538">
        <v>4755.40355</v>
      </c>
      <c r="H538">
        <v>4792.7697200000002</v>
      </c>
      <c r="Q538">
        <v>4674.2019399999999</v>
      </c>
      <c r="R538">
        <v>4703.5652399999999</v>
      </c>
      <c r="S538">
        <v>4730.1540100000002</v>
      </c>
      <c r="V538">
        <v>4639.26217</v>
      </c>
      <c r="W538">
        <v>4605.6971700000004</v>
      </c>
      <c r="AB538">
        <v>4690.45723</v>
      </c>
      <c r="AC538">
        <v>4687.0860499999999</v>
      </c>
      <c r="AD538">
        <v>0</v>
      </c>
      <c r="AE538">
        <f t="shared" si="77"/>
        <v>536</v>
      </c>
      <c r="AF538">
        <f t="shared" si="78"/>
        <v>535</v>
      </c>
      <c r="AG538">
        <f t="shared" si="72"/>
        <v>3.8380600000000413</v>
      </c>
      <c r="AH538">
        <f t="shared" si="73"/>
        <v>14.730704563600318</v>
      </c>
      <c r="AI538">
        <f t="shared" si="74"/>
        <v>1.3006213048184162E-3</v>
      </c>
      <c r="AJ538">
        <f t="shared" si="75"/>
        <v>1.419714936864777E-4</v>
      </c>
      <c r="AK538">
        <f t="shared" si="76"/>
        <v>286225</v>
      </c>
      <c r="AL538">
        <f t="shared" si="79"/>
        <v>4682.0741200000002</v>
      </c>
      <c r="AM538" t="str">
        <f t="shared" si="80"/>
        <v/>
      </c>
    </row>
    <row r="539" spans="1:39" x14ac:dyDescent="0.55000000000000004">
      <c r="A539">
        <v>1777028402</v>
      </c>
      <c r="B539" t="s">
        <v>72</v>
      </c>
      <c r="C539" t="s">
        <v>73</v>
      </c>
      <c r="D539">
        <v>4696.78</v>
      </c>
      <c r="E539">
        <v>4518.5928199999998</v>
      </c>
      <c r="F539">
        <v>4596.0559499999999</v>
      </c>
      <c r="G539">
        <v>4755.40355</v>
      </c>
      <c r="H539">
        <v>4792.7697200000002</v>
      </c>
      <c r="Q539">
        <v>4673.9343399999998</v>
      </c>
      <c r="R539">
        <v>4703.29763</v>
      </c>
      <c r="S539">
        <v>4729.8864000000003</v>
      </c>
      <c r="V539">
        <v>4638.9945600000001</v>
      </c>
      <c r="W539">
        <v>4605.4295700000002</v>
      </c>
      <c r="AB539">
        <v>4696.2428900000004</v>
      </c>
      <c r="AC539">
        <v>4691.6644699999997</v>
      </c>
      <c r="AD539">
        <v>0</v>
      </c>
      <c r="AE539">
        <f t="shared" si="77"/>
        <v>537</v>
      </c>
      <c r="AF539">
        <f t="shared" si="78"/>
        <v>536</v>
      </c>
      <c r="AG539">
        <f t="shared" si="72"/>
        <v>22.845659999999953</v>
      </c>
      <c r="AH539">
        <f t="shared" si="73"/>
        <v>521.92418083559778</v>
      </c>
      <c r="AI539">
        <f t="shared" si="74"/>
        <v>0.27430057113644729</v>
      </c>
      <c r="AJ539">
        <f t="shared" si="75"/>
        <v>0.17822513369326165</v>
      </c>
      <c r="AK539">
        <f t="shared" si="76"/>
        <v>287296</v>
      </c>
      <c r="AL539">
        <f t="shared" si="79"/>
        <v>4682.0741200000002</v>
      </c>
      <c r="AM539" t="str">
        <f t="shared" si="80"/>
        <v/>
      </c>
    </row>
    <row r="540" spans="1:39" x14ac:dyDescent="0.55000000000000004">
      <c r="A540">
        <v>1777029302</v>
      </c>
      <c r="B540" t="s">
        <v>72</v>
      </c>
      <c r="C540" t="s">
        <v>73</v>
      </c>
      <c r="D540">
        <v>4715.3</v>
      </c>
      <c r="E540">
        <v>4518.5928199999998</v>
      </c>
      <c r="F540">
        <v>4596.0559499999999</v>
      </c>
      <c r="G540">
        <v>4755.40355</v>
      </c>
      <c r="H540">
        <v>4792.7697200000002</v>
      </c>
      <c r="Q540">
        <v>4673.6667299999999</v>
      </c>
      <c r="R540">
        <v>4703.0300299999999</v>
      </c>
      <c r="S540">
        <v>4729.6188000000002</v>
      </c>
      <c r="V540">
        <v>4638.72696</v>
      </c>
      <c r="W540">
        <v>4605.1619600000004</v>
      </c>
      <c r="AB540">
        <v>4701.4794199999997</v>
      </c>
      <c r="AC540">
        <v>4696.5719399999998</v>
      </c>
      <c r="AD540">
        <v>0</v>
      </c>
      <c r="AE540">
        <f t="shared" si="77"/>
        <v>538</v>
      </c>
      <c r="AF540">
        <f t="shared" si="78"/>
        <v>537</v>
      </c>
      <c r="AG540">
        <f t="shared" si="72"/>
        <v>41.633270000000266</v>
      </c>
      <c r="AH540">
        <f t="shared" si="73"/>
        <v>1733.3291708929221</v>
      </c>
      <c r="AI540">
        <f t="shared" si="74"/>
        <v>1.660111100294714</v>
      </c>
      <c r="AJ540">
        <f t="shared" si="75"/>
        <v>1.965695324341876</v>
      </c>
      <c r="AK540">
        <f t="shared" si="76"/>
        <v>288369</v>
      </c>
      <c r="AL540">
        <f t="shared" si="79"/>
        <v>4682.0741200000002</v>
      </c>
      <c r="AM540" t="str">
        <f t="shared" si="80"/>
        <v/>
      </c>
    </row>
    <row r="541" spans="1:39" x14ac:dyDescent="0.55000000000000004">
      <c r="A541">
        <v>1777030202</v>
      </c>
      <c r="B541" t="s">
        <v>72</v>
      </c>
      <c r="C541" t="s">
        <v>73</v>
      </c>
      <c r="D541">
        <v>4705.3999999999996</v>
      </c>
      <c r="E541">
        <v>4518.5928199999998</v>
      </c>
      <c r="F541">
        <v>4596.0559499999999</v>
      </c>
      <c r="G541">
        <v>4755.40355</v>
      </c>
      <c r="H541">
        <v>4792.7697200000002</v>
      </c>
      <c r="Q541">
        <v>4673.3991299999998</v>
      </c>
      <c r="R541">
        <v>4702.7624299999998</v>
      </c>
      <c r="S541">
        <v>4729.3512000000001</v>
      </c>
      <c r="V541">
        <v>4638.4593599999998</v>
      </c>
      <c r="W541">
        <v>4604.8943600000002</v>
      </c>
      <c r="AB541">
        <v>4704.9624700000004</v>
      </c>
      <c r="AC541">
        <v>4700.76721</v>
      </c>
      <c r="AD541">
        <v>0</v>
      </c>
      <c r="AE541">
        <f t="shared" si="77"/>
        <v>539</v>
      </c>
      <c r="AF541">
        <f t="shared" si="78"/>
        <v>538</v>
      </c>
      <c r="AG541">
        <f t="shared" si="72"/>
        <v>32.00086999999985</v>
      </c>
      <c r="AH541">
        <f t="shared" si="73"/>
        <v>1024.0556807568903</v>
      </c>
      <c r="AI541">
        <f t="shared" si="74"/>
        <v>0.75387777673993461</v>
      </c>
      <c r="AJ541">
        <f t="shared" si="75"/>
        <v>0.68612185769729661</v>
      </c>
      <c r="AK541">
        <f t="shared" si="76"/>
        <v>289444</v>
      </c>
      <c r="AL541">
        <f t="shared" si="79"/>
        <v>4682.0741200000002</v>
      </c>
      <c r="AM541" t="str">
        <f t="shared" si="80"/>
        <v/>
      </c>
    </row>
    <row r="542" spans="1:39" x14ac:dyDescent="0.55000000000000004">
      <c r="A542">
        <v>1777031102</v>
      </c>
      <c r="B542" t="s">
        <v>72</v>
      </c>
      <c r="C542" t="s">
        <v>73</v>
      </c>
      <c r="D542">
        <v>4706.76</v>
      </c>
      <c r="E542">
        <v>4518.5928199999998</v>
      </c>
      <c r="F542">
        <v>4596.0559499999999</v>
      </c>
      <c r="G542">
        <v>4755.40355</v>
      </c>
      <c r="H542">
        <v>4792.7697200000002</v>
      </c>
      <c r="Q542">
        <v>4673.1315199999999</v>
      </c>
      <c r="R542">
        <v>4702.4948199999999</v>
      </c>
      <c r="S542">
        <v>4729.0835900000002</v>
      </c>
      <c r="V542">
        <v>4638.19175</v>
      </c>
      <c r="W542">
        <v>4604.6267600000001</v>
      </c>
      <c r="AB542">
        <v>4706.6678899999997</v>
      </c>
      <c r="AC542">
        <v>4703.7175500000003</v>
      </c>
      <c r="AD542">
        <v>0</v>
      </c>
      <c r="AE542">
        <f t="shared" si="77"/>
        <v>540</v>
      </c>
      <c r="AF542">
        <f t="shared" si="78"/>
        <v>539</v>
      </c>
      <c r="AG542">
        <f t="shared" si="72"/>
        <v>33.628480000000309</v>
      </c>
      <c r="AH542">
        <f t="shared" si="73"/>
        <v>1130.8746671104207</v>
      </c>
      <c r="AI542">
        <f t="shared" si="74"/>
        <v>0.87485745650496449</v>
      </c>
      <c r="AJ542">
        <f t="shared" si="75"/>
        <v>0.83672561346770369</v>
      </c>
      <c r="AK542">
        <f t="shared" si="76"/>
        <v>290521</v>
      </c>
      <c r="AL542">
        <f t="shared" si="79"/>
        <v>4682.0741200000002</v>
      </c>
      <c r="AM542" t="str">
        <f t="shared" si="80"/>
        <v/>
      </c>
    </row>
    <row r="543" spans="1:39" x14ac:dyDescent="0.55000000000000004">
      <c r="A543">
        <v>1777032002</v>
      </c>
      <c r="B543" t="s">
        <v>72</v>
      </c>
      <c r="C543" t="s">
        <v>73</v>
      </c>
      <c r="D543">
        <v>4708.7</v>
      </c>
      <c r="E543">
        <v>4518.5928199999998</v>
      </c>
      <c r="F543">
        <v>4596.0559499999999</v>
      </c>
      <c r="G543">
        <v>4755.40355</v>
      </c>
      <c r="H543">
        <v>4792.7697200000002</v>
      </c>
      <c r="Q543">
        <v>4672.8639199999998</v>
      </c>
      <c r="R543">
        <v>4702.2272199999998</v>
      </c>
      <c r="S543">
        <v>4728.8159900000001</v>
      </c>
      <c r="V543">
        <v>4637.9241499999998</v>
      </c>
      <c r="W543">
        <v>4604.3591500000002</v>
      </c>
      <c r="AB543">
        <v>4706.7257200000004</v>
      </c>
      <c r="AC543">
        <v>4705.22163</v>
      </c>
      <c r="AD543">
        <v>0</v>
      </c>
      <c r="AE543">
        <f t="shared" si="77"/>
        <v>541</v>
      </c>
      <c r="AF543">
        <f t="shared" si="78"/>
        <v>540</v>
      </c>
      <c r="AG543">
        <f t="shared" si="72"/>
        <v>35.836080000000038</v>
      </c>
      <c r="AH543">
        <f t="shared" si="73"/>
        <v>1284.2246297664028</v>
      </c>
      <c r="AI543">
        <f t="shared" si="74"/>
        <v>1.058710150111223</v>
      </c>
      <c r="AJ543">
        <f t="shared" si="75"/>
        <v>1.0790364175103964</v>
      </c>
      <c r="AK543">
        <f t="shared" si="76"/>
        <v>291600</v>
      </c>
      <c r="AL543">
        <f t="shared" si="79"/>
        <v>4682.0741200000002</v>
      </c>
      <c r="AM543" t="str">
        <f t="shared" si="80"/>
        <v/>
      </c>
    </row>
    <row r="544" spans="1:39" x14ac:dyDescent="0.55000000000000004">
      <c r="A544">
        <v>1777032902</v>
      </c>
      <c r="B544" t="s">
        <v>72</v>
      </c>
      <c r="C544" t="s">
        <v>73</v>
      </c>
      <c r="D544">
        <v>4710.63</v>
      </c>
      <c r="E544">
        <v>4518.5928199999998</v>
      </c>
      <c r="F544">
        <v>4596.0559499999999</v>
      </c>
      <c r="G544">
        <v>4755.40355</v>
      </c>
      <c r="H544">
        <v>4792.7697200000002</v>
      </c>
      <c r="Q544">
        <v>4672.5963099999999</v>
      </c>
      <c r="R544">
        <v>4701.9596099999999</v>
      </c>
      <c r="S544">
        <v>4728.5483800000002</v>
      </c>
      <c r="V544">
        <v>4637.6565399999999</v>
      </c>
      <c r="W544">
        <v>4604.0915500000001</v>
      </c>
      <c r="AB544">
        <v>4705.5940199999995</v>
      </c>
      <c r="AC544">
        <v>4705.4078300000001</v>
      </c>
      <c r="AD544">
        <v>0</v>
      </c>
      <c r="AE544">
        <f t="shared" si="77"/>
        <v>542</v>
      </c>
      <c r="AF544">
        <f t="shared" si="78"/>
        <v>541</v>
      </c>
      <c r="AG544">
        <f t="shared" si="72"/>
        <v>38.033690000000206</v>
      </c>
      <c r="AH544">
        <f t="shared" si="73"/>
        <v>1446.5615750161157</v>
      </c>
      <c r="AI544">
        <f t="shared" si="74"/>
        <v>1.2656714146774508</v>
      </c>
      <c r="AJ544">
        <f t="shared" si="75"/>
        <v>1.369077276273003</v>
      </c>
      <c r="AK544">
        <f t="shared" si="76"/>
        <v>292681</v>
      </c>
      <c r="AL544">
        <f t="shared" si="79"/>
        <v>4682.0741200000002</v>
      </c>
      <c r="AM544" t="str">
        <f t="shared" si="80"/>
        <v/>
      </c>
    </row>
    <row r="545" spans="1:39" x14ac:dyDescent="0.55000000000000004">
      <c r="A545">
        <v>1777033802</v>
      </c>
      <c r="B545" t="s">
        <v>72</v>
      </c>
      <c r="C545" t="s">
        <v>73</v>
      </c>
      <c r="D545">
        <v>4698.83</v>
      </c>
      <c r="E545">
        <v>4518.5928199999998</v>
      </c>
      <c r="F545">
        <v>4596.0559499999999</v>
      </c>
      <c r="G545">
        <v>4755.40355</v>
      </c>
      <c r="H545">
        <v>4792.7697200000002</v>
      </c>
      <c r="Q545">
        <v>4672.3287099999998</v>
      </c>
      <c r="R545">
        <v>4701.6920099999998</v>
      </c>
      <c r="S545">
        <v>4728.28078</v>
      </c>
      <c r="V545">
        <v>4637.3889399999998</v>
      </c>
      <c r="W545">
        <v>4603.8239400000002</v>
      </c>
      <c r="AB545">
        <v>4703.9862199999998</v>
      </c>
      <c r="AC545">
        <v>4704.6970199999996</v>
      </c>
      <c r="AD545">
        <v>1</v>
      </c>
      <c r="AE545">
        <f t="shared" si="77"/>
        <v>543</v>
      </c>
      <c r="AF545">
        <f t="shared" si="78"/>
        <v>542</v>
      </c>
      <c r="AG545">
        <f t="shared" si="72"/>
        <v>26.501290000000154</v>
      </c>
      <c r="AH545">
        <f t="shared" si="73"/>
        <v>702.3183716641081</v>
      </c>
      <c r="AI545">
        <f t="shared" si="74"/>
        <v>0.4281703876822438</v>
      </c>
      <c r="AJ545">
        <f t="shared" si="75"/>
        <v>0.32271724313166283</v>
      </c>
      <c r="AK545">
        <f t="shared" si="76"/>
        <v>293764</v>
      </c>
      <c r="AL545">
        <f t="shared" si="79"/>
        <v>4703.9862199999998</v>
      </c>
      <c r="AM545">
        <f t="shared" si="80"/>
        <v>21.912099999999555</v>
      </c>
    </row>
    <row r="546" spans="1:39" x14ac:dyDescent="0.55000000000000004">
      <c r="A546">
        <v>1777034702</v>
      </c>
      <c r="B546" t="s">
        <v>72</v>
      </c>
      <c r="C546" t="s">
        <v>73</v>
      </c>
      <c r="D546">
        <v>4700.67</v>
      </c>
      <c r="E546">
        <v>4518.5928199999998</v>
      </c>
      <c r="F546">
        <v>4596.0559499999999</v>
      </c>
      <c r="G546">
        <v>4755.40355</v>
      </c>
      <c r="H546">
        <v>4792.7697200000002</v>
      </c>
      <c r="Q546">
        <v>4672.0611099999996</v>
      </c>
      <c r="R546">
        <v>4701.4244099999996</v>
      </c>
      <c r="S546">
        <v>4728.0131799999999</v>
      </c>
      <c r="V546">
        <v>4637.1213399999997</v>
      </c>
      <c r="W546">
        <v>4603.5563400000001</v>
      </c>
      <c r="AB546">
        <v>4703.0805399999999</v>
      </c>
      <c r="AC546">
        <v>4703.8887800000002</v>
      </c>
      <c r="AD546">
        <v>0</v>
      </c>
      <c r="AE546">
        <f t="shared" si="77"/>
        <v>544</v>
      </c>
      <c r="AF546">
        <f t="shared" si="78"/>
        <v>543</v>
      </c>
      <c r="AG546">
        <f t="shared" si="72"/>
        <v>28.608890000000429</v>
      </c>
      <c r="AH546">
        <f t="shared" si="73"/>
        <v>818.46858703212456</v>
      </c>
      <c r="AI546">
        <f t="shared" si="74"/>
        <v>0.53866481414622525</v>
      </c>
      <c r="AJ546">
        <f t="shared" si="75"/>
        <v>0.43828655082938284</v>
      </c>
      <c r="AK546">
        <f t="shared" si="76"/>
        <v>294849</v>
      </c>
      <c r="AL546">
        <f t="shared" si="79"/>
        <v>4703.9862199999998</v>
      </c>
      <c r="AM546" t="str">
        <f t="shared" si="80"/>
        <v/>
      </c>
    </row>
    <row r="547" spans="1:39" x14ac:dyDescent="0.55000000000000004">
      <c r="A547">
        <v>1777035602</v>
      </c>
      <c r="B547" t="s">
        <v>72</v>
      </c>
      <c r="C547" t="s">
        <v>73</v>
      </c>
      <c r="D547">
        <v>4702.99</v>
      </c>
      <c r="E547">
        <v>4518.5928199999998</v>
      </c>
      <c r="F547">
        <v>4596.0559499999999</v>
      </c>
      <c r="G547">
        <v>4755.40355</v>
      </c>
      <c r="H547">
        <v>4792.7697200000002</v>
      </c>
      <c r="Q547">
        <v>4671.7934999999998</v>
      </c>
      <c r="R547">
        <v>4701.1567999999997</v>
      </c>
      <c r="S547">
        <v>4727.74557</v>
      </c>
      <c r="V547">
        <v>4636.8537299999998</v>
      </c>
      <c r="W547">
        <v>4603.28874</v>
      </c>
      <c r="AB547">
        <v>4703.4866199999997</v>
      </c>
      <c r="AC547">
        <v>4703.6877000000004</v>
      </c>
      <c r="AD547">
        <v>0</v>
      </c>
      <c r="AE547">
        <f t="shared" si="77"/>
        <v>545</v>
      </c>
      <c r="AF547">
        <f t="shared" si="78"/>
        <v>544</v>
      </c>
      <c r="AG547">
        <f t="shared" si="72"/>
        <v>31.196500000000015</v>
      </c>
      <c r="AH547">
        <f t="shared" si="73"/>
        <v>973.22161225000093</v>
      </c>
      <c r="AI547">
        <f t="shared" si="74"/>
        <v>0.69844659031298273</v>
      </c>
      <c r="AJ547">
        <f t="shared" si="75"/>
        <v>0.61969444350463343</v>
      </c>
      <c r="AK547">
        <f t="shared" si="76"/>
        <v>295936</v>
      </c>
      <c r="AL547">
        <f t="shared" si="79"/>
        <v>4703.9862199999998</v>
      </c>
      <c r="AM547" t="str">
        <f t="shared" si="80"/>
        <v/>
      </c>
    </row>
    <row r="548" spans="1:39" x14ac:dyDescent="0.55000000000000004">
      <c r="A548">
        <v>1777036502</v>
      </c>
      <c r="B548" t="s">
        <v>72</v>
      </c>
      <c r="C548" t="s">
        <v>73</v>
      </c>
      <c r="D548">
        <v>4697.13</v>
      </c>
      <c r="E548">
        <v>4518.5928199999998</v>
      </c>
      <c r="F548">
        <v>4596.0559499999999</v>
      </c>
      <c r="G548">
        <v>4755.40355</v>
      </c>
      <c r="H548">
        <v>4792.7697200000002</v>
      </c>
      <c r="Q548">
        <v>4671.5258999999996</v>
      </c>
      <c r="R548">
        <v>4700.8891999999996</v>
      </c>
      <c r="S548">
        <v>4727.4779699999999</v>
      </c>
      <c r="V548">
        <v>4636.5861299999997</v>
      </c>
      <c r="W548">
        <v>4603.0211300000001</v>
      </c>
      <c r="AB548">
        <v>4705.4759999999997</v>
      </c>
      <c r="AC548">
        <v>4704.5818499999996</v>
      </c>
      <c r="AD548">
        <v>1</v>
      </c>
      <c r="AE548">
        <f t="shared" si="77"/>
        <v>546</v>
      </c>
      <c r="AF548">
        <f t="shared" si="78"/>
        <v>545</v>
      </c>
      <c r="AG548">
        <f t="shared" si="72"/>
        <v>25.604100000000471</v>
      </c>
      <c r="AH548">
        <f t="shared" si="73"/>
        <v>655.56993681002416</v>
      </c>
      <c r="AI548">
        <f t="shared" si="74"/>
        <v>0.38613940997525292</v>
      </c>
      <c r="AJ548">
        <f t="shared" si="75"/>
        <v>0.28118501442693716</v>
      </c>
      <c r="AK548">
        <f t="shared" si="76"/>
        <v>297025</v>
      </c>
      <c r="AL548">
        <f t="shared" si="79"/>
        <v>4705.4759999999997</v>
      </c>
      <c r="AM548">
        <f t="shared" si="80"/>
        <v>1.4897799999998824</v>
      </c>
    </row>
    <row r="549" spans="1:39" x14ac:dyDescent="0.55000000000000004">
      <c r="A549">
        <v>1777037402</v>
      </c>
      <c r="B549" t="s">
        <v>72</v>
      </c>
      <c r="C549" t="s">
        <v>73</v>
      </c>
      <c r="D549">
        <v>4708.2299999999996</v>
      </c>
      <c r="E549">
        <v>4518.5928199999998</v>
      </c>
      <c r="F549">
        <v>4596.0559499999999</v>
      </c>
      <c r="G549">
        <v>4755.40355</v>
      </c>
      <c r="H549">
        <v>4792.7697200000002</v>
      </c>
      <c r="Q549">
        <v>4671.2582899999998</v>
      </c>
      <c r="R549">
        <v>4700.6215899999997</v>
      </c>
      <c r="S549">
        <v>4727.21036</v>
      </c>
      <c r="V549">
        <v>4636.3185199999998</v>
      </c>
      <c r="W549">
        <v>4602.75353</v>
      </c>
      <c r="AB549">
        <v>4709.1628499999997</v>
      </c>
      <c r="AC549">
        <v>4706.8723499999996</v>
      </c>
      <c r="AD549">
        <v>0</v>
      </c>
      <c r="AE549">
        <f t="shared" si="77"/>
        <v>547</v>
      </c>
      <c r="AF549">
        <f t="shared" si="78"/>
        <v>546</v>
      </c>
      <c r="AG549">
        <f t="shared" si="72"/>
        <v>36.971709999999803</v>
      </c>
      <c r="AH549">
        <f t="shared" si="73"/>
        <v>1366.9073403240855</v>
      </c>
      <c r="AI549">
        <f t="shared" si="74"/>
        <v>1.1625836153501443</v>
      </c>
      <c r="AJ549">
        <f t="shared" si="75"/>
        <v>1.2224532627632256</v>
      </c>
      <c r="AK549">
        <f t="shared" si="76"/>
        <v>298116</v>
      </c>
      <c r="AL549">
        <f t="shared" si="79"/>
        <v>4705.4759999999997</v>
      </c>
      <c r="AM549" t="str">
        <f t="shared" si="80"/>
        <v/>
      </c>
    </row>
    <row r="550" spans="1:39" x14ac:dyDescent="0.55000000000000004">
      <c r="A550">
        <v>1777038302</v>
      </c>
      <c r="B550" t="s">
        <v>72</v>
      </c>
      <c r="C550" t="s">
        <v>73</v>
      </c>
      <c r="D550">
        <v>4711.2</v>
      </c>
      <c r="E550">
        <v>4518.5928199999998</v>
      </c>
      <c r="F550">
        <v>4596.0559499999999</v>
      </c>
      <c r="G550">
        <v>4755.40355</v>
      </c>
      <c r="H550">
        <v>4792.7697200000002</v>
      </c>
      <c r="Q550">
        <v>4670.9906899999996</v>
      </c>
      <c r="R550">
        <v>4700.3539899999996</v>
      </c>
      <c r="S550">
        <v>4726.9427599999999</v>
      </c>
      <c r="V550">
        <v>4636.0509199999997</v>
      </c>
      <c r="W550">
        <v>4602.4859200000001</v>
      </c>
      <c r="AB550">
        <v>4713.8920099999996</v>
      </c>
      <c r="AC550">
        <v>4710.3821799999996</v>
      </c>
      <c r="AD550">
        <v>0</v>
      </c>
      <c r="AE550">
        <f t="shared" si="77"/>
        <v>548</v>
      </c>
      <c r="AF550">
        <f t="shared" si="78"/>
        <v>547</v>
      </c>
      <c r="AG550">
        <f t="shared" si="72"/>
        <v>40.209310000000187</v>
      </c>
      <c r="AH550">
        <f t="shared" si="73"/>
        <v>1616.788610676115</v>
      </c>
      <c r="AI550">
        <f t="shared" si="74"/>
        <v>1.4955310913912578</v>
      </c>
      <c r="AJ550">
        <f t="shared" si="75"/>
        <v>1.7102539218166108</v>
      </c>
      <c r="AK550">
        <f t="shared" si="76"/>
        <v>299209</v>
      </c>
      <c r="AL550">
        <f t="shared" si="79"/>
        <v>4705.4759999999997</v>
      </c>
      <c r="AM550" t="str">
        <f t="shared" si="80"/>
        <v/>
      </c>
    </row>
    <row r="551" spans="1:39" x14ac:dyDescent="0.55000000000000004">
      <c r="A551">
        <v>1777039202</v>
      </c>
      <c r="B551" t="s">
        <v>72</v>
      </c>
      <c r="C551" t="s">
        <v>73</v>
      </c>
      <c r="D551">
        <v>4731.95</v>
      </c>
      <c r="E551">
        <v>4518.5928199999998</v>
      </c>
      <c r="F551">
        <v>4596.0559499999999</v>
      </c>
      <c r="G551">
        <v>4755.40355</v>
      </c>
      <c r="H551">
        <v>4792.7697200000002</v>
      </c>
      <c r="Q551">
        <v>4670.7230900000004</v>
      </c>
      <c r="R551">
        <v>4700.0863799999997</v>
      </c>
      <c r="S551">
        <v>4726.6751599999998</v>
      </c>
      <c r="V551">
        <v>4635.7833199999995</v>
      </c>
      <c r="W551">
        <v>4602.2183199999999</v>
      </c>
      <c r="Z551">
        <v>4740.49</v>
      </c>
      <c r="AB551">
        <v>4718.9662099999996</v>
      </c>
      <c r="AC551">
        <v>4714.6742000000004</v>
      </c>
      <c r="AD551">
        <v>0</v>
      </c>
      <c r="AE551">
        <f t="shared" si="77"/>
        <v>549</v>
      </c>
      <c r="AF551">
        <f t="shared" si="78"/>
        <v>548</v>
      </c>
      <c r="AG551">
        <f t="shared" si="72"/>
        <v>61.226909999999407</v>
      </c>
      <c r="AH551">
        <f t="shared" si="73"/>
        <v>3748.7345081480275</v>
      </c>
      <c r="AI551">
        <f t="shared" si="74"/>
        <v>5.280105626602003</v>
      </c>
      <c r="AJ551">
        <f t="shared" si="75"/>
        <v>9.1944018419697624</v>
      </c>
      <c r="AK551">
        <f t="shared" si="76"/>
        <v>300304</v>
      </c>
      <c r="AL551">
        <f t="shared" si="79"/>
        <v>4705.4759999999997</v>
      </c>
      <c r="AM551" t="str">
        <f t="shared" si="80"/>
        <v/>
      </c>
    </row>
    <row r="552" spans="1:39" x14ac:dyDescent="0.55000000000000004">
      <c r="A552">
        <v>1777040102</v>
      </c>
      <c r="B552" t="s">
        <v>72</v>
      </c>
      <c r="C552" t="s">
        <v>73</v>
      </c>
      <c r="D552">
        <v>4725.46</v>
      </c>
      <c r="E552">
        <v>4518.5928199999998</v>
      </c>
      <c r="F552">
        <v>4596.0559499999999</v>
      </c>
      <c r="G552">
        <v>4755.40355</v>
      </c>
      <c r="H552">
        <v>4792.7697200000002</v>
      </c>
      <c r="Q552">
        <v>4670.4554799999996</v>
      </c>
      <c r="R552">
        <v>4699.8187799999996</v>
      </c>
      <c r="S552">
        <v>4726.4075499999999</v>
      </c>
      <c r="V552">
        <v>4635.5157099999997</v>
      </c>
      <c r="W552">
        <v>4601.9507199999998</v>
      </c>
      <c r="AB552">
        <v>4723.1562700000004</v>
      </c>
      <c r="AC552">
        <v>4718.9152299999996</v>
      </c>
      <c r="AD552">
        <v>0</v>
      </c>
      <c r="AE552">
        <f t="shared" si="77"/>
        <v>550</v>
      </c>
      <c r="AF552">
        <f t="shared" si="78"/>
        <v>549</v>
      </c>
      <c r="AG552">
        <f t="shared" si="72"/>
        <v>55.004520000000412</v>
      </c>
      <c r="AH552">
        <f t="shared" si="73"/>
        <v>3025.4972204304454</v>
      </c>
      <c r="AI552">
        <f t="shared" si="74"/>
        <v>3.828341946442877</v>
      </c>
      <c r="AJ552">
        <f t="shared" si="75"/>
        <v>5.9889078287326623</v>
      </c>
      <c r="AK552">
        <f t="shared" si="76"/>
        <v>301401</v>
      </c>
      <c r="AL552">
        <f t="shared" si="79"/>
        <v>4705.4759999999997</v>
      </c>
      <c r="AM552" t="str">
        <f t="shared" si="80"/>
        <v/>
      </c>
    </row>
    <row r="553" spans="1:39" x14ac:dyDescent="0.55000000000000004">
      <c r="A553">
        <v>1777041002</v>
      </c>
      <c r="B553" t="s">
        <v>72</v>
      </c>
      <c r="C553" t="s">
        <v>73</v>
      </c>
      <c r="D553">
        <v>4730.38</v>
      </c>
      <c r="E553">
        <v>4518.5928199999998</v>
      </c>
      <c r="F553">
        <v>4596.0559499999999</v>
      </c>
      <c r="G553">
        <v>4755.40355</v>
      </c>
      <c r="H553">
        <v>4792.7697200000002</v>
      </c>
      <c r="Q553">
        <v>4670.1878800000004</v>
      </c>
      <c r="R553">
        <v>4699.5511800000004</v>
      </c>
      <c r="S553">
        <v>4726.1399499999998</v>
      </c>
      <c r="V553">
        <v>4635.2481100000005</v>
      </c>
      <c r="W553">
        <v>4601.6831099999999</v>
      </c>
      <c r="AB553">
        <v>4726.1589000000004</v>
      </c>
      <c r="AC553">
        <v>4722.5370700000003</v>
      </c>
      <c r="AD553">
        <v>0</v>
      </c>
      <c r="AE553">
        <f t="shared" si="77"/>
        <v>551</v>
      </c>
      <c r="AF553">
        <f t="shared" si="78"/>
        <v>550</v>
      </c>
      <c r="AG553">
        <f t="shared" si="72"/>
        <v>60.192119999999704</v>
      </c>
      <c r="AH553">
        <f t="shared" si="73"/>
        <v>3623.0913100943644</v>
      </c>
      <c r="AI553">
        <f t="shared" si="74"/>
        <v>5.0168891304937926</v>
      </c>
      <c r="AJ553">
        <f t="shared" si="75"/>
        <v>8.5884080711494732</v>
      </c>
      <c r="AK553">
        <f t="shared" si="76"/>
        <v>302500</v>
      </c>
      <c r="AL553">
        <f t="shared" si="79"/>
        <v>4705.4759999999997</v>
      </c>
      <c r="AM553" t="str">
        <f t="shared" si="80"/>
        <v/>
      </c>
    </row>
    <row r="554" spans="1:39" x14ac:dyDescent="0.55000000000000004">
      <c r="A554">
        <v>1777041902</v>
      </c>
      <c r="B554" t="s">
        <v>72</v>
      </c>
      <c r="C554" t="s">
        <v>73</v>
      </c>
      <c r="D554">
        <v>4726.41</v>
      </c>
      <c r="E554">
        <v>4518.5928199999998</v>
      </c>
      <c r="F554">
        <v>4596.0559499999999</v>
      </c>
      <c r="G554">
        <v>4755.40355</v>
      </c>
      <c r="H554">
        <v>4792.7697200000002</v>
      </c>
      <c r="Q554">
        <v>4669.9202699999996</v>
      </c>
      <c r="R554">
        <v>4699.2835699999996</v>
      </c>
      <c r="S554">
        <v>4725.8723399999999</v>
      </c>
      <c r="V554">
        <v>4634.9804999999997</v>
      </c>
      <c r="W554">
        <v>4601.4155099999998</v>
      </c>
      <c r="AB554">
        <v>4727.63112</v>
      </c>
      <c r="AC554">
        <v>4725.0840900000003</v>
      </c>
      <c r="AD554">
        <v>0</v>
      </c>
      <c r="AE554">
        <f t="shared" si="77"/>
        <v>552</v>
      </c>
      <c r="AF554">
        <f t="shared" si="78"/>
        <v>551</v>
      </c>
      <c r="AG554">
        <f t="shared" si="72"/>
        <v>56.489730000000236</v>
      </c>
      <c r="AH554">
        <f t="shared" si="73"/>
        <v>3191.0895954729267</v>
      </c>
      <c r="AI554">
        <f t="shared" si="74"/>
        <v>4.1469049525681276</v>
      </c>
      <c r="AJ554">
        <f t="shared" si="75"/>
        <v>6.6624215545755909</v>
      </c>
      <c r="AK554">
        <f t="shared" si="76"/>
        <v>303601</v>
      </c>
      <c r="AL554">
        <f t="shared" si="79"/>
        <v>4705.4759999999997</v>
      </c>
      <c r="AM554" t="str">
        <f t="shared" si="80"/>
        <v/>
      </c>
    </row>
    <row r="555" spans="1:39" x14ac:dyDescent="0.55000000000000004">
      <c r="A555">
        <v>1777042802</v>
      </c>
      <c r="B555" t="s">
        <v>72</v>
      </c>
      <c r="C555" t="s">
        <v>73</v>
      </c>
      <c r="D555">
        <v>4721.97</v>
      </c>
      <c r="E555">
        <v>4518.5928199999998</v>
      </c>
      <c r="F555">
        <v>4596.0559499999999</v>
      </c>
      <c r="G555">
        <v>4755.40355</v>
      </c>
      <c r="H555">
        <v>4792.7697200000002</v>
      </c>
      <c r="Q555">
        <v>4669.6526700000004</v>
      </c>
      <c r="R555">
        <v>4699.0159700000004</v>
      </c>
      <c r="S555">
        <v>4725.6047399999998</v>
      </c>
      <c r="V555">
        <v>4634.7129000000004</v>
      </c>
      <c r="W555">
        <v>4601.1478999999999</v>
      </c>
      <c r="AB555">
        <v>4727.7932799999999</v>
      </c>
      <c r="AC555">
        <v>4726.43869</v>
      </c>
      <c r="AD555">
        <v>0</v>
      </c>
      <c r="AE555">
        <f t="shared" si="77"/>
        <v>553</v>
      </c>
      <c r="AF555">
        <f t="shared" si="78"/>
        <v>552</v>
      </c>
      <c r="AG555">
        <f t="shared" si="72"/>
        <v>52.317329999999856</v>
      </c>
      <c r="AH555">
        <f t="shared" si="73"/>
        <v>2737.1030183288849</v>
      </c>
      <c r="AI555">
        <f t="shared" si="74"/>
        <v>3.294217726549435</v>
      </c>
      <c r="AJ555">
        <f t="shared" si="75"/>
        <v>4.9015834369947369</v>
      </c>
      <c r="AK555">
        <f t="shared" si="76"/>
        <v>304704</v>
      </c>
      <c r="AL555">
        <f t="shared" si="79"/>
        <v>4705.4759999999997</v>
      </c>
      <c r="AM555" t="str">
        <f t="shared" si="80"/>
        <v/>
      </c>
    </row>
    <row r="556" spans="1:39" x14ac:dyDescent="0.55000000000000004">
      <c r="A556">
        <v>1777043702</v>
      </c>
      <c r="B556" t="s">
        <v>72</v>
      </c>
      <c r="C556" t="s">
        <v>73</v>
      </c>
      <c r="D556">
        <v>4721.74</v>
      </c>
      <c r="E556">
        <v>4518.5928199999998</v>
      </c>
      <c r="F556">
        <v>4596.0559499999999</v>
      </c>
      <c r="G556">
        <v>4755.40355</v>
      </c>
      <c r="H556">
        <v>4792.7697200000002</v>
      </c>
      <c r="Q556">
        <v>4669.3850700000003</v>
      </c>
      <c r="R556">
        <v>4698.7483599999996</v>
      </c>
      <c r="S556">
        <v>4725.3371399999996</v>
      </c>
      <c r="V556">
        <v>4634.4453000000003</v>
      </c>
      <c r="W556">
        <v>4600.8802999999998</v>
      </c>
      <c r="AB556">
        <v>4727.1056500000004</v>
      </c>
      <c r="AC556">
        <v>4726.7721700000002</v>
      </c>
      <c r="AD556">
        <v>0</v>
      </c>
      <c r="AE556">
        <f t="shared" si="77"/>
        <v>554</v>
      </c>
      <c r="AF556">
        <f t="shared" si="78"/>
        <v>553</v>
      </c>
      <c r="AG556">
        <f t="shared" si="72"/>
        <v>52.354929999999513</v>
      </c>
      <c r="AH556">
        <f t="shared" si="73"/>
        <v>2741.0386953048492</v>
      </c>
      <c r="AI556">
        <f t="shared" si="74"/>
        <v>3.30132540731885</v>
      </c>
      <c r="AJ556">
        <f t="shared" si="75"/>
        <v>4.9156895325541932</v>
      </c>
      <c r="AK556">
        <f t="shared" si="76"/>
        <v>305809</v>
      </c>
      <c r="AL556">
        <f t="shared" si="79"/>
        <v>4705.4759999999997</v>
      </c>
      <c r="AM556" t="str">
        <f t="shared" si="80"/>
        <v/>
      </c>
    </row>
    <row r="557" spans="1:39" x14ac:dyDescent="0.55000000000000004">
      <c r="A557">
        <v>1777044602</v>
      </c>
      <c r="B557" t="s">
        <v>72</v>
      </c>
      <c r="C557" t="s">
        <v>73</v>
      </c>
      <c r="D557">
        <v>4728.12</v>
      </c>
      <c r="E557">
        <v>4518.5928199999998</v>
      </c>
      <c r="F557">
        <v>4596.0559499999999</v>
      </c>
      <c r="G557">
        <v>4755.40355</v>
      </c>
      <c r="H557">
        <v>4792.7697200000002</v>
      </c>
      <c r="Q557">
        <v>4669.1174600000004</v>
      </c>
      <c r="R557">
        <v>4698.4807600000004</v>
      </c>
      <c r="S557">
        <v>4725.0695299999998</v>
      </c>
      <c r="V557">
        <v>4634.1776900000004</v>
      </c>
      <c r="W557">
        <v>4600.6126999999997</v>
      </c>
      <c r="AB557">
        <v>4725.9997400000002</v>
      </c>
      <c r="AC557">
        <v>4726.3859599999996</v>
      </c>
      <c r="AD557">
        <v>1</v>
      </c>
      <c r="AE557">
        <f t="shared" si="77"/>
        <v>555</v>
      </c>
      <c r="AF557">
        <f t="shared" si="78"/>
        <v>554</v>
      </c>
      <c r="AG557">
        <f t="shared" si="72"/>
        <v>59.002539999999499</v>
      </c>
      <c r="AH557">
        <f t="shared" si="73"/>
        <v>3481.2997264515407</v>
      </c>
      <c r="AI557">
        <f t="shared" si="74"/>
        <v>4.7252817451014453</v>
      </c>
      <c r="AJ557">
        <f t="shared" si="75"/>
        <v>7.9293382535254446</v>
      </c>
      <c r="AK557">
        <f t="shared" si="76"/>
        <v>306916</v>
      </c>
      <c r="AL557">
        <f t="shared" si="79"/>
        <v>4725.9997400000002</v>
      </c>
      <c r="AM557">
        <f t="shared" si="80"/>
        <v>20.523740000000544</v>
      </c>
    </row>
    <row r="558" spans="1:39" x14ac:dyDescent="0.55000000000000004">
      <c r="A558">
        <v>1777045502</v>
      </c>
      <c r="B558" t="s">
        <v>72</v>
      </c>
      <c r="C558" t="s">
        <v>73</v>
      </c>
      <c r="D558">
        <v>4727.24</v>
      </c>
      <c r="E558">
        <v>4518.5928199999998</v>
      </c>
      <c r="F558">
        <v>4596.0559499999999</v>
      </c>
      <c r="G558">
        <v>4755.40355</v>
      </c>
      <c r="H558">
        <v>4792.7697200000002</v>
      </c>
      <c r="Q558">
        <v>4668.8498600000003</v>
      </c>
      <c r="R558">
        <v>4698.2131600000002</v>
      </c>
      <c r="S558">
        <v>4724.8019299999996</v>
      </c>
      <c r="V558">
        <v>4633.9100900000003</v>
      </c>
      <c r="W558">
        <v>4600.3450899999998</v>
      </c>
      <c r="AB558">
        <v>4724.7520599999998</v>
      </c>
      <c r="AC558">
        <v>4725.5690100000002</v>
      </c>
      <c r="AD558">
        <v>0</v>
      </c>
      <c r="AE558">
        <f t="shared" si="77"/>
        <v>556</v>
      </c>
      <c r="AF558">
        <f t="shared" si="78"/>
        <v>555</v>
      </c>
      <c r="AG558">
        <f t="shared" si="72"/>
        <v>58.390139999999519</v>
      </c>
      <c r="AH558">
        <f t="shared" si="73"/>
        <v>3409.4084492195439</v>
      </c>
      <c r="AI558">
        <f t="shared" si="74"/>
        <v>4.579669464376086</v>
      </c>
      <c r="AJ558">
        <f t="shared" si="75"/>
        <v>7.6052269557319754</v>
      </c>
      <c r="AK558">
        <f t="shared" si="76"/>
        <v>308025</v>
      </c>
      <c r="AL558">
        <f t="shared" si="79"/>
        <v>4725.9997400000002</v>
      </c>
      <c r="AM558" t="str">
        <f t="shared" si="80"/>
        <v/>
      </c>
    </row>
    <row r="559" spans="1:39" x14ac:dyDescent="0.55000000000000004">
      <c r="A559">
        <v>1777046402</v>
      </c>
      <c r="B559" t="s">
        <v>72</v>
      </c>
      <c r="C559" t="s">
        <v>73</v>
      </c>
      <c r="D559">
        <v>4720.6499999999996</v>
      </c>
      <c r="E559">
        <v>4518.5928199999998</v>
      </c>
      <c r="F559">
        <v>4596.0559499999999</v>
      </c>
      <c r="G559">
        <v>4755.40355</v>
      </c>
      <c r="H559">
        <v>4792.7697200000002</v>
      </c>
      <c r="Q559">
        <v>4668.5822500000004</v>
      </c>
      <c r="R559">
        <v>4697.9455500000004</v>
      </c>
      <c r="S559">
        <v>4724.5343199999998</v>
      </c>
      <c r="V559">
        <v>4633.6424800000004</v>
      </c>
      <c r="W559">
        <v>4600.0774899999997</v>
      </c>
      <c r="AB559">
        <v>4723.7314900000001</v>
      </c>
      <c r="AC559">
        <v>4724.6502499999997</v>
      </c>
      <c r="AD559">
        <v>0</v>
      </c>
      <c r="AE559">
        <f t="shared" si="77"/>
        <v>557</v>
      </c>
      <c r="AF559">
        <f t="shared" si="78"/>
        <v>556</v>
      </c>
      <c r="AG559">
        <f t="shared" si="72"/>
        <v>52.067749999999251</v>
      </c>
      <c r="AH559">
        <f t="shared" si="73"/>
        <v>2711.0505900624221</v>
      </c>
      <c r="AI559">
        <f t="shared" si="74"/>
        <v>3.247297044919065</v>
      </c>
      <c r="AJ559">
        <f t="shared" si="75"/>
        <v>4.808718522060806</v>
      </c>
      <c r="AK559">
        <f t="shared" si="76"/>
        <v>309136</v>
      </c>
      <c r="AL559">
        <f t="shared" si="79"/>
        <v>4725.9997400000002</v>
      </c>
      <c r="AM559" t="str">
        <f t="shared" si="80"/>
        <v/>
      </c>
    </row>
    <row r="560" spans="1:39" x14ac:dyDescent="0.55000000000000004">
      <c r="A560">
        <v>1777047302</v>
      </c>
      <c r="B560" t="s">
        <v>72</v>
      </c>
      <c r="C560" t="s">
        <v>73</v>
      </c>
      <c r="D560">
        <v>4723.32</v>
      </c>
      <c r="E560">
        <v>4518.5928199999998</v>
      </c>
      <c r="F560">
        <v>4596.0559499999999</v>
      </c>
      <c r="G560">
        <v>4755.40355</v>
      </c>
      <c r="H560">
        <v>4792.7697200000002</v>
      </c>
      <c r="Q560">
        <v>4668.3146500000003</v>
      </c>
      <c r="R560">
        <v>4697.6779500000002</v>
      </c>
      <c r="S560">
        <v>4724.2667199999996</v>
      </c>
      <c r="V560">
        <v>4633.3748800000003</v>
      </c>
      <c r="W560">
        <v>4599.8098799999998</v>
      </c>
      <c r="AB560">
        <v>4723.3012799999997</v>
      </c>
      <c r="AC560">
        <v>4723.97577</v>
      </c>
      <c r="AD560">
        <v>0</v>
      </c>
      <c r="AE560">
        <f t="shared" si="77"/>
        <v>558</v>
      </c>
      <c r="AF560">
        <f t="shared" si="78"/>
        <v>557</v>
      </c>
      <c r="AG560">
        <f t="shared" si="72"/>
        <v>55.005349999999453</v>
      </c>
      <c r="AH560">
        <f t="shared" si="73"/>
        <v>3025.5885286224398</v>
      </c>
      <c r="AI560">
        <f t="shared" si="74"/>
        <v>3.8285152542961174</v>
      </c>
      <c r="AJ560">
        <f t="shared" si="75"/>
        <v>5.9892693194614015</v>
      </c>
      <c r="AK560">
        <f t="shared" si="76"/>
        <v>310249</v>
      </c>
      <c r="AL560">
        <f t="shared" si="79"/>
        <v>4725.9997400000002</v>
      </c>
      <c r="AM560" t="str">
        <f t="shared" si="80"/>
        <v/>
      </c>
    </row>
    <row r="561" spans="1:39" x14ac:dyDescent="0.55000000000000004">
      <c r="A561">
        <v>1777048202</v>
      </c>
      <c r="B561" t="s">
        <v>72</v>
      </c>
      <c r="C561" t="s">
        <v>73</v>
      </c>
      <c r="D561">
        <v>4722.58</v>
      </c>
      <c r="E561">
        <v>4518.5928199999998</v>
      </c>
      <c r="F561">
        <v>4596.0559499999999</v>
      </c>
      <c r="G561">
        <v>4755.40355</v>
      </c>
      <c r="H561">
        <v>4792.7697200000002</v>
      </c>
      <c r="Q561">
        <v>4668.0470500000001</v>
      </c>
      <c r="R561">
        <v>4697.4103400000004</v>
      </c>
      <c r="S561">
        <v>4723.9991099999997</v>
      </c>
      <c r="V561">
        <v>4633.1072700000004</v>
      </c>
      <c r="W561">
        <v>4599.5422799999997</v>
      </c>
      <c r="AB561">
        <v>4723.3392100000001</v>
      </c>
      <c r="AC561">
        <v>4723.6574899999996</v>
      </c>
      <c r="AD561">
        <v>0</v>
      </c>
      <c r="AE561">
        <f t="shared" si="77"/>
        <v>559</v>
      </c>
      <c r="AF561">
        <f t="shared" si="78"/>
        <v>558</v>
      </c>
      <c r="AG561">
        <f t="shared" si="72"/>
        <v>54.532949999999801</v>
      </c>
      <c r="AH561">
        <f t="shared" si="73"/>
        <v>2973.8426357024782</v>
      </c>
      <c r="AI561">
        <f t="shared" si="74"/>
        <v>3.7307191798786912</v>
      </c>
      <c r="AJ561">
        <f t="shared" si="75"/>
        <v>5.7861552194305075</v>
      </c>
      <c r="AK561">
        <f t="shared" si="76"/>
        <v>311364</v>
      </c>
      <c r="AL561">
        <f t="shared" si="79"/>
        <v>4725.9997400000002</v>
      </c>
      <c r="AM561" t="str">
        <f t="shared" si="80"/>
        <v/>
      </c>
    </row>
    <row r="562" spans="1:39" x14ac:dyDescent="0.55000000000000004">
      <c r="A562">
        <v>1777049102</v>
      </c>
      <c r="B562" t="s">
        <v>72</v>
      </c>
      <c r="C562" t="s">
        <v>73</v>
      </c>
      <c r="D562">
        <v>4726.84</v>
      </c>
      <c r="E562">
        <v>4518.5928199999998</v>
      </c>
      <c r="F562">
        <v>4596.0559499999999</v>
      </c>
      <c r="G562">
        <v>4755.40355</v>
      </c>
      <c r="H562">
        <v>4792.7697200000002</v>
      </c>
      <c r="Q562">
        <v>4667.7794400000002</v>
      </c>
      <c r="R562">
        <v>4697.1427400000002</v>
      </c>
      <c r="S562">
        <v>4723.7315099999996</v>
      </c>
      <c r="V562">
        <v>4632.8396700000003</v>
      </c>
      <c r="W562">
        <v>4599.2746699999998</v>
      </c>
      <c r="AB562">
        <v>4723.6962599999997</v>
      </c>
      <c r="AC562">
        <v>4723.6768700000002</v>
      </c>
      <c r="AD562">
        <v>1</v>
      </c>
      <c r="AE562">
        <f t="shared" si="77"/>
        <v>560</v>
      </c>
      <c r="AF562">
        <f t="shared" si="78"/>
        <v>559</v>
      </c>
      <c r="AG562">
        <f t="shared" si="72"/>
        <v>59.060559999999896</v>
      </c>
      <c r="AH562">
        <f t="shared" si="73"/>
        <v>3488.1497475135875</v>
      </c>
      <c r="AI562">
        <f t="shared" si="74"/>
        <v>4.7392352391681616</v>
      </c>
      <c r="AJ562">
        <f t="shared" si="75"/>
        <v>7.9605734680788878</v>
      </c>
      <c r="AK562">
        <f t="shared" si="76"/>
        <v>312481</v>
      </c>
      <c r="AL562">
        <f t="shared" si="79"/>
        <v>4723.6962599999997</v>
      </c>
      <c r="AM562">
        <f t="shared" si="80"/>
        <v>2.3034800000004907</v>
      </c>
    </row>
    <row r="563" spans="1:39" x14ac:dyDescent="0.55000000000000004">
      <c r="A563">
        <v>1777050002</v>
      </c>
      <c r="B563" t="s">
        <v>72</v>
      </c>
      <c r="C563" t="s">
        <v>73</v>
      </c>
      <c r="D563">
        <v>4727.78</v>
      </c>
      <c r="E563">
        <v>4518.5928199999998</v>
      </c>
      <c r="F563">
        <v>4596.0559499999999</v>
      </c>
      <c r="G563">
        <v>4755.40355</v>
      </c>
      <c r="H563">
        <v>4792.7697200000002</v>
      </c>
      <c r="Q563">
        <v>4667.5118400000001</v>
      </c>
      <c r="R563">
        <v>4696.8751400000001</v>
      </c>
      <c r="S563">
        <v>4723.4639100000004</v>
      </c>
      <c r="V563">
        <v>4632.5720700000002</v>
      </c>
      <c r="W563">
        <v>4599.0070699999997</v>
      </c>
      <c r="AB563">
        <v>4724.0246500000003</v>
      </c>
      <c r="AC563">
        <v>4723.8507600000003</v>
      </c>
      <c r="AD563">
        <v>0</v>
      </c>
      <c r="AE563">
        <f t="shared" si="77"/>
        <v>561</v>
      </c>
      <c r="AF563">
        <f t="shared" si="78"/>
        <v>560</v>
      </c>
      <c r="AG563">
        <f t="shared" si="72"/>
        <v>60.268159999999625</v>
      </c>
      <c r="AH563">
        <f t="shared" si="73"/>
        <v>3632.2511097855549</v>
      </c>
      <c r="AI563">
        <f t="shared" si="74"/>
        <v>5.0359264917132629</v>
      </c>
      <c r="AJ563">
        <f t="shared" si="75"/>
        <v>8.6318889189203354</v>
      </c>
      <c r="AK563">
        <f t="shared" si="76"/>
        <v>313600</v>
      </c>
      <c r="AL563">
        <f t="shared" si="79"/>
        <v>4723.6962599999997</v>
      </c>
      <c r="AM563" t="str">
        <f t="shared" si="80"/>
        <v/>
      </c>
    </row>
    <row r="564" spans="1:39" x14ac:dyDescent="0.55000000000000004">
      <c r="A564">
        <v>1777050902</v>
      </c>
      <c r="B564" t="s">
        <v>72</v>
      </c>
      <c r="C564" t="s">
        <v>73</v>
      </c>
      <c r="D564">
        <v>4723.0600000000004</v>
      </c>
      <c r="E564">
        <v>4518.5928199999998</v>
      </c>
      <c r="F564">
        <v>4596.0559499999999</v>
      </c>
      <c r="G564">
        <v>4755.40355</v>
      </c>
      <c r="H564">
        <v>4792.7697200000002</v>
      </c>
      <c r="Q564">
        <v>4667.2442300000002</v>
      </c>
      <c r="R564">
        <v>4696.6075300000002</v>
      </c>
      <c r="S564">
        <v>4723.1962999999996</v>
      </c>
      <c r="V564">
        <v>4632.3044600000003</v>
      </c>
      <c r="W564">
        <v>4598.7394700000004</v>
      </c>
      <c r="AB564">
        <v>4724.0779400000001</v>
      </c>
      <c r="AC564">
        <v>4723.9643500000002</v>
      </c>
      <c r="AD564">
        <v>0</v>
      </c>
      <c r="AE564">
        <f t="shared" si="77"/>
        <v>562</v>
      </c>
      <c r="AF564">
        <f t="shared" si="78"/>
        <v>561</v>
      </c>
      <c r="AG564">
        <f t="shared" si="72"/>
        <v>55.815770000000157</v>
      </c>
      <c r="AH564">
        <f t="shared" si="73"/>
        <v>3115.4001806929177</v>
      </c>
      <c r="AI564">
        <f t="shared" si="74"/>
        <v>4.0002427393653921</v>
      </c>
      <c r="AJ564">
        <f t="shared" si="75"/>
        <v>6.3501179793676679</v>
      </c>
      <c r="AK564">
        <f t="shared" si="76"/>
        <v>314721</v>
      </c>
      <c r="AL564">
        <f t="shared" si="79"/>
        <v>4723.6962599999997</v>
      </c>
      <c r="AM564" t="str">
        <f t="shared" si="80"/>
        <v/>
      </c>
    </row>
    <row r="565" spans="1:39" x14ac:dyDescent="0.55000000000000004">
      <c r="A565">
        <v>1777051802</v>
      </c>
      <c r="B565" t="s">
        <v>72</v>
      </c>
      <c r="C565" t="s">
        <v>73</v>
      </c>
      <c r="D565">
        <v>4722.4799999999996</v>
      </c>
      <c r="E565">
        <v>4518.5928199999998</v>
      </c>
      <c r="F565">
        <v>4596.0559499999999</v>
      </c>
      <c r="G565">
        <v>4755.40355</v>
      </c>
      <c r="H565">
        <v>4792.7697200000002</v>
      </c>
      <c r="Q565">
        <v>4666.9766300000001</v>
      </c>
      <c r="R565">
        <v>4696.3399300000001</v>
      </c>
      <c r="S565">
        <v>4722.9287000000004</v>
      </c>
      <c r="V565">
        <v>4632.0368600000002</v>
      </c>
      <c r="W565">
        <v>4598.4718599999997</v>
      </c>
      <c r="AB565">
        <v>4723.8595400000004</v>
      </c>
      <c r="AC565">
        <v>4723.9119499999997</v>
      </c>
      <c r="AD565">
        <v>1</v>
      </c>
      <c r="AE565">
        <f t="shared" si="77"/>
        <v>563</v>
      </c>
      <c r="AF565">
        <f t="shared" si="78"/>
        <v>562</v>
      </c>
      <c r="AG565">
        <f t="shared" si="72"/>
        <v>55.50336999999945</v>
      </c>
      <c r="AH565">
        <f t="shared" si="73"/>
        <v>3080.6240813568388</v>
      </c>
      <c r="AI565">
        <f t="shared" si="74"/>
        <v>3.9334500857091008</v>
      </c>
      <c r="AJ565">
        <f t="shared" si="75"/>
        <v>6.2091410360011157</v>
      </c>
      <c r="AK565">
        <f t="shared" si="76"/>
        <v>315844</v>
      </c>
      <c r="AL565">
        <f t="shared" si="79"/>
        <v>4723.8595400000004</v>
      </c>
      <c r="AM565">
        <f t="shared" si="80"/>
        <v>0.16328000000066822</v>
      </c>
    </row>
    <row r="566" spans="1:39" x14ac:dyDescent="0.55000000000000004">
      <c r="A566">
        <v>1777052702</v>
      </c>
      <c r="B566" t="s">
        <v>72</v>
      </c>
      <c r="C566" t="s">
        <v>73</v>
      </c>
      <c r="D566">
        <v>4723.38</v>
      </c>
      <c r="E566">
        <v>4518.5928199999998</v>
      </c>
      <c r="F566">
        <v>4596.0559499999999</v>
      </c>
      <c r="G566">
        <v>4755.40355</v>
      </c>
      <c r="H566">
        <v>4792.7697200000002</v>
      </c>
      <c r="Q566">
        <v>4666.7090200000002</v>
      </c>
      <c r="R566">
        <v>4696.0723200000002</v>
      </c>
      <c r="S566">
        <v>4722.6610899999996</v>
      </c>
      <c r="V566">
        <v>4631.7692500000003</v>
      </c>
      <c r="W566">
        <v>4598.2042600000004</v>
      </c>
      <c r="AB566">
        <v>4723.3712999999998</v>
      </c>
      <c r="AC566">
        <v>4723.6416200000003</v>
      </c>
      <c r="AD566">
        <v>0</v>
      </c>
      <c r="AE566">
        <f t="shared" si="77"/>
        <v>564</v>
      </c>
      <c r="AF566">
        <f t="shared" si="78"/>
        <v>563</v>
      </c>
      <c r="AG566">
        <f t="shared" si="72"/>
        <v>56.670979999999872</v>
      </c>
      <c r="AH566">
        <f t="shared" si="73"/>
        <v>3211.5999741603855</v>
      </c>
      <c r="AI566">
        <f t="shared" si="74"/>
        <v>4.1869497924833441</v>
      </c>
      <c r="AJ566">
        <f t="shared" si="75"/>
        <v>6.7483407571031542</v>
      </c>
      <c r="AK566">
        <f t="shared" si="76"/>
        <v>316969</v>
      </c>
      <c r="AL566">
        <f t="shared" si="79"/>
        <v>4723.8595400000004</v>
      </c>
      <c r="AM566" t="str">
        <f t="shared" si="80"/>
        <v/>
      </c>
    </row>
    <row r="567" spans="1:39" x14ac:dyDescent="0.55000000000000004">
      <c r="A567">
        <v>1777053602</v>
      </c>
      <c r="B567" t="s">
        <v>72</v>
      </c>
      <c r="C567" t="s">
        <v>73</v>
      </c>
      <c r="D567">
        <v>4723.9399999999996</v>
      </c>
      <c r="E567">
        <v>4518.5928199999998</v>
      </c>
      <c r="F567">
        <v>4596.0559499999999</v>
      </c>
      <c r="G567">
        <v>4755.40355</v>
      </c>
      <c r="H567">
        <v>4792.7697200000002</v>
      </c>
      <c r="Q567">
        <v>4666.4414200000001</v>
      </c>
      <c r="R567">
        <v>4695.8047200000001</v>
      </c>
      <c r="S567">
        <v>4722.3934900000004</v>
      </c>
      <c r="V567">
        <v>4631.5016500000002</v>
      </c>
      <c r="W567">
        <v>4597.9366499999996</v>
      </c>
      <c r="AB567">
        <v>4722.6490000000003</v>
      </c>
      <c r="AC567">
        <v>4723.1453099999999</v>
      </c>
      <c r="AD567">
        <v>0</v>
      </c>
      <c r="AE567">
        <f t="shared" si="77"/>
        <v>565</v>
      </c>
      <c r="AF567">
        <f t="shared" si="78"/>
        <v>564</v>
      </c>
      <c r="AG567">
        <f t="shared" si="72"/>
        <v>57.498579999999492</v>
      </c>
      <c r="AH567">
        <f t="shared" si="73"/>
        <v>3306.0867020163414</v>
      </c>
      <c r="AI567">
        <f t="shared" si="74"/>
        <v>4.3730751698446948</v>
      </c>
      <c r="AJ567">
        <f t="shared" si="75"/>
        <v>7.1512603633077676</v>
      </c>
      <c r="AK567">
        <f t="shared" si="76"/>
        <v>318096</v>
      </c>
      <c r="AL567">
        <f t="shared" si="79"/>
        <v>4723.8595400000004</v>
      </c>
      <c r="AM567" t="str">
        <f t="shared" si="80"/>
        <v/>
      </c>
    </row>
    <row r="568" spans="1:39" x14ac:dyDescent="0.55000000000000004">
      <c r="A568">
        <v>1777054502</v>
      </c>
      <c r="B568" t="s">
        <v>72</v>
      </c>
      <c r="C568" t="s">
        <v>73</v>
      </c>
      <c r="D568">
        <v>4717.26</v>
      </c>
      <c r="E568">
        <v>4518.5928199999998</v>
      </c>
      <c r="F568">
        <v>4596.0559499999999</v>
      </c>
      <c r="G568">
        <v>4755.40355</v>
      </c>
      <c r="H568">
        <v>4792.7697200000002</v>
      </c>
      <c r="Q568">
        <v>4666.17382</v>
      </c>
      <c r="R568">
        <v>4695.53712</v>
      </c>
      <c r="S568">
        <v>4722.1258900000003</v>
      </c>
      <c r="V568">
        <v>4631.23405</v>
      </c>
      <c r="W568">
        <v>4597.6690500000004</v>
      </c>
      <c r="AB568">
        <v>4721.7940399999998</v>
      </c>
      <c r="AC568">
        <v>4722.4696800000002</v>
      </c>
      <c r="AD568">
        <v>0</v>
      </c>
      <c r="AE568">
        <f t="shared" si="77"/>
        <v>566</v>
      </c>
      <c r="AF568">
        <f t="shared" si="78"/>
        <v>565</v>
      </c>
      <c r="AG568">
        <f t="shared" si="72"/>
        <v>51.08618000000024</v>
      </c>
      <c r="AH568">
        <f t="shared" si="73"/>
        <v>2609.7977869924243</v>
      </c>
      <c r="AI568">
        <f t="shared" si="74"/>
        <v>3.0670854255740161</v>
      </c>
      <c r="AJ568">
        <f t="shared" si="75"/>
        <v>4.4562323770324781</v>
      </c>
      <c r="AK568">
        <f t="shared" si="76"/>
        <v>319225</v>
      </c>
      <c r="AL568">
        <f t="shared" si="79"/>
        <v>4723.8595400000004</v>
      </c>
      <c r="AM568" t="str">
        <f t="shared" si="80"/>
        <v/>
      </c>
    </row>
    <row r="569" spans="1:39" x14ac:dyDescent="0.55000000000000004">
      <c r="A569">
        <v>1777055402</v>
      </c>
      <c r="B569" t="s">
        <v>72</v>
      </c>
      <c r="C569" t="s">
        <v>73</v>
      </c>
      <c r="D569">
        <v>4718.9799999999996</v>
      </c>
      <c r="E569">
        <v>4518.5928199999998</v>
      </c>
      <c r="F569">
        <v>4596.0559499999999</v>
      </c>
      <c r="G569">
        <v>4755.40355</v>
      </c>
      <c r="H569">
        <v>4792.7697200000002</v>
      </c>
      <c r="Q569">
        <v>4665.9062100000001</v>
      </c>
      <c r="R569">
        <v>4695.2695100000001</v>
      </c>
      <c r="S569">
        <v>4721.8582800000004</v>
      </c>
      <c r="V569">
        <v>4630.9664400000001</v>
      </c>
      <c r="W569">
        <v>4597.4014500000003</v>
      </c>
      <c r="AB569">
        <v>4721.0948500000004</v>
      </c>
      <c r="AC569">
        <v>4721.78226</v>
      </c>
      <c r="AD569">
        <v>0</v>
      </c>
      <c r="AE569">
        <f t="shared" si="77"/>
        <v>567</v>
      </c>
      <c r="AF569">
        <f t="shared" si="78"/>
        <v>566</v>
      </c>
      <c r="AG569">
        <f t="shared" si="72"/>
        <v>53.073789999999462</v>
      </c>
      <c r="AH569">
        <f t="shared" si="73"/>
        <v>2816.8271849640428</v>
      </c>
      <c r="AI569">
        <f t="shared" si="74"/>
        <v>3.4391877849715442</v>
      </c>
      <c r="AJ569">
        <f t="shared" si="75"/>
        <v>5.1912807843087387</v>
      </c>
      <c r="AK569">
        <f t="shared" si="76"/>
        <v>320356</v>
      </c>
      <c r="AL569">
        <f t="shared" si="79"/>
        <v>4723.8595400000004</v>
      </c>
      <c r="AM569" t="str">
        <f t="shared" si="80"/>
        <v/>
      </c>
    </row>
    <row r="570" spans="1:39" x14ac:dyDescent="0.55000000000000004">
      <c r="A570">
        <v>1777056302</v>
      </c>
      <c r="B570" t="s">
        <v>72</v>
      </c>
      <c r="C570" t="s">
        <v>73</v>
      </c>
      <c r="D570">
        <v>4722.91</v>
      </c>
      <c r="E570">
        <v>4518.5928199999998</v>
      </c>
      <c r="F570">
        <v>4596.0559499999999</v>
      </c>
      <c r="G570">
        <v>4755.40355</v>
      </c>
      <c r="H570">
        <v>4792.7697200000002</v>
      </c>
      <c r="Q570">
        <v>4665.63861</v>
      </c>
      <c r="R570">
        <v>4695.00191</v>
      </c>
      <c r="S570">
        <v>4721.5906800000002</v>
      </c>
      <c r="V570">
        <v>4630.69884</v>
      </c>
      <c r="W570">
        <v>4597.1338400000004</v>
      </c>
      <c r="AB570">
        <v>4720.49046</v>
      </c>
      <c r="AC570">
        <v>4721.1363600000004</v>
      </c>
      <c r="AD570">
        <v>0</v>
      </c>
      <c r="AE570">
        <f t="shared" si="77"/>
        <v>568</v>
      </c>
      <c r="AF570">
        <f t="shared" si="78"/>
        <v>567</v>
      </c>
      <c r="AG570">
        <f t="shared" si="72"/>
        <v>57.271389999999883</v>
      </c>
      <c r="AH570">
        <f t="shared" si="73"/>
        <v>3280.0121125320866</v>
      </c>
      <c r="AI570">
        <f t="shared" si="74"/>
        <v>4.321442668749345</v>
      </c>
      <c r="AJ570">
        <f t="shared" si="75"/>
        <v>7.0389034409428106</v>
      </c>
      <c r="AK570">
        <f t="shared" si="76"/>
        <v>321489</v>
      </c>
      <c r="AL570">
        <f t="shared" si="79"/>
        <v>4723.8595400000004</v>
      </c>
      <c r="AM570" t="str">
        <f t="shared" si="80"/>
        <v/>
      </c>
    </row>
    <row r="571" spans="1:39" x14ac:dyDescent="0.55000000000000004">
      <c r="A571">
        <v>1777057202</v>
      </c>
      <c r="B571" t="s">
        <v>72</v>
      </c>
      <c r="C571" t="s">
        <v>73</v>
      </c>
      <c r="D571">
        <v>4722.47</v>
      </c>
      <c r="E571">
        <v>4518.5928199999998</v>
      </c>
      <c r="F571">
        <v>4596.0559499999999</v>
      </c>
      <c r="G571">
        <v>4755.40355</v>
      </c>
      <c r="H571">
        <v>4792.7697200000002</v>
      </c>
      <c r="Q571">
        <v>4665.3710000000001</v>
      </c>
      <c r="R571">
        <v>4694.7343000000001</v>
      </c>
      <c r="S571">
        <v>4721.3230700000004</v>
      </c>
      <c r="V571">
        <v>4630.4312300000001</v>
      </c>
      <c r="W571">
        <v>4596.8662400000003</v>
      </c>
      <c r="AB571">
        <v>4719.7457400000003</v>
      </c>
      <c r="AC571">
        <v>4720.4410500000004</v>
      </c>
      <c r="AD571">
        <v>0</v>
      </c>
      <c r="AE571">
        <f t="shared" si="77"/>
        <v>569</v>
      </c>
      <c r="AF571">
        <f t="shared" si="78"/>
        <v>568</v>
      </c>
      <c r="AG571">
        <f t="shared" si="72"/>
        <v>57.09900000000016</v>
      </c>
      <c r="AH571">
        <f t="shared" si="73"/>
        <v>3260.2958010000184</v>
      </c>
      <c r="AI571">
        <f t="shared" si="74"/>
        <v>4.2825366805683123</v>
      </c>
      <c r="AJ571">
        <f t="shared" si="75"/>
        <v>6.9545353971399839</v>
      </c>
      <c r="AK571">
        <f t="shared" si="76"/>
        <v>322624</v>
      </c>
      <c r="AL571">
        <f t="shared" si="79"/>
        <v>4723.8595400000004</v>
      </c>
      <c r="AM571" t="str">
        <f t="shared" si="80"/>
        <v/>
      </c>
    </row>
    <row r="572" spans="1:39" x14ac:dyDescent="0.55000000000000004">
      <c r="A572">
        <v>1777058102</v>
      </c>
      <c r="B572" t="s">
        <v>72</v>
      </c>
      <c r="C572" t="s">
        <v>73</v>
      </c>
      <c r="D572">
        <v>4719.08</v>
      </c>
      <c r="E572">
        <v>4518.5928199999998</v>
      </c>
      <c r="F572">
        <v>4596.0559499999999</v>
      </c>
      <c r="G572">
        <v>4755.40355</v>
      </c>
      <c r="H572">
        <v>4792.7697200000002</v>
      </c>
      <c r="Q572">
        <v>4665.1034</v>
      </c>
      <c r="R572">
        <v>4694.4666999999999</v>
      </c>
      <c r="S572">
        <v>4721.0554700000002</v>
      </c>
      <c r="V572">
        <v>4630.16363</v>
      </c>
      <c r="W572">
        <v>4596.5986300000004</v>
      </c>
      <c r="AB572">
        <v>4718.6875600000003</v>
      </c>
      <c r="AC572">
        <v>4719.5643099999998</v>
      </c>
      <c r="AD572">
        <v>0</v>
      </c>
      <c r="AE572">
        <f t="shared" si="77"/>
        <v>570</v>
      </c>
      <c r="AF572">
        <f t="shared" si="78"/>
        <v>569</v>
      </c>
      <c r="AG572">
        <f t="shared" si="72"/>
        <v>53.976599999999962</v>
      </c>
      <c r="AH572">
        <f t="shared" si="73"/>
        <v>2913.473347559996</v>
      </c>
      <c r="AI572">
        <f t="shared" si="74"/>
        <v>3.6176967420115709</v>
      </c>
      <c r="AJ572">
        <f t="shared" si="75"/>
        <v>5.5536206567060944</v>
      </c>
      <c r="AK572">
        <f t="shared" si="76"/>
        <v>323761</v>
      </c>
      <c r="AL572">
        <f t="shared" si="79"/>
        <v>4723.8595400000004</v>
      </c>
      <c r="AM572" t="str">
        <f t="shared" si="80"/>
        <v/>
      </c>
    </row>
    <row r="573" spans="1:39" x14ac:dyDescent="0.55000000000000004">
      <c r="A573">
        <v>1777059002</v>
      </c>
      <c r="B573" t="s">
        <v>72</v>
      </c>
      <c r="C573" t="s">
        <v>73</v>
      </c>
      <c r="D573">
        <v>4716.82</v>
      </c>
      <c r="E573">
        <v>4518.5928199999998</v>
      </c>
      <c r="F573">
        <v>4596.0559499999999</v>
      </c>
      <c r="G573">
        <v>4755.40355</v>
      </c>
      <c r="H573">
        <v>4792.7697200000002</v>
      </c>
      <c r="Q573">
        <v>4664.8357999999998</v>
      </c>
      <c r="R573">
        <v>4694.1990999999998</v>
      </c>
      <c r="S573">
        <v>4720.7878700000001</v>
      </c>
      <c r="V573">
        <v>4629.8960299999999</v>
      </c>
      <c r="W573">
        <v>4596.3310300000003</v>
      </c>
      <c r="AB573">
        <v>4717.1939400000001</v>
      </c>
      <c r="AC573">
        <v>4718.3791199999996</v>
      </c>
      <c r="AD573">
        <v>0</v>
      </c>
      <c r="AE573">
        <f t="shared" si="77"/>
        <v>571</v>
      </c>
      <c r="AF573">
        <f t="shared" si="78"/>
        <v>570</v>
      </c>
      <c r="AG573">
        <f t="shared" si="72"/>
        <v>51.984199999999873</v>
      </c>
      <c r="AH573">
        <f t="shared" si="73"/>
        <v>2702.3570496399871</v>
      </c>
      <c r="AI573">
        <f t="shared" si="74"/>
        <v>3.2316898863585033</v>
      </c>
      <c r="AJ573">
        <f t="shared" si="75"/>
        <v>4.7779276831257622</v>
      </c>
      <c r="AK573">
        <f t="shared" si="76"/>
        <v>324900</v>
      </c>
      <c r="AL573">
        <f t="shared" si="79"/>
        <v>4723.8595400000004</v>
      </c>
      <c r="AM573" t="str">
        <f t="shared" si="80"/>
        <v/>
      </c>
    </row>
    <row r="574" spans="1:39" x14ac:dyDescent="0.55000000000000004">
      <c r="A574">
        <v>1777059902</v>
      </c>
      <c r="B574" t="s">
        <v>72</v>
      </c>
      <c r="C574" t="s">
        <v>73</v>
      </c>
      <c r="D574">
        <v>4717.0200000000004</v>
      </c>
      <c r="E574">
        <v>4518.5928199999998</v>
      </c>
      <c r="F574">
        <v>4596.0559499999999</v>
      </c>
      <c r="G574">
        <v>4755.40355</v>
      </c>
      <c r="H574">
        <v>4792.7697200000002</v>
      </c>
      <c r="Q574">
        <v>4664.56819</v>
      </c>
      <c r="R574">
        <v>4693.9314899999999</v>
      </c>
      <c r="S574">
        <v>4720.5202600000002</v>
      </c>
      <c r="V574">
        <v>4629.62842</v>
      </c>
      <c r="W574">
        <v>4596.0634300000002</v>
      </c>
      <c r="AB574">
        <v>4715.0896700000003</v>
      </c>
      <c r="AC574">
        <v>4716.7344000000003</v>
      </c>
      <c r="AD574">
        <v>0</v>
      </c>
      <c r="AE574">
        <f t="shared" si="77"/>
        <v>572</v>
      </c>
      <c r="AF574">
        <f t="shared" si="78"/>
        <v>571</v>
      </c>
      <c r="AG574">
        <f t="shared" si="72"/>
        <v>52.451810000000478</v>
      </c>
      <c r="AH574">
        <f t="shared" si="73"/>
        <v>2751.1923722761503</v>
      </c>
      <c r="AI574">
        <f t="shared" si="74"/>
        <v>3.3196861196695093</v>
      </c>
      <c r="AJ574">
        <f t="shared" si="75"/>
        <v>4.9521755327201333</v>
      </c>
      <c r="AK574">
        <f t="shared" si="76"/>
        <v>326041</v>
      </c>
      <c r="AL574">
        <f t="shared" si="79"/>
        <v>4723.8595400000004</v>
      </c>
      <c r="AM574" t="str">
        <f t="shared" si="80"/>
        <v/>
      </c>
    </row>
    <row r="575" spans="1:39" x14ac:dyDescent="0.55000000000000004">
      <c r="A575">
        <v>1777060802</v>
      </c>
      <c r="B575" t="s">
        <v>72</v>
      </c>
      <c r="C575" t="s">
        <v>73</v>
      </c>
      <c r="D575">
        <v>4706.5600000000004</v>
      </c>
      <c r="E575">
        <v>4518.5928199999998</v>
      </c>
      <c r="F575">
        <v>4596.0559499999999</v>
      </c>
      <c r="G575">
        <v>4755.40355</v>
      </c>
      <c r="H575">
        <v>4792.7697200000002</v>
      </c>
      <c r="Q575">
        <v>4664.3005899999998</v>
      </c>
      <c r="R575">
        <v>4693.6638899999998</v>
      </c>
      <c r="S575">
        <v>4720.2526600000001</v>
      </c>
      <c r="V575">
        <v>4629.3608199999999</v>
      </c>
      <c r="W575">
        <v>4595.7958200000003</v>
      </c>
      <c r="AB575">
        <v>4712.1761299999998</v>
      </c>
      <c r="AC575">
        <v>4714.4552599999997</v>
      </c>
      <c r="AD575">
        <v>0</v>
      </c>
      <c r="AE575">
        <f t="shared" si="77"/>
        <v>573</v>
      </c>
      <c r="AF575">
        <f t="shared" si="78"/>
        <v>572</v>
      </c>
      <c r="AG575">
        <f t="shared" si="72"/>
        <v>42.259410000000571</v>
      </c>
      <c r="AH575">
        <f t="shared" si="73"/>
        <v>1785.8577335481482</v>
      </c>
      <c r="AI575">
        <f t="shared" si="74"/>
        <v>1.7361445154058535</v>
      </c>
      <c r="AJ575">
        <f t="shared" si="75"/>
        <v>2.086641450542968</v>
      </c>
      <c r="AK575">
        <f t="shared" si="76"/>
        <v>327184</v>
      </c>
      <c r="AL575">
        <f t="shared" si="79"/>
        <v>4723.8595400000004</v>
      </c>
      <c r="AM575" t="str">
        <f t="shared" si="80"/>
        <v/>
      </c>
    </row>
    <row r="576" spans="1:39" x14ac:dyDescent="0.55000000000000004">
      <c r="A576">
        <v>1777061702</v>
      </c>
      <c r="B576" t="s">
        <v>72</v>
      </c>
      <c r="C576" t="s">
        <v>73</v>
      </c>
      <c r="D576">
        <v>4708.18</v>
      </c>
      <c r="E576">
        <v>4518.5928199999998</v>
      </c>
      <c r="F576">
        <v>4596.0559499999999</v>
      </c>
      <c r="G576">
        <v>4755.40355</v>
      </c>
      <c r="H576">
        <v>4792.7697200000002</v>
      </c>
      <c r="Q576">
        <v>4664.03298</v>
      </c>
      <c r="R576">
        <v>4693.3962799999999</v>
      </c>
      <c r="S576">
        <v>4719.9850500000002</v>
      </c>
      <c r="V576">
        <v>4629.09321</v>
      </c>
      <c r="W576">
        <v>4595.5282200000001</v>
      </c>
      <c r="AB576">
        <v>4708.6459299999997</v>
      </c>
      <c r="AC576">
        <v>4711.5505999999996</v>
      </c>
      <c r="AD576">
        <v>0</v>
      </c>
      <c r="AE576">
        <f t="shared" si="77"/>
        <v>574</v>
      </c>
      <c r="AF576">
        <f t="shared" si="78"/>
        <v>573</v>
      </c>
      <c r="AG576">
        <f t="shared" si="72"/>
        <v>44.147020000000339</v>
      </c>
      <c r="AH576">
        <f t="shared" si="73"/>
        <v>1948.95937488043</v>
      </c>
      <c r="AI576">
        <f t="shared" si="74"/>
        <v>1.979337096875954</v>
      </c>
      <c r="AJ576">
        <f t="shared" si="75"/>
        <v>2.4851905055117087</v>
      </c>
      <c r="AK576">
        <f t="shared" si="76"/>
        <v>328329</v>
      </c>
      <c r="AL576">
        <f t="shared" si="79"/>
        <v>4723.8595400000004</v>
      </c>
      <c r="AM576" t="str">
        <f t="shared" si="80"/>
        <v/>
      </c>
    </row>
    <row r="577" spans="1:39" x14ac:dyDescent="0.55000000000000004">
      <c r="A577">
        <v>1777062602</v>
      </c>
      <c r="B577" t="s">
        <v>72</v>
      </c>
      <c r="C577" t="s">
        <v>73</v>
      </c>
      <c r="D577">
        <v>4707.6099999999997</v>
      </c>
      <c r="E577">
        <v>4518.5928199999998</v>
      </c>
      <c r="F577">
        <v>4596.0559499999999</v>
      </c>
      <c r="G577">
        <v>4755.40355</v>
      </c>
      <c r="H577">
        <v>4792.7697200000002</v>
      </c>
      <c r="Q577">
        <v>4663.7653799999998</v>
      </c>
      <c r="R577">
        <v>4693.1286799999998</v>
      </c>
      <c r="S577">
        <v>4719.7174500000001</v>
      </c>
      <c r="V577">
        <v>4628.8256099999999</v>
      </c>
      <c r="W577">
        <v>4595.2606100000003</v>
      </c>
      <c r="AB577">
        <v>4704.4235200000003</v>
      </c>
      <c r="AC577">
        <v>4707.9870600000004</v>
      </c>
      <c r="AD577">
        <v>0</v>
      </c>
      <c r="AE577">
        <f t="shared" si="77"/>
        <v>575</v>
      </c>
      <c r="AF577">
        <f t="shared" si="78"/>
        <v>574</v>
      </c>
      <c r="AG577">
        <f t="shared" si="72"/>
        <v>43.84461999999985</v>
      </c>
      <c r="AH577">
        <f t="shared" si="73"/>
        <v>1922.3507029443867</v>
      </c>
      <c r="AI577">
        <f t="shared" si="74"/>
        <v>1.9389406498981361</v>
      </c>
      <c r="AJ577">
        <f t="shared" si="75"/>
        <v>2.417794327329148</v>
      </c>
      <c r="AK577">
        <f t="shared" si="76"/>
        <v>329476</v>
      </c>
      <c r="AL577">
        <f t="shared" si="79"/>
        <v>4723.8595400000004</v>
      </c>
      <c r="AM577" t="str">
        <f t="shared" si="80"/>
        <v/>
      </c>
    </row>
    <row r="578" spans="1:39" x14ac:dyDescent="0.55000000000000004">
      <c r="A578">
        <v>1777063502</v>
      </c>
      <c r="B578" t="s">
        <v>72</v>
      </c>
      <c r="C578" t="s">
        <v>73</v>
      </c>
      <c r="D578">
        <v>4708.24</v>
      </c>
      <c r="E578">
        <v>4518.5928199999998</v>
      </c>
      <c r="F578">
        <v>4596.0559499999999</v>
      </c>
      <c r="G578">
        <v>4755.40355</v>
      </c>
      <c r="H578">
        <v>4792.7697200000002</v>
      </c>
      <c r="Q578">
        <v>4663.4977799999997</v>
      </c>
      <c r="R578">
        <v>4692.8610699999999</v>
      </c>
      <c r="S578">
        <v>4719.44985</v>
      </c>
      <c r="V578">
        <v>4628.5580099999997</v>
      </c>
      <c r="W578">
        <v>4594.9930100000001</v>
      </c>
      <c r="AB578">
        <v>4699.6023500000001</v>
      </c>
      <c r="AC578">
        <v>4703.7947000000004</v>
      </c>
      <c r="AD578">
        <v>0</v>
      </c>
      <c r="AE578">
        <f t="shared" si="77"/>
        <v>576</v>
      </c>
      <c r="AF578">
        <f t="shared" si="78"/>
        <v>575</v>
      </c>
      <c r="AG578">
        <f t="shared" si="72"/>
        <v>44.742220000000088</v>
      </c>
      <c r="AH578">
        <f t="shared" si="73"/>
        <v>2001.8662505284078</v>
      </c>
      <c r="AI578">
        <f t="shared" si="74"/>
        <v>2.0604788986469682</v>
      </c>
      <c r="AJ578">
        <f t="shared" si="75"/>
        <v>2.6219489303999235</v>
      </c>
      <c r="AK578">
        <f t="shared" si="76"/>
        <v>330625</v>
      </c>
      <c r="AL578">
        <f t="shared" si="79"/>
        <v>4723.8595400000004</v>
      </c>
      <c r="AM578" t="str">
        <f t="shared" si="80"/>
        <v/>
      </c>
    </row>
    <row r="579" spans="1:39" x14ac:dyDescent="0.55000000000000004">
      <c r="A579">
        <v>1777240802</v>
      </c>
      <c r="B579" t="s">
        <v>72</v>
      </c>
      <c r="C579" t="s">
        <v>73</v>
      </c>
      <c r="D579">
        <v>4685.5</v>
      </c>
      <c r="E579">
        <v>4518.5928199999998</v>
      </c>
      <c r="F579">
        <v>4596.0559499999999</v>
      </c>
      <c r="G579">
        <v>4755.40355</v>
      </c>
      <c r="H579">
        <v>4792.7697200000002</v>
      </c>
      <c r="Q579">
        <v>4663.2301699999998</v>
      </c>
      <c r="R579">
        <v>4692.5934699999998</v>
      </c>
      <c r="S579">
        <v>4719.1822400000001</v>
      </c>
      <c r="V579">
        <v>4628.2903999999999</v>
      </c>
      <c r="W579">
        <v>4594.72541</v>
      </c>
      <c r="AB579">
        <v>4694.36168</v>
      </c>
      <c r="AC579">
        <v>4699.0781900000002</v>
      </c>
      <c r="AD579">
        <v>0</v>
      </c>
      <c r="AE579">
        <f t="shared" si="77"/>
        <v>577</v>
      </c>
      <c r="AF579">
        <f t="shared" si="78"/>
        <v>576</v>
      </c>
      <c r="AG579">
        <f t="shared" ref="AG579:AG642" si="81">D579-Q579</f>
        <v>22.269830000000184</v>
      </c>
      <c r="AH579">
        <f t="shared" ref="AH579:AH642" si="82">AG579^2</f>
        <v>495.94532822890818</v>
      </c>
      <c r="AI579">
        <f t="shared" ref="AI579:AI642" si="83">(AG579/STDEV($AG$3:$AG$1137))^3</f>
        <v>0.25407754818094541</v>
      </c>
      <c r="AJ579">
        <f t="shared" ref="AJ579:AJ642" si="84">(AG579/STDEV($AG$3:$AG$1137))^4</f>
        <v>0.16092433377639534</v>
      </c>
      <c r="AK579">
        <f t="shared" ref="AK579:AK642" si="85">AF579^2</f>
        <v>331776</v>
      </c>
      <c r="AL579">
        <f t="shared" si="79"/>
        <v>4723.8595400000004</v>
      </c>
      <c r="AM579" t="str">
        <f t="shared" si="80"/>
        <v/>
      </c>
    </row>
    <row r="580" spans="1:39" x14ac:dyDescent="0.55000000000000004">
      <c r="A580">
        <v>1777241702</v>
      </c>
      <c r="B580" t="s">
        <v>72</v>
      </c>
      <c r="C580" t="s">
        <v>73</v>
      </c>
      <c r="D580">
        <v>4686.88</v>
      </c>
      <c r="E580">
        <v>4518.5928199999998</v>
      </c>
      <c r="F580">
        <v>4596.0559499999999</v>
      </c>
      <c r="G580">
        <v>4755.40355</v>
      </c>
      <c r="H580">
        <v>4792.7697200000002</v>
      </c>
      <c r="Q580">
        <v>4662.9625699999997</v>
      </c>
      <c r="R580">
        <v>4692.3258699999997</v>
      </c>
      <c r="S580">
        <v>4718.91464</v>
      </c>
      <c r="V580">
        <v>4628.0227999999997</v>
      </c>
      <c r="W580">
        <v>4594.4578000000001</v>
      </c>
      <c r="AB580">
        <v>4689.5699100000002</v>
      </c>
      <c r="AC580">
        <v>4694.3240500000002</v>
      </c>
      <c r="AD580">
        <v>0</v>
      </c>
      <c r="AE580">
        <f t="shared" ref="AE580:AE643" si="86">AE579+1</f>
        <v>578</v>
      </c>
      <c r="AF580">
        <f t="shared" ref="AF580:AF643" si="87">AF579+1</f>
        <v>577</v>
      </c>
      <c r="AG580">
        <f t="shared" si="81"/>
        <v>23.917430000000422</v>
      </c>
      <c r="AH580">
        <f t="shared" si="82"/>
        <v>572.04345780492019</v>
      </c>
      <c r="AI580">
        <f t="shared" si="83"/>
        <v>0.31474520257140215</v>
      </c>
      <c r="AJ580">
        <f t="shared" si="84"/>
        <v>0.21409777746430828</v>
      </c>
      <c r="AK580">
        <f t="shared" si="85"/>
        <v>332929</v>
      </c>
      <c r="AL580">
        <f t="shared" ref="AL580:AL643" si="88">IF(AD580=1,AB580,IF(AL579&lt;&gt;"",AL579,""))</f>
        <v>4723.8595400000004</v>
      </c>
      <c r="AM580" t="str">
        <f t="shared" ref="AM580:AM643" si="89">IF(AND(AD580=1,AL579&lt;&gt;""),ABS(AB580-AL579),"")</f>
        <v/>
      </c>
    </row>
    <row r="581" spans="1:39" x14ac:dyDescent="0.55000000000000004">
      <c r="A581">
        <v>1777242602</v>
      </c>
      <c r="B581" t="s">
        <v>72</v>
      </c>
      <c r="C581" t="s">
        <v>73</v>
      </c>
      <c r="D581">
        <v>4684.4799999999996</v>
      </c>
      <c r="E581">
        <v>4518.5928199999998</v>
      </c>
      <c r="F581">
        <v>4596.0559499999999</v>
      </c>
      <c r="G581">
        <v>4755.40355</v>
      </c>
      <c r="H581">
        <v>4792.7697200000002</v>
      </c>
      <c r="Q581">
        <v>4662.6949599999998</v>
      </c>
      <c r="R581">
        <v>4692.0582599999998</v>
      </c>
      <c r="S581">
        <v>4718.6470300000001</v>
      </c>
      <c r="V581">
        <v>4627.7551899999999</v>
      </c>
      <c r="W581">
        <v>4594.1902</v>
      </c>
      <c r="AB581">
        <v>4685.4122699999998</v>
      </c>
      <c r="AC581">
        <v>4689.86816</v>
      </c>
      <c r="AD581">
        <v>0</v>
      </c>
      <c r="AE581">
        <f t="shared" si="86"/>
        <v>579</v>
      </c>
      <c r="AF581">
        <f t="shared" si="87"/>
        <v>578</v>
      </c>
      <c r="AG581">
        <f t="shared" si="81"/>
        <v>21.785039999999753</v>
      </c>
      <c r="AH581">
        <f t="shared" si="82"/>
        <v>474.58796780158929</v>
      </c>
      <c r="AI581">
        <f t="shared" si="83"/>
        <v>0.23784316178370982</v>
      </c>
      <c r="AJ581">
        <f t="shared" si="84"/>
        <v>0.14736269636257499</v>
      </c>
      <c r="AK581">
        <f t="shared" si="85"/>
        <v>334084</v>
      </c>
      <c r="AL581">
        <f t="shared" si="88"/>
        <v>4723.8595400000004</v>
      </c>
      <c r="AM581" t="str">
        <f t="shared" si="89"/>
        <v/>
      </c>
    </row>
    <row r="582" spans="1:39" x14ac:dyDescent="0.55000000000000004">
      <c r="A582">
        <v>1777243502</v>
      </c>
      <c r="B582" t="s">
        <v>72</v>
      </c>
      <c r="C582" t="s">
        <v>73</v>
      </c>
      <c r="D582">
        <v>4684.5200000000004</v>
      </c>
      <c r="E582">
        <v>4518.5928199999998</v>
      </c>
      <c r="F582">
        <v>4596.0559499999999</v>
      </c>
      <c r="G582">
        <v>4755.40355</v>
      </c>
      <c r="H582">
        <v>4792.7697200000002</v>
      </c>
      <c r="Q582">
        <v>4662.4273599999997</v>
      </c>
      <c r="R582">
        <v>4691.7906599999997</v>
      </c>
      <c r="S582">
        <v>4718.37943</v>
      </c>
      <c r="V582">
        <v>4627.4875899999997</v>
      </c>
      <c r="W582">
        <v>4593.9225900000001</v>
      </c>
      <c r="AB582">
        <v>4682.0681299999997</v>
      </c>
      <c r="AC582">
        <v>4685.9681499999997</v>
      </c>
      <c r="AD582">
        <v>0</v>
      </c>
      <c r="AE582">
        <f t="shared" si="86"/>
        <v>580</v>
      </c>
      <c r="AF582">
        <f t="shared" si="87"/>
        <v>579</v>
      </c>
      <c r="AG582">
        <f t="shared" si="81"/>
        <v>22.092640000000756</v>
      </c>
      <c r="AH582">
        <f t="shared" si="82"/>
        <v>488.08474216963339</v>
      </c>
      <c r="AI582">
        <f t="shared" si="83"/>
        <v>0.24806096669736724</v>
      </c>
      <c r="AJ582">
        <f t="shared" si="84"/>
        <v>0.15586355434530877</v>
      </c>
      <c r="AK582">
        <f t="shared" si="85"/>
        <v>335241</v>
      </c>
      <c r="AL582">
        <f t="shared" si="88"/>
        <v>4723.8595400000004</v>
      </c>
      <c r="AM582" t="str">
        <f t="shared" si="89"/>
        <v/>
      </c>
    </row>
    <row r="583" spans="1:39" x14ac:dyDescent="0.55000000000000004">
      <c r="A583">
        <v>1777244402</v>
      </c>
      <c r="B583" t="s">
        <v>72</v>
      </c>
      <c r="C583" t="s">
        <v>73</v>
      </c>
      <c r="D583">
        <v>4683.71</v>
      </c>
      <c r="E583">
        <v>4518.5928199999998</v>
      </c>
      <c r="F583">
        <v>4596.0559499999999</v>
      </c>
      <c r="G583">
        <v>4755.40355</v>
      </c>
      <c r="H583">
        <v>4792.7697200000002</v>
      </c>
      <c r="Q583">
        <v>4662.1597599999996</v>
      </c>
      <c r="R583">
        <v>4691.5230499999998</v>
      </c>
      <c r="S583">
        <v>4718.1118200000001</v>
      </c>
      <c r="V583">
        <v>4627.2199899999996</v>
      </c>
      <c r="W583">
        <v>4593.65499</v>
      </c>
      <c r="AB583">
        <v>4679.6499299999996</v>
      </c>
      <c r="AC583">
        <v>4682.8090400000001</v>
      </c>
      <c r="AD583">
        <v>0</v>
      </c>
      <c r="AE583">
        <f t="shared" si="86"/>
        <v>581</v>
      </c>
      <c r="AF583">
        <f t="shared" si="87"/>
        <v>580</v>
      </c>
      <c r="AG583">
        <f t="shared" si="81"/>
        <v>21.550240000000485</v>
      </c>
      <c r="AH583">
        <f t="shared" si="82"/>
        <v>464.41284405762093</v>
      </c>
      <c r="AI583">
        <f t="shared" si="83"/>
        <v>0.23023530367237685</v>
      </c>
      <c r="AJ583">
        <f t="shared" si="84"/>
        <v>0.14111154838065423</v>
      </c>
      <c r="AK583">
        <f t="shared" si="85"/>
        <v>336400</v>
      </c>
      <c r="AL583">
        <f t="shared" si="88"/>
        <v>4723.8595400000004</v>
      </c>
      <c r="AM583" t="str">
        <f t="shared" si="89"/>
        <v/>
      </c>
    </row>
    <row r="584" spans="1:39" x14ac:dyDescent="0.55000000000000004">
      <c r="A584">
        <v>1777245302</v>
      </c>
      <c r="B584" t="s">
        <v>72</v>
      </c>
      <c r="C584" t="s">
        <v>73</v>
      </c>
      <c r="D584">
        <v>4677.41</v>
      </c>
      <c r="E584">
        <v>4518.5928199999998</v>
      </c>
      <c r="F584">
        <v>4596.0559499999999</v>
      </c>
      <c r="G584">
        <v>4755.40355</v>
      </c>
      <c r="H584">
        <v>4792.7697200000002</v>
      </c>
      <c r="Q584">
        <v>4661.8921499999997</v>
      </c>
      <c r="R584">
        <v>4691.2554499999997</v>
      </c>
      <c r="S584">
        <v>4717.84422</v>
      </c>
      <c r="V584">
        <v>4626.9523799999997</v>
      </c>
      <c r="W584">
        <v>4593.3873800000001</v>
      </c>
      <c r="AB584">
        <v>4678.2366099999999</v>
      </c>
      <c r="AC584">
        <v>4680.5228299999999</v>
      </c>
      <c r="AD584">
        <v>0</v>
      </c>
      <c r="AE584">
        <f t="shared" si="86"/>
        <v>582</v>
      </c>
      <c r="AF584">
        <f t="shared" si="87"/>
        <v>581</v>
      </c>
      <c r="AG584">
        <f t="shared" si="81"/>
        <v>15.51785000000018</v>
      </c>
      <c r="AH584">
        <f t="shared" si="82"/>
        <v>240.8036686225056</v>
      </c>
      <c r="AI584">
        <f t="shared" si="83"/>
        <v>8.5962736681772192E-2</v>
      </c>
      <c r="AJ584">
        <f t="shared" si="84"/>
        <v>3.7938513531355043E-2</v>
      </c>
      <c r="AK584">
        <f t="shared" si="85"/>
        <v>337561</v>
      </c>
      <c r="AL584">
        <f t="shared" si="88"/>
        <v>4723.8595400000004</v>
      </c>
      <c r="AM584" t="str">
        <f t="shared" si="89"/>
        <v/>
      </c>
    </row>
    <row r="585" spans="1:39" x14ac:dyDescent="0.55000000000000004">
      <c r="A585">
        <v>1777246202</v>
      </c>
      <c r="B585" t="s">
        <v>72</v>
      </c>
      <c r="C585" t="s">
        <v>73</v>
      </c>
      <c r="D585">
        <v>4676.93</v>
      </c>
      <c r="E585">
        <v>4518.5928199999998</v>
      </c>
      <c r="F585">
        <v>4596.0559499999999</v>
      </c>
      <c r="G585">
        <v>4755.40355</v>
      </c>
      <c r="H585">
        <v>4792.7697200000002</v>
      </c>
      <c r="Q585">
        <v>4661.6245500000005</v>
      </c>
      <c r="R585">
        <v>4690.9878500000004</v>
      </c>
      <c r="S585">
        <v>4717.5766199999998</v>
      </c>
      <c r="V585">
        <v>4626.6847799999996</v>
      </c>
      <c r="W585">
        <v>4593.11978</v>
      </c>
      <c r="AB585">
        <v>4678.0111100000004</v>
      </c>
      <c r="AC585">
        <v>4679.2669699999997</v>
      </c>
      <c r="AD585">
        <v>0</v>
      </c>
      <c r="AE585">
        <f t="shared" si="86"/>
        <v>583</v>
      </c>
      <c r="AF585">
        <f t="shared" si="87"/>
        <v>582</v>
      </c>
      <c r="AG585">
        <f t="shared" si="81"/>
        <v>15.305449999999837</v>
      </c>
      <c r="AH585">
        <f t="shared" si="82"/>
        <v>234.25679970249502</v>
      </c>
      <c r="AI585">
        <f t="shared" si="83"/>
        <v>8.2480995367937571E-2</v>
      </c>
      <c r="AJ585">
        <f t="shared" si="84"/>
        <v>3.5903643616590111E-2</v>
      </c>
      <c r="AK585">
        <f t="shared" si="85"/>
        <v>338724</v>
      </c>
      <c r="AL585">
        <f t="shared" si="88"/>
        <v>4723.8595400000004</v>
      </c>
      <c r="AM585" t="str">
        <f t="shared" si="89"/>
        <v/>
      </c>
    </row>
    <row r="586" spans="1:39" x14ac:dyDescent="0.55000000000000004">
      <c r="A586">
        <v>1777247102</v>
      </c>
      <c r="B586" t="s">
        <v>72</v>
      </c>
      <c r="C586" t="s">
        <v>73</v>
      </c>
      <c r="D586">
        <v>4680.04</v>
      </c>
      <c r="E586">
        <v>4518.5928199999998</v>
      </c>
      <c r="F586">
        <v>4596.0559499999999</v>
      </c>
      <c r="G586">
        <v>4755.40355</v>
      </c>
      <c r="H586">
        <v>4792.7697200000002</v>
      </c>
      <c r="Q586">
        <v>4661.3569399999997</v>
      </c>
      <c r="R586">
        <v>4690.7202399999996</v>
      </c>
      <c r="S586">
        <v>4717.3090099999999</v>
      </c>
      <c r="V586">
        <v>4626.4171699999997</v>
      </c>
      <c r="W586">
        <v>4592.8521799999999</v>
      </c>
      <c r="AB586">
        <v>4678.9248600000001</v>
      </c>
      <c r="AC586">
        <v>4679.0959199999998</v>
      </c>
      <c r="AD586">
        <v>0</v>
      </c>
      <c r="AE586">
        <f t="shared" si="86"/>
        <v>584</v>
      </c>
      <c r="AF586">
        <f t="shared" si="87"/>
        <v>583</v>
      </c>
      <c r="AG586">
        <f t="shared" si="81"/>
        <v>18.683060000000296</v>
      </c>
      <c r="AH586">
        <f t="shared" si="82"/>
        <v>349.05673096361107</v>
      </c>
      <c r="AI586">
        <f t="shared" si="83"/>
        <v>0.15002360945961912</v>
      </c>
      <c r="AJ586">
        <f t="shared" si="84"/>
        <v>7.9716118990497603E-2</v>
      </c>
      <c r="AK586">
        <f t="shared" si="85"/>
        <v>339889</v>
      </c>
      <c r="AL586">
        <f t="shared" si="88"/>
        <v>4723.8595400000004</v>
      </c>
      <c r="AM586" t="str">
        <f t="shared" si="89"/>
        <v/>
      </c>
    </row>
    <row r="587" spans="1:39" x14ac:dyDescent="0.55000000000000004">
      <c r="A587">
        <v>1777248002</v>
      </c>
      <c r="B587" t="s">
        <v>72</v>
      </c>
      <c r="C587" t="s">
        <v>73</v>
      </c>
      <c r="D587">
        <v>4679.8599999999997</v>
      </c>
      <c r="E587">
        <v>4518.5928199999998</v>
      </c>
      <c r="F587">
        <v>4596.0559499999999</v>
      </c>
      <c r="G587">
        <v>4755.40355</v>
      </c>
      <c r="H587">
        <v>4792.7697200000002</v>
      </c>
      <c r="Q587">
        <v>4661.0893400000004</v>
      </c>
      <c r="R587">
        <v>4690.4526400000004</v>
      </c>
      <c r="S587">
        <v>4717.0414099999998</v>
      </c>
      <c r="V587">
        <v>4626.1495699999996</v>
      </c>
      <c r="W587">
        <v>4592.58457</v>
      </c>
      <c r="AA587">
        <v>4672.3500000000004</v>
      </c>
      <c r="AB587">
        <v>4680.7626200000004</v>
      </c>
      <c r="AC587">
        <v>4679.9292699999996</v>
      </c>
      <c r="AD587">
        <v>1</v>
      </c>
      <c r="AE587">
        <f t="shared" si="86"/>
        <v>585</v>
      </c>
      <c r="AF587">
        <f t="shared" si="87"/>
        <v>584</v>
      </c>
      <c r="AG587">
        <f t="shared" si="81"/>
        <v>18.770659999999225</v>
      </c>
      <c r="AH587">
        <f t="shared" si="82"/>
        <v>352.3376768355709</v>
      </c>
      <c r="AI587">
        <f t="shared" si="83"/>
        <v>0.15214378424277003</v>
      </c>
      <c r="AJ587">
        <f t="shared" si="84"/>
        <v>8.1221739344376973E-2</v>
      </c>
      <c r="AK587">
        <f t="shared" si="85"/>
        <v>341056</v>
      </c>
      <c r="AL587">
        <f t="shared" si="88"/>
        <v>4680.7626200000004</v>
      </c>
      <c r="AM587">
        <f t="shared" si="89"/>
        <v>43.096919999999955</v>
      </c>
    </row>
    <row r="588" spans="1:39" x14ac:dyDescent="0.55000000000000004">
      <c r="A588">
        <v>1777248902</v>
      </c>
      <c r="B588" t="s">
        <v>72</v>
      </c>
      <c r="C588" t="s">
        <v>73</v>
      </c>
      <c r="D588">
        <v>4680.6499999999996</v>
      </c>
      <c r="E588">
        <v>4518.5928199999998</v>
      </c>
      <c r="F588">
        <v>4596.0559499999999</v>
      </c>
      <c r="G588">
        <v>4755.40355</v>
      </c>
      <c r="H588">
        <v>4792.7697200000002</v>
      </c>
      <c r="Q588">
        <v>4660.8217299999997</v>
      </c>
      <c r="R588">
        <v>4690.1850299999996</v>
      </c>
      <c r="S588">
        <v>4716.7737999999999</v>
      </c>
      <c r="V588">
        <v>4625.8819599999997</v>
      </c>
      <c r="W588">
        <v>4592.3169699999999</v>
      </c>
      <c r="AB588">
        <v>4683.3390799999997</v>
      </c>
      <c r="AC588">
        <v>4681.6341700000003</v>
      </c>
      <c r="AD588">
        <v>0</v>
      </c>
      <c r="AE588">
        <f t="shared" si="86"/>
        <v>586</v>
      </c>
      <c r="AF588">
        <f t="shared" si="87"/>
        <v>585</v>
      </c>
      <c r="AG588">
        <f t="shared" si="81"/>
        <v>19.828269999999975</v>
      </c>
      <c r="AH588">
        <f t="shared" si="82"/>
        <v>393.16029119289902</v>
      </c>
      <c r="AI588">
        <f t="shared" si="83"/>
        <v>0.17933706445380135</v>
      </c>
      <c r="AJ588">
        <f t="shared" si="84"/>
        <v>0.10113312073125708</v>
      </c>
      <c r="AK588">
        <f t="shared" si="85"/>
        <v>342225</v>
      </c>
      <c r="AL588">
        <f t="shared" si="88"/>
        <v>4680.7626200000004</v>
      </c>
      <c r="AM588" t="str">
        <f t="shared" si="89"/>
        <v/>
      </c>
    </row>
    <row r="589" spans="1:39" x14ac:dyDescent="0.55000000000000004">
      <c r="A589">
        <v>1777249802</v>
      </c>
      <c r="B589" t="s">
        <v>72</v>
      </c>
      <c r="C589" t="s">
        <v>73</v>
      </c>
      <c r="D589">
        <v>4680.47</v>
      </c>
      <c r="E589">
        <v>4518.5928199999998</v>
      </c>
      <c r="F589">
        <v>4596.0559499999999</v>
      </c>
      <c r="G589">
        <v>4755.40355</v>
      </c>
      <c r="H589">
        <v>4792.7697200000002</v>
      </c>
      <c r="Q589">
        <v>4660.5541300000004</v>
      </c>
      <c r="R589">
        <v>4689.9174300000004</v>
      </c>
      <c r="S589">
        <v>4716.5061999999998</v>
      </c>
      <c r="V589">
        <v>4625.6143599999996</v>
      </c>
      <c r="W589">
        <v>4592.04936</v>
      </c>
      <c r="AB589">
        <v>4686.4362199999996</v>
      </c>
      <c r="AC589">
        <v>4684.0352000000003</v>
      </c>
      <c r="AD589">
        <v>0</v>
      </c>
      <c r="AE589">
        <f t="shared" si="86"/>
        <v>587</v>
      </c>
      <c r="AF589">
        <f t="shared" si="87"/>
        <v>586</v>
      </c>
      <c r="AG589">
        <f t="shared" si="81"/>
        <v>19.915869999999813</v>
      </c>
      <c r="AH589">
        <f t="shared" si="82"/>
        <v>396.64187785689256</v>
      </c>
      <c r="AI589">
        <f t="shared" si="83"/>
        <v>0.18172447916294815</v>
      </c>
      <c r="AJ589">
        <f t="shared" si="84"/>
        <v>0.10293219729000219</v>
      </c>
      <c r="AK589">
        <f t="shared" si="85"/>
        <v>343396</v>
      </c>
      <c r="AL589">
        <f t="shared" si="88"/>
        <v>4680.7626200000004</v>
      </c>
      <c r="AM589" t="str">
        <f t="shared" si="89"/>
        <v/>
      </c>
    </row>
    <row r="590" spans="1:39" x14ac:dyDescent="0.55000000000000004">
      <c r="A590">
        <v>1777250702</v>
      </c>
      <c r="B590" t="s">
        <v>72</v>
      </c>
      <c r="C590" t="s">
        <v>73</v>
      </c>
      <c r="D590">
        <v>4697.9799999999996</v>
      </c>
      <c r="E590">
        <v>4518.5928199999998</v>
      </c>
      <c r="F590">
        <v>4596.0559499999999</v>
      </c>
      <c r="G590">
        <v>4755.40355</v>
      </c>
      <c r="H590">
        <v>4792.7697200000002</v>
      </c>
      <c r="Q590">
        <v>4660.2865300000003</v>
      </c>
      <c r="R590">
        <v>4689.6498300000003</v>
      </c>
      <c r="S590">
        <v>4716.2385999999997</v>
      </c>
      <c r="V590">
        <v>4625.3467600000004</v>
      </c>
      <c r="W590">
        <v>4591.7817599999998</v>
      </c>
      <c r="AB590">
        <v>4689.8773899999997</v>
      </c>
      <c r="AC590">
        <v>4686.9562999999998</v>
      </c>
      <c r="AD590">
        <v>0</v>
      </c>
      <c r="AE590">
        <f t="shared" si="86"/>
        <v>588</v>
      </c>
      <c r="AF590">
        <f t="shared" si="87"/>
        <v>587</v>
      </c>
      <c r="AG590">
        <f t="shared" si="81"/>
        <v>37.693469999999252</v>
      </c>
      <c r="AH590">
        <f t="shared" si="82"/>
        <v>1420.7976806408435</v>
      </c>
      <c r="AI590">
        <f t="shared" si="83"/>
        <v>1.2320091795148367</v>
      </c>
      <c r="AJ590">
        <f t="shared" si="84"/>
        <v>1.3207438333300752</v>
      </c>
      <c r="AK590">
        <f t="shared" si="85"/>
        <v>344569</v>
      </c>
      <c r="AL590">
        <f t="shared" si="88"/>
        <v>4680.7626200000004</v>
      </c>
      <c r="AM590" t="str">
        <f t="shared" si="89"/>
        <v/>
      </c>
    </row>
    <row r="591" spans="1:39" x14ac:dyDescent="0.55000000000000004">
      <c r="A591">
        <v>1777251602</v>
      </c>
      <c r="B591" t="s">
        <v>72</v>
      </c>
      <c r="C591" t="s">
        <v>73</v>
      </c>
      <c r="D591">
        <v>4692.9399999999996</v>
      </c>
      <c r="E591">
        <v>4518.5928199999998</v>
      </c>
      <c r="F591">
        <v>4596.0559499999999</v>
      </c>
      <c r="G591">
        <v>4755.40355</v>
      </c>
      <c r="H591">
        <v>4792.7697200000002</v>
      </c>
      <c r="Q591">
        <v>4660.0189200000004</v>
      </c>
      <c r="R591">
        <v>4689.3822200000004</v>
      </c>
      <c r="S591">
        <v>4715.9709899999998</v>
      </c>
      <c r="V591">
        <v>4625.0791499999996</v>
      </c>
      <c r="W591">
        <v>4591.5141599999997</v>
      </c>
      <c r="AB591">
        <v>4693.0341699999999</v>
      </c>
      <c r="AC591">
        <v>4689.9952300000004</v>
      </c>
      <c r="AD591">
        <v>0</v>
      </c>
      <c r="AE591">
        <f t="shared" si="86"/>
        <v>589</v>
      </c>
      <c r="AF591">
        <f t="shared" si="87"/>
        <v>588</v>
      </c>
      <c r="AG591">
        <f t="shared" si="81"/>
        <v>32.921079999999165</v>
      </c>
      <c r="AH591">
        <f t="shared" si="82"/>
        <v>1083.797508366345</v>
      </c>
      <c r="AI591">
        <f t="shared" si="83"/>
        <v>0.8208008676453693</v>
      </c>
      <c r="AJ591">
        <f t="shared" si="84"/>
        <v>0.76851156807086896</v>
      </c>
      <c r="AK591">
        <f t="shared" si="85"/>
        <v>345744</v>
      </c>
      <c r="AL591">
        <f t="shared" si="88"/>
        <v>4680.7626200000004</v>
      </c>
      <c r="AM591" t="str">
        <f t="shared" si="89"/>
        <v/>
      </c>
    </row>
    <row r="592" spans="1:39" x14ac:dyDescent="0.55000000000000004">
      <c r="A592">
        <v>1777252502</v>
      </c>
      <c r="B592" t="s">
        <v>72</v>
      </c>
      <c r="C592" t="s">
        <v>73</v>
      </c>
      <c r="D592">
        <v>4697.97</v>
      </c>
      <c r="E592">
        <v>4518.5928199999998</v>
      </c>
      <c r="F592">
        <v>4596.0559499999999</v>
      </c>
      <c r="G592">
        <v>4755.40355</v>
      </c>
      <c r="H592">
        <v>4792.7697200000002</v>
      </c>
      <c r="Q592">
        <v>4659.7513200000003</v>
      </c>
      <c r="R592">
        <v>4689.1146200000003</v>
      </c>
      <c r="S592">
        <v>4715.7033899999997</v>
      </c>
      <c r="V592">
        <v>4624.8115500000004</v>
      </c>
      <c r="W592">
        <v>4591.2465499999998</v>
      </c>
      <c r="AB592">
        <v>4696.0141899999999</v>
      </c>
      <c r="AC592">
        <v>4693.0047100000002</v>
      </c>
      <c r="AD592">
        <v>0</v>
      </c>
      <c r="AE592">
        <f t="shared" si="86"/>
        <v>590</v>
      </c>
      <c r="AF592">
        <f t="shared" si="87"/>
        <v>589</v>
      </c>
      <c r="AG592">
        <f t="shared" si="81"/>
        <v>38.218679999999949</v>
      </c>
      <c r="AH592">
        <f t="shared" si="82"/>
        <v>1460.6675009423961</v>
      </c>
      <c r="AI592">
        <f t="shared" si="83"/>
        <v>1.2842294777054331</v>
      </c>
      <c r="AJ592">
        <f t="shared" si="84"/>
        <v>1.3959081592473974</v>
      </c>
      <c r="AK592">
        <f t="shared" si="85"/>
        <v>346921</v>
      </c>
      <c r="AL592">
        <f t="shared" si="88"/>
        <v>4680.7626200000004</v>
      </c>
      <c r="AM592" t="str">
        <f t="shared" si="89"/>
        <v/>
      </c>
    </row>
    <row r="593" spans="1:39" x14ac:dyDescent="0.55000000000000004">
      <c r="A593">
        <v>1777253402</v>
      </c>
      <c r="B593" t="s">
        <v>72</v>
      </c>
      <c r="C593" t="s">
        <v>73</v>
      </c>
      <c r="D593">
        <v>4697.87</v>
      </c>
      <c r="E593">
        <v>4518.5928199999998</v>
      </c>
      <c r="F593">
        <v>4596.0559499999999</v>
      </c>
      <c r="G593">
        <v>4755.40355</v>
      </c>
      <c r="H593">
        <v>4792.7697200000002</v>
      </c>
      <c r="Q593">
        <v>4659.4837100000004</v>
      </c>
      <c r="R593">
        <v>4688.8470100000004</v>
      </c>
      <c r="S593">
        <v>4715.4357799999998</v>
      </c>
      <c r="V593">
        <v>4624.5439399999996</v>
      </c>
      <c r="W593">
        <v>4590.9789499999997</v>
      </c>
      <c r="AB593">
        <v>4698.7738900000004</v>
      </c>
      <c r="AC593">
        <v>4695.8892999999998</v>
      </c>
      <c r="AD593">
        <v>0</v>
      </c>
      <c r="AE593">
        <f t="shared" si="86"/>
        <v>591</v>
      </c>
      <c r="AF593">
        <f t="shared" si="87"/>
        <v>590</v>
      </c>
      <c r="AG593">
        <f t="shared" si="81"/>
        <v>38.386289999999462</v>
      </c>
      <c r="AH593">
        <f t="shared" si="82"/>
        <v>1473.5072599640587</v>
      </c>
      <c r="AI593">
        <f t="shared" si="83"/>
        <v>1.3011998496370021</v>
      </c>
      <c r="AJ593">
        <f t="shared" si="84"/>
        <v>1.4205570263136966</v>
      </c>
      <c r="AK593">
        <f t="shared" si="85"/>
        <v>348100</v>
      </c>
      <c r="AL593">
        <f t="shared" si="88"/>
        <v>4680.7626200000004</v>
      </c>
      <c r="AM593" t="str">
        <f t="shared" si="89"/>
        <v/>
      </c>
    </row>
    <row r="594" spans="1:39" x14ac:dyDescent="0.55000000000000004">
      <c r="A594">
        <v>1777254302</v>
      </c>
      <c r="B594" t="s">
        <v>72</v>
      </c>
      <c r="C594" t="s">
        <v>73</v>
      </c>
      <c r="D594">
        <v>4702.74</v>
      </c>
      <c r="E594">
        <v>4518.5928199999998</v>
      </c>
      <c r="F594">
        <v>4596.0559499999999</v>
      </c>
      <c r="G594">
        <v>4755.40355</v>
      </c>
      <c r="H594">
        <v>4792.7697200000002</v>
      </c>
      <c r="Q594">
        <v>4659.2161100000003</v>
      </c>
      <c r="R594">
        <v>4688.5794100000003</v>
      </c>
      <c r="S594">
        <v>4715.1681799999997</v>
      </c>
      <c r="V594">
        <v>4624.2763400000003</v>
      </c>
      <c r="W594">
        <v>4590.7113399999998</v>
      </c>
      <c r="AB594">
        <v>4701.5017799999996</v>
      </c>
      <c r="AC594">
        <v>4698.6955399999997</v>
      </c>
      <c r="AD594">
        <v>0</v>
      </c>
      <c r="AE594">
        <f t="shared" si="86"/>
        <v>592</v>
      </c>
      <c r="AF594">
        <f t="shared" si="87"/>
        <v>591</v>
      </c>
      <c r="AG594">
        <f t="shared" si="81"/>
        <v>43.523889999999483</v>
      </c>
      <c r="AH594">
        <f t="shared" si="82"/>
        <v>1894.329000732055</v>
      </c>
      <c r="AI594">
        <f t="shared" si="83"/>
        <v>1.8967002285641186</v>
      </c>
      <c r="AJ594">
        <f t="shared" si="84"/>
        <v>2.3478207074294475</v>
      </c>
      <c r="AK594">
        <f t="shared" si="85"/>
        <v>349281</v>
      </c>
      <c r="AL594">
        <f t="shared" si="88"/>
        <v>4680.7626200000004</v>
      </c>
      <c r="AM594" t="str">
        <f t="shared" si="89"/>
        <v/>
      </c>
    </row>
    <row r="595" spans="1:39" x14ac:dyDescent="0.55000000000000004">
      <c r="A595">
        <v>1777255202</v>
      </c>
      <c r="B595" t="s">
        <v>72</v>
      </c>
      <c r="C595" t="s">
        <v>73</v>
      </c>
      <c r="D595">
        <v>4699.7299999999996</v>
      </c>
      <c r="E595">
        <v>4518.5928199999998</v>
      </c>
      <c r="F595">
        <v>4596.0559499999999</v>
      </c>
      <c r="G595">
        <v>4755.40355</v>
      </c>
      <c r="H595">
        <v>4792.7697200000002</v>
      </c>
      <c r="Q595">
        <v>4658.9485100000002</v>
      </c>
      <c r="R595">
        <v>4688.3118100000002</v>
      </c>
      <c r="S595">
        <v>4714.9005800000004</v>
      </c>
      <c r="V595">
        <v>4624.0087400000002</v>
      </c>
      <c r="W595">
        <v>4590.4437399999997</v>
      </c>
      <c r="AB595">
        <v>4704.3050000000003</v>
      </c>
      <c r="AC595">
        <v>4701.5002699999995</v>
      </c>
      <c r="AD595">
        <v>0</v>
      </c>
      <c r="AE595">
        <f t="shared" si="86"/>
        <v>593</v>
      </c>
      <c r="AF595">
        <f t="shared" si="87"/>
        <v>592</v>
      </c>
      <c r="AG595">
        <f t="shared" si="81"/>
        <v>40.781489999999394</v>
      </c>
      <c r="AH595">
        <f t="shared" si="82"/>
        <v>1663.1299266200506</v>
      </c>
      <c r="AI595">
        <f t="shared" si="83"/>
        <v>1.560288300614868</v>
      </c>
      <c r="AJ595">
        <f t="shared" si="84"/>
        <v>1.8096995126116011</v>
      </c>
      <c r="AK595">
        <f t="shared" si="85"/>
        <v>350464</v>
      </c>
      <c r="AL595">
        <f t="shared" si="88"/>
        <v>4680.7626200000004</v>
      </c>
      <c r="AM595" t="str">
        <f t="shared" si="89"/>
        <v/>
      </c>
    </row>
    <row r="596" spans="1:39" x14ac:dyDescent="0.55000000000000004">
      <c r="A596">
        <v>1777256102</v>
      </c>
      <c r="B596" t="s">
        <v>72</v>
      </c>
      <c r="C596" t="s">
        <v>73</v>
      </c>
      <c r="D596">
        <v>4705.71</v>
      </c>
      <c r="E596">
        <v>4518.5928199999998</v>
      </c>
      <c r="F596">
        <v>4596.0559499999999</v>
      </c>
      <c r="G596">
        <v>4755.40355</v>
      </c>
      <c r="H596">
        <v>4792.7697200000002</v>
      </c>
      <c r="Q596">
        <v>4658.6809000000003</v>
      </c>
      <c r="R596">
        <v>4688.0442000000003</v>
      </c>
      <c r="S596">
        <v>4714.6329699999997</v>
      </c>
      <c r="V596">
        <v>4623.7411300000003</v>
      </c>
      <c r="W596">
        <v>4590.1761399999996</v>
      </c>
      <c r="AB596">
        <v>4707.4692500000001</v>
      </c>
      <c r="AC596">
        <v>4704.4847600000003</v>
      </c>
      <c r="AD596">
        <v>0</v>
      </c>
      <c r="AE596">
        <f t="shared" si="86"/>
        <v>594</v>
      </c>
      <c r="AF596">
        <f t="shared" si="87"/>
        <v>593</v>
      </c>
      <c r="AG596">
        <f t="shared" si="81"/>
        <v>47.029099999999744</v>
      </c>
      <c r="AH596">
        <f t="shared" si="82"/>
        <v>2211.7362468099759</v>
      </c>
      <c r="AI596">
        <f t="shared" si="83"/>
        <v>2.3928506204720401</v>
      </c>
      <c r="AJ596">
        <f t="shared" si="84"/>
        <v>3.200521753826461</v>
      </c>
      <c r="AK596">
        <f t="shared" si="85"/>
        <v>351649</v>
      </c>
      <c r="AL596">
        <f t="shared" si="88"/>
        <v>4680.7626200000004</v>
      </c>
      <c r="AM596" t="str">
        <f t="shared" si="89"/>
        <v/>
      </c>
    </row>
    <row r="597" spans="1:39" x14ac:dyDescent="0.55000000000000004">
      <c r="A597">
        <v>1777257002</v>
      </c>
      <c r="B597" t="s">
        <v>72</v>
      </c>
      <c r="C597" t="s">
        <v>73</v>
      </c>
      <c r="D597">
        <v>4713.51</v>
      </c>
      <c r="E597">
        <v>4518.5928199999998</v>
      </c>
      <c r="F597">
        <v>4596.0559499999999</v>
      </c>
      <c r="G597">
        <v>4755.40355</v>
      </c>
      <c r="H597">
        <v>4792.7697200000002</v>
      </c>
      <c r="Q597">
        <v>4658.4133000000002</v>
      </c>
      <c r="R597">
        <v>4687.7766000000001</v>
      </c>
      <c r="S597">
        <v>4714.3653700000004</v>
      </c>
      <c r="V597">
        <v>4623.4735300000002</v>
      </c>
      <c r="W597">
        <v>4589.9085299999997</v>
      </c>
      <c r="AB597">
        <v>4710.9511000000002</v>
      </c>
      <c r="AC597">
        <v>4707.7179299999998</v>
      </c>
      <c r="AD597">
        <v>0</v>
      </c>
      <c r="AE597">
        <f t="shared" si="86"/>
        <v>595</v>
      </c>
      <c r="AF597">
        <f t="shared" si="87"/>
        <v>594</v>
      </c>
      <c r="AG597">
        <f t="shared" si="81"/>
        <v>55.096700000000055</v>
      </c>
      <c r="AH597">
        <f t="shared" si="82"/>
        <v>3035.646350890006</v>
      </c>
      <c r="AI597">
        <f t="shared" si="83"/>
        <v>3.8476215418484645</v>
      </c>
      <c r="AJ597">
        <f t="shared" si="84"/>
        <v>6.0291551999179687</v>
      </c>
      <c r="AK597">
        <f t="shared" si="85"/>
        <v>352836</v>
      </c>
      <c r="AL597">
        <f t="shared" si="88"/>
        <v>4680.7626200000004</v>
      </c>
      <c r="AM597" t="str">
        <f t="shared" si="89"/>
        <v/>
      </c>
    </row>
    <row r="598" spans="1:39" x14ac:dyDescent="0.55000000000000004">
      <c r="A598">
        <v>1777257902</v>
      </c>
      <c r="B598" t="s">
        <v>72</v>
      </c>
      <c r="C598" t="s">
        <v>73</v>
      </c>
      <c r="D598">
        <v>4718.18</v>
      </c>
      <c r="E598">
        <v>4518.5928199999998</v>
      </c>
      <c r="F598">
        <v>4596.0559499999999</v>
      </c>
      <c r="G598">
        <v>4755.40355</v>
      </c>
      <c r="H598">
        <v>4792.7697200000002</v>
      </c>
      <c r="Q598">
        <v>4658.1456900000003</v>
      </c>
      <c r="R598">
        <v>4687.5089900000003</v>
      </c>
      <c r="S598">
        <v>4714.0977599999997</v>
      </c>
      <c r="V598">
        <v>4623.2059200000003</v>
      </c>
      <c r="W598">
        <v>4589.6409299999996</v>
      </c>
      <c r="AB598">
        <v>4714.5517200000004</v>
      </c>
      <c r="AC598">
        <v>4711.13483</v>
      </c>
      <c r="AD598">
        <v>0</v>
      </c>
      <c r="AE598">
        <f t="shared" si="86"/>
        <v>596</v>
      </c>
      <c r="AF598">
        <f t="shared" si="87"/>
        <v>595</v>
      </c>
      <c r="AG598">
        <f t="shared" si="81"/>
        <v>60.034310000000005</v>
      </c>
      <c r="AH598">
        <f t="shared" si="82"/>
        <v>3604.1183771761007</v>
      </c>
      <c r="AI598">
        <f t="shared" si="83"/>
        <v>4.9775330790235301</v>
      </c>
      <c r="AJ598">
        <f t="shared" si="84"/>
        <v>8.4986942738861462</v>
      </c>
      <c r="AK598">
        <f t="shared" si="85"/>
        <v>354025</v>
      </c>
      <c r="AL598">
        <f t="shared" si="88"/>
        <v>4680.7626200000004</v>
      </c>
      <c r="AM598" t="str">
        <f t="shared" si="89"/>
        <v/>
      </c>
    </row>
    <row r="599" spans="1:39" x14ac:dyDescent="0.55000000000000004">
      <c r="A599">
        <v>1777258802</v>
      </c>
      <c r="B599" t="s">
        <v>72</v>
      </c>
      <c r="C599" t="s">
        <v>73</v>
      </c>
      <c r="D599">
        <v>4717.72</v>
      </c>
      <c r="E599">
        <v>4518.5928199999998</v>
      </c>
      <c r="F599">
        <v>4596.0559499999999</v>
      </c>
      <c r="G599">
        <v>4755.40355</v>
      </c>
      <c r="H599">
        <v>4792.7697200000002</v>
      </c>
      <c r="Q599">
        <v>4657.8780900000002</v>
      </c>
      <c r="R599">
        <v>4687.2413900000001</v>
      </c>
      <c r="S599">
        <v>4713.8301600000004</v>
      </c>
      <c r="V599">
        <v>4622.9383200000002</v>
      </c>
      <c r="W599">
        <v>4589.3733199999997</v>
      </c>
      <c r="AB599">
        <v>4718.0683499999996</v>
      </c>
      <c r="AC599">
        <v>4714.6015900000002</v>
      </c>
      <c r="AD599">
        <v>0</v>
      </c>
      <c r="AE599">
        <f t="shared" si="86"/>
        <v>597</v>
      </c>
      <c r="AF599">
        <f t="shared" si="87"/>
        <v>596</v>
      </c>
      <c r="AG599">
        <f t="shared" si="81"/>
        <v>59.841910000000098</v>
      </c>
      <c r="AH599">
        <f t="shared" si="82"/>
        <v>3581.0541924481117</v>
      </c>
      <c r="AI599">
        <f t="shared" si="83"/>
        <v>4.9298297850498018</v>
      </c>
      <c r="AJ599">
        <f t="shared" si="84"/>
        <v>8.3902692756675386</v>
      </c>
      <c r="AK599">
        <f t="shared" si="85"/>
        <v>355216</v>
      </c>
      <c r="AL599">
        <f t="shared" si="88"/>
        <v>4680.7626200000004</v>
      </c>
      <c r="AM599" t="str">
        <f t="shared" si="89"/>
        <v/>
      </c>
    </row>
    <row r="600" spans="1:39" x14ac:dyDescent="0.55000000000000004">
      <c r="A600">
        <v>1777259702</v>
      </c>
      <c r="B600" t="s">
        <v>72</v>
      </c>
      <c r="C600" t="s">
        <v>73</v>
      </c>
      <c r="D600">
        <v>4715.68</v>
      </c>
      <c r="E600">
        <v>4518.5928199999998</v>
      </c>
      <c r="F600">
        <v>4596.0559499999999</v>
      </c>
      <c r="G600">
        <v>4755.40355</v>
      </c>
      <c r="H600">
        <v>4792.7697200000002</v>
      </c>
      <c r="Q600">
        <v>4657.61049</v>
      </c>
      <c r="R600">
        <v>4686.9737800000003</v>
      </c>
      <c r="S600">
        <v>4713.5625600000003</v>
      </c>
      <c r="V600">
        <v>4622.6707200000001</v>
      </c>
      <c r="W600">
        <v>4589.1057199999996</v>
      </c>
      <c r="AB600">
        <v>4721.3482000000004</v>
      </c>
      <c r="AC600">
        <v>4717.9748900000004</v>
      </c>
      <c r="AD600">
        <v>0</v>
      </c>
      <c r="AE600">
        <f t="shared" si="86"/>
        <v>598</v>
      </c>
      <c r="AF600">
        <f t="shared" si="87"/>
        <v>597</v>
      </c>
      <c r="AG600">
        <f t="shared" si="81"/>
        <v>58.069510000000264</v>
      </c>
      <c r="AH600">
        <f t="shared" si="82"/>
        <v>3372.0679916401305</v>
      </c>
      <c r="AI600">
        <f t="shared" si="83"/>
        <v>4.5046397900527779</v>
      </c>
      <c r="AJ600">
        <f t="shared" si="84"/>
        <v>7.4395515642099284</v>
      </c>
      <c r="AK600">
        <f t="shared" si="85"/>
        <v>356409</v>
      </c>
      <c r="AL600">
        <f t="shared" si="88"/>
        <v>4680.7626200000004</v>
      </c>
      <c r="AM600" t="str">
        <f t="shared" si="89"/>
        <v/>
      </c>
    </row>
    <row r="601" spans="1:39" x14ac:dyDescent="0.55000000000000004">
      <c r="A601">
        <v>1777260602</v>
      </c>
      <c r="B601" t="s">
        <v>72</v>
      </c>
      <c r="C601" t="s">
        <v>73</v>
      </c>
      <c r="D601">
        <v>4728.3999999999996</v>
      </c>
      <c r="E601">
        <v>4518.5928199999998</v>
      </c>
      <c r="F601">
        <v>4596.0559499999999</v>
      </c>
      <c r="G601">
        <v>4755.40355</v>
      </c>
      <c r="H601">
        <v>4792.7697200000002</v>
      </c>
      <c r="Q601">
        <v>4657.3428800000002</v>
      </c>
      <c r="R601">
        <v>4686.7061800000001</v>
      </c>
      <c r="S601">
        <v>4713.2949500000004</v>
      </c>
      <c r="V601">
        <v>4622.4031100000002</v>
      </c>
      <c r="W601">
        <v>4588.8381200000003</v>
      </c>
      <c r="AB601">
        <v>4724.2221600000003</v>
      </c>
      <c r="AC601">
        <v>4721.0985300000002</v>
      </c>
      <c r="AD601">
        <v>0</v>
      </c>
      <c r="AE601">
        <f t="shared" si="86"/>
        <v>599</v>
      </c>
      <c r="AF601">
        <f t="shared" si="87"/>
        <v>598</v>
      </c>
      <c r="AG601">
        <f t="shared" si="81"/>
        <v>71.057119999999486</v>
      </c>
      <c r="AH601">
        <f t="shared" si="82"/>
        <v>5049.1143026943273</v>
      </c>
      <c r="AI601">
        <f t="shared" si="83"/>
        <v>8.2535044189218798</v>
      </c>
      <c r="AJ601">
        <f t="shared" si="84"/>
        <v>16.679557218755406</v>
      </c>
      <c r="AK601">
        <f t="shared" si="85"/>
        <v>357604</v>
      </c>
      <c r="AL601">
        <f t="shared" si="88"/>
        <v>4680.7626200000004</v>
      </c>
      <c r="AM601" t="str">
        <f t="shared" si="89"/>
        <v/>
      </c>
    </row>
    <row r="602" spans="1:39" x14ac:dyDescent="0.55000000000000004">
      <c r="A602">
        <v>1777261502</v>
      </c>
      <c r="B602" t="s">
        <v>72</v>
      </c>
      <c r="C602" t="s">
        <v>73</v>
      </c>
      <c r="D602">
        <v>4724.1000000000004</v>
      </c>
      <c r="E602">
        <v>4518.5928199999998</v>
      </c>
      <c r="F602">
        <v>4596.0559499999999</v>
      </c>
      <c r="G602">
        <v>4755.40355</v>
      </c>
      <c r="H602">
        <v>4792.7697200000002</v>
      </c>
      <c r="Q602">
        <v>4657.07528</v>
      </c>
      <c r="R602">
        <v>4686.43858</v>
      </c>
      <c r="S602">
        <v>4713.0273500000003</v>
      </c>
      <c r="V602">
        <v>4622.1355100000001</v>
      </c>
      <c r="W602">
        <v>4588.5705099999996</v>
      </c>
      <c r="AB602">
        <v>4726.1125899999997</v>
      </c>
      <c r="AC602">
        <v>4723.60556</v>
      </c>
      <c r="AD602">
        <v>0</v>
      </c>
      <c r="AE602">
        <f t="shared" si="86"/>
        <v>600</v>
      </c>
      <c r="AF602">
        <f t="shared" si="87"/>
        <v>599</v>
      </c>
      <c r="AG602">
        <f t="shared" si="81"/>
        <v>67.024720000000343</v>
      </c>
      <c r="AH602">
        <f t="shared" si="82"/>
        <v>4492.3130910784457</v>
      </c>
      <c r="AI602">
        <f t="shared" si="83"/>
        <v>6.9266079909918243</v>
      </c>
      <c r="AJ602">
        <f t="shared" si="84"/>
        <v>13.203654332448725</v>
      </c>
      <c r="AK602">
        <f t="shared" si="85"/>
        <v>358801</v>
      </c>
      <c r="AL602">
        <f t="shared" si="88"/>
        <v>4680.7626200000004</v>
      </c>
      <c r="AM602" t="str">
        <f t="shared" si="89"/>
        <v/>
      </c>
    </row>
    <row r="603" spans="1:39" x14ac:dyDescent="0.55000000000000004">
      <c r="A603">
        <v>1777262402</v>
      </c>
      <c r="B603" t="s">
        <v>72</v>
      </c>
      <c r="C603" t="s">
        <v>73</v>
      </c>
      <c r="D603">
        <v>4727.47</v>
      </c>
      <c r="E603">
        <v>4518.5928199999998</v>
      </c>
      <c r="F603">
        <v>4596.0559499999999</v>
      </c>
      <c r="G603">
        <v>4755.40355</v>
      </c>
      <c r="H603">
        <v>4792.7697200000002</v>
      </c>
      <c r="Q603">
        <v>4656.8076700000001</v>
      </c>
      <c r="R603">
        <v>4686.1709700000001</v>
      </c>
      <c r="S603">
        <v>4712.7597400000004</v>
      </c>
      <c r="V603">
        <v>4621.8679000000002</v>
      </c>
      <c r="W603">
        <v>4588.3029100000003</v>
      </c>
      <c r="AB603">
        <v>4726.9595499999996</v>
      </c>
      <c r="AC603">
        <v>4725.2825499999999</v>
      </c>
      <c r="AD603">
        <v>0</v>
      </c>
      <c r="AE603">
        <f t="shared" si="86"/>
        <v>601</v>
      </c>
      <c r="AF603">
        <f t="shared" si="87"/>
        <v>600</v>
      </c>
      <c r="AG603">
        <f t="shared" si="81"/>
        <v>70.662330000000111</v>
      </c>
      <c r="AH603">
        <f t="shared" si="82"/>
        <v>4993.1648810289153</v>
      </c>
      <c r="AI603">
        <f t="shared" si="83"/>
        <v>8.116699084777153</v>
      </c>
      <c r="AJ603">
        <f t="shared" si="84"/>
        <v>16.311951714727055</v>
      </c>
      <c r="AK603">
        <f t="shared" si="85"/>
        <v>360000</v>
      </c>
      <c r="AL603">
        <f t="shared" si="88"/>
        <v>4680.7626200000004</v>
      </c>
      <c r="AM603" t="str">
        <f t="shared" si="89"/>
        <v/>
      </c>
    </row>
    <row r="604" spans="1:39" x14ac:dyDescent="0.55000000000000004">
      <c r="A604">
        <v>1777263302</v>
      </c>
      <c r="B604" t="s">
        <v>72</v>
      </c>
      <c r="C604" t="s">
        <v>73</v>
      </c>
      <c r="D604">
        <v>4726.8500000000004</v>
      </c>
      <c r="E604">
        <v>4518.5928199999998</v>
      </c>
      <c r="F604">
        <v>4596.0559499999999</v>
      </c>
      <c r="G604">
        <v>4755.40355</v>
      </c>
      <c r="H604">
        <v>4792.7697200000002</v>
      </c>
      <c r="Q604">
        <v>4656.54007</v>
      </c>
      <c r="R604">
        <v>4685.90337</v>
      </c>
      <c r="S604">
        <v>4712.4921400000003</v>
      </c>
      <c r="V604">
        <v>4621.6003000000001</v>
      </c>
      <c r="W604">
        <v>4588.0352999999996</v>
      </c>
      <c r="AB604">
        <v>4726.6053599999996</v>
      </c>
      <c r="AC604">
        <v>4725.9439599999996</v>
      </c>
      <c r="AD604">
        <v>0</v>
      </c>
      <c r="AE604">
        <f t="shared" si="86"/>
        <v>602</v>
      </c>
      <c r="AF604">
        <f t="shared" si="87"/>
        <v>601</v>
      </c>
      <c r="AG604">
        <f t="shared" si="81"/>
        <v>70.30993000000035</v>
      </c>
      <c r="AH604">
        <f t="shared" si="82"/>
        <v>4943.4862566049487</v>
      </c>
      <c r="AI604">
        <f t="shared" si="83"/>
        <v>7.995867359470866</v>
      </c>
      <c r="AJ604">
        <f t="shared" si="84"/>
        <v>15.988980574182239</v>
      </c>
      <c r="AK604">
        <f t="shared" si="85"/>
        <v>361201</v>
      </c>
      <c r="AL604">
        <f t="shared" si="88"/>
        <v>4680.7626200000004</v>
      </c>
      <c r="AM604" t="str">
        <f t="shared" si="89"/>
        <v/>
      </c>
    </row>
    <row r="605" spans="1:39" x14ac:dyDescent="0.55000000000000004">
      <c r="A605">
        <v>1777264202</v>
      </c>
      <c r="B605" t="s">
        <v>72</v>
      </c>
      <c r="C605" t="s">
        <v>73</v>
      </c>
      <c r="D605">
        <v>4726.18</v>
      </c>
      <c r="E605">
        <v>4518.5928199999998</v>
      </c>
      <c r="F605">
        <v>4596.0559499999999</v>
      </c>
      <c r="G605">
        <v>4755.40355</v>
      </c>
      <c r="H605">
        <v>4792.7697200000002</v>
      </c>
      <c r="Q605">
        <v>4656.2724699999999</v>
      </c>
      <c r="R605">
        <v>4685.6357600000001</v>
      </c>
      <c r="S605">
        <v>4712.2245400000002</v>
      </c>
      <c r="V605">
        <v>4621.3326999999999</v>
      </c>
      <c r="W605">
        <v>4587.7677000000003</v>
      </c>
      <c r="Z605">
        <v>4729.92</v>
      </c>
      <c r="AB605">
        <v>4725.12374</v>
      </c>
      <c r="AC605">
        <v>4725.5338499999998</v>
      </c>
      <c r="AD605">
        <v>1</v>
      </c>
      <c r="AE605">
        <f t="shared" si="86"/>
        <v>603</v>
      </c>
      <c r="AF605">
        <f t="shared" si="87"/>
        <v>602</v>
      </c>
      <c r="AG605">
        <f t="shared" si="81"/>
        <v>69.907530000000406</v>
      </c>
      <c r="AH605">
        <f t="shared" si="82"/>
        <v>4887.0627507009567</v>
      </c>
      <c r="AI605">
        <f t="shared" si="83"/>
        <v>7.8593649857511654</v>
      </c>
      <c r="AJ605">
        <f t="shared" si="84"/>
        <v>15.626076408817546</v>
      </c>
      <c r="AK605">
        <f t="shared" si="85"/>
        <v>362404</v>
      </c>
      <c r="AL605">
        <f t="shared" si="88"/>
        <v>4725.12374</v>
      </c>
      <c r="AM605">
        <f t="shared" si="89"/>
        <v>44.361119999999573</v>
      </c>
    </row>
    <row r="606" spans="1:39" x14ac:dyDescent="0.55000000000000004">
      <c r="A606">
        <v>1777265102</v>
      </c>
      <c r="B606" t="s">
        <v>72</v>
      </c>
      <c r="C606" t="s">
        <v>73</v>
      </c>
      <c r="D606">
        <v>4724.74</v>
      </c>
      <c r="E606">
        <v>4518.5928199999998</v>
      </c>
      <c r="F606">
        <v>4596.0559499999999</v>
      </c>
      <c r="G606">
        <v>4755.40355</v>
      </c>
      <c r="H606">
        <v>4792.7697200000002</v>
      </c>
      <c r="Q606">
        <v>4656.00486</v>
      </c>
      <c r="R606">
        <v>4685.36816</v>
      </c>
      <c r="S606">
        <v>4711.9569300000003</v>
      </c>
      <c r="V606">
        <v>4621.0650900000001</v>
      </c>
      <c r="W606">
        <v>4587.5000899999995</v>
      </c>
      <c r="AB606">
        <v>4722.7490100000005</v>
      </c>
      <c r="AC606">
        <v>4724.1414299999997</v>
      </c>
      <c r="AD606">
        <v>0</v>
      </c>
      <c r="AE606">
        <f t="shared" si="86"/>
        <v>604</v>
      </c>
      <c r="AF606">
        <f t="shared" si="87"/>
        <v>603</v>
      </c>
      <c r="AG606">
        <f t="shared" si="81"/>
        <v>68.735139999999774</v>
      </c>
      <c r="AH606">
        <f t="shared" si="82"/>
        <v>4724.5194708195686</v>
      </c>
      <c r="AI606">
        <f t="shared" si="83"/>
        <v>7.4705409247091836</v>
      </c>
      <c r="AJ606">
        <f t="shared" si="84"/>
        <v>14.603918444176784</v>
      </c>
      <c r="AK606">
        <f t="shared" si="85"/>
        <v>363609</v>
      </c>
      <c r="AL606">
        <f t="shared" si="88"/>
        <v>4725.12374</v>
      </c>
      <c r="AM606" t="str">
        <f t="shared" si="89"/>
        <v/>
      </c>
    </row>
    <row r="607" spans="1:39" x14ac:dyDescent="0.55000000000000004">
      <c r="A607">
        <v>1777266002</v>
      </c>
      <c r="B607" t="s">
        <v>72</v>
      </c>
      <c r="C607" t="s">
        <v>73</v>
      </c>
      <c r="D607">
        <v>4718.21</v>
      </c>
      <c r="E607">
        <v>4518.5928199999998</v>
      </c>
      <c r="F607">
        <v>4596.0559499999999</v>
      </c>
      <c r="G607">
        <v>4755.40355</v>
      </c>
      <c r="H607">
        <v>4792.7697200000002</v>
      </c>
      <c r="Q607">
        <v>4655.7372599999999</v>
      </c>
      <c r="R607">
        <v>4685.1005599999999</v>
      </c>
      <c r="S607">
        <v>4711.6893300000002</v>
      </c>
      <c r="V607">
        <v>4620.7974899999999</v>
      </c>
      <c r="W607">
        <v>4587.2324900000003</v>
      </c>
      <c r="AB607">
        <v>4719.8424500000001</v>
      </c>
      <c r="AC607">
        <v>4721.9919399999999</v>
      </c>
      <c r="AD607">
        <v>0</v>
      </c>
      <c r="AE607">
        <f t="shared" si="86"/>
        <v>605</v>
      </c>
      <c r="AF607">
        <f t="shared" si="87"/>
        <v>604</v>
      </c>
      <c r="AG607">
        <f t="shared" si="81"/>
        <v>62.472740000000158</v>
      </c>
      <c r="AH607">
        <f t="shared" si="82"/>
        <v>3902.8432431076199</v>
      </c>
      <c r="AI607">
        <f t="shared" si="83"/>
        <v>5.6090233365506386</v>
      </c>
      <c r="AJ607">
        <f t="shared" si="84"/>
        <v>9.9658955060772936</v>
      </c>
      <c r="AK607">
        <f t="shared" si="85"/>
        <v>364816</v>
      </c>
      <c r="AL607">
        <f t="shared" si="88"/>
        <v>4725.12374</v>
      </c>
      <c r="AM607" t="str">
        <f t="shared" si="89"/>
        <v/>
      </c>
    </row>
    <row r="608" spans="1:39" x14ac:dyDescent="0.55000000000000004">
      <c r="A608">
        <v>1777266902</v>
      </c>
      <c r="B608" t="s">
        <v>72</v>
      </c>
      <c r="C608" t="s">
        <v>73</v>
      </c>
      <c r="D608">
        <v>4718.25</v>
      </c>
      <c r="E608">
        <v>4518.5928199999998</v>
      </c>
      <c r="F608">
        <v>4596.0559499999999</v>
      </c>
      <c r="G608">
        <v>4755.40355</v>
      </c>
      <c r="H608">
        <v>4792.7697200000002</v>
      </c>
      <c r="Q608">
        <v>4655.46965</v>
      </c>
      <c r="R608">
        <v>4684.83295</v>
      </c>
      <c r="S608">
        <v>4711.4217200000003</v>
      </c>
      <c r="V608">
        <v>4620.52988</v>
      </c>
      <c r="W608">
        <v>4586.9648900000002</v>
      </c>
      <c r="AB608">
        <v>4716.9704599999995</v>
      </c>
      <c r="AC608">
        <v>4719.4812000000002</v>
      </c>
      <c r="AD608">
        <v>0</v>
      </c>
      <c r="AE608">
        <f t="shared" si="86"/>
        <v>606</v>
      </c>
      <c r="AF608">
        <f t="shared" si="87"/>
        <v>605</v>
      </c>
      <c r="AG608">
        <f t="shared" si="81"/>
        <v>62.780349999999999</v>
      </c>
      <c r="AH608">
        <f t="shared" si="82"/>
        <v>3941.3723461224999</v>
      </c>
      <c r="AI608">
        <f t="shared" si="83"/>
        <v>5.6922869143137635</v>
      </c>
      <c r="AJ608">
        <f t="shared" si="84"/>
        <v>10.163634596598587</v>
      </c>
      <c r="AK608">
        <f t="shared" si="85"/>
        <v>366025</v>
      </c>
      <c r="AL608">
        <f t="shared" si="88"/>
        <v>4725.12374</v>
      </c>
      <c r="AM608" t="str">
        <f t="shared" si="89"/>
        <v/>
      </c>
    </row>
    <row r="609" spans="1:39" x14ac:dyDescent="0.55000000000000004">
      <c r="A609">
        <v>1777267802</v>
      </c>
      <c r="B609" t="s">
        <v>72</v>
      </c>
      <c r="C609" t="s">
        <v>73</v>
      </c>
      <c r="D609">
        <v>4711.84</v>
      </c>
      <c r="E609">
        <v>4518.5928199999998</v>
      </c>
      <c r="F609">
        <v>4596.0559499999999</v>
      </c>
      <c r="G609">
        <v>4755.40355</v>
      </c>
      <c r="H609">
        <v>4792.7697200000002</v>
      </c>
      <c r="Q609">
        <v>4655.2020499999999</v>
      </c>
      <c r="R609">
        <v>4684.5653499999999</v>
      </c>
      <c r="S609">
        <v>4711.1541200000001</v>
      </c>
      <c r="V609">
        <v>4620.2622799999999</v>
      </c>
      <c r="W609">
        <v>4586.6972800000003</v>
      </c>
      <c r="AB609">
        <v>4714.4760299999998</v>
      </c>
      <c r="AC609">
        <v>4716.9786100000001</v>
      </c>
      <c r="AD609">
        <v>0</v>
      </c>
      <c r="AE609">
        <f t="shared" si="86"/>
        <v>607</v>
      </c>
      <c r="AF609">
        <f t="shared" si="87"/>
        <v>606</v>
      </c>
      <c r="AG609">
        <f t="shared" si="81"/>
        <v>56.637950000000274</v>
      </c>
      <c r="AH609">
        <f t="shared" si="82"/>
        <v>3207.8573802025312</v>
      </c>
      <c r="AI609">
        <f t="shared" si="83"/>
        <v>4.1796331183891855</v>
      </c>
      <c r="AJ609">
        <f t="shared" si="84"/>
        <v>6.7326217488174152</v>
      </c>
      <c r="AK609">
        <f t="shared" si="85"/>
        <v>367236</v>
      </c>
      <c r="AL609">
        <f t="shared" si="88"/>
        <v>4725.12374</v>
      </c>
      <c r="AM609" t="str">
        <f t="shared" si="89"/>
        <v/>
      </c>
    </row>
    <row r="610" spans="1:39" x14ac:dyDescent="0.55000000000000004">
      <c r="A610">
        <v>1777268702</v>
      </c>
      <c r="B610" t="s">
        <v>72</v>
      </c>
      <c r="C610" t="s">
        <v>73</v>
      </c>
      <c r="D610">
        <v>4710.13</v>
      </c>
      <c r="E610">
        <v>4518.5928199999998</v>
      </c>
      <c r="F610">
        <v>4596.0559499999999</v>
      </c>
      <c r="G610">
        <v>4755.40355</v>
      </c>
      <c r="H610">
        <v>4792.7697200000002</v>
      </c>
      <c r="Q610">
        <v>4654.93444</v>
      </c>
      <c r="R610">
        <v>4684.29774</v>
      </c>
      <c r="S610">
        <v>4710.8865100000003</v>
      </c>
      <c r="V610">
        <v>4619.99467</v>
      </c>
      <c r="W610">
        <v>4586.4296800000002</v>
      </c>
      <c r="AB610">
        <v>4712.8271599999998</v>
      </c>
      <c r="AC610">
        <v>4714.9028900000003</v>
      </c>
      <c r="AD610">
        <v>0</v>
      </c>
      <c r="AE610">
        <f t="shared" si="86"/>
        <v>608</v>
      </c>
      <c r="AF610">
        <f t="shared" si="87"/>
        <v>607</v>
      </c>
      <c r="AG610">
        <f t="shared" si="81"/>
        <v>55.195560000000114</v>
      </c>
      <c r="AH610">
        <f t="shared" si="82"/>
        <v>3046.5498437136125</v>
      </c>
      <c r="AI610">
        <f t="shared" si="83"/>
        <v>3.8683700866174133</v>
      </c>
      <c r="AJ610">
        <f t="shared" si="84"/>
        <v>6.0725442537633034</v>
      </c>
      <c r="AK610">
        <f t="shared" si="85"/>
        <v>368449</v>
      </c>
      <c r="AL610">
        <f t="shared" si="88"/>
        <v>4725.12374</v>
      </c>
      <c r="AM610" t="str">
        <f t="shared" si="89"/>
        <v/>
      </c>
    </row>
    <row r="611" spans="1:39" x14ac:dyDescent="0.55000000000000004">
      <c r="A611">
        <v>1777269602</v>
      </c>
      <c r="B611" t="s">
        <v>72</v>
      </c>
      <c r="C611" t="s">
        <v>73</v>
      </c>
      <c r="D611">
        <v>4714.43</v>
      </c>
      <c r="E611">
        <v>4518.5928199999998</v>
      </c>
      <c r="F611">
        <v>4596.0559499999999</v>
      </c>
      <c r="G611">
        <v>4755.40355</v>
      </c>
      <c r="H611">
        <v>4792.7697200000002</v>
      </c>
      <c r="Q611">
        <v>4654.6668399999999</v>
      </c>
      <c r="R611">
        <v>4684.0301399999998</v>
      </c>
      <c r="S611">
        <v>4710.6189100000001</v>
      </c>
      <c r="V611">
        <v>4619.7270699999999</v>
      </c>
      <c r="W611">
        <v>4586.1620700000003</v>
      </c>
      <c r="AB611">
        <v>4712.1479300000001</v>
      </c>
      <c r="AC611">
        <v>4713.5254100000002</v>
      </c>
      <c r="AD611">
        <v>0</v>
      </c>
      <c r="AE611">
        <f t="shared" si="86"/>
        <v>609</v>
      </c>
      <c r="AF611">
        <f t="shared" si="87"/>
        <v>608</v>
      </c>
      <c r="AG611">
        <f t="shared" si="81"/>
        <v>59.763160000000425</v>
      </c>
      <c r="AH611">
        <f t="shared" si="82"/>
        <v>3571.6352931856509</v>
      </c>
      <c r="AI611">
        <f t="shared" si="83"/>
        <v>4.9103929006268316</v>
      </c>
      <c r="AJ611">
        <f t="shared" si="84"/>
        <v>8.3461910974584068</v>
      </c>
      <c r="AK611">
        <f t="shared" si="85"/>
        <v>369664</v>
      </c>
      <c r="AL611">
        <f t="shared" si="88"/>
        <v>4725.12374</v>
      </c>
      <c r="AM611" t="str">
        <f t="shared" si="89"/>
        <v/>
      </c>
    </row>
    <row r="612" spans="1:39" x14ac:dyDescent="0.55000000000000004">
      <c r="A612">
        <v>1777270502</v>
      </c>
      <c r="B612" t="s">
        <v>72</v>
      </c>
      <c r="C612" t="s">
        <v>73</v>
      </c>
      <c r="D612">
        <v>4714.53</v>
      </c>
      <c r="E612">
        <v>4518.5928199999998</v>
      </c>
      <c r="F612">
        <v>4596.0559499999999</v>
      </c>
      <c r="G612">
        <v>4755.40355</v>
      </c>
      <c r="H612">
        <v>4792.7697200000002</v>
      </c>
      <c r="Q612">
        <v>4654.3992399999997</v>
      </c>
      <c r="R612">
        <v>4683.7625399999997</v>
      </c>
      <c r="S612">
        <v>4710.35131</v>
      </c>
      <c r="V612">
        <v>4619.4594699999998</v>
      </c>
      <c r="W612">
        <v>4585.8944700000002</v>
      </c>
      <c r="AB612">
        <v>4712.2430199999999</v>
      </c>
      <c r="AC612">
        <v>4712.8842199999999</v>
      </c>
      <c r="AD612">
        <v>0</v>
      </c>
      <c r="AE612">
        <f t="shared" si="86"/>
        <v>610</v>
      </c>
      <c r="AF612">
        <f t="shared" si="87"/>
        <v>609</v>
      </c>
      <c r="AG612">
        <f t="shared" si="81"/>
        <v>60.130760000000009</v>
      </c>
      <c r="AH612">
        <f t="shared" si="82"/>
        <v>3615.7082981776011</v>
      </c>
      <c r="AI612">
        <f t="shared" si="83"/>
        <v>5.0015620769913696</v>
      </c>
      <c r="AJ612">
        <f t="shared" si="84"/>
        <v>8.5534414042572262</v>
      </c>
      <c r="AK612">
        <f t="shared" si="85"/>
        <v>370881</v>
      </c>
      <c r="AL612">
        <f t="shared" si="88"/>
        <v>4725.12374</v>
      </c>
      <c r="AM612" t="str">
        <f t="shared" si="89"/>
        <v/>
      </c>
    </row>
    <row r="613" spans="1:39" x14ac:dyDescent="0.55000000000000004">
      <c r="A613">
        <v>1777271402</v>
      </c>
      <c r="B613" t="s">
        <v>72</v>
      </c>
      <c r="C613" t="s">
        <v>73</v>
      </c>
      <c r="D613">
        <v>4710.7700000000004</v>
      </c>
      <c r="E613">
        <v>4518.5928199999998</v>
      </c>
      <c r="F613">
        <v>4596.0559499999999</v>
      </c>
      <c r="G613">
        <v>4755.40355</v>
      </c>
      <c r="H613">
        <v>4792.7697200000002</v>
      </c>
      <c r="Q613">
        <v>4654.1316299999999</v>
      </c>
      <c r="R613">
        <v>4683.4949299999998</v>
      </c>
      <c r="S613">
        <v>4710.0837000000001</v>
      </c>
      <c r="V613">
        <v>4619.1918599999999</v>
      </c>
      <c r="W613">
        <v>4585.6268700000001</v>
      </c>
      <c r="AB613">
        <v>4712.8756100000001</v>
      </c>
      <c r="AC613">
        <v>4712.8799099999997</v>
      </c>
      <c r="AD613">
        <v>0</v>
      </c>
      <c r="AE613">
        <f t="shared" si="86"/>
        <v>611</v>
      </c>
      <c r="AF613">
        <f t="shared" si="87"/>
        <v>610</v>
      </c>
      <c r="AG613">
        <f t="shared" si="81"/>
        <v>56.638370000000577</v>
      </c>
      <c r="AH613">
        <f t="shared" si="82"/>
        <v>3207.9049562569653</v>
      </c>
      <c r="AI613">
        <f t="shared" si="83"/>
        <v>4.1797261015707052</v>
      </c>
      <c r="AJ613">
        <f t="shared" si="84"/>
        <v>6.7328214546747107</v>
      </c>
      <c r="AK613">
        <f t="shared" si="85"/>
        <v>372100</v>
      </c>
      <c r="AL613">
        <f t="shared" si="88"/>
        <v>4725.12374</v>
      </c>
      <c r="AM613" t="str">
        <f t="shared" si="89"/>
        <v/>
      </c>
    </row>
    <row r="614" spans="1:39" x14ac:dyDescent="0.55000000000000004">
      <c r="A614">
        <v>1777272302</v>
      </c>
      <c r="B614" t="s">
        <v>72</v>
      </c>
      <c r="C614" t="s">
        <v>73</v>
      </c>
      <c r="D614">
        <v>4712.84</v>
      </c>
      <c r="E614">
        <v>4518.5928199999998</v>
      </c>
      <c r="F614">
        <v>4596.0559499999999</v>
      </c>
      <c r="G614">
        <v>4755.40355</v>
      </c>
      <c r="H614">
        <v>4792.7697200000002</v>
      </c>
      <c r="Q614">
        <v>4653.8640299999997</v>
      </c>
      <c r="R614">
        <v>4683.2273299999997</v>
      </c>
      <c r="S614">
        <v>4709.8161</v>
      </c>
      <c r="V614">
        <v>4618.9242599999998</v>
      </c>
      <c r="W614">
        <v>4585.3592600000002</v>
      </c>
      <c r="AB614">
        <v>4713.8470699999998</v>
      </c>
      <c r="AC614">
        <v>4713.3634899999997</v>
      </c>
      <c r="AD614">
        <v>1</v>
      </c>
      <c r="AE614">
        <f t="shared" si="86"/>
        <v>612</v>
      </c>
      <c r="AF614">
        <f t="shared" si="87"/>
        <v>611</v>
      </c>
      <c r="AG614">
        <f t="shared" si="81"/>
        <v>58.975970000000416</v>
      </c>
      <c r="AH614">
        <f t="shared" si="82"/>
        <v>3478.1650374409492</v>
      </c>
      <c r="AI614">
        <f t="shared" si="83"/>
        <v>4.7189009584526174</v>
      </c>
      <c r="AJ614">
        <f t="shared" si="84"/>
        <v>7.9150649528567865</v>
      </c>
      <c r="AK614">
        <f t="shared" si="85"/>
        <v>373321</v>
      </c>
      <c r="AL614">
        <f t="shared" si="88"/>
        <v>4713.8470699999998</v>
      </c>
      <c r="AM614">
        <f t="shared" si="89"/>
        <v>11.276670000000195</v>
      </c>
    </row>
    <row r="615" spans="1:39" x14ac:dyDescent="0.55000000000000004">
      <c r="A615">
        <v>1777273202</v>
      </c>
      <c r="B615" t="s">
        <v>72</v>
      </c>
      <c r="C615" t="s">
        <v>73</v>
      </c>
      <c r="D615">
        <v>4717.2</v>
      </c>
      <c r="E615">
        <v>4518.5928199999998</v>
      </c>
      <c r="F615">
        <v>4596.0559499999999</v>
      </c>
      <c r="G615">
        <v>4755.40355</v>
      </c>
      <c r="H615">
        <v>4792.7697200000002</v>
      </c>
      <c r="Q615">
        <v>4653.5964199999999</v>
      </c>
      <c r="R615">
        <v>4682.9597199999998</v>
      </c>
      <c r="S615">
        <v>4709.5484900000001</v>
      </c>
      <c r="V615">
        <v>4618.6566499999999</v>
      </c>
      <c r="W615">
        <v>4585.09166</v>
      </c>
      <c r="AB615">
        <v>4714.7764299999999</v>
      </c>
      <c r="AC615">
        <v>4714.0699599999998</v>
      </c>
      <c r="AD615">
        <v>0</v>
      </c>
      <c r="AE615">
        <f t="shared" si="86"/>
        <v>613</v>
      </c>
      <c r="AF615">
        <f t="shared" si="87"/>
        <v>612</v>
      </c>
      <c r="AG615">
        <f t="shared" si="81"/>
        <v>63.603579999999965</v>
      </c>
      <c r="AH615">
        <f t="shared" si="82"/>
        <v>4045.4153888163955</v>
      </c>
      <c r="AI615">
        <f t="shared" si="83"/>
        <v>5.9191625662829042</v>
      </c>
      <c r="AJ615">
        <f t="shared" si="84"/>
        <v>10.707309516854499</v>
      </c>
      <c r="AK615">
        <f t="shared" si="85"/>
        <v>374544</v>
      </c>
      <c r="AL615">
        <f t="shared" si="88"/>
        <v>4713.8470699999998</v>
      </c>
      <c r="AM615" t="str">
        <f t="shared" si="89"/>
        <v/>
      </c>
    </row>
    <row r="616" spans="1:39" x14ac:dyDescent="0.55000000000000004">
      <c r="A616">
        <v>1777274102</v>
      </c>
      <c r="B616" t="s">
        <v>72</v>
      </c>
      <c r="C616" t="s">
        <v>73</v>
      </c>
      <c r="D616">
        <v>4716.12</v>
      </c>
      <c r="E616">
        <v>4518.5928199999998</v>
      </c>
      <c r="F616">
        <v>4596.0559499999999</v>
      </c>
      <c r="G616">
        <v>4755.40355</v>
      </c>
      <c r="H616">
        <v>4792.7697200000002</v>
      </c>
      <c r="Q616">
        <v>4653.3288199999997</v>
      </c>
      <c r="R616">
        <v>4682.6921199999997</v>
      </c>
      <c r="S616">
        <v>4709.28089</v>
      </c>
      <c r="V616">
        <v>4618.3890499999998</v>
      </c>
      <c r="W616">
        <v>4584.8240500000002</v>
      </c>
      <c r="AB616">
        <v>4715.2342799999997</v>
      </c>
      <c r="AC616">
        <v>4714.6521199999997</v>
      </c>
      <c r="AD616">
        <v>0</v>
      </c>
      <c r="AE616">
        <f t="shared" si="86"/>
        <v>614</v>
      </c>
      <c r="AF616">
        <f t="shared" si="87"/>
        <v>613</v>
      </c>
      <c r="AG616">
        <f t="shared" si="81"/>
        <v>62.791180000000168</v>
      </c>
      <c r="AH616">
        <f t="shared" si="82"/>
        <v>3942.732285792421</v>
      </c>
      <c r="AI616">
        <f t="shared" si="83"/>
        <v>5.6952332869828481</v>
      </c>
      <c r="AJ616">
        <f t="shared" si="84"/>
        <v>10.170649571708179</v>
      </c>
      <c r="AK616">
        <f t="shared" si="85"/>
        <v>375769</v>
      </c>
      <c r="AL616">
        <f t="shared" si="88"/>
        <v>4713.8470699999998</v>
      </c>
      <c r="AM616" t="str">
        <f t="shared" si="89"/>
        <v/>
      </c>
    </row>
    <row r="617" spans="1:39" x14ac:dyDescent="0.55000000000000004">
      <c r="A617">
        <v>1777275002</v>
      </c>
      <c r="B617" t="s">
        <v>72</v>
      </c>
      <c r="C617" t="s">
        <v>73</v>
      </c>
      <c r="D617">
        <v>4714.8500000000004</v>
      </c>
      <c r="E617">
        <v>4518.5928199999998</v>
      </c>
      <c r="F617">
        <v>4596.0559499999999</v>
      </c>
      <c r="G617">
        <v>4755.40355</v>
      </c>
      <c r="H617">
        <v>4792.7697200000002</v>
      </c>
      <c r="Q617">
        <v>4653.0612199999996</v>
      </c>
      <c r="R617">
        <v>4682.4245199999996</v>
      </c>
      <c r="S617">
        <v>4709.0132899999999</v>
      </c>
      <c r="V617">
        <v>4618.1214499999996</v>
      </c>
      <c r="W617">
        <v>4584.55645</v>
      </c>
      <c r="AB617">
        <v>4715.0677900000001</v>
      </c>
      <c r="AC617">
        <v>4714.8599599999998</v>
      </c>
      <c r="AD617">
        <v>0</v>
      </c>
      <c r="AE617">
        <f t="shared" si="86"/>
        <v>615</v>
      </c>
      <c r="AF617">
        <f t="shared" si="87"/>
        <v>614</v>
      </c>
      <c r="AG617">
        <f t="shared" si="81"/>
        <v>61.78878000000077</v>
      </c>
      <c r="AH617">
        <f t="shared" si="82"/>
        <v>3817.8533338884949</v>
      </c>
      <c r="AI617">
        <f t="shared" si="83"/>
        <v>5.4268078601866661</v>
      </c>
      <c r="AJ617">
        <f t="shared" si="84"/>
        <v>9.5365786275455626</v>
      </c>
      <c r="AK617">
        <f t="shared" si="85"/>
        <v>376996</v>
      </c>
      <c r="AL617">
        <f t="shared" si="88"/>
        <v>4713.8470699999998</v>
      </c>
      <c r="AM617" t="str">
        <f t="shared" si="89"/>
        <v/>
      </c>
    </row>
    <row r="618" spans="1:39" x14ac:dyDescent="0.55000000000000004">
      <c r="A618">
        <v>1777275902</v>
      </c>
      <c r="B618" t="s">
        <v>72</v>
      </c>
      <c r="C618" t="s">
        <v>73</v>
      </c>
      <c r="D618">
        <v>4713.3599999999997</v>
      </c>
      <c r="E618">
        <v>4518.5928199999998</v>
      </c>
      <c r="F618">
        <v>4596.0559499999999</v>
      </c>
      <c r="G618">
        <v>4755.40355</v>
      </c>
      <c r="H618">
        <v>4792.7697200000002</v>
      </c>
      <c r="Q618">
        <v>4652.7936099999997</v>
      </c>
      <c r="R618">
        <v>4682.1569099999997</v>
      </c>
      <c r="S618">
        <v>4708.74568</v>
      </c>
      <c r="V618">
        <v>4617.8538399999998</v>
      </c>
      <c r="W618">
        <v>4584.2888499999999</v>
      </c>
      <c r="AB618">
        <v>4714.2374300000001</v>
      </c>
      <c r="AC618">
        <v>4714.5486899999996</v>
      </c>
      <c r="AD618">
        <v>1</v>
      </c>
      <c r="AE618">
        <f t="shared" si="86"/>
        <v>616</v>
      </c>
      <c r="AF618">
        <f t="shared" si="87"/>
        <v>615</v>
      </c>
      <c r="AG618">
        <f t="shared" si="81"/>
        <v>60.566389999999956</v>
      </c>
      <c r="AH618">
        <f t="shared" si="82"/>
        <v>3668.2875976320947</v>
      </c>
      <c r="AI618">
        <f t="shared" si="83"/>
        <v>5.1110561331865929</v>
      </c>
      <c r="AJ618">
        <f t="shared" si="84"/>
        <v>8.8040169013063814</v>
      </c>
      <c r="AK618">
        <f t="shared" si="85"/>
        <v>378225</v>
      </c>
      <c r="AL618">
        <f t="shared" si="88"/>
        <v>4714.2374300000001</v>
      </c>
      <c r="AM618">
        <f t="shared" si="89"/>
        <v>0.390360000000328</v>
      </c>
    </row>
    <row r="619" spans="1:39" x14ac:dyDescent="0.55000000000000004">
      <c r="A619">
        <v>1777276802</v>
      </c>
      <c r="B619" t="s">
        <v>72</v>
      </c>
      <c r="C619" t="s">
        <v>73</v>
      </c>
      <c r="D619">
        <v>4710.8599999999997</v>
      </c>
      <c r="E619">
        <v>4518.5928199999998</v>
      </c>
      <c r="F619">
        <v>4596.0559499999999</v>
      </c>
      <c r="G619">
        <v>4755.40355</v>
      </c>
      <c r="H619">
        <v>4792.7697200000002</v>
      </c>
      <c r="Q619">
        <v>4652.5260099999996</v>
      </c>
      <c r="R619">
        <v>4681.8893099999996</v>
      </c>
      <c r="S619">
        <v>4708.4780799999999</v>
      </c>
      <c r="V619">
        <v>4617.5862399999996</v>
      </c>
      <c r="W619">
        <v>4584.02124</v>
      </c>
      <c r="AB619">
        <v>4712.8126499999998</v>
      </c>
      <c r="AC619">
        <v>4713.6806699999997</v>
      </c>
      <c r="AD619">
        <v>0</v>
      </c>
      <c r="AE619">
        <f t="shared" si="86"/>
        <v>617</v>
      </c>
      <c r="AF619">
        <f t="shared" si="87"/>
        <v>616</v>
      </c>
      <c r="AG619">
        <f t="shared" si="81"/>
        <v>58.333990000000085</v>
      </c>
      <c r="AH619">
        <f t="shared" si="82"/>
        <v>3402.8543893201099</v>
      </c>
      <c r="AI619">
        <f t="shared" si="83"/>
        <v>4.5664702545391016</v>
      </c>
      <c r="AJ619">
        <f t="shared" si="84"/>
        <v>7.5760153174070473</v>
      </c>
      <c r="AK619">
        <f t="shared" si="85"/>
        <v>379456</v>
      </c>
      <c r="AL619">
        <f t="shared" si="88"/>
        <v>4714.2374300000001</v>
      </c>
      <c r="AM619" t="str">
        <f t="shared" si="89"/>
        <v/>
      </c>
    </row>
    <row r="620" spans="1:39" x14ac:dyDescent="0.55000000000000004">
      <c r="A620">
        <v>1777277702</v>
      </c>
      <c r="B620" t="s">
        <v>72</v>
      </c>
      <c r="C620" t="s">
        <v>73</v>
      </c>
      <c r="D620">
        <v>4710.8599999999997</v>
      </c>
      <c r="E620">
        <v>4518.5928199999998</v>
      </c>
      <c r="F620">
        <v>4596.0559499999999</v>
      </c>
      <c r="G620">
        <v>4755.40355</v>
      </c>
      <c r="H620">
        <v>4792.7697200000002</v>
      </c>
      <c r="Q620">
        <v>4652.2583999999997</v>
      </c>
      <c r="R620">
        <v>4681.6216999999997</v>
      </c>
      <c r="S620">
        <v>4708.21047</v>
      </c>
      <c r="V620">
        <v>4617.3186299999998</v>
      </c>
      <c r="W620">
        <v>4583.7536399999999</v>
      </c>
      <c r="AB620">
        <v>4711.0048100000004</v>
      </c>
      <c r="AC620">
        <v>4712.34274</v>
      </c>
      <c r="AD620">
        <v>0</v>
      </c>
      <c r="AE620">
        <f t="shared" si="86"/>
        <v>618</v>
      </c>
      <c r="AF620">
        <f t="shared" si="87"/>
        <v>617</v>
      </c>
      <c r="AG620">
        <f t="shared" si="81"/>
        <v>58.601599999999962</v>
      </c>
      <c r="AH620">
        <f t="shared" si="82"/>
        <v>3434.1475225599957</v>
      </c>
      <c r="AI620">
        <f t="shared" si="83"/>
        <v>4.6296057170843108</v>
      </c>
      <c r="AJ620">
        <f t="shared" si="84"/>
        <v>7.7159962437721958</v>
      </c>
      <c r="AK620">
        <f t="shared" si="85"/>
        <v>380689</v>
      </c>
      <c r="AL620">
        <f t="shared" si="88"/>
        <v>4714.2374300000001</v>
      </c>
      <c r="AM620" t="str">
        <f t="shared" si="89"/>
        <v/>
      </c>
    </row>
    <row r="621" spans="1:39" x14ac:dyDescent="0.55000000000000004">
      <c r="A621">
        <v>1777278602</v>
      </c>
      <c r="B621" t="s">
        <v>72</v>
      </c>
      <c r="C621" t="s">
        <v>73</v>
      </c>
      <c r="D621">
        <v>4711.8900000000003</v>
      </c>
      <c r="E621">
        <v>4518.5928199999998</v>
      </c>
      <c r="F621">
        <v>4596.0559499999999</v>
      </c>
      <c r="G621">
        <v>4755.40355</v>
      </c>
      <c r="H621">
        <v>4792.7697200000002</v>
      </c>
      <c r="Q621">
        <v>4651.9907999999996</v>
      </c>
      <c r="R621">
        <v>4681.3540999999996</v>
      </c>
      <c r="S621">
        <v>4707.9428699999999</v>
      </c>
      <c r="V621">
        <v>4617.0510299999996</v>
      </c>
      <c r="W621">
        <v>4583.48603</v>
      </c>
      <c r="AB621">
        <v>4708.98704</v>
      </c>
      <c r="AC621">
        <v>4710.66489</v>
      </c>
      <c r="AD621">
        <v>0</v>
      </c>
      <c r="AE621">
        <f t="shared" si="86"/>
        <v>619</v>
      </c>
      <c r="AF621">
        <f t="shared" si="87"/>
        <v>618</v>
      </c>
      <c r="AG621">
        <f t="shared" si="81"/>
        <v>59.899200000000747</v>
      </c>
      <c r="AH621">
        <f t="shared" si="82"/>
        <v>3587.9141606400894</v>
      </c>
      <c r="AI621">
        <f t="shared" si="83"/>
        <v>4.9440021478950813</v>
      </c>
      <c r="AJ621">
        <f t="shared" si="84"/>
        <v>8.4224453367617222</v>
      </c>
      <c r="AK621">
        <f t="shared" si="85"/>
        <v>381924</v>
      </c>
      <c r="AL621">
        <f t="shared" si="88"/>
        <v>4714.2374300000001</v>
      </c>
      <c r="AM621" t="str">
        <f t="shared" si="89"/>
        <v/>
      </c>
    </row>
    <row r="622" spans="1:39" x14ac:dyDescent="0.55000000000000004">
      <c r="A622">
        <v>1777279502</v>
      </c>
      <c r="B622" t="s">
        <v>72</v>
      </c>
      <c r="C622" t="s">
        <v>73</v>
      </c>
      <c r="D622">
        <v>4706.71</v>
      </c>
      <c r="E622">
        <v>4518.5928199999998</v>
      </c>
      <c r="F622">
        <v>4596.0559499999999</v>
      </c>
      <c r="G622">
        <v>4755.40355</v>
      </c>
      <c r="H622">
        <v>4792.7697200000002</v>
      </c>
      <c r="Q622">
        <v>4651.7232000000004</v>
      </c>
      <c r="R622">
        <v>4681.0864899999997</v>
      </c>
      <c r="S622">
        <v>4707.6752699999997</v>
      </c>
      <c r="V622">
        <v>4616.7834300000004</v>
      </c>
      <c r="W622">
        <v>4583.2184299999999</v>
      </c>
      <c r="AB622">
        <v>4706.9491500000004</v>
      </c>
      <c r="AC622">
        <v>4708.8070200000002</v>
      </c>
      <c r="AD622">
        <v>0</v>
      </c>
      <c r="AE622">
        <f t="shared" si="86"/>
        <v>620</v>
      </c>
      <c r="AF622">
        <f t="shared" si="87"/>
        <v>619</v>
      </c>
      <c r="AG622">
        <f t="shared" si="81"/>
        <v>54.986799999999675</v>
      </c>
      <c r="AH622">
        <f t="shared" si="82"/>
        <v>3023.5481742399643</v>
      </c>
      <c r="AI622">
        <f t="shared" si="83"/>
        <v>3.824643175840253</v>
      </c>
      <c r="AJ622">
        <f t="shared" si="84"/>
        <v>5.9811941226307264</v>
      </c>
      <c r="AK622">
        <f t="shared" si="85"/>
        <v>383161</v>
      </c>
      <c r="AL622">
        <f t="shared" si="88"/>
        <v>4714.2374300000001</v>
      </c>
      <c r="AM622" t="str">
        <f t="shared" si="89"/>
        <v/>
      </c>
    </row>
    <row r="623" spans="1:39" x14ac:dyDescent="0.55000000000000004">
      <c r="A623">
        <v>1777280402</v>
      </c>
      <c r="B623" t="s">
        <v>72</v>
      </c>
      <c r="C623" t="s">
        <v>73</v>
      </c>
      <c r="D623">
        <v>4705.12</v>
      </c>
      <c r="E623">
        <v>4518.5928199999998</v>
      </c>
      <c r="F623">
        <v>4596.0559499999999</v>
      </c>
      <c r="G623">
        <v>4755.40355</v>
      </c>
      <c r="H623">
        <v>4792.7697200000002</v>
      </c>
      <c r="Q623">
        <v>4651.4555899999996</v>
      </c>
      <c r="R623">
        <v>4680.8188899999996</v>
      </c>
      <c r="S623">
        <v>4707.4076599999999</v>
      </c>
      <c r="V623">
        <v>4616.5158199999996</v>
      </c>
      <c r="W623">
        <v>4582.9508299999998</v>
      </c>
      <c r="AB623">
        <v>4705.2371899999998</v>
      </c>
      <c r="AC623">
        <v>4707.0221099999999</v>
      </c>
      <c r="AD623">
        <v>0</v>
      </c>
      <c r="AE623">
        <f t="shared" si="86"/>
        <v>621</v>
      </c>
      <c r="AF623">
        <f t="shared" si="87"/>
        <v>620</v>
      </c>
      <c r="AG623">
        <f t="shared" si="81"/>
        <v>53.664410000000316</v>
      </c>
      <c r="AH623">
        <f t="shared" si="82"/>
        <v>2879.8689006481341</v>
      </c>
      <c r="AI623">
        <f t="shared" si="83"/>
        <v>3.5552869720871052</v>
      </c>
      <c r="AJ623">
        <f t="shared" si="84"/>
        <v>5.4262468729328592</v>
      </c>
      <c r="AK623">
        <f t="shared" si="85"/>
        <v>384400</v>
      </c>
      <c r="AL623">
        <f t="shared" si="88"/>
        <v>4714.2374300000001</v>
      </c>
      <c r="AM623" t="str">
        <f t="shared" si="89"/>
        <v/>
      </c>
    </row>
    <row r="624" spans="1:39" x14ac:dyDescent="0.55000000000000004">
      <c r="A624">
        <v>1777281302</v>
      </c>
      <c r="B624" t="s">
        <v>72</v>
      </c>
      <c r="C624" t="s">
        <v>73</v>
      </c>
      <c r="D624">
        <v>4702.32</v>
      </c>
      <c r="E624">
        <v>4518.5928199999998</v>
      </c>
      <c r="F624">
        <v>4596.0559499999999</v>
      </c>
      <c r="G624">
        <v>4755.40355</v>
      </c>
      <c r="H624">
        <v>4792.7697200000002</v>
      </c>
      <c r="Q624">
        <v>4651.1879900000004</v>
      </c>
      <c r="R624">
        <v>4680.5512900000003</v>
      </c>
      <c r="S624">
        <v>4707.1400599999997</v>
      </c>
      <c r="V624">
        <v>4616.2482200000004</v>
      </c>
      <c r="W624">
        <v>4582.6832199999999</v>
      </c>
      <c r="AB624">
        <v>4704.0597500000003</v>
      </c>
      <c r="AC624">
        <v>4705.5409300000001</v>
      </c>
      <c r="AD624">
        <v>0</v>
      </c>
      <c r="AE624">
        <f t="shared" si="86"/>
        <v>622</v>
      </c>
      <c r="AF624">
        <f t="shared" si="87"/>
        <v>621</v>
      </c>
      <c r="AG624">
        <f t="shared" si="81"/>
        <v>51.132009999999354</v>
      </c>
      <c r="AH624">
        <f t="shared" si="82"/>
        <v>2614.4824466400341</v>
      </c>
      <c r="AI624">
        <f t="shared" si="83"/>
        <v>3.075347385940614</v>
      </c>
      <c r="AJ624">
        <f t="shared" si="84"/>
        <v>4.4722448578006109</v>
      </c>
      <c r="AK624">
        <f t="shared" si="85"/>
        <v>385641</v>
      </c>
      <c r="AL624">
        <f t="shared" si="88"/>
        <v>4714.2374300000001</v>
      </c>
      <c r="AM624" t="str">
        <f t="shared" si="89"/>
        <v/>
      </c>
    </row>
    <row r="625" spans="1:39" x14ac:dyDescent="0.55000000000000004">
      <c r="A625">
        <v>1777282202</v>
      </c>
      <c r="B625" t="s">
        <v>72</v>
      </c>
      <c r="C625" t="s">
        <v>73</v>
      </c>
      <c r="D625">
        <v>4704.6400000000003</v>
      </c>
      <c r="E625">
        <v>4518.5928199999998</v>
      </c>
      <c r="F625">
        <v>4596.0559499999999</v>
      </c>
      <c r="G625">
        <v>4755.40355</v>
      </c>
      <c r="H625">
        <v>4792.7697200000002</v>
      </c>
      <c r="Q625">
        <v>4650.9203799999996</v>
      </c>
      <c r="R625">
        <v>4680.2836799999995</v>
      </c>
      <c r="S625">
        <v>4706.8724499999998</v>
      </c>
      <c r="V625">
        <v>4615.9806099999996</v>
      </c>
      <c r="W625">
        <v>4582.4156199999998</v>
      </c>
      <c r="AB625">
        <v>4703.5523000000003</v>
      </c>
      <c r="AC625">
        <v>4704.5466100000003</v>
      </c>
      <c r="AD625">
        <v>0</v>
      </c>
      <c r="AE625">
        <f t="shared" si="86"/>
        <v>623</v>
      </c>
      <c r="AF625">
        <f t="shared" si="87"/>
        <v>622</v>
      </c>
      <c r="AG625">
        <f t="shared" si="81"/>
        <v>53.719620000000759</v>
      </c>
      <c r="AH625">
        <f t="shared" si="82"/>
        <v>2885.7975729444815</v>
      </c>
      <c r="AI625">
        <f t="shared" si="83"/>
        <v>3.5662713136826576</v>
      </c>
      <c r="AJ625">
        <f t="shared" si="84"/>
        <v>5.4486114698127324</v>
      </c>
      <c r="AK625">
        <f t="shared" si="85"/>
        <v>386884</v>
      </c>
      <c r="AL625">
        <f t="shared" si="88"/>
        <v>4714.2374300000001</v>
      </c>
      <c r="AM625" t="str">
        <f t="shared" si="89"/>
        <v/>
      </c>
    </row>
    <row r="626" spans="1:39" x14ac:dyDescent="0.55000000000000004">
      <c r="A626">
        <v>1777283102</v>
      </c>
      <c r="B626" t="s">
        <v>72</v>
      </c>
      <c r="C626" t="s">
        <v>73</v>
      </c>
      <c r="D626">
        <v>4703.6400000000003</v>
      </c>
      <c r="E626">
        <v>4518.5928199999998</v>
      </c>
      <c r="F626">
        <v>4596.0559499999999</v>
      </c>
      <c r="G626">
        <v>4755.40355</v>
      </c>
      <c r="H626">
        <v>4792.7697200000002</v>
      </c>
      <c r="Q626">
        <v>4650.6527800000003</v>
      </c>
      <c r="R626">
        <v>4680.0160800000003</v>
      </c>
      <c r="S626">
        <v>4706.6048499999997</v>
      </c>
      <c r="V626">
        <v>4615.7130100000004</v>
      </c>
      <c r="W626">
        <v>4582.1480099999999</v>
      </c>
      <c r="AB626">
        <v>4703.6271100000004</v>
      </c>
      <c r="AC626">
        <v>4704.0868600000003</v>
      </c>
      <c r="AD626">
        <v>0</v>
      </c>
      <c r="AE626">
        <f t="shared" si="86"/>
        <v>624</v>
      </c>
      <c r="AF626">
        <f t="shared" si="87"/>
        <v>623</v>
      </c>
      <c r="AG626">
        <f t="shared" si="81"/>
        <v>52.987219999999979</v>
      </c>
      <c r="AH626">
        <f t="shared" si="82"/>
        <v>2807.6454833283979</v>
      </c>
      <c r="AI626">
        <f t="shared" si="83"/>
        <v>3.4223859823378446</v>
      </c>
      <c r="AJ626">
        <f t="shared" si="84"/>
        <v>5.1574930477484973</v>
      </c>
      <c r="AK626">
        <f t="shared" si="85"/>
        <v>388129</v>
      </c>
      <c r="AL626">
        <f t="shared" si="88"/>
        <v>4714.2374300000001</v>
      </c>
      <c r="AM626" t="str">
        <f t="shared" si="89"/>
        <v/>
      </c>
    </row>
    <row r="627" spans="1:39" x14ac:dyDescent="0.55000000000000004">
      <c r="A627">
        <v>1777284002</v>
      </c>
      <c r="B627" t="s">
        <v>72</v>
      </c>
      <c r="C627" t="s">
        <v>73</v>
      </c>
      <c r="D627">
        <v>4701.91</v>
      </c>
      <c r="E627">
        <v>4518.5928199999998</v>
      </c>
      <c r="F627">
        <v>4596.0559499999999</v>
      </c>
      <c r="G627">
        <v>4755.40355</v>
      </c>
      <c r="H627">
        <v>4792.7697200000002</v>
      </c>
      <c r="Q627">
        <v>4650.3851800000002</v>
      </c>
      <c r="R627">
        <v>4679.7484700000005</v>
      </c>
      <c r="S627">
        <v>4706.3372499999996</v>
      </c>
      <c r="V627">
        <v>4615.4454100000003</v>
      </c>
      <c r="W627">
        <v>4581.8804099999998</v>
      </c>
      <c r="AB627">
        <v>4704.16561</v>
      </c>
      <c r="AC627">
        <v>4704.1262299999999</v>
      </c>
      <c r="AD627">
        <v>1</v>
      </c>
      <c r="AE627">
        <f t="shared" si="86"/>
        <v>625</v>
      </c>
      <c r="AF627">
        <f t="shared" si="87"/>
        <v>624</v>
      </c>
      <c r="AG627">
        <f t="shared" si="81"/>
        <v>51.524819999999636</v>
      </c>
      <c r="AH627">
        <f t="shared" si="82"/>
        <v>2654.8070760323626</v>
      </c>
      <c r="AI627">
        <f t="shared" si="83"/>
        <v>3.1467702401303455</v>
      </c>
      <c r="AJ627">
        <f t="shared" si="84"/>
        <v>4.6112646256582535</v>
      </c>
      <c r="AK627">
        <f t="shared" si="85"/>
        <v>389376</v>
      </c>
      <c r="AL627">
        <f t="shared" si="88"/>
        <v>4704.16561</v>
      </c>
      <c r="AM627">
        <f t="shared" si="89"/>
        <v>10.071820000000116</v>
      </c>
    </row>
    <row r="628" spans="1:39" x14ac:dyDescent="0.55000000000000004">
      <c r="A628">
        <v>1777284902</v>
      </c>
      <c r="B628" t="s">
        <v>72</v>
      </c>
      <c r="C628" t="s">
        <v>73</v>
      </c>
      <c r="D628">
        <v>4705.08</v>
      </c>
      <c r="E628">
        <v>4518.5928199999998</v>
      </c>
      <c r="F628">
        <v>4596.0559499999999</v>
      </c>
      <c r="G628">
        <v>4755.40355</v>
      </c>
      <c r="H628">
        <v>4792.7697200000002</v>
      </c>
      <c r="Q628">
        <v>4650.1175700000003</v>
      </c>
      <c r="R628">
        <v>4679.4808700000003</v>
      </c>
      <c r="S628">
        <v>4706.0696399999997</v>
      </c>
      <c r="V628">
        <v>4615.1778000000004</v>
      </c>
      <c r="W628">
        <v>4581.6127999999999</v>
      </c>
      <c r="AB628">
        <v>4705.0098600000001</v>
      </c>
      <c r="AC628">
        <v>4704.5680499999999</v>
      </c>
      <c r="AD628">
        <v>0</v>
      </c>
      <c r="AE628">
        <f t="shared" si="86"/>
        <v>626</v>
      </c>
      <c r="AF628">
        <f t="shared" si="87"/>
        <v>625</v>
      </c>
      <c r="AG628">
        <f t="shared" si="81"/>
        <v>54.962429999999586</v>
      </c>
      <c r="AH628">
        <f t="shared" si="82"/>
        <v>3020.8687115048542</v>
      </c>
      <c r="AI628">
        <f t="shared" si="83"/>
        <v>3.8195602149437851</v>
      </c>
      <c r="AJ628">
        <f t="shared" si="84"/>
        <v>5.970597773862381</v>
      </c>
      <c r="AK628">
        <f t="shared" si="85"/>
        <v>390625</v>
      </c>
      <c r="AL628">
        <f t="shared" si="88"/>
        <v>4704.16561</v>
      </c>
      <c r="AM628" t="str">
        <f t="shared" si="89"/>
        <v/>
      </c>
    </row>
    <row r="629" spans="1:39" x14ac:dyDescent="0.55000000000000004">
      <c r="A629">
        <v>1777285802</v>
      </c>
      <c r="B629" t="s">
        <v>72</v>
      </c>
      <c r="C629" t="s">
        <v>73</v>
      </c>
      <c r="D629">
        <v>4709.07</v>
      </c>
      <c r="E629">
        <v>4518.5928199999998</v>
      </c>
      <c r="F629">
        <v>4596.0559499999999</v>
      </c>
      <c r="G629">
        <v>4755.40355</v>
      </c>
      <c r="H629">
        <v>4792.7697200000002</v>
      </c>
      <c r="Q629">
        <v>4649.8499700000002</v>
      </c>
      <c r="R629">
        <v>4679.2132700000002</v>
      </c>
      <c r="S629">
        <v>4705.8020399999996</v>
      </c>
      <c r="V629">
        <v>4614.9102000000003</v>
      </c>
      <c r="W629">
        <v>4581.3451999999997</v>
      </c>
      <c r="AB629">
        <v>4705.8585899999998</v>
      </c>
      <c r="AC629">
        <v>4705.2133199999998</v>
      </c>
      <c r="AD629">
        <v>0</v>
      </c>
      <c r="AE629">
        <f t="shared" si="86"/>
        <v>627</v>
      </c>
      <c r="AF629">
        <f t="shared" si="87"/>
        <v>626</v>
      </c>
      <c r="AG629">
        <f t="shared" si="81"/>
        <v>59.220029999999497</v>
      </c>
      <c r="AH629">
        <f t="shared" si="82"/>
        <v>3507.0119532008403</v>
      </c>
      <c r="AI629">
        <f t="shared" si="83"/>
        <v>4.7777283552705043</v>
      </c>
      <c r="AJ629">
        <f t="shared" si="84"/>
        <v>8.0469000105856079</v>
      </c>
      <c r="AK629">
        <f t="shared" si="85"/>
        <v>391876</v>
      </c>
      <c r="AL629">
        <f t="shared" si="88"/>
        <v>4704.16561</v>
      </c>
      <c r="AM629" t="str">
        <f t="shared" si="89"/>
        <v/>
      </c>
    </row>
    <row r="630" spans="1:39" x14ac:dyDescent="0.55000000000000004">
      <c r="A630">
        <v>1777286702</v>
      </c>
      <c r="B630" t="s">
        <v>72</v>
      </c>
      <c r="C630" t="s">
        <v>73</v>
      </c>
      <c r="D630">
        <v>4708.79</v>
      </c>
      <c r="E630">
        <v>4518.5928199999998</v>
      </c>
      <c r="F630">
        <v>4596.0559499999999</v>
      </c>
      <c r="G630">
        <v>4755.40355</v>
      </c>
      <c r="H630">
        <v>4792.7697200000002</v>
      </c>
      <c r="Q630">
        <v>4649.5823600000003</v>
      </c>
      <c r="R630">
        <v>4678.9456600000003</v>
      </c>
      <c r="S630">
        <v>4705.5344299999997</v>
      </c>
      <c r="V630">
        <v>4614.6425900000004</v>
      </c>
      <c r="W630">
        <v>4581.0775999999996</v>
      </c>
      <c r="AB630">
        <v>4706.42238</v>
      </c>
      <c r="AC630">
        <v>4705.8178500000004</v>
      </c>
      <c r="AD630">
        <v>0</v>
      </c>
      <c r="AE630">
        <f t="shared" si="86"/>
        <v>628</v>
      </c>
      <c r="AF630">
        <f t="shared" si="87"/>
        <v>627</v>
      </c>
      <c r="AG630">
        <f t="shared" si="81"/>
        <v>59.207639999999628</v>
      </c>
      <c r="AH630">
        <f t="shared" si="82"/>
        <v>3505.5446343695562</v>
      </c>
      <c r="AI630">
        <f t="shared" si="83"/>
        <v>4.7747301972046721</v>
      </c>
      <c r="AJ630">
        <f t="shared" si="84"/>
        <v>8.0401678420042835</v>
      </c>
      <c r="AK630">
        <f t="shared" si="85"/>
        <v>393129</v>
      </c>
      <c r="AL630">
        <f t="shared" si="88"/>
        <v>4704.16561</v>
      </c>
      <c r="AM630" t="str">
        <f t="shared" si="89"/>
        <v/>
      </c>
    </row>
    <row r="631" spans="1:39" x14ac:dyDescent="0.55000000000000004">
      <c r="A631">
        <v>1777287602</v>
      </c>
      <c r="B631" t="s">
        <v>72</v>
      </c>
      <c r="C631" t="s">
        <v>73</v>
      </c>
      <c r="D631">
        <v>4704.04</v>
      </c>
      <c r="E631">
        <v>4518.5928199999998</v>
      </c>
      <c r="F631">
        <v>4596.0559499999999</v>
      </c>
      <c r="G631">
        <v>4755.40355</v>
      </c>
      <c r="H631">
        <v>4792.7697200000002</v>
      </c>
      <c r="Q631">
        <v>4649.3147600000002</v>
      </c>
      <c r="R631">
        <v>4678.6780600000002</v>
      </c>
      <c r="S631">
        <v>4705.2668299999996</v>
      </c>
      <c r="V631">
        <v>4614.3749900000003</v>
      </c>
      <c r="W631">
        <v>4580.8099899999997</v>
      </c>
      <c r="AB631">
        <v>4706.5976700000001</v>
      </c>
      <c r="AC631">
        <v>4706.2077600000002</v>
      </c>
      <c r="AD631">
        <v>0</v>
      </c>
      <c r="AE631">
        <f t="shared" si="86"/>
        <v>629</v>
      </c>
      <c r="AF631">
        <f t="shared" si="87"/>
        <v>628</v>
      </c>
      <c r="AG631">
        <f t="shared" si="81"/>
        <v>54.725239999999758</v>
      </c>
      <c r="AH631">
        <f t="shared" si="82"/>
        <v>2994.8518930575733</v>
      </c>
      <c r="AI631">
        <f t="shared" si="83"/>
        <v>3.770323448628345</v>
      </c>
      <c r="AJ631">
        <f t="shared" si="84"/>
        <v>5.8681987170137671</v>
      </c>
      <c r="AK631">
        <f t="shared" si="85"/>
        <v>394384</v>
      </c>
      <c r="AL631">
        <f t="shared" si="88"/>
        <v>4704.16561</v>
      </c>
      <c r="AM631" t="str">
        <f t="shared" si="89"/>
        <v/>
      </c>
    </row>
    <row r="632" spans="1:39" x14ac:dyDescent="0.55000000000000004">
      <c r="A632">
        <v>1777288502</v>
      </c>
      <c r="B632" t="s">
        <v>72</v>
      </c>
      <c r="C632" t="s">
        <v>73</v>
      </c>
      <c r="D632">
        <v>4705.21</v>
      </c>
      <c r="E632">
        <v>4518.5928199999998</v>
      </c>
      <c r="F632">
        <v>4596.0559499999999</v>
      </c>
      <c r="G632">
        <v>4755.40355</v>
      </c>
      <c r="H632">
        <v>4792.7697200000002</v>
      </c>
      <c r="Q632">
        <v>4649.0471500000003</v>
      </c>
      <c r="R632">
        <v>4678.4104500000003</v>
      </c>
      <c r="S632">
        <v>4704.9992199999997</v>
      </c>
      <c r="V632">
        <v>4614.1073800000004</v>
      </c>
      <c r="W632">
        <v>4580.5423899999996</v>
      </c>
      <c r="AB632">
        <v>4706.4577600000002</v>
      </c>
      <c r="AC632">
        <v>4706.3327600000002</v>
      </c>
      <c r="AD632">
        <v>0</v>
      </c>
      <c r="AE632">
        <f t="shared" si="86"/>
        <v>630</v>
      </c>
      <c r="AF632">
        <f t="shared" si="87"/>
        <v>629</v>
      </c>
      <c r="AG632">
        <f t="shared" si="81"/>
        <v>56.162849999999708</v>
      </c>
      <c r="AH632">
        <f t="shared" si="82"/>
        <v>3154.265720122467</v>
      </c>
      <c r="AI632">
        <f t="shared" si="83"/>
        <v>4.0753320382841043</v>
      </c>
      <c r="AJ632">
        <f t="shared" si="84"/>
        <v>6.5095454702695159</v>
      </c>
      <c r="AK632">
        <f t="shared" si="85"/>
        <v>395641</v>
      </c>
      <c r="AL632">
        <f t="shared" si="88"/>
        <v>4704.16561</v>
      </c>
      <c r="AM632" t="str">
        <f t="shared" si="89"/>
        <v/>
      </c>
    </row>
    <row r="633" spans="1:39" x14ac:dyDescent="0.55000000000000004">
      <c r="A633">
        <v>1777289402</v>
      </c>
      <c r="B633" t="s">
        <v>72</v>
      </c>
      <c r="C633" t="s">
        <v>73</v>
      </c>
      <c r="D633">
        <v>4702.72</v>
      </c>
      <c r="E633">
        <v>4518.5928199999998</v>
      </c>
      <c r="F633">
        <v>4596.0559499999999</v>
      </c>
      <c r="G633">
        <v>4755.40355</v>
      </c>
      <c r="H633">
        <v>4792.7697200000002</v>
      </c>
      <c r="Q633">
        <v>4648.7795500000002</v>
      </c>
      <c r="R633">
        <v>4678.1428500000002</v>
      </c>
      <c r="S633">
        <v>4704.7316199999996</v>
      </c>
      <c r="V633">
        <v>4613.8397800000002</v>
      </c>
      <c r="W633">
        <v>4580.2747799999997</v>
      </c>
      <c r="AB633">
        <v>4705.9930400000003</v>
      </c>
      <c r="AC633">
        <v>4706.1629000000003</v>
      </c>
      <c r="AD633">
        <v>1</v>
      </c>
      <c r="AE633">
        <f t="shared" si="86"/>
        <v>631</v>
      </c>
      <c r="AF633">
        <f t="shared" si="87"/>
        <v>630</v>
      </c>
      <c r="AG633">
        <f t="shared" si="81"/>
        <v>53.940450000000055</v>
      </c>
      <c r="AH633">
        <f t="shared" si="82"/>
        <v>2909.5721462025058</v>
      </c>
      <c r="AI633">
        <f t="shared" si="83"/>
        <v>3.6104329182960906</v>
      </c>
      <c r="AJ633">
        <f t="shared" si="84"/>
        <v>5.5387577872791995</v>
      </c>
      <c r="AK633">
        <f t="shared" si="85"/>
        <v>396900</v>
      </c>
      <c r="AL633">
        <f t="shared" si="88"/>
        <v>4705.9930400000003</v>
      </c>
      <c r="AM633">
        <f t="shared" si="89"/>
        <v>1.8274300000002768</v>
      </c>
    </row>
    <row r="634" spans="1:39" x14ac:dyDescent="0.55000000000000004">
      <c r="A634">
        <v>1777290302</v>
      </c>
      <c r="B634" t="s">
        <v>72</v>
      </c>
      <c r="C634" t="s">
        <v>73</v>
      </c>
      <c r="D634">
        <v>4704.8900000000003</v>
      </c>
      <c r="E634">
        <v>4518.5928199999998</v>
      </c>
      <c r="F634">
        <v>4596.0559499999999</v>
      </c>
      <c r="G634">
        <v>4755.40355</v>
      </c>
      <c r="H634">
        <v>4792.7697200000002</v>
      </c>
      <c r="Q634">
        <v>4648.5119500000001</v>
      </c>
      <c r="R634">
        <v>4677.8752500000001</v>
      </c>
      <c r="S634">
        <v>4704.4640200000003</v>
      </c>
      <c r="V634">
        <v>4613.5721800000001</v>
      </c>
      <c r="W634">
        <v>4580.0071799999996</v>
      </c>
      <c r="AB634">
        <v>4705.3014999999996</v>
      </c>
      <c r="AC634">
        <v>4705.7322000000004</v>
      </c>
      <c r="AD634">
        <v>0</v>
      </c>
      <c r="AE634">
        <f t="shared" si="86"/>
        <v>632</v>
      </c>
      <c r="AF634">
        <f t="shared" si="87"/>
        <v>631</v>
      </c>
      <c r="AG634">
        <f t="shared" si="81"/>
        <v>56.378050000000258</v>
      </c>
      <c r="AH634">
        <f t="shared" si="82"/>
        <v>3178.4845218025289</v>
      </c>
      <c r="AI634">
        <f t="shared" si="83"/>
        <v>4.1223582951860243</v>
      </c>
      <c r="AJ634">
        <f t="shared" si="84"/>
        <v>6.6098912527209297</v>
      </c>
      <c r="AK634">
        <f t="shared" si="85"/>
        <v>398161</v>
      </c>
      <c r="AL634">
        <f t="shared" si="88"/>
        <v>4705.9930400000003</v>
      </c>
      <c r="AM634" t="str">
        <f t="shared" si="89"/>
        <v/>
      </c>
    </row>
    <row r="635" spans="1:39" x14ac:dyDescent="0.55000000000000004">
      <c r="A635">
        <v>1777291202</v>
      </c>
      <c r="B635" t="s">
        <v>72</v>
      </c>
      <c r="C635" t="s">
        <v>73</v>
      </c>
      <c r="D635">
        <v>4708.83</v>
      </c>
      <c r="E635">
        <v>4518.5928199999998</v>
      </c>
      <c r="F635">
        <v>4596.0559499999999</v>
      </c>
      <c r="G635">
        <v>4755.40355</v>
      </c>
      <c r="H635">
        <v>4792.7697200000002</v>
      </c>
      <c r="Q635">
        <v>4648.2443400000002</v>
      </c>
      <c r="R635">
        <v>4677.6076400000002</v>
      </c>
      <c r="S635">
        <v>4704.1964099999996</v>
      </c>
      <c r="V635">
        <v>4613.3045700000002</v>
      </c>
      <c r="W635">
        <v>4579.7395800000004</v>
      </c>
      <c r="AB635">
        <v>4704.3611799999999</v>
      </c>
      <c r="AC635">
        <v>4705.0466900000001</v>
      </c>
      <c r="AD635">
        <v>0</v>
      </c>
      <c r="AE635">
        <f t="shared" si="86"/>
        <v>633</v>
      </c>
      <c r="AF635">
        <f t="shared" si="87"/>
        <v>632</v>
      </c>
      <c r="AG635">
        <f t="shared" si="81"/>
        <v>60.585659999999734</v>
      </c>
      <c r="AH635">
        <f t="shared" si="82"/>
        <v>3670.6221976355678</v>
      </c>
      <c r="AI635">
        <f t="shared" si="83"/>
        <v>5.115936136316602</v>
      </c>
      <c r="AJ635">
        <f t="shared" si="84"/>
        <v>8.8152267085332472</v>
      </c>
      <c r="AK635">
        <f t="shared" si="85"/>
        <v>399424</v>
      </c>
      <c r="AL635">
        <f t="shared" si="88"/>
        <v>4705.9930400000003</v>
      </c>
      <c r="AM635" t="str">
        <f t="shared" si="89"/>
        <v/>
      </c>
    </row>
    <row r="636" spans="1:39" x14ac:dyDescent="0.55000000000000004">
      <c r="A636">
        <v>1777292102</v>
      </c>
      <c r="B636" t="s">
        <v>72</v>
      </c>
      <c r="C636" t="s">
        <v>73</v>
      </c>
      <c r="D636">
        <v>4707.09</v>
      </c>
      <c r="E636">
        <v>4518.5928199999998</v>
      </c>
      <c r="F636">
        <v>4596.0559499999999</v>
      </c>
      <c r="G636">
        <v>4755.40355</v>
      </c>
      <c r="H636">
        <v>4792.7697200000002</v>
      </c>
      <c r="Q636">
        <v>4647.9767400000001</v>
      </c>
      <c r="R636">
        <v>4677.34004</v>
      </c>
      <c r="S636">
        <v>4703.9288100000003</v>
      </c>
      <c r="V636">
        <v>4613.0369700000001</v>
      </c>
      <c r="W636">
        <v>4579.4719699999996</v>
      </c>
      <c r="AB636">
        <v>4703.1131699999996</v>
      </c>
      <c r="AC636">
        <v>4704.0799299999999</v>
      </c>
      <c r="AD636">
        <v>0</v>
      </c>
      <c r="AE636">
        <f t="shared" si="86"/>
        <v>634</v>
      </c>
      <c r="AF636">
        <f t="shared" si="87"/>
        <v>633</v>
      </c>
      <c r="AG636">
        <f t="shared" si="81"/>
        <v>59.113260000000082</v>
      </c>
      <c r="AH636">
        <f t="shared" si="82"/>
        <v>3494.3775078276099</v>
      </c>
      <c r="AI636">
        <f t="shared" si="83"/>
        <v>4.7519330847334791</v>
      </c>
      <c r="AJ636">
        <f t="shared" si="84"/>
        <v>7.9890245405497859</v>
      </c>
      <c r="AK636">
        <f t="shared" si="85"/>
        <v>400689</v>
      </c>
      <c r="AL636">
        <f t="shared" si="88"/>
        <v>4705.9930400000003</v>
      </c>
      <c r="AM636" t="str">
        <f t="shared" si="89"/>
        <v/>
      </c>
    </row>
    <row r="637" spans="1:39" x14ac:dyDescent="0.55000000000000004">
      <c r="A637">
        <v>1777293002</v>
      </c>
      <c r="B637" t="s">
        <v>72</v>
      </c>
      <c r="C637" t="s">
        <v>73</v>
      </c>
      <c r="D637">
        <v>4698.8100000000004</v>
      </c>
      <c r="E637">
        <v>4518.5928199999998</v>
      </c>
      <c r="F637">
        <v>4596.0559499999999</v>
      </c>
      <c r="G637">
        <v>4755.40355</v>
      </c>
      <c r="H637">
        <v>4792.7697200000002</v>
      </c>
      <c r="Q637">
        <v>4647.7091300000002</v>
      </c>
      <c r="R637">
        <v>4677.0724300000002</v>
      </c>
      <c r="S637">
        <v>4703.6611999999996</v>
      </c>
      <c r="V637">
        <v>4612.7693600000002</v>
      </c>
      <c r="W637">
        <v>4579.2043700000004</v>
      </c>
      <c r="AB637">
        <v>4701.65798</v>
      </c>
      <c r="AC637">
        <v>4702.86895</v>
      </c>
      <c r="AD637">
        <v>0</v>
      </c>
      <c r="AE637">
        <f t="shared" si="86"/>
        <v>635</v>
      </c>
      <c r="AF637">
        <f t="shared" si="87"/>
        <v>634</v>
      </c>
      <c r="AG637">
        <f t="shared" si="81"/>
        <v>51.100870000000214</v>
      </c>
      <c r="AH637">
        <f t="shared" si="82"/>
        <v>2611.2989147569219</v>
      </c>
      <c r="AI637">
        <f t="shared" si="83"/>
        <v>3.0697320381410806</v>
      </c>
      <c r="AJ637">
        <f t="shared" si="84"/>
        <v>4.4613602057154385</v>
      </c>
      <c r="AK637">
        <f t="shared" si="85"/>
        <v>401956</v>
      </c>
      <c r="AL637">
        <f t="shared" si="88"/>
        <v>4705.9930400000003</v>
      </c>
      <c r="AM637" t="str">
        <f t="shared" si="89"/>
        <v/>
      </c>
    </row>
    <row r="638" spans="1:39" x14ac:dyDescent="0.55000000000000004">
      <c r="A638">
        <v>1777293902</v>
      </c>
      <c r="B638" t="s">
        <v>72</v>
      </c>
      <c r="C638" t="s">
        <v>73</v>
      </c>
      <c r="D638">
        <v>4699.24</v>
      </c>
      <c r="E638">
        <v>4518.5928199999998</v>
      </c>
      <c r="F638">
        <v>4596.0559499999999</v>
      </c>
      <c r="G638">
        <v>4755.40355</v>
      </c>
      <c r="H638">
        <v>4792.7697200000002</v>
      </c>
      <c r="Q638">
        <v>4647.4415300000001</v>
      </c>
      <c r="R638">
        <v>4676.80483</v>
      </c>
      <c r="S638">
        <v>4703.3936000000003</v>
      </c>
      <c r="V638">
        <v>4612.5017600000001</v>
      </c>
      <c r="W638">
        <v>4578.9367599999996</v>
      </c>
      <c r="AB638">
        <v>4700.2696699999997</v>
      </c>
      <c r="AC638">
        <v>4701.5693099999999</v>
      </c>
      <c r="AD638">
        <v>0</v>
      </c>
      <c r="AE638">
        <f t="shared" si="86"/>
        <v>636</v>
      </c>
      <c r="AF638">
        <f t="shared" si="87"/>
        <v>635</v>
      </c>
      <c r="AG638">
        <f t="shared" si="81"/>
        <v>51.798469999999725</v>
      </c>
      <c r="AH638">
        <f t="shared" si="82"/>
        <v>2683.0814943408714</v>
      </c>
      <c r="AI638">
        <f t="shared" si="83"/>
        <v>3.1971747932488479</v>
      </c>
      <c r="AJ638">
        <f t="shared" si="84"/>
        <v>4.7100101215444061</v>
      </c>
      <c r="AK638">
        <f t="shared" si="85"/>
        <v>403225</v>
      </c>
      <c r="AL638">
        <f t="shared" si="88"/>
        <v>4705.9930400000003</v>
      </c>
      <c r="AM638" t="str">
        <f t="shared" si="89"/>
        <v/>
      </c>
    </row>
    <row r="639" spans="1:39" x14ac:dyDescent="0.55000000000000004">
      <c r="A639">
        <v>1777294802</v>
      </c>
      <c r="B639" t="s">
        <v>72</v>
      </c>
      <c r="C639" t="s">
        <v>73</v>
      </c>
      <c r="D639">
        <v>4695.99</v>
      </c>
      <c r="E639">
        <v>4518.5928199999998</v>
      </c>
      <c r="F639">
        <v>4596.0559499999999</v>
      </c>
      <c r="G639">
        <v>4755.40355</v>
      </c>
      <c r="H639">
        <v>4792.7697200000002</v>
      </c>
      <c r="Q639">
        <v>4647.1739299999999</v>
      </c>
      <c r="R639">
        <v>4676.5372299999999</v>
      </c>
      <c r="S639">
        <v>4703.1260000000002</v>
      </c>
      <c r="V639">
        <v>4612.23416</v>
      </c>
      <c r="W639">
        <v>4578.6691600000004</v>
      </c>
      <c r="AB639">
        <v>4698.9100399999998</v>
      </c>
      <c r="AC639">
        <v>4700.2396799999997</v>
      </c>
      <c r="AD639">
        <v>0</v>
      </c>
      <c r="AE639">
        <f t="shared" si="86"/>
        <v>637</v>
      </c>
      <c r="AF639">
        <f t="shared" si="87"/>
        <v>636</v>
      </c>
      <c r="AG639">
        <f t="shared" si="81"/>
        <v>48.816069999999854</v>
      </c>
      <c r="AH639">
        <f t="shared" si="82"/>
        <v>2383.0086902448857</v>
      </c>
      <c r="AI639">
        <f t="shared" si="83"/>
        <v>2.6761103867507976</v>
      </c>
      <c r="AJ639">
        <f t="shared" si="84"/>
        <v>3.7153981873215853</v>
      </c>
      <c r="AK639">
        <f t="shared" si="85"/>
        <v>404496</v>
      </c>
      <c r="AL639">
        <f t="shared" si="88"/>
        <v>4705.9930400000003</v>
      </c>
      <c r="AM639" t="str">
        <f t="shared" si="89"/>
        <v/>
      </c>
    </row>
    <row r="640" spans="1:39" x14ac:dyDescent="0.55000000000000004">
      <c r="A640">
        <v>1777295702</v>
      </c>
      <c r="B640" t="s">
        <v>72</v>
      </c>
      <c r="C640" t="s">
        <v>73</v>
      </c>
      <c r="D640">
        <v>4699.95</v>
      </c>
      <c r="E640">
        <v>4518.5928199999998</v>
      </c>
      <c r="F640">
        <v>4596.0559499999999</v>
      </c>
      <c r="G640">
        <v>4755.40355</v>
      </c>
      <c r="H640">
        <v>4792.7697200000002</v>
      </c>
      <c r="Q640">
        <v>4646.9063200000001</v>
      </c>
      <c r="R640">
        <v>4676.26962</v>
      </c>
      <c r="S640">
        <v>4702.8583900000003</v>
      </c>
      <c r="V640">
        <v>4611.9665500000001</v>
      </c>
      <c r="W640">
        <v>4578.4015600000002</v>
      </c>
      <c r="AB640">
        <v>4697.5801600000004</v>
      </c>
      <c r="AC640">
        <v>4698.9099200000001</v>
      </c>
      <c r="AD640">
        <v>0</v>
      </c>
      <c r="AE640">
        <f t="shared" si="86"/>
        <v>638</v>
      </c>
      <c r="AF640">
        <f t="shared" si="87"/>
        <v>637</v>
      </c>
      <c r="AG640">
        <f t="shared" si="81"/>
        <v>53.043679999999767</v>
      </c>
      <c r="AH640">
        <f t="shared" si="82"/>
        <v>2813.6319879423754</v>
      </c>
      <c r="AI640">
        <f t="shared" si="83"/>
        <v>3.4333377105707292</v>
      </c>
      <c r="AJ640">
        <f t="shared" si="84"/>
        <v>5.1795102664916408</v>
      </c>
      <c r="AK640">
        <f t="shared" si="85"/>
        <v>405769</v>
      </c>
      <c r="AL640">
        <f t="shared" si="88"/>
        <v>4705.9930400000003</v>
      </c>
      <c r="AM640" t="str">
        <f t="shared" si="89"/>
        <v/>
      </c>
    </row>
    <row r="641" spans="1:39" x14ac:dyDescent="0.55000000000000004">
      <c r="A641">
        <v>1777296602</v>
      </c>
      <c r="B641" t="s">
        <v>72</v>
      </c>
      <c r="C641" t="s">
        <v>73</v>
      </c>
      <c r="D641">
        <v>4693.29</v>
      </c>
      <c r="E641">
        <v>4518.5928199999998</v>
      </c>
      <c r="F641">
        <v>4596.0559499999999</v>
      </c>
      <c r="G641">
        <v>4755.40355</v>
      </c>
      <c r="H641">
        <v>4792.7697200000002</v>
      </c>
      <c r="Q641">
        <v>4646.6387199999999</v>
      </c>
      <c r="R641">
        <v>4676.0020199999999</v>
      </c>
      <c r="S641">
        <v>4702.5907900000002</v>
      </c>
      <c r="V641">
        <v>4611.69895</v>
      </c>
      <c r="W641">
        <v>4578.1339500000004</v>
      </c>
      <c r="AB641">
        <v>4696.0241400000004</v>
      </c>
      <c r="AC641">
        <v>4697.4670299999998</v>
      </c>
      <c r="AD641">
        <v>0</v>
      </c>
      <c r="AE641">
        <f t="shared" si="86"/>
        <v>639</v>
      </c>
      <c r="AF641">
        <f t="shared" si="87"/>
        <v>638</v>
      </c>
      <c r="AG641">
        <f t="shared" si="81"/>
        <v>46.651280000000042</v>
      </c>
      <c r="AH641">
        <f t="shared" si="82"/>
        <v>2176.3419256384041</v>
      </c>
      <c r="AI641">
        <f t="shared" si="83"/>
        <v>2.3356420054837996</v>
      </c>
      <c r="AJ641">
        <f t="shared" si="84"/>
        <v>3.0989057630761319</v>
      </c>
      <c r="AK641">
        <f t="shared" si="85"/>
        <v>407044</v>
      </c>
      <c r="AL641">
        <f t="shared" si="88"/>
        <v>4705.9930400000003</v>
      </c>
      <c r="AM641" t="str">
        <f t="shared" si="89"/>
        <v/>
      </c>
    </row>
    <row r="642" spans="1:39" x14ac:dyDescent="0.55000000000000004">
      <c r="A642">
        <v>1777297502</v>
      </c>
      <c r="B642" t="s">
        <v>72</v>
      </c>
      <c r="C642" t="s">
        <v>73</v>
      </c>
      <c r="D642">
        <v>4696.1000000000004</v>
      </c>
      <c r="E642">
        <v>4518.5928199999998</v>
      </c>
      <c r="F642">
        <v>4596.0559499999999</v>
      </c>
      <c r="G642">
        <v>4755.40355</v>
      </c>
      <c r="H642">
        <v>4792.7697200000002</v>
      </c>
      <c r="Q642">
        <v>4646.37111</v>
      </c>
      <c r="R642">
        <v>4675.73441</v>
      </c>
      <c r="S642">
        <v>4702.3231800000003</v>
      </c>
      <c r="V642">
        <v>4611.4313400000001</v>
      </c>
      <c r="W642">
        <v>4577.8663500000002</v>
      </c>
      <c r="AB642">
        <v>4694.2444299999997</v>
      </c>
      <c r="AC642">
        <v>4695.8557300000002</v>
      </c>
      <c r="AD642">
        <v>0</v>
      </c>
      <c r="AE642">
        <f t="shared" si="86"/>
        <v>640</v>
      </c>
      <c r="AF642">
        <f t="shared" si="87"/>
        <v>639</v>
      </c>
      <c r="AG642">
        <f t="shared" si="81"/>
        <v>49.72889000000032</v>
      </c>
      <c r="AH642">
        <f t="shared" si="82"/>
        <v>2472.9625006321317</v>
      </c>
      <c r="AI642">
        <f t="shared" si="83"/>
        <v>2.8290581925682998</v>
      </c>
      <c r="AJ642">
        <f t="shared" si="84"/>
        <v>4.0011899971445004</v>
      </c>
      <c r="AK642">
        <f t="shared" si="85"/>
        <v>408321</v>
      </c>
      <c r="AL642">
        <f t="shared" si="88"/>
        <v>4705.9930400000003</v>
      </c>
      <c r="AM642" t="str">
        <f t="shared" si="89"/>
        <v/>
      </c>
    </row>
    <row r="643" spans="1:39" x14ac:dyDescent="0.55000000000000004">
      <c r="A643">
        <v>1777298402</v>
      </c>
      <c r="B643" t="s">
        <v>72</v>
      </c>
      <c r="C643" t="s">
        <v>73</v>
      </c>
      <c r="D643">
        <v>4692.58</v>
      </c>
      <c r="E643">
        <v>4518.5928199999998</v>
      </c>
      <c r="F643">
        <v>4596.0559499999999</v>
      </c>
      <c r="G643">
        <v>4755.40355</v>
      </c>
      <c r="H643">
        <v>4792.7697200000002</v>
      </c>
      <c r="Q643">
        <v>4646.1035099999999</v>
      </c>
      <c r="R643">
        <v>4675.4668099999999</v>
      </c>
      <c r="S643">
        <v>4702.0555800000002</v>
      </c>
      <c r="V643">
        <v>4611.16374</v>
      </c>
      <c r="W643">
        <v>4577.5987400000004</v>
      </c>
      <c r="AB643">
        <v>4692.03017</v>
      </c>
      <c r="AC643">
        <v>4693.9429499999997</v>
      </c>
      <c r="AD643">
        <v>0</v>
      </c>
      <c r="AE643">
        <f t="shared" si="86"/>
        <v>641</v>
      </c>
      <c r="AF643">
        <f t="shared" si="87"/>
        <v>640</v>
      </c>
      <c r="AG643">
        <f t="shared" ref="AG643:AG706" si="90">D643-Q643</f>
        <v>46.476490000000013</v>
      </c>
      <c r="AH643">
        <f t="shared" ref="AH643:AH706" si="91">AG643^2</f>
        <v>2160.0641227201013</v>
      </c>
      <c r="AI643">
        <f t="shared" ref="AI643:AI706" si="92">(AG643/STDEV($AG$3:$AG$1137))^3</f>
        <v>2.3094871486288868</v>
      </c>
      <c r="AJ643">
        <f t="shared" ref="AJ643:AJ706" si="93">(AG643/STDEV($AG$3:$AG$1137))^4</f>
        <v>3.05272300772917</v>
      </c>
      <c r="AK643">
        <f t="shared" ref="AK643:AK706" si="94">AF643^2</f>
        <v>409600</v>
      </c>
      <c r="AL643">
        <f t="shared" si="88"/>
        <v>4705.9930400000003</v>
      </c>
      <c r="AM643" t="str">
        <f t="shared" si="89"/>
        <v/>
      </c>
    </row>
    <row r="644" spans="1:39" x14ac:dyDescent="0.55000000000000004">
      <c r="A644">
        <v>1777299302</v>
      </c>
      <c r="B644" t="s">
        <v>72</v>
      </c>
      <c r="C644" t="s">
        <v>73</v>
      </c>
      <c r="D644">
        <v>4689.03</v>
      </c>
      <c r="E644">
        <v>4518.5928199999998</v>
      </c>
      <c r="F644">
        <v>4596.0559499999999</v>
      </c>
      <c r="G644">
        <v>4755.40355</v>
      </c>
      <c r="H644">
        <v>4792.7697200000002</v>
      </c>
      <c r="Q644">
        <v>4645.8359099999998</v>
      </c>
      <c r="R644">
        <v>4675.1992</v>
      </c>
      <c r="S644">
        <v>4701.7879800000001</v>
      </c>
      <c r="V644">
        <v>4610.8961399999998</v>
      </c>
      <c r="W644">
        <v>4577.3311400000002</v>
      </c>
      <c r="AB644">
        <v>4689.41482</v>
      </c>
      <c r="AC644">
        <v>4691.6788800000004</v>
      </c>
      <c r="AD644">
        <v>0</v>
      </c>
      <c r="AE644">
        <f t="shared" ref="AE644:AE707" si="95">AE643+1</f>
        <v>642</v>
      </c>
      <c r="AF644">
        <f t="shared" ref="AF644:AF707" si="96">AF643+1</f>
        <v>641</v>
      </c>
      <c r="AG644">
        <f t="shared" si="90"/>
        <v>43.19408999999996</v>
      </c>
      <c r="AH644">
        <f t="shared" si="91"/>
        <v>1865.7294109280965</v>
      </c>
      <c r="AI644">
        <f t="shared" si="92"/>
        <v>1.8539096755891968</v>
      </c>
      <c r="AJ644">
        <f t="shared" si="93"/>
        <v>2.2774635137544652</v>
      </c>
      <c r="AK644">
        <f t="shared" si="94"/>
        <v>410881</v>
      </c>
      <c r="AL644">
        <f t="shared" ref="AL644:AL707" si="97">IF(AD644=1,AB644,IF(AL643&lt;&gt;"",AL643,""))</f>
        <v>4705.9930400000003</v>
      </c>
      <c r="AM644" t="str">
        <f t="shared" ref="AM644:AM707" si="98">IF(AND(AD644=1,AL643&lt;&gt;""),ABS(AB644-AL643),"")</f>
        <v/>
      </c>
    </row>
    <row r="645" spans="1:39" x14ac:dyDescent="0.55000000000000004">
      <c r="A645">
        <v>1777300202</v>
      </c>
      <c r="B645" t="s">
        <v>72</v>
      </c>
      <c r="C645" t="s">
        <v>73</v>
      </c>
      <c r="D645">
        <v>4693.62</v>
      </c>
      <c r="E645">
        <v>4518.5928199999998</v>
      </c>
      <c r="F645">
        <v>4596.0559499999999</v>
      </c>
      <c r="G645">
        <v>4755.40355</v>
      </c>
      <c r="H645">
        <v>4792.7697200000002</v>
      </c>
      <c r="Q645">
        <v>4645.5682999999999</v>
      </c>
      <c r="R645">
        <v>4674.9315999999999</v>
      </c>
      <c r="S645">
        <v>4701.5203700000002</v>
      </c>
      <c r="V645">
        <v>4610.62853</v>
      </c>
      <c r="W645">
        <v>4577.0635400000001</v>
      </c>
      <c r="AB645">
        <v>4686.49539</v>
      </c>
      <c r="AC645">
        <v>4689.0871399999996</v>
      </c>
      <c r="AD645">
        <v>0</v>
      </c>
      <c r="AE645">
        <f t="shared" si="95"/>
        <v>643</v>
      </c>
      <c r="AF645">
        <f t="shared" si="96"/>
        <v>642</v>
      </c>
      <c r="AG645">
        <f t="shared" si="90"/>
        <v>48.051699999999983</v>
      </c>
      <c r="AH645">
        <f t="shared" si="91"/>
        <v>2308.9658728899985</v>
      </c>
      <c r="AI645">
        <f t="shared" si="92"/>
        <v>2.5523595628481242</v>
      </c>
      <c r="AJ645">
        <f t="shared" si="93"/>
        <v>3.4881017141476542</v>
      </c>
      <c r="AK645">
        <f t="shared" si="94"/>
        <v>412164</v>
      </c>
      <c r="AL645">
        <f t="shared" si="97"/>
        <v>4705.9930400000003</v>
      </c>
      <c r="AM645" t="str">
        <f t="shared" si="98"/>
        <v/>
      </c>
    </row>
    <row r="646" spans="1:39" x14ac:dyDescent="0.55000000000000004">
      <c r="A646">
        <v>1777301102</v>
      </c>
      <c r="B646" t="s">
        <v>72</v>
      </c>
      <c r="C646" t="s">
        <v>73</v>
      </c>
      <c r="D646">
        <v>4678.21</v>
      </c>
      <c r="E646">
        <v>4518.5928199999998</v>
      </c>
      <c r="F646">
        <v>4596.0559499999999</v>
      </c>
      <c r="G646">
        <v>4755.40355</v>
      </c>
      <c r="H646">
        <v>4792.7697200000002</v>
      </c>
      <c r="Q646">
        <v>4645.3006999999998</v>
      </c>
      <c r="R646">
        <v>4674.6639999999998</v>
      </c>
      <c r="S646">
        <v>4701.2527700000001</v>
      </c>
      <c r="V646">
        <v>4610.3609299999998</v>
      </c>
      <c r="W646">
        <v>4576.7959300000002</v>
      </c>
      <c r="AB646">
        <v>4683.2239399999999</v>
      </c>
      <c r="AC646">
        <v>4686.1555399999997</v>
      </c>
      <c r="AD646">
        <v>0</v>
      </c>
      <c r="AE646">
        <f t="shared" si="95"/>
        <v>644</v>
      </c>
      <c r="AF646">
        <f t="shared" si="96"/>
        <v>643</v>
      </c>
      <c r="AG646">
        <f t="shared" si="90"/>
        <v>32.909300000000258</v>
      </c>
      <c r="AH646">
        <f t="shared" si="91"/>
        <v>1083.022026490017</v>
      </c>
      <c r="AI646">
        <f t="shared" si="92"/>
        <v>0.81992007259190869</v>
      </c>
      <c r="AJ646">
        <f t="shared" si="93"/>
        <v>0.76741218636116582</v>
      </c>
      <c r="AK646">
        <f t="shared" si="94"/>
        <v>413449</v>
      </c>
      <c r="AL646">
        <f t="shared" si="97"/>
        <v>4705.9930400000003</v>
      </c>
      <c r="AM646" t="str">
        <f t="shared" si="98"/>
        <v/>
      </c>
    </row>
    <row r="647" spans="1:39" x14ac:dyDescent="0.55000000000000004">
      <c r="A647">
        <v>1777302002</v>
      </c>
      <c r="B647" t="s">
        <v>72</v>
      </c>
      <c r="C647" t="s">
        <v>73</v>
      </c>
      <c r="D647">
        <v>4674.6499999999996</v>
      </c>
      <c r="E647">
        <v>4518.5928199999998</v>
      </c>
      <c r="F647">
        <v>4596.0559499999999</v>
      </c>
      <c r="G647">
        <v>4755.40355</v>
      </c>
      <c r="H647">
        <v>4792.7697200000002</v>
      </c>
      <c r="Q647">
        <v>4645.0330899999999</v>
      </c>
      <c r="R647">
        <v>4674.3963899999999</v>
      </c>
      <c r="S647">
        <v>4700.9851600000002</v>
      </c>
      <c r="V647">
        <v>4610.0933199999999</v>
      </c>
      <c r="W647">
        <v>4576.5283300000001</v>
      </c>
      <c r="AA647">
        <v>4667.32</v>
      </c>
      <c r="AB647">
        <v>4680.1839600000003</v>
      </c>
      <c r="AC647">
        <v>4683.16975</v>
      </c>
      <c r="AD647">
        <v>0</v>
      </c>
      <c r="AE647">
        <f t="shared" si="95"/>
        <v>645</v>
      </c>
      <c r="AF647">
        <f t="shared" si="96"/>
        <v>644</v>
      </c>
      <c r="AG647">
        <f t="shared" si="90"/>
        <v>29.616909999999734</v>
      </c>
      <c r="AH647">
        <f t="shared" si="91"/>
        <v>877.16135794808429</v>
      </c>
      <c r="AI647">
        <f t="shared" si="92"/>
        <v>0.59763334547140201</v>
      </c>
      <c r="AJ647">
        <f t="shared" si="93"/>
        <v>0.50339986540565984</v>
      </c>
      <c r="AK647">
        <f t="shared" si="94"/>
        <v>414736</v>
      </c>
      <c r="AL647">
        <f t="shared" si="97"/>
        <v>4705.9930400000003</v>
      </c>
      <c r="AM647" t="str">
        <f t="shared" si="98"/>
        <v/>
      </c>
    </row>
    <row r="648" spans="1:39" x14ac:dyDescent="0.55000000000000004">
      <c r="A648">
        <v>1777302902</v>
      </c>
      <c r="B648" t="s">
        <v>72</v>
      </c>
      <c r="C648" t="s">
        <v>73</v>
      </c>
      <c r="D648">
        <v>4681.21</v>
      </c>
      <c r="E648">
        <v>4518.5928199999998</v>
      </c>
      <c r="F648">
        <v>4596.0559499999999</v>
      </c>
      <c r="G648">
        <v>4755.40355</v>
      </c>
      <c r="H648">
        <v>4792.7697200000002</v>
      </c>
      <c r="Q648">
        <v>4644.7654899999998</v>
      </c>
      <c r="R648">
        <v>4674.1287899999998</v>
      </c>
      <c r="S648">
        <v>4700.71756</v>
      </c>
      <c r="V648">
        <v>4609.8257199999998</v>
      </c>
      <c r="W648">
        <v>4576.2607200000002</v>
      </c>
      <c r="AB648">
        <v>4677.64149</v>
      </c>
      <c r="AC648">
        <v>4680.4056200000005</v>
      </c>
      <c r="AD648">
        <v>0</v>
      </c>
      <c r="AE648">
        <f t="shared" si="95"/>
        <v>646</v>
      </c>
      <c r="AF648">
        <f t="shared" si="96"/>
        <v>645</v>
      </c>
      <c r="AG648">
        <f t="shared" si="90"/>
        <v>36.444510000000264</v>
      </c>
      <c r="AH648">
        <f t="shared" si="91"/>
        <v>1328.2023091401193</v>
      </c>
      <c r="AI648">
        <f t="shared" si="92"/>
        <v>1.1135556630809973</v>
      </c>
      <c r="AJ648">
        <f t="shared" si="93"/>
        <v>1.1542039986031352</v>
      </c>
      <c r="AK648">
        <f t="shared" si="94"/>
        <v>416025</v>
      </c>
      <c r="AL648">
        <f t="shared" si="97"/>
        <v>4705.9930400000003</v>
      </c>
      <c r="AM648" t="str">
        <f t="shared" si="98"/>
        <v/>
      </c>
    </row>
    <row r="649" spans="1:39" x14ac:dyDescent="0.55000000000000004">
      <c r="A649">
        <v>1777303802</v>
      </c>
      <c r="B649" t="s">
        <v>72</v>
      </c>
      <c r="C649" t="s">
        <v>73</v>
      </c>
      <c r="D649">
        <v>4677.6000000000004</v>
      </c>
      <c r="E649">
        <v>4518.5928199999998</v>
      </c>
      <c r="F649">
        <v>4596.0559499999999</v>
      </c>
      <c r="G649">
        <v>4755.40355</v>
      </c>
      <c r="H649">
        <v>4792.7697200000002</v>
      </c>
      <c r="Q649">
        <v>4644.4978899999996</v>
      </c>
      <c r="R649">
        <v>4673.8611799999999</v>
      </c>
      <c r="S649">
        <v>4700.4499599999999</v>
      </c>
      <c r="V649">
        <v>4609.5581199999997</v>
      </c>
      <c r="W649">
        <v>4575.9931200000001</v>
      </c>
      <c r="AB649">
        <v>4675.5619399999996</v>
      </c>
      <c r="AC649">
        <v>4677.9837799999996</v>
      </c>
      <c r="AD649">
        <v>0</v>
      </c>
      <c r="AE649">
        <f t="shared" si="95"/>
        <v>647</v>
      </c>
      <c r="AF649">
        <f t="shared" si="96"/>
        <v>646</v>
      </c>
      <c r="AG649">
        <f t="shared" si="90"/>
        <v>33.102110000000721</v>
      </c>
      <c r="AH649">
        <f t="shared" si="91"/>
        <v>1095.7496864521477</v>
      </c>
      <c r="AI649">
        <f t="shared" si="92"/>
        <v>0.83441598834326858</v>
      </c>
      <c r="AJ649">
        <f t="shared" si="93"/>
        <v>0.78555540795164069</v>
      </c>
      <c r="AK649">
        <f t="shared" si="94"/>
        <v>417316</v>
      </c>
      <c r="AL649">
        <f t="shared" si="97"/>
        <v>4705.9930400000003</v>
      </c>
      <c r="AM649" t="str">
        <f t="shared" si="98"/>
        <v/>
      </c>
    </row>
    <row r="650" spans="1:39" x14ac:dyDescent="0.55000000000000004">
      <c r="A650">
        <v>1777304702</v>
      </c>
      <c r="B650" t="s">
        <v>72</v>
      </c>
      <c r="C650" t="s">
        <v>73</v>
      </c>
      <c r="D650">
        <v>4670.04</v>
      </c>
      <c r="E650">
        <v>4518.5928199999998</v>
      </c>
      <c r="F650">
        <v>4596.0559499999999</v>
      </c>
      <c r="G650">
        <v>4755.40355</v>
      </c>
      <c r="H650">
        <v>4792.7697200000002</v>
      </c>
      <c r="Q650">
        <v>4644.2302799999998</v>
      </c>
      <c r="R650">
        <v>4673.5935799999997</v>
      </c>
      <c r="S650">
        <v>4700.18235</v>
      </c>
      <c r="V650">
        <v>4609.2905099999998</v>
      </c>
      <c r="W650">
        <v>4575.7255100000002</v>
      </c>
      <c r="AB650">
        <v>4674.1433500000003</v>
      </c>
      <c r="AC650">
        <v>4676.0635599999996</v>
      </c>
      <c r="AD650">
        <v>0</v>
      </c>
      <c r="AE650">
        <f t="shared" si="95"/>
        <v>648</v>
      </c>
      <c r="AF650">
        <f t="shared" si="96"/>
        <v>647</v>
      </c>
      <c r="AG650">
        <f t="shared" si="90"/>
        <v>25.809720000000198</v>
      </c>
      <c r="AH650">
        <f t="shared" si="91"/>
        <v>666.14164647841017</v>
      </c>
      <c r="AI650">
        <f t="shared" si="92"/>
        <v>0.39551728117492307</v>
      </c>
      <c r="AJ650">
        <f t="shared" si="93"/>
        <v>0.29032690537406664</v>
      </c>
      <c r="AK650">
        <f t="shared" si="94"/>
        <v>418609</v>
      </c>
      <c r="AL650">
        <f t="shared" si="97"/>
        <v>4705.9930400000003</v>
      </c>
      <c r="AM650" t="str">
        <f t="shared" si="98"/>
        <v/>
      </c>
    </row>
    <row r="651" spans="1:39" x14ac:dyDescent="0.55000000000000004">
      <c r="A651">
        <v>1777305602</v>
      </c>
      <c r="B651" t="s">
        <v>72</v>
      </c>
      <c r="C651" t="s">
        <v>73</v>
      </c>
      <c r="D651">
        <v>4674.71</v>
      </c>
      <c r="E651">
        <v>4518.5928199999998</v>
      </c>
      <c r="F651">
        <v>4596.0559499999999</v>
      </c>
      <c r="G651">
        <v>4755.40355</v>
      </c>
      <c r="H651">
        <v>4792.7697200000002</v>
      </c>
      <c r="Q651">
        <v>4643.9626799999996</v>
      </c>
      <c r="R651">
        <v>4673.3259799999996</v>
      </c>
      <c r="S651">
        <v>4699.9147499999999</v>
      </c>
      <c r="V651">
        <v>4609.0229099999997</v>
      </c>
      <c r="W651">
        <v>4575.4579100000001</v>
      </c>
      <c r="AB651">
        <v>4673.6457899999996</v>
      </c>
      <c r="AC651">
        <v>4674.8546800000004</v>
      </c>
      <c r="AD651">
        <v>0</v>
      </c>
      <c r="AE651">
        <f t="shared" si="95"/>
        <v>649</v>
      </c>
      <c r="AF651">
        <f t="shared" si="96"/>
        <v>648</v>
      </c>
      <c r="AG651">
        <f t="shared" si="90"/>
        <v>30.7473200000004</v>
      </c>
      <c r="AH651">
        <f t="shared" si="91"/>
        <v>945.39768718242465</v>
      </c>
      <c r="AI651">
        <f t="shared" si="92"/>
        <v>0.66870933789366893</v>
      </c>
      <c r="AJ651">
        <f t="shared" si="93"/>
        <v>0.5847674409108532</v>
      </c>
      <c r="AK651">
        <f t="shared" si="94"/>
        <v>419904</v>
      </c>
      <c r="AL651">
        <f t="shared" si="97"/>
        <v>4705.9930400000003</v>
      </c>
      <c r="AM651" t="str">
        <f t="shared" si="98"/>
        <v/>
      </c>
    </row>
    <row r="652" spans="1:39" x14ac:dyDescent="0.55000000000000004">
      <c r="A652">
        <v>1777306502</v>
      </c>
      <c r="B652" t="s">
        <v>72</v>
      </c>
      <c r="C652" t="s">
        <v>73</v>
      </c>
      <c r="D652">
        <v>4676.38</v>
      </c>
      <c r="E652">
        <v>4518.5928199999998</v>
      </c>
      <c r="F652">
        <v>4596.0559499999999</v>
      </c>
      <c r="G652">
        <v>4755.40355</v>
      </c>
      <c r="H652">
        <v>4792.7697200000002</v>
      </c>
      <c r="Q652">
        <v>4643.6950699999998</v>
      </c>
      <c r="R652">
        <v>4673.0583699999997</v>
      </c>
      <c r="S652">
        <v>4699.64714</v>
      </c>
      <c r="V652">
        <v>4608.7552999999998</v>
      </c>
      <c r="W652">
        <v>4575.19031</v>
      </c>
      <c r="AB652">
        <v>4673.90416</v>
      </c>
      <c r="AC652">
        <v>4674.3794200000002</v>
      </c>
      <c r="AD652">
        <v>0</v>
      </c>
      <c r="AE652">
        <f t="shared" si="95"/>
        <v>650</v>
      </c>
      <c r="AF652">
        <f t="shared" si="96"/>
        <v>649</v>
      </c>
      <c r="AG652">
        <f t="shared" si="90"/>
        <v>32.68493000000035</v>
      </c>
      <c r="AH652">
        <f t="shared" si="91"/>
        <v>1068.3046491049229</v>
      </c>
      <c r="AI652">
        <f t="shared" si="92"/>
        <v>0.80326392324585905</v>
      </c>
      <c r="AJ652">
        <f t="shared" si="93"/>
        <v>0.74669690190668969</v>
      </c>
      <c r="AK652">
        <f t="shared" si="94"/>
        <v>421201</v>
      </c>
      <c r="AL652">
        <f t="shared" si="97"/>
        <v>4705.9930400000003</v>
      </c>
      <c r="AM652" t="str">
        <f t="shared" si="98"/>
        <v/>
      </c>
    </row>
    <row r="653" spans="1:39" x14ac:dyDescent="0.55000000000000004">
      <c r="A653">
        <v>1777307402</v>
      </c>
      <c r="B653" t="s">
        <v>72</v>
      </c>
      <c r="C653" t="s">
        <v>73</v>
      </c>
      <c r="D653">
        <v>4674.9799999999996</v>
      </c>
      <c r="E653">
        <v>4518.5928199999998</v>
      </c>
      <c r="F653">
        <v>4596.0559499999999</v>
      </c>
      <c r="G653">
        <v>4755.40355</v>
      </c>
      <c r="H653">
        <v>4792.7697200000002</v>
      </c>
      <c r="Q653">
        <v>4643.4274699999996</v>
      </c>
      <c r="R653">
        <v>4672.7907699999996</v>
      </c>
      <c r="S653">
        <v>4699.3795399999999</v>
      </c>
      <c r="V653">
        <v>4608.4876999999997</v>
      </c>
      <c r="W653">
        <v>4574.9227000000001</v>
      </c>
      <c r="AB653">
        <v>4674.7765799999997</v>
      </c>
      <c r="AC653">
        <v>4674.5780000000004</v>
      </c>
      <c r="AD653">
        <v>1</v>
      </c>
      <c r="AE653">
        <f t="shared" si="95"/>
        <v>651</v>
      </c>
      <c r="AF653">
        <f t="shared" si="96"/>
        <v>650</v>
      </c>
      <c r="AG653">
        <f t="shared" si="90"/>
        <v>31.552529999999933</v>
      </c>
      <c r="AH653">
        <f t="shared" si="91"/>
        <v>995.56214940089581</v>
      </c>
      <c r="AI653">
        <f t="shared" si="92"/>
        <v>0.72263359762684265</v>
      </c>
      <c r="AJ653">
        <f t="shared" si="93"/>
        <v>0.6484714584484006</v>
      </c>
      <c r="AK653">
        <f t="shared" si="94"/>
        <v>422500</v>
      </c>
      <c r="AL653">
        <f t="shared" si="97"/>
        <v>4674.7765799999997</v>
      </c>
      <c r="AM653">
        <f t="shared" si="98"/>
        <v>31.216460000000552</v>
      </c>
    </row>
    <row r="654" spans="1:39" x14ac:dyDescent="0.55000000000000004">
      <c r="A654">
        <v>1777308302</v>
      </c>
      <c r="B654" t="s">
        <v>72</v>
      </c>
      <c r="C654" t="s">
        <v>73</v>
      </c>
      <c r="D654">
        <v>4676.82</v>
      </c>
      <c r="E654">
        <v>4518.5928199999998</v>
      </c>
      <c r="F654">
        <v>4596.0559499999999</v>
      </c>
      <c r="G654">
        <v>4755.40355</v>
      </c>
      <c r="H654">
        <v>4792.7697200000002</v>
      </c>
      <c r="Q654">
        <v>4643.1598599999998</v>
      </c>
      <c r="R654">
        <v>4672.5231599999997</v>
      </c>
      <c r="S654">
        <v>4699.11193</v>
      </c>
      <c r="V654">
        <v>4608.2200899999998</v>
      </c>
      <c r="W654">
        <v>4574.6550999999999</v>
      </c>
      <c r="AB654">
        <v>4676.14779</v>
      </c>
      <c r="AC654">
        <v>4675.3628900000003</v>
      </c>
      <c r="AD654">
        <v>0</v>
      </c>
      <c r="AE654">
        <f t="shared" si="95"/>
        <v>652</v>
      </c>
      <c r="AF654">
        <f t="shared" si="96"/>
        <v>651</v>
      </c>
      <c r="AG654">
        <f t="shared" si="90"/>
        <v>33.660139999999956</v>
      </c>
      <c r="AH654">
        <f t="shared" si="91"/>
        <v>1133.0050248195971</v>
      </c>
      <c r="AI654">
        <f t="shared" si="92"/>
        <v>0.87733072368008236</v>
      </c>
      <c r="AJ654">
        <f t="shared" si="93"/>
        <v>0.83988105391710477</v>
      </c>
      <c r="AK654">
        <f t="shared" si="94"/>
        <v>423801</v>
      </c>
      <c r="AL654">
        <f t="shared" si="97"/>
        <v>4674.7765799999997</v>
      </c>
      <c r="AM654" t="str">
        <f t="shared" si="98"/>
        <v/>
      </c>
    </row>
    <row r="655" spans="1:39" x14ac:dyDescent="0.55000000000000004">
      <c r="A655">
        <v>1777309202</v>
      </c>
      <c r="B655" t="s">
        <v>72</v>
      </c>
      <c r="C655" t="s">
        <v>73</v>
      </c>
      <c r="D655">
        <v>4673.8599999999997</v>
      </c>
      <c r="E655">
        <v>4518.5928199999998</v>
      </c>
      <c r="F655">
        <v>4596.0559499999999</v>
      </c>
      <c r="G655">
        <v>4755.40355</v>
      </c>
      <c r="H655">
        <v>4792.7697200000002</v>
      </c>
      <c r="Q655">
        <v>4642.8922599999996</v>
      </c>
      <c r="R655">
        <v>4672.2555599999996</v>
      </c>
      <c r="S655">
        <v>4698.8443299999999</v>
      </c>
      <c r="V655">
        <v>4607.9524899999997</v>
      </c>
      <c r="W655">
        <v>4574.3874900000001</v>
      </c>
      <c r="AB655">
        <v>4677.7804800000004</v>
      </c>
      <c r="AC655">
        <v>4676.57168</v>
      </c>
      <c r="AD655">
        <v>0</v>
      </c>
      <c r="AE655">
        <f t="shared" si="95"/>
        <v>653</v>
      </c>
      <c r="AF655">
        <f t="shared" si="96"/>
        <v>652</v>
      </c>
      <c r="AG655">
        <f t="shared" si="90"/>
        <v>30.967740000000049</v>
      </c>
      <c r="AH655">
        <f t="shared" si="91"/>
        <v>959.00092070760297</v>
      </c>
      <c r="AI655">
        <f t="shared" si="92"/>
        <v>0.68319412123915346</v>
      </c>
      <c r="AJ655">
        <f t="shared" si="93"/>
        <v>0.6017168328157706</v>
      </c>
      <c r="AK655">
        <f t="shared" si="94"/>
        <v>425104</v>
      </c>
      <c r="AL655">
        <f t="shared" si="97"/>
        <v>4674.7765799999997</v>
      </c>
      <c r="AM655" t="str">
        <f t="shared" si="98"/>
        <v/>
      </c>
    </row>
    <row r="656" spans="1:39" x14ac:dyDescent="0.55000000000000004">
      <c r="A656">
        <v>1777310102</v>
      </c>
      <c r="B656" t="s">
        <v>72</v>
      </c>
      <c r="C656" t="s">
        <v>73</v>
      </c>
      <c r="D656">
        <v>4679.82</v>
      </c>
      <c r="E656">
        <v>4518.5928199999998</v>
      </c>
      <c r="F656">
        <v>4596.0559499999999</v>
      </c>
      <c r="G656">
        <v>4755.40355</v>
      </c>
      <c r="H656">
        <v>4792.7697200000002</v>
      </c>
      <c r="Q656">
        <v>4642.6246600000004</v>
      </c>
      <c r="R656">
        <v>4671.9879600000004</v>
      </c>
      <c r="S656">
        <v>4698.5767299999998</v>
      </c>
      <c r="V656">
        <v>4607.6848900000005</v>
      </c>
      <c r="W656">
        <v>4574.1198899999999</v>
      </c>
      <c r="AB656">
        <v>4679.5473400000001</v>
      </c>
      <c r="AC656">
        <v>4678.05951</v>
      </c>
      <c r="AD656">
        <v>0</v>
      </c>
      <c r="AE656">
        <f t="shared" si="95"/>
        <v>654</v>
      </c>
      <c r="AF656">
        <f t="shared" si="96"/>
        <v>653</v>
      </c>
      <c r="AG656">
        <f t="shared" si="90"/>
        <v>37.195339999999305</v>
      </c>
      <c r="AH656">
        <f t="shared" si="91"/>
        <v>1383.4933177155483</v>
      </c>
      <c r="AI656">
        <f t="shared" si="92"/>
        <v>1.1838077620270027</v>
      </c>
      <c r="AJ656">
        <f t="shared" si="93"/>
        <v>1.2522996070879873</v>
      </c>
      <c r="AK656">
        <f t="shared" si="94"/>
        <v>426409</v>
      </c>
      <c r="AL656">
        <f t="shared" si="97"/>
        <v>4674.7765799999997</v>
      </c>
      <c r="AM656" t="str">
        <f t="shared" si="98"/>
        <v/>
      </c>
    </row>
    <row r="657" spans="1:39" x14ac:dyDescent="0.55000000000000004">
      <c r="A657">
        <v>1777311002</v>
      </c>
      <c r="B657" t="s">
        <v>72</v>
      </c>
      <c r="C657" t="s">
        <v>73</v>
      </c>
      <c r="D657">
        <v>4683.29</v>
      </c>
      <c r="E657">
        <v>4518.5928199999998</v>
      </c>
      <c r="F657">
        <v>4596.0559499999999</v>
      </c>
      <c r="G657">
        <v>4755.40355</v>
      </c>
      <c r="H657">
        <v>4792.7697200000002</v>
      </c>
      <c r="Q657">
        <v>4642.3570499999996</v>
      </c>
      <c r="R657">
        <v>4671.7203499999996</v>
      </c>
      <c r="S657">
        <v>4698.3091199999999</v>
      </c>
      <c r="V657">
        <v>4607.4172799999997</v>
      </c>
      <c r="W657">
        <v>4573.8522899999998</v>
      </c>
      <c r="AB657">
        <v>4681.1120300000002</v>
      </c>
      <c r="AC657">
        <v>4679.5857699999997</v>
      </c>
      <c r="AD657">
        <v>0</v>
      </c>
      <c r="AE657">
        <f t="shared" si="95"/>
        <v>655</v>
      </c>
      <c r="AF657">
        <f t="shared" si="96"/>
        <v>654</v>
      </c>
      <c r="AG657">
        <f t="shared" si="90"/>
        <v>40.932950000000346</v>
      </c>
      <c r="AH657">
        <f t="shared" si="91"/>
        <v>1675.5063957025284</v>
      </c>
      <c r="AI657">
        <f t="shared" si="92"/>
        <v>1.5777373959418526</v>
      </c>
      <c r="AJ657">
        <f t="shared" si="93"/>
        <v>1.8367341150793663</v>
      </c>
      <c r="AK657">
        <f t="shared" si="94"/>
        <v>427716</v>
      </c>
      <c r="AL657">
        <f t="shared" si="97"/>
        <v>4674.7765799999997</v>
      </c>
      <c r="AM657" t="str">
        <f t="shared" si="98"/>
        <v/>
      </c>
    </row>
    <row r="658" spans="1:39" x14ac:dyDescent="0.55000000000000004">
      <c r="A658">
        <v>1777311902</v>
      </c>
      <c r="B658" t="s">
        <v>72</v>
      </c>
      <c r="C658" t="s">
        <v>73</v>
      </c>
      <c r="D658">
        <v>4682.1000000000004</v>
      </c>
      <c r="E658">
        <v>4518.5928199999998</v>
      </c>
      <c r="F658">
        <v>4596.0559499999999</v>
      </c>
      <c r="G658">
        <v>4755.40355</v>
      </c>
      <c r="H658">
        <v>4792.7697200000002</v>
      </c>
      <c r="Q658">
        <v>4642.0894500000004</v>
      </c>
      <c r="R658">
        <v>4671.4527500000004</v>
      </c>
      <c r="S658">
        <v>4698.0415199999998</v>
      </c>
      <c r="V658">
        <v>4607.1496800000004</v>
      </c>
      <c r="W658">
        <v>4573.5846799999999</v>
      </c>
      <c r="AB658">
        <v>4682.21036</v>
      </c>
      <c r="AC658">
        <v>4680.8980600000004</v>
      </c>
      <c r="AD658">
        <v>0</v>
      </c>
      <c r="AE658">
        <f t="shared" si="95"/>
        <v>656</v>
      </c>
      <c r="AF658">
        <f t="shared" si="96"/>
        <v>655</v>
      </c>
      <c r="AG658">
        <f t="shared" si="90"/>
        <v>40.010549999999967</v>
      </c>
      <c r="AH658">
        <f t="shared" si="91"/>
        <v>1600.8441113024974</v>
      </c>
      <c r="AI658">
        <f t="shared" si="92"/>
        <v>1.4734627078074882</v>
      </c>
      <c r="AJ658">
        <f t="shared" si="93"/>
        <v>1.6766877765085515</v>
      </c>
      <c r="AK658">
        <f t="shared" si="94"/>
        <v>429025</v>
      </c>
      <c r="AL658">
        <f t="shared" si="97"/>
        <v>4674.7765799999997</v>
      </c>
      <c r="AM658" t="str">
        <f t="shared" si="98"/>
        <v/>
      </c>
    </row>
    <row r="659" spans="1:39" x14ac:dyDescent="0.55000000000000004">
      <c r="A659">
        <v>1777312802</v>
      </c>
      <c r="B659" t="s">
        <v>72</v>
      </c>
      <c r="C659" t="s">
        <v>73</v>
      </c>
      <c r="D659">
        <v>4681.62</v>
      </c>
      <c r="E659">
        <v>4518.5928199999998</v>
      </c>
      <c r="F659">
        <v>4596.0559499999999</v>
      </c>
      <c r="G659">
        <v>4755.40355</v>
      </c>
      <c r="H659">
        <v>4792.7697200000002</v>
      </c>
      <c r="Q659">
        <v>4641.8218399999996</v>
      </c>
      <c r="R659">
        <v>4671.1851399999996</v>
      </c>
      <c r="S659">
        <v>4697.7739099999999</v>
      </c>
      <c r="V659">
        <v>4606.8820699999997</v>
      </c>
      <c r="W659">
        <v>4573.3170799999998</v>
      </c>
      <c r="AB659">
        <v>4682.7925500000001</v>
      </c>
      <c r="AC659">
        <v>4681.8453099999997</v>
      </c>
      <c r="AD659">
        <v>0</v>
      </c>
      <c r="AE659">
        <f t="shared" si="95"/>
        <v>657</v>
      </c>
      <c r="AF659">
        <f t="shared" si="96"/>
        <v>656</v>
      </c>
      <c r="AG659">
        <f t="shared" si="90"/>
        <v>39.79816000000028</v>
      </c>
      <c r="AH659">
        <f t="shared" si="91"/>
        <v>1583.8935393856223</v>
      </c>
      <c r="AI659">
        <f t="shared" si="92"/>
        <v>1.4501220807065853</v>
      </c>
      <c r="AJ659">
        <f t="shared" si="93"/>
        <v>1.641368472989819</v>
      </c>
      <c r="AK659">
        <f t="shared" si="94"/>
        <v>430336</v>
      </c>
      <c r="AL659">
        <f t="shared" si="97"/>
        <v>4674.7765799999997</v>
      </c>
      <c r="AM659" t="str">
        <f t="shared" si="98"/>
        <v/>
      </c>
    </row>
    <row r="660" spans="1:39" x14ac:dyDescent="0.55000000000000004">
      <c r="A660">
        <v>1777313702</v>
      </c>
      <c r="B660" t="s">
        <v>72</v>
      </c>
      <c r="C660" t="s">
        <v>73</v>
      </c>
      <c r="D660">
        <v>4684.05</v>
      </c>
      <c r="E660">
        <v>4518.5928199999998</v>
      </c>
      <c r="F660">
        <v>4596.0559499999999</v>
      </c>
      <c r="G660">
        <v>4755.40355</v>
      </c>
      <c r="H660">
        <v>4792.7697200000002</v>
      </c>
      <c r="Q660">
        <v>4641.5542400000004</v>
      </c>
      <c r="R660">
        <v>4670.9175400000004</v>
      </c>
      <c r="S660">
        <v>4697.5063099999998</v>
      </c>
      <c r="V660">
        <v>4606.6144700000004</v>
      </c>
      <c r="W660">
        <v>4573.0494699999999</v>
      </c>
      <c r="AB660">
        <v>4682.8768799999998</v>
      </c>
      <c r="AC660">
        <v>4682.3610900000003</v>
      </c>
      <c r="AD660">
        <v>0</v>
      </c>
      <c r="AE660">
        <f t="shared" si="95"/>
        <v>658</v>
      </c>
      <c r="AF660">
        <f t="shared" si="96"/>
        <v>657</v>
      </c>
      <c r="AG660">
        <f t="shared" si="90"/>
        <v>42.495759999999791</v>
      </c>
      <c r="AH660">
        <f t="shared" si="91"/>
        <v>1805.8896179775822</v>
      </c>
      <c r="AI660">
        <f t="shared" si="92"/>
        <v>1.7654376588911198</v>
      </c>
      <c r="AJ660">
        <f t="shared" si="93"/>
        <v>2.133715515121696</v>
      </c>
      <c r="AK660">
        <f t="shared" si="94"/>
        <v>431649</v>
      </c>
      <c r="AL660">
        <f t="shared" si="97"/>
        <v>4674.7765799999997</v>
      </c>
      <c r="AM660" t="str">
        <f t="shared" si="98"/>
        <v/>
      </c>
    </row>
    <row r="661" spans="1:39" x14ac:dyDescent="0.55000000000000004">
      <c r="A661">
        <v>1777314602</v>
      </c>
      <c r="B661" t="s">
        <v>72</v>
      </c>
      <c r="C661" t="s">
        <v>73</v>
      </c>
      <c r="D661">
        <v>4682.7700000000004</v>
      </c>
      <c r="E661">
        <v>4518.5928199999998</v>
      </c>
      <c r="F661">
        <v>4596.0559499999999</v>
      </c>
      <c r="G661">
        <v>4755.40355</v>
      </c>
      <c r="H661">
        <v>4792.7697200000002</v>
      </c>
      <c r="Q661">
        <v>4641.2866400000003</v>
      </c>
      <c r="R661">
        <v>4670.6499400000002</v>
      </c>
      <c r="S661">
        <v>4697.2387099999996</v>
      </c>
      <c r="V661">
        <v>4606.3468700000003</v>
      </c>
      <c r="W661">
        <v>4572.7818699999998</v>
      </c>
      <c r="AB661">
        <v>4682.4821000000002</v>
      </c>
      <c r="AC661">
        <v>4682.4215899999999</v>
      </c>
      <c r="AD661">
        <v>0</v>
      </c>
      <c r="AE661">
        <f t="shared" si="95"/>
        <v>659</v>
      </c>
      <c r="AF661">
        <f t="shared" si="96"/>
        <v>658</v>
      </c>
      <c r="AG661">
        <f t="shared" si="90"/>
        <v>41.483360000000175</v>
      </c>
      <c r="AH661">
        <f t="shared" si="91"/>
        <v>1720.8691568896145</v>
      </c>
      <c r="AI661">
        <f t="shared" si="92"/>
        <v>1.6422427780771922</v>
      </c>
      <c r="AJ661">
        <f t="shared" si="93"/>
        <v>1.9375361502601576</v>
      </c>
      <c r="AK661">
        <f t="shared" si="94"/>
        <v>432964</v>
      </c>
      <c r="AL661">
        <f t="shared" si="97"/>
        <v>4674.7765799999997</v>
      </c>
      <c r="AM661" t="str">
        <f t="shared" si="98"/>
        <v/>
      </c>
    </row>
    <row r="662" spans="1:39" x14ac:dyDescent="0.55000000000000004">
      <c r="A662">
        <v>1777315502</v>
      </c>
      <c r="B662" t="s">
        <v>72</v>
      </c>
      <c r="C662" t="s">
        <v>73</v>
      </c>
      <c r="D662">
        <v>4680.74</v>
      </c>
      <c r="E662">
        <v>4518.5928199999998</v>
      </c>
      <c r="F662">
        <v>4596.0559499999999</v>
      </c>
      <c r="G662">
        <v>4755.40355</v>
      </c>
      <c r="H662">
        <v>4792.7697200000002</v>
      </c>
      <c r="Q662">
        <v>4641.0190300000004</v>
      </c>
      <c r="R662">
        <v>4670.3823300000004</v>
      </c>
      <c r="S662">
        <v>4696.9710999999998</v>
      </c>
      <c r="V662">
        <v>4606.0792600000004</v>
      </c>
      <c r="W662">
        <v>4572.5142699999997</v>
      </c>
      <c r="AB662">
        <v>4681.7925699999996</v>
      </c>
      <c r="AC662">
        <v>4682.1070799999998</v>
      </c>
      <c r="AD662">
        <v>1</v>
      </c>
      <c r="AE662">
        <f t="shared" si="95"/>
        <v>660</v>
      </c>
      <c r="AF662">
        <f t="shared" si="96"/>
        <v>659</v>
      </c>
      <c r="AG662">
        <f t="shared" si="90"/>
        <v>39.720969999999397</v>
      </c>
      <c r="AH662">
        <f t="shared" si="91"/>
        <v>1577.7554577408521</v>
      </c>
      <c r="AI662">
        <f t="shared" si="92"/>
        <v>1.441700739479602</v>
      </c>
      <c r="AJ662">
        <f t="shared" si="93"/>
        <v>1.6286714932426398</v>
      </c>
      <c r="AK662">
        <f t="shared" si="94"/>
        <v>434281</v>
      </c>
      <c r="AL662">
        <f t="shared" si="97"/>
        <v>4681.7925699999996</v>
      </c>
      <c r="AM662">
        <f t="shared" si="98"/>
        <v>7.0159899999998743</v>
      </c>
    </row>
    <row r="663" spans="1:39" x14ac:dyDescent="0.55000000000000004">
      <c r="A663">
        <v>1777316402</v>
      </c>
      <c r="B663" t="s">
        <v>72</v>
      </c>
      <c r="C663" t="s">
        <v>73</v>
      </c>
      <c r="D663">
        <v>4680.3599999999997</v>
      </c>
      <c r="E663">
        <v>4518.5928199999998</v>
      </c>
      <c r="F663">
        <v>4596.0559499999999</v>
      </c>
      <c r="G663">
        <v>4755.40355</v>
      </c>
      <c r="H663">
        <v>4792.7697200000002</v>
      </c>
      <c r="Q663">
        <v>4640.7514300000003</v>
      </c>
      <c r="R663">
        <v>4670.1147300000002</v>
      </c>
      <c r="S663">
        <v>4696.7034999999996</v>
      </c>
      <c r="V663">
        <v>4605.8116600000003</v>
      </c>
      <c r="W663">
        <v>4572.2466599999998</v>
      </c>
      <c r="AB663">
        <v>4681.0392300000003</v>
      </c>
      <c r="AC663">
        <v>4681.5731599999999</v>
      </c>
      <c r="AD663">
        <v>0</v>
      </c>
      <c r="AE663">
        <f t="shared" si="95"/>
        <v>661</v>
      </c>
      <c r="AF663">
        <f t="shared" si="96"/>
        <v>660</v>
      </c>
      <c r="AG663">
        <f t="shared" si="90"/>
        <v>39.608569999999418</v>
      </c>
      <c r="AH663">
        <f t="shared" si="91"/>
        <v>1568.8388174448539</v>
      </c>
      <c r="AI663">
        <f t="shared" si="92"/>
        <v>1.4294964269179757</v>
      </c>
      <c r="AJ663">
        <f t="shared" si="93"/>
        <v>1.6103147299388481</v>
      </c>
      <c r="AK663">
        <f t="shared" si="94"/>
        <v>435600</v>
      </c>
      <c r="AL663">
        <f t="shared" si="97"/>
        <v>4681.7925699999996</v>
      </c>
      <c r="AM663" t="str">
        <f t="shared" si="98"/>
        <v/>
      </c>
    </row>
    <row r="664" spans="1:39" x14ac:dyDescent="0.55000000000000004">
      <c r="A664">
        <v>1777317302</v>
      </c>
      <c r="B664" t="s">
        <v>72</v>
      </c>
      <c r="C664" t="s">
        <v>73</v>
      </c>
      <c r="D664">
        <v>4682.18</v>
      </c>
      <c r="E664">
        <v>4518.5928199999998</v>
      </c>
      <c r="F664">
        <v>4596.0559499999999</v>
      </c>
      <c r="G664">
        <v>4755.40355</v>
      </c>
      <c r="H664">
        <v>4792.7697200000002</v>
      </c>
      <c r="Q664">
        <v>4640.4838200000004</v>
      </c>
      <c r="R664">
        <v>4669.8471200000004</v>
      </c>
      <c r="S664">
        <v>4696.4358899999997</v>
      </c>
      <c r="V664">
        <v>4605.5440500000004</v>
      </c>
      <c r="W664">
        <v>4571.9790599999997</v>
      </c>
      <c r="AB664">
        <v>4680.4119700000001</v>
      </c>
      <c r="AC664">
        <v>4680.9925700000003</v>
      </c>
      <c r="AD664">
        <v>0</v>
      </c>
      <c r="AE664">
        <f t="shared" si="95"/>
        <v>662</v>
      </c>
      <c r="AF664">
        <f t="shared" si="96"/>
        <v>661</v>
      </c>
      <c r="AG664">
        <f t="shared" si="90"/>
        <v>41.696179999999913</v>
      </c>
      <c r="AH664">
        <f t="shared" si="91"/>
        <v>1738.5714265923928</v>
      </c>
      <c r="AI664">
        <f t="shared" si="92"/>
        <v>1.6676480157959732</v>
      </c>
      <c r="AJ664">
        <f t="shared" si="93"/>
        <v>1.977603345449064</v>
      </c>
      <c r="AK664">
        <f t="shared" si="94"/>
        <v>436921</v>
      </c>
      <c r="AL664">
        <f t="shared" si="97"/>
        <v>4681.7925699999996</v>
      </c>
      <c r="AM664" t="str">
        <f t="shared" si="98"/>
        <v/>
      </c>
    </row>
    <row r="665" spans="1:39" x14ac:dyDescent="0.55000000000000004">
      <c r="A665">
        <v>1777318202</v>
      </c>
      <c r="B665" t="s">
        <v>72</v>
      </c>
      <c r="C665" t="s">
        <v>73</v>
      </c>
      <c r="D665">
        <v>4679.9799999999996</v>
      </c>
      <c r="E665">
        <v>4518.5928199999998</v>
      </c>
      <c r="F665">
        <v>4596.0559499999999</v>
      </c>
      <c r="G665">
        <v>4755.40355</v>
      </c>
      <c r="H665">
        <v>4792.7697200000002</v>
      </c>
      <c r="Q665">
        <v>4640.2162200000002</v>
      </c>
      <c r="R665">
        <v>4669.5795200000002</v>
      </c>
      <c r="S665">
        <v>4696.1682899999996</v>
      </c>
      <c r="V665">
        <v>4605.2764500000003</v>
      </c>
      <c r="W665">
        <v>4571.7114499999998</v>
      </c>
      <c r="AB665">
        <v>4679.9943499999999</v>
      </c>
      <c r="AC665">
        <v>4680.4934599999997</v>
      </c>
      <c r="AD665">
        <v>0</v>
      </c>
      <c r="AE665">
        <f t="shared" si="95"/>
        <v>663</v>
      </c>
      <c r="AF665">
        <f t="shared" si="96"/>
        <v>662</v>
      </c>
      <c r="AG665">
        <f t="shared" si="90"/>
        <v>39.763779999999315</v>
      </c>
      <c r="AH665">
        <f t="shared" si="91"/>
        <v>1581.1581998883455</v>
      </c>
      <c r="AI665">
        <f t="shared" si="92"/>
        <v>1.446367223069305</v>
      </c>
      <c r="AJ665">
        <f t="shared" si="93"/>
        <v>1.6357041740839631</v>
      </c>
      <c r="AK665">
        <f t="shared" si="94"/>
        <v>438244</v>
      </c>
      <c r="AL665">
        <f t="shared" si="97"/>
        <v>4681.7925699999996</v>
      </c>
      <c r="AM665" t="str">
        <f t="shared" si="98"/>
        <v/>
      </c>
    </row>
    <row r="666" spans="1:39" x14ac:dyDescent="0.55000000000000004">
      <c r="A666">
        <v>1777319102</v>
      </c>
      <c r="B666" t="s">
        <v>72</v>
      </c>
      <c r="C666" t="s">
        <v>73</v>
      </c>
      <c r="D666">
        <v>4680.71</v>
      </c>
      <c r="E666">
        <v>4518.5928199999998</v>
      </c>
      <c r="F666">
        <v>4596.0559499999999</v>
      </c>
      <c r="G666">
        <v>4755.40355</v>
      </c>
      <c r="H666">
        <v>4792.7697200000002</v>
      </c>
      <c r="Q666">
        <v>4639.9486200000001</v>
      </c>
      <c r="R666">
        <v>4669.3119100000004</v>
      </c>
      <c r="S666">
        <v>4695.9006900000004</v>
      </c>
      <c r="V666">
        <v>4605.0088500000002</v>
      </c>
      <c r="W666">
        <v>4571.4438499999997</v>
      </c>
      <c r="AB666">
        <v>4679.9268499999998</v>
      </c>
      <c r="AC666">
        <v>4680.2101499999999</v>
      </c>
      <c r="AD666">
        <v>0</v>
      </c>
      <c r="AE666">
        <f t="shared" si="95"/>
        <v>664</v>
      </c>
      <c r="AF666">
        <f t="shared" si="96"/>
        <v>663</v>
      </c>
      <c r="AG666">
        <f t="shared" si="90"/>
        <v>40.761379999999917</v>
      </c>
      <c r="AH666">
        <f t="shared" si="91"/>
        <v>1661.4900995043934</v>
      </c>
      <c r="AI666">
        <f t="shared" si="92"/>
        <v>1.557981229864756</v>
      </c>
      <c r="AJ666">
        <f t="shared" si="93"/>
        <v>1.8061325858460666</v>
      </c>
      <c r="AK666">
        <f t="shared" si="94"/>
        <v>439569</v>
      </c>
      <c r="AL666">
        <f t="shared" si="97"/>
        <v>4681.7925699999996</v>
      </c>
      <c r="AM666" t="str">
        <f t="shared" si="98"/>
        <v/>
      </c>
    </row>
    <row r="667" spans="1:39" x14ac:dyDescent="0.55000000000000004">
      <c r="A667">
        <v>1777320002</v>
      </c>
      <c r="B667" t="s">
        <v>72</v>
      </c>
      <c r="C667" t="s">
        <v>73</v>
      </c>
      <c r="D667">
        <v>4679.22</v>
      </c>
      <c r="E667">
        <v>4518.5928199999998</v>
      </c>
      <c r="F667">
        <v>4596.0559499999999</v>
      </c>
      <c r="G667">
        <v>4755.40355</v>
      </c>
      <c r="H667">
        <v>4792.7697200000002</v>
      </c>
      <c r="Q667">
        <v>4639.6810100000002</v>
      </c>
      <c r="R667">
        <v>4669.0443100000002</v>
      </c>
      <c r="S667">
        <v>4695.6330799999996</v>
      </c>
      <c r="V667">
        <v>4604.7412400000003</v>
      </c>
      <c r="W667">
        <v>4571.1762500000004</v>
      </c>
      <c r="AB667">
        <v>4680.2318800000003</v>
      </c>
      <c r="AC667">
        <v>4680.22102</v>
      </c>
      <c r="AD667">
        <v>1</v>
      </c>
      <c r="AE667">
        <f t="shared" si="95"/>
        <v>665</v>
      </c>
      <c r="AF667">
        <f t="shared" si="96"/>
        <v>664</v>
      </c>
      <c r="AG667">
        <f t="shared" si="90"/>
        <v>39.538990000000013</v>
      </c>
      <c r="AH667">
        <f t="shared" si="91"/>
        <v>1563.331730220101</v>
      </c>
      <c r="AI667">
        <f t="shared" si="92"/>
        <v>1.4219761047556487</v>
      </c>
      <c r="AJ667">
        <f t="shared" si="93"/>
        <v>1.5990292126786152</v>
      </c>
      <c r="AK667">
        <f t="shared" si="94"/>
        <v>440896</v>
      </c>
      <c r="AL667">
        <f t="shared" si="97"/>
        <v>4680.2318800000003</v>
      </c>
      <c r="AM667">
        <f t="shared" si="98"/>
        <v>1.5606899999993402</v>
      </c>
    </row>
    <row r="668" spans="1:39" x14ac:dyDescent="0.55000000000000004">
      <c r="A668">
        <v>1777320902</v>
      </c>
      <c r="B668" t="s">
        <v>72</v>
      </c>
      <c r="C668" t="s">
        <v>73</v>
      </c>
      <c r="D668">
        <v>4679.83</v>
      </c>
      <c r="E668">
        <v>4518.5928199999998</v>
      </c>
      <c r="F668">
        <v>4596.0559499999999</v>
      </c>
      <c r="G668">
        <v>4755.40355</v>
      </c>
      <c r="H668">
        <v>4792.7697200000002</v>
      </c>
      <c r="Q668">
        <v>4639.4134100000001</v>
      </c>
      <c r="R668">
        <v>4668.7767100000001</v>
      </c>
      <c r="S668">
        <v>4695.3654800000004</v>
      </c>
      <c r="V668">
        <v>4604.4736400000002</v>
      </c>
      <c r="W668">
        <v>4570.9086399999997</v>
      </c>
      <c r="AB668">
        <v>4680.9534599999997</v>
      </c>
      <c r="AC668">
        <v>4680.5872399999998</v>
      </c>
      <c r="AD668">
        <v>0</v>
      </c>
      <c r="AE668">
        <f t="shared" si="95"/>
        <v>666</v>
      </c>
      <c r="AF668">
        <f t="shared" si="96"/>
        <v>665</v>
      </c>
      <c r="AG668">
        <f t="shared" si="90"/>
        <v>40.416589999999815</v>
      </c>
      <c r="AH668">
        <f t="shared" si="91"/>
        <v>1633.5007472280849</v>
      </c>
      <c r="AI668">
        <f t="shared" si="92"/>
        <v>1.5187790249506981</v>
      </c>
      <c r="AJ668">
        <f t="shared" si="93"/>
        <v>1.7457931600002421</v>
      </c>
      <c r="AK668">
        <f t="shared" si="94"/>
        <v>442225</v>
      </c>
      <c r="AL668">
        <f t="shared" si="97"/>
        <v>4680.2318800000003</v>
      </c>
      <c r="AM668" t="str">
        <f t="shared" si="98"/>
        <v/>
      </c>
    </row>
    <row r="669" spans="1:39" x14ac:dyDescent="0.55000000000000004">
      <c r="A669">
        <v>1777321802</v>
      </c>
      <c r="B669" t="s">
        <v>72</v>
      </c>
      <c r="C669" t="s">
        <v>73</v>
      </c>
      <c r="D669">
        <v>4680.18</v>
      </c>
      <c r="E669">
        <v>4518.5928199999998</v>
      </c>
      <c r="F669">
        <v>4596.0559499999999</v>
      </c>
      <c r="G669">
        <v>4755.40355</v>
      </c>
      <c r="H669">
        <v>4792.7697200000002</v>
      </c>
      <c r="Q669">
        <v>4639.1458000000002</v>
      </c>
      <c r="R669">
        <v>4668.5091000000002</v>
      </c>
      <c r="S669">
        <v>4695.0978699999996</v>
      </c>
      <c r="V669">
        <v>4604.2060300000003</v>
      </c>
      <c r="W669">
        <v>4570.6410400000004</v>
      </c>
      <c r="AB669">
        <v>4682.0366400000003</v>
      </c>
      <c r="AC669">
        <v>4681.3119399999996</v>
      </c>
      <c r="AD669">
        <v>0</v>
      </c>
      <c r="AE669">
        <f t="shared" si="95"/>
        <v>667</v>
      </c>
      <c r="AF669">
        <f t="shared" si="96"/>
        <v>666</v>
      </c>
      <c r="AG669">
        <f t="shared" si="90"/>
        <v>41.034200000000055</v>
      </c>
      <c r="AH669">
        <f t="shared" si="91"/>
        <v>1683.8055696400045</v>
      </c>
      <c r="AI669">
        <f t="shared" si="92"/>
        <v>1.5894742517865035</v>
      </c>
      <c r="AJ669">
        <f t="shared" si="93"/>
        <v>1.8549747233337619</v>
      </c>
      <c r="AK669">
        <f t="shared" si="94"/>
        <v>443556</v>
      </c>
      <c r="AL669">
        <f t="shared" si="97"/>
        <v>4680.2318800000003</v>
      </c>
      <c r="AM669" t="str">
        <f t="shared" si="98"/>
        <v/>
      </c>
    </row>
    <row r="670" spans="1:39" x14ac:dyDescent="0.55000000000000004">
      <c r="A670">
        <v>1777322702</v>
      </c>
      <c r="B670" t="s">
        <v>72</v>
      </c>
      <c r="C670" t="s">
        <v>73</v>
      </c>
      <c r="D670">
        <v>4681.84</v>
      </c>
      <c r="E670">
        <v>4518.5928199999998</v>
      </c>
      <c r="F670">
        <v>4596.0559499999999</v>
      </c>
      <c r="G670">
        <v>4755.40355</v>
      </c>
      <c r="H670">
        <v>4792.7697200000002</v>
      </c>
      <c r="Q670">
        <v>4638.8782000000001</v>
      </c>
      <c r="R670">
        <v>4668.2415000000001</v>
      </c>
      <c r="S670">
        <v>4694.8302700000004</v>
      </c>
      <c r="V670">
        <v>4603.9384300000002</v>
      </c>
      <c r="W670">
        <v>4570.3734299999996</v>
      </c>
      <c r="AB670">
        <v>4683.4310800000003</v>
      </c>
      <c r="AC670">
        <v>4682.3715099999999</v>
      </c>
      <c r="AD670">
        <v>0</v>
      </c>
      <c r="AE670">
        <f t="shared" si="95"/>
        <v>668</v>
      </c>
      <c r="AF670">
        <f t="shared" si="96"/>
        <v>667</v>
      </c>
      <c r="AG670">
        <f t="shared" si="90"/>
        <v>42.961800000000039</v>
      </c>
      <c r="AH670">
        <f t="shared" si="91"/>
        <v>1845.7162592400034</v>
      </c>
      <c r="AI670">
        <f t="shared" si="92"/>
        <v>1.8241602653618099</v>
      </c>
      <c r="AJ670">
        <f t="shared" si="93"/>
        <v>2.2288661504028</v>
      </c>
      <c r="AK670">
        <f t="shared" si="94"/>
        <v>444889</v>
      </c>
      <c r="AL670">
        <f t="shared" si="97"/>
        <v>4680.2318800000003</v>
      </c>
      <c r="AM670" t="str">
        <f t="shared" si="98"/>
        <v/>
      </c>
    </row>
    <row r="671" spans="1:39" x14ac:dyDescent="0.55000000000000004">
      <c r="A671">
        <v>1777327202</v>
      </c>
      <c r="B671" t="s">
        <v>72</v>
      </c>
      <c r="C671" t="s">
        <v>73</v>
      </c>
      <c r="D671">
        <v>4689.32</v>
      </c>
      <c r="E671">
        <v>4518.5928199999998</v>
      </c>
      <c r="F671">
        <v>4596.0559499999999</v>
      </c>
      <c r="G671">
        <v>4755.40355</v>
      </c>
      <c r="H671">
        <v>4792.7697200000002</v>
      </c>
      <c r="Q671">
        <v>4638.6106</v>
      </c>
      <c r="R671">
        <v>4667.9738900000002</v>
      </c>
      <c r="S671">
        <v>4694.5626700000003</v>
      </c>
      <c r="V671">
        <v>4603.67083</v>
      </c>
      <c r="W671">
        <v>4570.1058300000004</v>
      </c>
      <c r="AB671">
        <v>4684.99161</v>
      </c>
      <c r="AC671">
        <v>4683.68156</v>
      </c>
      <c r="AD671">
        <v>0</v>
      </c>
      <c r="AE671">
        <f t="shared" si="95"/>
        <v>669</v>
      </c>
      <c r="AF671">
        <f t="shared" si="96"/>
        <v>668</v>
      </c>
      <c r="AG671">
        <f t="shared" si="90"/>
        <v>50.709399999999732</v>
      </c>
      <c r="AH671">
        <f t="shared" si="91"/>
        <v>2571.443248359973</v>
      </c>
      <c r="AI671">
        <f t="shared" si="92"/>
        <v>2.9997219454863915</v>
      </c>
      <c r="AJ671">
        <f t="shared" si="93"/>
        <v>4.3262140205117738</v>
      </c>
      <c r="AK671">
        <f t="shared" si="94"/>
        <v>446224</v>
      </c>
      <c r="AL671">
        <f t="shared" si="97"/>
        <v>4680.2318800000003</v>
      </c>
      <c r="AM671" t="str">
        <f t="shared" si="98"/>
        <v/>
      </c>
    </row>
    <row r="672" spans="1:39" x14ac:dyDescent="0.55000000000000004">
      <c r="A672">
        <v>1777328102</v>
      </c>
      <c r="B672" t="s">
        <v>72</v>
      </c>
      <c r="C672" t="s">
        <v>73</v>
      </c>
      <c r="D672">
        <v>4689.07</v>
      </c>
      <c r="E672">
        <v>4518.5928199999998</v>
      </c>
      <c r="F672">
        <v>4596.0559499999999</v>
      </c>
      <c r="G672">
        <v>4755.40355</v>
      </c>
      <c r="H672">
        <v>4792.7697200000002</v>
      </c>
      <c r="Q672">
        <v>4638.3429900000001</v>
      </c>
      <c r="R672">
        <v>4667.7062900000001</v>
      </c>
      <c r="S672">
        <v>4694.2950600000004</v>
      </c>
      <c r="V672">
        <v>4603.4032200000001</v>
      </c>
      <c r="W672">
        <v>4569.8382199999996</v>
      </c>
      <c r="AB672">
        <v>4686.5107500000004</v>
      </c>
      <c r="AC672">
        <v>4685.0961500000003</v>
      </c>
      <c r="AD672">
        <v>0</v>
      </c>
      <c r="AE672">
        <f t="shared" si="95"/>
        <v>670</v>
      </c>
      <c r="AF672">
        <f t="shared" si="96"/>
        <v>669</v>
      </c>
      <c r="AG672">
        <f t="shared" si="90"/>
        <v>50.727009999999609</v>
      </c>
      <c r="AH672">
        <f t="shared" si="91"/>
        <v>2573.2295435400601</v>
      </c>
      <c r="AI672">
        <f t="shared" si="92"/>
        <v>3.0028481972450196</v>
      </c>
      <c r="AJ672">
        <f t="shared" si="93"/>
        <v>4.3322266590658778</v>
      </c>
      <c r="AK672">
        <f t="shared" si="94"/>
        <v>447561</v>
      </c>
      <c r="AL672">
        <f t="shared" si="97"/>
        <v>4680.2318800000003</v>
      </c>
      <c r="AM672" t="str">
        <f t="shared" si="98"/>
        <v/>
      </c>
    </row>
    <row r="673" spans="1:39" x14ac:dyDescent="0.55000000000000004">
      <c r="A673">
        <v>1777329002</v>
      </c>
      <c r="B673" t="s">
        <v>72</v>
      </c>
      <c r="C673" t="s">
        <v>73</v>
      </c>
      <c r="D673">
        <v>4687.28</v>
      </c>
      <c r="E673">
        <v>4518.5928199999998</v>
      </c>
      <c r="F673">
        <v>4596.0559499999999</v>
      </c>
      <c r="G673">
        <v>4755.40355</v>
      </c>
      <c r="H673">
        <v>4792.7697200000002</v>
      </c>
      <c r="Q673">
        <v>4638.07539</v>
      </c>
      <c r="R673">
        <v>4667.43869</v>
      </c>
      <c r="S673">
        <v>4694.0274600000002</v>
      </c>
      <c r="V673">
        <v>4603.13562</v>
      </c>
      <c r="W673">
        <v>4569.5706200000004</v>
      </c>
      <c r="AB673">
        <v>4687.9415600000002</v>
      </c>
      <c r="AC673">
        <v>4686.5188600000001</v>
      </c>
      <c r="AD673">
        <v>0</v>
      </c>
      <c r="AE673">
        <f t="shared" si="95"/>
        <v>671</v>
      </c>
      <c r="AF673">
        <f t="shared" si="96"/>
        <v>670</v>
      </c>
      <c r="AG673">
        <f t="shared" si="90"/>
        <v>49.204609999999775</v>
      </c>
      <c r="AH673">
        <f t="shared" si="91"/>
        <v>2421.0936452520777</v>
      </c>
      <c r="AI673">
        <f t="shared" si="92"/>
        <v>2.7405199390313704</v>
      </c>
      <c r="AJ673">
        <f t="shared" si="93"/>
        <v>3.8351052596884183</v>
      </c>
      <c r="AK673">
        <f t="shared" si="94"/>
        <v>448900</v>
      </c>
      <c r="AL673">
        <f t="shared" si="97"/>
        <v>4680.2318800000003</v>
      </c>
      <c r="AM673" t="str">
        <f t="shared" si="98"/>
        <v/>
      </c>
    </row>
    <row r="674" spans="1:39" x14ac:dyDescent="0.55000000000000004">
      <c r="A674">
        <v>1777329902</v>
      </c>
      <c r="B674" t="s">
        <v>72</v>
      </c>
      <c r="C674" t="s">
        <v>73</v>
      </c>
      <c r="D674">
        <v>4687.93</v>
      </c>
      <c r="E674">
        <v>4518.5928199999998</v>
      </c>
      <c r="F674">
        <v>4596.0559499999999</v>
      </c>
      <c r="G674">
        <v>4755.40355</v>
      </c>
      <c r="H674">
        <v>4792.7697200000002</v>
      </c>
      <c r="Q674">
        <v>4637.8077800000001</v>
      </c>
      <c r="R674">
        <v>4667.1710800000001</v>
      </c>
      <c r="S674">
        <v>4693.7598500000004</v>
      </c>
      <c r="V674">
        <v>4602.8680100000001</v>
      </c>
      <c r="W674">
        <v>4569.3030200000003</v>
      </c>
      <c r="AB674">
        <v>4689.3316100000002</v>
      </c>
      <c r="AC674">
        <v>4687.9252399999996</v>
      </c>
      <c r="AD674">
        <v>0</v>
      </c>
      <c r="AE674">
        <f t="shared" si="95"/>
        <v>672</v>
      </c>
      <c r="AF674">
        <f t="shared" si="96"/>
        <v>671</v>
      </c>
      <c r="AG674">
        <f t="shared" si="90"/>
        <v>50.122220000000198</v>
      </c>
      <c r="AH674">
        <f t="shared" si="91"/>
        <v>2512.2369377284199</v>
      </c>
      <c r="AI674">
        <f t="shared" si="92"/>
        <v>2.8967197453786007</v>
      </c>
      <c r="AJ674">
        <f t="shared" si="93"/>
        <v>4.1292892566540216</v>
      </c>
      <c r="AK674">
        <f t="shared" si="94"/>
        <v>450241</v>
      </c>
      <c r="AL674">
        <f t="shared" si="97"/>
        <v>4680.2318800000003</v>
      </c>
      <c r="AM674" t="str">
        <f t="shared" si="98"/>
        <v/>
      </c>
    </row>
    <row r="675" spans="1:39" x14ac:dyDescent="0.55000000000000004">
      <c r="A675">
        <v>1777330802</v>
      </c>
      <c r="B675" t="s">
        <v>72</v>
      </c>
      <c r="C675" t="s">
        <v>73</v>
      </c>
      <c r="D675">
        <v>4689.83</v>
      </c>
      <c r="E675">
        <v>4518.5928199999998</v>
      </c>
      <c r="F675">
        <v>4596.0559499999999</v>
      </c>
      <c r="G675">
        <v>4755.40355</v>
      </c>
      <c r="H675">
        <v>4792.7697200000002</v>
      </c>
      <c r="Q675">
        <v>4637.54018</v>
      </c>
      <c r="R675">
        <v>4666.9034799999999</v>
      </c>
      <c r="S675">
        <v>4693.4922500000002</v>
      </c>
      <c r="V675">
        <v>4602.60041</v>
      </c>
      <c r="W675">
        <v>4569.0354100000004</v>
      </c>
      <c r="AB675">
        <v>4690.7119199999997</v>
      </c>
      <c r="AC675">
        <v>4689.3185800000001</v>
      </c>
      <c r="AD675">
        <v>0</v>
      </c>
      <c r="AE675">
        <f t="shared" si="95"/>
        <v>673</v>
      </c>
      <c r="AF675">
        <f t="shared" si="96"/>
        <v>672</v>
      </c>
      <c r="AG675">
        <f t="shared" si="90"/>
        <v>52.289819999999963</v>
      </c>
      <c r="AH675">
        <f t="shared" si="91"/>
        <v>2734.225275632396</v>
      </c>
      <c r="AI675">
        <f t="shared" si="92"/>
        <v>3.2890238671571863</v>
      </c>
      <c r="AJ675">
        <f t="shared" si="93"/>
        <v>4.8912819754088197</v>
      </c>
      <c r="AK675">
        <f t="shared" si="94"/>
        <v>451584</v>
      </c>
      <c r="AL675">
        <f t="shared" si="97"/>
        <v>4680.2318800000003</v>
      </c>
      <c r="AM675" t="str">
        <f t="shared" si="98"/>
        <v/>
      </c>
    </row>
    <row r="676" spans="1:39" x14ac:dyDescent="0.55000000000000004">
      <c r="A676">
        <v>1777331702</v>
      </c>
      <c r="B676" t="s">
        <v>72</v>
      </c>
      <c r="C676" t="s">
        <v>73</v>
      </c>
      <c r="D676">
        <v>4690.82</v>
      </c>
      <c r="E676">
        <v>4518.5928199999998</v>
      </c>
      <c r="F676">
        <v>4596.0559499999999</v>
      </c>
      <c r="G676">
        <v>4755.40355</v>
      </c>
      <c r="H676">
        <v>4792.7697200000002</v>
      </c>
      <c r="Q676">
        <v>4637.2725799999998</v>
      </c>
      <c r="R676">
        <v>4666.6358700000001</v>
      </c>
      <c r="S676">
        <v>4693.2246400000004</v>
      </c>
      <c r="V676">
        <v>4602.3328000000001</v>
      </c>
      <c r="W676">
        <v>4568.7678100000003</v>
      </c>
      <c r="AB676">
        <v>4692.0335999999998</v>
      </c>
      <c r="AC676">
        <v>4690.6760899999999</v>
      </c>
      <c r="AD676">
        <v>0</v>
      </c>
      <c r="AE676">
        <f t="shared" si="95"/>
        <v>674</v>
      </c>
      <c r="AF676">
        <f t="shared" si="96"/>
        <v>673</v>
      </c>
      <c r="AG676">
        <f t="shared" si="90"/>
        <v>53.547419999999875</v>
      </c>
      <c r="AH676">
        <f t="shared" si="91"/>
        <v>2867.3261886563864</v>
      </c>
      <c r="AI676">
        <f t="shared" si="92"/>
        <v>3.5320857330074227</v>
      </c>
      <c r="AJ676">
        <f t="shared" si="93"/>
        <v>5.3790838642641079</v>
      </c>
      <c r="AK676">
        <f t="shared" si="94"/>
        <v>452929</v>
      </c>
      <c r="AL676">
        <f t="shared" si="97"/>
        <v>4680.2318800000003</v>
      </c>
      <c r="AM676" t="str">
        <f t="shared" si="98"/>
        <v/>
      </c>
    </row>
    <row r="677" spans="1:39" x14ac:dyDescent="0.55000000000000004">
      <c r="A677">
        <v>1777332602</v>
      </c>
      <c r="B677" t="s">
        <v>72</v>
      </c>
      <c r="C677" t="s">
        <v>73</v>
      </c>
      <c r="D677">
        <v>4694.41</v>
      </c>
      <c r="E677">
        <v>4518.5928199999998</v>
      </c>
      <c r="F677">
        <v>4596.0559499999999</v>
      </c>
      <c r="G677">
        <v>4755.40355</v>
      </c>
      <c r="H677">
        <v>4792.7697200000002</v>
      </c>
      <c r="Q677">
        <v>4637.00497</v>
      </c>
      <c r="R677">
        <v>4666.3682699999999</v>
      </c>
      <c r="S677">
        <v>4692.9570400000002</v>
      </c>
      <c r="V677">
        <v>4602.0652</v>
      </c>
      <c r="W677">
        <v>4568.5002000000004</v>
      </c>
      <c r="AB677">
        <v>4693.2609499999999</v>
      </c>
      <c r="AC677">
        <v>4691.9685200000004</v>
      </c>
      <c r="AD677">
        <v>0</v>
      </c>
      <c r="AE677">
        <f t="shared" si="95"/>
        <v>675</v>
      </c>
      <c r="AF677">
        <f t="shared" si="96"/>
        <v>674</v>
      </c>
      <c r="AG677">
        <f t="shared" si="90"/>
        <v>57.405029999999897</v>
      </c>
      <c r="AH677">
        <f t="shared" si="91"/>
        <v>3295.3374693008882</v>
      </c>
      <c r="AI677">
        <f t="shared" si="92"/>
        <v>4.3517649425220526</v>
      </c>
      <c r="AJ677">
        <f t="shared" si="93"/>
        <v>7.1048335134617853</v>
      </c>
      <c r="AK677">
        <f t="shared" si="94"/>
        <v>454276</v>
      </c>
      <c r="AL677">
        <f t="shared" si="97"/>
        <v>4680.2318800000003</v>
      </c>
      <c r="AM677" t="str">
        <f t="shared" si="98"/>
        <v/>
      </c>
    </row>
    <row r="678" spans="1:39" x14ac:dyDescent="0.55000000000000004">
      <c r="A678">
        <v>1777333502</v>
      </c>
      <c r="B678" t="s">
        <v>72</v>
      </c>
      <c r="C678" t="s">
        <v>73</v>
      </c>
      <c r="D678">
        <v>4691.8500000000004</v>
      </c>
      <c r="E678">
        <v>4518.5928199999998</v>
      </c>
      <c r="F678">
        <v>4596.0559499999999</v>
      </c>
      <c r="G678">
        <v>4755.40355</v>
      </c>
      <c r="H678">
        <v>4792.7697200000002</v>
      </c>
      <c r="Q678">
        <v>4636.7373699999998</v>
      </c>
      <c r="R678">
        <v>4666.1006699999998</v>
      </c>
      <c r="S678">
        <v>4692.6894400000001</v>
      </c>
      <c r="V678">
        <v>4601.7975999999999</v>
      </c>
      <c r="W678">
        <v>4568.2326000000003</v>
      </c>
      <c r="AB678">
        <v>4694.2019300000002</v>
      </c>
      <c r="AC678">
        <v>4693.0852199999999</v>
      </c>
      <c r="AD678">
        <v>0</v>
      </c>
      <c r="AE678">
        <f t="shared" si="95"/>
        <v>676</v>
      </c>
      <c r="AF678">
        <f t="shared" si="96"/>
        <v>675</v>
      </c>
      <c r="AG678">
        <f t="shared" si="90"/>
        <v>55.112630000000536</v>
      </c>
      <c r="AH678">
        <f t="shared" si="91"/>
        <v>3037.401985516959</v>
      </c>
      <c r="AI678">
        <f t="shared" si="92"/>
        <v>3.8509598725079957</v>
      </c>
      <c r="AJ678">
        <f t="shared" si="93"/>
        <v>6.0361310154624066</v>
      </c>
      <c r="AK678">
        <f t="shared" si="94"/>
        <v>455625</v>
      </c>
      <c r="AL678">
        <f t="shared" si="97"/>
        <v>4680.2318800000003</v>
      </c>
      <c r="AM678" t="str">
        <f t="shared" si="98"/>
        <v/>
      </c>
    </row>
    <row r="679" spans="1:39" x14ac:dyDescent="0.55000000000000004">
      <c r="A679">
        <v>1777334402</v>
      </c>
      <c r="B679" t="s">
        <v>72</v>
      </c>
      <c r="C679" t="s">
        <v>73</v>
      </c>
      <c r="D679">
        <v>4697.91</v>
      </c>
      <c r="E679">
        <v>4518.5928199999998</v>
      </c>
      <c r="F679">
        <v>4596.0559499999999</v>
      </c>
      <c r="G679">
        <v>4755.40355</v>
      </c>
      <c r="H679">
        <v>4792.7697200000002</v>
      </c>
      <c r="Q679">
        <v>4636.46976</v>
      </c>
      <c r="R679">
        <v>4665.8330599999999</v>
      </c>
      <c r="S679">
        <v>4692.4218300000002</v>
      </c>
      <c r="V679">
        <v>4601.52999</v>
      </c>
      <c r="W679">
        <v>4567.9650000000001</v>
      </c>
      <c r="Z679">
        <v>4701.1400000000003</v>
      </c>
      <c r="AB679">
        <v>4694.7716600000003</v>
      </c>
      <c r="AC679">
        <v>4693.9284399999997</v>
      </c>
      <c r="AD679">
        <v>0</v>
      </c>
      <c r="AE679">
        <f t="shared" si="95"/>
        <v>677</v>
      </c>
      <c r="AF679">
        <f t="shared" si="96"/>
        <v>676</v>
      </c>
      <c r="AG679">
        <f t="shared" si="90"/>
        <v>61.440239999999903</v>
      </c>
      <c r="AH679">
        <f t="shared" si="91"/>
        <v>3774.9030912575881</v>
      </c>
      <c r="AI679">
        <f t="shared" si="92"/>
        <v>5.3354898116176699</v>
      </c>
      <c r="AJ679">
        <f t="shared" si="93"/>
        <v>9.3232155818364202</v>
      </c>
      <c r="AK679">
        <f t="shared" si="94"/>
        <v>456976</v>
      </c>
      <c r="AL679">
        <f t="shared" si="97"/>
        <v>4680.2318800000003</v>
      </c>
      <c r="AM679" t="str">
        <f t="shared" si="98"/>
        <v/>
      </c>
    </row>
    <row r="680" spans="1:39" x14ac:dyDescent="0.55000000000000004">
      <c r="A680">
        <v>1777335302</v>
      </c>
      <c r="B680" t="s">
        <v>72</v>
      </c>
      <c r="C680" t="s">
        <v>73</v>
      </c>
      <c r="D680">
        <v>4695.01</v>
      </c>
      <c r="E680">
        <v>4518.5928199999998</v>
      </c>
      <c r="F680">
        <v>4596.0559499999999</v>
      </c>
      <c r="G680">
        <v>4755.40355</v>
      </c>
      <c r="H680">
        <v>4792.7697200000002</v>
      </c>
      <c r="Q680">
        <v>4636.2021599999998</v>
      </c>
      <c r="R680">
        <v>4665.5654599999998</v>
      </c>
      <c r="S680">
        <v>4692.1542300000001</v>
      </c>
      <c r="V680">
        <v>4601.2623899999999</v>
      </c>
      <c r="W680">
        <v>4567.6973900000003</v>
      </c>
      <c r="AB680">
        <v>4694.6294200000002</v>
      </c>
      <c r="AC680">
        <v>4694.2789300000004</v>
      </c>
      <c r="AD680">
        <v>0</v>
      </c>
      <c r="AE680">
        <f t="shared" si="95"/>
        <v>678</v>
      </c>
      <c r="AF680">
        <f t="shared" si="96"/>
        <v>677</v>
      </c>
      <c r="AG680">
        <f t="shared" si="90"/>
        <v>58.807840000000397</v>
      </c>
      <c r="AH680">
        <f t="shared" si="91"/>
        <v>3458.3620454656466</v>
      </c>
      <c r="AI680">
        <f t="shared" si="92"/>
        <v>4.6786576615425597</v>
      </c>
      <c r="AJ680">
        <f t="shared" si="93"/>
        <v>7.8251924140155626</v>
      </c>
      <c r="AK680">
        <f t="shared" si="94"/>
        <v>458329</v>
      </c>
      <c r="AL680">
        <f t="shared" si="97"/>
        <v>4680.2318800000003</v>
      </c>
      <c r="AM680" t="str">
        <f t="shared" si="98"/>
        <v/>
      </c>
    </row>
    <row r="681" spans="1:39" x14ac:dyDescent="0.55000000000000004">
      <c r="A681">
        <v>1777336202</v>
      </c>
      <c r="B681" t="s">
        <v>72</v>
      </c>
      <c r="C681" t="s">
        <v>73</v>
      </c>
      <c r="D681">
        <v>4693.71</v>
      </c>
      <c r="E681">
        <v>4518.5928199999998</v>
      </c>
      <c r="F681">
        <v>4596.0559499999999</v>
      </c>
      <c r="G681">
        <v>4755.40355</v>
      </c>
      <c r="H681">
        <v>4792.7697200000002</v>
      </c>
      <c r="Q681">
        <v>4635.9345499999999</v>
      </c>
      <c r="R681">
        <v>4665.2978499999999</v>
      </c>
      <c r="S681">
        <v>4691.8866200000002</v>
      </c>
      <c r="V681">
        <v>4600.99478</v>
      </c>
      <c r="W681">
        <v>4567.4297900000001</v>
      </c>
      <c r="AB681">
        <v>4693.69938</v>
      </c>
      <c r="AC681">
        <v>4693.9891500000003</v>
      </c>
      <c r="AD681">
        <v>1</v>
      </c>
      <c r="AE681">
        <f t="shared" si="95"/>
        <v>679</v>
      </c>
      <c r="AF681">
        <f t="shared" si="96"/>
        <v>678</v>
      </c>
      <c r="AG681">
        <f t="shared" si="90"/>
        <v>57.775450000000092</v>
      </c>
      <c r="AH681">
        <f t="shared" si="91"/>
        <v>3338.0026227025105</v>
      </c>
      <c r="AI681">
        <f t="shared" si="92"/>
        <v>4.4365521907892509</v>
      </c>
      <c r="AJ681">
        <f t="shared" si="93"/>
        <v>7.2899988497769677</v>
      </c>
      <c r="AK681">
        <f t="shared" si="94"/>
        <v>459684</v>
      </c>
      <c r="AL681">
        <f t="shared" si="97"/>
        <v>4693.69938</v>
      </c>
      <c r="AM681">
        <f t="shared" si="98"/>
        <v>13.467499999999745</v>
      </c>
    </row>
    <row r="682" spans="1:39" x14ac:dyDescent="0.55000000000000004">
      <c r="A682">
        <v>1777337102</v>
      </c>
      <c r="B682" t="s">
        <v>72</v>
      </c>
      <c r="C682" t="s">
        <v>73</v>
      </c>
      <c r="D682">
        <v>4690.53</v>
      </c>
      <c r="E682">
        <v>4518.5928199999998</v>
      </c>
      <c r="F682">
        <v>4596.0559499999999</v>
      </c>
      <c r="G682">
        <v>4755.40355</v>
      </c>
      <c r="H682">
        <v>4792.7697200000002</v>
      </c>
      <c r="Q682">
        <v>4635.6669499999998</v>
      </c>
      <c r="R682">
        <v>4665.0302499999998</v>
      </c>
      <c r="S682">
        <v>4691.6190200000001</v>
      </c>
      <c r="V682">
        <v>4600.7271799999999</v>
      </c>
      <c r="W682">
        <v>4567.1621800000003</v>
      </c>
      <c r="AB682">
        <v>4691.9244600000002</v>
      </c>
      <c r="AC682">
        <v>4692.9568099999997</v>
      </c>
      <c r="AD682">
        <v>0</v>
      </c>
      <c r="AE682">
        <f t="shared" si="95"/>
        <v>680</v>
      </c>
      <c r="AF682">
        <f t="shared" si="96"/>
        <v>679</v>
      </c>
      <c r="AG682">
        <f t="shared" si="90"/>
        <v>54.86304999999993</v>
      </c>
      <c r="AH682">
        <f t="shared" si="91"/>
        <v>3009.9542553024921</v>
      </c>
      <c r="AI682">
        <f t="shared" si="92"/>
        <v>3.7988787080575244</v>
      </c>
      <c r="AJ682">
        <f t="shared" si="93"/>
        <v>5.9275319464941205</v>
      </c>
      <c r="AK682">
        <f t="shared" si="94"/>
        <v>461041</v>
      </c>
      <c r="AL682">
        <f t="shared" si="97"/>
        <v>4693.69938</v>
      </c>
      <c r="AM682" t="str">
        <f t="shared" si="98"/>
        <v/>
      </c>
    </row>
    <row r="683" spans="1:39" x14ac:dyDescent="0.55000000000000004">
      <c r="A683">
        <v>1777338002</v>
      </c>
      <c r="B683" t="s">
        <v>72</v>
      </c>
      <c r="C683" t="s">
        <v>73</v>
      </c>
      <c r="D683">
        <v>4688.24</v>
      </c>
      <c r="E683">
        <v>4518.5928199999998</v>
      </c>
      <c r="F683">
        <v>4596.0559499999999</v>
      </c>
      <c r="G683">
        <v>4755.40355</v>
      </c>
      <c r="H683">
        <v>4792.7697200000002</v>
      </c>
      <c r="Q683">
        <v>4635.3993499999997</v>
      </c>
      <c r="R683">
        <v>4664.7626499999997</v>
      </c>
      <c r="S683">
        <v>4691.35142</v>
      </c>
      <c r="V683">
        <v>4600.4595799999997</v>
      </c>
      <c r="W683">
        <v>4566.8945800000001</v>
      </c>
      <c r="AB683">
        <v>4689.3522599999997</v>
      </c>
      <c r="AC683">
        <v>4691.1545299999998</v>
      </c>
      <c r="AD683">
        <v>0</v>
      </c>
      <c r="AE683">
        <f t="shared" si="95"/>
        <v>681</v>
      </c>
      <c r="AF683">
        <f t="shared" si="96"/>
        <v>680</v>
      </c>
      <c r="AG683">
        <f t="shared" si="90"/>
        <v>52.840650000000096</v>
      </c>
      <c r="AH683">
        <f t="shared" si="91"/>
        <v>2792.13429242251</v>
      </c>
      <c r="AI683">
        <f t="shared" si="92"/>
        <v>3.3940640863351552</v>
      </c>
      <c r="AJ683">
        <f t="shared" si="93"/>
        <v>5.1006640229667592</v>
      </c>
      <c r="AK683">
        <f t="shared" si="94"/>
        <v>462400</v>
      </c>
      <c r="AL683">
        <f t="shared" si="97"/>
        <v>4693.69938</v>
      </c>
      <c r="AM683" t="str">
        <f t="shared" si="98"/>
        <v/>
      </c>
    </row>
    <row r="684" spans="1:39" x14ac:dyDescent="0.55000000000000004">
      <c r="A684">
        <v>1777338902</v>
      </c>
      <c r="B684" t="s">
        <v>72</v>
      </c>
      <c r="C684" t="s">
        <v>73</v>
      </c>
      <c r="D684">
        <v>4687.7</v>
      </c>
      <c r="E684">
        <v>4518.5928199999998</v>
      </c>
      <c r="F684">
        <v>4596.0559499999999</v>
      </c>
      <c r="G684">
        <v>4755.40355</v>
      </c>
      <c r="H684">
        <v>4792.7697200000002</v>
      </c>
      <c r="Q684">
        <v>4635.1317399999998</v>
      </c>
      <c r="R684">
        <v>4664.4950399999998</v>
      </c>
      <c r="S684">
        <v>4691.0838100000001</v>
      </c>
      <c r="V684">
        <v>4600.1919699999999</v>
      </c>
      <c r="W684">
        <v>4566.62698</v>
      </c>
      <c r="AB684">
        <v>4686.1310999999996</v>
      </c>
      <c r="AC684">
        <v>4688.64282</v>
      </c>
      <c r="AD684">
        <v>0</v>
      </c>
      <c r="AE684">
        <f t="shared" si="95"/>
        <v>682</v>
      </c>
      <c r="AF684">
        <f t="shared" si="96"/>
        <v>681</v>
      </c>
      <c r="AG684">
        <f t="shared" si="90"/>
        <v>52.568260000000009</v>
      </c>
      <c r="AH684">
        <f t="shared" si="91"/>
        <v>2763.421959427601</v>
      </c>
      <c r="AI684">
        <f t="shared" si="92"/>
        <v>3.3418456793018101</v>
      </c>
      <c r="AJ684">
        <f t="shared" si="93"/>
        <v>4.9963001604236972</v>
      </c>
      <c r="AK684">
        <f t="shared" si="94"/>
        <v>463761</v>
      </c>
      <c r="AL684">
        <f t="shared" si="97"/>
        <v>4693.69938</v>
      </c>
      <c r="AM684" t="str">
        <f t="shared" si="98"/>
        <v/>
      </c>
    </row>
    <row r="685" spans="1:39" x14ac:dyDescent="0.55000000000000004">
      <c r="A685">
        <v>1777339802</v>
      </c>
      <c r="B685" t="s">
        <v>72</v>
      </c>
      <c r="C685" t="s">
        <v>73</v>
      </c>
      <c r="D685">
        <v>4687.37</v>
      </c>
      <c r="E685">
        <v>4518.5928199999998</v>
      </c>
      <c r="F685">
        <v>4596.0559499999999</v>
      </c>
      <c r="G685">
        <v>4755.40355</v>
      </c>
      <c r="H685">
        <v>4792.7697200000002</v>
      </c>
      <c r="Q685">
        <v>4634.8641399999997</v>
      </c>
      <c r="R685">
        <v>4664.2274399999997</v>
      </c>
      <c r="S685">
        <v>4690.81621</v>
      </c>
      <c r="V685">
        <v>4599.9243699999997</v>
      </c>
      <c r="W685">
        <v>4566.3593700000001</v>
      </c>
      <c r="AB685">
        <v>4682.4703799999997</v>
      </c>
      <c r="AC685">
        <v>4685.5565999999999</v>
      </c>
      <c r="AD685">
        <v>0</v>
      </c>
      <c r="AE685">
        <f t="shared" si="95"/>
        <v>683</v>
      </c>
      <c r="AF685">
        <f t="shared" si="96"/>
        <v>682</v>
      </c>
      <c r="AG685">
        <f t="shared" si="90"/>
        <v>52.505860000000212</v>
      </c>
      <c r="AH685">
        <f t="shared" si="91"/>
        <v>2756.8653343396222</v>
      </c>
      <c r="AI685">
        <f t="shared" si="92"/>
        <v>3.3299592062107202</v>
      </c>
      <c r="AJ685">
        <f t="shared" si="93"/>
        <v>4.9726193727307662</v>
      </c>
      <c r="AK685">
        <f t="shared" si="94"/>
        <v>465124</v>
      </c>
      <c r="AL685">
        <f t="shared" si="97"/>
        <v>4693.69938</v>
      </c>
      <c r="AM685" t="str">
        <f t="shared" si="98"/>
        <v/>
      </c>
    </row>
    <row r="686" spans="1:39" x14ac:dyDescent="0.55000000000000004">
      <c r="A686">
        <v>1777340702</v>
      </c>
      <c r="B686" t="s">
        <v>72</v>
      </c>
      <c r="C686" t="s">
        <v>73</v>
      </c>
      <c r="D686">
        <v>4670.88</v>
      </c>
      <c r="E686">
        <v>4518.5928199999998</v>
      </c>
      <c r="F686">
        <v>4596.0559499999999</v>
      </c>
      <c r="G686">
        <v>4755.40355</v>
      </c>
      <c r="H686">
        <v>4792.7697200000002</v>
      </c>
      <c r="Q686">
        <v>4634.5965299999998</v>
      </c>
      <c r="R686">
        <v>4663.9598299999998</v>
      </c>
      <c r="S686">
        <v>4690.5486000000001</v>
      </c>
      <c r="V686">
        <v>4599.6567599999998</v>
      </c>
      <c r="W686">
        <v>4566.09177</v>
      </c>
      <c r="AB686">
        <v>4678.6922000000004</v>
      </c>
      <c r="AC686">
        <v>4682.1243999999997</v>
      </c>
      <c r="AD686">
        <v>0</v>
      </c>
      <c r="AE686">
        <f t="shared" si="95"/>
        <v>684</v>
      </c>
      <c r="AF686">
        <f t="shared" si="96"/>
        <v>683</v>
      </c>
      <c r="AG686">
        <f t="shared" si="90"/>
        <v>36.283470000000307</v>
      </c>
      <c r="AH686">
        <f t="shared" si="91"/>
        <v>1316.4901952409223</v>
      </c>
      <c r="AI686">
        <f t="shared" si="92"/>
        <v>1.0988591478120648</v>
      </c>
      <c r="AJ686">
        <f t="shared" si="93"/>
        <v>1.1339381597860112</v>
      </c>
      <c r="AK686">
        <f t="shared" si="94"/>
        <v>466489</v>
      </c>
      <c r="AL686">
        <f t="shared" si="97"/>
        <v>4693.69938</v>
      </c>
      <c r="AM686" t="str">
        <f t="shared" si="98"/>
        <v/>
      </c>
    </row>
    <row r="687" spans="1:39" x14ac:dyDescent="0.55000000000000004">
      <c r="A687">
        <v>1777341602</v>
      </c>
      <c r="B687" t="s">
        <v>72</v>
      </c>
      <c r="C687" t="s">
        <v>73</v>
      </c>
      <c r="D687">
        <v>4677.5200000000004</v>
      </c>
      <c r="E687">
        <v>4518.5928199999998</v>
      </c>
      <c r="F687">
        <v>4596.0559499999999</v>
      </c>
      <c r="G687">
        <v>4755.40355</v>
      </c>
      <c r="H687">
        <v>4792.7697200000002</v>
      </c>
      <c r="Q687">
        <v>4634.3289299999997</v>
      </c>
      <c r="R687">
        <v>4663.6922299999997</v>
      </c>
      <c r="S687">
        <v>4690.2809999999999</v>
      </c>
      <c r="V687">
        <v>4599.3891599999997</v>
      </c>
      <c r="W687">
        <v>4565.8241600000001</v>
      </c>
      <c r="AB687">
        <v>4675.5786600000001</v>
      </c>
      <c r="AC687">
        <v>4678.8515299999999</v>
      </c>
      <c r="AD687">
        <v>0</v>
      </c>
      <c r="AE687">
        <f t="shared" si="95"/>
        <v>685</v>
      </c>
      <c r="AF687">
        <f t="shared" si="96"/>
        <v>684</v>
      </c>
      <c r="AG687">
        <f t="shared" si="90"/>
        <v>43.191070000000764</v>
      </c>
      <c r="AH687">
        <f t="shared" si="91"/>
        <v>1865.468527744966</v>
      </c>
      <c r="AI687">
        <f t="shared" si="92"/>
        <v>1.853520843521459</v>
      </c>
      <c r="AJ687">
        <f t="shared" si="93"/>
        <v>2.2768266471353309</v>
      </c>
      <c r="AK687">
        <f t="shared" si="94"/>
        <v>467856</v>
      </c>
      <c r="AL687">
        <f t="shared" si="97"/>
        <v>4693.69938</v>
      </c>
      <c r="AM687" t="str">
        <f t="shared" si="98"/>
        <v/>
      </c>
    </row>
    <row r="688" spans="1:39" x14ac:dyDescent="0.55000000000000004">
      <c r="A688">
        <v>1777342502</v>
      </c>
      <c r="B688" t="s">
        <v>72</v>
      </c>
      <c r="C688" t="s">
        <v>73</v>
      </c>
      <c r="D688">
        <v>4675.58</v>
      </c>
      <c r="E688">
        <v>4518.5928199999998</v>
      </c>
      <c r="F688">
        <v>4596.0559499999999</v>
      </c>
      <c r="G688">
        <v>4755.40355</v>
      </c>
      <c r="H688">
        <v>4792.7697200000002</v>
      </c>
      <c r="Q688">
        <v>4634.0613300000005</v>
      </c>
      <c r="R688">
        <v>4663.4246199999998</v>
      </c>
      <c r="S688">
        <v>4690.0133999999998</v>
      </c>
      <c r="V688">
        <v>4599.1215599999996</v>
      </c>
      <c r="W688">
        <v>4565.55656</v>
      </c>
      <c r="AB688">
        <v>4673.2049500000003</v>
      </c>
      <c r="AC688">
        <v>4676.0282399999996</v>
      </c>
      <c r="AD688">
        <v>0</v>
      </c>
      <c r="AE688">
        <f t="shared" si="95"/>
        <v>686</v>
      </c>
      <c r="AF688">
        <f t="shared" si="96"/>
        <v>685</v>
      </c>
      <c r="AG688">
        <f t="shared" si="90"/>
        <v>41.518669999999474</v>
      </c>
      <c r="AH688">
        <f t="shared" si="91"/>
        <v>1723.7999585688563</v>
      </c>
      <c r="AI688">
        <f t="shared" si="92"/>
        <v>1.6464399042005367</v>
      </c>
      <c r="AJ688">
        <f t="shared" si="93"/>
        <v>1.9441413819459734</v>
      </c>
      <c r="AK688">
        <f t="shared" si="94"/>
        <v>469225</v>
      </c>
      <c r="AL688">
        <f t="shared" si="97"/>
        <v>4693.69938</v>
      </c>
      <c r="AM688" t="str">
        <f t="shared" si="98"/>
        <v/>
      </c>
    </row>
    <row r="689" spans="1:39" x14ac:dyDescent="0.55000000000000004">
      <c r="A689">
        <v>1777343402</v>
      </c>
      <c r="B689" t="s">
        <v>72</v>
      </c>
      <c r="C689" t="s">
        <v>73</v>
      </c>
      <c r="D689">
        <v>4671.1499999999996</v>
      </c>
      <c r="E689">
        <v>4518.5928199999998</v>
      </c>
      <c r="F689">
        <v>4596.0559499999999</v>
      </c>
      <c r="G689">
        <v>4755.40355</v>
      </c>
      <c r="H689">
        <v>4792.7697200000002</v>
      </c>
      <c r="Q689">
        <v>4633.7937199999997</v>
      </c>
      <c r="R689">
        <v>4663.1570199999996</v>
      </c>
      <c r="S689">
        <v>4689.7457899999999</v>
      </c>
      <c r="V689">
        <v>4598.8539499999997</v>
      </c>
      <c r="W689">
        <v>4565.2889599999999</v>
      </c>
      <c r="AB689">
        <v>4671.7612399999998</v>
      </c>
      <c r="AC689">
        <v>4673.8947399999997</v>
      </c>
      <c r="AD689">
        <v>0</v>
      </c>
      <c r="AE689">
        <f t="shared" si="95"/>
        <v>687</v>
      </c>
      <c r="AF689">
        <f t="shared" si="96"/>
        <v>686</v>
      </c>
      <c r="AG689">
        <f t="shared" si="90"/>
        <v>37.35627999999997</v>
      </c>
      <c r="AH689">
        <f t="shared" si="91"/>
        <v>1395.4916554383976</v>
      </c>
      <c r="AI689">
        <f t="shared" si="92"/>
        <v>1.1992409515574258</v>
      </c>
      <c r="AJ689">
        <f t="shared" si="93"/>
        <v>1.2741149173064987</v>
      </c>
      <c r="AK689">
        <f t="shared" si="94"/>
        <v>470596</v>
      </c>
      <c r="AL689">
        <f t="shared" si="97"/>
        <v>4693.69938</v>
      </c>
      <c r="AM689" t="str">
        <f t="shared" si="98"/>
        <v/>
      </c>
    </row>
    <row r="690" spans="1:39" x14ac:dyDescent="0.55000000000000004">
      <c r="A690">
        <v>1777344302</v>
      </c>
      <c r="B690" t="s">
        <v>72</v>
      </c>
      <c r="C690" t="s">
        <v>73</v>
      </c>
      <c r="D690">
        <v>4669.1400000000003</v>
      </c>
      <c r="E690">
        <v>4518.5928199999998</v>
      </c>
      <c r="F690">
        <v>4596.0559499999999</v>
      </c>
      <c r="G690">
        <v>4755.40355</v>
      </c>
      <c r="H690">
        <v>4792.7697200000002</v>
      </c>
      <c r="Q690">
        <v>4633.5261200000004</v>
      </c>
      <c r="R690">
        <v>4662.8894200000004</v>
      </c>
      <c r="S690">
        <v>4689.4781899999998</v>
      </c>
      <c r="V690">
        <v>4598.5863499999996</v>
      </c>
      <c r="W690">
        <v>4565.02135</v>
      </c>
      <c r="AB690">
        <v>4671.3199500000001</v>
      </c>
      <c r="AC690">
        <v>4672.6073399999996</v>
      </c>
      <c r="AD690">
        <v>0</v>
      </c>
      <c r="AE690">
        <f t="shared" si="95"/>
        <v>688</v>
      </c>
      <c r="AF690">
        <f t="shared" si="96"/>
        <v>687</v>
      </c>
      <c r="AG690">
        <f t="shared" si="90"/>
        <v>35.613879999999881</v>
      </c>
      <c r="AH690">
        <f t="shared" si="91"/>
        <v>1268.3484486543916</v>
      </c>
      <c r="AI690">
        <f t="shared" si="92"/>
        <v>1.0391385523028369</v>
      </c>
      <c r="AJ690">
        <f t="shared" si="93"/>
        <v>1.0525222288755314</v>
      </c>
      <c r="AK690">
        <f t="shared" si="94"/>
        <v>471969</v>
      </c>
      <c r="AL690">
        <f t="shared" si="97"/>
        <v>4693.69938</v>
      </c>
      <c r="AM690" t="str">
        <f t="shared" si="98"/>
        <v/>
      </c>
    </row>
    <row r="691" spans="1:39" x14ac:dyDescent="0.55000000000000004">
      <c r="A691">
        <v>1777345202</v>
      </c>
      <c r="B691" t="s">
        <v>72</v>
      </c>
      <c r="C691" t="s">
        <v>73</v>
      </c>
      <c r="D691">
        <v>4672.91</v>
      </c>
      <c r="E691">
        <v>4518.5928199999998</v>
      </c>
      <c r="F691">
        <v>4596.0559499999999</v>
      </c>
      <c r="G691">
        <v>4755.40355</v>
      </c>
      <c r="H691">
        <v>4792.7697200000002</v>
      </c>
      <c r="Q691">
        <v>4633.2585099999997</v>
      </c>
      <c r="R691">
        <v>4662.6218099999996</v>
      </c>
      <c r="S691">
        <v>4689.2105799999999</v>
      </c>
      <c r="V691">
        <v>4598.3187399999997</v>
      </c>
      <c r="W691">
        <v>4564.7537499999999</v>
      </c>
      <c r="AB691">
        <v>4671.7183100000002</v>
      </c>
      <c r="AC691">
        <v>4672.1628300000002</v>
      </c>
      <c r="AD691">
        <v>0</v>
      </c>
      <c r="AE691">
        <f t="shared" si="95"/>
        <v>689</v>
      </c>
      <c r="AF691">
        <f t="shared" si="96"/>
        <v>688</v>
      </c>
      <c r="AG691">
        <f t="shared" si="90"/>
        <v>39.651490000000194</v>
      </c>
      <c r="AH691">
        <f t="shared" si="91"/>
        <v>1572.2406592201155</v>
      </c>
      <c r="AI691">
        <f t="shared" si="92"/>
        <v>1.4341484878792341</v>
      </c>
      <c r="AJ691">
        <f t="shared" si="93"/>
        <v>1.6173058562365286</v>
      </c>
      <c r="AK691">
        <f t="shared" si="94"/>
        <v>473344</v>
      </c>
      <c r="AL691">
        <f t="shared" si="97"/>
        <v>4693.69938</v>
      </c>
      <c r="AM691" t="str">
        <f t="shared" si="98"/>
        <v/>
      </c>
    </row>
    <row r="692" spans="1:39" x14ac:dyDescent="0.55000000000000004">
      <c r="A692">
        <v>1777346102</v>
      </c>
      <c r="B692" t="s">
        <v>72</v>
      </c>
      <c r="C692" t="s">
        <v>73</v>
      </c>
      <c r="D692">
        <v>4674.8599999999997</v>
      </c>
      <c r="E692">
        <v>4518.5928199999998</v>
      </c>
      <c r="F692">
        <v>4596.0559499999999</v>
      </c>
      <c r="G692">
        <v>4755.40355</v>
      </c>
      <c r="H692">
        <v>4792.7697200000002</v>
      </c>
      <c r="Q692">
        <v>4632.9909100000004</v>
      </c>
      <c r="R692">
        <v>4662.3542100000004</v>
      </c>
      <c r="S692">
        <v>4688.9429799999998</v>
      </c>
      <c r="V692">
        <v>4598.0511399999996</v>
      </c>
      <c r="W692">
        <v>4564.48614</v>
      </c>
      <c r="AB692">
        <v>4672.4743200000003</v>
      </c>
      <c r="AC692">
        <v>4672.3185800000001</v>
      </c>
      <c r="AD692">
        <v>1</v>
      </c>
      <c r="AE692">
        <f t="shared" si="95"/>
        <v>690</v>
      </c>
      <c r="AF692">
        <f t="shared" si="96"/>
        <v>689</v>
      </c>
      <c r="AG692">
        <f t="shared" si="90"/>
        <v>41.869089999999233</v>
      </c>
      <c r="AH692">
        <f t="shared" si="91"/>
        <v>1753.0206974280356</v>
      </c>
      <c r="AI692">
        <f t="shared" si="92"/>
        <v>1.6884808913659277</v>
      </c>
      <c r="AJ692">
        <f t="shared" si="93"/>
        <v>2.0106116752097933</v>
      </c>
      <c r="AK692">
        <f t="shared" si="94"/>
        <v>474721</v>
      </c>
      <c r="AL692">
        <f t="shared" si="97"/>
        <v>4672.4743200000003</v>
      </c>
      <c r="AM692">
        <f t="shared" si="98"/>
        <v>21.225059999999758</v>
      </c>
    </row>
    <row r="693" spans="1:39" x14ac:dyDescent="0.55000000000000004">
      <c r="A693">
        <v>1777347002</v>
      </c>
      <c r="B693" t="s">
        <v>72</v>
      </c>
      <c r="C693" t="s">
        <v>73</v>
      </c>
      <c r="D693">
        <v>4672.1099999999997</v>
      </c>
      <c r="E693">
        <v>4518.5928199999998</v>
      </c>
      <c r="F693">
        <v>4596.0559499999999</v>
      </c>
      <c r="G693">
        <v>4755.40355</v>
      </c>
      <c r="H693">
        <v>4792.7697200000002</v>
      </c>
      <c r="Q693">
        <v>4632.7233100000003</v>
      </c>
      <c r="R693">
        <v>4662.0865999999996</v>
      </c>
      <c r="S693">
        <v>4688.6753799999997</v>
      </c>
      <c r="V693">
        <v>4597.7835400000004</v>
      </c>
      <c r="W693">
        <v>4564.2185399999998</v>
      </c>
      <c r="AB693">
        <v>4673.0785900000001</v>
      </c>
      <c r="AC693">
        <v>4672.6985800000002</v>
      </c>
      <c r="AD693">
        <v>0</v>
      </c>
      <c r="AE693">
        <f t="shared" si="95"/>
        <v>691</v>
      </c>
      <c r="AF693">
        <f t="shared" si="96"/>
        <v>690</v>
      </c>
      <c r="AG693">
        <f t="shared" si="90"/>
        <v>39.386689999999362</v>
      </c>
      <c r="AH693">
        <f t="shared" si="91"/>
        <v>1551.3113491560498</v>
      </c>
      <c r="AI693">
        <f t="shared" si="92"/>
        <v>1.4056074135844465</v>
      </c>
      <c r="AJ693">
        <f t="shared" si="93"/>
        <v>1.5745340327188628</v>
      </c>
      <c r="AK693">
        <f t="shared" si="94"/>
        <v>476100</v>
      </c>
      <c r="AL693">
        <f t="shared" si="97"/>
        <v>4672.4743200000003</v>
      </c>
      <c r="AM693" t="str">
        <f t="shared" si="98"/>
        <v/>
      </c>
    </row>
    <row r="694" spans="1:39" x14ac:dyDescent="0.55000000000000004">
      <c r="A694">
        <v>1777347902</v>
      </c>
      <c r="B694" t="s">
        <v>72</v>
      </c>
      <c r="C694" t="s">
        <v>73</v>
      </c>
      <c r="D694">
        <v>4671.0200000000004</v>
      </c>
      <c r="E694">
        <v>4518.5928199999998</v>
      </c>
      <c r="F694">
        <v>4596.0559499999999</v>
      </c>
      <c r="G694">
        <v>4755.40355</v>
      </c>
      <c r="H694">
        <v>4792.7697200000002</v>
      </c>
      <c r="Q694">
        <v>4632.4557000000004</v>
      </c>
      <c r="R694">
        <v>4661.8190000000004</v>
      </c>
      <c r="S694">
        <v>4688.4077699999998</v>
      </c>
      <c r="V694">
        <v>4597.5159299999996</v>
      </c>
      <c r="W694">
        <v>4563.95093</v>
      </c>
      <c r="AB694">
        <v>4673.1102899999996</v>
      </c>
      <c r="AC694">
        <v>4672.9044400000002</v>
      </c>
      <c r="AD694">
        <v>0</v>
      </c>
      <c r="AE694">
        <f t="shared" si="95"/>
        <v>692</v>
      </c>
      <c r="AF694">
        <f t="shared" si="96"/>
        <v>691</v>
      </c>
      <c r="AG694">
        <f t="shared" si="90"/>
        <v>38.564300000000003</v>
      </c>
      <c r="AH694">
        <f t="shared" si="91"/>
        <v>1487.2052344900003</v>
      </c>
      <c r="AI694">
        <f t="shared" si="92"/>
        <v>1.3193862157967056</v>
      </c>
      <c r="AJ694">
        <f t="shared" si="93"/>
        <v>1.4470912693896865</v>
      </c>
      <c r="AK694">
        <f t="shared" si="94"/>
        <v>477481</v>
      </c>
      <c r="AL694">
        <f t="shared" si="97"/>
        <v>4672.4743200000003</v>
      </c>
      <c r="AM694" t="str">
        <f t="shared" si="98"/>
        <v/>
      </c>
    </row>
    <row r="695" spans="1:39" x14ac:dyDescent="0.55000000000000004">
      <c r="A695">
        <v>1777348802</v>
      </c>
      <c r="B695" t="s">
        <v>72</v>
      </c>
      <c r="C695" t="s">
        <v>73</v>
      </c>
      <c r="D695">
        <v>4669.93</v>
      </c>
      <c r="E695">
        <v>4518.5928199999998</v>
      </c>
      <c r="F695">
        <v>4596.0559499999999</v>
      </c>
      <c r="G695">
        <v>4755.40355</v>
      </c>
      <c r="H695">
        <v>4792.7697200000002</v>
      </c>
      <c r="Q695">
        <v>4632.1881000000003</v>
      </c>
      <c r="R695">
        <v>4661.5514000000003</v>
      </c>
      <c r="S695">
        <v>4688.1401699999997</v>
      </c>
      <c r="V695">
        <v>4597.2483300000004</v>
      </c>
      <c r="W695">
        <v>4563.6833299999998</v>
      </c>
      <c r="AB695">
        <v>4672.1329800000003</v>
      </c>
      <c r="AC695">
        <v>4672.5187100000003</v>
      </c>
      <c r="AD695">
        <v>1</v>
      </c>
      <c r="AE695">
        <f t="shared" si="95"/>
        <v>693</v>
      </c>
      <c r="AF695">
        <f t="shared" si="96"/>
        <v>692</v>
      </c>
      <c r="AG695">
        <f t="shared" si="90"/>
        <v>37.741899999999987</v>
      </c>
      <c r="AH695">
        <f t="shared" si="91"/>
        <v>1424.4510156099991</v>
      </c>
      <c r="AI695">
        <f t="shared" si="92"/>
        <v>1.23676407993659</v>
      </c>
      <c r="AJ695">
        <f t="shared" si="93"/>
        <v>1.3275446934058313</v>
      </c>
      <c r="AK695">
        <f t="shared" si="94"/>
        <v>478864</v>
      </c>
      <c r="AL695">
        <f t="shared" si="97"/>
        <v>4672.1329800000003</v>
      </c>
      <c r="AM695">
        <f t="shared" si="98"/>
        <v>0.34133999999994558</v>
      </c>
    </row>
    <row r="696" spans="1:39" x14ac:dyDescent="0.55000000000000004">
      <c r="A696">
        <v>1777349702</v>
      </c>
      <c r="B696" t="s">
        <v>72</v>
      </c>
      <c r="C696" t="s">
        <v>73</v>
      </c>
      <c r="D696">
        <v>4667.66</v>
      </c>
      <c r="E696">
        <v>4518.5928199999998</v>
      </c>
      <c r="F696">
        <v>4596.0559499999999</v>
      </c>
      <c r="G696">
        <v>4755.40355</v>
      </c>
      <c r="H696">
        <v>4792.7697200000002</v>
      </c>
      <c r="Q696">
        <v>4631.9204900000004</v>
      </c>
      <c r="R696">
        <v>4661.2837900000004</v>
      </c>
      <c r="S696">
        <v>4687.8725599999998</v>
      </c>
      <c r="V696">
        <v>4596.9807199999996</v>
      </c>
      <c r="W696">
        <v>4563.4157299999997</v>
      </c>
      <c r="AB696">
        <v>4669.8735900000001</v>
      </c>
      <c r="AC696">
        <v>4671.1961499999998</v>
      </c>
      <c r="AD696">
        <v>0</v>
      </c>
      <c r="AE696">
        <f t="shared" si="95"/>
        <v>694</v>
      </c>
      <c r="AF696">
        <f t="shared" si="96"/>
        <v>693</v>
      </c>
      <c r="AG696">
        <f t="shared" si="90"/>
        <v>35.739509999999427</v>
      </c>
      <c r="AH696">
        <f t="shared" si="91"/>
        <v>1277.3125750400591</v>
      </c>
      <c r="AI696">
        <f t="shared" si="92"/>
        <v>1.0501742521268955</v>
      </c>
      <c r="AJ696">
        <f t="shared" si="93"/>
        <v>1.0674523268228486</v>
      </c>
      <c r="AK696">
        <f t="shared" si="94"/>
        <v>480249</v>
      </c>
      <c r="AL696">
        <f t="shared" si="97"/>
        <v>4672.1329800000003</v>
      </c>
      <c r="AM696" t="str">
        <f t="shared" si="98"/>
        <v/>
      </c>
    </row>
    <row r="697" spans="1:39" x14ac:dyDescent="0.55000000000000004">
      <c r="A697">
        <v>1777350602</v>
      </c>
      <c r="B697" t="s">
        <v>72</v>
      </c>
      <c r="C697" t="s">
        <v>73</v>
      </c>
      <c r="D697">
        <v>4669.92</v>
      </c>
      <c r="E697">
        <v>4518.5928199999998</v>
      </c>
      <c r="F697">
        <v>4596.0559499999999</v>
      </c>
      <c r="G697">
        <v>4755.40355</v>
      </c>
      <c r="H697">
        <v>4792.7697200000002</v>
      </c>
      <c r="Q697">
        <v>4631.6528900000003</v>
      </c>
      <c r="R697">
        <v>4661.0161900000003</v>
      </c>
      <c r="S697">
        <v>4687.6049599999997</v>
      </c>
      <c r="V697">
        <v>4596.7131200000003</v>
      </c>
      <c r="W697">
        <v>4563.1481199999998</v>
      </c>
      <c r="AB697">
        <v>4666.2113300000001</v>
      </c>
      <c r="AC697">
        <v>4668.7037399999999</v>
      </c>
      <c r="AD697">
        <v>0</v>
      </c>
      <c r="AE697">
        <f t="shared" si="95"/>
        <v>695</v>
      </c>
      <c r="AF697">
        <f t="shared" si="96"/>
        <v>694</v>
      </c>
      <c r="AG697">
        <f t="shared" si="90"/>
        <v>38.267109999999775</v>
      </c>
      <c r="AH697">
        <f t="shared" si="91"/>
        <v>1464.3717077520828</v>
      </c>
      <c r="AI697">
        <f t="shared" si="92"/>
        <v>1.2891177218471086</v>
      </c>
      <c r="AJ697">
        <f t="shared" si="93"/>
        <v>1.4029970948378614</v>
      </c>
      <c r="AK697">
        <f t="shared" si="94"/>
        <v>481636</v>
      </c>
      <c r="AL697">
        <f t="shared" si="97"/>
        <v>4672.1329800000003</v>
      </c>
      <c r="AM697" t="str">
        <f t="shared" si="98"/>
        <v/>
      </c>
    </row>
    <row r="698" spans="1:39" x14ac:dyDescent="0.55000000000000004">
      <c r="A698">
        <v>1777351502</v>
      </c>
      <c r="B698" t="s">
        <v>72</v>
      </c>
      <c r="C698" t="s">
        <v>73</v>
      </c>
      <c r="D698">
        <v>4667.71</v>
      </c>
      <c r="E698">
        <v>4518.5928199999998</v>
      </c>
      <c r="F698">
        <v>4596.0559499999999</v>
      </c>
      <c r="G698">
        <v>4755.40355</v>
      </c>
      <c r="H698">
        <v>4792.7697200000002</v>
      </c>
      <c r="Q698">
        <v>4631.3852900000002</v>
      </c>
      <c r="R698">
        <v>4660.7485800000004</v>
      </c>
      <c r="S698">
        <v>4687.3373499999998</v>
      </c>
      <c r="V698">
        <v>4596.4455099999996</v>
      </c>
      <c r="W698">
        <v>4562.8805199999997</v>
      </c>
      <c r="AB698">
        <v>4661.0683900000004</v>
      </c>
      <c r="AC698">
        <v>4664.8860699999996</v>
      </c>
      <c r="AD698">
        <v>0</v>
      </c>
      <c r="AE698">
        <f t="shared" si="95"/>
        <v>696</v>
      </c>
      <c r="AF698">
        <f t="shared" si="96"/>
        <v>695</v>
      </c>
      <c r="AG698">
        <f t="shared" si="90"/>
        <v>36.324709999999868</v>
      </c>
      <c r="AH698">
        <f t="shared" si="91"/>
        <v>1319.4845565840903</v>
      </c>
      <c r="AI698">
        <f t="shared" si="92"/>
        <v>1.1026103170036918</v>
      </c>
      <c r="AJ698">
        <f t="shared" si="93"/>
        <v>1.1391023183209226</v>
      </c>
      <c r="AK698">
        <f t="shared" si="94"/>
        <v>483025</v>
      </c>
      <c r="AL698">
        <f t="shared" si="97"/>
        <v>4672.1329800000003</v>
      </c>
      <c r="AM698" t="str">
        <f t="shared" si="98"/>
        <v/>
      </c>
    </row>
    <row r="699" spans="1:39" x14ac:dyDescent="0.55000000000000004">
      <c r="A699">
        <v>1777352402</v>
      </c>
      <c r="B699" t="s">
        <v>72</v>
      </c>
      <c r="C699" t="s">
        <v>73</v>
      </c>
      <c r="D699">
        <v>4652.57</v>
      </c>
      <c r="E699">
        <v>4518.5928199999998</v>
      </c>
      <c r="F699">
        <v>4596.0559499999999</v>
      </c>
      <c r="G699">
        <v>4755.40355</v>
      </c>
      <c r="H699">
        <v>4792.7697200000002</v>
      </c>
      <c r="Q699">
        <v>4631.1176800000003</v>
      </c>
      <c r="R699">
        <v>4660.4809800000003</v>
      </c>
      <c r="S699">
        <v>4687.0697499999997</v>
      </c>
      <c r="V699">
        <v>4596.1779100000003</v>
      </c>
      <c r="W699">
        <v>4562.6129099999998</v>
      </c>
      <c r="AB699">
        <v>4654.7678500000002</v>
      </c>
      <c r="AC699">
        <v>4659.8269600000003</v>
      </c>
      <c r="AD699">
        <v>0</v>
      </c>
      <c r="AE699">
        <f t="shared" si="95"/>
        <v>697</v>
      </c>
      <c r="AF699">
        <f t="shared" si="96"/>
        <v>696</v>
      </c>
      <c r="AG699">
        <f t="shared" si="90"/>
        <v>21.452319999999418</v>
      </c>
      <c r="AH699">
        <f t="shared" si="91"/>
        <v>460.20203338237502</v>
      </c>
      <c r="AI699">
        <f t="shared" si="92"/>
        <v>0.2271111123321678</v>
      </c>
      <c r="AJ699">
        <f t="shared" si="93"/>
        <v>0.13856424480585844</v>
      </c>
      <c r="AK699">
        <f t="shared" si="94"/>
        <v>484416</v>
      </c>
      <c r="AL699">
        <f t="shared" si="97"/>
        <v>4672.1329800000003</v>
      </c>
      <c r="AM699" t="str">
        <f t="shared" si="98"/>
        <v/>
      </c>
    </row>
    <row r="700" spans="1:39" x14ac:dyDescent="0.55000000000000004">
      <c r="A700">
        <v>1777353302</v>
      </c>
      <c r="B700" t="s">
        <v>72</v>
      </c>
      <c r="C700" t="s">
        <v>73</v>
      </c>
      <c r="D700">
        <v>4658.38</v>
      </c>
      <c r="E700">
        <v>4518.5928199999998</v>
      </c>
      <c r="F700">
        <v>4596.0559499999999</v>
      </c>
      <c r="G700">
        <v>4755.40355</v>
      </c>
      <c r="H700">
        <v>4792.7697200000002</v>
      </c>
      <c r="Q700">
        <v>4630.8500800000002</v>
      </c>
      <c r="R700">
        <v>4660.2133800000001</v>
      </c>
      <c r="S700">
        <v>4686.8021500000004</v>
      </c>
      <c r="V700">
        <v>4595.9103100000002</v>
      </c>
      <c r="W700">
        <v>4562.3453099999997</v>
      </c>
      <c r="AB700">
        <v>4648.1705099999999</v>
      </c>
      <c r="AC700">
        <v>4653.99874</v>
      </c>
      <c r="AD700">
        <v>0</v>
      </c>
      <c r="AE700">
        <f t="shared" si="95"/>
        <v>698</v>
      </c>
      <c r="AF700">
        <f t="shared" si="96"/>
        <v>697</v>
      </c>
      <c r="AG700">
        <f t="shared" si="90"/>
        <v>27.529919999999947</v>
      </c>
      <c r="AH700">
        <f t="shared" si="91"/>
        <v>757.89649520639705</v>
      </c>
      <c r="AI700">
        <f t="shared" si="92"/>
        <v>0.4799880582525512</v>
      </c>
      <c r="AJ700">
        <f t="shared" si="93"/>
        <v>0.37581482684105955</v>
      </c>
      <c r="AK700">
        <f t="shared" si="94"/>
        <v>485809</v>
      </c>
      <c r="AL700">
        <f t="shared" si="97"/>
        <v>4672.1329800000003</v>
      </c>
      <c r="AM700" t="str">
        <f t="shared" si="98"/>
        <v/>
      </c>
    </row>
    <row r="701" spans="1:39" x14ac:dyDescent="0.55000000000000004">
      <c r="A701">
        <v>1777354202</v>
      </c>
      <c r="B701" t="s">
        <v>72</v>
      </c>
      <c r="C701" t="s">
        <v>73</v>
      </c>
      <c r="D701">
        <v>4624.58</v>
      </c>
      <c r="E701">
        <v>4518.5928199999998</v>
      </c>
      <c r="F701">
        <v>4596.0559499999999</v>
      </c>
      <c r="G701">
        <v>4755.40355</v>
      </c>
      <c r="H701">
        <v>4792.7697200000002</v>
      </c>
      <c r="Q701">
        <v>4630.5824700000003</v>
      </c>
      <c r="R701">
        <v>4659.9457700000003</v>
      </c>
      <c r="S701">
        <v>4686.5345399999997</v>
      </c>
      <c r="V701">
        <v>4595.6427000000003</v>
      </c>
      <c r="W701">
        <v>4562.0777099999996</v>
      </c>
      <c r="AB701">
        <v>4641.6517100000001</v>
      </c>
      <c r="AC701">
        <v>4647.8252300000004</v>
      </c>
      <c r="AD701">
        <v>0</v>
      </c>
      <c r="AE701">
        <f t="shared" si="95"/>
        <v>699</v>
      </c>
      <c r="AF701">
        <f t="shared" si="96"/>
        <v>698</v>
      </c>
      <c r="AG701">
        <f t="shared" si="90"/>
        <v>-6.0024700000003577</v>
      </c>
      <c r="AH701">
        <f t="shared" si="91"/>
        <v>36.029646100904294</v>
      </c>
      <c r="AI701">
        <f t="shared" si="92"/>
        <v>-4.9751431238679762E-3</v>
      </c>
      <c r="AJ701">
        <f t="shared" si="93"/>
        <v>8.4932538619988918E-4</v>
      </c>
      <c r="AK701">
        <f t="shared" si="94"/>
        <v>487204</v>
      </c>
      <c r="AL701">
        <f t="shared" si="97"/>
        <v>4672.1329800000003</v>
      </c>
      <c r="AM701" t="str">
        <f t="shared" si="98"/>
        <v/>
      </c>
    </row>
    <row r="702" spans="1:39" x14ac:dyDescent="0.55000000000000004">
      <c r="A702">
        <v>1777355102</v>
      </c>
      <c r="B702" t="s">
        <v>72</v>
      </c>
      <c r="C702" t="s">
        <v>73</v>
      </c>
      <c r="D702">
        <v>4632.2299999999996</v>
      </c>
      <c r="E702">
        <v>4518.5928199999998</v>
      </c>
      <c r="F702">
        <v>4596.0559499999999</v>
      </c>
      <c r="G702">
        <v>4755.40355</v>
      </c>
      <c r="H702">
        <v>4792.7697200000002</v>
      </c>
      <c r="Q702">
        <v>4630.3148700000002</v>
      </c>
      <c r="R702">
        <v>4659.6781700000001</v>
      </c>
      <c r="S702">
        <v>4686.2669400000004</v>
      </c>
      <c r="V702">
        <v>4595.3751000000002</v>
      </c>
      <c r="W702">
        <v>4561.8100999999997</v>
      </c>
      <c r="AB702">
        <v>4636.6351199999999</v>
      </c>
      <c r="AC702">
        <v>4642.2301699999998</v>
      </c>
      <c r="AD702">
        <v>0</v>
      </c>
      <c r="AE702">
        <f t="shared" si="95"/>
        <v>700</v>
      </c>
      <c r="AF702">
        <f t="shared" si="96"/>
        <v>699</v>
      </c>
      <c r="AG702">
        <f t="shared" si="90"/>
        <v>1.915129999999408</v>
      </c>
      <c r="AH702">
        <f t="shared" si="91"/>
        <v>3.6677229168977328</v>
      </c>
      <c r="AI702">
        <f t="shared" si="92"/>
        <v>1.6158846774602185E-4</v>
      </c>
      <c r="AJ702">
        <f t="shared" si="93"/>
        <v>8.8013066034062491E-6</v>
      </c>
      <c r="AK702">
        <f t="shared" si="94"/>
        <v>488601</v>
      </c>
      <c r="AL702">
        <f t="shared" si="97"/>
        <v>4672.1329800000003</v>
      </c>
      <c r="AM702" t="str">
        <f t="shared" si="98"/>
        <v/>
      </c>
    </row>
    <row r="703" spans="1:39" x14ac:dyDescent="0.55000000000000004">
      <c r="A703">
        <v>1777356002</v>
      </c>
      <c r="B703" t="s">
        <v>72</v>
      </c>
      <c r="C703" t="s">
        <v>73</v>
      </c>
      <c r="D703">
        <v>4640.6899999999996</v>
      </c>
      <c r="E703">
        <v>4518.5928199999998</v>
      </c>
      <c r="F703">
        <v>4596.0559499999999</v>
      </c>
      <c r="G703">
        <v>4755.40355</v>
      </c>
      <c r="H703">
        <v>4792.7697200000002</v>
      </c>
      <c r="Q703">
        <v>4630.0472600000003</v>
      </c>
      <c r="R703">
        <v>4659.4105600000003</v>
      </c>
      <c r="S703">
        <v>4685.9993299999996</v>
      </c>
      <c r="V703">
        <v>4595.1074900000003</v>
      </c>
      <c r="W703">
        <v>4561.5424999999996</v>
      </c>
      <c r="AB703">
        <v>4633.1456200000002</v>
      </c>
      <c r="AC703">
        <v>4637.6878999999999</v>
      </c>
      <c r="AD703">
        <v>0</v>
      </c>
      <c r="AE703">
        <f t="shared" si="95"/>
        <v>701</v>
      </c>
      <c r="AF703">
        <f t="shared" si="96"/>
        <v>700</v>
      </c>
      <c r="AG703">
        <f t="shared" si="90"/>
        <v>10.642739999999321</v>
      </c>
      <c r="AH703">
        <f t="shared" si="91"/>
        <v>113.26791470758555</v>
      </c>
      <c r="AI703">
        <f t="shared" si="92"/>
        <v>2.7731664801396112E-2</v>
      </c>
      <c r="AJ703">
        <f t="shared" si="93"/>
        <v>8.3939798601195582E-3</v>
      </c>
      <c r="AK703">
        <f t="shared" si="94"/>
        <v>490000</v>
      </c>
      <c r="AL703">
        <f t="shared" si="97"/>
        <v>4672.1329800000003</v>
      </c>
      <c r="AM703" t="str">
        <f t="shared" si="98"/>
        <v/>
      </c>
    </row>
    <row r="704" spans="1:39" x14ac:dyDescent="0.55000000000000004">
      <c r="A704">
        <v>1777356902</v>
      </c>
      <c r="B704" t="s">
        <v>72</v>
      </c>
      <c r="C704" t="s">
        <v>73</v>
      </c>
      <c r="D704">
        <v>4631.6400000000003</v>
      </c>
      <c r="E704">
        <v>4518.5928199999998</v>
      </c>
      <c r="F704">
        <v>4596.0559499999999</v>
      </c>
      <c r="G704">
        <v>4755.40355</v>
      </c>
      <c r="H704">
        <v>4792.7697200000002</v>
      </c>
      <c r="Q704">
        <v>4629.7796600000001</v>
      </c>
      <c r="R704">
        <v>4659.1429600000001</v>
      </c>
      <c r="S704">
        <v>4685.7317300000004</v>
      </c>
      <c r="V704">
        <v>4594.8398900000002</v>
      </c>
      <c r="W704">
        <v>4561.2748899999997</v>
      </c>
      <c r="AB704">
        <v>4630.9232099999999</v>
      </c>
      <c r="AC704">
        <v>4634.30555</v>
      </c>
      <c r="AD704">
        <v>0</v>
      </c>
      <c r="AE704">
        <f t="shared" si="95"/>
        <v>702</v>
      </c>
      <c r="AF704">
        <f t="shared" si="96"/>
        <v>701</v>
      </c>
      <c r="AG704">
        <f t="shared" si="90"/>
        <v>1.8603400000001784</v>
      </c>
      <c r="AH704">
        <f t="shared" si="91"/>
        <v>3.4608649156006637</v>
      </c>
      <c r="AI704">
        <f t="shared" si="92"/>
        <v>1.4811278796947165E-4</v>
      </c>
      <c r="AJ704">
        <f t="shared" si="93"/>
        <v>7.8365229382807459E-6</v>
      </c>
      <c r="AK704">
        <f t="shared" si="94"/>
        <v>491401</v>
      </c>
      <c r="AL704">
        <f t="shared" si="97"/>
        <v>4672.1329800000003</v>
      </c>
      <c r="AM704" t="str">
        <f t="shared" si="98"/>
        <v/>
      </c>
    </row>
    <row r="705" spans="1:39" x14ac:dyDescent="0.55000000000000004">
      <c r="A705">
        <v>1777357802</v>
      </c>
      <c r="B705" t="s">
        <v>72</v>
      </c>
      <c r="C705" t="s">
        <v>73</v>
      </c>
      <c r="D705">
        <v>4629.83</v>
      </c>
      <c r="E705">
        <v>4518.5928199999998</v>
      </c>
      <c r="F705">
        <v>4596.0559499999999</v>
      </c>
      <c r="G705">
        <v>4755.40355</v>
      </c>
      <c r="H705">
        <v>4792.7697200000002</v>
      </c>
      <c r="Q705">
        <v>4629.51206</v>
      </c>
      <c r="R705">
        <v>4658.87536</v>
      </c>
      <c r="S705">
        <v>4685.4641300000003</v>
      </c>
      <c r="V705">
        <v>4594.5722900000001</v>
      </c>
      <c r="W705">
        <v>4561.0072899999996</v>
      </c>
      <c r="AB705">
        <v>4629.9781999999996</v>
      </c>
      <c r="AC705">
        <v>4632.1418800000001</v>
      </c>
      <c r="AD705">
        <v>0</v>
      </c>
      <c r="AE705">
        <f t="shared" si="95"/>
        <v>703</v>
      </c>
      <c r="AF705">
        <f t="shared" si="96"/>
        <v>702</v>
      </c>
      <c r="AG705">
        <f t="shared" si="90"/>
        <v>0.31793999999990774</v>
      </c>
      <c r="AH705">
        <f t="shared" si="91"/>
        <v>0.10108584359994133</v>
      </c>
      <c r="AI705">
        <f t="shared" si="92"/>
        <v>7.3935173130774072E-7</v>
      </c>
      <c r="AJ705">
        <f t="shared" si="93"/>
        <v>6.6855138406719041E-9</v>
      </c>
      <c r="AK705">
        <f t="shared" si="94"/>
        <v>492804</v>
      </c>
      <c r="AL705">
        <f t="shared" si="97"/>
        <v>4672.1329800000003</v>
      </c>
      <c r="AM705" t="str">
        <f t="shared" si="98"/>
        <v/>
      </c>
    </row>
    <row r="706" spans="1:39" x14ac:dyDescent="0.55000000000000004">
      <c r="A706">
        <v>1777358702</v>
      </c>
      <c r="B706" t="s">
        <v>72</v>
      </c>
      <c r="C706" t="s">
        <v>73</v>
      </c>
      <c r="D706">
        <v>4628.99</v>
      </c>
      <c r="E706">
        <v>4518.5928199999998</v>
      </c>
      <c r="F706">
        <v>4596.0559499999999</v>
      </c>
      <c r="G706">
        <v>4755.40355</v>
      </c>
      <c r="H706">
        <v>4792.7697200000002</v>
      </c>
      <c r="Q706">
        <v>4629.2444500000001</v>
      </c>
      <c r="R706">
        <v>4658.6077500000001</v>
      </c>
      <c r="S706">
        <v>4685.1965200000004</v>
      </c>
      <c r="V706">
        <v>4594.3046800000002</v>
      </c>
      <c r="W706">
        <v>4560.7396900000003</v>
      </c>
      <c r="AB706">
        <v>4629.9734500000004</v>
      </c>
      <c r="AC706">
        <v>4631.0576600000004</v>
      </c>
      <c r="AD706">
        <v>0</v>
      </c>
      <c r="AE706">
        <f t="shared" si="95"/>
        <v>704</v>
      </c>
      <c r="AF706">
        <f t="shared" si="96"/>
        <v>703</v>
      </c>
      <c r="AG706">
        <f t="shared" si="90"/>
        <v>-0.25445000000036089</v>
      </c>
      <c r="AH706">
        <f t="shared" si="91"/>
        <v>6.4744802500183662E-2</v>
      </c>
      <c r="AI706">
        <f t="shared" si="92"/>
        <v>-3.7898581062225124E-7</v>
      </c>
      <c r="AJ706">
        <f t="shared" si="93"/>
        <v>2.7426092314821943E-9</v>
      </c>
      <c r="AK706">
        <f t="shared" si="94"/>
        <v>494209</v>
      </c>
      <c r="AL706">
        <f t="shared" si="97"/>
        <v>4672.1329800000003</v>
      </c>
      <c r="AM706" t="str">
        <f t="shared" si="98"/>
        <v/>
      </c>
    </row>
    <row r="707" spans="1:39" x14ac:dyDescent="0.55000000000000004">
      <c r="A707">
        <v>1777359602</v>
      </c>
      <c r="B707" t="s">
        <v>72</v>
      </c>
      <c r="C707" t="s">
        <v>73</v>
      </c>
      <c r="D707">
        <v>4634.3</v>
      </c>
      <c r="E707">
        <v>4518.5928199999998</v>
      </c>
      <c r="F707">
        <v>4596.0559499999999</v>
      </c>
      <c r="G707">
        <v>4755.40355</v>
      </c>
      <c r="H707">
        <v>4792.7697200000002</v>
      </c>
      <c r="Q707">
        <v>4628.97685</v>
      </c>
      <c r="R707">
        <v>4658.34015</v>
      </c>
      <c r="S707">
        <v>4684.9289200000003</v>
      </c>
      <c r="V707">
        <v>4594.0370800000001</v>
      </c>
      <c r="W707">
        <v>4560.4720799999996</v>
      </c>
      <c r="AB707">
        <v>4630.4302200000002</v>
      </c>
      <c r="AC707">
        <v>4630.7439400000003</v>
      </c>
      <c r="AD707">
        <v>0</v>
      </c>
      <c r="AE707">
        <f t="shared" si="95"/>
        <v>705</v>
      </c>
      <c r="AF707">
        <f t="shared" si="96"/>
        <v>704</v>
      </c>
      <c r="AG707">
        <f t="shared" ref="AG707:AG770" si="99">D707-Q707</f>
        <v>5.3231500000001688</v>
      </c>
      <c r="AH707">
        <f t="shared" ref="AH707:AH770" si="100">AG707^2</f>
        <v>28.335925922501797</v>
      </c>
      <c r="AI707">
        <f t="shared" ref="AI707:AI770" si="101">(AG707/STDEV($AG$3:$AG$1137))^3</f>
        <v>3.4699378579902836E-3</v>
      </c>
      <c r="AJ707">
        <f t="shared" ref="AJ707:AJ770" si="102">(AG707/STDEV($AG$3:$AG$1137))^4</f>
        <v>5.2532604078860048E-4</v>
      </c>
      <c r="AK707">
        <f t="shared" ref="AK707:AK770" si="103">AF707^2</f>
        <v>495616</v>
      </c>
      <c r="AL707">
        <f t="shared" si="97"/>
        <v>4672.1329800000003</v>
      </c>
      <c r="AM707" t="str">
        <f t="shared" si="98"/>
        <v/>
      </c>
    </row>
    <row r="708" spans="1:39" x14ac:dyDescent="0.55000000000000004">
      <c r="A708">
        <v>1777360502</v>
      </c>
      <c r="B708" t="s">
        <v>72</v>
      </c>
      <c r="C708" t="s">
        <v>73</v>
      </c>
      <c r="D708">
        <v>4629.79</v>
      </c>
      <c r="E708">
        <v>4518.5928199999998</v>
      </c>
      <c r="F708">
        <v>4596.0559499999999</v>
      </c>
      <c r="G708">
        <v>4755.40355</v>
      </c>
      <c r="H708">
        <v>4792.7697200000002</v>
      </c>
      <c r="Q708">
        <v>4628.7092400000001</v>
      </c>
      <c r="R708">
        <v>4658.0725400000001</v>
      </c>
      <c r="S708">
        <v>4684.6613100000004</v>
      </c>
      <c r="V708">
        <v>4593.7694700000002</v>
      </c>
      <c r="W708">
        <v>4560.2044800000003</v>
      </c>
      <c r="AB708">
        <v>4630.7363299999997</v>
      </c>
      <c r="AC708">
        <v>4630.7401399999999</v>
      </c>
      <c r="AD708">
        <v>0</v>
      </c>
      <c r="AE708">
        <f t="shared" ref="AE708:AE771" si="104">AE707+1</f>
        <v>706</v>
      </c>
      <c r="AF708">
        <f t="shared" ref="AF708:AF771" si="105">AF707+1</f>
        <v>705</v>
      </c>
      <c r="AG708">
        <f t="shared" si="99"/>
        <v>1.0807599999998274</v>
      </c>
      <c r="AH708">
        <f t="shared" si="100"/>
        <v>1.168042177599627</v>
      </c>
      <c r="AI708">
        <f t="shared" si="101"/>
        <v>2.9040452050554693E-5</v>
      </c>
      <c r="AJ708">
        <f t="shared" si="102"/>
        <v>8.9262935144819287E-7</v>
      </c>
      <c r="AK708">
        <f t="shared" si="103"/>
        <v>497025</v>
      </c>
      <c r="AL708">
        <f t="shared" ref="AL708:AL771" si="106">IF(AD708=1,AB708,IF(AL707&lt;&gt;"",AL707,""))</f>
        <v>4672.1329800000003</v>
      </c>
      <c r="AM708" t="str">
        <f t="shared" ref="AM708:AM771" si="107">IF(AND(AD708=1,AL707&lt;&gt;""),ABS(AB708-AL707),"")</f>
        <v/>
      </c>
    </row>
    <row r="709" spans="1:39" x14ac:dyDescent="0.55000000000000004">
      <c r="A709">
        <v>1777361402</v>
      </c>
      <c r="B709" t="s">
        <v>72</v>
      </c>
      <c r="C709" t="s">
        <v>73</v>
      </c>
      <c r="D709">
        <v>4629.38</v>
      </c>
      <c r="E709">
        <v>4518.5928199999998</v>
      </c>
      <c r="F709">
        <v>4596.0559499999999</v>
      </c>
      <c r="G709">
        <v>4755.40355</v>
      </c>
      <c r="H709">
        <v>4792.7697200000002</v>
      </c>
      <c r="Q709">
        <v>4628.44164</v>
      </c>
      <c r="R709">
        <v>4657.80494</v>
      </c>
      <c r="S709">
        <v>4684.3937100000003</v>
      </c>
      <c r="V709">
        <v>4593.5018700000001</v>
      </c>
      <c r="W709">
        <v>4559.9368700000005</v>
      </c>
      <c r="AB709">
        <v>4630.6490100000001</v>
      </c>
      <c r="AC709">
        <v>4630.6945699999997</v>
      </c>
      <c r="AD709">
        <v>0</v>
      </c>
      <c r="AE709">
        <f t="shared" si="104"/>
        <v>707</v>
      </c>
      <c r="AF709">
        <f t="shared" si="105"/>
        <v>706</v>
      </c>
      <c r="AG709">
        <f t="shared" si="99"/>
        <v>0.93836000000010245</v>
      </c>
      <c r="AH709">
        <f t="shared" si="100"/>
        <v>0.88051948960019222</v>
      </c>
      <c r="AI709">
        <f t="shared" si="101"/>
        <v>1.9007458206992476E-5</v>
      </c>
      <c r="AJ709">
        <f t="shared" si="102"/>
        <v>5.0726168384029429E-7</v>
      </c>
      <c r="AK709">
        <f t="shared" si="103"/>
        <v>498436</v>
      </c>
      <c r="AL709">
        <f t="shared" si="106"/>
        <v>4672.1329800000003</v>
      </c>
      <c r="AM709" t="str">
        <f t="shared" si="107"/>
        <v/>
      </c>
    </row>
    <row r="710" spans="1:39" x14ac:dyDescent="0.55000000000000004">
      <c r="A710">
        <v>1777362302</v>
      </c>
      <c r="B710" t="s">
        <v>72</v>
      </c>
      <c r="C710" t="s">
        <v>73</v>
      </c>
      <c r="D710">
        <v>4633.24</v>
      </c>
      <c r="E710">
        <v>4518.5928199999998</v>
      </c>
      <c r="F710">
        <v>4596.0559499999999</v>
      </c>
      <c r="G710">
        <v>4755.40355</v>
      </c>
      <c r="H710">
        <v>4792.7697200000002</v>
      </c>
      <c r="Q710">
        <v>4628.1740399999999</v>
      </c>
      <c r="R710">
        <v>4657.5373300000001</v>
      </c>
      <c r="S710">
        <v>4684.1261100000002</v>
      </c>
      <c r="V710">
        <v>4593.2342699999999</v>
      </c>
      <c r="W710">
        <v>4559.6692700000003</v>
      </c>
      <c r="AB710">
        <v>4629.9938499999998</v>
      </c>
      <c r="AC710">
        <v>4630.3442100000002</v>
      </c>
      <c r="AD710">
        <v>0</v>
      </c>
      <c r="AE710">
        <f t="shared" si="104"/>
        <v>708</v>
      </c>
      <c r="AF710">
        <f t="shared" si="105"/>
        <v>707</v>
      </c>
      <c r="AG710">
        <f t="shared" si="99"/>
        <v>5.0659599999999045</v>
      </c>
      <c r="AH710">
        <f t="shared" si="100"/>
        <v>25.663950721599033</v>
      </c>
      <c r="AI710">
        <f t="shared" si="101"/>
        <v>2.9908928431630483E-3</v>
      </c>
      <c r="AJ710">
        <f t="shared" si="102"/>
        <v>4.3092445203142483E-4</v>
      </c>
      <c r="AK710">
        <f t="shared" si="103"/>
        <v>499849</v>
      </c>
      <c r="AL710">
        <f t="shared" si="106"/>
        <v>4672.1329800000003</v>
      </c>
      <c r="AM710" t="str">
        <f t="shared" si="107"/>
        <v/>
      </c>
    </row>
    <row r="711" spans="1:39" x14ac:dyDescent="0.55000000000000004">
      <c r="A711">
        <v>1777363202</v>
      </c>
      <c r="B711" t="s">
        <v>72</v>
      </c>
      <c r="C711" t="s">
        <v>73</v>
      </c>
      <c r="D711">
        <v>4620.29</v>
      </c>
      <c r="E711">
        <v>4518.5928199999998</v>
      </c>
      <c r="F711">
        <v>4596.0559499999999</v>
      </c>
      <c r="G711">
        <v>4755.40355</v>
      </c>
      <c r="H711">
        <v>4792.7697200000002</v>
      </c>
      <c r="Q711">
        <v>4627.90643</v>
      </c>
      <c r="R711">
        <v>4657.26973</v>
      </c>
      <c r="S711">
        <v>4683.8585000000003</v>
      </c>
      <c r="V711">
        <v>4592.96666</v>
      </c>
      <c r="W711">
        <v>4559.4016700000002</v>
      </c>
      <c r="AB711">
        <v>4628.6672600000002</v>
      </c>
      <c r="AC711">
        <v>4629.5057299999999</v>
      </c>
      <c r="AD711">
        <v>0</v>
      </c>
      <c r="AE711">
        <f t="shared" si="104"/>
        <v>709</v>
      </c>
      <c r="AF711">
        <f t="shared" si="105"/>
        <v>708</v>
      </c>
      <c r="AG711">
        <f t="shared" si="99"/>
        <v>-7.6164300000000367</v>
      </c>
      <c r="AH711">
        <f t="shared" si="100"/>
        <v>58.010005944900556</v>
      </c>
      <c r="AI711">
        <f t="shared" si="101"/>
        <v>-1.0164123876979458E-2</v>
      </c>
      <c r="AJ711">
        <f t="shared" si="102"/>
        <v>2.2017090755086107E-3</v>
      </c>
      <c r="AK711">
        <f t="shared" si="103"/>
        <v>501264</v>
      </c>
      <c r="AL711">
        <f t="shared" si="106"/>
        <v>4672.1329800000003</v>
      </c>
      <c r="AM711" t="str">
        <f t="shared" si="107"/>
        <v/>
      </c>
    </row>
    <row r="712" spans="1:39" x14ac:dyDescent="0.55000000000000004">
      <c r="A712">
        <v>1777364102</v>
      </c>
      <c r="B712" t="s">
        <v>72</v>
      </c>
      <c r="C712" t="s">
        <v>73</v>
      </c>
      <c r="D712">
        <v>4626.9799999999996</v>
      </c>
      <c r="E712">
        <v>4518.5928199999998</v>
      </c>
      <c r="F712">
        <v>4596.0559499999999</v>
      </c>
      <c r="G712">
        <v>4755.40355</v>
      </c>
      <c r="H712">
        <v>4792.7697200000002</v>
      </c>
      <c r="Q712">
        <v>4627.6388299999999</v>
      </c>
      <c r="R712">
        <v>4657.0021299999999</v>
      </c>
      <c r="S712">
        <v>4683.5909000000001</v>
      </c>
      <c r="V712">
        <v>4592.6990599999999</v>
      </c>
      <c r="W712">
        <v>4559.1340600000003</v>
      </c>
      <c r="AB712">
        <v>4627.1563900000001</v>
      </c>
      <c r="AC712">
        <v>4628.3310600000004</v>
      </c>
      <c r="AD712">
        <v>0</v>
      </c>
      <c r="AE712">
        <f t="shared" si="104"/>
        <v>710</v>
      </c>
      <c r="AF712">
        <f t="shared" si="105"/>
        <v>709</v>
      </c>
      <c r="AG712">
        <f t="shared" si="99"/>
        <v>-0.65883000000030734</v>
      </c>
      <c r="AH712">
        <f t="shared" si="100"/>
        <v>0.43405696890040496</v>
      </c>
      <c r="AI712">
        <f t="shared" si="101"/>
        <v>-6.5786333824053944E-6</v>
      </c>
      <c r="AJ712">
        <f t="shared" si="102"/>
        <v>1.2326721366854785E-7</v>
      </c>
      <c r="AK712">
        <f t="shared" si="103"/>
        <v>502681</v>
      </c>
      <c r="AL712">
        <f t="shared" si="106"/>
        <v>4672.1329800000003</v>
      </c>
      <c r="AM712" t="str">
        <f t="shared" si="107"/>
        <v/>
      </c>
    </row>
    <row r="713" spans="1:39" x14ac:dyDescent="0.55000000000000004">
      <c r="A713">
        <v>1777365002</v>
      </c>
      <c r="B713" t="s">
        <v>72</v>
      </c>
      <c r="C713" t="s">
        <v>73</v>
      </c>
      <c r="D713">
        <v>4628.21</v>
      </c>
      <c r="E713">
        <v>4518.5928199999998</v>
      </c>
      <c r="F713">
        <v>4596.0559499999999</v>
      </c>
      <c r="G713">
        <v>4755.40355</v>
      </c>
      <c r="H713">
        <v>4792.7697200000002</v>
      </c>
      <c r="Q713">
        <v>4627.37122</v>
      </c>
      <c r="R713">
        <v>4656.73452</v>
      </c>
      <c r="S713">
        <v>4683.3232900000003</v>
      </c>
      <c r="V713">
        <v>4592.43145</v>
      </c>
      <c r="W713">
        <v>4558.8664600000002</v>
      </c>
      <c r="AB713">
        <v>4625.433</v>
      </c>
      <c r="AC713">
        <v>4626.8820299999998</v>
      </c>
      <c r="AD713">
        <v>0</v>
      </c>
      <c r="AE713">
        <f t="shared" si="104"/>
        <v>711</v>
      </c>
      <c r="AF713">
        <f t="shared" si="105"/>
        <v>710</v>
      </c>
      <c r="AG713">
        <f t="shared" si="99"/>
        <v>0.83878000000004249</v>
      </c>
      <c r="AH713">
        <f t="shared" si="100"/>
        <v>0.70355188840007132</v>
      </c>
      <c r="AI713">
        <f t="shared" si="101"/>
        <v>1.3575623472685832E-5</v>
      </c>
      <c r="AJ713">
        <f t="shared" si="102"/>
        <v>3.2385184737326731E-7</v>
      </c>
      <c r="AK713">
        <f t="shared" si="103"/>
        <v>504100</v>
      </c>
      <c r="AL713">
        <f t="shared" si="106"/>
        <v>4672.1329800000003</v>
      </c>
      <c r="AM713" t="str">
        <f t="shared" si="107"/>
        <v/>
      </c>
    </row>
    <row r="714" spans="1:39" x14ac:dyDescent="0.55000000000000004">
      <c r="A714">
        <v>1777365902</v>
      </c>
      <c r="B714" t="s">
        <v>72</v>
      </c>
      <c r="C714" t="s">
        <v>73</v>
      </c>
      <c r="D714">
        <v>4629.62</v>
      </c>
      <c r="E714">
        <v>4518.5928199999998</v>
      </c>
      <c r="F714">
        <v>4596.0559499999999</v>
      </c>
      <c r="G714">
        <v>4755.40355</v>
      </c>
      <c r="H714">
        <v>4792.7697200000002</v>
      </c>
      <c r="Q714">
        <v>4627.1036199999999</v>
      </c>
      <c r="R714">
        <v>4656.4669199999998</v>
      </c>
      <c r="S714">
        <v>4683.0556900000001</v>
      </c>
      <c r="V714">
        <v>4592.1638499999999</v>
      </c>
      <c r="W714">
        <v>4558.5988500000003</v>
      </c>
      <c r="AB714">
        <v>4623.5956800000004</v>
      </c>
      <c r="AC714">
        <v>4625.2388499999997</v>
      </c>
      <c r="AD714">
        <v>0</v>
      </c>
      <c r="AE714">
        <f t="shared" si="104"/>
        <v>712</v>
      </c>
      <c r="AF714">
        <f t="shared" si="105"/>
        <v>711</v>
      </c>
      <c r="AG714">
        <f t="shared" si="99"/>
        <v>2.5163800000000265</v>
      </c>
      <c r="AH714">
        <f t="shared" si="100"/>
        <v>6.3321683044001329</v>
      </c>
      <c r="AI714">
        <f t="shared" si="101"/>
        <v>3.6655931380064218E-4</v>
      </c>
      <c r="AJ714">
        <f t="shared" si="102"/>
        <v>2.6233667623281533E-5</v>
      </c>
      <c r="AK714">
        <f t="shared" si="103"/>
        <v>505521</v>
      </c>
      <c r="AL714">
        <f t="shared" si="106"/>
        <v>4672.1329800000003</v>
      </c>
      <c r="AM714" t="str">
        <f t="shared" si="107"/>
        <v/>
      </c>
    </row>
    <row r="715" spans="1:39" x14ac:dyDescent="0.55000000000000004">
      <c r="A715">
        <v>1777366802</v>
      </c>
      <c r="B715" t="s">
        <v>72</v>
      </c>
      <c r="C715" t="s">
        <v>73</v>
      </c>
      <c r="D715">
        <v>4625.5200000000004</v>
      </c>
      <c r="E715">
        <v>4518.5928199999998</v>
      </c>
      <c r="F715">
        <v>4596.0559499999999</v>
      </c>
      <c r="G715">
        <v>4755.40355</v>
      </c>
      <c r="H715">
        <v>4792.7697200000002</v>
      </c>
      <c r="Q715">
        <v>4626.8360199999997</v>
      </c>
      <c r="R715">
        <v>4656.19931</v>
      </c>
      <c r="S715">
        <v>4682.78809</v>
      </c>
      <c r="V715">
        <v>4591.8962499999998</v>
      </c>
      <c r="W715">
        <v>4558.3312500000002</v>
      </c>
      <c r="AB715">
        <v>4621.6584199999998</v>
      </c>
      <c r="AC715">
        <v>4623.4486399999996</v>
      </c>
      <c r="AD715">
        <v>0</v>
      </c>
      <c r="AE715">
        <f t="shared" si="104"/>
        <v>713</v>
      </c>
      <c r="AF715">
        <f t="shared" si="105"/>
        <v>712</v>
      </c>
      <c r="AG715">
        <f t="shared" si="99"/>
        <v>-1.3160199999992983</v>
      </c>
      <c r="AH715">
        <f t="shared" si="100"/>
        <v>1.7319086403981532</v>
      </c>
      <c r="AI715">
        <f t="shared" si="101"/>
        <v>-5.2432800294372684E-5</v>
      </c>
      <c r="AJ715">
        <f t="shared" si="102"/>
        <v>1.9624747174461004E-6</v>
      </c>
      <c r="AK715">
        <f t="shared" si="103"/>
        <v>506944</v>
      </c>
      <c r="AL715">
        <f t="shared" si="106"/>
        <v>4672.1329800000003</v>
      </c>
      <c r="AM715" t="str">
        <f t="shared" si="107"/>
        <v/>
      </c>
    </row>
    <row r="716" spans="1:39" x14ac:dyDescent="0.55000000000000004">
      <c r="A716">
        <v>1777367702</v>
      </c>
      <c r="B716" t="s">
        <v>72</v>
      </c>
      <c r="C716" t="s">
        <v>73</v>
      </c>
      <c r="D716">
        <v>4618.3100000000004</v>
      </c>
      <c r="E716">
        <v>4518.5928199999998</v>
      </c>
      <c r="F716">
        <v>4596.0559499999999</v>
      </c>
      <c r="G716">
        <v>4755.40355</v>
      </c>
      <c r="H716">
        <v>4792.7697200000002</v>
      </c>
      <c r="Q716">
        <v>4626.5684099999999</v>
      </c>
      <c r="R716">
        <v>4655.9317099999998</v>
      </c>
      <c r="S716">
        <v>4682.5204800000001</v>
      </c>
      <c r="V716">
        <v>4591.6286399999999</v>
      </c>
      <c r="W716">
        <v>4558.0636400000003</v>
      </c>
      <c r="AB716">
        <v>4619.6730699999998</v>
      </c>
      <c r="AC716">
        <v>4621.5608499999998</v>
      </c>
      <c r="AD716">
        <v>0</v>
      </c>
      <c r="AE716">
        <f t="shared" si="104"/>
        <v>714</v>
      </c>
      <c r="AF716">
        <f t="shared" si="105"/>
        <v>713</v>
      </c>
      <c r="AG716">
        <f t="shared" si="99"/>
        <v>-8.2584099999994578</v>
      </c>
      <c r="AH716">
        <f t="shared" si="100"/>
        <v>68.201335728091038</v>
      </c>
      <c r="AI716">
        <f t="shared" si="101"/>
        <v>-1.2957013317044141E-2</v>
      </c>
      <c r="AJ716">
        <f t="shared" si="102"/>
        <v>3.0432657162257539E-3</v>
      </c>
      <c r="AK716">
        <f t="shared" si="103"/>
        <v>508369</v>
      </c>
      <c r="AL716">
        <f t="shared" si="106"/>
        <v>4672.1329800000003</v>
      </c>
      <c r="AM716" t="str">
        <f t="shared" si="107"/>
        <v/>
      </c>
    </row>
    <row r="717" spans="1:39" x14ac:dyDescent="0.55000000000000004">
      <c r="A717">
        <v>1777368602</v>
      </c>
      <c r="B717" t="s">
        <v>72</v>
      </c>
      <c r="C717" t="s">
        <v>73</v>
      </c>
      <c r="D717">
        <v>4613.05</v>
      </c>
      <c r="E717">
        <v>4518.5928199999998</v>
      </c>
      <c r="F717">
        <v>4596.0559499999999</v>
      </c>
      <c r="G717">
        <v>4755.40355</v>
      </c>
      <c r="H717">
        <v>4792.7697200000002</v>
      </c>
      <c r="Q717">
        <v>4626.3008099999997</v>
      </c>
      <c r="R717">
        <v>4655.6641099999997</v>
      </c>
      <c r="S717">
        <v>4682.25288</v>
      </c>
      <c r="V717">
        <v>4591.3610399999998</v>
      </c>
      <c r="W717">
        <v>4557.7960400000002</v>
      </c>
      <c r="AB717">
        <v>4617.6780399999998</v>
      </c>
      <c r="AC717">
        <v>4619.6194500000001</v>
      </c>
      <c r="AD717">
        <v>0</v>
      </c>
      <c r="AE717">
        <f t="shared" si="104"/>
        <v>715</v>
      </c>
      <c r="AF717">
        <f t="shared" si="105"/>
        <v>714</v>
      </c>
      <c r="AG717">
        <f t="shared" si="99"/>
        <v>-13.250809999999547</v>
      </c>
      <c r="AH717">
        <f t="shared" si="100"/>
        <v>175.583965656088</v>
      </c>
      <c r="AI717">
        <f t="shared" si="101"/>
        <v>-5.3523297862766273E-2</v>
      </c>
      <c r="AJ717">
        <f t="shared" si="102"/>
        <v>2.0170832351342757E-2</v>
      </c>
      <c r="AK717">
        <f t="shared" si="103"/>
        <v>509796</v>
      </c>
      <c r="AL717">
        <f t="shared" si="106"/>
        <v>4672.1329800000003</v>
      </c>
      <c r="AM717" t="str">
        <f t="shared" si="107"/>
        <v/>
      </c>
    </row>
    <row r="718" spans="1:39" x14ac:dyDescent="0.55000000000000004">
      <c r="A718">
        <v>1777369502</v>
      </c>
      <c r="B718" t="s">
        <v>72</v>
      </c>
      <c r="C718" t="s">
        <v>73</v>
      </c>
      <c r="D718">
        <v>4604.84</v>
      </c>
      <c r="E718">
        <v>4518.5928199999998</v>
      </c>
      <c r="F718">
        <v>4596.0559499999999</v>
      </c>
      <c r="G718">
        <v>4755.40355</v>
      </c>
      <c r="H718">
        <v>4792.7697200000002</v>
      </c>
      <c r="Q718">
        <v>4626.0331999999999</v>
      </c>
      <c r="R718">
        <v>4655.3964999999998</v>
      </c>
      <c r="S718">
        <v>4681.9852700000001</v>
      </c>
      <c r="V718">
        <v>4591.0934299999999</v>
      </c>
      <c r="W718">
        <v>4557.52844</v>
      </c>
      <c r="AB718">
        <v>4615.5193600000002</v>
      </c>
      <c r="AC718">
        <v>4617.5694100000001</v>
      </c>
      <c r="AD718">
        <v>0</v>
      </c>
      <c r="AE718">
        <f t="shared" si="104"/>
        <v>716</v>
      </c>
      <c r="AF718">
        <f t="shared" si="105"/>
        <v>715</v>
      </c>
      <c r="AG718">
        <f t="shared" si="99"/>
        <v>-21.193199999999706</v>
      </c>
      <c r="AH718">
        <f t="shared" si="100"/>
        <v>449.15172623998757</v>
      </c>
      <c r="AI718">
        <f t="shared" si="101"/>
        <v>-0.21898037453117591</v>
      </c>
      <c r="AJ718">
        <f t="shared" si="102"/>
        <v>0.13198976601482018</v>
      </c>
      <c r="AK718">
        <f t="shared" si="103"/>
        <v>511225</v>
      </c>
      <c r="AL718">
        <f t="shared" si="106"/>
        <v>4672.1329800000003</v>
      </c>
      <c r="AM718" t="str">
        <f t="shared" si="107"/>
        <v/>
      </c>
    </row>
    <row r="719" spans="1:39" x14ac:dyDescent="0.55000000000000004">
      <c r="A719">
        <v>1777370402</v>
      </c>
      <c r="B719" t="s">
        <v>72</v>
      </c>
      <c r="C719" t="s">
        <v>73</v>
      </c>
      <c r="D719">
        <v>4612.7</v>
      </c>
      <c r="E719">
        <v>4518.5928199999998</v>
      </c>
      <c r="F719">
        <v>4596.0559499999999</v>
      </c>
      <c r="G719">
        <v>4755.40355</v>
      </c>
      <c r="H719">
        <v>4792.7697200000002</v>
      </c>
      <c r="Q719">
        <v>4625.7655999999997</v>
      </c>
      <c r="R719">
        <v>4655.1288999999997</v>
      </c>
      <c r="S719">
        <v>4681.71767</v>
      </c>
      <c r="V719">
        <v>4590.8258299999998</v>
      </c>
      <c r="W719">
        <v>4557.2608300000002</v>
      </c>
      <c r="AB719">
        <v>4613.0637500000003</v>
      </c>
      <c r="AC719">
        <v>4615.3165799999997</v>
      </c>
      <c r="AD719">
        <v>0</v>
      </c>
      <c r="AE719">
        <f t="shared" si="104"/>
        <v>717</v>
      </c>
      <c r="AF719">
        <f t="shared" si="105"/>
        <v>716</v>
      </c>
      <c r="AG719">
        <f t="shared" si="99"/>
        <v>-13.065599999999904</v>
      </c>
      <c r="AH719">
        <f t="shared" si="100"/>
        <v>170.7099033599975</v>
      </c>
      <c r="AI719">
        <f t="shared" si="101"/>
        <v>-5.1310194297944367E-2</v>
      </c>
      <c r="AJ719">
        <f t="shared" si="102"/>
        <v>1.9066524929637556E-2</v>
      </c>
      <c r="AK719">
        <f t="shared" si="103"/>
        <v>512656</v>
      </c>
      <c r="AL719">
        <f t="shared" si="106"/>
        <v>4672.1329800000003</v>
      </c>
      <c r="AM719" t="str">
        <f t="shared" si="107"/>
        <v/>
      </c>
    </row>
    <row r="720" spans="1:39" x14ac:dyDescent="0.55000000000000004">
      <c r="A720">
        <v>1777371302</v>
      </c>
      <c r="B720" t="s">
        <v>72</v>
      </c>
      <c r="C720" t="s">
        <v>73</v>
      </c>
      <c r="D720">
        <v>4611.7700000000004</v>
      </c>
      <c r="E720">
        <v>4518.5928199999998</v>
      </c>
      <c r="F720">
        <v>4596.0559499999999</v>
      </c>
      <c r="G720">
        <v>4755.40355</v>
      </c>
      <c r="H720">
        <v>4792.7697200000002</v>
      </c>
      <c r="Q720">
        <v>4625.4979999999996</v>
      </c>
      <c r="R720">
        <v>4654.8612899999998</v>
      </c>
      <c r="S720">
        <v>4681.4500600000001</v>
      </c>
      <c r="V720">
        <v>4590.5582199999999</v>
      </c>
      <c r="W720">
        <v>4556.99323</v>
      </c>
      <c r="AB720">
        <v>4609.7616399999997</v>
      </c>
      <c r="AC720">
        <v>4612.5391099999997</v>
      </c>
      <c r="AD720">
        <v>0</v>
      </c>
      <c r="AE720">
        <f t="shared" si="104"/>
        <v>718</v>
      </c>
      <c r="AF720">
        <f t="shared" si="105"/>
        <v>717</v>
      </c>
      <c r="AG720">
        <f t="shared" si="99"/>
        <v>-13.727999999999156</v>
      </c>
      <c r="AH720">
        <f t="shared" si="100"/>
        <v>188.45798399997682</v>
      </c>
      <c r="AI720">
        <f t="shared" si="101"/>
        <v>-5.9516501694301095E-2</v>
      </c>
      <c r="AJ720">
        <f t="shared" si="102"/>
        <v>2.3237167829094962E-2</v>
      </c>
      <c r="AK720">
        <f t="shared" si="103"/>
        <v>514089</v>
      </c>
      <c r="AL720">
        <f t="shared" si="106"/>
        <v>4672.1329800000003</v>
      </c>
      <c r="AM720" t="str">
        <f t="shared" si="107"/>
        <v/>
      </c>
    </row>
    <row r="721" spans="1:39" x14ac:dyDescent="0.55000000000000004">
      <c r="A721">
        <v>1777372202</v>
      </c>
      <c r="B721" t="s">
        <v>72</v>
      </c>
      <c r="C721" t="s">
        <v>73</v>
      </c>
      <c r="D721">
        <v>4613.29</v>
      </c>
      <c r="E721">
        <v>4518.5928199999998</v>
      </c>
      <c r="F721">
        <v>4596.0559499999999</v>
      </c>
      <c r="G721">
        <v>4755.40355</v>
      </c>
      <c r="H721">
        <v>4792.7697200000002</v>
      </c>
      <c r="Q721">
        <v>4625.2303899999997</v>
      </c>
      <c r="R721">
        <v>4654.5936899999997</v>
      </c>
      <c r="S721">
        <v>4681.18246</v>
      </c>
      <c r="V721">
        <v>4590.2906199999998</v>
      </c>
      <c r="W721">
        <v>4556.7256200000002</v>
      </c>
      <c r="AB721">
        <v>4605.4652100000003</v>
      </c>
      <c r="AC721">
        <v>4609.00216</v>
      </c>
      <c r="AD721">
        <v>0</v>
      </c>
      <c r="AE721">
        <f t="shared" si="104"/>
        <v>719</v>
      </c>
      <c r="AF721">
        <f t="shared" si="105"/>
        <v>718</v>
      </c>
      <c r="AG721">
        <f t="shared" si="99"/>
        <v>-11.940389999999752</v>
      </c>
      <c r="AH721">
        <f t="shared" si="100"/>
        <v>142.57291335209408</v>
      </c>
      <c r="AI721">
        <f t="shared" si="101"/>
        <v>-3.9162564274642202E-2</v>
      </c>
      <c r="AJ721">
        <f t="shared" si="102"/>
        <v>1.3299280956532634E-2</v>
      </c>
      <c r="AK721">
        <f t="shared" si="103"/>
        <v>515524</v>
      </c>
      <c r="AL721">
        <f t="shared" si="106"/>
        <v>4672.1329800000003</v>
      </c>
      <c r="AM721" t="str">
        <f t="shared" si="107"/>
        <v/>
      </c>
    </row>
    <row r="722" spans="1:39" x14ac:dyDescent="0.55000000000000004">
      <c r="A722">
        <v>1777373102</v>
      </c>
      <c r="B722" t="s">
        <v>72</v>
      </c>
      <c r="C722" t="s">
        <v>73</v>
      </c>
      <c r="D722">
        <v>4603.3</v>
      </c>
      <c r="E722">
        <v>4518.5928199999998</v>
      </c>
      <c r="F722">
        <v>4596.0559499999999</v>
      </c>
      <c r="G722">
        <v>4755.40355</v>
      </c>
      <c r="H722">
        <v>4792.7697200000002</v>
      </c>
      <c r="Q722">
        <v>4624.9627899999996</v>
      </c>
      <c r="R722">
        <v>4654.3260899999996</v>
      </c>
      <c r="S722">
        <v>4680.9148599999999</v>
      </c>
      <c r="V722">
        <v>4590.0230199999996</v>
      </c>
      <c r="W722">
        <v>4556.45802</v>
      </c>
      <c r="AB722">
        <v>4600.1769199999999</v>
      </c>
      <c r="AC722">
        <v>4604.5895399999999</v>
      </c>
      <c r="AD722">
        <v>0</v>
      </c>
      <c r="AE722">
        <f t="shared" si="104"/>
        <v>720</v>
      </c>
      <c r="AF722">
        <f t="shared" si="105"/>
        <v>719</v>
      </c>
      <c r="AG722">
        <f t="shared" si="99"/>
        <v>-21.662789999999404</v>
      </c>
      <c r="AH722">
        <f t="shared" si="100"/>
        <v>469.27647058407416</v>
      </c>
      <c r="AI722">
        <f t="shared" si="101"/>
        <v>-0.23386151213830123</v>
      </c>
      <c r="AJ722">
        <f t="shared" si="102"/>
        <v>0.14408264462093093</v>
      </c>
      <c r="AK722">
        <f t="shared" si="103"/>
        <v>516961</v>
      </c>
      <c r="AL722">
        <f t="shared" si="106"/>
        <v>4672.1329800000003</v>
      </c>
      <c r="AM722" t="str">
        <f t="shared" si="107"/>
        <v/>
      </c>
    </row>
    <row r="723" spans="1:39" x14ac:dyDescent="0.55000000000000004">
      <c r="A723">
        <v>1777374002</v>
      </c>
      <c r="B723" t="s">
        <v>72</v>
      </c>
      <c r="C723" t="s">
        <v>73</v>
      </c>
      <c r="D723">
        <v>4598.6899999999996</v>
      </c>
      <c r="E723">
        <v>4518.5928199999998</v>
      </c>
      <c r="F723">
        <v>4596.0559499999999</v>
      </c>
      <c r="G723">
        <v>4755.40355</v>
      </c>
      <c r="H723">
        <v>4792.7697200000002</v>
      </c>
      <c r="Q723">
        <v>4624.6951799999997</v>
      </c>
      <c r="R723">
        <v>4654.0584799999997</v>
      </c>
      <c r="S723">
        <v>4680.64725</v>
      </c>
      <c r="V723">
        <v>4589.7554099999998</v>
      </c>
      <c r="W723">
        <v>4556.1904199999999</v>
      </c>
      <c r="AB723">
        <v>4594.4662900000003</v>
      </c>
      <c r="AC723">
        <v>4599.5279099999998</v>
      </c>
      <c r="AD723">
        <v>0</v>
      </c>
      <c r="AE723">
        <f t="shared" si="104"/>
        <v>721</v>
      </c>
      <c r="AF723">
        <f t="shared" si="105"/>
        <v>720</v>
      </c>
      <c r="AG723">
        <f t="shared" si="99"/>
        <v>-26.005180000000109</v>
      </c>
      <c r="AH723">
        <f t="shared" si="100"/>
        <v>676.26938683240564</v>
      </c>
      <c r="AI723">
        <f t="shared" si="101"/>
        <v>-0.40457139877309212</v>
      </c>
      <c r="AJ723">
        <f t="shared" si="102"/>
        <v>0.2992220330149527</v>
      </c>
      <c r="AK723">
        <f t="shared" si="103"/>
        <v>518400</v>
      </c>
      <c r="AL723">
        <f t="shared" si="106"/>
        <v>4672.1329800000003</v>
      </c>
      <c r="AM723" t="str">
        <f t="shared" si="107"/>
        <v/>
      </c>
    </row>
    <row r="724" spans="1:39" x14ac:dyDescent="0.55000000000000004">
      <c r="A724">
        <v>1777374902</v>
      </c>
      <c r="B724" t="s">
        <v>72</v>
      </c>
      <c r="C724" t="s">
        <v>73</v>
      </c>
      <c r="D724">
        <v>4599.45</v>
      </c>
      <c r="E724">
        <v>4518.5928199999998</v>
      </c>
      <c r="F724">
        <v>4596.0559499999999</v>
      </c>
      <c r="G724">
        <v>4755.40355</v>
      </c>
      <c r="H724">
        <v>4792.7697200000002</v>
      </c>
      <c r="Q724">
        <v>4624.4275799999996</v>
      </c>
      <c r="R724">
        <v>4653.7908799999996</v>
      </c>
      <c r="S724">
        <v>4680.3796499999999</v>
      </c>
      <c r="V724">
        <v>4589.4878099999996</v>
      </c>
      <c r="W724">
        <v>4555.92281</v>
      </c>
      <c r="AB724">
        <v>4588.93887</v>
      </c>
      <c r="AC724">
        <v>4594.2333900000003</v>
      </c>
      <c r="AD724">
        <v>0</v>
      </c>
      <c r="AE724">
        <f t="shared" si="104"/>
        <v>722</v>
      </c>
      <c r="AF724">
        <f t="shared" si="105"/>
        <v>721</v>
      </c>
      <c r="AG724">
        <f t="shared" si="99"/>
        <v>-24.977579999999762</v>
      </c>
      <c r="AH724">
        <f t="shared" si="100"/>
        <v>623.87950265638813</v>
      </c>
      <c r="AI724">
        <f t="shared" si="101"/>
        <v>-0.35848142757527091</v>
      </c>
      <c r="AJ724">
        <f t="shared" si="102"/>
        <v>0.25465695816099493</v>
      </c>
      <c r="AK724">
        <f t="shared" si="103"/>
        <v>519841</v>
      </c>
      <c r="AL724">
        <f t="shared" si="106"/>
        <v>4672.1329800000003</v>
      </c>
      <c r="AM724" t="str">
        <f t="shared" si="107"/>
        <v/>
      </c>
    </row>
    <row r="725" spans="1:39" x14ac:dyDescent="0.55000000000000004">
      <c r="A725">
        <v>1777375802</v>
      </c>
      <c r="B725" t="s">
        <v>72</v>
      </c>
      <c r="C725" t="s">
        <v>73</v>
      </c>
      <c r="D725">
        <v>4572.22</v>
      </c>
      <c r="E725">
        <v>4518.5928199999998</v>
      </c>
      <c r="F725">
        <v>4596.0559499999999</v>
      </c>
      <c r="G725">
        <v>4755.40355</v>
      </c>
      <c r="H725">
        <v>4792.7697200000002</v>
      </c>
      <c r="Q725">
        <v>4624.1599699999997</v>
      </c>
      <c r="R725">
        <v>4653.5232699999997</v>
      </c>
      <c r="S725">
        <v>4680.11204</v>
      </c>
      <c r="V725">
        <v>4589.2201999999997</v>
      </c>
      <c r="W725">
        <v>4555.6552099999999</v>
      </c>
      <c r="AB725">
        <v>4584.0894699999999</v>
      </c>
      <c r="AC725">
        <v>4589.1614300000001</v>
      </c>
      <c r="AD725">
        <v>0</v>
      </c>
      <c r="AE725">
        <f t="shared" si="104"/>
        <v>723</v>
      </c>
      <c r="AF725">
        <f t="shared" si="105"/>
        <v>722</v>
      </c>
      <c r="AG725">
        <f t="shared" si="99"/>
        <v>-51.939969999999448</v>
      </c>
      <c r="AH725">
        <f t="shared" si="100"/>
        <v>2697.7604836008427</v>
      </c>
      <c r="AI725">
        <f t="shared" si="101"/>
        <v>-3.223447993913124</v>
      </c>
      <c r="AJ725">
        <f t="shared" si="102"/>
        <v>4.7616875034804877</v>
      </c>
      <c r="AK725">
        <f t="shared" si="103"/>
        <v>521284</v>
      </c>
      <c r="AL725">
        <f t="shared" si="106"/>
        <v>4672.1329800000003</v>
      </c>
      <c r="AM725" t="str">
        <f t="shared" si="107"/>
        <v/>
      </c>
    </row>
    <row r="726" spans="1:39" x14ac:dyDescent="0.55000000000000004">
      <c r="A726">
        <v>1777376702</v>
      </c>
      <c r="B726" t="s">
        <v>72</v>
      </c>
      <c r="C726" t="s">
        <v>73</v>
      </c>
      <c r="D726">
        <v>4562.88</v>
      </c>
      <c r="E726">
        <v>4518.5928199999998</v>
      </c>
      <c r="F726">
        <v>4596.0559499999999</v>
      </c>
      <c r="G726">
        <v>4755.40355</v>
      </c>
      <c r="H726">
        <v>4792.7697200000002</v>
      </c>
      <c r="Q726">
        <v>4623.8923699999996</v>
      </c>
      <c r="R726">
        <v>4653.2556699999996</v>
      </c>
      <c r="S726">
        <v>4679.8444399999998</v>
      </c>
      <c r="V726">
        <v>4588.9525999999996</v>
      </c>
      <c r="W726">
        <v>4555.3876</v>
      </c>
      <c r="AB726">
        <v>4581.0416299999997</v>
      </c>
      <c r="AC726">
        <v>4585.1015299999999</v>
      </c>
      <c r="AD726">
        <v>0</v>
      </c>
      <c r="AE726">
        <f t="shared" si="104"/>
        <v>724</v>
      </c>
      <c r="AF726">
        <f t="shared" si="105"/>
        <v>723</v>
      </c>
      <c r="AG726">
        <f t="shared" si="99"/>
        <v>-61.012369999999464</v>
      </c>
      <c r="AH726">
        <f t="shared" si="100"/>
        <v>3722.5092930168348</v>
      </c>
      <c r="AI726">
        <f t="shared" si="101"/>
        <v>-5.2247951836523168</v>
      </c>
      <c r="AJ726">
        <f t="shared" si="102"/>
        <v>9.0662083196428291</v>
      </c>
      <c r="AK726">
        <f t="shared" si="103"/>
        <v>522729</v>
      </c>
      <c r="AL726">
        <f t="shared" si="106"/>
        <v>4672.1329800000003</v>
      </c>
      <c r="AM726" t="str">
        <f t="shared" si="107"/>
        <v/>
      </c>
    </row>
    <row r="727" spans="1:39" x14ac:dyDescent="0.55000000000000004">
      <c r="A727">
        <v>1777377602</v>
      </c>
      <c r="B727" t="s">
        <v>72</v>
      </c>
      <c r="C727" t="s">
        <v>73</v>
      </c>
      <c r="D727">
        <v>4581.7299999999996</v>
      </c>
      <c r="E727">
        <v>4518.5928199999998</v>
      </c>
      <c r="F727">
        <v>4596.0559499999999</v>
      </c>
      <c r="G727">
        <v>4755.40355</v>
      </c>
      <c r="H727">
        <v>4792.7697200000002</v>
      </c>
      <c r="Q727">
        <v>4623.6247700000004</v>
      </c>
      <c r="R727">
        <v>4652.9880700000003</v>
      </c>
      <c r="S727">
        <v>4679.5768399999997</v>
      </c>
      <c r="V727">
        <v>4588.6850000000004</v>
      </c>
      <c r="W727">
        <v>4555.12</v>
      </c>
      <c r="AA727">
        <v>4555.12</v>
      </c>
      <c r="AB727">
        <v>4580.1010299999998</v>
      </c>
      <c r="AC727">
        <v>4582.6012799999999</v>
      </c>
      <c r="AD727">
        <v>0</v>
      </c>
      <c r="AE727">
        <f t="shared" si="104"/>
        <v>725</v>
      </c>
      <c r="AF727">
        <f t="shared" si="105"/>
        <v>724</v>
      </c>
      <c r="AG727">
        <f t="shared" si="99"/>
        <v>-41.89477000000079</v>
      </c>
      <c r="AH727">
        <f t="shared" si="100"/>
        <v>1755.1717533529661</v>
      </c>
      <c r="AI727">
        <f t="shared" si="101"/>
        <v>-1.6915896374085118</v>
      </c>
      <c r="AJ727">
        <f t="shared" si="102"/>
        <v>2.0155489718833346</v>
      </c>
      <c r="AK727">
        <f t="shared" si="103"/>
        <v>524176</v>
      </c>
      <c r="AL727">
        <f t="shared" si="106"/>
        <v>4672.1329800000003</v>
      </c>
      <c r="AM727" t="str">
        <f t="shared" si="107"/>
        <v/>
      </c>
    </row>
    <row r="728" spans="1:39" x14ac:dyDescent="0.55000000000000004">
      <c r="A728">
        <v>1777378502</v>
      </c>
      <c r="B728" t="s">
        <v>72</v>
      </c>
      <c r="C728" t="s">
        <v>73</v>
      </c>
      <c r="D728">
        <v>4580.32</v>
      </c>
      <c r="E728">
        <v>4518.5928199999998</v>
      </c>
      <c r="F728">
        <v>4596.0559499999999</v>
      </c>
      <c r="G728">
        <v>4755.40355</v>
      </c>
      <c r="H728">
        <v>4792.7697200000002</v>
      </c>
      <c r="Q728">
        <v>4623.3571599999996</v>
      </c>
      <c r="R728">
        <v>4652.7204599999995</v>
      </c>
      <c r="S728">
        <v>4679.3092299999998</v>
      </c>
      <c r="V728">
        <v>4588.4173899999996</v>
      </c>
      <c r="W728">
        <v>4554.8523999999998</v>
      </c>
      <c r="AB728">
        <v>4580.3985199999997</v>
      </c>
      <c r="AC728">
        <v>4581.4998999999998</v>
      </c>
      <c r="AD728">
        <v>0</v>
      </c>
      <c r="AE728">
        <f t="shared" si="104"/>
        <v>726</v>
      </c>
      <c r="AF728">
        <f t="shared" si="105"/>
        <v>725</v>
      </c>
      <c r="AG728">
        <f t="shared" si="99"/>
        <v>-43.037159999999858</v>
      </c>
      <c r="AH728">
        <f t="shared" si="100"/>
        <v>1852.1971408655877</v>
      </c>
      <c r="AI728">
        <f t="shared" si="101"/>
        <v>-1.8337764821913793</v>
      </c>
      <c r="AJ728">
        <f t="shared" si="102"/>
        <v>2.2445461099565014</v>
      </c>
      <c r="AK728">
        <f t="shared" si="103"/>
        <v>525625</v>
      </c>
      <c r="AL728">
        <f t="shared" si="106"/>
        <v>4672.1329800000003</v>
      </c>
      <c r="AM728" t="str">
        <f t="shared" si="107"/>
        <v/>
      </c>
    </row>
    <row r="729" spans="1:39" x14ac:dyDescent="0.55000000000000004">
      <c r="A729">
        <v>1777379402</v>
      </c>
      <c r="B729" t="s">
        <v>72</v>
      </c>
      <c r="C729" t="s">
        <v>73</v>
      </c>
      <c r="D729">
        <v>4586.96</v>
      </c>
      <c r="E729">
        <v>4518.5928199999998</v>
      </c>
      <c r="F729">
        <v>4596.0559499999999</v>
      </c>
      <c r="G729">
        <v>4755.40355</v>
      </c>
      <c r="H729">
        <v>4792.7697200000002</v>
      </c>
      <c r="Q729">
        <v>4623.0895600000003</v>
      </c>
      <c r="R729">
        <v>4652.4528600000003</v>
      </c>
      <c r="S729">
        <v>4679.0416299999997</v>
      </c>
      <c r="V729">
        <v>4588.1497900000004</v>
      </c>
      <c r="W729">
        <v>4554.5847899999999</v>
      </c>
      <c r="AB729">
        <v>4581.3809099999999</v>
      </c>
      <c r="AC729">
        <v>4581.4404100000002</v>
      </c>
      <c r="AD729">
        <v>0</v>
      </c>
      <c r="AE729">
        <f t="shared" si="104"/>
        <v>727</v>
      </c>
      <c r="AF729">
        <f t="shared" si="105"/>
        <v>726</v>
      </c>
      <c r="AG729">
        <f t="shared" si="99"/>
        <v>-36.129560000000311</v>
      </c>
      <c r="AH729">
        <f t="shared" si="100"/>
        <v>1305.3451057936225</v>
      </c>
      <c r="AI729">
        <f t="shared" si="101"/>
        <v>-1.0849347064579886</v>
      </c>
      <c r="AJ729">
        <f t="shared" si="102"/>
        <v>1.1148201324778459</v>
      </c>
      <c r="AK729">
        <f t="shared" si="103"/>
        <v>527076</v>
      </c>
      <c r="AL729">
        <f t="shared" si="106"/>
        <v>4672.1329800000003</v>
      </c>
      <c r="AM729" t="str">
        <f t="shared" si="107"/>
        <v/>
      </c>
    </row>
    <row r="730" spans="1:39" x14ac:dyDescent="0.55000000000000004">
      <c r="A730">
        <v>1777380302</v>
      </c>
      <c r="B730" t="s">
        <v>72</v>
      </c>
      <c r="C730" t="s">
        <v>73</v>
      </c>
      <c r="D730">
        <v>4593.9799999999996</v>
      </c>
      <c r="E730">
        <v>4518.5928199999998</v>
      </c>
      <c r="F730">
        <v>4596.0559499999999</v>
      </c>
      <c r="G730">
        <v>4755.40355</v>
      </c>
      <c r="H730">
        <v>4792.7697200000002</v>
      </c>
      <c r="Q730">
        <v>4622.8219499999996</v>
      </c>
      <c r="R730">
        <v>4652.1852500000005</v>
      </c>
      <c r="S730">
        <v>4678.7740199999998</v>
      </c>
      <c r="V730">
        <v>4587.8821799999996</v>
      </c>
      <c r="W730">
        <v>4554.3171899999998</v>
      </c>
      <c r="AB730">
        <v>4582.2172300000002</v>
      </c>
      <c r="AC730">
        <v>4581.8288199999997</v>
      </c>
      <c r="AD730">
        <v>1</v>
      </c>
      <c r="AE730">
        <f t="shared" si="104"/>
        <v>728</v>
      </c>
      <c r="AF730">
        <f t="shared" si="105"/>
        <v>727</v>
      </c>
      <c r="AG730">
        <f t="shared" si="99"/>
        <v>-28.841949999999997</v>
      </c>
      <c r="AH730">
        <f t="shared" si="100"/>
        <v>831.85807980249979</v>
      </c>
      <c r="AI730">
        <f t="shared" si="101"/>
        <v>-0.55193691698911529</v>
      </c>
      <c r="AJ730">
        <f t="shared" si="102"/>
        <v>0.45274388285249667</v>
      </c>
      <c r="AK730">
        <f t="shared" si="103"/>
        <v>528529</v>
      </c>
      <c r="AL730">
        <f t="shared" si="106"/>
        <v>4582.2172300000002</v>
      </c>
      <c r="AM730">
        <f t="shared" si="107"/>
        <v>89.915750000000116</v>
      </c>
    </row>
    <row r="731" spans="1:39" x14ac:dyDescent="0.55000000000000004">
      <c r="A731">
        <v>1777381202</v>
      </c>
      <c r="B731" t="s">
        <v>72</v>
      </c>
      <c r="C731" t="s">
        <v>73</v>
      </c>
      <c r="D731">
        <v>4576.38</v>
      </c>
      <c r="E731">
        <v>4518.5928199999998</v>
      </c>
      <c r="F731">
        <v>4596.0559499999999</v>
      </c>
      <c r="G731">
        <v>4755.40355</v>
      </c>
      <c r="H731">
        <v>4792.7697200000002</v>
      </c>
      <c r="Q731">
        <v>4622.5543500000003</v>
      </c>
      <c r="R731">
        <v>4651.9176500000003</v>
      </c>
      <c r="S731">
        <v>4678.5064199999997</v>
      </c>
      <c r="V731">
        <v>4587.6145800000004</v>
      </c>
      <c r="W731">
        <v>4554.0495799999999</v>
      </c>
      <c r="AB731">
        <v>4582.1519500000004</v>
      </c>
      <c r="AC731">
        <v>4581.9903899999999</v>
      </c>
      <c r="AD731">
        <v>0</v>
      </c>
      <c r="AE731">
        <f t="shared" si="104"/>
        <v>729</v>
      </c>
      <c r="AF731">
        <f t="shared" si="105"/>
        <v>728</v>
      </c>
      <c r="AG731">
        <f t="shared" si="99"/>
        <v>-46.174350000000231</v>
      </c>
      <c r="AH731">
        <f t="shared" si="100"/>
        <v>2132.0705979225213</v>
      </c>
      <c r="AI731">
        <f t="shared" si="101"/>
        <v>-2.2647379425676544</v>
      </c>
      <c r="AJ731">
        <f t="shared" si="102"/>
        <v>2.9741116958909601</v>
      </c>
      <c r="AK731">
        <f t="shared" si="103"/>
        <v>529984</v>
      </c>
      <c r="AL731">
        <f t="shared" si="106"/>
        <v>4582.2172300000002</v>
      </c>
      <c r="AM731" t="str">
        <f t="shared" si="107"/>
        <v/>
      </c>
    </row>
    <row r="732" spans="1:39" x14ac:dyDescent="0.55000000000000004">
      <c r="A732">
        <v>1777382102</v>
      </c>
      <c r="B732" t="s">
        <v>72</v>
      </c>
      <c r="C732" t="s">
        <v>73</v>
      </c>
      <c r="D732">
        <v>4581.88</v>
      </c>
      <c r="E732">
        <v>4518.5928199999998</v>
      </c>
      <c r="F732">
        <v>4596.0559499999999</v>
      </c>
      <c r="G732">
        <v>4755.40355</v>
      </c>
      <c r="H732">
        <v>4792.7697200000002</v>
      </c>
      <c r="Q732">
        <v>4622.2867500000002</v>
      </c>
      <c r="R732">
        <v>4651.6500400000004</v>
      </c>
      <c r="S732">
        <v>4678.2388199999996</v>
      </c>
      <c r="V732">
        <v>4587.3469800000003</v>
      </c>
      <c r="W732">
        <v>4553.7819799999997</v>
      </c>
      <c r="AB732">
        <v>4581.4012499999999</v>
      </c>
      <c r="AC732">
        <v>4581.6958199999999</v>
      </c>
      <c r="AD732">
        <v>1</v>
      </c>
      <c r="AE732">
        <f t="shared" si="104"/>
        <v>730</v>
      </c>
      <c r="AF732">
        <f t="shared" si="105"/>
        <v>729</v>
      </c>
      <c r="AG732">
        <f t="shared" si="99"/>
        <v>-40.406750000000102</v>
      </c>
      <c r="AH732">
        <f t="shared" si="100"/>
        <v>1632.7054455625082</v>
      </c>
      <c r="AI732">
        <f t="shared" si="101"/>
        <v>-1.5176699892271945</v>
      </c>
      <c r="AJ732">
        <f t="shared" si="102"/>
        <v>1.7440936269971272</v>
      </c>
      <c r="AK732">
        <f t="shared" si="103"/>
        <v>531441</v>
      </c>
      <c r="AL732">
        <f t="shared" si="106"/>
        <v>4581.4012499999999</v>
      </c>
      <c r="AM732">
        <f t="shared" si="107"/>
        <v>0.81598000000030879</v>
      </c>
    </row>
    <row r="733" spans="1:39" x14ac:dyDescent="0.55000000000000004">
      <c r="A733">
        <v>1777383002</v>
      </c>
      <c r="B733" t="s">
        <v>72</v>
      </c>
      <c r="C733" t="s">
        <v>73</v>
      </c>
      <c r="D733">
        <v>4581.7299999999996</v>
      </c>
      <c r="E733">
        <v>4518.5928199999998</v>
      </c>
      <c r="F733">
        <v>4596.0559499999999</v>
      </c>
      <c r="G733">
        <v>4755.40355</v>
      </c>
      <c r="H733">
        <v>4792.7697200000002</v>
      </c>
      <c r="Q733">
        <v>4622.0191400000003</v>
      </c>
      <c r="R733">
        <v>4651.3824400000003</v>
      </c>
      <c r="S733">
        <v>4677.9712099999997</v>
      </c>
      <c r="V733">
        <v>4587.0793700000004</v>
      </c>
      <c r="W733">
        <v>4553.5143799999996</v>
      </c>
      <c r="AB733">
        <v>4579.7271300000002</v>
      </c>
      <c r="AC733">
        <v>4580.7114700000002</v>
      </c>
      <c r="AD733">
        <v>0</v>
      </c>
      <c r="AE733">
        <f t="shared" si="104"/>
        <v>731</v>
      </c>
      <c r="AF733">
        <f t="shared" si="105"/>
        <v>730</v>
      </c>
      <c r="AG733">
        <f t="shared" si="99"/>
        <v>-40.289140000000771</v>
      </c>
      <c r="AH733">
        <f t="shared" si="100"/>
        <v>1623.214801939662</v>
      </c>
      <c r="AI733">
        <f t="shared" si="101"/>
        <v>-1.5044562954798777</v>
      </c>
      <c r="AJ733">
        <f t="shared" si="102"/>
        <v>1.7238763092435712</v>
      </c>
      <c r="AK733">
        <f t="shared" si="103"/>
        <v>532900</v>
      </c>
      <c r="AL733">
        <f t="shared" si="106"/>
        <v>4581.4012499999999</v>
      </c>
      <c r="AM733" t="str">
        <f t="shared" si="107"/>
        <v/>
      </c>
    </row>
    <row r="734" spans="1:39" x14ac:dyDescent="0.55000000000000004">
      <c r="A734">
        <v>1777383902</v>
      </c>
      <c r="B734" t="s">
        <v>72</v>
      </c>
      <c r="C734" t="s">
        <v>73</v>
      </c>
      <c r="D734">
        <v>4580.32</v>
      </c>
      <c r="E734">
        <v>4518.5928199999998</v>
      </c>
      <c r="F734">
        <v>4596.0559499999999</v>
      </c>
      <c r="G734">
        <v>4755.40355</v>
      </c>
      <c r="H734">
        <v>4792.7697200000002</v>
      </c>
      <c r="Q734">
        <v>4621.7515400000002</v>
      </c>
      <c r="R734">
        <v>4651.1148400000002</v>
      </c>
      <c r="S734">
        <v>4677.7036099999996</v>
      </c>
      <c r="V734">
        <v>4586.8117700000003</v>
      </c>
      <c r="W734">
        <v>4553.2467699999997</v>
      </c>
      <c r="AB734">
        <v>4577.2992999999997</v>
      </c>
      <c r="AC734">
        <v>4579.0053900000003</v>
      </c>
      <c r="AD734">
        <v>0</v>
      </c>
      <c r="AE734">
        <f t="shared" si="104"/>
        <v>732</v>
      </c>
      <c r="AF734">
        <f t="shared" si="105"/>
        <v>731</v>
      </c>
      <c r="AG734">
        <f t="shared" si="99"/>
        <v>-41.431540000000496</v>
      </c>
      <c r="AH734">
        <f t="shared" si="100"/>
        <v>1716.572506771641</v>
      </c>
      <c r="AI734">
        <f t="shared" si="101"/>
        <v>-1.636096114047948</v>
      </c>
      <c r="AJ734">
        <f t="shared" si="102"/>
        <v>1.9278729842836013</v>
      </c>
      <c r="AK734">
        <f t="shared" si="103"/>
        <v>534361</v>
      </c>
      <c r="AL734">
        <f t="shared" si="106"/>
        <v>4581.4012499999999</v>
      </c>
      <c r="AM734" t="str">
        <f t="shared" si="107"/>
        <v/>
      </c>
    </row>
    <row r="735" spans="1:39" x14ac:dyDescent="0.55000000000000004">
      <c r="A735">
        <v>1777384802</v>
      </c>
      <c r="B735" t="s">
        <v>72</v>
      </c>
      <c r="C735" t="s">
        <v>73</v>
      </c>
      <c r="D735">
        <v>4568.29</v>
      </c>
      <c r="E735">
        <v>4518.5928199999998</v>
      </c>
      <c r="F735">
        <v>4596.0559499999999</v>
      </c>
      <c r="G735">
        <v>4755.40355</v>
      </c>
      <c r="H735">
        <v>4792.7697200000002</v>
      </c>
      <c r="Q735">
        <v>4621.4839300000003</v>
      </c>
      <c r="R735">
        <v>4650.8472300000003</v>
      </c>
      <c r="S735">
        <v>4677.4359999999997</v>
      </c>
      <c r="V735">
        <v>4586.5441600000004</v>
      </c>
      <c r="W735">
        <v>4552.9791699999996</v>
      </c>
      <c r="AB735">
        <v>4574.5724200000004</v>
      </c>
      <c r="AC735">
        <v>4576.7888999999996</v>
      </c>
      <c r="AD735">
        <v>0</v>
      </c>
      <c r="AE735">
        <f t="shared" si="104"/>
        <v>733</v>
      </c>
      <c r="AF735">
        <f t="shared" si="105"/>
        <v>732</v>
      </c>
      <c r="AG735">
        <f t="shared" si="99"/>
        <v>-53.193930000000364</v>
      </c>
      <c r="AH735">
        <f t="shared" si="100"/>
        <v>2829.5941888449388</v>
      </c>
      <c r="AI735">
        <f t="shared" si="101"/>
        <v>-3.4625959508356257</v>
      </c>
      <c r="AJ735">
        <f t="shared" si="102"/>
        <v>5.2384454095547346</v>
      </c>
      <c r="AK735">
        <f t="shared" si="103"/>
        <v>535824</v>
      </c>
      <c r="AL735">
        <f t="shared" si="106"/>
        <v>4581.4012499999999</v>
      </c>
      <c r="AM735" t="str">
        <f t="shared" si="107"/>
        <v/>
      </c>
    </row>
    <row r="736" spans="1:39" x14ac:dyDescent="0.55000000000000004">
      <c r="A736">
        <v>1777385702</v>
      </c>
      <c r="B736" t="s">
        <v>72</v>
      </c>
      <c r="C736" t="s">
        <v>73</v>
      </c>
      <c r="D736">
        <v>4571.47</v>
      </c>
      <c r="E736">
        <v>4518.5928199999998</v>
      </c>
      <c r="F736">
        <v>4596.0559499999999</v>
      </c>
      <c r="G736">
        <v>4755.40355</v>
      </c>
      <c r="H736">
        <v>4792.7697200000002</v>
      </c>
      <c r="Q736">
        <v>4621.2163300000002</v>
      </c>
      <c r="R736">
        <v>4650.5796300000002</v>
      </c>
      <c r="S736">
        <v>4677.1683999999996</v>
      </c>
      <c r="V736">
        <v>4586.2765600000002</v>
      </c>
      <c r="W736">
        <v>4552.7115599999997</v>
      </c>
      <c r="AB736">
        <v>4572.3813899999996</v>
      </c>
      <c r="AC736">
        <v>4574.5851400000001</v>
      </c>
      <c r="AD736">
        <v>0</v>
      </c>
      <c r="AE736">
        <f t="shared" si="104"/>
        <v>734</v>
      </c>
      <c r="AF736">
        <f t="shared" si="105"/>
        <v>733</v>
      </c>
      <c r="AG736">
        <f t="shared" si="99"/>
        <v>-49.746329999999944</v>
      </c>
      <c r="AH736">
        <f t="shared" si="100"/>
        <v>2474.6973484688942</v>
      </c>
      <c r="AI736">
        <f t="shared" si="101"/>
        <v>-2.8320357020252445</v>
      </c>
      <c r="AJ736">
        <f t="shared" si="102"/>
        <v>4.0068058450318844</v>
      </c>
      <c r="AK736">
        <f t="shared" si="103"/>
        <v>537289</v>
      </c>
      <c r="AL736">
        <f t="shared" si="106"/>
        <v>4581.4012499999999</v>
      </c>
      <c r="AM736" t="str">
        <f t="shared" si="107"/>
        <v/>
      </c>
    </row>
    <row r="737" spans="1:39" x14ac:dyDescent="0.55000000000000004">
      <c r="A737">
        <v>1777386602</v>
      </c>
      <c r="B737" t="s">
        <v>72</v>
      </c>
      <c r="C737" t="s">
        <v>73</v>
      </c>
      <c r="D737">
        <v>4564.18</v>
      </c>
      <c r="E737">
        <v>4518.5928199999998</v>
      </c>
      <c r="F737">
        <v>4596.0559499999999</v>
      </c>
      <c r="G737">
        <v>4755.40355</v>
      </c>
      <c r="H737">
        <v>4792.7697200000002</v>
      </c>
      <c r="Q737">
        <v>4620.9487300000001</v>
      </c>
      <c r="R737">
        <v>4650.3120200000003</v>
      </c>
      <c r="S737">
        <v>4676.9008000000003</v>
      </c>
      <c r="V737">
        <v>4586.0089600000001</v>
      </c>
      <c r="W737">
        <v>4552.4439599999996</v>
      </c>
      <c r="AB737">
        <v>4571.0868</v>
      </c>
      <c r="AC737">
        <v>4572.8359700000001</v>
      </c>
      <c r="AD737">
        <v>0</v>
      </c>
      <c r="AE737">
        <f t="shared" si="104"/>
        <v>735</v>
      </c>
      <c r="AF737">
        <f t="shared" si="105"/>
        <v>734</v>
      </c>
      <c r="AG737">
        <f t="shared" si="99"/>
        <v>-56.768729999999778</v>
      </c>
      <c r="AH737">
        <f t="shared" si="100"/>
        <v>3222.6887058128746</v>
      </c>
      <c r="AI737">
        <f t="shared" si="101"/>
        <v>-4.2086530006830722</v>
      </c>
      <c r="AJ737">
        <f t="shared" si="102"/>
        <v>6.7950213677217883</v>
      </c>
      <c r="AK737">
        <f t="shared" si="103"/>
        <v>538756</v>
      </c>
      <c r="AL737">
        <f t="shared" si="106"/>
        <v>4581.4012499999999</v>
      </c>
      <c r="AM737" t="str">
        <f t="shared" si="107"/>
        <v/>
      </c>
    </row>
    <row r="738" spans="1:39" x14ac:dyDescent="0.55000000000000004">
      <c r="A738">
        <v>1777387502</v>
      </c>
      <c r="B738" t="s">
        <v>72</v>
      </c>
      <c r="C738" t="s">
        <v>73</v>
      </c>
      <c r="D738">
        <v>4574.6000000000004</v>
      </c>
      <c r="E738">
        <v>4518.5928199999998</v>
      </c>
      <c r="F738">
        <v>4596.0559499999999</v>
      </c>
      <c r="G738">
        <v>4755.40355</v>
      </c>
      <c r="H738">
        <v>4792.7697200000002</v>
      </c>
      <c r="Q738">
        <v>4620.6811200000002</v>
      </c>
      <c r="R738">
        <v>4650.0444200000002</v>
      </c>
      <c r="S738">
        <v>4676.6331899999996</v>
      </c>
      <c r="V738">
        <v>4585.7413500000002</v>
      </c>
      <c r="W738">
        <v>4552.1763600000004</v>
      </c>
      <c r="AB738">
        <v>4571.1620300000004</v>
      </c>
      <c r="AC738">
        <v>4571.9989999999998</v>
      </c>
      <c r="AD738">
        <v>0</v>
      </c>
      <c r="AE738">
        <f t="shared" si="104"/>
        <v>736</v>
      </c>
      <c r="AF738">
        <f t="shared" si="105"/>
        <v>735</v>
      </c>
      <c r="AG738">
        <f t="shared" si="99"/>
        <v>-46.081119999999828</v>
      </c>
      <c r="AH738">
        <f t="shared" si="100"/>
        <v>2123.4696204543843</v>
      </c>
      <c r="AI738">
        <f t="shared" si="101"/>
        <v>-2.2510475175363029</v>
      </c>
      <c r="AJ738">
        <f t="shared" si="102"/>
        <v>2.9501643921936065</v>
      </c>
      <c r="AK738">
        <f t="shared" si="103"/>
        <v>540225</v>
      </c>
      <c r="AL738">
        <f t="shared" si="106"/>
        <v>4581.4012499999999</v>
      </c>
      <c r="AM738" t="str">
        <f t="shared" si="107"/>
        <v/>
      </c>
    </row>
    <row r="739" spans="1:39" x14ac:dyDescent="0.55000000000000004">
      <c r="A739">
        <v>1777388402</v>
      </c>
      <c r="B739" t="s">
        <v>72</v>
      </c>
      <c r="C739" t="s">
        <v>73</v>
      </c>
      <c r="D739">
        <v>4572.7299999999996</v>
      </c>
      <c r="E739">
        <v>4518.5928199999998</v>
      </c>
      <c r="F739">
        <v>4596.0559499999999</v>
      </c>
      <c r="G739">
        <v>4755.40355</v>
      </c>
      <c r="H739">
        <v>4792.7697200000002</v>
      </c>
      <c r="Q739">
        <v>4620.4135200000001</v>
      </c>
      <c r="R739">
        <v>4649.77682</v>
      </c>
      <c r="S739">
        <v>4676.3655900000003</v>
      </c>
      <c r="V739">
        <v>4585.4737500000001</v>
      </c>
      <c r="W739">
        <v>4551.9087499999996</v>
      </c>
      <c r="AB739">
        <v>4572.3874900000001</v>
      </c>
      <c r="AC739">
        <v>4572.1932500000003</v>
      </c>
      <c r="AD739">
        <v>1</v>
      </c>
      <c r="AE739">
        <f t="shared" si="104"/>
        <v>737</v>
      </c>
      <c r="AF739">
        <f t="shared" si="105"/>
        <v>736</v>
      </c>
      <c r="AG739">
        <f t="shared" si="99"/>
        <v>-47.683520000000499</v>
      </c>
      <c r="AH739">
        <f t="shared" si="100"/>
        <v>2273.7180795904474</v>
      </c>
      <c r="AI739">
        <f t="shared" si="101"/>
        <v>-2.4941381605279291</v>
      </c>
      <c r="AJ739">
        <f t="shared" si="102"/>
        <v>3.3824185147107544</v>
      </c>
      <c r="AK739">
        <f t="shared" si="103"/>
        <v>541696</v>
      </c>
      <c r="AL739">
        <f t="shared" si="106"/>
        <v>4572.3874900000001</v>
      </c>
      <c r="AM739">
        <f t="shared" si="107"/>
        <v>9.0137599999998201</v>
      </c>
    </row>
    <row r="740" spans="1:39" x14ac:dyDescent="0.55000000000000004">
      <c r="A740">
        <v>1777389302</v>
      </c>
      <c r="B740" t="s">
        <v>72</v>
      </c>
      <c r="C740" t="s">
        <v>73</v>
      </c>
      <c r="D740">
        <v>4577.09</v>
      </c>
      <c r="E740">
        <v>4518.5928199999998</v>
      </c>
      <c r="F740">
        <v>4596.0559499999999</v>
      </c>
      <c r="G740">
        <v>4755.40355</v>
      </c>
      <c r="H740">
        <v>4792.7697200000002</v>
      </c>
      <c r="Q740">
        <v>4620.1459100000002</v>
      </c>
      <c r="R740">
        <v>4649.5092100000002</v>
      </c>
      <c r="S740">
        <v>4676.0979799999996</v>
      </c>
      <c r="V740">
        <v>4585.2061400000002</v>
      </c>
      <c r="W740">
        <v>4551.6411500000004</v>
      </c>
      <c r="AB740">
        <v>4574.6882900000001</v>
      </c>
      <c r="AC740">
        <v>4573.4407700000002</v>
      </c>
      <c r="AD740">
        <v>0</v>
      </c>
      <c r="AE740">
        <f t="shared" si="104"/>
        <v>738</v>
      </c>
      <c r="AF740">
        <f t="shared" si="105"/>
        <v>737</v>
      </c>
      <c r="AG740">
        <f t="shared" si="99"/>
        <v>-43.05591000000004</v>
      </c>
      <c r="AH740">
        <f t="shared" si="100"/>
        <v>1853.8113859281034</v>
      </c>
      <c r="AI740">
        <f t="shared" si="101"/>
        <v>-1.83617429080562</v>
      </c>
      <c r="AJ740">
        <f t="shared" si="102"/>
        <v>2.2484601926205348</v>
      </c>
      <c r="AK740">
        <f t="shared" si="103"/>
        <v>543169</v>
      </c>
      <c r="AL740">
        <f t="shared" si="106"/>
        <v>4572.3874900000001</v>
      </c>
      <c r="AM740" t="str">
        <f t="shared" si="107"/>
        <v/>
      </c>
    </row>
    <row r="741" spans="1:39" x14ac:dyDescent="0.55000000000000004">
      <c r="A741">
        <v>1777390202</v>
      </c>
      <c r="B741" t="s">
        <v>72</v>
      </c>
      <c r="C741" t="s">
        <v>73</v>
      </c>
      <c r="D741">
        <v>4577.82</v>
      </c>
      <c r="E741">
        <v>4518.5928199999998</v>
      </c>
      <c r="F741">
        <v>4596.0559499999999</v>
      </c>
      <c r="G741">
        <v>4755.40355</v>
      </c>
      <c r="H741">
        <v>4792.7697200000002</v>
      </c>
      <c r="Q741">
        <v>4619.8783100000001</v>
      </c>
      <c r="R741">
        <v>4649.24161</v>
      </c>
      <c r="S741">
        <v>4675.8303800000003</v>
      </c>
      <c r="V741">
        <v>4584.9385400000001</v>
      </c>
      <c r="W741">
        <v>4551.3735399999996</v>
      </c>
      <c r="AB741">
        <v>4577.6675500000001</v>
      </c>
      <c r="AC741">
        <v>4575.5541599999997</v>
      </c>
      <c r="AD741">
        <v>0</v>
      </c>
      <c r="AE741">
        <f t="shared" si="104"/>
        <v>739</v>
      </c>
      <c r="AF741">
        <f t="shared" si="105"/>
        <v>738</v>
      </c>
      <c r="AG741">
        <f t="shared" si="99"/>
        <v>-42.058310000000347</v>
      </c>
      <c r="AH741">
        <f t="shared" si="100"/>
        <v>1768.9014400561291</v>
      </c>
      <c r="AI741">
        <f t="shared" si="101"/>
        <v>-1.711476883973756</v>
      </c>
      <c r="AJ741">
        <f t="shared" si="102"/>
        <v>2.0472052359334318</v>
      </c>
      <c r="AK741">
        <f t="shared" si="103"/>
        <v>544644</v>
      </c>
      <c r="AL741">
        <f t="shared" si="106"/>
        <v>4572.3874900000001</v>
      </c>
      <c r="AM741" t="str">
        <f t="shared" si="107"/>
        <v/>
      </c>
    </row>
    <row r="742" spans="1:39" x14ac:dyDescent="0.55000000000000004">
      <c r="A742">
        <v>1777391102</v>
      </c>
      <c r="B742" t="s">
        <v>72</v>
      </c>
      <c r="C742" t="s">
        <v>73</v>
      </c>
      <c r="D742">
        <v>4586.4799999999996</v>
      </c>
      <c r="E742">
        <v>4518.5928199999998</v>
      </c>
      <c r="F742">
        <v>4596.0559499999999</v>
      </c>
      <c r="G742">
        <v>4755.40355</v>
      </c>
      <c r="H742">
        <v>4792.7697200000002</v>
      </c>
      <c r="Q742">
        <v>4619.6107099999999</v>
      </c>
      <c r="R742">
        <v>4648.9740000000002</v>
      </c>
      <c r="S742">
        <v>4675.5627699999995</v>
      </c>
      <c r="V742">
        <v>4584.6709300000002</v>
      </c>
      <c r="W742">
        <v>4551.1059400000004</v>
      </c>
      <c r="AB742">
        <v>4580.9931500000002</v>
      </c>
      <c r="AC742">
        <v>4578.2736500000001</v>
      </c>
      <c r="AD742">
        <v>0</v>
      </c>
      <c r="AE742">
        <f t="shared" si="104"/>
        <v>740</v>
      </c>
      <c r="AF742">
        <f t="shared" si="105"/>
        <v>739</v>
      </c>
      <c r="AG742">
        <f t="shared" si="99"/>
        <v>-33.130710000000363</v>
      </c>
      <c r="AH742">
        <f t="shared" si="100"/>
        <v>1097.643945104124</v>
      </c>
      <c r="AI742">
        <f t="shared" si="101"/>
        <v>-0.83658064689190492</v>
      </c>
      <c r="AJ742">
        <f t="shared" si="102"/>
        <v>0.78827378672536741</v>
      </c>
      <c r="AK742">
        <f t="shared" si="103"/>
        <v>546121</v>
      </c>
      <c r="AL742">
        <f t="shared" si="106"/>
        <v>4572.3874900000001</v>
      </c>
      <c r="AM742" t="str">
        <f t="shared" si="107"/>
        <v/>
      </c>
    </row>
    <row r="743" spans="1:39" x14ac:dyDescent="0.55000000000000004">
      <c r="A743">
        <v>1777392002</v>
      </c>
      <c r="B743" t="s">
        <v>72</v>
      </c>
      <c r="C743" t="s">
        <v>73</v>
      </c>
      <c r="D743">
        <v>4585.3999999999996</v>
      </c>
      <c r="E743">
        <v>4518.5928199999998</v>
      </c>
      <c r="F743">
        <v>4596.0559499999999</v>
      </c>
      <c r="G743">
        <v>4755.40355</v>
      </c>
      <c r="H743">
        <v>4792.7697200000002</v>
      </c>
      <c r="Q743">
        <v>4619.3431</v>
      </c>
      <c r="R743">
        <v>4648.7064</v>
      </c>
      <c r="S743">
        <v>4675.2951700000003</v>
      </c>
      <c r="V743">
        <v>4584.4033300000001</v>
      </c>
      <c r="W743">
        <v>4550.8383299999996</v>
      </c>
      <c r="AB743">
        <v>4584.1483399999997</v>
      </c>
      <c r="AC743">
        <v>4581.2110000000002</v>
      </c>
      <c r="AD743">
        <v>0</v>
      </c>
      <c r="AE743">
        <f t="shared" si="104"/>
        <v>741</v>
      </c>
      <c r="AF743">
        <f t="shared" si="105"/>
        <v>740</v>
      </c>
      <c r="AG743">
        <f t="shared" si="99"/>
        <v>-33.943100000000413</v>
      </c>
      <c r="AH743">
        <f t="shared" si="100"/>
        <v>1152.1340376100281</v>
      </c>
      <c r="AI743">
        <f t="shared" si="101"/>
        <v>-0.89964277254161296</v>
      </c>
      <c r="AJ743">
        <f t="shared" si="102"/>
        <v>0.86848061081074079</v>
      </c>
      <c r="AK743">
        <f t="shared" si="103"/>
        <v>547600</v>
      </c>
      <c r="AL743">
        <f t="shared" si="106"/>
        <v>4572.3874900000001</v>
      </c>
      <c r="AM743" t="str">
        <f t="shared" si="107"/>
        <v/>
      </c>
    </row>
    <row r="744" spans="1:39" x14ac:dyDescent="0.55000000000000004">
      <c r="A744">
        <v>1777392902</v>
      </c>
      <c r="B744" t="s">
        <v>72</v>
      </c>
      <c r="C744" t="s">
        <v>73</v>
      </c>
      <c r="D744">
        <v>4582.74</v>
      </c>
      <c r="E744">
        <v>4518.5928199999998</v>
      </c>
      <c r="F744">
        <v>4596.0559499999999</v>
      </c>
      <c r="G744">
        <v>4755.40355</v>
      </c>
      <c r="H744">
        <v>4792.7697200000002</v>
      </c>
      <c r="Q744">
        <v>4619.0754999999999</v>
      </c>
      <c r="R744">
        <v>4648.4387999999999</v>
      </c>
      <c r="S744">
        <v>4675.0275700000002</v>
      </c>
      <c r="V744">
        <v>4584.13573</v>
      </c>
      <c r="W744">
        <v>4550.5707300000004</v>
      </c>
      <c r="AB744">
        <v>4586.9702500000003</v>
      </c>
      <c r="AC744">
        <v>4584.0906299999997</v>
      </c>
      <c r="AD744">
        <v>0</v>
      </c>
      <c r="AE744">
        <f t="shared" si="104"/>
        <v>742</v>
      </c>
      <c r="AF744">
        <f t="shared" si="105"/>
        <v>741</v>
      </c>
      <c r="AG744">
        <f t="shared" si="99"/>
        <v>-36.335500000000138</v>
      </c>
      <c r="AH744">
        <f t="shared" si="100"/>
        <v>1320.2685602500101</v>
      </c>
      <c r="AI744">
        <f t="shared" si="101"/>
        <v>-1.103593176850894</v>
      </c>
      <c r="AJ744">
        <f t="shared" si="102"/>
        <v>1.1404563708646693</v>
      </c>
      <c r="AK744">
        <f t="shared" si="103"/>
        <v>549081</v>
      </c>
      <c r="AL744">
        <f t="shared" si="106"/>
        <v>4572.3874900000001</v>
      </c>
      <c r="AM744" t="str">
        <f t="shared" si="107"/>
        <v/>
      </c>
    </row>
    <row r="745" spans="1:39" x14ac:dyDescent="0.55000000000000004">
      <c r="A745">
        <v>1777393802</v>
      </c>
      <c r="B745" t="s">
        <v>72</v>
      </c>
      <c r="C745" t="s">
        <v>73</v>
      </c>
      <c r="D745">
        <v>4585.0600000000004</v>
      </c>
      <c r="E745">
        <v>4518.5928199999998</v>
      </c>
      <c r="F745">
        <v>4596.0559499999999</v>
      </c>
      <c r="G745">
        <v>4755.40355</v>
      </c>
      <c r="H745">
        <v>4792.7697200000002</v>
      </c>
      <c r="Q745">
        <v>4618.80789</v>
      </c>
      <c r="R745">
        <v>4648.17119</v>
      </c>
      <c r="S745">
        <v>4674.7599600000003</v>
      </c>
      <c r="V745">
        <v>4583.8681200000001</v>
      </c>
      <c r="W745">
        <v>4550.3031300000002</v>
      </c>
      <c r="AB745">
        <v>4589.4663399999999</v>
      </c>
      <c r="AC745">
        <v>4586.7784799999999</v>
      </c>
      <c r="AD745">
        <v>0</v>
      </c>
      <c r="AE745">
        <f t="shared" si="104"/>
        <v>743</v>
      </c>
      <c r="AF745">
        <f t="shared" si="105"/>
        <v>742</v>
      </c>
      <c r="AG745">
        <f t="shared" si="99"/>
        <v>-33.747889999999643</v>
      </c>
      <c r="AH745">
        <f t="shared" si="100"/>
        <v>1138.9200794520759</v>
      </c>
      <c r="AI745">
        <f t="shared" si="101"/>
        <v>-0.88421007499321791</v>
      </c>
      <c r="AJ745">
        <f t="shared" si="102"/>
        <v>0.84867344269503697</v>
      </c>
      <c r="AK745">
        <f t="shared" si="103"/>
        <v>550564</v>
      </c>
      <c r="AL745">
        <f t="shared" si="106"/>
        <v>4572.3874900000001</v>
      </c>
      <c r="AM745" t="str">
        <f t="shared" si="107"/>
        <v/>
      </c>
    </row>
    <row r="746" spans="1:39" x14ac:dyDescent="0.55000000000000004">
      <c r="A746">
        <v>1777394702</v>
      </c>
      <c r="B746" t="s">
        <v>72</v>
      </c>
      <c r="C746" t="s">
        <v>73</v>
      </c>
      <c r="D746">
        <v>4592.2</v>
      </c>
      <c r="E746">
        <v>4518.5928199999998</v>
      </c>
      <c r="F746">
        <v>4596.0559499999999</v>
      </c>
      <c r="G746">
        <v>4755.40355</v>
      </c>
      <c r="H746">
        <v>4792.7697200000002</v>
      </c>
      <c r="Q746">
        <v>4618.5402899999999</v>
      </c>
      <c r="R746">
        <v>4647.9035899999999</v>
      </c>
      <c r="S746">
        <v>4674.4923600000002</v>
      </c>
      <c r="V746">
        <v>4583.60052</v>
      </c>
      <c r="W746">
        <v>4550.0355200000004</v>
      </c>
      <c r="AB746">
        <v>4591.6179400000001</v>
      </c>
      <c r="AC746">
        <v>4589.1982099999996</v>
      </c>
      <c r="AD746">
        <v>0</v>
      </c>
      <c r="AE746">
        <f t="shared" si="104"/>
        <v>744</v>
      </c>
      <c r="AF746">
        <f t="shared" si="105"/>
        <v>743</v>
      </c>
      <c r="AG746">
        <f t="shared" si="99"/>
        <v>-26.340290000000095</v>
      </c>
      <c r="AH746">
        <f t="shared" si="100"/>
        <v>693.810877284105</v>
      </c>
      <c r="AI746">
        <f t="shared" si="101"/>
        <v>-0.42041406876882054</v>
      </c>
      <c r="AJ746">
        <f t="shared" si="102"/>
        <v>0.31494616260680169</v>
      </c>
      <c r="AK746">
        <f t="shared" si="103"/>
        <v>552049</v>
      </c>
      <c r="AL746">
        <f t="shared" si="106"/>
        <v>4572.3874900000001</v>
      </c>
      <c r="AM746" t="str">
        <f t="shared" si="107"/>
        <v/>
      </c>
    </row>
    <row r="747" spans="1:39" x14ac:dyDescent="0.55000000000000004">
      <c r="A747">
        <v>1777395602</v>
      </c>
      <c r="B747" t="s">
        <v>72</v>
      </c>
      <c r="C747" t="s">
        <v>73</v>
      </c>
      <c r="D747">
        <v>4593.67</v>
      </c>
      <c r="E747">
        <v>4518.5928199999998</v>
      </c>
      <c r="F747">
        <v>4596.0559499999999</v>
      </c>
      <c r="G747">
        <v>4755.40355</v>
      </c>
      <c r="H747">
        <v>4792.7697200000002</v>
      </c>
      <c r="Q747">
        <v>4618.27268</v>
      </c>
      <c r="R747">
        <v>4647.63598</v>
      </c>
      <c r="S747">
        <v>4674.2247500000003</v>
      </c>
      <c r="V747">
        <v>4583.3329100000001</v>
      </c>
      <c r="W747">
        <v>4549.7679200000002</v>
      </c>
      <c r="AB747">
        <v>4593.2970699999996</v>
      </c>
      <c r="AC747">
        <v>4591.2476399999996</v>
      </c>
      <c r="AD747">
        <v>0</v>
      </c>
      <c r="AE747">
        <f t="shared" si="104"/>
        <v>745</v>
      </c>
      <c r="AF747">
        <f t="shared" si="105"/>
        <v>744</v>
      </c>
      <c r="AG747">
        <f t="shared" si="99"/>
        <v>-24.602679999999964</v>
      </c>
      <c r="AH747">
        <f t="shared" si="100"/>
        <v>605.29186318239817</v>
      </c>
      <c r="AI747">
        <f t="shared" si="101"/>
        <v>-0.34258065723190007</v>
      </c>
      <c r="AJ747">
        <f t="shared" si="102"/>
        <v>0.23970869318793961</v>
      </c>
      <c r="AK747">
        <f t="shared" si="103"/>
        <v>553536</v>
      </c>
      <c r="AL747">
        <f t="shared" si="106"/>
        <v>4572.3874900000001</v>
      </c>
      <c r="AM747" t="str">
        <f t="shared" si="107"/>
        <v/>
      </c>
    </row>
    <row r="748" spans="1:39" x14ac:dyDescent="0.55000000000000004">
      <c r="A748">
        <v>1777396502</v>
      </c>
      <c r="B748" t="s">
        <v>72</v>
      </c>
      <c r="C748" t="s">
        <v>73</v>
      </c>
      <c r="D748">
        <v>4593.49</v>
      </c>
      <c r="E748">
        <v>4518.5928199999998</v>
      </c>
      <c r="F748">
        <v>4596.0559499999999</v>
      </c>
      <c r="G748">
        <v>4755.40355</v>
      </c>
      <c r="H748">
        <v>4792.7697200000002</v>
      </c>
      <c r="Q748">
        <v>4618.0050799999999</v>
      </c>
      <c r="R748">
        <v>4647.3683799999999</v>
      </c>
      <c r="S748">
        <v>4673.9571500000002</v>
      </c>
      <c r="V748">
        <v>4583.06531</v>
      </c>
      <c r="W748">
        <v>4549.5003100000004</v>
      </c>
      <c r="AB748">
        <v>4594.5428400000001</v>
      </c>
      <c r="AC748">
        <v>4592.8952399999998</v>
      </c>
      <c r="AD748">
        <v>0</v>
      </c>
      <c r="AE748">
        <f t="shared" si="104"/>
        <v>746</v>
      </c>
      <c r="AF748">
        <f t="shared" si="105"/>
        <v>745</v>
      </c>
      <c r="AG748">
        <f t="shared" si="99"/>
        <v>-24.515080000000125</v>
      </c>
      <c r="AH748">
        <f t="shared" si="100"/>
        <v>600.98914740640612</v>
      </c>
      <c r="AI748">
        <f t="shared" si="101"/>
        <v>-0.33893430582751188</v>
      </c>
      <c r="AJ748">
        <f t="shared" si="102"/>
        <v>0.23631286848954441</v>
      </c>
      <c r="AK748">
        <f t="shared" si="103"/>
        <v>555025</v>
      </c>
      <c r="AL748">
        <f t="shared" si="106"/>
        <v>4572.3874900000001</v>
      </c>
      <c r="AM748" t="str">
        <f t="shared" si="107"/>
        <v/>
      </c>
    </row>
    <row r="749" spans="1:39" x14ac:dyDescent="0.55000000000000004">
      <c r="A749">
        <v>1777397402</v>
      </c>
      <c r="B749" t="s">
        <v>72</v>
      </c>
      <c r="C749" t="s">
        <v>73</v>
      </c>
      <c r="D749">
        <v>4599.0200000000004</v>
      </c>
      <c r="E749">
        <v>4518.5928199999998</v>
      </c>
      <c r="F749">
        <v>4596.0559499999999</v>
      </c>
      <c r="G749">
        <v>4755.40355</v>
      </c>
      <c r="H749">
        <v>4792.7697200000002</v>
      </c>
      <c r="Q749">
        <v>4617.7374799999998</v>
      </c>
      <c r="R749">
        <v>4647.1007799999998</v>
      </c>
      <c r="S749">
        <v>4673.6895500000001</v>
      </c>
      <c r="V749">
        <v>4582.7977099999998</v>
      </c>
      <c r="W749">
        <v>4549.2327100000002</v>
      </c>
      <c r="Z749">
        <v>4601.49</v>
      </c>
      <c r="AB749">
        <v>4595.4841100000003</v>
      </c>
      <c r="AC749">
        <v>4594.1896699999998</v>
      </c>
      <c r="AD749">
        <v>0</v>
      </c>
      <c r="AE749">
        <f t="shared" si="104"/>
        <v>747</v>
      </c>
      <c r="AF749">
        <f t="shared" si="105"/>
        <v>746</v>
      </c>
      <c r="AG749">
        <f t="shared" si="99"/>
        <v>-18.717479999999341</v>
      </c>
      <c r="AH749">
        <f t="shared" si="100"/>
        <v>350.34405755037534</v>
      </c>
      <c r="AI749">
        <f t="shared" si="101"/>
        <v>-0.15085430825733306</v>
      </c>
      <c r="AJ749">
        <f t="shared" si="102"/>
        <v>8.0305191789107805E-2</v>
      </c>
      <c r="AK749">
        <f t="shared" si="103"/>
        <v>556516</v>
      </c>
      <c r="AL749">
        <f t="shared" si="106"/>
        <v>4572.3874900000001</v>
      </c>
      <c r="AM749" t="str">
        <f t="shared" si="107"/>
        <v/>
      </c>
    </row>
    <row r="750" spans="1:39" x14ac:dyDescent="0.55000000000000004">
      <c r="A750">
        <v>1777398302</v>
      </c>
      <c r="B750" t="s">
        <v>72</v>
      </c>
      <c r="C750" t="s">
        <v>73</v>
      </c>
      <c r="D750">
        <v>4594.7700000000004</v>
      </c>
      <c r="E750">
        <v>4518.5928199999998</v>
      </c>
      <c r="F750">
        <v>4596.0559499999999</v>
      </c>
      <c r="G750">
        <v>4755.40355</v>
      </c>
      <c r="H750">
        <v>4792.7697200000002</v>
      </c>
      <c r="Q750">
        <v>4617.4698699999999</v>
      </c>
      <c r="R750">
        <v>4646.8331699999999</v>
      </c>
      <c r="S750">
        <v>4673.4219400000002</v>
      </c>
      <c r="V750">
        <v>4582.5300999999999</v>
      </c>
      <c r="W750">
        <v>4548.9651100000001</v>
      </c>
      <c r="AB750">
        <v>4596.0270200000004</v>
      </c>
      <c r="AC750">
        <v>4595.1083399999998</v>
      </c>
      <c r="AD750">
        <v>0</v>
      </c>
      <c r="AE750">
        <f t="shared" si="104"/>
        <v>748</v>
      </c>
      <c r="AF750">
        <f t="shared" si="105"/>
        <v>747</v>
      </c>
      <c r="AG750">
        <f t="shared" si="99"/>
        <v>-22.699869999999464</v>
      </c>
      <c r="AH750">
        <f t="shared" si="100"/>
        <v>515.28409801687565</v>
      </c>
      <c r="AI750">
        <f t="shared" si="101"/>
        <v>-0.26908264907931445</v>
      </c>
      <c r="AJ750">
        <f t="shared" si="102"/>
        <v>0.17371910883352606</v>
      </c>
      <c r="AK750">
        <f t="shared" si="103"/>
        <v>558009</v>
      </c>
      <c r="AL750">
        <f t="shared" si="106"/>
        <v>4572.3874900000001</v>
      </c>
      <c r="AM750" t="str">
        <f t="shared" si="107"/>
        <v/>
      </c>
    </row>
    <row r="751" spans="1:39" x14ac:dyDescent="0.55000000000000004">
      <c r="A751">
        <v>1777399202</v>
      </c>
      <c r="B751" t="s">
        <v>72</v>
      </c>
      <c r="C751" t="s">
        <v>73</v>
      </c>
      <c r="D751">
        <v>4596.1000000000004</v>
      </c>
      <c r="E751">
        <v>4518.5928199999998</v>
      </c>
      <c r="F751">
        <v>4596.0559499999999</v>
      </c>
      <c r="G751">
        <v>4755.40355</v>
      </c>
      <c r="H751">
        <v>4792.7697200000002</v>
      </c>
      <c r="Q751">
        <v>4617.2022699999998</v>
      </c>
      <c r="R751">
        <v>4646.5655699999998</v>
      </c>
      <c r="S751">
        <v>4673.15434</v>
      </c>
      <c r="V751">
        <v>4582.2624999999998</v>
      </c>
      <c r="W751">
        <v>4548.6975000000002</v>
      </c>
      <c r="AB751">
        <v>4596.3835300000001</v>
      </c>
      <c r="AC751">
        <v>4595.74593</v>
      </c>
      <c r="AD751">
        <v>0</v>
      </c>
      <c r="AE751">
        <f t="shared" si="104"/>
        <v>749</v>
      </c>
      <c r="AF751">
        <f t="shared" si="105"/>
        <v>748</v>
      </c>
      <c r="AG751">
        <f t="shared" si="99"/>
        <v>-21.102269999999407</v>
      </c>
      <c r="AH751">
        <f t="shared" si="100"/>
        <v>445.30579915287501</v>
      </c>
      <c r="AI751">
        <f t="shared" si="101"/>
        <v>-0.21617382689025963</v>
      </c>
      <c r="AJ751">
        <f t="shared" si="102"/>
        <v>0.1297390801605941</v>
      </c>
      <c r="AK751">
        <f t="shared" si="103"/>
        <v>559504</v>
      </c>
      <c r="AL751">
        <f t="shared" si="106"/>
        <v>4572.3874900000001</v>
      </c>
      <c r="AM751" t="str">
        <f t="shared" si="107"/>
        <v/>
      </c>
    </row>
    <row r="752" spans="1:39" x14ac:dyDescent="0.55000000000000004">
      <c r="A752">
        <v>1777400102</v>
      </c>
      <c r="B752" t="s">
        <v>72</v>
      </c>
      <c r="C752" t="s">
        <v>73</v>
      </c>
      <c r="D752">
        <v>4598.91</v>
      </c>
      <c r="E752">
        <v>4518.5928199999998</v>
      </c>
      <c r="F752">
        <v>4596.0559499999999</v>
      </c>
      <c r="G752">
        <v>4755.40355</v>
      </c>
      <c r="H752">
        <v>4792.7697200000002</v>
      </c>
      <c r="Q752">
        <v>4616.9346599999999</v>
      </c>
      <c r="R752">
        <v>4646.2979599999999</v>
      </c>
      <c r="S752">
        <v>4672.8867300000002</v>
      </c>
      <c r="V752">
        <v>4581.9948899999999</v>
      </c>
      <c r="W752">
        <v>4548.4299000000001</v>
      </c>
      <c r="AB752">
        <v>4596.5889999999999</v>
      </c>
      <c r="AC752">
        <v>4596.1674700000003</v>
      </c>
      <c r="AD752">
        <v>0</v>
      </c>
      <c r="AE752">
        <f t="shared" si="104"/>
        <v>750</v>
      </c>
      <c r="AF752">
        <f t="shared" si="105"/>
        <v>749</v>
      </c>
      <c r="AG752">
        <f t="shared" si="99"/>
        <v>-18.02466000000004</v>
      </c>
      <c r="AH752">
        <f t="shared" si="100"/>
        <v>324.88836811560145</v>
      </c>
      <c r="AI752">
        <f t="shared" si="101"/>
        <v>-0.13471527082857318</v>
      </c>
      <c r="AJ752">
        <f t="shared" si="102"/>
        <v>6.905934231747772E-2</v>
      </c>
      <c r="AK752">
        <f t="shared" si="103"/>
        <v>561001</v>
      </c>
      <c r="AL752">
        <f t="shared" si="106"/>
        <v>4572.3874900000001</v>
      </c>
      <c r="AM752" t="str">
        <f t="shared" si="107"/>
        <v/>
      </c>
    </row>
    <row r="753" spans="1:39" x14ac:dyDescent="0.55000000000000004">
      <c r="A753">
        <v>1777401002</v>
      </c>
      <c r="B753" t="s">
        <v>72</v>
      </c>
      <c r="C753" t="s">
        <v>73</v>
      </c>
      <c r="D753">
        <v>4597.74</v>
      </c>
      <c r="E753">
        <v>4518.5928199999998</v>
      </c>
      <c r="F753">
        <v>4596.0559499999999</v>
      </c>
      <c r="G753">
        <v>4755.40355</v>
      </c>
      <c r="H753">
        <v>4792.7697200000002</v>
      </c>
      <c r="Q753">
        <v>4616.6670599999998</v>
      </c>
      <c r="R753">
        <v>4646.0303599999997</v>
      </c>
      <c r="S753">
        <v>4672.61913</v>
      </c>
      <c r="V753">
        <v>4581.7272899999998</v>
      </c>
      <c r="W753">
        <v>4548.1622900000002</v>
      </c>
      <c r="AB753">
        <v>4596.6368700000003</v>
      </c>
      <c r="AC753">
        <v>4596.4021700000003</v>
      </c>
      <c r="AD753">
        <v>0</v>
      </c>
      <c r="AE753">
        <f t="shared" si="104"/>
        <v>751</v>
      </c>
      <c r="AF753">
        <f t="shared" si="105"/>
        <v>750</v>
      </c>
      <c r="AG753">
        <f t="shared" si="99"/>
        <v>-18.927059999999983</v>
      </c>
      <c r="AH753">
        <f t="shared" si="100"/>
        <v>358.23360024359937</v>
      </c>
      <c r="AI753">
        <f t="shared" si="101"/>
        <v>-0.15597861548709632</v>
      </c>
      <c r="AJ753">
        <f t="shared" si="102"/>
        <v>8.3962768115303774E-2</v>
      </c>
      <c r="AK753">
        <f t="shared" si="103"/>
        <v>562500</v>
      </c>
      <c r="AL753">
        <f t="shared" si="106"/>
        <v>4572.3874900000001</v>
      </c>
      <c r="AM753" t="str">
        <f t="shared" si="107"/>
        <v/>
      </c>
    </row>
    <row r="754" spans="1:39" x14ac:dyDescent="0.55000000000000004">
      <c r="A754">
        <v>1777401902</v>
      </c>
      <c r="B754" t="s">
        <v>72</v>
      </c>
      <c r="C754" t="s">
        <v>73</v>
      </c>
      <c r="D754">
        <v>4594.2</v>
      </c>
      <c r="E754">
        <v>4518.5928199999998</v>
      </c>
      <c r="F754">
        <v>4596.0559499999999</v>
      </c>
      <c r="G754">
        <v>4755.40355</v>
      </c>
      <c r="H754">
        <v>4792.7697200000002</v>
      </c>
      <c r="Q754">
        <v>4616.3994599999996</v>
      </c>
      <c r="R754">
        <v>4645.7627499999999</v>
      </c>
      <c r="S754">
        <v>4672.3515299999999</v>
      </c>
      <c r="V754">
        <v>4581.4596899999997</v>
      </c>
      <c r="W754">
        <v>4547.8946900000001</v>
      </c>
      <c r="AB754">
        <v>4596.5945499999998</v>
      </c>
      <c r="AC754">
        <v>4596.4983599999996</v>
      </c>
      <c r="AD754">
        <v>0</v>
      </c>
      <c r="AE754">
        <f t="shared" si="104"/>
        <v>752</v>
      </c>
      <c r="AF754">
        <f t="shared" si="105"/>
        <v>751</v>
      </c>
      <c r="AG754">
        <f t="shared" si="99"/>
        <v>-22.199459999999817</v>
      </c>
      <c r="AH754">
        <f t="shared" si="100"/>
        <v>492.81602429159187</v>
      </c>
      <c r="AI754">
        <f t="shared" si="101"/>
        <v>-0.25167658692213485</v>
      </c>
      <c r="AJ754">
        <f t="shared" si="102"/>
        <v>0.15889994769757537</v>
      </c>
      <c r="AK754">
        <f t="shared" si="103"/>
        <v>564001</v>
      </c>
      <c r="AL754">
        <f t="shared" si="106"/>
        <v>4572.3874900000001</v>
      </c>
      <c r="AM754" t="str">
        <f t="shared" si="107"/>
        <v/>
      </c>
    </row>
    <row r="755" spans="1:39" x14ac:dyDescent="0.55000000000000004">
      <c r="A755">
        <v>1777402802</v>
      </c>
      <c r="B755" t="s">
        <v>72</v>
      </c>
      <c r="C755" t="s">
        <v>73</v>
      </c>
      <c r="D755">
        <v>4595.75</v>
      </c>
      <c r="E755">
        <v>4518.5928199999998</v>
      </c>
      <c r="F755">
        <v>4596.0559499999999</v>
      </c>
      <c r="G755">
        <v>4755.40355</v>
      </c>
      <c r="H755">
        <v>4792.7697200000002</v>
      </c>
      <c r="Q755">
        <v>4616.1318499999998</v>
      </c>
      <c r="R755">
        <v>4645.4951499999997</v>
      </c>
      <c r="S755">
        <v>4672.08392</v>
      </c>
      <c r="V755">
        <v>4581.1920799999998</v>
      </c>
      <c r="W755">
        <v>4547.62709</v>
      </c>
      <c r="AB755">
        <v>4596.5907399999996</v>
      </c>
      <c r="AC755">
        <v>4596.5445499999996</v>
      </c>
      <c r="AD755">
        <v>0</v>
      </c>
      <c r="AE755">
        <f t="shared" si="104"/>
        <v>753</v>
      </c>
      <c r="AF755">
        <f t="shared" si="105"/>
        <v>752</v>
      </c>
      <c r="AG755">
        <f t="shared" si="99"/>
        <v>-20.381849999999758</v>
      </c>
      <c r="AH755">
        <f t="shared" si="100"/>
        <v>415.41980942249018</v>
      </c>
      <c r="AI755">
        <f t="shared" si="101"/>
        <v>-0.19478090876073303</v>
      </c>
      <c r="AJ755">
        <f t="shared" si="102"/>
        <v>0.11290898855035048</v>
      </c>
      <c r="AK755">
        <f t="shared" si="103"/>
        <v>565504</v>
      </c>
      <c r="AL755">
        <f t="shared" si="106"/>
        <v>4572.3874900000001</v>
      </c>
      <c r="AM755" t="str">
        <f t="shared" si="107"/>
        <v/>
      </c>
    </row>
    <row r="756" spans="1:39" x14ac:dyDescent="0.55000000000000004">
      <c r="A756">
        <v>1777403702</v>
      </c>
      <c r="B756" t="s">
        <v>72</v>
      </c>
      <c r="C756" t="s">
        <v>73</v>
      </c>
      <c r="D756">
        <v>4596.22</v>
      </c>
      <c r="E756">
        <v>4518.5928199999998</v>
      </c>
      <c r="F756">
        <v>4596.0559499999999</v>
      </c>
      <c r="G756">
        <v>4755.40355</v>
      </c>
      <c r="H756">
        <v>4792.7697200000002</v>
      </c>
      <c r="Q756">
        <v>4615.8642499999996</v>
      </c>
      <c r="R756">
        <v>4645.2275499999996</v>
      </c>
      <c r="S756">
        <v>4671.8163199999999</v>
      </c>
      <c r="V756">
        <v>4580.9244799999997</v>
      </c>
      <c r="W756">
        <v>4547.3594800000001</v>
      </c>
      <c r="AB756">
        <v>4596.6380600000002</v>
      </c>
      <c r="AC756">
        <v>4596.5913</v>
      </c>
      <c r="AD756">
        <v>0</v>
      </c>
      <c r="AE756">
        <f t="shared" si="104"/>
        <v>754</v>
      </c>
      <c r="AF756">
        <f t="shared" si="105"/>
        <v>753</v>
      </c>
      <c r="AG756">
        <f t="shared" si="99"/>
        <v>-19.644249999999374</v>
      </c>
      <c r="AH756">
        <f t="shared" si="100"/>
        <v>385.89655806247544</v>
      </c>
      <c r="AI756">
        <f t="shared" si="101"/>
        <v>-0.1743901462726235</v>
      </c>
      <c r="AJ756">
        <f t="shared" si="102"/>
        <v>9.7430722390893218E-2</v>
      </c>
      <c r="AK756">
        <f t="shared" si="103"/>
        <v>567009</v>
      </c>
      <c r="AL756">
        <f t="shared" si="106"/>
        <v>4572.3874900000001</v>
      </c>
      <c r="AM756" t="str">
        <f t="shared" si="107"/>
        <v/>
      </c>
    </row>
    <row r="757" spans="1:39" x14ac:dyDescent="0.55000000000000004">
      <c r="A757">
        <v>1777404602</v>
      </c>
      <c r="B757" t="s">
        <v>72</v>
      </c>
      <c r="C757" t="s">
        <v>73</v>
      </c>
      <c r="D757">
        <v>4598.5200000000004</v>
      </c>
      <c r="E757">
        <v>4518.5928199999998</v>
      </c>
      <c r="F757">
        <v>4596.0559499999999</v>
      </c>
      <c r="G757">
        <v>4755.40355</v>
      </c>
      <c r="H757">
        <v>4792.7697200000002</v>
      </c>
      <c r="Q757">
        <v>4615.5966399999998</v>
      </c>
      <c r="R757">
        <v>4644.9599399999997</v>
      </c>
      <c r="S757">
        <v>4671.54871</v>
      </c>
      <c r="V757">
        <v>4580.6568699999998</v>
      </c>
      <c r="W757">
        <v>4547.0918799999999</v>
      </c>
      <c r="AB757">
        <v>4596.6971700000004</v>
      </c>
      <c r="AC757">
        <v>4596.6442399999996</v>
      </c>
      <c r="AD757">
        <v>0</v>
      </c>
      <c r="AE757">
        <f t="shared" si="104"/>
        <v>755</v>
      </c>
      <c r="AF757">
        <f t="shared" si="105"/>
        <v>754</v>
      </c>
      <c r="AG757">
        <f t="shared" si="99"/>
        <v>-17.076639999999315</v>
      </c>
      <c r="AH757">
        <f t="shared" si="100"/>
        <v>291.61163368957665</v>
      </c>
      <c r="AI757">
        <f t="shared" si="101"/>
        <v>-0.11455732220749189</v>
      </c>
      <c r="AJ757">
        <f t="shared" si="102"/>
        <v>5.5637012829180814E-2</v>
      </c>
      <c r="AK757">
        <f t="shared" si="103"/>
        <v>568516</v>
      </c>
      <c r="AL757">
        <f t="shared" si="106"/>
        <v>4572.3874900000001</v>
      </c>
      <c r="AM757" t="str">
        <f t="shared" si="107"/>
        <v/>
      </c>
    </row>
    <row r="758" spans="1:39" x14ac:dyDescent="0.55000000000000004">
      <c r="A758">
        <v>1777405502</v>
      </c>
      <c r="B758" t="s">
        <v>72</v>
      </c>
      <c r="C758" t="s">
        <v>73</v>
      </c>
      <c r="D758">
        <v>4595.7</v>
      </c>
      <c r="E758">
        <v>4518.5928199999998</v>
      </c>
      <c r="F758">
        <v>4596.0559499999999</v>
      </c>
      <c r="G758">
        <v>4755.40355</v>
      </c>
      <c r="H758">
        <v>4792.7697200000002</v>
      </c>
      <c r="Q758">
        <v>4615.3290399999996</v>
      </c>
      <c r="R758">
        <v>4644.6923399999996</v>
      </c>
      <c r="S758">
        <v>4671.2811099999999</v>
      </c>
      <c r="V758">
        <v>4580.3892699999997</v>
      </c>
      <c r="W758">
        <v>4546.8242700000001</v>
      </c>
      <c r="AB758">
        <v>4596.59339</v>
      </c>
      <c r="AC758">
        <v>4596.6188099999999</v>
      </c>
      <c r="AD758">
        <v>1</v>
      </c>
      <c r="AE758">
        <f t="shared" si="104"/>
        <v>756</v>
      </c>
      <c r="AF758">
        <f t="shared" si="105"/>
        <v>755</v>
      </c>
      <c r="AG758">
        <f t="shared" si="99"/>
        <v>-19.629039999999804</v>
      </c>
      <c r="AH758">
        <f t="shared" si="100"/>
        <v>385.29921132159234</v>
      </c>
      <c r="AI758">
        <f t="shared" si="101"/>
        <v>-0.17398538341570263</v>
      </c>
      <c r="AJ758">
        <f t="shared" si="102"/>
        <v>9.712932100174386E-2</v>
      </c>
      <c r="AK758">
        <f t="shared" si="103"/>
        <v>570025</v>
      </c>
      <c r="AL758">
        <f t="shared" si="106"/>
        <v>4596.59339</v>
      </c>
      <c r="AM758">
        <f t="shared" si="107"/>
        <v>24.205899999999929</v>
      </c>
    </row>
    <row r="759" spans="1:39" x14ac:dyDescent="0.55000000000000004">
      <c r="A759">
        <v>1777406402</v>
      </c>
      <c r="B759" t="s">
        <v>72</v>
      </c>
      <c r="C759" t="s">
        <v>73</v>
      </c>
      <c r="D759">
        <v>4597.28</v>
      </c>
      <c r="E759">
        <v>4518.5928199999998</v>
      </c>
      <c r="F759">
        <v>4596.0559499999999</v>
      </c>
      <c r="G759">
        <v>4755.40355</v>
      </c>
      <c r="H759">
        <v>4792.7697200000002</v>
      </c>
      <c r="Q759">
        <v>4615.0614400000004</v>
      </c>
      <c r="R759">
        <v>4644.4247299999997</v>
      </c>
      <c r="S759">
        <v>4671.0135099999998</v>
      </c>
      <c r="V759">
        <v>4580.1216700000004</v>
      </c>
      <c r="W759">
        <v>4546.5566699999999</v>
      </c>
      <c r="AB759">
        <v>4596.3382099999999</v>
      </c>
      <c r="AC759">
        <v>4596.4785099999999</v>
      </c>
      <c r="AD759">
        <v>0</v>
      </c>
      <c r="AE759">
        <f t="shared" si="104"/>
        <v>757</v>
      </c>
      <c r="AF759">
        <f t="shared" si="105"/>
        <v>756</v>
      </c>
      <c r="AG759">
        <f t="shared" si="99"/>
        <v>-17.781440000000657</v>
      </c>
      <c r="AH759">
        <f t="shared" si="100"/>
        <v>316.17960847362338</v>
      </c>
      <c r="AI759">
        <f t="shared" si="101"/>
        <v>-0.12933509025531131</v>
      </c>
      <c r="AJ759">
        <f t="shared" si="102"/>
        <v>6.5406638150699969E-2</v>
      </c>
      <c r="AK759">
        <f t="shared" si="103"/>
        <v>571536</v>
      </c>
      <c r="AL759">
        <f t="shared" si="106"/>
        <v>4596.59339</v>
      </c>
      <c r="AM759" t="str">
        <f t="shared" si="107"/>
        <v/>
      </c>
    </row>
    <row r="760" spans="1:39" x14ac:dyDescent="0.55000000000000004">
      <c r="A760">
        <v>1777407302</v>
      </c>
      <c r="B760" t="s">
        <v>72</v>
      </c>
      <c r="C760" t="s">
        <v>73</v>
      </c>
      <c r="D760">
        <v>4592.8500000000004</v>
      </c>
      <c r="E760">
        <v>4518.5928199999998</v>
      </c>
      <c r="F760">
        <v>4596.0559499999999</v>
      </c>
      <c r="G760">
        <v>4755.40355</v>
      </c>
      <c r="H760">
        <v>4792.7697200000002</v>
      </c>
      <c r="Q760">
        <v>4614.7938299999996</v>
      </c>
      <c r="R760">
        <v>4644.1571299999996</v>
      </c>
      <c r="S760">
        <v>4670.7458999999999</v>
      </c>
      <c r="V760">
        <v>4579.8540599999997</v>
      </c>
      <c r="W760">
        <v>4546.2890699999998</v>
      </c>
      <c r="AB760">
        <v>4595.8461600000001</v>
      </c>
      <c r="AC760">
        <v>4596.1623300000001</v>
      </c>
      <c r="AD760">
        <v>0</v>
      </c>
      <c r="AE760">
        <f t="shared" si="104"/>
        <v>758</v>
      </c>
      <c r="AF760">
        <f t="shared" si="105"/>
        <v>757</v>
      </c>
      <c r="AG760">
        <f t="shared" si="99"/>
        <v>-21.943829999999252</v>
      </c>
      <c r="AH760">
        <f t="shared" si="100"/>
        <v>481.53167506886717</v>
      </c>
      <c r="AI760">
        <f t="shared" si="101"/>
        <v>-0.24308204135432712</v>
      </c>
      <c r="AJ760">
        <f t="shared" si="102"/>
        <v>0.15170637569881953</v>
      </c>
      <c r="AK760">
        <f t="shared" si="103"/>
        <v>573049</v>
      </c>
      <c r="AL760">
        <f t="shared" si="106"/>
        <v>4596.59339</v>
      </c>
      <c r="AM760" t="str">
        <f t="shared" si="107"/>
        <v/>
      </c>
    </row>
    <row r="761" spans="1:39" x14ac:dyDescent="0.55000000000000004">
      <c r="A761">
        <v>1777408202</v>
      </c>
      <c r="B761" t="s">
        <v>72</v>
      </c>
      <c r="C761" t="s">
        <v>73</v>
      </c>
      <c r="D761">
        <v>4593.4399999999996</v>
      </c>
      <c r="E761">
        <v>4518.5928199999998</v>
      </c>
      <c r="F761">
        <v>4596.0559499999999</v>
      </c>
      <c r="G761">
        <v>4755.40355</v>
      </c>
      <c r="H761">
        <v>4792.7697200000002</v>
      </c>
      <c r="Q761">
        <v>4614.5262300000004</v>
      </c>
      <c r="R761">
        <v>4643.8895300000004</v>
      </c>
      <c r="S761">
        <v>4670.4782999999998</v>
      </c>
      <c r="V761">
        <v>4579.5864600000004</v>
      </c>
      <c r="W761">
        <v>4546.0214599999999</v>
      </c>
      <c r="AB761">
        <v>4595.2431800000004</v>
      </c>
      <c r="AC761">
        <v>4595.7027600000001</v>
      </c>
      <c r="AD761">
        <v>0</v>
      </c>
      <c r="AE761">
        <f t="shared" si="104"/>
        <v>759</v>
      </c>
      <c r="AF761">
        <f t="shared" si="105"/>
        <v>758</v>
      </c>
      <c r="AG761">
        <f t="shared" si="99"/>
        <v>-21.086230000000796</v>
      </c>
      <c r="AH761">
        <f t="shared" si="100"/>
        <v>444.62909561293355</v>
      </c>
      <c r="AI761">
        <f t="shared" si="101"/>
        <v>-0.21568125525247828</v>
      </c>
      <c r="AJ761">
        <f t="shared" si="102"/>
        <v>0.12934506693750814</v>
      </c>
      <c r="AK761">
        <f t="shared" si="103"/>
        <v>574564</v>
      </c>
      <c r="AL761">
        <f t="shared" si="106"/>
        <v>4596.59339</v>
      </c>
      <c r="AM761" t="str">
        <f t="shared" si="107"/>
        <v/>
      </c>
    </row>
    <row r="762" spans="1:39" x14ac:dyDescent="0.55000000000000004">
      <c r="A762">
        <v>1777409102</v>
      </c>
      <c r="B762" t="s">
        <v>72</v>
      </c>
      <c r="C762" t="s">
        <v>73</v>
      </c>
      <c r="D762">
        <v>4597.18</v>
      </c>
      <c r="E762">
        <v>4518.5928199999998</v>
      </c>
      <c r="F762">
        <v>4596.0559499999999</v>
      </c>
      <c r="G762">
        <v>4755.40355</v>
      </c>
      <c r="H762">
        <v>4792.7697200000002</v>
      </c>
      <c r="Q762">
        <v>4614.2586199999996</v>
      </c>
      <c r="R762">
        <v>4643.6219199999996</v>
      </c>
      <c r="S762">
        <v>4670.2106899999999</v>
      </c>
      <c r="V762">
        <v>4579.3188499999997</v>
      </c>
      <c r="W762">
        <v>4545.7538599999998</v>
      </c>
      <c r="AB762">
        <v>4594.6213200000002</v>
      </c>
      <c r="AC762">
        <v>4595.1620400000002</v>
      </c>
      <c r="AD762">
        <v>0</v>
      </c>
      <c r="AE762">
        <f t="shared" si="104"/>
        <v>760</v>
      </c>
      <c r="AF762">
        <f t="shared" si="105"/>
        <v>759</v>
      </c>
      <c r="AG762">
        <f t="shared" si="99"/>
        <v>-17.078619999999319</v>
      </c>
      <c r="AH762">
        <f t="shared" si="100"/>
        <v>291.67926110437674</v>
      </c>
      <c r="AI762">
        <f t="shared" si="101"/>
        <v>-0.11459717485977396</v>
      </c>
      <c r="AJ762">
        <f t="shared" si="102"/>
        <v>5.5662821289470969E-2</v>
      </c>
      <c r="AK762">
        <f t="shared" si="103"/>
        <v>576081</v>
      </c>
      <c r="AL762">
        <f t="shared" si="106"/>
        <v>4596.59339</v>
      </c>
      <c r="AM762" t="str">
        <f t="shared" si="107"/>
        <v/>
      </c>
    </row>
    <row r="763" spans="1:39" x14ac:dyDescent="0.55000000000000004">
      <c r="A763">
        <v>1777413602</v>
      </c>
      <c r="B763" t="s">
        <v>72</v>
      </c>
      <c r="C763" t="s">
        <v>73</v>
      </c>
      <c r="D763">
        <v>4596.42</v>
      </c>
      <c r="E763">
        <v>4518.5928199999998</v>
      </c>
      <c r="F763">
        <v>4596.0559499999999</v>
      </c>
      <c r="G763">
        <v>4755.40355</v>
      </c>
      <c r="H763">
        <v>4792.7697200000002</v>
      </c>
      <c r="Q763">
        <v>4613.9910200000004</v>
      </c>
      <c r="R763">
        <v>4643.3543200000004</v>
      </c>
      <c r="S763">
        <v>4669.9430899999998</v>
      </c>
      <c r="V763">
        <v>4579.0512500000004</v>
      </c>
      <c r="W763">
        <v>4545.4862499999999</v>
      </c>
      <c r="AB763">
        <v>4593.9779500000004</v>
      </c>
      <c r="AC763">
        <v>4594.57</v>
      </c>
      <c r="AD763">
        <v>0</v>
      </c>
      <c r="AE763">
        <f t="shared" si="104"/>
        <v>761</v>
      </c>
      <c r="AF763">
        <f t="shared" si="105"/>
        <v>760</v>
      </c>
      <c r="AG763">
        <f t="shared" si="99"/>
        <v>-17.571020000000317</v>
      </c>
      <c r="AH763">
        <f t="shared" si="100"/>
        <v>308.74074384041114</v>
      </c>
      <c r="AI763">
        <f t="shared" si="101"/>
        <v>-0.12479767766470681</v>
      </c>
      <c r="AJ763">
        <f t="shared" si="102"/>
        <v>6.2365154842302969E-2</v>
      </c>
      <c r="AK763">
        <f t="shared" si="103"/>
        <v>577600</v>
      </c>
      <c r="AL763">
        <f t="shared" si="106"/>
        <v>4596.59339</v>
      </c>
      <c r="AM763" t="str">
        <f t="shared" si="107"/>
        <v/>
      </c>
    </row>
    <row r="764" spans="1:39" x14ac:dyDescent="0.55000000000000004">
      <c r="A764">
        <v>1777414502</v>
      </c>
      <c r="B764" t="s">
        <v>72</v>
      </c>
      <c r="C764" t="s">
        <v>73</v>
      </c>
      <c r="D764">
        <v>4595.82</v>
      </c>
      <c r="E764">
        <v>4518.5928199999998</v>
      </c>
      <c r="F764">
        <v>4596.0559499999999</v>
      </c>
      <c r="G764">
        <v>4755.40355</v>
      </c>
      <c r="H764">
        <v>4792.7697200000002</v>
      </c>
      <c r="Q764">
        <v>4613.7234200000003</v>
      </c>
      <c r="R764">
        <v>4643.0867099999996</v>
      </c>
      <c r="S764">
        <v>4669.6754799999999</v>
      </c>
      <c r="V764">
        <v>4578.7836399999997</v>
      </c>
      <c r="W764">
        <v>4545.2186499999998</v>
      </c>
      <c r="AB764">
        <v>4593.4692699999996</v>
      </c>
      <c r="AC764">
        <v>4594.0196299999998</v>
      </c>
      <c r="AD764">
        <v>0</v>
      </c>
      <c r="AE764">
        <f t="shared" si="104"/>
        <v>762</v>
      </c>
      <c r="AF764">
        <f t="shared" si="105"/>
        <v>761</v>
      </c>
      <c r="AG764">
        <f t="shared" si="99"/>
        <v>-17.903420000000551</v>
      </c>
      <c r="AH764">
        <f t="shared" si="100"/>
        <v>320.53244769641975</v>
      </c>
      <c r="AI764">
        <f t="shared" si="101"/>
        <v>-0.13201509253167448</v>
      </c>
      <c r="AJ764">
        <f t="shared" si="102"/>
        <v>6.7219938779929975E-2</v>
      </c>
      <c r="AK764">
        <f t="shared" si="103"/>
        <v>579121</v>
      </c>
      <c r="AL764">
        <f t="shared" si="106"/>
        <v>4596.59339</v>
      </c>
      <c r="AM764" t="str">
        <f t="shared" si="107"/>
        <v/>
      </c>
    </row>
    <row r="765" spans="1:39" x14ac:dyDescent="0.55000000000000004">
      <c r="A765">
        <v>1777415402</v>
      </c>
      <c r="B765" t="s">
        <v>72</v>
      </c>
      <c r="C765" t="s">
        <v>73</v>
      </c>
      <c r="D765">
        <v>4593.71</v>
      </c>
      <c r="E765">
        <v>4518.5928199999998</v>
      </c>
      <c r="F765">
        <v>4596.0559499999999</v>
      </c>
      <c r="G765">
        <v>4755.40355</v>
      </c>
      <c r="H765">
        <v>4792.7697200000002</v>
      </c>
      <c r="Q765">
        <v>4613.4558100000004</v>
      </c>
      <c r="R765">
        <v>4642.8191100000004</v>
      </c>
      <c r="S765">
        <v>4669.4078799999997</v>
      </c>
      <c r="V765">
        <v>4578.5160400000004</v>
      </c>
      <c r="W765">
        <v>4544.9510399999999</v>
      </c>
      <c r="AB765">
        <v>4593.2575699999998</v>
      </c>
      <c r="AC765">
        <v>4593.6386000000002</v>
      </c>
      <c r="AD765">
        <v>0</v>
      </c>
      <c r="AE765">
        <f t="shared" si="104"/>
        <v>763</v>
      </c>
      <c r="AF765">
        <f t="shared" si="105"/>
        <v>762</v>
      </c>
      <c r="AG765">
        <f t="shared" si="99"/>
        <v>-19.745810000000347</v>
      </c>
      <c r="AH765">
        <f t="shared" si="100"/>
        <v>389.89701255611368</v>
      </c>
      <c r="AI765">
        <f t="shared" si="101"/>
        <v>-0.17710892452369201</v>
      </c>
      <c r="AJ765">
        <f t="shared" si="102"/>
        <v>9.9461253386383661E-2</v>
      </c>
      <c r="AK765">
        <f t="shared" si="103"/>
        <v>580644</v>
      </c>
      <c r="AL765">
        <f t="shared" si="106"/>
        <v>4596.59339</v>
      </c>
      <c r="AM765" t="str">
        <f t="shared" si="107"/>
        <v/>
      </c>
    </row>
    <row r="766" spans="1:39" x14ac:dyDescent="0.55000000000000004">
      <c r="A766">
        <v>1777416302</v>
      </c>
      <c r="B766" t="s">
        <v>72</v>
      </c>
      <c r="C766" t="s">
        <v>73</v>
      </c>
      <c r="D766">
        <v>4594.16</v>
      </c>
      <c r="E766">
        <v>4518.5928199999998</v>
      </c>
      <c r="F766">
        <v>4596.0559499999999</v>
      </c>
      <c r="G766">
        <v>4755.40355</v>
      </c>
      <c r="H766">
        <v>4792.7697200000002</v>
      </c>
      <c r="Q766">
        <v>4613.1882100000003</v>
      </c>
      <c r="R766">
        <v>4642.5515100000002</v>
      </c>
      <c r="S766">
        <v>4669.1402799999996</v>
      </c>
      <c r="V766">
        <v>4578.2484400000003</v>
      </c>
      <c r="W766">
        <v>4544.6834399999998</v>
      </c>
      <c r="AB766">
        <v>4593.5015700000004</v>
      </c>
      <c r="AC766">
        <v>4593.5700900000002</v>
      </c>
      <c r="AD766">
        <v>0</v>
      </c>
      <c r="AE766">
        <f t="shared" si="104"/>
        <v>764</v>
      </c>
      <c r="AF766">
        <f t="shared" si="105"/>
        <v>763</v>
      </c>
      <c r="AG766">
        <f t="shared" si="99"/>
        <v>-19.028210000000399</v>
      </c>
      <c r="AH766">
        <f t="shared" si="100"/>
        <v>362.07277580411522</v>
      </c>
      <c r="AI766">
        <f t="shared" si="101"/>
        <v>-0.15849274666326807</v>
      </c>
      <c r="AJ766">
        <f t="shared" si="102"/>
        <v>8.5772062952962969E-2</v>
      </c>
      <c r="AK766">
        <f t="shared" si="103"/>
        <v>582169</v>
      </c>
      <c r="AL766">
        <f t="shared" si="106"/>
        <v>4596.59339</v>
      </c>
      <c r="AM766" t="str">
        <f t="shared" si="107"/>
        <v/>
      </c>
    </row>
    <row r="767" spans="1:39" x14ac:dyDescent="0.55000000000000004">
      <c r="A767">
        <v>1777417202</v>
      </c>
      <c r="B767" t="s">
        <v>72</v>
      </c>
      <c r="C767" t="s">
        <v>73</v>
      </c>
      <c r="D767">
        <v>4590.84</v>
      </c>
      <c r="E767">
        <v>4518.5928199999998</v>
      </c>
      <c r="F767">
        <v>4596.0559499999999</v>
      </c>
      <c r="G767">
        <v>4755.40355</v>
      </c>
      <c r="H767">
        <v>4792.7697200000002</v>
      </c>
      <c r="Q767">
        <v>4612.9206000000004</v>
      </c>
      <c r="R767">
        <v>4642.2839000000004</v>
      </c>
      <c r="S767">
        <v>4668.8726699999997</v>
      </c>
      <c r="V767">
        <v>4577.9808300000004</v>
      </c>
      <c r="W767">
        <v>4544.4158399999997</v>
      </c>
      <c r="AB767">
        <v>4594.1765299999997</v>
      </c>
      <c r="AC767">
        <v>4593.8733099999999</v>
      </c>
      <c r="AD767">
        <v>1</v>
      </c>
      <c r="AE767">
        <f t="shared" si="104"/>
        <v>765</v>
      </c>
      <c r="AF767">
        <f t="shared" si="105"/>
        <v>764</v>
      </c>
      <c r="AG767">
        <f t="shared" si="99"/>
        <v>-22.080600000000231</v>
      </c>
      <c r="AH767">
        <f t="shared" si="100"/>
        <v>487.55289636001021</v>
      </c>
      <c r="AI767">
        <f t="shared" si="101"/>
        <v>-0.24765562446468598</v>
      </c>
      <c r="AJ767">
        <f t="shared" si="102"/>
        <v>0.15552406323953821</v>
      </c>
      <c r="AK767">
        <f t="shared" si="103"/>
        <v>583696</v>
      </c>
      <c r="AL767">
        <f t="shared" si="106"/>
        <v>4594.1765299999997</v>
      </c>
      <c r="AM767">
        <f t="shared" si="107"/>
        <v>2.4168600000002698</v>
      </c>
    </row>
    <row r="768" spans="1:39" x14ac:dyDescent="0.55000000000000004">
      <c r="A768">
        <v>1777418102</v>
      </c>
      <c r="B768" t="s">
        <v>72</v>
      </c>
      <c r="C768" t="s">
        <v>73</v>
      </c>
      <c r="D768">
        <v>4592.2</v>
      </c>
      <c r="E768">
        <v>4518.5928199999998</v>
      </c>
      <c r="F768">
        <v>4596.0559499999999</v>
      </c>
      <c r="G768">
        <v>4755.40355</v>
      </c>
      <c r="H768">
        <v>4792.7697200000002</v>
      </c>
      <c r="Q768">
        <v>4612.6530000000002</v>
      </c>
      <c r="R768">
        <v>4642.0163000000002</v>
      </c>
      <c r="S768">
        <v>4668.6050699999996</v>
      </c>
      <c r="V768">
        <v>4577.7132300000003</v>
      </c>
      <c r="W768">
        <v>4544.1482299999998</v>
      </c>
      <c r="AB768">
        <v>4595.2578800000001</v>
      </c>
      <c r="AC768">
        <v>4594.5655900000002</v>
      </c>
      <c r="AD768">
        <v>0</v>
      </c>
      <c r="AE768">
        <f t="shared" si="104"/>
        <v>766</v>
      </c>
      <c r="AF768">
        <f t="shared" si="105"/>
        <v>765</v>
      </c>
      <c r="AG768">
        <f t="shared" si="99"/>
        <v>-20.453000000000429</v>
      </c>
      <c r="AH768">
        <f t="shared" si="100"/>
        <v>418.32520900001754</v>
      </c>
      <c r="AI768">
        <f t="shared" si="101"/>
        <v>-0.19682789121930974</v>
      </c>
      <c r="AJ768">
        <f t="shared" si="102"/>
        <v>0.11449385705054574</v>
      </c>
      <c r="AK768">
        <f t="shared" si="103"/>
        <v>585225</v>
      </c>
      <c r="AL768">
        <f t="shared" si="106"/>
        <v>4594.1765299999997</v>
      </c>
      <c r="AM768" t="str">
        <f t="shared" si="107"/>
        <v/>
      </c>
    </row>
    <row r="769" spans="1:39" x14ac:dyDescent="0.55000000000000004">
      <c r="A769">
        <v>1777419002</v>
      </c>
      <c r="B769" t="s">
        <v>72</v>
      </c>
      <c r="C769" t="s">
        <v>73</v>
      </c>
      <c r="D769">
        <v>4589.91</v>
      </c>
      <c r="E769">
        <v>4518.5928199999998</v>
      </c>
      <c r="F769">
        <v>4596.0559499999999</v>
      </c>
      <c r="G769">
        <v>4755.40355</v>
      </c>
      <c r="H769">
        <v>4792.7697200000002</v>
      </c>
      <c r="Q769">
        <v>4612.3853900000004</v>
      </c>
      <c r="R769">
        <v>4641.7486900000004</v>
      </c>
      <c r="S769">
        <v>4668.3374599999997</v>
      </c>
      <c r="V769">
        <v>4577.4456200000004</v>
      </c>
      <c r="W769">
        <v>4543.8806299999997</v>
      </c>
      <c r="AB769">
        <v>4596.4596799999999</v>
      </c>
      <c r="AC769">
        <v>4595.5126399999999</v>
      </c>
      <c r="AD769">
        <v>0</v>
      </c>
      <c r="AE769">
        <f t="shared" si="104"/>
        <v>767</v>
      </c>
      <c r="AF769">
        <f t="shared" si="105"/>
        <v>766</v>
      </c>
      <c r="AG769">
        <f t="shared" si="99"/>
        <v>-22.475390000000516</v>
      </c>
      <c r="AH769">
        <f t="shared" si="100"/>
        <v>505.1431556521232</v>
      </c>
      <c r="AI769">
        <f t="shared" si="101"/>
        <v>-0.26117842219934301</v>
      </c>
      <c r="AJ769">
        <f t="shared" si="102"/>
        <v>0.16694870651853252</v>
      </c>
      <c r="AK769">
        <f t="shared" si="103"/>
        <v>586756</v>
      </c>
      <c r="AL769">
        <f t="shared" si="106"/>
        <v>4594.1765299999997</v>
      </c>
      <c r="AM769" t="str">
        <f t="shared" si="107"/>
        <v/>
      </c>
    </row>
    <row r="770" spans="1:39" x14ac:dyDescent="0.55000000000000004">
      <c r="A770">
        <v>1777419902</v>
      </c>
      <c r="B770" t="s">
        <v>72</v>
      </c>
      <c r="C770" t="s">
        <v>73</v>
      </c>
      <c r="D770">
        <v>4595.51</v>
      </c>
      <c r="E770">
        <v>4518.5928199999998</v>
      </c>
      <c r="F770">
        <v>4596.0559499999999</v>
      </c>
      <c r="G770">
        <v>4755.40355</v>
      </c>
      <c r="H770">
        <v>4792.7697200000002</v>
      </c>
      <c r="Q770">
        <v>4612.1177900000002</v>
      </c>
      <c r="R770">
        <v>4641.4810900000002</v>
      </c>
      <c r="S770">
        <v>4668.0698599999996</v>
      </c>
      <c r="V770">
        <v>4577.1780200000003</v>
      </c>
      <c r="W770">
        <v>4543.6130199999998</v>
      </c>
      <c r="AB770">
        <v>4597.5664999999999</v>
      </c>
      <c r="AC770">
        <v>4596.5395699999999</v>
      </c>
      <c r="AD770">
        <v>0</v>
      </c>
      <c r="AE770">
        <f t="shared" si="104"/>
        <v>768</v>
      </c>
      <c r="AF770">
        <f t="shared" si="105"/>
        <v>767</v>
      </c>
      <c r="AG770">
        <f t="shared" si="99"/>
        <v>-16.607790000000023</v>
      </c>
      <c r="AH770">
        <f t="shared" si="100"/>
        <v>275.81868868410078</v>
      </c>
      <c r="AI770">
        <f t="shared" si="101"/>
        <v>-0.10537828312793075</v>
      </c>
      <c r="AJ770">
        <f t="shared" si="102"/>
        <v>4.9773879427366864E-2</v>
      </c>
      <c r="AK770">
        <f t="shared" si="103"/>
        <v>588289</v>
      </c>
      <c r="AL770">
        <f t="shared" si="106"/>
        <v>4594.1765299999997</v>
      </c>
      <c r="AM770" t="str">
        <f t="shared" si="107"/>
        <v/>
      </c>
    </row>
    <row r="771" spans="1:39" x14ac:dyDescent="0.55000000000000004">
      <c r="A771">
        <v>1777420802</v>
      </c>
      <c r="B771" t="s">
        <v>72</v>
      </c>
      <c r="C771" t="s">
        <v>73</v>
      </c>
      <c r="D771">
        <v>4607.37</v>
      </c>
      <c r="E771">
        <v>4518.5928199999998</v>
      </c>
      <c r="F771">
        <v>4596.0559499999999</v>
      </c>
      <c r="G771">
        <v>4755.40355</v>
      </c>
      <c r="H771">
        <v>4792.7697200000002</v>
      </c>
      <c r="Q771">
        <v>4611.8501900000001</v>
      </c>
      <c r="R771">
        <v>4641.2134900000001</v>
      </c>
      <c r="S771">
        <v>4667.8022600000004</v>
      </c>
      <c r="V771">
        <v>4576.9104200000002</v>
      </c>
      <c r="W771">
        <v>4543.3454199999996</v>
      </c>
      <c r="Z771">
        <v>4610.1499999999996</v>
      </c>
      <c r="AB771">
        <v>4598.1404499999999</v>
      </c>
      <c r="AC771">
        <v>4597.3400099999999</v>
      </c>
      <c r="AD771">
        <v>0</v>
      </c>
      <c r="AE771">
        <f t="shared" si="104"/>
        <v>769</v>
      </c>
      <c r="AF771">
        <f t="shared" si="105"/>
        <v>768</v>
      </c>
      <c r="AG771">
        <f t="shared" ref="AG771:AG834" si="108">D771-Q771</f>
        <v>-4.4801900000002206</v>
      </c>
      <c r="AH771">
        <f t="shared" ref="AH771:AH834" si="109">AG771^2</f>
        <v>20.072102436101975</v>
      </c>
      <c r="AI771">
        <f t="shared" ref="AI771:AI834" si="110">(AG771/STDEV($AG$3:$AG$1137))^3</f>
        <v>-2.068735092322685E-3</v>
      </c>
      <c r="AJ771">
        <f t="shared" ref="AJ771:AJ834" si="111">(AG771/STDEV($AG$3:$AG$1137))^4</f>
        <v>2.6359662295735302E-4</v>
      </c>
      <c r="AK771">
        <f t="shared" ref="AK771:AK834" si="112">AF771^2</f>
        <v>589824</v>
      </c>
      <c r="AL771">
        <f t="shared" si="106"/>
        <v>4594.1765299999997</v>
      </c>
      <c r="AM771" t="str">
        <f t="shared" si="107"/>
        <v/>
      </c>
    </row>
    <row r="772" spans="1:39" x14ac:dyDescent="0.55000000000000004">
      <c r="A772">
        <v>1777421702</v>
      </c>
      <c r="B772" t="s">
        <v>72</v>
      </c>
      <c r="C772" t="s">
        <v>73</v>
      </c>
      <c r="D772">
        <v>4600.13</v>
      </c>
      <c r="E772">
        <v>4518.5928199999998</v>
      </c>
      <c r="F772">
        <v>4596.0559499999999</v>
      </c>
      <c r="G772">
        <v>4755.40355</v>
      </c>
      <c r="H772">
        <v>4792.7697200000002</v>
      </c>
      <c r="Q772">
        <v>4611.5825800000002</v>
      </c>
      <c r="R772">
        <v>4640.9458800000002</v>
      </c>
      <c r="S772">
        <v>4667.5346499999996</v>
      </c>
      <c r="V772">
        <v>4576.6428100000003</v>
      </c>
      <c r="W772">
        <v>4543.0778200000004</v>
      </c>
      <c r="AB772">
        <v>4597.69103</v>
      </c>
      <c r="AC772">
        <v>4597.5155199999999</v>
      </c>
      <c r="AD772">
        <v>0</v>
      </c>
      <c r="AE772">
        <f t="shared" ref="AE772:AE835" si="113">AE771+1</f>
        <v>770</v>
      </c>
      <c r="AF772">
        <f t="shared" ref="AF772:AF835" si="114">AF771+1</f>
        <v>769</v>
      </c>
      <c r="AG772">
        <f t="shared" si="108"/>
        <v>-11.452580000000125</v>
      </c>
      <c r="AH772">
        <f t="shared" si="109"/>
        <v>131.16158865640287</v>
      </c>
      <c r="AI772">
        <f t="shared" si="110"/>
        <v>-3.4556168811763037E-2</v>
      </c>
      <c r="AJ772">
        <f t="shared" si="111"/>
        <v>1.1255568859110752E-2</v>
      </c>
      <c r="AK772">
        <f t="shared" si="112"/>
        <v>591361</v>
      </c>
      <c r="AL772">
        <f t="shared" ref="AL772:AL835" si="115">IF(AD772=1,AB772,IF(AL771&lt;&gt;"",AL771,""))</f>
        <v>4594.1765299999997</v>
      </c>
      <c r="AM772" t="str">
        <f t="shared" ref="AM772:AM835" si="116">IF(AND(AD772=1,AL771&lt;&gt;""),ABS(AB772-AL771),"")</f>
        <v/>
      </c>
    </row>
    <row r="773" spans="1:39" x14ac:dyDescent="0.55000000000000004">
      <c r="A773">
        <v>1777422602</v>
      </c>
      <c r="B773" t="s">
        <v>72</v>
      </c>
      <c r="C773" t="s">
        <v>73</v>
      </c>
      <c r="D773">
        <v>4603.88</v>
      </c>
      <c r="E773">
        <v>4518.5928199999998</v>
      </c>
      <c r="F773">
        <v>4596.0559499999999</v>
      </c>
      <c r="G773">
        <v>4755.40355</v>
      </c>
      <c r="H773">
        <v>4792.7697200000002</v>
      </c>
      <c r="Q773">
        <v>4611.3149800000001</v>
      </c>
      <c r="R773">
        <v>4640.6782800000001</v>
      </c>
      <c r="S773">
        <v>4667.2670500000004</v>
      </c>
      <c r="V773">
        <v>4576.3752100000002</v>
      </c>
      <c r="W773">
        <v>4542.8102099999996</v>
      </c>
      <c r="AB773">
        <v>4596.4324100000003</v>
      </c>
      <c r="AC773">
        <v>4596.97397</v>
      </c>
      <c r="AD773">
        <v>1</v>
      </c>
      <c r="AE773">
        <f t="shared" si="113"/>
        <v>771</v>
      </c>
      <c r="AF773">
        <f t="shared" si="114"/>
        <v>770</v>
      </c>
      <c r="AG773">
        <f t="shared" si="108"/>
        <v>-7.4349799999999959</v>
      </c>
      <c r="AH773">
        <f t="shared" si="109"/>
        <v>55.278927600399939</v>
      </c>
      <c r="AI773">
        <f t="shared" si="110"/>
        <v>-9.4548577311096386E-3</v>
      </c>
      <c r="AJ773">
        <f t="shared" si="111"/>
        <v>1.9992786631371001E-3</v>
      </c>
      <c r="AK773">
        <f t="shared" si="112"/>
        <v>592900</v>
      </c>
      <c r="AL773">
        <f t="shared" si="115"/>
        <v>4596.4324100000003</v>
      </c>
      <c r="AM773">
        <f t="shared" si="116"/>
        <v>2.2558800000006158</v>
      </c>
    </row>
    <row r="774" spans="1:39" x14ac:dyDescent="0.55000000000000004">
      <c r="A774">
        <v>1777423502</v>
      </c>
      <c r="B774" t="s">
        <v>72</v>
      </c>
      <c r="C774" t="s">
        <v>73</v>
      </c>
      <c r="D774">
        <v>4600.2700000000004</v>
      </c>
      <c r="E774">
        <v>4518.5928199999998</v>
      </c>
      <c r="F774">
        <v>4596.0559499999999</v>
      </c>
      <c r="G774">
        <v>4755.40355</v>
      </c>
      <c r="H774">
        <v>4792.7697200000002</v>
      </c>
      <c r="Q774">
        <v>4611.0473700000002</v>
      </c>
      <c r="R774">
        <v>4640.4106700000002</v>
      </c>
      <c r="S774">
        <v>4666.9994399999996</v>
      </c>
      <c r="V774">
        <v>4576.1076000000003</v>
      </c>
      <c r="W774">
        <v>4542.5426100000004</v>
      </c>
      <c r="AB774">
        <v>4594.4966299999996</v>
      </c>
      <c r="AC774">
        <v>4595.7353000000003</v>
      </c>
      <c r="AD774">
        <v>0</v>
      </c>
      <c r="AE774">
        <f t="shared" si="113"/>
        <v>772</v>
      </c>
      <c r="AF774">
        <f t="shared" si="114"/>
        <v>771</v>
      </c>
      <c r="AG774">
        <f t="shared" si="108"/>
        <v>-10.777369999999792</v>
      </c>
      <c r="AH774">
        <f t="shared" si="109"/>
        <v>116.1517041168955</v>
      </c>
      <c r="AI774">
        <f t="shared" si="110"/>
        <v>-2.8797445389753797E-2</v>
      </c>
      <c r="AJ774">
        <f t="shared" si="111"/>
        <v>8.8268406115809654E-3</v>
      </c>
      <c r="AK774">
        <f t="shared" si="112"/>
        <v>594441</v>
      </c>
      <c r="AL774">
        <f t="shared" si="115"/>
        <v>4596.4324100000003</v>
      </c>
      <c r="AM774" t="str">
        <f t="shared" si="116"/>
        <v/>
      </c>
    </row>
    <row r="775" spans="1:39" x14ac:dyDescent="0.55000000000000004">
      <c r="A775">
        <v>1777424402</v>
      </c>
      <c r="B775" t="s">
        <v>72</v>
      </c>
      <c r="C775" t="s">
        <v>73</v>
      </c>
      <c r="D775">
        <v>4582.6499999999996</v>
      </c>
      <c r="E775">
        <v>4518.5928199999998</v>
      </c>
      <c r="F775">
        <v>4596.0559499999999</v>
      </c>
      <c r="G775">
        <v>4755.40355</v>
      </c>
      <c r="H775">
        <v>4792.7697200000002</v>
      </c>
      <c r="Q775">
        <v>4610.7797700000001</v>
      </c>
      <c r="R775">
        <v>4640.1430700000001</v>
      </c>
      <c r="S775">
        <v>4666.7318400000004</v>
      </c>
      <c r="V775">
        <v>4575.84</v>
      </c>
      <c r="W775">
        <v>4542.2749999999996</v>
      </c>
      <c r="AA775">
        <v>4575.84</v>
      </c>
      <c r="AB775">
        <v>4592.3675199999998</v>
      </c>
      <c r="AC775">
        <v>4594.05141</v>
      </c>
      <c r="AD775">
        <v>0</v>
      </c>
      <c r="AE775">
        <f t="shared" si="113"/>
        <v>773</v>
      </c>
      <c r="AF775">
        <f t="shared" si="114"/>
        <v>772</v>
      </c>
      <c r="AG775">
        <f t="shared" si="108"/>
        <v>-28.129770000000462</v>
      </c>
      <c r="AH775">
        <f t="shared" si="109"/>
        <v>791.28396025292602</v>
      </c>
      <c r="AI775">
        <f t="shared" si="110"/>
        <v>-0.51205207235989547</v>
      </c>
      <c r="AJ775">
        <f t="shared" si="111"/>
        <v>0.40965554479203758</v>
      </c>
      <c r="AK775">
        <f t="shared" si="112"/>
        <v>595984</v>
      </c>
      <c r="AL775">
        <f t="shared" si="115"/>
        <v>4596.4324100000003</v>
      </c>
      <c r="AM775" t="str">
        <f t="shared" si="116"/>
        <v/>
      </c>
    </row>
    <row r="776" spans="1:39" x14ac:dyDescent="0.55000000000000004">
      <c r="A776">
        <v>1777425302</v>
      </c>
      <c r="B776" t="s">
        <v>72</v>
      </c>
      <c r="C776" t="s">
        <v>73</v>
      </c>
      <c r="D776">
        <v>4580.4799999999996</v>
      </c>
      <c r="E776">
        <v>4518.5928199999998</v>
      </c>
      <c r="F776">
        <v>4596.0559499999999</v>
      </c>
      <c r="G776">
        <v>4755.40355</v>
      </c>
      <c r="H776">
        <v>4792.7697200000002</v>
      </c>
      <c r="Q776">
        <v>4610.51217</v>
      </c>
      <c r="R776">
        <v>4639.8754600000002</v>
      </c>
      <c r="S776">
        <v>4666.4642400000002</v>
      </c>
      <c r="V776">
        <v>4575.5724</v>
      </c>
      <c r="W776">
        <v>4542.0074000000004</v>
      </c>
      <c r="AB776">
        <v>4590.9354199999998</v>
      </c>
      <c r="AC776">
        <v>4592.49341</v>
      </c>
      <c r="AD776">
        <v>0</v>
      </c>
      <c r="AE776">
        <f t="shared" si="113"/>
        <v>774</v>
      </c>
      <c r="AF776">
        <f t="shared" si="114"/>
        <v>773</v>
      </c>
      <c r="AG776">
        <f t="shared" si="108"/>
        <v>-30.032170000000406</v>
      </c>
      <c r="AH776">
        <f t="shared" si="109"/>
        <v>901.93123490892435</v>
      </c>
      <c r="AI776">
        <f t="shared" si="110"/>
        <v>-0.62312578882554492</v>
      </c>
      <c r="AJ776">
        <f t="shared" si="111"/>
        <v>0.53223198119998283</v>
      </c>
      <c r="AK776">
        <f t="shared" si="112"/>
        <v>597529</v>
      </c>
      <c r="AL776">
        <f t="shared" si="115"/>
        <v>4596.4324100000003</v>
      </c>
      <c r="AM776" t="str">
        <f t="shared" si="116"/>
        <v/>
      </c>
    </row>
    <row r="777" spans="1:39" x14ac:dyDescent="0.55000000000000004">
      <c r="A777">
        <v>1777426202</v>
      </c>
      <c r="B777" t="s">
        <v>72</v>
      </c>
      <c r="C777" t="s">
        <v>73</v>
      </c>
      <c r="D777">
        <v>4590.5600000000004</v>
      </c>
      <c r="E777">
        <v>4518.5928199999998</v>
      </c>
      <c r="F777">
        <v>4596.0559499999999</v>
      </c>
      <c r="G777">
        <v>4755.40355</v>
      </c>
      <c r="H777">
        <v>4792.7697200000002</v>
      </c>
      <c r="Q777">
        <v>4610.2445600000001</v>
      </c>
      <c r="R777">
        <v>4639.6078600000001</v>
      </c>
      <c r="S777">
        <v>4666.1966300000004</v>
      </c>
      <c r="V777">
        <v>4575.3047900000001</v>
      </c>
      <c r="W777">
        <v>4541.7398000000003</v>
      </c>
      <c r="AB777">
        <v>4590.5241800000003</v>
      </c>
      <c r="AC777">
        <v>4591.5087999999996</v>
      </c>
      <c r="AD777">
        <v>0</v>
      </c>
      <c r="AE777">
        <f t="shared" si="113"/>
        <v>775</v>
      </c>
      <c r="AF777">
        <f t="shared" si="114"/>
        <v>774</v>
      </c>
      <c r="AG777">
        <f t="shared" si="108"/>
        <v>-19.684559999999692</v>
      </c>
      <c r="AH777">
        <f t="shared" si="109"/>
        <v>387.48190239358786</v>
      </c>
      <c r="AI777">
        <f t="shared" si="110"/>
        <v>-0.17546589640899846</v>
      </c>
      <c r="AJ777">
        <f t="shared" si="111"/>
        <v>9.8232898620992867E-2</v>
      </c>
      <c r="AK777">
        <f t="shared" si="112"/>
        <v>599076</v>
      </c>
      <c r="AL777">
        <f t="shared" si="115"/>
        <v>4596.4324100000003</v>
      </c>
      <c r="AM777" t="str">
        <f t="shared" si="116"/>
        <v/>
      </c>
    </row>
    <row r="778" spans="1:39" x14ac:dyDescent="0.55000000000000004">
      <c r="A778">
        <v>1777427102</v>
      </c>
      <c r="B778" t="s">
        <v>72</v>
      </c>
      <c r="C778" t="s">
        <v>73</v>
      </c>
      <c r="D778">
        <v>4584.9799999999996</v>
      </c>
      <c r="E778">
        <v>4518.5928199999998</v>
      </c>
      <c r="F778">
        <v>4596.0559499999999</v>
      </c>
      <c r="G778">
        <v>4755.40355</v>
      </c>
      <c r="H778">
        <v>4792.7697200000002</v>
      </c>
      <c r="Q778">
        <v>4609.97696</v>
      </c>
      <c r="R778">
        <v>4639.3402599999999</v>
      </c>
      <c r="S778">
        <v>4665.9290300000002</v>
      </c>
      <c r="V778">
        <v>4575.03719</v>
      </c>
      <c r="W778">
        <v>4541.4721900000004</v>
      </c>
      <c r="AB778">
        <v>4590.93588</v>
      </c>
      <c r="AC778">
        <v>4591.2223400000003</v>
      </c>
      <c r="AD778">
        <v>0</v>
      </c>
      <c r="AE778">
        <f t="shared" si="113"/>
        <v>776</v>
      </c>
      <c r="AF778">
        <f t="shared" si="114"/>
        <v>775</v>
      </c>
      <c r="AG778">
        <f t="shared" si="108"/>
        <v>-24.996960000000399</v>
      </c>
      <c r="AH778">
        <f t="shared" si="109"/>
        <v>624.84800924161993</v>
      </c>
      <c r="AI778">
        <f t="shared" si="110"/>
        <v>-0.35931650790285213</v>
      </c>
      <c r="AJ778">
        <f t="shared" si="111"/>
        <v>0.2554482275606626</v>
      </c>
      <c r="AK778">
        <f t="shared" si="112"/>
        <v>600625</v>
      </c>
      <c r="AL778">
        <f t="shared" si="115"/>
        <v>4596.4324100000003</v>
      </c>
      <c r="AM778" t="str">
        <f t="shared" si="116"/>
        <v/>
      </c>
    </row>
    <row r="779" spans="1:39" x14ac:dyDescent="0.55000000000000004">
      <c r="A779">
        <v>1777428002</v>
      </c>
      <c r="B779" t="s">
        <v>72</v>
      </c>
      <c r="C779" t="s">
        <v>73</v>
      </c>
      <c r="D779">
        <v>4600.87</v>
      </c>
      <c r="E779">
        <v>4518.5928199999998</v>
      </c>
      <c r="F779">
        <v>4596.0559499999999</v>
      </c>
      <c r="G779">
        <v>4755.40355</v>
      </c>
      <c r="H779">
        <v>4792.7697200000002</v>
      </c>
      <c r="Q779">
        <v>4609.7093500000001</v>
      </c>
      <c r="R779">
        <v>4639.0726500000001</v>
      </c>
      <c r="S779">
        <v>4665.6614200000004</v>
      </c>
      <c r="V779">
        <v>4574.7695800000001</v>
      </c>
      <c r="W779">
        <v>4541.2045900000003</v>
      </c>
      <c r="AB779">
        <v>4592.2322700000004</v>
      </c>
      <c r="AC779">
        <v>4591.7272999999996</v>
      </c>
      <c r="AD779">
        <v>1</v>
      </c>
      <c r="AE779">
        <f t="shared" si="113"/>
        <v>777</v>
      </c>
      <c r="AF779">
        <f t="shared" si="114"/>
        <v>776</v>
      </c>
      <c r="AG779">
        <f t="shared" si="108"/>
        <v>-8.839350000000195</v>
      </c>
      <c r="AH779">
        <f t="shared" si="109"/>
        <v>78.134108422503445</v>
      </c>
      <c r="AI779">
        <f t="shared" si="110"/>
        <v>-1.5888268693198575E-2</v>
      </c>
      <c r="AJ779">
        <f t="shared" si="111"/>
        <v>3.9942517517558493E-3</v>
      </c>
      <c r="AK779">
        <f t="shared" si="112"/>
        <v>602176</v>
      </c>
      <c r="AL779">
        <f t="shared" si="115"/>
        <v>4592.2322700000004</v>
      </c>
      <c r="AM779">
        <f t="shared" si="116"/>
        <v>4.2001399999999194</v>
      </c>
    </row>
    <row r="780" spans="1:39" x14ac:dyDescent="0.55000000000000004">
      <c r="A780">
        <v>1777428902</v>
      </c>
      <c r="B780" t="s">
        <v>72</v>
      </c>
      <c r="C780" t="s">
        <v>73</v>
      </c>
      <c r="D780">
        <v>4598.93</v>
      </c>
      <c r="E780">
        <v>4518.5928199999998</v>
      </c>
      <c r="F780">
        <v>4596.0559499999999</v>
      </c>
      <c r="G780">
        <v>4755.40355</v>
      </c>
      <c r="H780">
        <v>4792.7697200000002</v>
      </c>
      <c r="Q780">
        <v>4609.44175</v>
      </c>
      <c r="R780">
        <v>4638.8050499999999</v>
      </c>
      <c r="S780">
        <v>4665.3938200000002</v>
      </c>
      <c r="V780">
        <v>4574.50198</v>
      </c>
      <c r="W780">
        <v>4540.9369800000004</v>
      </c>
      <c r="AB780">
        <v>4593.74089</v>
      </c>
      <c r="AC780">
        <v>4592.7340999999997</v>
      </c>
      <c r="AD780">
        <v>0</v>
      </c>
      <c r="AE780">
        <f t="shared" si="113"/>
        <v>778</v>
      </c>
      <c r="AF780">
        <f t="shared" si="114"/>
        <v>777</v>
      </c>
      <c r="AG780">
        <f t="shared" si="108"/>
        <v>-10.511749999999665</v>
      </c>
      <c r="AH780">
        <f t="shared" si="109"/>
        <v>110.49688806249296</v>
      </c>
      <c r="AI780">
        <f t="shared" si="110"/>
        <v>-2.6720258488963238E-2</v>
      </c>
      <c r="AJ780">
        <f t="shared" si="111"/>
        <v>7.9882970653880423E-3</v>
      </c>
      <c r="AK780">
        <f t="shared" si="112"/>
        <v>603729</v>
      </c>
      <c r="AL780">
        <f t="shared" si="115"/>
        <v>4592.2322700000004</v>
      </c>
      <c r="AM780" t="str">
        <f t="shared" si="116"/>
        <v/>
      </c>
    </row>
    <row r="781" spans="1:39" x14ac:dyDescent="0.55000000000000004">
      <c r="A781">
        <v>1777429802</v>
      </c>
      <c r="B781" t="s">
        <v>72</v>
      </c>
      <c r="C781" t="s">
        <v>73</v>
      </c>
      <c r="D781">
        <v>4596.92</v>
      </c>
      <c r="E781">
        <v>4518.5928199999998</v>
      </c>
      <c r="F781">
        <v>4596.0559499999999</v>
      </c>
      <c r="G781">
        <v>4755.40355</v>
      </c>
      <c r="H781">
        <v>4792.7697200000002</v>
      </c>
      <c r="Q781">
        <v>4609.1741499999998</v>
      </c>
      <c r="R781">
        <v>4638.5374400000001</v>
      </c>
      <c r="S781">
        <v>4665.1262200000001</v>
      </c>
      <c r="V781">
        <v>4574.2343799999999</v>
      </c>
      <c r="W781">
        <v>4540.6693800000003</v>
      </c>
      <c r="AB781">
        <v>4595.2604899999997</v>
      </c>
      <c r="AC781">
        <v>4593.9972900000002</v>
      </c>
      <c r="AD781">
        <v>0</v>
      </c>
      <c r="AE781">
        <f t="shared" si="113"/>
        <v>779</v>
      </c>
      <c r="AF781">
        <f t="shared" si="114"/>
        <v>778</v>
      </c>
      <c r="AG781">
        <f t="shared" si="108"/>
        <v>-12.254149999999754</v>
      </c>
      <c r="AH781">
        <f t="shared" si="109"/>
        <v>150.16419222249397</v>
      </c>
      <c r="AI781">
        <f t="shared" si="110"/>
        <v>-4.2331646504739841E-2</v>
      </c>
      <c r="AJ781">
        <f t="shared" si="111"/>
        <v>1.4753222121950222E-2</v>
      </c>
      <c r="AK781">
        <f t="shared" si="112"/>
        <v>605284</v>
      </c>
      <c r="AL781">
        <f t="shared" si="115"/>
        <v>4592.2322700000004</v>
      </c>
      <c r="AM781" t="str">
        <f t="shared" si="116"/>
        <v/>
      </c>
    </row>
    <row r="782" spans="1:39" x14ac:dyDescent="0.55000000000000004">
      <c r="A782">
        <v>1777430702</v>
      </c>
      <c r="B782" t="s">
        <v>72</v>
      </c>
      <c r="C782" t="s">
        <v>73</v>
      </c>
      <c r="D782">
        <v>4593.75</v>
      </c>
      <c r="E782">
        <v>4518.5928199999998</v>
      </c>
      <c r="F782">
        <v>4596.0559499999999</v>
      </c>
      <c r="G782">
        <v>4755.40355</v>
      </c>
      <c r="H782">
        <v>4792.7697200000002</v>
      </c>
      <c r="Q782">
        <v>4608.9065399999999</v>
      </c>
      <c r="R782">
        <v>4638.2698399999999</v>
      </c>
      <c r="S782">
        <v>4664.8586100000002</v>
      </c>
      <c r="V782">
        <v>4573.96677</v>
      </c>
      <c r="W782">
        <v>4540.4017800000001</v>
      </c>
      <c r="AB782">
        <v>4596.6190900000001</v>
      </c>
      <c r="AC782">
        <v>4595.3081899999997</v>
      </c>
      <c r="AD782">
        <v>0</v>
      </c>
      <c r="AE782">
        <f t="shared" si="113"/>
        <v>780</v>
      </c>
      <c r="AF782">
        <f t="shared" si="114"/>
        <v>779</v>
      </c>
      <c r="AG782">
        <f t="shared" si="108"/>
        <v>-15.15653999999995</v>
      </c>
      <c r="AH782">
        <f t="shared" si="109"/>
        <v>229.72070477159849</v>
      </c>
      <c r="AI782">
        <f t="shared" si="110"/>
        <v>-8.0096915978295644E-2</v>
      </c>
      <c r="AJ782">
        <f t="shared" si="111"/>
        <v>3.4526646051868226E-2</v>
      </c>
      <c r="AK782">
        <f t="shared" si="112"/>
        <v>606841</v>
      </c>
      <c r="AL782">
        <f t="shared" si="115"/>
        <v>4592.2322700000004</v>
      </c>
      <c r="AM782" t="str">
        <f t="shared" si="116"/>
        <v/>
      </c>
    </row>
    <row r="783" spans="1:39" x14ac:dyDescent="0.55000000000000004">
      <c r="A783">
        <v>1777431602</v>
      </c>
      <c r="B783" t="s">
        <v>72</v>
      </c>
      <c r="C783" t="s">
        <v>73</v>
      </c>
      <c r="D783">
        <v>4601.8900000000003</v>
      </c>
      <c r="E783">
        <v>4518.5928199999998</v>
      </c>
      <c r="F783">
        <v>4596.0559499999999</v>
      </c>
      <c r="G783">
        <v>4755.40355</v>
      </c>
      <c r="H783">
        <v>4792.7697200000002</v>
      </c>
      <c r="Q783">
        <v>4608.6389399999998</v>
      </c>
      <c r="R783">
        <v>4638.0022399999998</v>
      </c>
      <c r="S783">
        <v>4664.5910100000001</v>
      </c>
      <c r="V783">
        <v>4573.6991699999999</v>
      </c>
      <c r="W783">
        <v>4540.1341700000003</v>
      </c>
      <c r="AB783">
        <v>4597.7829099999999</v>
      </c>
      <c r="AC783">
        <v>4596.5455499999998</v>
      </c>
      <c r="AD783">
        <v>0</v>
      </c>
      <c r="AE783">
        <f t="shared" si="113"/>
        <v>781</v>
      </c>
      <c r="AF783">
        <f t="shared" si="114"/>
        <v>780</v>
      </c>
      <c r="AG783">
        <f t="shared" si="108"/>
        <v>-6.748939999999493</v>
      </c>
      <c r="AH783">
        <f t="shared" si="109"/>
        <v>45.548191123593156</v>
      </c>
      <c r="AI783">
        <f t="shared" si="110"/>
        <v>-7.0716748827069293E-3</v>
      </c>
      <c r="AJ783">
        <f t="shared" si="111"/>
        <v>1.3573641707225372E-3</v>
      </c>
      <c r="AK783">
        <f t="shared" si="112"/>
        <v>608400</v>
      </c>
      <c r="AL783">
        <f t="shared" si="115"/>
        <v>4592.2322700000004</v>
      </c>
      <c r="AM783" t="str">
        <f t="shared" si="116"/>
        <v/>
      </c>
    </row>
    <row r="784" spans="1:39" x14ac:dyDescent="0.55000000000000004">
      <c r="A784">
        <v>1777432502</v>
      </c>
      <c r="B784" t="s">
        <v>72</v>
      </c>
      <c r="C784" t="s">
        <v>73</v>
      </c>
      <c r="D784">
        <v>4598.67</v>
      </c>
      <c r="E784">
        <v>4518.5928199999998</v>
      </c>
      <c r="F784">
        <v>4596.0559499999999</v>
      </c>
      <c r="G784">
        <v>4755.40355</v>
      </c>
      <c r="H784">
        <v>4792.7697200000002</v>
      </c>
      <c r="Q784">
        <v>4608.3713299999999</v>
      </c>
      <c r="R784">
        <v>4637.7346299999999</v>
      </c>
      <c r="S784">
        <v>4664.3234000000002</v>
      </c>
      <c r="V784">
        <v>4573.43156</v>
      </c>
      <c r="W784">
        <v>4539.8665700000001</v>
      </c>
      <c r="AB784">
        <v>4598.5412399999996</v>
      </c>
      <c r="AC784">
        <v>4597.5433999999996</v>
      </c>
      <c r="AD784">
        <v>0</v>
      </c>
      <c r="AE784">
        <f t="shared" si="113"/>
        <v>782</v>
      </c>
      <c r="AF784">
        <f t="shared" si="114"/>
        <v>781</v>
      </c>
      <c r="AG784">
        <f t="shared" si="108"/>
        <v>-9.7013299999998708</v>
      </c>
      <c r="AH784">
        <f t="shared" si="109"/>
        <v>94.115803768897493</v>
      </c>
      <c r="AI784">
        <f t="shared" si="110"/>
        <v>-2.1004358289802436E-2</v>
      </c>
      <c r="AJ784">
        <f t="shared" si="111"/>
        <v>5.7953440513332094E-3</v>
      </c>
      <c r="AK784">
        <f t="shared" si="112"/>
        <v>609961</v>
      </c>
      <c r="AL784">
        <f t="shared" si="115"/>
        <v>4592.2322700000004</v>
      </c>
      <c r="AM784" t="str">
        <f t="shared" si="116"/>
        <v/>
      </c>
    </row>
    <row r="785" spans="1:39" x14ac:dyDescent="0.55000000000000004">
      <c r="A785">
        <v>1777433402</v>
      </c>
      <c r="B785" t="s">
        <v>72</v>
      </c>
      <c r="C785" t="s">
        <v>73</v>
      </c>
      <c r="D785">
        <v>4593.91</v>
      </c>
      <c r="E785">
        <v>4518.5928199999998</v>
      </c>
      <c r="F785">
        <v>4596.0559499999999</v>
      </c>
      <c r="G785">
        <v>4755.40355</v>
      </c>
      <c r="H785">
        <v>4792.7697200000002</v>
      </c>
      <c r="Q785">
        <v>4608.1037299999998</v>
      </c>
      <c r="R785">
        <v>4637.4670299999998</v>
      </c>
      <c r="S785">
        <v>4664.0558000000001</v>
      </c>
      <c r="V785">
        <v>4573.1639599999999</v>
      </c>
      <c r="W785">
        <v>4539.5989600000003</v>
      </c>
      <c r="AB785">
        <v>4599.0819600000004</v>
      </c>
      <c r="AC785">
        <v>4598.31268</v>
      </c>
      <c r="AD785">
        <v>0</v>
      </c>
      <c r="AE785">
        <f t="shared" si="113"/>
        <v>783</v>
      </c>
      <c r="AF785">
        <f t="shared" si="114"/>
        <v>782</v>
      </c>
      <c r="AG785">
        <f t="shared" si="108"/>
        <v>-14.19372999999996</v>
      </c>
      <c r="AH785">
        <f t="shared" si="109"/>
        <v>201.46197131289884</v>
      </c>
      <c r="AI785">
        <f t="shared" si="110"/>
        <v>-6.5781716742403101E-2</v>
      </c>
      <c r="AJ785">
        <f t="shared" si="111"/>
        <v>2.6554631012402106E-2</v>
      </c>
      <c r="AK785">
        <f t="shared" si="112"/>
        <v>611524</v>
      </c>
      <c r="AL785">
        <f t="shared" si="115"/>
        <v>4592.2322700000004</v>
      </c>
      <c r="AM785" t="str">
        <f t="shared" si="116"/>
        <v/>
      </c>
    </row>
    <row r="786" spans="1:39" x14ac:dyDescent="0.55000000000000004">
      <c r="A786">
        <v>1777434302</v>
      </c>
      <c r="B786" t="s">
        <v>72</v>
      </c>
      <c r="C786" t="s">
        <v>73</v>
      </c>
      <c r="D786">
        <v>4595.4799999999996</v>
      </c>
      <c r="E786">
        <v>4518.5928199999998</v>
      </c>
      <c r="F786">
        <v>4596.0559499999999</v>
      </c>
      <c r="G786">
        <v>4755.40355</v>
      </c>
      <c r="H786">
        <v>4792.7697200000002</v>
      </c>
      <c r="Q786">
        <v>4607.8361299999997</v>
      </c>
      <c r="R786">
        <v>4637.1994199999999</v>
      </c>
      <c r="S786">
        <v>4663.7881900000002</v>
      </c>
      <c r="V786">
        <v>4572.8963599999997</v>
      </c>
      <c r="W786">
        <v>4539.3313600000001</v>
      </c>
      <c r="AB786">
        <v>4599.6711599999999</v>
      </c>
      <c r="AC786">
        <v>4598.9919200000004</v>
      </c>
      <c r="AD786">
        <v>0</v>
      </c>
      <c r="AE786">
        <f t="shared" si="113"/>
        <v>784</v>
      </c>
      <c r="AF786">
        <f t="shared" si="114"/>
        <v>783</v>
      </c>
      <c r="AG786">
        <f t="shared" si="108"/>
        <v>-12.356130000000121</v>
      </c>
      <c r="AH786">
        <f t="shared" si="109"/>
        <v>152.673948576903</v>
      </c>
      <c r="AI786">
        <f t="shared" si="110"/>
        <v>-4.3397328064599075E-2</v>
      </c>
      <c r="AJ786">
        <f t="shared" si="111"/>
        <v>1.5250496687243891E-2</v>
      </c>
      <c r="AK786">
        <f t="shared" si="112"/>
        <v>613089</v>
      </c>
      <c r="AL786">
        <f t="shared" si="115"/>
        <v>4592.2322700000004</v>
      </c>
      <c r="AM786" t="str">
        <f t="shared" si="116"/>
        <v/>
      </c>
    </row>
    <row r="787" spans="1:39" x14ac:dyDescent="0.55000000000000004">
      <c r="A787">
        <v>1777435202</v>
      </c>
      <c r="B787" t="s">
        <v>72</v>
      </c>
      <c r="C787" t="s">
        <v>73</v>
      </c>
      <c r="D787">
        <v>4600.68</v>
      </c>
      <c r="E787">
        <v>4518.5928199999998</v>
      </c>
      <c r="F787">
        <v>4596.0559499999999</v>
      </c>
      <c r="G787">
        <v>4755.40355</v>
      </c>
      <c r="H787">
        <v>4792.7697200000002</v>
      </c>
      <c r="Q787">
        <v>4607.5685199999998</v>
      </c>
      <c r="R787">
        <v>4636.9318199999998</v>
      </c>
      <c r="S787">
        <v>4663.5205900000001</v>
      </c>
      <c r="V787">
        <v>4572.6287499999999</v>
      </c>
      <c r="W787">
        <v>4539.0637500000003</v>
      </c>
      <c r="AB787">
        <v>4600.3533200000002</v>
      </c>
      <c r="AC787">
        <v>4599.6726200000003</v>
      </c>
      <c r="AD787">
        <v>0</v>
      </c>
      <c r="AE787">
        <f t="shared" si="113"/>
        <v>785</v>
      </c>
      <c r="AF787">
        <f t="shared" si="114"/>
        <v>784</v>
      </c>
      <c r="AG787">
        <f t="shared" si="108"/>
        <v>-6.8885199999995166</v>
      </c>
      <c r="AH787">
        <f t="shared" si="109"/>
        <v>47.451707790393343</v>
      </c>
      <c r="AI787">
        <f t="shared" si="110"/>
        <v>-7.5195760416124149E-3</v>
      </c>
      <c r="AJ787">
        <f t="shared" si="111"/>
        <v>1.473186760882922E-3</v>
      </c>
      <c r="AK787">
        <f t="shared" si="112"/>
        <v>614656</v>
      </c>
      <c r="AL787">
        <f t="shared" si="115"/>
        <v>4592.2322700000004</v>
      </c>
      <c r="AM787" t="str">
        <f t="shared" si="116"/>
        <v/>
      </c>
    </row>
    <row r="788" spans="1:39" x14ac:dyDescent="0.55000000000000004">
      <c r="A788">
        <v>1777436102</v>
      </c>
      <c r="B788" t="s">
        <v>72</v>
      </c>
      <c r="C788" t="s">
        <v>73</v>
      </c>
      <c r="D788">
        <v>4601.8599999999997</v>
      </c>
      <c r="E788">
        <v>4518.5928199999998</v>
      </c>
      <c r="F788">
        <v>4596.0559499999999</v>
      </c>
      <c r="G788">
        <v>4755.40355</v>
      </c>
      <c r="H788">
        <v>4792.7697200000002</v>
      </c>
      <c r="Q788">
        <v>4607.3009199999997</v>
      </c>
      <c r="R788">
        <v>4636.6642199999997</v>
      </c>
      <c r="S788">
        <v>4663.25299</v>
      </c>
      <c r="V788">
        <v>4572.3611499999997</v>
      </c>
      <c r="W788">
        <v>4538.7961500000001</v>
      </c>
      <c r="AB788">
        <v>4600.96576</v>
      </c>
      <c r="AC788">
        <v>4600.3191900000002</v>
      </c>
      <c r="AD788">
        <v>0</v>
      </c>
      <c r="AE788">
        <f t="shared" si="113"/>
        <v>786</v>
      </c>
      <c r="AF788">
        <f t="shared" si="114"/>
        <v>785</v>
      </c>
      <c r="AG788">
        <f t="shared" si="108"/>
        <v>-5.4409200000000055</v>
      </c>
      <c r="AH788">
        <f t="shared" si="109"/>
        <v>29.603610446400062</v>
      </c>
      <c r="AI788">
        <f t="shared" si="110"/>
        <v>-3.7053787413590731E-3</v>
      </c>
      <c r="AJ788">
        <f t="shared" si="111"/>
        <v>5.7338123278447342E-4</v>
      </c>
      <c r="AK788">
        <f t="shared" si="112"/>
        <v>616225</v>
      </c>
      <c r="AL788">
        <f t="shared" si="115"/>
        <v>4592.2322700000004</v>
      </c>
      <c r="AM788" t="str">
        <f t="shared" si="116"/>
        <v/>
      </c>
    </row>
    <row r="789" spans="1:39" x14ac:dyDescent="0.55000000000000004">
      <c r="A789">
        <v>1777437002</v>
      </c>
      <c r="B789" t="s">
        <v>72</v>
      </c>
      <c r="C789" t="s">
        <v>73</v>
      </c>
      <c r="D789">
        <v>4602.1499999999996</v>
      </c>
      <c r="E789">
        <v>4518.5928199999998</v>
      </c>
      <c r="F789">
        <v>4596.0559499999999</v>
      </c>
      <c r="G789">
        <v>4755.40355</v>
      </c>
      <c r="H789">
        <v>4792.7697200000002</v>
      </c>
      <c r="Q789">
        <v>4607.0333099999998</v>
      </c>
      <c r="R789">
        <v>4636.3966099999998</v>
      </c>
      <c r="S789">
        <v>4662.9853800000001</v>
      </c>
      <c r="V789">
        <v>4572.0935399999998</v>
      </c>
      <c r="W789">
        <v>4538.52855</v>
      </c>
      <c r="AB789">
        <v>4601.3865900000001</v>
      </c>
      <c r="AC789">
        <v>4600.8528900000001</v>
      </c>
      <c r="AD789">
        <v>0</v>
      </c>
      <c r="AE789">
        <f t="shared" si="113"/>
        <v>787</v>
      </c>
      <c r="AF789">
        <f t="shared" si="114"/>
        <v>786</v>
      </c>
      <c r="AG789">
        <f t="shared" si="108"/>
        <v>-4.883310000000165</v>
      </c>
      <c r="AH789">
        <f t="shared" si="109"/>
        <v>23.846716556101612</v>
      </c>
      <c r="AI789">
        <f t="shared" si="110"/>
        <v>-2.6789121317969812E-3</v>
      </c>
      <c r="AJ789">
        <f t="shared" si="111"/>
        <v>3.7205855241258262E-4</v>
      </c>
      <c r="AK789">
        <f t="shared" si="112"/>
        <v>617796</v>
      </c>
      <c r="AL789">
        <f t="shared" si="115"/>
        <v>4592.2322700000004</v>
      </c>
      <c r="AM789" t="str">
        <f t="shared" si="116"/>
        <v/>
      </c>
    </row>
    <row r="790" spans="1:39" x14ac:dyDescent="0.55000000000000004">
      <c r="A790">
        <v>1777437902</v>
      </c>
      <c r="B790" t="s">
        <v>72</v>
      </c>
      <c r="C790" t="s">
        <v>73</v>
      </c>
      <c r="D790">
        <v>4604.8500000000004</v>
      </c>
      <c r="E790">
        <v>4518.5928199999998</v>
      </c>
      <c r="F790">
        <v>4596.0559499999999</v>
      </c>
      <c r="G790">
        <v>4755.40355</v>
      </c>
      <c r="H790">
        <v>4792.7697200000002</v>
      </c>
      <c r="Q790">
        <v>4606.7657099999997</v>
      </c>
      <c r="R790">
        <v>4636.1290099999997</v>
      </c>
      <c r="S790">
        <v>4662.7177799999999</v>
      </c>
      <c r="V790">
        <v>4571.8259399999997</v>
      </c>
      <c r="W790">
        <v>4538.2609400000001</v>
      </c>
      <c r="AB790">
        <v>4601.4311799999996</v>
      </c>
      <c r="AC790">
        <v>4601.1420399999997</v>
      </c>
      <c r="AD790">
        <v>0</v>
      </c>
      <c r="AE790">
        <f t="shared" si="113"/>
        <v>788</v>
      </c>
      <c r="AF790">
        <f t="shared" si="114"/>
        <v>787</v>
      </c>
      <c r="AG790">
        <f t="shared" si="108"/>
        <v>-1.9157099999993079</v>
      </c>
      <c r="AH790">
        <f t="shared" si="109"/>
        <v>3.6699448040973484</v>
      </c>
      <c r="AI790">
        <f t="shared" si="110"/>
        <v>-1.617353241439404E-4</v>
      </c>
      <c r="AJ790">
        <f t="shared" si="111"/>
        <v>8.8119734036186863E-6</v>
      </c>
      <c r="AK790">
        <f t="shared" si="112"/>
        <v>619369</v>
      </c>
      <c r="AL790">
        <f t="shared" si="115"/>
        <v>4592.2322700000004</v>
      </c>
      <c r="AM790" t="str">
        <f t="shared" si="116"/>
        <v/>
      </c>
    </row>
    <row r="791" spans="1:39" x14ac:dyDescent="0.55000000000000004">
      <c r="A791">
        <v>1777438802</v>
      </c>
      <c r="B791" t="s">
        <v>72</v>
      </c>
      <c r="C791" t="s">
        <v>73</v>
      </c>
      <c r="D791">
        <v>4601.1499999999996</v>
      </c>
      <c r="E791">
        <v>4518.5928199999998</v>
      </c>
      <c r="F791">
        <v>4596.0559499999999</v>
      </c>
      <c r="G791">
        <v>4755.40355</v>
      </c>
      <c r="H791">
        <v>4792.7697200000002</v>
      </c>
      <c r="Q791">
        <v>4606.4980999999998</v>
      </c>
      <c r="R791">
        <v>4635.8613999999998</v>
      </c>
      <c r="S791">
        <v>4662.4501700000001</v>
      </c>
      <c r="V791">
        <v>4571.5583299999998</v>
      </c>
      <c r="W791">
        <v>4537.99334</v>
      </c>
      <c r="Z791">
        <v>4607.7700000000004</v>
      </c>
      <c r="AB791">
        <v>4600.8451599999999</v>
      </c>
      <c r="AC791">
        <v>4600.9935999999998</v>
      </c>
      <c r="AD791">
        <v>1</v>
      </c>
      <c r="AE791">
        <f t="shared" si="113"/>
        <v>789</v>
      </c>
      <c r="AF791">
        <f t="shared" si="114"/>
        <v>788</v>
      </c>
      <c r="AG791">
        <f t="shared" si="108"/>
        <v>-5.3481000000001586</v>
      </c>
      <c r="AH791">
        <f t="shared" si="109"/>
        <v>28.602173610001696</v>
      </c>
      <c r="AI791">
        <f t="shared" si="110"/>
        <v>-3.5189584755365442E-3</v>
      </c>
      <c r="AJ791">
        <f t="shared" si="111"/>
        <v>5.3524447059895037E-4</v>
      </c>
      <c r="AK791">
        <f t="shared" si="112"/>
        <v>620944</v>
      </c>
      <c r="AL791">
        <f t="shared" si="115"/>
        <v>4600.8451599999999</v>
      </c>
      <c r="AM791">
        <f t="shared" si="116"/>
        <v>8.6128899999994246</v>
      </c>
    </row>
    <row r="792" spans="1:39" x14ac:dyDescent="0.55000000000000004">
      <c r="A792">
        <v>1777439702</v>
      </c>
      <c r="B792" t="s">
        <v>72</v>
      </c>
      <c r="C792" t="s">
        <v>73</v>
      </c>
      <c r="D792">
        <v>4600.72</v>
      </c>
      <c r="E792">
        <v>4518.5928199999998</v>
      </c>
      <c r="F792">
        <v>4596.0559499999999</v>
      </c>
      <c r="G792">
        <v>4755.40355</v>
      </c>
      <c r="H792">
        <v>4792.7697200000002</v>
      </c>
      <c r="Q792">
        <v>4606.2304999999997</v>
      </c>
      <c r="R792">
        <v>4635.5937999999996</v>
      </c>
      <c r="S792">
        <v>4662.1825699999999</v>
      </c>
      <c r="V792">
        <v>4571.2907299999997</v>
      </c>
      <c r="W792">
        <v>4537.7257300000001</v>
      </c>
      <c r="AB792">
        <v>4599.5549799999999</v>
      </c>
      <c r="AC792">
        <v>4600.2742900000003</v>
      </c>
      <c r="AD792">
        <v>0</v>
      </c>
      <c r="AE792">
        <f t="shared" si="113"/>
        <v>790</v>
      </c>
      <c r="AF792">
        <f t="shared" si="114"/>
        <v>789</v>
      </c>
      <c r="AG792">
        <f t="shared" si="108"/>
        <v>-5.5104999999994106</v>
      </c>
      <c r="AH792">
        <f t="shared" si="109"/>
        <v>30.365610249993505</v>
      </c>
      <c r="AI792">
        <f t="shared" si="110"/>
        <v>-3.8493606697751026E-3</v>
      </c>
      <c r="AJ792">
        <f t="shared" si="111"/>
        <v>6.0327890507340333E-4</v>
      </c>
      <c r="AK792">
        <f t="shared" si="112"/>
        <v>622521</v>
      </c>
      <c r="AL792">
        <f t="shared" si="115"/>
        <v>4600.8451599999999</v>
      </c>
      <c r="AM792" t="str">
        <f t="shared" si="116"/>
        <v/>
      </c>
    </row>
    <row r="793" spans="1:39" x14ac:dyDescent="0.55000000000000004">
      <c r="A793">
        <v>1777440602</v>
      </c>
      <c r="B793" t="s">
        <v>72</v>
      </c>
      <c r="C793" t="s">
        <v>73</v>
      </c>
      <c r="D793">
        <v>4599.05</v>
      </c>
      <c r="E793">
        <v>4518.5928199999998</v>
      </c>
      <c r="F793">
        <v>4596.0559499999999</v>
      </c>
      <c r="G793">
        <v>4755.40355</v>
      </c>
      <c r="H793">
        <v>4792.7697200000002</v>
      </c>
      <c r="Q793">
        <v>4605.9629000000004</v>
      </c>
      <c r="R793">
        <v>4635.3262000000004</v>
      </c>
      <c r="S793">
        <v>4661.9149699999998</v>
      </c>
      <c r="V793">
        <v>4571.0231299999996</v>
      </c>
      <c r="W793">
        <v>4537.45813</v>
      </c>
      <c r="AB793">
        <v>4597.46432</v>
      </c>
      <c r="AC793">
        <v>4598.86931</v>
      </c>
      <c r="AD793">
        <v>0</v>
      </c>
      <c r="AE793">
        <f t="shared" si="113"/>
        <v>791</v>
      </c>
      <c r="AF793">
        <f t="shared" si="114"/>
        <v>790</v>
      </c>
      <c r="AG793">
        <f t="shared" si="108"/>
        <v>-6.9129000000002634</v>
      </c>
      <c r="AH793">
        <f t="shared" si="109"/>
        <v>47.78818641000364</v>
      </c>
      <c r="AI793">
        <f t="shared" si="110"/>
        <v>-7.5996992895102115E-3</v>
      </c>
      <c r="AJ793">
        <f t="shared" si="111"/>
        <v>1.4941534806491514E-3</v>
      </c>
      <c r="AK793">
        <f t="shared" si="112"/>
        <v>624100</v>
      </c>
      <c r="AL793">
        <f t="shared" si="115"/>
        <v>4600.8451599999999</v>
      </c>
      <c r="AM793" t="str">
        <f t="shared" si="116"/>
        <v/>
      </c>
    </row>
    <row r="794" spans="1:39" x14ac:dyDescent="0.55000000000000004">
      <c r="A794">
        <v>1777441502</v>
      </c>
      <c r="B794" t="s">
        <v>72</v>
      </c>
      <c r="C794" t="s">
        <v>73</v>
      </c>
      <c r="D794">
        <v>4590.8999999999996</v>
      </c>
      <c r="E794">
        <v>4518.5928199999998</v>
      </c>
      <c r="F794">
        <v>4596.0559499999999</v>
      </c>
      <c r="G794">
        <v>4755.40355</v>
      </c>
      <c r="H794">
        <v>4792.7697200000002</v>
      </c>
      <c r="Q794">
        <v>4605.6952899999997</v>
      </c>
      <c r="R794">
        <v>4635.0585899999996</v>
      </c>
      <c r="S794">
        <v>4661.6473599999999</v>
      </c>
      <c r="V794">
        <v>4570.7555199999997</v>
      </c>
      <c r="W794">
        <v>4537.1905299999999</v>
      </c>
      <c r="AB794">
        <v>4594.5773399999998</v>
      </c>
      <c r="AC794">
        <v>4596.7233200000001</v>
      </c>
      <c r="AD794">
        <v>0</v>
      </c>
      <c r="AE794">
        <f t="shared" si="113"/>
        <v>792</v>
      </c>
      <c r="AF794">
        <f t="shared" si="114"/>
        <v>791</v>
      </c>
      <c r="AG794">
        <f t="shared" si="108"/>
        <v>-14.795290000000023</v>
      </c>
      <c r="AH794">
        <f t="shared" si="109"/>
        <v>218.90060618410067</v>
      </c>
      <c r="AI794">
        <f t="shared" si="110"/>
        <v>-7.4505104952747897E-2</v>
      </c>
      <c r="AJ794">
        <f t="shared" si="111"/>
        <v>3.135075766922054E-2</v>
      </c>
      <c r="AK794">
        <f t="shared" si="112"/>
        <v>625681</v>
      </c>
      <c r="AL794">
        <f t="shared" si="115"/>
        <v>4600.8451599999999</v>
      </c>
      <c r="AM794" t="str">
        <f t="shared" si="116"/>
        <v/>
      </c>
    </row>
    <row r="795" spans="1:39" x14ac:dyDescent="0.55000000000000004">
      <c r="A795">
        <v>1777442402</v>
      </c>
      <c r="B795" t="s">
        <v>72</v>
      </c>
      <c r="C795" t="s">
        <v>73</v>
      </c>
      <c r="D795">
        <v>4588.7299999999996</v>
      </c>
      <c r="E795">
        <v>4518.5928199999998</v>
      </c>
      <c r="F795">
        <v>4596.0559499999999</v>
      </c>
      <c r="G795">
        <v>4755.40355</v>
      </c>
      <c r="H795">
        <v>4792.7697200000002</v>
      </c>
      <c r="Q795">
        <v>4605.4276900000004</v>
      </c>
      <c r="R795">
        <v>4634.7909900000004</v>
      </c>
      <c r="S795">
        <v>4661.3797599999998</v>
      </c>
      <c r="V795">
        <v>4570.4879199999996</v>
      </c>
      <c r="W795">
        <v>4536.92292</v>
      </c>
      <c r="AB795">
        <v>4591.2011400000001</v>
      </c>
      <c r="AC795">
        <v>4593.9622300000001</v>
      </c>
      <c r="AD795">
        <v>0</v>
      </c>
      <c r="AE795">
        <f t="shared" si="113"/>
        <v>793</v>
      </c>
      <c r="AF795">
        <f t="shared" si="114"/>
        <v>792</v>
      </c>
      <c r="AG795">
        <f t="shared" si="108"/>
        <v>-16.697690000000875</v>
      </c>
      <c r="AH795">
        <f t="shared" si="109"/>
        <v>278.81285133612926</v>
      </c>
      <c r="AI795">
        <f t="shared" si="110"/>
        <v>-0.10709883982577778</v>
      </c>
      <c r="AJ795">
        <f t="shared" si="111"/>
        <v>5.0860390269144656E-2</v>
      </c>
      <c r="AK795">
        <f t="shared" si="112"/>
        <v>627264</v>
      </c>
      <c r="AL795">
        <f t="shared" si="115"/>
        <v>4600.8451599999999</v>
      </c>
      <c r="AM795" t="str">
        <f t="shared" si="116"/>
        <v/>
      </c>
    </row>
    <row r="796" spans="1:39" x14ac:dyDescent="0.55000000000000004">
      <c r="A796">
        <v>1777443302</v>
      </c>
      <c r="B796" t="s">
        <v>72</v>
      </c>
      <c r="C796" t="s">
        <v>73</v>
      </c>
      <c r="D796">
        <v>4585.04</v>
      </c>
      <c r="E796">
        <v>4518.5928199999998</v>
      </c>
      <c r="F796">
        <v>4596.0559499999999</v>
      </c>
      <c r="G796">
        <v>4755.40355</v>
      </c>
      <c r="H796">
        <v>4792.7697200000002</v>
      </c>
      <c r="Q796">
        <v>4605.1600799999997</v>
      </c>
      <c r="R796">
        <v>4634.5233799999996</v>
      </c>
      <c r="S796">
        <v>4661.1121499999999</v>
      </c>
      <c r="V796">
        <v>4570.2203099999997</v>
      </c>
      <c r="W796">
        <v>4536.6553199999998</v>
      </c>
      <c r="AB796">
        <v>4587.5540499999997</v>
      </c>
      <c r="AC796">
        <v>4590.7581399999999</v>
      </c>
      <c r="AD796">
        <v>0</v>
      </c>
      <c r="AE796">
        <f t="shared" si="113"/>
        <v>794</v>
      </c>
      <c r="AF796">
        <f t="shared" si="114"/>
        <v>793</v>
      </c>
      <c r="AG796">
        <f t="shared" si="108"/>
        <v>-20.120079999999689</v>
      </c>
      <c r="AH796">
        <f t="shared" si="109"/>
        <v>404.81761920638746</v>
      </c>
      <c r="AI796">
        <f t="shared" si="110"/>
        <v>-0.18737200070132898</v>
      </c>
      <c r="AJ796">
        <f t="shared" si="111"/>
        <v>0.10721928960819552</v>
      </c>
      <c r="AK796">
        <f t="shared" si="112"/>
        <v>628849</v>
      </c>
      <c r="AL796">
        <f t="shared" si="115"/>
        <v>4600.8451599999999</v>
      </c>
      <c r="AM796" t="str">
        <f t="shared" si="116"/>
        <v/>
      </c>
    </row>
    <row r="797" spans="1:39" x14ac:dyDescent="0.55000000000000004">
      <c r="A797">
        <v>1777444202</v>
      </c>
      <c r="B797" t="s">
        <v>72</v>
      </c>
      <c r="C797" t="s">
        <v>73</v>
      </c>
      <c r="D797">
        <v>4585.03</v>
      </c>
      <c r="E797">
        <v>4518.5928199999998</v>
      </c>
      <c r="F797">
        <v>4596.0559499999999</v>
      </c>
      <c r="G797">
        <v>4755.40355</v>
      </c>
      <c r="H797">
        <v>4792.7697200000002</v>
      </c>
      <c r="Q797">
        <v>4604.8924800000004</v>
      </c>
      <c r="R797">
        <v>4634.2557800000004</v>
      </c>
      <c r="S797">
        <v>4660.8445499999998</v>
      </c>
      <c r="V797">
        <v>4569.9527099999996</v>
      </c>
      <c r="W797">
        <v>4536.38771</v>
      </c>
      <c r="AB797">
        <v>4583.8602300000002</v>
      </c>
      <c r="AC797">
        <v>4587.3091800000002</v>
      </c>
      <c r="AD797">
        <v>0</v>
      </c>
      <c r="AE797">
        <f t="shared" si="113"/>
        <v>795</v>
      </c>
      <c r="AF797">
        <f t="shared" si="114"/>
        <v>794</v>
      </c>
      <c r="AG797">
        <f t="shared" si="108"/>
        <v>-19.862480000000687</v>
      </c>
      <c r="AH797">
        <f t="shared" si="109"/>
        <v>394.51811175042729</v>
      </c>
      <c r="AI797">
        <f t="shared" si="110"/>
        <v>-0.18026690534388762</v>
      </c>
      <c r="AJ797">
        <f t="shared" si="111"/>
        <v>0.10183287479646572</v>
      </c>
      <c r="AK797">
        <f t="shared" si="112"/>
        <v>630436</v>
      </c>
      <c r="AL797">
        <f t="shared" si="115"/>
        <v>4600.8451599999999</v>
      </c>
      <c r="AM797" t="str">
        <f t="shared" si="116"/>
        <v/>
      </c>
    </row>
    <row r="798" spans="1:39" x14ac:dyDescent="0.55000000000000004">
      <c r="A798">
        <v>1777445102</v>
      </c>
      <c r="B798" t="s">
        <v>72</v>
      </c>
      <c r="C798" t="s">
        <v>73</v>
      </c>
      <c r="D798">
        <v>4584.5200000000004</v>
      </c>
      <c r="E798">
        <v>4518.5928199999998</v>
      </c>
      <c r="F798">
        <v>4596.0559499999999</v>
      </c>
      <c r="G798">
        <v>4755.40355</v>
      </c>
      <c r="H798">
        <v>4792.7697200000002</v>
      </c>
      <c r="Q798">
        <v>4604.6248800000003</v>
      </c>
      <c r="R798">
        <v>4633.9881800000003</v>
      </c>
      <c r="S798">
        <v>4660.5769499999997</v>
      </c>
      <c r="V798">
        <v>4569.6851100000003</v>
      </c>
      <c r="W798">
        <v>4536.1201099999998</v>
      </c>
      <c r="AB798">
        <v>4580.2565400000003</v>
      </c>
      <c r="AC798">
        <v>4583.7828600000003</v>
      </c>
      <c r="AD798">
        <v>0</v>
      </c>
      <c r="AE798">
        <f t="shared" si="113"/>
        <v>796</v>
      </c>
      <c r="AF798">
        <f t="shared" si="114"/>
        <v>795</v>
      </c>
      <c r="AG798">
        <f t="shared" si="108"/>
        <v>-20.104879999999866</v>
      </c>
      <c r="AH798">
        <f t="shared" si="109"/>
        <v>404.20619981439461</v>
      </c>
      <c r="AI798">
        <f t="shared" si="110"/>
        <v>-0.18694766292295231</v>
      </c>
      <c r="AJ798">
        <f t="shared" si="111"/>
        <v>0.10689565524404504</v>
      </c>
      <c r="AK798">
        <f t="shared" si="112"/>
        <v>632025</v>
      </c>
      <c r="AL798">
        <f t="shared" si="115"/>
        <v>4600.8451599999999</v>
      </c>
      <c r="AM798" t="str">
        <f t="shared" si="116"/>
        <v/>
      </c>
    </row>
    <row r="799" spans="1:39" x14ac:dyDescent="0.55000000000000004">
      <c r="A799">
        <v>1777446002</v>
      </c>
      <c r="B799" t="s">
        <v>72</v>
      </c>
      <c r="C799" t="s">
        <v>73</v>
      </c>
      <c r="D799">
        <v>4578.72</v>
      </c>
      <c r="E799">
        <v>4518.5928199999998</v>
      </c>
      <c r="F799">
        <v>4596.0559499999999</v>
      </c>
      <c r="G799">
        <v>4755.40355</v>
      </c>
      <c r="H799">
        <v>4792.7697200000002</v>
      </c>
      <c r="Q799">
        <v>4604.3572700000004</v>
      </c>
      <c r="R799">
        <v>4633.7205700000004</v>
      </c>
      <c r="S799">
        <v>4660.3093399999998</v>
      </c>
      <c r="V799">
        <v>4569.4174999999996</v>
      </c>
      <c r="W799">
        <v>4535.8525099999997</v>
      </c>
      <c r="AB799">
        <v>4576.8773099999999</v>
      </c>
      <c r="AC799">
        <v>4580.3300900000004</v>
      </c>
      <c r="AD799">
        <v>0</v>
      </c>
      <c r="AE799">
        <f t="shared" si="113"/>
        <v>797</v>
      </c>
      <c r="AF799">
        <f t="shared" si="114"/>
        <v>796</v>
      </c>
      <c r="AG799">
        <f t="shared" si="108"/>
        <v>-25.637270000000171</v>
      </c>
      <c r="AH799">
        <f t="shared" si="109"/>
        <v>657.26961305290877</v>
      </c>
      <c r="AI799">
        <f t="shared" si="110"/>
        <v>-0.38764208076845685</v>
      </c>
      <c r="AJ799">
        <f t="shared" si="111"/>
        <v>0.28264494420972902</v>
      </c>
      <c r="AK799">
        <f t="shared" si="112"/>
        <v>633616</v>
      </c>
      <c r="AL799">
        <f t="shared" si="115"/>
        <v>4600.8451599999999</v>
      </c>
      <c r="AM799" t="str">
        <f t="shared" si="116"/>
        <v/>
      </c>
    </row>
    <row r="800" spans="1:39" x14ac:dyDescent="0.55000000000000004">
      <c r="A800">
        <v>1777446902</v>
      </c>
      <c r="B800" t="s">
        <v>72</v>
      </c>
      <c r="C800" t="s">
        <v>73</v>
      </c>
      <c r="D800">
        <v>4575.1099999999997</v>
      </c>
      <c r="E800">
        <v>4518.5928199999998</v>
      </c>
      <c r="F800">
        <v>4596.0559499999999</v>
      </c>
      <c r="G800">
        <v>4755.40355</v>
      </c>
      <c r="H800">
        <v>4792.7697200000002</v>
      </c>
      <c r="Q800">
        <v>4604.0896700000003</v>
      </c>
      <c r="R800">
        <v>4633.4529700000003</v>
      </c>
      <c r="S800">
        <v>4660.0417399999997</v>
      </c>
      <c r="V800">
        <v>4569.1499000000003</v>
      </c>
      <c r="W800">
        <v>4535.5848999999998</v>
      </c>
      <c r="AB800">
        <v>4573.9874900000004</v>
      </c>
      <c r="AC800">
        <v>4577.1587900000004</v>
      </c>
      <c r="AD800">
        <v>0</v>
      </c>
      <c r="AE800">
        <f t="shared" si="113"/>
        <v>798</v>
      </c>
      <c r="AF800">
        <f t="shared" si="114"/>
        <v>797</v>
      </c>
      <c r="AG800">
        <f t="shared" si="108"/>
        <v>-28.979670000000624</v>
      </c>
      <c r="AH800">
        <f t="shared" si="109"/>
        <v>839.82127330893616</v>
      </c>
      <c r="AI800">
        <f t="shared" si="110"/>
        <v>-0.55988120889618753</v>
      </c>
      <c r="AJ800">
        <f t="shared" si="111"/>
        <v>0.46145340565309101</v>
      </c>
      <c r="AK800">
        <f t="shared" si="112"/>
        <v>635209</v>
      </c>
      <c r="AL800">
        <f t="shared" si="115"/>
        <v>4600.8451599999999</v>
      </c>
      <c r="AM800" t="str">
        <f t="shared" si="116"/>
        <v/>
      </c>
    </row>
    <row r="801" spans="1:39" x14ac:dyDescent="0.55000000000000004">
      <c r="A801">
        <v>1777447802</v>
      </c>
      <c r="B801" t="s">
        <v>72</v>
      </c>
      <c r="C801" t="s">
        <v>73</v>
      </c>
      <c r="D801">
        <v>4570.5600000000004</v>
      </c>
      <c r="E801">
        <v>4518.5928199999998</v>
      </c>
      <c r="F801">
        <v>4596.0559499999999</v>
      </c>
      <c r="G801">
        <v>4755.40355</v>
      </c>
      <c r="H801">
        <v>4792.7697200000002</v>
      </c>
      <c r="Q801">
        <v>4603.8220600000004</v>
      </c>
      <c r="R801">
        <v>4633.1853600000004</v>
      </c>
      <c r="S801">
        <v>4659.7741299999998</v>
      </c>
      <c r="V801">
        <v>4568.8822899999996</v>
      </c>
      <c r="W801">
        <v>4535.3172999999997</v>
      </c>
      <c r="AB801">
        <v>4571.7233699999997</v>
      </c>
      <c r="AC801">
        <v>4574.4410799999996</v>
      </c>
      <c r="AD801">
        <v>0</v>
      </c>
      <c r="AE801">
        <f t="shared" si="113"/>
        <v>799</v>
      </c>
      <c r="AF801">
        <f t="shared" si="114"/>
        <v>798</v>
      </c>
      <c r="AG801">
        <f t="shared" si="108"/>
        <v>-33.262060000000019</v>
      </c>
      <c r="AH801">
        <f t="shared" si="109"/>
        <v>1106.3646354436014</v>
      </c>
      <c r="AI801">
        <f t="shared" si="110"/>
        <v>-0.84657026919693168</v>
      </c>
      <c r="AJ801">
        <f t="shared" si="111"/>
        <v>0.80084908396372456</v>
      </c>
      <c r="AK801">
        <f t="shared" si="112"/>
        <v>636804</v>
      </c>
      <c r="AL801">
        <f t="shared" si="115"/>
        <v>4600.8451599999999</v>
      </c>
      <c r="AM801" t="str">
        <f t="shared" si="116"/>
        <v/>
      </c>
    </row>
    <row r="802" spans="1:39" x14ac:dyDescent="0.55000000000000004">
      <c r="A802">
        <v>1777448702</v>
      </c>
      <c r="B802" t="s">
        <v>72</v>
      </c>
      <c r="C802" t="s">
        <v>73</v>
      </c>
      <c r="D802">
        <v>4567.92</v>
      </c>
      <c r="E802">
        <v>4518.5928199999998</v>
      </c>
      <c r="F802">
        <v>4596.0559499999999</v>
      </c>
      <c r="G802">
        <v>4755.40355</v>
      </c>
      <c r="H802">
        <v>4792.7697200000002</v>
      </c>
      <c r="Q802">
        <v>4603.5544600000003</v>
      </c>
      <c r="R802">
        <v>4632.9177600000003</v>
      </c>
      <c r="S802">
        <v>4659.5065299999997</v>
      </c>
      <c r="V802">
        <v>4568.6146900000003</v>
      </c>
      <c r="W802">
        <v>4535.0496899999998</v>
      </c>
      <c r="AB802">
        <v>4570.1388399999996</v>
      </c>
      <c r="AC802">
        <v>4572.2899600000001</v>
      </c>
      <c r="AD802">
        <v>0</v>
      </c>
      <c r="AE802">
        <f t="shared" si="113"/>
        <v>800</v>
      </c>
      <c r="AF802">
        <f t="shared" si="114"/>
        <v>799</v>
      </c>
      <c r="AG802">
        <f t="shared" si="108"/>
        <v>-35.634460000000217</v>
      </c>
      <c r="AH802">
        <f t="shared" si="109"/>
        <v>1269.8147394916155</v>
      </c>
      <c r="AI802">
        <f t="shared" si="110"/>
        <v>-1.0409410376001735</v>
      </c>
      <c r="AJ802">
        <f t="shared" si="111"/>
        <v>1.0549571997702272</v>
      </c>
      <c r="AK802">
        <f t="shared" si="112"/>
        <v>638401</v>
      </c>
      <c r="AL802">
        <f t="shared" si="115"/>
        <v>4600.8451599999999</v>
      </c>
      <c r="AM802" t="str">
        <f t="shared" si="116"/>
        <v/>
      </c>
    </row>
    <row r="803" spans="1:39" x14ac:dyDescent="0.55000000000000004">
      <c r="A803">
        <v>1777449602</v>
      </c>
      <c r="B803" t="s">
        <v>72</v>
      </c>
      <c r="C803" t="s">
        <v>73</v>
      </c>
      <c r="D803">
        <v>4565.4399999999996</v>
      </c>
      <c r="E803">
        <v>4518.5928199999998</v>
      </c>
      <c r="F803">
        <v>4596.0559499999999</v>
      </c>
      <c r="G803">
        <v>4755.40355</v>
      </c>
      <c r="H803">
        <v>4792.7697200000002</v>
      </c>
      <c r="Q803">
        <v>4603.2868600000002</v>
      </c>
      <c r="R803">
        <v>4632.6501500000004</v>
      </c>
      <c r="S803">
        <v>4659.2389300000004</v>
      </c>
      <c r="V803">
        <v>4568.3470900000002</v>
      </c>
      <c r="W803">
        <v>4534.7820899999997</v>
      </c>
      <c r="AB803">
        <v>4569.1603299999997</v>
      </c>
      <c r="AC803">
        <v>4570.7251500000002</v>
      </c>
      <c r="AD803">
        <v>0</v>
      </c>
      <c r="AE803">
        <f t="shared" si="113"/>
        <v>801</v>
      </c>
      <c r="AF803">
        <f t="shared" si="114"/>
        <v>800</v>
      </c>
      <c r="AG803">
        <f t="shared" si="108"/>
        <v>-37.846860000000561</v>
      </c>
      <c r="AH803">
        <f t="shared" si="109"/>
        <v>1432.3848118596425</v>
      </c>
      <c r="AI803">
        <f t="shared" si="110"/>
        <v>-1.2471111023780128</v>
      </c>
      <c r="AJ803">
        <f t="shared" si="111"/>
        <v>1.3423739861745192</v>
      </c>
      <c r="AK803">
        <f t="shared" si="112"/>
        <v>640000</v>
      </c>
      <c r="AL803">
        <f t="shared" si="115"/>
        <v>4600.8451599999999</v>
      </c>
      <c r="AM803" t="str">
        <f t="shared" si="116"/>
        <v/>
      </c>
    </row>
    <row r="804" spans="1:39" x14ac:dyDescent="0.55000000000000004">
      <c r="A804">
        <v>1777450502</v>
      </c>
      <c r="B804" t="s">
        <v>72</v>
      </c>
      <c r="C804" t="s">
        <v>73</v>
      </c>
      <c r="D804">
        <v>4566.6499999999996</v>
      </c>
      <c r="E804">
        <v>4518.5928199999998</v>
      </c>
      <c r="F804">
        <v>4596.0559499999999</v>
      </c>
      <c r="G804">
        <v>4755.40355</v>
      </c>
      <c r="H804">
        <v>4792.7697200000002</v>
      </c>
      <c r="Q804">
        <v>4603.0192500000003</v>
      </c>
      <c r="R804">
        <v>4632.3825500000003</v>
      </c>
      <c r="S804">
        <v>4658.9713199999997</v>
      </c>
      <c r="V804">
        <v>4568.0794800000003</v>
      </c>
      <c r="W804">
        <v>4534.5144899999996</v>
      </c>
      <c r="AB804">
        <v>4568.6155699999999</v>
      </c>
      <c r="AC804">
        <v>4569.6703600000001</v>
      </c>
      <c r="AD804">
        <v>0</v>
      </c>
      <c r="AE804">
        <f t="shared" si="113"/>
        <v>802</v>
      </c>
      <c r="AF804">
        <f t="shared" si="114"/>
        <v>801</v>
      </c>
      <c r="AG804">
        <f t="shared" si="108"/>
        <v>-36.369250000000648</v>
      </c>
      <c r="AH804">
        <f t="shared" si="109"/>
        <v>1322.7223455625472</v>
      </c>
      <c r="AI804">
        <f t="shared" si="110"/>
        <v>-1.1066712307975917</v>
      </c>
      <c r="AJ804">
        <f t="shared" si="111"/>
        <v>1.1446995009257959</v>
      </c>
      <c r="AK804">
        <f t="shared" si="112"/>
        <v>641601</v>
      </c>
      <c r="AL804">
        <f t="shared" si="115"/>
        <v>4600.8451599999999</v>
      </c>
      <c r="AM804" t="str">
        <f t="shared" si="116"/>
        <v/>
      </c>
    </row>
    <row r="805" spans="1:39" x14ac:dyDescent="0.55000000000000004">
      <c r="A805">
        <v>1777451402</v>
      </c>
      <c r="B805" t="s">
        <v>72</v>
      </c>
      <c r="C805" t="s">
        <v>73</v>
      </c>
      <c r="D805">
        <v>4568.37</v>
      </c>
      <c r="E805">
        <v>4518.5928199999998</v>
      </c>
      <c r="F805">
        <v>4596.0559499999999</v>
      </c>
      <c r="G805">
        <v>4755.40355</v>
      </c>
      <c r="H805">
        <v>4792.7697200000002</v>
      </c>
      <c r="Q805">
        <v>4602.7516500000002</v>
      </c>
      <c r="R805">
        <v>4632.1149500000001</v>
      </c>
      <c r="S805">
        <v>4658.7037200000004</v>
      </c>
      <c r="V805">
        <v>4567.8118800000002</v>
      </c>
      <c r="W805">
        <v>4534.2468799999997</v>
      </c>
      <c r="AB805">
        <v>4568.24917</v>
      </c>
      <c r="AC805">
        <v>4568.9597599999997</v>
      </c>
      <c r="AD805">
        <v>0</v>
      </c>
      <c r="AE805">
        <f t="shared" si="113"/>
        <v>803</v>
      </c>
      <c r="AF805">
        <f t="shared" si="114"/>
        <v>802</v>
      </c>
      <c r="AG805">
        <f t="shared" si="108"/>
        <v>-34.381650000000263</v>
      </c>
      <c r="AH805">
        <f t="shared" si="109"/>
        <v>1182.0978567225181</v>
      </c>
      <c r="AI805">
        <f t="shared" si="110"/>
        <v>-0.93496580902311155</v>
      </c>
      <c r="AJ805">
        <f t="shared" si="111"/>
        <v>0.91424158675998368</v>
      </c>
      <c r="AK805">
        <f t="shared" si="112"/>
        <v>643204</v>
      </c>
      <c r="AL805">
        <f t="shared" si="115"/>
        <v>4600.8451599999999</v>
      </c>
      <c r="AM805" t="str">
        <f t="shared" si="116"/>
        <v/>
      </c>
    </row>
    <row r="806" spans="1:39" x14ac:dyDescent="0.55000000000000004">
      <c r="A806">
        <v>1777452302</v>
      </c>
      <c r="B806" t="s">
        <v>72</v>
      </c>
      <c r="C806" t="s">
        <v>73</v>
      </c>
      <c r="D806">
        <v>4573.2</v>
      </c>
      <c r="E806">
        <v>4518.5928199999998</v>
      </c>
      <c r="F806">
        <v>4596.0559499999999</v>
      </c>
      <c r="G806">
        <v>4755.40355</v>
      </c>
      <c r="H806">
        <v>4792.7697200000002</v>
      </c>
      <c r="Q806">
        <v>4602.4840400000003</v>
      </c>
      <c r="R806">
        <v>4631.8473400000003</v>
      </c>
      <c r="S806">
        <v>4658.4361099999996</v>
      </c>
      <c r="V806">
        <v>4567.5442700000003</v>
      </c>
      <c r="W806">
        <v>4533.9792799999996</v>
      </c>
      <c r="AB806">
        <v>4567.8281500000003</v>
      </c>
      <c r="AC806">
        <v>4568.3939499999997</v>
      </c>
      <c r="AD806">
        <v>0</v>
      </c>
      <c r="AE806">
        <f t="shared" si="113"/>
        <v>804</v>
      </c>
      <c r="AF806">
        <f t="shared" si="114"/>
        <v>803</v>
      </c>
      <c r="AG806">
        <f t="shared" si="108"/>
        <v>-29.284040000000459</v>
      </c>
      <c r="AH806">
        <f t="shared" si="109"/>
        <v>857.55499872162693</v>
      </c>
      <c r="AI806">
        <f t="shared" si="110"/>
        <v>-0.57770823553474804</v>
      </c>
      <c r="AJ806">
        <f t="shared" si="111"/>
        <v>0.48114732790397313</v>
      </c>
      <c r="AK806">
        <f t="shared" si="112"/>
        <v>644809</v>
      </c>
      <c r="AL806">
        <f t="shared" si="115"/>
        <v>4600.8451599999999</v>
      </c>
      <c r="AM806" t="str">
        <f t="shared" si="116"/>
        <v/>
      </c>
    </row>
    <row r="807" spans="1:39" x14ac:dyDescent="0.55000000000000004">
      <c r="A807">
        <v>1777453202</v>
      </c>
      <c r="B807" t="s">
        <v>72</v>
      </c>
      <c r="C807" t="s">
        <v>73</v>
      </c>
      <c r="D807">
        <v>4574.2</v>
      </c>
      <c r="E807">
        <v>4518.5928199999998</v>
      </c>
      <c r="F807">
        <v>4596.0559499999999</v>
      </c>
      <c r="G807">
        <v>4755.40355</v>
      </c>
      <c r="H807">
        <v>4792.7697200000002</v>
      </c>
      <c r="Q807">
        <v>4602.2164400000001</v>
      </c>
      <c r="R807">
        <v>4631.5797400000001</v>
      </c>
      <c r="S807">
        <v>4658.1685100000004</v>
      </c>
      <c r="V807">
        <v>4567.2766700000002</v>
      </c>
      <c r="W807">
        <v>4533.7116699999997</v>
      </c>
      <c r="AB807">
        <v>4567.1260300000004</v>
      </c>
      <c r="AC807">
        <v>4567.7599899999996</v>
      </c>
      <c r="AD807">
        <v>0</v>
      </c>
      <c r="AE807">
        <f t="shared" si="113"/>
        <v>805</v>
      </c>
      <c r="AF807">
        <f t="shared" si="114"/>
        <v>804</v>
      </c>
      <c r="AG807">
        <f t="shared" si="108"/>
        <v>-28.01644000000033</v>
      </c>
      <c r="AH807">
        <f t="shared" si="109"/>
        <v>784.92091027361846</v>
      </c>
      <c r="AI807">
        <f t="shared" si="110"/>
        <v>-0.50588806401710651</v>
      </c>
      <c r="AJ807">
        <f t="shared" si="111"/>
        <v>0.40309360694915247</v>
      </c>
      <c r="AK807">
        <f t="shared" si="112"/>
        <v>646416</v>
      </c>
      <c r="AL807">
        <f t="shared" si="115"/>
        <v>4600.8451599999999</v>
      </c>
      <c r="AM807" t="str">
        <f t="shared" si="116"/>
        <v/>
      </c>
    </row>
    <row r="808" spans="1:39" x14ac:dyDescent="0.55000000000000004">
      <c r="A808">
        <v>1777454102</v>
      </c>
      <c r="B808" t="s">
        <v>72</v>
      </c>
      <c r="C808" t="s">
        <v>73</v>
      </c>
      <c r="D808">
        <v>4565.6899999999996</v>
      </c>
      <c r="E808">
        <v>4518.5928199999998</v>
      </c>
      <c r="F808">
        <v>4596.0559499999999</v>
      </c>
      <c r="G808">
        <v>4755.40355</v>
      </c>
      <c r="H808">
        <v>4792.7697200000002</v>
      </c>
      <c r="Q808">
        <v>4601.94884</v>
      </c>
      <c r="R808">
        <v>4631.3121300000003</v>
      </c>
      <c r="S808">
        <v>4657.9008999999996</v>
      </c>
      <c r="V808">
        <v>4567.0090700000001</v>
      </c>
      <c r="W808">
        <v>4533.4440699999996</v>
      </c>
      <c r="AB808">
        <v>4566.1486599999998</v>
      </c>
      <c r="AC808">
        <v>4566.9543299999996</v>
      </c>
      <c r="AD808">
        <v>0</v>
      </c>
      <c r="AE808">
        <f t="shared" si="113"/>
        <v>806</v>
      </c>
      <c r="AF808">
        <f t="shared" si="114"/>
        <v>805</v>
      </c>
      <c r="AG808">
        <f t="shared" si="108"/>
        <v>-36.258840000000419</v>
      </c>
      <c r="AH808">
        <f t="shared" si="109"/>
        <v>1314.7034781456302</v>
      </c>
      <c r="AI808">
        <f t="shared" si="110"/>
        <v>-1.0966228788391086</v>
      </c>
      <c r="AJ808">
        <f t="shared" si="111"/>
        <v>1.130862327001686</v>
      </c>
      <c r="AK808">
        <f t="shared" si="112"/>
        <v>648025</v>
      </c>
      <c r="AL808">
        <f t="shared" si="115"/>
        <v>4600.8451599999999</v>
      </c>
      <c r="AM808" t="str">
        <f t="shared" si="116"/>
        <v/>
      </c>
    </row>
    <row r="809" spans="1:39" x14ac:dyDescent="0.55000000000000004">
      <c r="A809">
        <v>1777455002</v>
      </c>
      <c r="B809" t="s">
        <v>72</v>
      </c>
      <c r="C809" t="s">
        <v>73</v>
      </c>
      <c r="D809">
        <v>4558.8599999999997</v>
      </c>
      <c r="E809">
        <v>4518.5928199999998</v>
      </c>
      <c r="F809">
        <v>4596.0559499999999</v>
      </c>
      <c r="G809">
        <v>4755.40355</v>
      </c>
      <c r="H809">
        <v>4792.7697200000002</v>
      </c>
      <c r="Q809">
        <v>4601.6812300000001</v>
      </c>
      <c r="R809">
        <v>4631.0445300000001</v>
      </c>
      <c r="S809">
        <v>4657.6333000000004</v>
      </c>
      <c r="V809">
        <v>4566.7414600000002</v>
      </c>
      <c r="W809">
        <v>4533.1764599999997</v>
      </c>
      <c r="AB809">
        <v>4565.2868799999997</v>
      </c>
      <c r="AC809">
        <v>4566.1206000000002</v>
      </c>
      <c r="AD809">
        <v>0</v>
      </c>
      <c r="AE809">
        <f t="shared" si="113"/>
        <v>807</v>
      </c>
      <c r="AF809">
        <f t="shared" si="114"/>
        <v>806</v>
      </c>
      <c r="AG809">
        <f t="shared" si="108"/>
        <v>-42.821230000000469</v>
      </c>
      <c r="AH809">
        <f t="shared" si="109"/>
        <v>1833.65773871294</v>
      </c>
      <c r="AI809">
        <f t="shared" si="110"/>
        <v>-1.8063129603514263</v>
      </c>
      <c r="AJ809">
        <f t="shared" si="111"/>
        <v>2.1998378188684984</v>
      </c>
      <c r="AK809">
        <f t="shared" si="112"/>
        <v>649636</v>
      </c>
      <c r="AL809">
        <f t="shared" si="115"/>
        <v>4600.8451599999999</v>
      </c>
      <c r="AM809" t="str">
        <f t="shared" si="116"/>
        <v/>
      </c>
    </row>
    <row r="810" spans="1:39" x14ac:dyDescent="0.55000000000000004">
      <c r="A810">
        <v>1777455902</v>
      </c>
      <c r="B810" t="s">
        <v>72</v>
      </c>
      <c r="C810" t="s">
        <v>73</v>
      </c>
      <c r="D810">
        <v>4555.9399999999996</v>
      </c>
      <c r="E810">
        <v>4518.5928199999998</v>
      </c>
      <c r="F810">
        <v>4596.0559499999999</v>
      </c>
      <c r="G810">
        <v>4755.40355</v>
      </c>
      <c r="H810">
        <v>4792.7697200000002</v>
      </c>
      <c r="Q810">
        <v>4601.41363</v>
      </c>
      <c r="R810">
        <v>4630.77693</v>
      </c>
      <c r="S810">
        <v>4657.3657000000003</v>
      </c>
      <c r="V810">
        <v>4566.4738600000001</v>
      </c>
      <c r="W810">
        <v>4532.9088599999995</v>
      </c>
      <c r="AB810">
        <v>4564.8613500000001</v>
      </c>
      <c r="AC810">
        <v>4565.4909799999996</v>
      </c>
      <c r="AD810">
        <v>0</v>
      </c>
      <c r="AE810">
        <f t="shared" si="113"/>
        <v>808</v>
      </c>
      <c r="AF810">
        <f t="shared" si="114"/>
        <v>807</v>
      </c>
      <c r="AG810">
        <f t="shared" si="108"/>
        <v>-45.473630000000412</v>
      </c>
      <c r="AH810">
        <f t="shared" si="109"/>
        <v>2067.8510253769373</v>
      </c>
      <c r="AI810">
        <f t="shared" si="110"/>
        <v>-2.1631889502657176</v>
      </c>
      <c r="AJ810">
        <f t="shared" si="111"/>
        <v>2.7976450183266199</v>
      </c>
      <c r="AK810">
        <f t="shared" si="112"/>
        <v>651249</v>
      </c>
      <c r="AL810">
        <f t="shared" si="115"/>
        <v>4600.8451599999999</v>
      </c>
      <c r="AM810" t="str">
        <f t="shared" si="116"/>
        <v/>
      </c>
    </row>
    <row r="811" spans="1:39" x14ac:dyDescent="0.55000000000000004">
      <c r="A811">
        <v>1777456802</v>
      </c>
      <c r="B811" t="s">
        <v>72</v>
      </c>
      <c r="C811" t="s">
        <v>73</v>
      </c>
      <c r="D811">
        <v>4568.04</v>
      </c>
      <c r="E811">
        <v>4518.5928199999998</v>
      </c>
      <c r="F811">
        <v>4596.0559499999999</v>
      </c>
      <c r="G811">
        <v>4755.40355</v>
      </c>
      <c r="H811">
        <v>4792.7697200000002</v>
      </c>
      <c r="Q811">
        <v>4601.1460200000001</v>
      </c>
      <c r="R811">
        <v>4630.5093200000001</v>
      </c>
      <c r="S811">
        <v>4657.0980900000004</v>
      </c>
      <c r="V811">
        <v>4566.2062500000002</v>
      </c>
      <c r="W811">
        <v>4532.6412600000003</v>
      </c>
      <c r="AB811">
        <v>4565.07204</v>
      </c>
      <c r="AC811">
        <v>4565.2815099999998</v>
      </c>
      <c r="AD811">
        <v>0</v>
      </c>
      <c r="AE811">
        <f t="shared" si="113"/>
        <v>809</v>
      </c>
      <c r="AF811">
        <f t="shared" si="114"/>
        <v>808</v>
      </c>
      <c r="AG811">
        <f t="shared" si="108"/>
        <v>-33.106020000000171</v>
      </c>
      <c r="AH811">
        <f t="shared" si="109"/>
        <v>1096.0085602404113</v>
      </c>
      <c r="AI811">
        <f t="shared" si="110"/>
        <v>-0.83471170531430738</v>
      </c>
      <c r="AJ811">
        <f t="shared" si="111"/>
        <v>0.78592663092162807</v>
      </c>
      <c r="AK811">
        <f t="shared" si="112"/>
        <v>652864</v>
      </c>
      <c r="AL811">
        <f t="shared" si="115"/>
        <v>4600.8451599999999</v>
      </c>
      <c r="AM811" t="str">
        <f t="shared" si="116"/>
        <v/>
      </c>
    </row>
    <row r="812" spans="1:39" x14ac:dyDescent="0.55000000000000004">
      <c r="A812">
        <v>1777457702</v>
      </c>
      <c r="B812" t="s">
        <v>72</v>
      </c>
      <c r="C812" t="s">
        <v>73</v>
      </c>
      <c r="D812">
        <v>4571.78</v>
      </c>
      <c r="E812">
        <v>4518.5928199999998</v>
      </c>
      <c r="F812">
        <v>4596.0559499999999</v>
      </c>
      <c r="G812">
        <v>4755.40355</v>
      </c>
      <c r="H812">
        <v>4792.7697200000002</v>
      </c>
      <c r="Q812">
        <v>4600.87842</v>
      </c>
      <c r="R812">
        <v>4630.24172</v>
      </c>
      <c r="S812">
        <v>4656.8304900000003</v>
      </c>
      <c r="V812">
        <v>4565.9386500000001</v>
      </c>
      <c r="W812">
        <v>4532.3736500000005</v>
      </c>
      <c r="AB812">
        <v>4565.6078900000002</v>
      </c>
      <c r="AC812">
        <v>4565.4447</v>
      </c>
      <c r="AD812">
        <v>1</v>
      </c>
      <c r="AE812">
        <f t="shared" si="113"/>
        <v>810</v>
      </c>
      <c r="AF812">
        <f t="shared" si="114"/>
        <v>809</v>
      </c>
      <c r="AG812">
        <f t="shared" si="108"/>
        <v>-29.09842000000026</v>
      </c>
      <c r="AH812">
        <f t="shared" si="109"/>
        <v>846.71804649641513</v>
      </c>
      <c r="AI812">
        <f t="shared" si="110"/>
        <v>-0.56679212661278311</v>
      </c>
      <c r="AJ812">
        <f t="shared" si="111"/>
        <v>0.46906361365538657</v>
      </c>
      <c r="AK812">
        <f t="shared" si="112"/>
        <v>654481</v>
      </c>
      <c r="AL812">
        <f t="shared" si="115"/>
        <v>4565.6078900000002</v>
      </c>
      <c r="AM812">
        <f t="shared" si="116"/>
        <v>35.237269999999626</v>
      </c>
    </row>
    <row r="813" spans="1:39" x14ac:dyDescent="0.55000000000000004">
      <c r="A813">
        <v>1777458602</v>
      </c>
      <c r="B813" t="s">
        <v>72</v>
      </c>
      <c r="C813" t="s">
        <v>73</v>
      </c>
      <c r="D813">
        <v>4566.3599999999997</v>
      </c>
      <c r="E813">
        <v>4518.5928199999998</v>
      </c>
      <c r="F813">
        <v>4596.0559499999999</v>
      </c>
      <c r="G813">
        <v>4755.40355</v>
      </c>
      <c r="H813">
        <v>4792.7697200000002</v>
      </c>
      <c r="Q813">
        <v>4600.6108100000001</v>
      </c>
      <c r="R813">
        <v>4629.9741100000001</v>
      </c>
      <c r="S813">
        <v>4656.5628800000004</v>
      </c>
      <c r="V813">
        <v>4565.6710400000002</v>
      </c>
      <c r="W813">
        <v>4532.1060500000003</v>
      </c>
      <c r="AB813">
        <v>4566.29792</v>
      </c>
      <c r="AC813">
        <v>4565.8713100000004</v>
      </c>
      <c r="AD813">
        <v>0</v>
      </c>
      <c r="AE813">
        <f t="shared" si="113"/>
        <v>811</v>
      </c>
      <c r="AF813">
        <f t="shared" si="114"/>
        <v>810</v>
      </c>
      <c r="AG813">
        <f t="shared" si="108"/>
        <v>-34.250810000000456</v>
      </c>
      <c r="AH813">
        <f t="shared" si="109"/>
        <v>1173.1179856561312</v>
      </c>
      <c r="AI813">
        <f t="shared" si="110"/>
        <v>-0.92433228930565747</v>
      </c>
      <c r="AJ813">
        <f t="shared" si="111"/>
        <v>0.9004041729848371</v>
      </c>
      <c r="AK813">
        <f t="shared" si="112"/>
        <v>656100</v>
      </c>
      <c r="AL813">
        <f t="shared" si="115"/>
        <v>4565.6078900000002</v>
      </c>
      <c r="AM813" t="str">
        <f t="shared" si="116"/>
        <v/>
      </c>
    </row>
    <row r="814" spans="1:39" x14ac:dyDescent="0.55000000000000004">
      <c r="A814">
        <v>1777459502</v>
      </c>
      <c r="B814" t="s">
        <v>72</v>
      </c>
      <c r="C814" t="s">
        <v>73</v>
      </c>
      <c r="D814">
        <v>4569.9799999999996</v>
      </c>
      <c r="E814">
        <v>4518.5928199999998</v>
      </c>
      <c r="F814">
        <v>4596.0559499999999</v>
      </c>
      <c r="G814">
        <v>4755.40355</v>
      </c>
      <c r="H814">
        <v>4792.7697200000002</v>
      </c>
      <c r="Q814">
        <v>4600.34321</v>
      </c>
      <c r="R814">
        <v>4629.70651</v>
      </c>
      <c r="S814">
        <v>4656.2952800000003</v>
      </c>
      <c r="V814">
        <v>4565.40344</v>
      </c>
      <c r="W814">
        <v>4531.8384400000004</v>
      </c>
      <c r="AB814">
        <v>4567.1635399999996</v>
      </c>
      <c r="AC814">
        <v>4566.5174200000001</v>
      </c>
      <c r="AD814">
        <v>0</v>
      </c>
      <c r="AE814">
        <f t="shared" si="113"/>
        <v>812</v>
      </c>
      <c r="AF814">
        <f t="shared" si="114"/>
        <v>811</v>
      </c>
      <c r="AG814">
        <f t="shared" si="108"/>
        <v>-30.363210000000436</v>
      </c>
      <c r="AH814">
        <f t="shared" si="109"/>
        <v>921.92452150412646</v>
      </c>
      <c r="AI814">
        <f t="shared" si="110"/>
        <v>-0.64395961837665106</v>
      </c>
      <c r="AJ814">
        <f t="shared" si="111"/>
        <v>0.55608969323697532</v>
      </c>
      <c r="AK814">
        <f t="shared" si="112"/>
        <v>657721</v>
      </c>
      <c r="AL814">
        <f t="shared" si="115"/>
        <v>4565.6078900000002</v>
      </c>
      <c r="AM814" t="str">
        <f t="shared" si="116"/>
        <v/>
      </c>
    </row>
    <row r="815" spans="1:39" x14ac:dyDescent="0.55000000000000004">
      <c r="A815">
        <v>1777460402</v>
      </c>
      <c r="B815" t="s">
        <v>72</v>
      </c>
      <c r="C815" t="s">
        <v>73</v>
      </c>
      <c r="D815">
        <v>4568.0200000000004</v>
      </c>
      <c r="E815">
        <v>4518.5928199999998</v>
      </c>
      <c r="F815">
        <v>4596.0559499999999</v>
      </c>
      <c r="G815">
        <v>4755.40355</v>
      </c>
      <c r="H815">
        <v>4792.7697200000002</v>
      </c>
      <c r="Q815">
        <v>4600.0756099999999</v>
      </c>
      <c r="R815">
        <v>4629.4389099999999</v>
      </c>
      <c r="S815">
        <v>4656.0276800000001</v>
      </c>
      <c r="V815">
        <v>4565.1358399999999</v>
      </c>
      <c r="W815">
        <v>4531.5708400000003</v>
      </c>
      <c r="AB815">
        <v>4567.8545599999998</v>
      </c>
      <c r="AC815">
        <v>4567.1859899999999</v>
      </c>
      <c r="AD815">
        <v>0</v>
      </c>
      <c r="AE815">
        <f t="shared" si="113"/>
        <v>813</v>
      </c>
      <c r="AF815">
        <f t="shared" si="114"/>
        <v>812</v>
      </c>
      <c r="AG815">
        <f t="shared" si="108"/>
        <v>-32.055609999999433</v>
      </c>
      <c r="AH815">
        <f t="shared" si="109"/>
        <v>1027.5621324720637</v>
      </c>
      <c r="AI815">
        <f t="shared" si="110"/>
        <v>-0.75775309956577186</v>
      </c>
      <c r="AJ815">
        <f t="shared" si="111"/>
        <v>0.69082857849493851</v>
      </c>
      <c r="AK815">
        <f t="shared" si="112"/>
        <v>659344</v>
      </c>
      <c r="AL815">
        <f t="shared" si="115"/>
        <v>4565.6078900000002</v>
      </c>
      <c r="AM815" t="str">
        <f t="shared" si="116"/>
        <v/>
      </c>
    </row>
    <row r="816" spans="1:39" x14ac:dyDescent="0.55000000000000004">
      <c r="A816">
        <v>1777461302</v>
      </c>
      <c r="B816" t="s">
        <v>72</v>
      </c>
      <c r="C816" t="s">
        <v>73</v>
      </c>
      <c r="D816">
        <v>4564.76</v>
      </c>
      <c r="E816">
        <v>4518.5928199999998</v>
      </c>
      <c r="F816">
        <v>4596.0559499999999</v>
      </c>
      <c r="G816">
        <v>4755.40355</v>
      </c>
      <c r="H816">
        <v>4792.7697200000002</v>
      </c>
      <c r="Q816">
        <v>4599.808</v>
      </c>
      <c r="R816">
        <v>4629.1713</v>
      </c>
      <c r="S816">
        <v>4655.7600700000003</v>
      </c>
      <c r="V816">
        <v>4564.86823</v>
      </c>
      <c r="W816">
        <v>4531.3032400000002</v>
      </c>
      <c r="AB816">
        <v>4568.1324000000004</v>
      </c>
      <c r="AC816">
        <v>4567.6591900000003</v>
      </c>
      <c r="AD816">
        <v>0</v>
      </c>
      <c r="AE816">
        <f t="shared" si="113"/>
        <v>814</v>
      </c>
      <c r="AF816">
        <f t="shared" si="114"/>
        <v>813</v>
      </c>
      <c r="AG816">
        <f t="shared" si="108"/>
        <v>-35.047999999999774</v>
      </c>
      <c r="AH816">
        <f t="shared" si="109"/>
        <v>1228.3623039999841</v>
      </c>
      <c r="AI816">
        <f t="shared" si="110"/>
        <v>-0.99038785268770846</v>
      </c>
      <c r="AJ816">
        <f t="shared" si="111"/>
        <v>0.98720437947821671</v>
      </c>
      <c r="AK816">
        <f t="shared" si="112"/>
        <v>660969</v>
      </c>
      <c r="AL816">
        <f t="shared" si="115"/>
        <v>4565.6078900000002</v>
      </c>
      <c r="AM816" t="str">
        <f t="shared" si="116"/>
        <v/>
      </c>
    </row>
    <row r="817" spans="1:39" x14ac:dyDescent="0.55000000000000004">
      <c r="A817">
        <v>1777462202</v>
      </c>
      <c r="B817" t="s">
        <v>72</v>
      </c>
      <c r="C817" t="s">
        <v>73</v>
      </c>
      <c r="D817">
        <v>4567.03</v>
      </c>
      <c r="E817">
        <v>4518.5928199999998</v>
      </c>
      <c r="F817">
        <v>4596.0559499999999</v>
      </c>
      <c r="G817">
        <v>4755.40355</v>
      </c>
      <c r="H817">
        <v>4792.7697200000002</v>
      </c>
      <c r="Q817">
        <v>4599.5403999999999</v>
      </c>
      <c r="R817">
        <v>4628.9036999999998</v>
      </c>
      <c r="S817">
        <v>4655.4924700000001</v>
      </c>
      <c r="V817">
        <v>4564.6006299999999</v>
      </c>
      <c r="W817">
        <v>4531.0356300000003</v>
      </c>
      <c r="AB817">
        <v>4567.6928099999996</v>
      </c>
      <c r="AC817">
        <v>4567.6760000000004</v>
      </c>
      <c r="AD817">
        <v>0</v>
      </c>
      <c r="AE817">
        <f t="shared" si="113"/>
        <v>815</v>
      </c>
      <c r="AF817">
        <f t="shared" si="114"/>
        <v>814</v>
      </c>
      <c r="AG817">
        <f t="shared" si="108"/>
        <v>-32.510400000000118</v>
      </c>
      <c r="AH817">
        <f t="shared" si="109"/>
        <v>1056.9261081600077</v>
      </c>
      <c r="AI817">
        <f t="shared" si="110"/>
        <v>-0.79046477851873542</v>
      </c>
      <c r="AJ817">
        <f t="shared" si="111"/>
        <v>0.73087543373637887</v>
      </c>
      <c r="AK817">
        <f t="shared" si="112"/>
        <v>662596</v>
      </c>
      <c r="AL817">
        <f t="shared" si="115"/>
        <v>4565.6078900000002</v>
      </c>
      <c r="AM817" t="str">
        <f t="shared" si="116"/>
        <v/>
      </c>
    </row>
    <row r="818" spans="1:39" x14ac:dyDescent="0.55000000000000004">
      <c r="A818">
        <v>1777463102</v>
      </c>
      <c r="B818" t="s">
        <v>72</v>
      </c>
      <c r="C818" t="s">
        <v>73</v>
      </c>
      <c r="D818">
        <v>4561.87</v>
      </c>
      <c r="E818">
        <v>4518.5928199999998</v>
      </c>
      <c r="F818">
        <v>4596.0559499999999</v>
      </c>
      <c r="G818">
        <v>4755.40355</v>
      </c>
      <c r="H818">
        <v>4792.7697200000002</v>
      </c>
      <c r="Q818">
        <v>4599.27279</v>
      </c>
      <c r="R818">
        <v>4628.63609</v>
      </c>
      <c r="S818">
        <v>4655.2248600000003</v>
      </c>
      <c r="V818">
        <v>4564.33302</v>
      </c>
      <c r="W818">
        <v>4530.7680300000002</v>
      </c>
      <c r="AB818">
        <v>4566.1014500000001</v>
      </c>
      <c r="AC818">
        <v>4566.8887299999997</v>
      </c>
      <c r="AD818">
        <v>1</v>
      </c>
      <c r="AE818">
        <f t="shared" si="113"/>
        <v>816</v>
      </c>
      <c r="AF818">
        <f t="shared" si="114"/>
        <v>815</v>
      </c>
      <c r="AG818">
        <f t="shared" si="108"/>
        <v>-37.402790000000095</v>
      </c>
      <c r="AH818">
        <f t="shared" si="109"/>
        <v>1398.9686997841072</v>
      </c>
      <c r="AI818">
        <f t="shared" si="110"/>
        <v>-1.2037258335854426</v>
      </c>
      <c r="AJ818">
        <f t="shared" si="111"/>
        <v>1.2804720649066628</v>
      </c>
      <c r="AK818">
        <f t="shared" si="112"/>
        <v>664225</v>
      </c>
      <c r="AL818">
        <f t="shared" si="115"/>
        <v>4566.1014500000001</v>
      </c>
      <c r="AM818">
        <f t="shared" si="116"/>
        <v>0.49355999999988853</v>
      </c>
    </row>
    <row r="819" spans="1:39" x14ac:dyDescent="0.55000000000000004">
      <c r="A819">
        <v>1777464002</v>
      </c>
      <c r="B819" t="s">
        <v>72</v>
      </c>
      <c r="C819" t="s">
        <v>73</v>
      </c>
      <c r="D819">
        <v>4564.41</v>
      </c>
      <c r="E819">
        <v>4518.5928199999998</v>
      </c>
      <c r="F819">
        <v>4596.0559499999999</v>
      </c>
      <c r="G819">
        <v>4755.40355</v>
      </c>
      <c r="H819">
        <v>4792.7697200000002</v>
      </c>
      <c r="Q819">
        <v>4599.0051899999999</v>
      </c>
      <c r="R819">
        <v>4628.3684899999998</v>
      </c>
      <c r="S819">
        <v>4654.9572600000001</v>
      </c>
      <c r="V819">
        <v>4564.0654199999999</v>
      </c>
      <c r="W819">
        <v>4530.5004200000003</v>
      </c>
      <c r="AB819">
        <v>4563.2493599999998</v>
      </c>
      <c r="AC819">
        <v>4565.0690400000003</v>
      </c>
      <c r="AD819">
        <v>0</v>
      </c>
      <c r="AE819">
        <f t="shared" si="113"/>
        <v>817</v>
      </c>
      <c r="AF819">
        <f t="shared" si="114"/>
        <v>816</v>
      </c>
      <c r="AG819">
        <f t="shared" si="108"/>
        <v>-34.595190000000002</v>
      </c>
      <c r="AH819">
        <f t="shared" si="109"/>
        <v>1196.8271711361001</v>
      </c>
      <c r="AI819">
        <f t="shared" si="110"/>
        <v>-0.95249508838844954</v>
      </c>
      <c r="AJ819">
        <f t="shared" si="111"/>
        <v>0.93716701203933395</v>
      </c>
      <c r="AK819">
        <f t="shared" si="112"/>
        <v>665856</v>
      </c>
      <c r="AL819">
        <f t="shared" si="115"/>
        <v>4566.1014500000001</v>
      </c>
      <c r="AM819" t="str">
        <f t="shared" si="116"/>
        <v/>
      </c>
    </row>
    <row r="820" spans="1:39" x14ac:dyDescent="0.55000000000000004">
      <c r="A820">
        <v>1777464902</v>
      </c>
      <c r="B820" t="s">
        <v>72</v>
      </c>
      <c r="C820" t="s">
        <v>73</v>
      </c>
      <c r="D820">
        <v>4559.3999999999996</v>
      </c>
      <c r="E820">
        <v>4518.5928199999998</v>
      </c>
      <c r="F820">
        <v>4596.0559499999999</v>
      </c>
      <c r="G820">
        <v>4755.40355</v>
      </c>
      <c r="H820">
        <v>4792.7697200000002</v>
      </c>
      <c r="Q820">
        <v>4598.7375899999997</v>
      </c>
      <c r="R820">
        <v>4628.1008899999997</v>
      </c>
      <c r="S820">
        <v>4654.68966</v>
      </c>
      <c r="V820">
        <v>4563.7978199999998</v>
      </c>
      <c r="W820">
        <v>4530.2328200000002</v>
      </c>
      <c r="AB820">
        <v>4558.9606999999996</v>
      </c>
      <c r="AC820">
        <v>4562.01487</v>
      </c>
      <c r="AD820">
        <v>0</v>
      </c>
      <c r="AE820">
        <f t="shared" si="113"/>
        <v>818</v>
      </c>
      <c r="AF820">
        <f t="shared" si="114"/>
        <v>817</v>
      </c>
      <c r="AG820">
        <f t="shared" si="108"/>
        <v>-39.337590000000091</v>
      </c>
      <c r="AH820">
        <f t="shared" si="109"/>
        <v>1547.4459870081071</v>
      </c>
      <c r="AI820">
        <f t="shared" si="110"/>
        <v>-1.4003572142694185</v>
      </c>
      <c r="AJ820">
        <f t="shared" si="111"/>
        <v>1.5666973571084584</v>
      </c>
      <c r="AK820">
        <f t="shared" si="112"/>
        <v>667489</v>
      </c>
      <c r="AL820">
        <f t="shared" si="115"/>
        <v>4566.1014500000001</v>
      </c>
      <c r="AM820" t="str">
        <f t="shared" si="116"/>
        <v/>
      </c>
    </row>
    <row r="821" spans="1:39" x14ac:dyDescent="0.55000000000000004">
      <c r="A821">
        <v>1777465802</v>
      </c>
      <c r="B821" t="s">
        <v>72</v>
      </c>
      <c r="C821" t="s">
        <v>73</v>
      </c>
      <c r="D821">
        <v>4557.62</v>
      </c>
      <c r="E821">
        <v>4518.5928199999998</v>
      </c>
      <c r="F821">
        <v>4596.0559499999999</v>
      </c>
      <c r="G821">
        <v>4755.40355</v>
      </c>
      <c r="H821">
        <v>4792.7697200000002</v>
      </c>
      <c r="Q821">
        <v>4598.4699799999999</v>
      </c>
      <c r="R821">
        <v>4627.8332799999998</v>
      </c>
      <c r="S821">
        <v>4654.4220500000001</v>
      </c>
      <c r="V821">
        <v>4563.5302099999999</v>
      </c>
      <c r="W821">
        <v>4529.96522</v>
      </c>
      <c r="AB821">
        <v>4553.4335600000004</v>
      </c>
      <c r="AC821">
        <v>4557.7242200000001</v>
      </c>
      <c r="AD821">
        <v>0</v>
      </c>
      <c r="AE821">
        <f t="shared" si="113"/>
        <v>819</v>
      </c>
      <c r="AF821">
        <f t="shared" si="114"/>
        <v>818</v>
      </c>
      <c r="AG821">
        <f t="shared" si="108"/>
        <v>-40.84997999999996</v>
      </c>
      <c r="AH821">
        <f t="shared" si="109"/>
        <v>1668.7208660003967</v>
      </c>
      <c r="AI821">
        <f t="shared" si="110"/>
        <v>-1.5681627346727927</v>
      </c>
      <c r="AJ821">
        <f t="shared" si="111"/>
        <v>1.8218872879646295</v>
      </c>
      <c r="AK821">
        <f t="shared" si="112"/>
        <v>669124</v>
      </c>
      <c r="AL821">
        <f t="shared" si="115"/>
        <v>4566.1014500000001</v>
      </c>
      <c r="AM821" t="str">
        <f t="shared" si="116"/>
        <v/>
      </c>
    </row>
    <row r="822" spans="1:39" x14ac:dyDescent="0.55000000000000004">
      <c r="A822">
        <v>1777466702</v>
      </c>
      <c r="B822" t="s">
        <v>72</v>
      </c>
      <c r="C822" t="s">
        <v>73</v>
      </c>
      <c r="D822">
        <v>4544.8999999999996</v>
      </c>
      <c r="E822">
        <v>4518.5928199999998</v>
      </c>
      <c r="F822">
        <v>4596.0559499999999</v>
      </c>
      <c r="G822">
        <v>4755.40355</v>
      </c>
      <c r="H822">
        <v>4792.7697200000002</v>
      </c>
      <c r="Q822">
        <v>4598.2023799999997</v>
      </c>
      <c r="R822">
        <v>4627.5656799999997</v>
      </c>
      <c r="S822">
        <v>4654.15445</v>
      </c>
      <c r="V822">
        <v>4563.2626099999998</v>
      </c>
      <c r="W822">
        <v>4529.6976100000002</v>
      </c>
      <c r="AB822">
        <v>4547.0148499999996</v>
      </c>
      <c r="AC822">
        <v>4552.3695299999999</v>
      </c>
      <c r="AD822">
        <v>0</v>
      </c>
      <c r="AE822">
        <f t="shared" si="113"/>
        <v>820</v>
      </c>
      <c r="AF822">
        <f t="shared" si="114"/>
        <v>819</v>
      </c>
      <c r="AG822">
        <f t="shared" si="108"/>
        <v>-53.302380000000085</v>
      </c>
      <c r="AH822">
        <f t="shared" si="109"/>
        <v>2841.143713664409</v>
      </c>
      <c r="AI822">
        <f t="shared" si="110"/>
        <v>-3.4838174311289585</v>
      </c>
      <c r="AJ822">
        <f t="shared" si="111"/>
        <v>5.2812960980335193</v>
      </c>
      <c r="AK822">
        <f t="shared" si="112"/>
        <v>670761</v>
      </c>
      <c r="AL822">
        <f t="shared" si="115"/>
        <v>4566.1014500000001</v>
      </c>
      <c r="AM822" t="str">
        <f t="shared" si="116"/>
        <v/>
      </c>
    </row>
    <row r="823" spans="1:39" x14ac:dyDescent="0.55000000000000004">
      <c r="A823">
        <v>1777467602</v>
      </c>
      <c r="B823" t="s">
        <v>72</v>
      </c>
      <c r="C823" t="s">
        <v>73</v>
      </c>
      <c r="D823">
        <v>4549.8</v>
      </c>
      <c r="E823">
        <v>4518.5928199999998</v>
      </c>
      <c r="F823">
        <v>4596.0559499999999</v>
      </c>
      <c r="G823">
        <v>4755.40355</v>
      </c>
      <c r="H823">
        <v>4792.7697200000002</v>
      </c>
      <c r="Q823">
        <v>4597.9347699999998</v>
      </c>
      <c r="R823">
        <v>4627.2980699999998</v>
      </c>
      <c r="S823">
        <v>4653.8868400000001</v>
      </c>
      <c r="V823">
        <v>4562.9949999999999</v>
      </c>
      <c r="W823">
        <v>4529.43001</v>
      </c>
      <c r="AB823">
        <v>4540.5200199999999</v>
      </c>
      <c r="AC823">
        <v>4546.4447700000001</v>
      </c>
      <c r="AD823">
        <v>0</v>
      </c>
      <c r="AE823">
        <f t="shared" si="113"/>
        <v>821</v>
      </c>
      <c r="AF823">
        <f t="shared" si="114"/>
        <v>820</v>
      </c>
      <c r="AG823">
        <f t="shared" si="108"/>
        <v>-48.134769999999662</v>
      </c>
      <c r="AH823">
        <f t="shared" si="109"/>
        <v>2316.9560829528673</v>
      </c>
      <c r="AI823">
        <f t="shared" si="110"/>
        <v>-2.5656197343026235</v>
      </c>
      <c r="AJ823">
        <f t="shared" si="111"/>
        <v>3.5122847383893521</v>
      </c>
      <c r="AK823">
        <f t="shared" si="112"/>
        <v>672400</v>
      </c>
      <c r="AL823">
        <f t="shared" si="115"/>
        <v>4566.1014500000001</v>
      </c>
      <c r="AM823" t="str">
        <f t="shared" si="116"/>
        <v/>
      </c>
    </row>
    <row r="824" spans="1:39" x14ac:dyDescent="0.55000000000000004">
      <c r="A824">
        <v>1777468502</v>
      </c>
      <c r="B824" t="s">
        <v>72</v>
      </c>
      <c r="C824" t="s">
        <v>73</v>
      </c>
      <c r="D824">
        <v>4537.82</v>
      </c>
      <c r="E824">
        <v>4518.5928199999998</v>
      </c>
      <c r="F824">
        <v>4596.0559499999999</v>
      </c>
      <c r="G824">
        <v>4755.40355</v>
      </c>
      <c r="H824">
        <v>4792.7697200000002</v>
      </c>
      <c r="Q824">
        <v>4597.6671699999997</v>
      </c>
      <c r="R824">
        <v>4627.0304699999997</v>
      </c>
      <c r="S824">
        <v>4653.61924</v>
      </c>
      <c r="V824">
        <v>4562.7273999999998</v>
      </c>
      <c r="W824">
        <v>4529.1624000000002</v>
      </c>
      <c r="AB824">
        <v>4534.37601</v>
      </c>
      <c r="AC824">
        <v>4540.41039</v>
      </c>
      <c r="AD824">
        <v>0</v>
      </c>
      <c r="AE824">
        <f t="shared" si="113"/>
        <v>822</v>
      </c>
      <c r="AF824">
        <f t="shared" si="114"/>
        <v>821</v>
      </c>
      <c r="AG824">
        <f t="shared" si="108"/>
        <v>-59.847170000000006</v>
      </c>
      <c r="AH824">
        <f t="shared" si="109"/>
        <v>3581.6837570089006</v>
      </c>
      <c r="AI824">
        <f t="shared" si="110"/>
        <v>-4.9311298697571848</v>
      </c>
      <c r="AJ824">
        <f t="shared" si="111"/>
        <v>8.3932196250482409</v>
      </c>
      <c r="AK824">
        <f t="shared" si="112"/>
        <v>674041</v>
      </c>
      <c r="AL824">
        <f t="shared" si="115"/>
        <v>4566.1014500000001</v>
      </c>
      <c r="AM824" t="str">
        <f t="shared" si="116"/>
        <v/>
      </c>
    </row>
    <row r="825" spans="1:39" x14ac:dyDescent="0.55000000000000004">
      <c r="A825">
        <v>1777469402</v>
      </c>
      <c r="B825" t="s">
        <v>72</v>
      </c>
      <c r="C825" t="s">
        <v>73</v>
      </c>
      <c r="D825">
        <v>4514.8100000000004</v>
      </c>
      <c r="E825">
        <v>4518.5928199999998</v>
      </c>
      <c r="F825">
        <v>4596.0559499999999</v>
      </c>
      <c r="G825">
        <v>4755.40355</v>
      </c>
      <c r="H825">
        <v>4792.7697200000002</v>
      </c>
      <c r="Q825">
        <v>4597.3995699999996</v>
      </c>
      <c r="R825">
        <v>4626.7628599999998</v>
      </c>
      <c r="S825">
        <v>4653.3516399999999</v>
      </c>
      <c r="V825">
        <v>4562.4597999999996</v>
      </c>
      <c r="W825">
        <v>4528.8948</v>
      </c>
      <c r="AB825">
        <v>4529.4993199999999</v>
      </c>
      <c r="AC825">
        <v>4534.9548599999998</v>
      </c>
      <c r="AD825">
        <v>0</v>
      </c>
      <c r="AE825">
        <f t="shared" si="113"/>
        <v>823</v>
      </c>
      <c r="AF825">
        <f t="shared" si="114"/>
        <v>822</v>
      </c>
      <c r="AG825">
        <f t="shared" si="108"/>
        <v>-82.589569999999185</v>
      </c>
      <c r="AH825">
        <f t="shared" si="109"/>
        <v>6821.0370727847658</v>
      </c>
      <c r="AI825">
        <f t="shared" si="110"/>
        <v>-12.959588130747036</v>
      </c>
      <c r="AJ825">
        <f t="shared" si="111"/>
        <v>30.440720853672818</v>
      </c>
      <c r="AK825">
        <f t="shared" si="112"/>
        <v>675684</v>
      </c>
      <c r="AL825">
        <f t="shared" si="115"/>
        <v>4566.1014500000001</v>
      </c>
      <c r="AM825" t="str">
        <f t="shared" si="116"/>
        <v/>
      </c>
    </row>
    <row r="826" spans="1:39" x14ac:dyDescent="0.55000000000000004">
      <c r="A826">
        <v>1777470302</v>
      </c>
      <c r="B826" t="s">
        <v>72</v>
      </c>
      <c r="C826" t="s">
        <v>73</v>
      </c>
      <c r="D826">
        <v>4521.71</v>
      </c>
      <c r="E826">
        <v>4518.5928199999998</v>
      </c>
      <c r="F826">
        <v>4596.0559499999999</v>
      </c>
      <c r="G826">
        <v>4755.40355</v>
      </c>
      <c r="H826">
        <v>4792.7697200000002</v>
      </c>
      <c r="Q826">
        <v>4597.1319599999997</v>
      </c>
      <c r="R826">
        <v>4626.4952599999997</v>
      </c>
      <c r="S826">
        <v>4653.08403</v>
      </c>
      <c r="V826">
        <v>4562.1921899999998</v>
      </c>
      <c r="W826">
        <v>4528.6271999999999</v>
      </c>
      <c r="AA826">
        <v>4510.28</v>
      </c>
      <c r="AB826">
        <v>4526.9640399999998</v>
      </c>
      <c r="AC826">
        <v>4530.9594500000003</v>
      </c>
      <c r="AD826">
        <v>0</v>
      </c>
      <c r="AE826">
        <f t="shared" si="113"/>
        <v>824</v>
      </c>
      <c r="AF826">
        <f t="shared" si="114"/>
        <v>823</v>
      </c>
      <c r="AG826">
        <f t="shared" si="108"/>
        <v>-75.421959999999672</v>
      </c>
      <c r="AH826">
        <f t="shared" si="109"/>
        <v>5688.4720502415503</v>
      </c>
      <c r="AI826">
        <f t="shared" si="110"/>
        <v>-9.8698153411190113</v>
      </c>
      <c r="AJ826">
        <f t="shared" si="111"/>
        <v>21.17119487709488</v>
      </c>
      <c r="AK826">
        <f t="shared" si="112"/>
        <v>677329</v>
      </c>
      <c r="AL826">
        <f t="shared" si="115"/>
        <v>4566.1014500000001</v>
      </c>
      <c r="AM826" t="str">
        <f t="shared" si="116"/>
        <v/>
      </c>
    </row>
    <row r="827" spans="1:39" x14ac:dyDescent="0.55000000000000004">
      <c r="A827">
        <v>1777471202</v>
      </c>
      <c r="B827" t="s">
        <v>72</v>
      </c>
      <c r="C827" t="s">
        <v>73</v>
      </c>
      <c r="D827">
        <v>4526.1499999999996</v>
      </c>
      <c r="E827">
        <v>4518.5928199999998</v>
      </c>
      <c r="F827">
        <v>4596.0559499999999</v>
      </c>
      <c r="G827">
        <v>4755.40355</v>
      </c>
      <c r="H827">
        <v>4792.7697200000002</v>
      </c>
      <c r="Q827">
        <v>4596.8643599999996</v>
      </c>
      <c r="R827">
        <v>4626.2276599999996</v>
      </c>
      <c r="S827">
        <v>4652.8164299999999</v>
      </c>
      <c r="V827">
        <v>4561.9245899999996</v>
      </c>
      <c r="W827">
        <v>4528.35959</v>
      </c>
      <c r="AB827">
        <v>4526.7546400000001</v>
      </c>
      <c r="AC827">
        <v>4528.8570499999996</v>
      </c>
      <c r="AD827">
        <v>0</v>
      </c>
      <c r="AE827">
        <f t="shared" si="113"/>
        <v>825</v>
      </c>
      <c r="AF827">
        <f t="shared" si="114"/>
        <v>824</v>
      </c>
      <c r="AG827">
        <f t="shared" si="108"/>
        <v>-70.714359999999942</v>
      </c>
      <c r="AH827">
        <f t="shared" si="109"/>
        <v>5000.5207102095919</v>
      </c>
      <c r="AI827">
        <f t="shared" si="110"/>
        <v>-8.1346417234862987</v>
      </c>
      <c r="AJ827">
        <f t="shared" si="111"/>
        <v>16.360047988401224</v>
      </c>
      <c r="AK827">
        <f t="shared" si="112"/>
        <v>678976</v>
      </c>
      <c r="AL827">
        <f t="shared" si="115"/>
        <v>4566.1014500000001</v>
      </c>
      <c r="AM827" t="str">
        <f t="shared" si="116"/>
        <v/>
      </c>
    </row>
    <row r="828" spans="1:39" x14ac:dyDescent="0.55000000000000004">
      <c r="A828">
        <v>1777472102</v>
      </c>
      <c r="B828" t="s">
        <v>72</v>
      </c>
      <c r="C828" t="s">
        <v>73</v>
      </c>
      <c r="D828">
        <v>4533.2</v>
      </c>
      <c r="E828">
        <v>4518.5928199999998</v>
      </c>
      <c r="F828">
        <v>4596.0559499999999</v>
      </c>
      <c r="G828">
        <v>4755.40355</v>
      </c>
      <c r="H828">
        <v>4792.7697200000002</v>
      </c>
      <c r="Q828">
        <v>4596.5967499999997</v>
      </c>
      <c r="R828">
        <v>4625.9600499999997</v>
      </c>
      <c r="S828">
        <v>4652.54882</v>
      </c>
      <c r="V828">
        <v>4561.6569799999997</v>
      </c>
      <c r="W828">
        <v>4528.0919899999999</v>
      </c>
      <c r="AB828">
        <v>4528.6333999999997</v>
      </c>
      <c r="AC828">
        <v>4528.7452199999998</v>
      </c>
      <c r="AD828">
        <v>0</v>
      </c>
      <c r="AE828">
        <f t="shared" si="113"/>
        <v>826</v>
      </c>
      <c r="AF828">
        <f t="shared" si="114"/>
        <v>825</v>
      </c>
      <c r="AG828">
        <f t="shared" si="108"/>
        <v>-63.396749999999884</v>
      </c>
      <c r="AH828">
        <f t="shared" si="109"/>
        <v>4019.1479105624853</v>
      </c>
      <c r="AI828">
        <f t="shared" si="110"/>
        <v>-5.861605259712932</v>
      </c>
      <c r="AJ828">
        <f t="shared" si="111"/>
        <v>10.568712670276803</v>
      </c>
      <c r="AK828">
        <f t="shared" si="112"/>
        <v>680625</v>
      </c>
      <c r="AL828">
        <f t="shared" si="115"/>
        <v>4566.1014500000001</v>
      </c>
      <c r="AM828" t="str">
        <f t="shared" si="116"/>
        <v/>
      </c>
    </row>
    <row r="829" spans="1:39" x14ac:dyDescent="0.55000000000000004">
      <c r="A829">
        <v>1777473002</v>
      </c>
      <c r="B829" t="s">
        <v>72</v>
      </c>
      <c r="C829" t="s">
        <v>73</v>
      </c>
      <c r="D829">
        <v>4538.6899999999996</v>
      </c>
      <c r="E829">
        <v>4518.5928199999998</v>
      </c>
      <c r="F829">
        <v>4596.0559499999999</v>
      </c>
      <c r="G829">
        <v>4755.40355</v>
      </c>
      <c r="H829">
        <v>4792.7697200000002</v>
      </c>
      <c r="Q829">
        <v>4596.3291499999996</v>
      </c>
      <c r="R829">
        <v>4625.6924499999996</v>
      </c>
      <c r="S829">
        <v>4652.2812199999998</v>
      </c>
      <c r="V829">
        <v>4561.3893799999996</v>
      </c>
      <c r="W829">
        <v>4527.82438</v>
      </c>
      <c r="AB829">
        <v>4532.0677599999999</v>
      </c>
      <c r="AC829">
        <v>4530.4064900000003</v>
      </c>
      <c r="AD829">
        <v>1</v>
      </c>
      <c r="AE829">
        <f t="shared" si="113"/>
        <v>827</v>
      </c>
      <c r="AF829">
        <f t="shared" si="114"/>
        <v>826</v>
      </c>
      <c r="AG829">
        <f t="shared" si="108"/>
        <v>-57.639149999999972</v>
      </c>
      <c r="AH829">
        <f t="shared" si="109"/>
        <v>3322.2716127224967</v>
      </c>
      <c r="AI829">
        <f t="shared" si="110"/>
        <v>-4.4052269507852282</v>
      </c>
      <c r="AJ829">
        <f t="shared" si="111"/>
        <v>7.2214495803252969</v>
      </c>
      <c r="AK829">
        <f t="shared" si="112"/>
        <v>682276</v>
      </c>
      <c r="AL829">
        <f t="shared" si="115"/>
        <v>4532.0677599999999</v>
      </c>
      <c r="AM829">
        <f t="shared" si="116"/>
        <v>34.033690000000206</v>
      </c>
    </row>
    <row r="830" spans="1:39" x14ac:dyDescent="0.55000000000000004">
      <c r="A830">
        <v>1777473902</v>
      </c>
      <c r="B830" t="s">
        <v>72</v>
      </c>
      <c r="C830" t="s">
        <v>73</v>
      </c>
      <c r="D830">
        <v>4539.25</v>
      </c>
      <c r="E830">
        <v>4518.5928199999998</v>
      </c>
      <c r="F830">
        <v>4596.0559499999999</v>
      </c>
      <c r="G830">
        <v>4755.40355</v>
      </c>
      <c r="H830">
        <v>4792.7697200000002</v>
      </c>
      <c r="Q830">
        <v>4596.0615500000004</v>
      </c>
      <c r="R830">
        <v>4625.4248399999997</v>
      </c>
      <c r="S830">
        <v>4652.0136199999997</v>
      </c>
      <c r="V830">
        <v>4561.1217800000004</v>
      </c>
      <c r="W830">
        <v>4527.5567799999999</v>
      </c>
      <c r="AB830">
        <v>4536.4642899999999</v>
      </c>
      <c r="AC830">
        <v>4533.4353899999996</v>
      </c>
      <c r="AD830">
        <v>0</v>
      </c>
      <c r="AE830">
        <f t="shared" si="113"/>
        <v>828</v>
      </c>
      <c r="AF830">
        <f t="shared" si="114"/>
        <v>827</v>
      </c>
      <c r="AG830">
        <f t="shared" si="108"/>
        <v>-56.811550000000352</v>
      </c>
      <c r="AH830">
        <f t="shared" si="109"/>
        <v>3227.55221340254</v>
      </c>
      <c r="AI830">
        <f t="shared" si="110"/>
        <v>-4.2181838016756199</v>
      </c>
      <c r="AJ830">
        <f t="shared" si="111"/>
        <v>6.8155462014040609</v>
      </c>
      <c r="AK830">
        <f t="shared" si="112"/>
        <v>683929</v>
      </c>
      <c r="AL830">
        <f t="shared" si="115"/>
        <v>4532.0677599999999</v>
      </c>
      <c r="AM830" t="str">
        <f t="shared" si="116"/>
        <v/>
      </c>
    </row>
    <row r="831" spans="1:39" x14ac:dyDescent="0.55000000000000004">
      <c r="A831">
        <v>1777474802</v>
      </c>
      <c r="B831" t="s">
        <v>72</v>
      </c>
      <c r="C831" t="s">
        <v>73</v>
      </c>
      <c r="D831">
        <v>4538.08</v>
      </c>
      <c r="E831">
        <v>4518.5928199999998</v>
      </c>
      <c r="F831">
        <v>4596.0559499999999</v>
      </c>
      <c r="G831">
        <v>4755.40355</v>
      </c>
      <c r="H831">
        <v>4792.7697200000002</v>
      </c>
      <c r="Q831">
        <v>4595.7939399999996</v>
      </c>
      <c r="R831">
        <v>4625.1572399999995</v>
      </c>
      <c r="S831">
        <v>4651.7460099999998</v>
      </c>
      <c r="V831">
        <v>4560.8541699999996</v>
      </c>
      <c r="W831">
        <v>4527.28917</v>
      </c>
      <c r="AB831">
        <v>4541.3311299999996</v>
      </c>
      <c r="AC831">
        <v>4537.3832599999996</v>
      </c>
      <c r="AD831">
        <v>0</v>
      </c>
      <c r="AE831">
        <f t="shared" si="113"/>
        <v>829</v>
      </c>
      <c r="AF831">
        <f t="shared" si="114"/>
        <v>828</v>
      </c>
      <c r="AG831">
        <f t="shared" si="108"/>
        <v>-57.713939999999639</v>
      </c>
      <c r="AH831">
        <f t="shared" si="109"/>
        <v>3330.8988703235582</v>
      </c>
      <c r="AI831">
        <f t="shared" si="110"/>
        <v>-4.4223972912668934</v>
      </c>
      <c r="AJ831">
        <f t="shared" si="111"/>
        <v>7.2590035222707145</v>
      </c>
      <c r="AK831">
        <f t="shared" si="112"/>
        <v>685584</v>
      </c>
      <c r="AL831">
        <f t="shared" si="115"/>
        <v>4532.0677599999999</v>
      </c>
      <c r="AM831" t="str">
        <f t="shared" si="116"/>
        <v/>
      </c>
    </row>
    <row r="832" spans="1:39" x14ac:dyDescent="0.55000000000000004">
      <c r="A832">
        <v>1777475702</v>
      </c>
      <c r="B832" t="s">
        <v>72</v>
      </c>
      <c r="C832" t="s">
        <v>73</v>
      </c>
      <c r="D832">
        <v>4543.6099999999997</v>
      </c>
      <c r="E832">
        <v>4518.5928199999998</v>
      </c>
      <c r="F832">
        <v>4596.0559499999999</v>
      </c>
      <c r="G832">
        <v>4755.40355</v>
      </c>
      <c r="H832">
        <v>4792.7697200000002</v>
      </c>
      <c r="Q832">
        <v>4595.5263400000003</v>
      </c>
      <c r="R832">
        <v>4624.8896400000003</v>
      </c>
      <c r="S832">
        <v>4651.4784099999997</v>
      </c>
      <c r="V832">
        <v>4560.5865700000004</v>
      </c>
      <c r="W832">
        <v>4527.0215699999999</v>
      </c>
      <c r="AB832">
        <v>4546.2277999999997</v>
      </c>
      <c r="AC832">
        <v>4541.8055299999996</v>
      </c>
      <c r="AD832">
        <v>0</v>
      </c>
      <c r="AE832">
        <f t="shared" si="113"/>
        <v>830</v>
      </c>
      <c r="AF832">
        <f t="shared" si="114"/>
        <v>829</v>
      </c>
      <c r="AG832">
        <f t="shared" si="108"/>
        <v>-51.916340000000673</v>
      </c>
      <c r="AH832">
        <f t="shared" si="109"/>
        <v>2695.3063589956701</v>
      </c>
      <c r="AI832">
        <f t="shared" si="110"/>
        <v>-3.2190504887989131</v>
      </c>
      <c r="AJ832">
        <f t="shared" si="111"/>
        <v>4.7530281289201453</v>
      </c>
      <c r="AK832">
        <f t="shared" si="112"/>
        <v>687241</v>
      </c>
      <c r="AL832">
        <f t="shared" si="115"/>
        <v>4532.0677599999999</v>
      </c>
      <c r="AM832" t="str">
        <f t="shared" si="116"/>
        <v/>
      </c>
    </row>
    <row r="833" spans="1:39" x14ac:dyDescent="0.55000000000000004">
      <c r="A833">
        <v>1777476602</v>
      </c>
      <c r="B833" t="s">
        <v>72</v>
      </c>
      <c r="C833" t="s">
        <v>73</v>
      </c>
      <c r="D833">
        <v>4553.17</v>
      </c>
      <c r="E833">
        <v>4518.5928199999998</v>
      </c>
      <c r="F833">
        <v>4596.0559499999999</v>
      </c>
      <c r="G833">
        <v>4755.40355</v>
      </c>
      <c r="H833">
        <v>4792.7697200000002</v>
      </c>
      <c r="Q833">
        <v>4595.2587299999996</v>
      </c>
      <c r="R833">
        <v>4624.6220300000004</v>
      </c>
      <c r="S833">
        <v>4651.2107999999998</v>
      </c>
      <c r="V833">
        <v>4560.3189599999996</v>
      </c>
      <c r="W833">
        <v>4526.7539699999998</v>
      </c>
      <c r="AB833">
        <v>4550.5558700000001</v>
      </c>
      <c r="AC833">
        <v>4546.1806999999999</v>
      </c>
      <c r="AD833">
        <v>0</v>
      </c>
      <c r="AE833">
        <f t="shared" si="113"/>
        <v>831</v>
      </c>
      <c r="AF833">
        <f t="shared" si="114"/>
        <v>830</v>
      </c>
      <c r="AG833">
        <f t="shared" si="108"/>
        <v>-42.088729999999487</v>
      </c>
      <c r="AH833">
        <f t="shared" si="109"/>
        <v>1771.4611930128567</v>
      </c>
      <c r="AI833">
        <f t="shared" si="110"/>
        <v>-1.715193209631197</v>
      </c>
      <c r="AJ833">
        <f t="shared" si="111"/>
        <v>2.0531344880089804</v>
      </c>
      <c r="AK833">
        <f t="shared" si="112"/>
        <v>688900</v>
      </c>
      <c r="AL833">
        <f t="shared" si="115"/>
        <v>4532.0677599999999</v>
      </c>
      <c r="AM833" t="str">
        <f t="shared" si="116"/>
        <v/>
      </c>
    </row>
    <row r="834" spans="1:39" x14ac:dyDescent="0.55000000000000004">
      <c r="A834">
        <v>1777477502</v>
      </c>
      <c r="B834" t="s">
        <v>72</v>
      </c>
      <c r="C834" t="s">
        <v>73</v>
      </c>
      <c r="D834">
        <v>4547.4799999999996</v>
      </c>
      <c r="E834">
        <v>4518.5928199999998</v>
      </c>
      <c r="F834">
        <v>4596.0559499999999</v>
      </c>
      <c r="G834">
        <v>4755.40355</v>
      </c>
      <c r="H834">
        <v>4792.7697200000002</v>
      </c>
      <c r="Q834">
        <v>4594.9911300000003</v>
      </c>
      <c r="R834">
        <v>4624.3544300000003</v>
      </c>
      <c r="S834">
        <v>4650.9431999999997</v>
      </c>
      <c r="V834">
        <v>4560.0513600000004</v>
      </c>
      <c r="W834">
        <v>4526.4863599999999</v>
      </c>
      <c r="AB834">
        <v>4553.7088299999996</v>
      </c>
      <c r="AC834">
        <v>4549.9447700000001</v>
      </c>
      <c r="AD834">
        <v>0</v>
      </c>
      <c r="AE834">
        <f t="shared" si="113"/>
        <v>832</v>
      </c>
      <c r="AF834">
        <f t="shared" si="114"/>
        <v>831</v>
      </c>
      <c r="AG834">
        <f t="shared" si="108"/>
        <v>-47.511130000000776</v>
      </c>
      <c r="AH834">
        <f t="shared" si="109"/>
        <v>2257.3074738769737</v>
      </c>
      <c r="AI834">
        <f t="shared" si="110"/>
        <v>-2.4671847035104997</v>
      </c>
      <c r="AJ834">
        <f t="shared" si="111"/>
        <v>3.3337693671127844</v>
      </c>
      <c r="AK834">
        <f t="shared" si="112"/>
        <v>690561</v>
      </c>
      <c r="AL834">
        <f t="shared" si="115"/>
        <v>4532.0677599999999</v>
      </c>
      <c r="AM834" t="str">
        <f t="shared" si="116"/>
        <v/>
      </c>
    </row>
    <row r="835" spans="1:39" x14ac:dyDescent="0.55000000000000004">
      <c r="A835">
        <v>1777478402</v>
      </c>
      <c r="B835" t="s">
        <v>72</v>
      </c>
      <c r="C835" t="s">
        <v>73</v>
      </c>
      <c r="D835">
        <v>4559.1000000000004</v>
      </c>
      <c r="E835">
        <v>4518.5928199999998</v>
      </c>
      <c r="F835">
        <v>4596.0559499999999</v>
      </c>
      <c r="G835">
        <v>4755.40355</v>
      </c>
      <c r="H835">
        <v>4792.7697200000002</v>
      </c>
      <c r="Q835">
        <v>4594.7235199999996</v>
      </c>
      <c r="R835">
        <v>4624.0868200000004</v>
      </c>
      <c r="S835">
        <v>4650.6755899999998</v>
      </c>
      <c r="V835">
        <v>4559.7837499999996</v>
      </c>
      <c r="W835">
        <v>4526.2187599999997</v>
      </c>
      <c r="AB835">
        <v>4555.59548</v>
      </c>
      <c r="AC835">
        <v>4552.7701200000001</v>
      </c>
      <c r="AD835">
        <v>0</v>
      </c>
      <c r="AE835">
        <f t="shared" si="113"/>
        <v>833</v>
      </c>
      <c r="AF835">
        <f t="shared" si="114"/>
        <v>832</v>
      </c>
      <c r="AG835">
        <f t="shared" ref="AG835:AG898" si="117">D835-Q835</f>
        <v>-35.623519999999189</v>
      </c>
      <c r="AH835">
        <f t="shared" ref="AH835:AH898" si="118">AG835^2</f>
        <v>1269.0351771903422</v>
      </c>
      <c r="AI835">
        <f t="shared" ref="AI835:AI898" si="119">(AG835/STDEV($AG$3:$AG$1137))^3</f>
        <v>-1.0399826058611308</v>
      </c>
      <c r="AJ835">
        <f t="shared" ref="AJ835:AJ898" si="120">(AG835/STDEV($AG$3:$AG$1137))^4</f>
        <v>1.0536622826579951</v>
      </c>
      <c r="AK835">
        <f t="shared" ref="AK835:AK898" si="121">AF835^2</f>
        <v>692224</v>
      </c>
      <c r="AL835">
        <f t="shared" si="115"/>
        <v>4532.0677599999999</v>
      </c>
      <c r="AM835" t="str">
        <f t="shared" si="116"/>
        <v/>
      </c>
    </row>
    <row r="836" spans="1:39" x14ac:dyDescent="0.55000000000000004">
      <c r="A836">
        <v>1777479302</v>
      </c>
      <c r="B836" t="s">
        <v>72</v>
      </c>
      <c r="C836" t="s">
        <v>73</v>
      </c>
      <c r="D836">
        <v>4560.2299999999996</v>
      </c>
      <c r="E836">
        <v>4518.5928199999998</v>
      </c>
      <c r="F836">
        <v>4596.0559499999999</v>
      </c>
      <c r="G836">
        <v>4755.40355</v>
      </c>
      <c r="H836">
        <v>4792.7697200000002</v>
      </c>
      <c r="Q836">
        <v>4594.4559200000003</v>
      </c>
      <c r="R836">
        <v>4623.8192200000003</v>
      </c>
      <c r="S836">
        <v>4650.4079899999997</v>
      </c>
      <c r="V836">
        <v>4559.5161500000004</v>
      </c>
      <c r="W836">
        <v>4525.9511499999999</v>
      </c>
      <c r="AB836">
        <v>4555.7869000000001</v>
      </c>
      <c r="AC836">
        <v>4554.2785100000001</v>
      </c>
      <c r="AD836">
        <v>0</v>
      </c>
      <c r="AE836">
        <f t="shared" ref="AE836:AE899" si="122">AE835+1</f>
        <v>834</v>
      </c>
      <c r="AF836">
        <f t="shared" ref="AF836:AF899" si="123">AF835+1</f>
        <v>833</v>
      </c>
      <c r="AG836">
        <f t="shared" si="117"/>
        <v>-34.22592000000077</v>
      </c>
      <c r="AH836">
        <f t="shared" si="118"/>
        <v>1171.4135998464526</v>
      </c>
      <c r="AI836">
        <f t="shared" si="119"/>
        <v>-0.92231862167082401</v>
      </c>
      <c r="AJ836">
        <f t="shared" si="120"/>
        <v>0.89778973641123605</v>
      </c>
      <c r="AK836">
        <f t="shared" si="121"/>
        <v>693889</v>
      </c>
      <c r="AL836">
        <f t="shared" ref="AL836:AL899" si="124">IF(AD836=1,AB836,IF(AL835&lt;&gt;"",AL835,""))</f>
        <v>4532.0677599999999</v>
      </c>
      <c r="AM836" t="str">
        <f t="shared" ref="AM836:AM899" si="125">IF(AND(AD836=1,AL835&lt;&gt;""),ABS(AB836-AL835),"")</f>
        <v/>
      </c>
    </row>
    <row r="837" spans="1:39" x14ac:dyDescent="0.55000000000000004">
      <c r="A837">
        <v>1777480202</v>
      </c>
      <c r="B837" t="s">
        <v>72</v>
      </c>
      <c r="C837" t="s">
        <v>73</v>
      </c>
      <c r="D837">
        <v>4550.51</v>
      </c>
      <c r="E837">
        <v>4518.5928199999998</v>
      </c>
      <c r="F837">
        <v>4596.0559499999999</v>
      </c>
      <c r="G837">
        <v>4755.40355</v>
      </c>
      <c r="H837">
        <v>4792.7697200000002</v>
      </c>
      <c r="Q837">
        <v>4594.1883200000002</v>
      </c>
      <c r="R837">
        <v>4623.5516200000002</v>
      </c>
      <c r="S837">
        <v>4650.1403899999996</v>
      </c>
      <c r="V837">
        <v>4559.2485500000003</v>
      </c>
      <c r="W837">
        <v>4525.6835499999997</v>
      </c>
      <c r="AB837">
        <v>4554.3081599999996</v>
      </c>
      <c r="AC837">
        <v>4554.2933400000002</v>
      </c>
      <c r="AD837">
        <v>0</v>
      </c>
      <c r="AE837">
        <f t="shared" si="122"/>
        <v>835</v>
      </c>
      <c r="AF837">
        <f t="shared" si="123"/>
        <v>834</v>
      </c>
      <c r="AG837">
        <f t="shared" si="117"/>
        <v>-43.678319999999985</v>
      </c>
      <c r="AH837">
        <f t="shared" si="118"/>
        <v>1907.7956380223986</v>
      </c>
      <c r="AI837">
        <f t="shared" si="119"/>
        <v>-1.916961372251492</v>
      </c>
      <c r="AJ837">
        <f t="shared" si="120"/>
        <v>2.3813203077212948</v>
      </c>
      <c r="AK837">
        <f t="shared" si="121"/>
        <v>695556</v>
      </c>
      <c r="AL837">
        <f t="shared" si="124"/>
        <v>4532.0677599999999</v>
      </c>
      <c r="AM837" t="str">
        <f t="shared" si="125"/>
        <v/>
      </c>
    </row>
    <row r="838" spans="1:39" x14ac:dyDescent="0.55000000000000004">
      <c r="A838">
        <v>1777481102</v>
      </c>
      <c r="B838" t="s">
        <v>72</v>
      </c>
      <c r="C838" t="s">
        <v>73</v>
      </c>
      <c r="D838">
        <v>4545.3599999999997</v>
      </c>
      <c r="E838">
        <v>4518.5928199999998</v>
      </c>
      <c r="F838">
        <v>4596.0559499999999</v>
      </c>
      <c r="G838">
        <v>4755.40355</v>
      </c>
      <c r="H838">
        <v>4792.7697200000002</v>
      </c>
      <c r="Q838">
        <v>4593.9207100000003</v>
      </c>
      <c r="R838">
        <v>4623.2840100000003</v>
      </c>
      <c r="S838">
        <v>4649.8727799999997</v>
      </c>
      <c r="V838">
        <v>4558.9809400000004</v>
      </c>
      <c r="W838">
        <v>4525.4159499999996</v>
      </c>
      <c r="AB838">
        <v>4551.6611000000003</v>
      </c>
      <c r="AC838">
        <v>4552.9772199999998</v>
      </c>
      <c r="AD838">
        <v>1</v>
      </c>
      <c r="AE838">
        <f t="shared" si="122"/>
        <v>836</v>
      </c>
      <c r="AF838">
        <f t="shared" si="123"/>
        <v>835</v>
      </c>
      <c r="AG838">
        <f t="shared" si="117"/>
        <v>-48.560710000000654</v>
      </c>
      <c r="AH838">
        <f t="shared" si="118"/>
        <v>2358.1425557041634</v>
      </c>
      <c r="AI838">
        <f t="shared" si="119"/>
        <v>-2.6343329748577333</v>
      </c>
      <c r="AJ838">
        <f t="shared" si="120"/>
        <v>3.6382641254988273</v>
      </c>
      <c r="AK838">
        <f t="shared" si="121"/>
        <v>697225</v>
      </c>
      <c r="AL838">
        <f t="shared" si="124"/>
        <v>4551.6611000000003</v>
      </c>
      <c r="AM838">
        <f t="shared" si="125"/>
        <v>19.593340000000353</v>
      </c>
    </row>
    <row r="839" spans="1:39" x14ac:dyDescent="0.55000000000000004">
      <c r="A839">
        <v>1777482002</v>
      </c>
      <c r="B839" t="s">
        <v>72</v>
      </c>
      <c r="C839" t="s">
        <v>73</v>
      </c>
      <c r="D839">
        <v>4550.68</v>
      </c>
      <c r="E839">
        <v>4518.5928199999998</v>
      </c>
      <c r="F839">
        <v>4596.0559499999999</v>
      </c>
      <c r="G839">
        <v>4755.40355</v>
      </c>
      <c r="H839">
        <v>4792.7697200000002</v>
      </c>
      <c r="Q839">
        <v>4593.6531100000002</v>
      </c>
      <c r="R839">
        <v>4623.0164100000002</v>
      </c>
      <c r="S839">
        <v>4649.6051799999996</v>
      </c>
      <c r="V839">
        <v>4558.7133400000002</v>
      </c>
      <c r="W839">
        <v>4525.1483399999997</v>
      </c>
      <c r="AB839">
        <v>4548.3213800000003</v>
      </c>
      <c r="AC839">
        <v>4550.6493</v>
      </c>
      <c r="AD839">
        <v>0</v>
      </c>
      <c r="AE839">
        <f t="shared" si="122"/>
        <v>837</v>
      </c>
      <c r="AF839">
        <f t="shared" si="123"/>
        <v>836</v>
      </c>
      <c r="AG839">
        <f t="shared" si="117"/>
        <v>-42.973109999999906</v>
      </c>
      <c r="AH839">
        <f t="shared" si="118"/>
        <v>1846.688183072092</v>
      </c>
      <c r="AI839">
        <f t="shared" si="119"/>
        <v>-1.8256013142286085</v>
      </c>
      <c r="AJ839">
        <f t="shared" si="120"/>
        <v>2.2312141369745366</v>
      </c>
      <c r="AK839">
        <f t="shared" si="121"/>
        <v>698896</v>
      </c>
      <c r="AL839">
        <f t="shared" si="124"/>
        <v>4551.6611000000003</v>
      </c>
      <c r="AM839" t="str">
        <f t="shared" si="125"/>
        <v/>
      </c>
    </row>
    <row r="840" spans="1:39" x14ac:dyDescent="0.55000000000000004">
      <c r="A840">
        <v>1777482902</v>
      </c>
      <c r="B840" t="s">
        <v>72</v>
      </c>
      <c r="C840" t="s">
        <v>73</v>
      </c>
      <c r="D840">
        <v>4547.2299999999996</v>
      </c>
      <c r="E840">
        <v>4518.5928199999998</v>
      </c>
      <c r="F840">
        <v>4596.0559499999999</v>
      </c>
      <c r="G840">
        <v>4755.40355</v>
      </c>
      <c r="H840">
        <v>4792.7697200000002</v>
      </c>
      <c r="Q840">
        <v>4593.3855000000003</v>
      </c>
      <c r="R840">
        <v>4622.7488000000003</v>
      </c>
      <c r="S840">
        <v>4649.3375699999997</v>
      </c>
      <c r="V840">
        <v>4558.4457300000004</v>
      </c>
      <c r="W840">
        <v>4524.8807399999996</v>
      </c>
      <c r="AB840">
        <v>4544.5477600000004</v>
      </c>
      <c r="AC840">
        <v>4547.5985300000002</v>
      </c>
      <c r="AD840">
        <v>0</v>
      </c>
      <c r="AE840">
        <f t="shared" si="122"/>
        <v>838</v>
      </c>
      <c r="AF840">
        <f t="shared" si="123"/>
        <v>837</v>
      </c>
      <c r="AG840">
        <f t="shared" si="117"/>
        <v>-46.155500000000757</v>
      </c>
      <c r="AH840">
        <f t="shared" si="118"/>
        <v>2130.33018025007</v>
      </c>
      <c r="AI840">
        <f t="shared" si="119"/>
        <v>-2.2619654367351436</v>
      </c>
      <c r="AJ840">
        <f t="shared" si="120"/>
        <v>2.9692581193859975</v>
      </c>
      <c r="AK840">
        <f t="shared" si="121"/>
        <v>700569</v>
      </c>
      <c r="AL840">
        <f t="shared" si="124"/>
        <v>4551.6611000000003</v>
      </c>
      <c r="AM840" t="str">
        <f t="shared" si="125"/>
        <v/>
      </c>
    </row>
    <row r="841" spans="1:39" x14ac:dyDescent="0.55000000000000004">
      <c r="A841">
        <v>1777483802</v>
      </c>
      <c r="B841" t="s">
        <v>72</v>
      </c>
      <c r="C841" t="s">
        <v>73</v>
      </c>
      <c r="D841">
        <v>4544.75</v>
      </c>
      <c r="E841">
        <v>4518.5928199999998</v>
      </c>
      <c r="F841">
        <v>4596.0559499999999</v>
      </c>
      <c r="G841">
        <v>4755.40355</v>
      </c>
      <c r="H841">
        <v>4792.7697200000002</v>
      </c>
      <c r="Q841">
        <v>4593.1179000000002</v>
      </c>
      <c r="R841">
        <v>4622.4812000000002</v>
      </c>
      <c r="S841">
        <v>4649.0699699999996</v>
      </c>
      <c r="V841">
        <v>4558.1781300000002</v>
      </c>
      <c r="W841">
        <v>4524.6131299999997</v>
      </c>
      <c r="AB841">
        <v>4540.8317800000004</v>
      </c>
      <c r="AC841">
        <v>4544.2151599999997</v>
      </c>
      <c r="AD841">
        <v>0</v>
      </c>
      <c r="AE841">
        <f t="shared" si="122"/>
        <v>839</v>
      </c>
      <c r="AF841">
        <f t="shared" si="123"/>
        <v>838</v>
      </c>
      <c r="AG841">
        <f t="shared" si="117"/>
        <v>-48.367900000000191</v>
      </c>
      <c r="AH841">
        <f t="shared" si="118"/>
        <v>2339.4537504100185</v>
      </c>
      <c r="AI841">
        <f t="shared" si="119"/>
        <v>-2.6030785907696381</v>
      </c>
      <c r="AJ841">
        <f t="shared" si="120"/>
        <v>3.5808245337527387</v>
      </c>
      <c r="AK841">
        <f t="shared" si="121"/>
        <v>702244</v>
      </c>
      <c r="AL841">
        <f t="shared" si="124"/>
        <v>4551.6611000000003</v>
      </c>
      <c r="AM841" t="str">
        <f t="shared" si="125"/>
        <v/>
      </c>
    </row>
    <row r="842" spans="1:39" x14ac:dyDescent="0.55000000000000004">
      <c r="A842">
        <v>1777484702</v>
      </c>
      <c r="B842" t="s">
        <v>72</v>
      </c>
      <c r="C842" t="s">
        <v>73</v>
      </c>
      <c r="D842">
        <v>4547.33</v>
      </c>
      <c r="E842">
        <v>4518.5928199999998</v>
      </c>
      <c r="F842">
        <v>4596.0559499999999</v>
      </c>
      <c r="G842">
        <v>4755.40355</v>
      </c>
      <c r="H842">
        <v>4792.7697200000002</v>
      </c>
      <c r="Q842">
        <v>4592.8503000000001</v>
      </c>
      <c r="R842">
        <v>4622.2136</v>
      </c>
      <c r="S842">
        <v>4648.8023700000003</v>
      </c>
      <c r="V842">
        <v>4557.9105300000001</v>
      </c>
      <c r="W842">
        <v>4524.3455299999996</v>
      </c>
      <c r="AB842">
        <v>4537.5840799999996</v>
      </c>
      <c r="AC842">
        <v>4540.8996200000001</v>
      </c>
      <c r="AD842">
        <v>0</v>
      </c>
      <c r="AE842">
        <f t="shared" si="122"/>
        <v>840</v>
      </c>
      <c r="AF842">
        <f t="shared" si="123"/>
        <v>839</v>
      </c>
      <c r="AG842">
        <f t="shared" si="117"/>
        <v>-45.520300000000134</v>
      </c>
      <c r="AH842">
        <f t="shared" si="118"/>
        <v>2072.097712090012</v>
      </c>
      <c r="AI842">
        <f t="shared" si="119"/>
        <v>-2.1698560896063137</v>
      </c>
      <c r="AJ842">
        <f t="shared" si="120"/>
        <v>2.8091477052525877</v>
      </c>
      <c r="AK842">
        <f t="shared" si="121"/>
        <v>703921</v>
      </c>
      <c r="AL842">
        <f t="shared" si="124"/>
        <v>4551.6611000000003</v>
      </c>
      <c r="AM842" t="str">
        <f t="shared" si="125"/>
        <v/>
      </c>
    </row>
    <row r="843" spans="1:39" x14ac:dyDescent="0.55000000000000004">
      <c r="A843">
        <v>1777485602</v>
      </c>
      <c r="B843" t="s">
        <v>72</v>
      </c>
      <c r="C843" t="s">
        <v>73</v>
      </c>
      <c r="D843">
        <v>4525.75</v>
      </c>
      <c r="E843">
        <v>4518.5928199999998</v>
      </c>
      <c r="F843">
        <v>4596.0559499999999</v>
      </c>
      <c r="G843">
        <v>4755.40355</v>
      </c>
      <c r="H843">
        <v>4792.7697200000002</v>
      </c>
      <c r="Q843">
        <v>4592.5826900000002</v>
      </c>
      <c r="R843">
        <v>4621.9459900000002</v>
      </c>
      <c r="S843">
        <v>4648.5347599999996</v>
      </c>
      <c r="V843">
        <v>4557.6429200000002</v>
      </c>
      <c r="W843">
        <v>4524.0779300000004</v>
      </c>
      <c r="AB843">
        <v>4535.0429899999999</v>
      </c>
      <c r="AC843">
        <v>4537.9713099999999</v>
      </c>
      <c r="AD843">
        <v>0</v>
      </c>
      <c r="AE843">
        <f t="shared" si="122"/>
        <v>841</v>
      </c>
      <c r="AF843">
        <f t="shared" si="123"/>
        <v>840</v>
      </c>
      <c r="AG843">
        <f t="shared" si="117"/>
        <v>-66.832690000000184</v>
      </c>
      <c r="AH843">
        <f t="shared" si="118"/>
        <v>4466.6084526361246</v>
      </c>
      <c r="AI843">
        <f t="shared" si="119"/>
        <v>-6.8672429102333226</v>
      </c>
      <c r="AJ843">
        <f t="shared" si="120"/>
        <v>13.05298622069405</v>
      </c>
      <c r="AK843">
        <f t="shared" si="121"/>
        <v>705600</v>
      </c>
      <c r="AL843">
        <f t="shared" si="124"/>
        <v>4551.6611000000003</v>
      </c>
      <c r="AM843" t="str">
        <f t="shared" si="125"/>
        <v/>
      </c>
    </row>
    <row r="844" spans="1:39" x14ac:dyDescent="0.55000000000000004">
      <c r="A844">
        <v>1777486502</v>
      </c>
      <c r="B844" t="s">
        <v>72</v>
      </c>
      <c r="C844" t="s">
        <v>73</v>
      </c>
      <c r="D844">
        <v>4532.95</v>
      </c>
      <c r="E844">
        <v>4518.5928199999998</v>
      </c>
      <c r="F844">
        <v>4596.0559499999999</v>
      </c>
      <c r="G844">
        <v>4755.40355</v>
      </c>
      <c r="H844">
        <v>4792.7697200000002</v>
      </c>
      <c r="Q844">
        <v>4592.3150900000001</v>
      </c>
      <c r="R844">
        <v>4621.67839</v>
      </c>
      <c r="S844">
        <v>4648.2671600000003</v>
      </c>
      <c r="V844">
        <v>4557.3753200000001</v>
      </c>
      <c r="W844">
        <v>4523.8103199999996</v>
      </c>
      <c r="AB844">
        <v>4534.0129800000004</v>
      </c>
      <c r="AC844">
        <v>4535.9921400000003</v>
      </c>
      <c r="AD844">
        <v>0</v>
      </c>
      <c r="AE844">
        <f t="shared" si="122"/>
        <v>842</v>
      </c>
      <c r="AF844">
        <f t="shared" si="123"/>
        <v>841</v>
      </c>
      <c r="AG844">
        <f t="shared" si="117"/>
        <v>-59.365090000000237</v>
      </c>
      <c r="AH844">
        <f t="shared" si="118"/>
        <v>3524.213910708128</v>
      </c>
      <c r="AI844">
        <f t="shared" si="119"/>
        <v>-4.8129236926300107</v>
      </c>
      <c r="AJ844">
        <f t="shared" si="120"/>
        <v>8.1260339948288305</v>
      </c>
      <c r="AK844">
        <f t="shared" si="121"/>
        <v>707281</v>
      </c>
      <c r="AL844">
        <f t="shared" si="124"/>
        <v>4551.6611000000003</v>
      </c>
      <c r="AM844" t="str">
        <f t="shared" si="125"/>
        <v/>
      </c>
    </row>
    <row r="845" spans="1:39" x14ac:dyDescent="0.55000000000000004">
      <c r="A845">
        <v>1777487402</v>
      </c>
      <c r="B845" t="s">
        <v>72</v>
      </c>
      <c r="C845" t="s">
        <v>73</v>
      </c>
      <c r="D845">
        <v>4520.8100000000004</v>
      </c>
      <c r="E845">
        <v>4518.5928199999998</v>
      </c>
      <c r="F845">
        <v>4596.0559499999999</v>
      </c>
      <c r="G845">
        <v>4755.40355</v>
      </c>
      <c r="H845">
        <v>4792.7697200000002</v>
      </c>
      <c r="Q845">
        <v>4592.0474800000002</v>
      </c>
      <c r="R845">
        <v>4621.4107800000002</v>
      </c>
      <c r="S845">
        <v>4647.9995500000005</v>
      </c>
      <c r="V845">
        <v>4557.1077100000002</v>
      </c>
      <c r="W845">
        <v>4523.5427200000004</v>
      </c>
      <c r="AB845">
        <v>4534.2783499999996</v>
      </c>
      <c r="AC845">
        <v>4535.1352500000003</v>
      </c>
      <c r="AD845">
        <v>0</v>
      </c>
      <c r="AE845">
        <f t="shared" si="122"/>
        <v>843</v>
      </c>
      <c r="AF845">
        <f t="shared" si="123"/>
        <v>842</v>
      </c>
      <c r="AG845">
        <f t="shared" si="117"/>
        <v>-71.237479999999778</v>
      </c>
      <c r="AH845">
        <f t="shared" si="118"/>
        <v>5074.7785567503679</v>
      </c>
      <c r="AI845">
        <f t="shared" si="119"/>
        <v>-8.3165121941861369</v>
      </c>
      <c r="AJ845">
        <f t="shared" si="120"/>
        <v>16.849549929318236</v>
      </c>
      <c r="AK845">
        <f t="shared" si="121"/>
        <v>708964</v>
      </c>
      <c r="AL845">
        <f t="shared" si="124"/>
        <v>4551.6611000000003</v>
      </c>
      <c r="AM845" t="str">
        <f t="shared" si="125"/>
        <v/>
      </c>
    </row>
    <row r="846" spans="1:39" x14ac:dyDescent="0.55000000000000004">
      <c r="A846">
        <v>1777488302</v>
      </c>
      <c r="B846" t="s">
        <v>72</v>
      </c>
      <c r="C846" t="s">
        <v>73</v>
      </c>
      <c r="D846">
        <v>4538.1899999999996</v>
      </c>
      <c r="E846">
        <v>4518.5928199999998</v>
      </c>
      <c r="F846">
        <v>4596.0559499999999</v>
      </c>
      <c r="G846">
        <v>4755.40355</v>
      </c>
      <c r="H846">
        <v>4792.7697200000002</v>
      </c>
      <c r="Q846">
        <v>4591.77988</v>
      </c>
      <c r="R846">
        <v>4621.14318</v>
      </c>
      <c r="S846">
        <v>4647.7319500000003</v>
      </c>
      <c r="V846">
        <v>4556.8401100000001</v>
      </c>
      <c r="W846">
        <v>4523.2751099999996</v>
      </c>
      <c r="AA846">
        <v>4518.41</v>
      </c>
      <c r="AB846">
        <v>4535.9611299999997</v>
      </c>
      <c r="AC846">
        <v>4535.5481900000004</v>
      </c>
      <c r="AD846">
        <v>1</v>
      </c>
      <c r="AE846">
        <f t="shared" si="122"/>
        <v>844</v>
      </c>
      <c r="AF846">
        <f t="shared" si="123"/>
        <v>843</v>
      </c>
      <c r="AG846">
        <f t="shared" si="117"/>
        <v>-53.589880000000448</v>
      </c>
      <c r="AH846">
        <f t="shared" si="118"/>
        <v>2871.8752384144482</v>
      </c>
      <c r="AI846">
        <f t="shared" si="119"/>
        <v>-3.5404946149505059</v>
      </c>
      <c r="AJ846">
        <f t="shared" si="120"/>
        <v>5.3961653745649363</v>
      </c>
      <c r="AK846">
        <f t="shared" si="121"/>
        <v>710649</v>
      </c>
      <c r="AL846">
        <f t="shared" si="124"/>
        <v>4535.9611299999997</v>
      </c>
      <c r="AM846">
        <f t="shared" si="125"/>
        <v>15.699970000000576</v>
      </c>
    </row>
    <row r="847" spans="1:39" x14ac:dyDescent="0.55000000000000004">
      <c r="A847">
        <v>1777489202</v>
      </c>
      <c r="B847" t="s">
        <v>72</v>
      </c>
      <c r="C847" t="s">
        <v>73</v>
      </c>
      <c r="D847">
        <v>4547.72</v>
      </c>
      <c r="E847">
        <v>4518.5928199999998</v>
      </c>
      <c r="F847">
        <v>4596.0559499999999</v>
      </c>
      <c r="G847">
        <v>4755.40355</v>
      </c>
      <c r="H847">
        <v>4792.7697200000002</v>
      </c>
      <c r="Q847">
        <v>4591.5122799999999</v>
      </c>
      <c r="R847">
        <v>4620.8755700000002</v>
      </c>
      <c r="S847">
        <v>4647.4643500000002</v>
      </c>
      <c r="V847">
        <v>4556.57251</v>
      </c>
      <c r="W847">
        <v>4523.0075100000004</v>
      </c>
      <c r="AB847">
        <v>4538.2261900000003</v>
      </c>
      <c r="AC847">
        <v>4536.8871900000004</v>
      </c>
      <c r="AD847">
        <v>0</v>
      </c>
      <c r="AE847">
        <f t="shared" si="122"/>
        <v>845</v>
      </c>
      <c r="AF847">
        <f t="shared" si="123"/>
        <v>844</v>
      </c>
      <c r="AG847">
        <f t="shared" si="117"/>
        <v>-43.792279999999664</v>
      </c>
      <c r="AH847">
        <f t="shared" si="118"/>
        <v>1917.7637875983705</v>
      </c>
      <c r="AI847">
        <f t="shared" si="119"/>
        <v>-1.9320050404213616</v>
      </c>
      <c r="AJ847">
        <f t="shared" si="120"/>
        <v>2.406269909106765</v>
      </c>
      <c r="AK847">
        <f t="shared" si="121"/>
        <v>712336</v>
      </c>
      <c r="AL847">
        <f t="shared" si="124"/>
        <v>4535.9611299999997</v>
      </c>
      <c r="AM847" t="str">
        <f t="shared" si="125"/>
        <v/>
      </c>
    </row>
    <row r="848" spans="1:39" x14ac:dyDescent="0.55000000000000004">
      <c r="A848">
        <v>1777490102</v>
      </c>
      <c r="B848" t="s">
        <v>72</v>
      </c>
      <c r="C848" t="s">
        <v>73</v>
      </c>
      <c r="D848">
        <v>4542.84</v>
      </c>
      <c r="E848">
        <v>4518.5928199999998</v>
      </c>
      <c r="F848">
        <v>4596.0559499999999</v>
      </c>
      <c r="G848">
        <v>4755.40355</v>
      </c>
      <c r="H848">
        <v>4792.7697200000002</v>
      </c>
      <c r="Q848">
        <v>4591.24467</v>
      </c>
      <c r="R848">
        <v>4620.60797</v>
      </c>
      <c r="S848">
        <v>4647.1967400000003</v>
      </c>
      <c r="V848">
        <v>4556.3049000000001</v>
      </c>
      <c r="W848">
        <v>4522.7399100000002</v>
      </c>
      <c r="AB848">
        <v>4540.4152599999998</v>
      </c>
      <c r="AC848">
        <v>4538.6512300000004</v>
      </c>
      <c r="AD848">
        <v>0</v>
      </c>
      <c r="AE848">
        <f t="shared" si="122"/>
        <v>846</v>
      </c>
      <c r="AF848">
        <f t="shared" si="123"/>
        <v>845</v>
      </c>
      <c r="AG848">
        <f t="shared" si="117"/>
        <v>-48.404669999999896</v>
      </c>
      <c r="AH848">
        <f t="shared" si="118"/>
        <v>2343.0120778088899</v>
      </c>
      <c r="AI848">
        <f t="shared" si="119"/>
        <v>-2.6090198027518685</v>
      </c>
      <c r="AJ848">
        <f t="shared" si="120"/>
        <v>3.591725741946596</v>
      </c>
      <c r="AK848">
        <f t="shared" si="121"/>
        <v>714025</v>
      </c>
      <c r="AL848">
        <f t="shared" si="124"/>
        <v>4535.9611299999997</v>
      </c>
      <c r="AM848" t="str">
        <f t="shared" si="125"/>
        <v/>
      </c>
    </row>
    <row r="849" spans="1:39" x14ac:dyDescent="0.55000000000000004">
      <c r="A849">
        <v>1777491002</v>
      </c>
      <c r="B849" t="s">
        <v>72</v>
      </c>
      <c r="C849" t="s">
        <v>73</v>
      </c>
      <c r="D849">
        <v>4539.6099999999997</v>
      </c>
      <c r="E849">
        <v>4518.5928199999998</v>
      </c>
      <c r="F849">
        <v>4596.0559499999999</v>
      </c>
      <c r="G849">
        <v>4755.40355</v>
      </c>
      <c r="H849">
        <v>4792.7697200000002</v>
      </c>
      <c r="Q849">
        <v>4590.9770699999999</v>
      </c>
      <c r="R849">
        <v>4620.3403699999999</v>
      </c>
      <c r="S849">
        <v>4646.9291400000002</v>
      </c>
      <c r="V849">
        <v>4556.0373</v>
      </c>
      <c r="W849">
        <v>4522.4723000000004</v>
      </c>
      <c r="AB849">
        <v>4542.3771699999998</v>
      </c>
      <c r="AC849">
        <v>4540.5141999999996</v>
      </c>
      <c r="AD849">
        <v>0</v>
      </c>
      <c r="AE849">
        <f t="shared" si="122"/>
        <v>847</v>
      </c>
      <c r="AF849">
        <f t="shared" si="123"/>
        <v>846</v>
      </c>
      <c r="AG849">
        <f t="shared" si="117"/>
        <v>-51.36707000000024</v>
      </c>
      <c r="AH849">
        <f t="shared" si="118"/>
        <v>2638.5758803849249</v>
      </c>
      <c r="AI849">
        <f t="shared" si="119"/>
        <v>-3.1179558889045951</v>
      </c>
      <c r="AJ849">
        <f t="shared" si="120"/>
        <v>4.5550514733773237</v>
      </c>
      <c r="AK849">
        <f t="shared" si="121"/>
        <v>715716</v>
      </c>
      <c r="AL849">
        <f t="shared" si="124"/>
        <v>4535.9611299999997</v>
      </c>
      <c r="AM849" t="str">
        <f t="shared" si="125"/>
        <v/>
      </c>
    </row>
    <row r="850" spans="1:39" x14ac:dyDescent="0.55000000000000004">
      <c r="A850">
        <v>1777491902</v>
      </c>
      <c r="B850" t="s">
        <v>72</v>
      </c>
      <c r="C850" t="s">
        <v>73</v>
      </c>
      <c r="D850">
        <v>4547.05</v>
      </c>
      <c r="E850">
        <v>4518.5928199999998</v>
      </c>
      <c r="F850">
        <v>4596.0559499999999</v>
      </c>
      <c r="G850">
        <v>4755.40355</v>
      </c>
      <c r="H850">
        <v>4792.7697200000002</v>
      </c>
      <c r="Q850">
        <v>4590.70946</v>
      </c>
      <c r="R850">
        <v>4620.07276</v>
      </c>
      <c r="S850">
        <v>4646.6615300000003</v>
      </c>
      <c r="V850">
        <v>4555.7696900000001</v>
      </c>
      <c r="W850">
        <v>4522.2047000000002</v>
      </c>
      <c r="AB850">
        <v>4544.0156299999999</v>
      </c>
      <c r="AC850">
        <v>4542.2649099999999</v>
      </c>
      <c r="AD850">
        <v>0</v>
      </c>
      <c r="AE850">
        <f t="shared" si="122"/>
        <v>848</v>
      </c>
      <c r="AF850">
        <f t="shared" si="123"/>
        <v>847</v>
      </c>
      <c r="AG850">
        <f t="shared" si="117"/>
        <v>-43.659459999999854</v>
      </c>
      <c r="AH850">
        <f t="shared" si="118"/>
        <v>1906.1484474915871</v>
      </c>
      <c r="AI850">
        <f t="shared" si="119"/>
        <v>-1.9144792518729175</v>
      </c>
      <c r="AJ850">
        <f t="shared" si="120"/>
        <v>2.3772100195482704</v>
      </c>
      <c r="AK850">
        <f t="shared" si="121"/>
        <v>717409</v>
      </c>
      <c r="AL850">
        <f t="shared" si="124"/>
        <v>4535.9611299999997</v>
      </c>
      <c r="AM850" t="str">
        <f t="shared" si="125"/>
        <v/>
      </c>
    </row>
    <row r="851" spans="1:39" x14ac:dyDescent="0.55000000000000004">
      <c r="A851">
        <v>1777492802</v>
      </c>
      <c r="B851" t="s">
        <v>72</v>
      </c>
      <c r="C851" t="s">
        <v>73</v>
      </c>
      <c r="D851">
        <v>4546.25</v>
      </c>
      <c r="E851">
        <v>4518.5928199999998</v>
      </c>
      <c r="F851">
        <v>4596.0559499999999</v>
      </c>
      <c r="G851">
        <v>4755.40355</v>
      </c>
      <c r="H851">
        <v>4792.7697200000002</v>
      </c>
      <c r="Q851">
        <v>4590.4418599999999</v>
      </c>
      <c r="R851">
        <v>4619.8051599999999</v>
      </c>
      <c r="S851">
        <v>4646.3939300000002</v>
      </c>
      <c r="V851">
        <v>4555.50209</v>
      </c>
      <c r="W851">
        <v>4521.9370900000004</v>
      </c>
      <c r="AB851">
        <v>4545.0830500000002</v>
      </c>
      <c r="AC851">
        <v>4543.6739799999996</v>
      </c>
      <c r="AD851">
        <v>0</v>
      </c>
      <c r="AE851">
        <f t="shared" si="122"/>
        <v>849</v>
      </c>
      <c r="AF851">
        <f t="shared" si="123"/>
        <v>848</v>
      </c>
      <c r="AG851">
        <f t="shared" si="117"/>
        <v>-44.191859999999906</v>
      </c>
      <c r="AH851">
        <f t="shared" si="118"/>
        <v>1952.9204902595916</v>
      </c>
      <c r="AI851">
        <f t="shared" si="119"/>
        <v>-1.9853744456658047</v>
      </c>
      <c r="AJ851">
        <f t="shared" si="120"/>
        <v>2.4953027019862586</v>
      </c>
      <c r="AK851">
        <f t="shared" si="121"/>
        <v>719104</v>
      </c>
      <c r="AL851">
        <f t="shared" si="124"/>
        <v>4535.9611299999997</v>
      </c>
      <c r="AM851" t="str">
        <f t="shared" si="125"/>
        <v/>
      </c>
    </row>
    <row r="852" spans="1:39" x14ac:dyDescent="0.55000000000000004">
      <c r="A852">
        <v>1777493702</v>
      </c>
      <c r="B852" t="s">
        <v>72</v>
      </c>
      <c r="C852" t="s">
        <v>73</v>
      </c>
      <c r="D852">
        <v>4543.25</v>
      </c>
      <c r="E852">
        <v>4518.5928199999998</v>
      </c>
      <c r="F852">
        <v>4596.0559499999999</v>
      </c>
      <c r="G852">
        <v>4755.40355</v>
      </c>
      <c r="H852">
        <v>4792.7697200000002</v>
      </c>
      <c r="Q852">
        <v>4590.1742599999998</v>
      </c>
      <c r="R852">
        <v>4619.53755</v>
      </c>
      <c r="S852">
        <v>4646.1263300000001</v>
      </c>
      <c r="V852">
        <v>4555.2344899999998</v>
      </c>
      <c r="W852">
        <v>4521.6694900000002</v>
      </c>
      <c r="AB852">
        <v>4545.6661800000002</v>
      </c>
      <c r="AC852">
        <v>4544.6700799999999</v>
      </c>
      <c r="AD852">
        <v>0</v>
      </c>
      <c r="AE852">
        <f t="shared" si="122"/>
        <v>850</v>
      </c>
      <c r="AF852">
        <f t="shared" si="123"/>
        <v>849</v>
      </c>
      <c r="AG852">
        <f t="shared" si="117"/>
        <v>-46.924259999999776</v>
      </c>
      <c r="AH852">
        <f t="shared" si="118"/>
        <v>2201.886176547579</v>
      </c>
      <c r="AI852">
        <f t="shared" si="119"/>
        <v>-2.3768834238718357</v>
      </c>
      <c r="AJ852">
        <f t="shared" si="120"/>
        <v>3.1720778881901279</v>
      </c>
      <c r="AK852">
        <f t="shared" si="121"/>
        <v>720801</v>
      </c>
      <c r="AL852">
        <f t="shared" si="124"/>
        <v>4535.9611299999997</v>
      </c>
      <c r="AM852" t="str">
        <f t="shared" si="125"/>
        <v/>
      </c>
    </row>
    <row r="853" spans="1:39" x14ac:dyDescent="0.55000000000000004">
      <c r="A853">
        <v>1777494602</v>
      </c>
      <c r="B853" t="s">
        <v>72</v>
      </c>
      <c r="C853" t="s">
        <v>73</v>
      </c>
      <c r="D853">
        <v>4543.79</v>
      </c>
      <c r="E853">
        <v>4518.5928199999998</v>
      </c>
      <c r="F853">
        <v>4596.0559499999999</v>
      </c>
      <c r="G853">
        <v>4755.40355</v>
      </c>
      <c r="H853">
        <v>4792.7697200000002</v>
      </c>
      <c r="Q853">
        <v>4589.9066499999999</v>
      </c>
      <c r="R853">
        <v>4619.2699499999999</v>
      </c>
      <c r="S853">
        <v>4645.8587200000002</v>
      </c>
      <c r="V853">
        <v>4554.9668799999999</v>
      </c>
      <c r="W853">
        <v>4521.4018800000003</v>
      </c>
      <c r="AB853">
        <v>4546.0234099999998</v>
      </c>
      <c r="AC853">
        <v>4545.3467499999997</v>
      </c>
      <c r="AD853">
        <v>0</v>
      </c>
      <c r="AE853">
        <f t="shared" si="122"/>
        <v>851</v>
      </c>
      <c r="AF853">
        <f t="shared" si="123"/>
        <v>850</v>
      </c>
      <c r="AG853">
        <f t="shared" si="117"/>
        <v>-46.116649999999936</v>
      </c>
      <c r="AH853">
        <f t="shared" si="118"/>
        <v>2126.7454072224941</v>
      </c>
      <c r="AI853">
        <f t="shared" si="119"/>
        <v>-2.2562584195958486</v>
      </c>
      <c r="AJ853">
        <f t="shared" si="120"/>
        <v>2.9592736006258837</v>
      </c>
      <c r="AK853">
        <f t="shared" si="121"/>
        <v>722500</v>
      </c>
      <c r="AL853">
        <f t="shared" si="124"/>
        <v>4535.9611299999997</v>
      </c>
      <c r="AM853" t="str">
        <f t="shared" si="125"/>
        <v/>
      </c>
    </row>
    <row r="854" spans="1:39" x14ac:dyDescent="0.55000000000000004">
      <c r="A854">
        <v>1777495502</v>
      </c>
      <c r="B854" t="s">
        <v>72</v>
      </c>
      <c r="C854" t="s">
        <v>73</v>
      </c>
      <c r="D854">
        <v>4543.57</v>
      </c>
      <c r="E854">
        <v>4518.5928199999998</v>
      </c>
      <c r="F854">
        <v>4596.0559499999999</v>
      </c>
      <c r="G854">
        <v>4755.40355</v>
      </c>
      <c r="H854">
        <v>4792.7697200000002</v>
      </c>
      <c r="Q854">
        <v>4589.6390499999998</v>
      </c>
      <c r="R854">
        <v>4619.0023499999998</v>
      </c>
      <c r="S854">
        <v>4645.59112</v>
      </c>
      <c r="V854">
        <v>4554.6992799999998</v>
      </c>
      <c r="W854">
        <v>4521.1342800000002</v>
      </c>
      <c r="AB854">
        <v>4546.3025500000003</v>
      </c>
      <c r="AC854">
        <v>4545.8246499999996</v>
      </c>
      <c r="AD854">
        <v>0</v>
      </c>
      <c r="AE854">
        <f t="shared" si="122"/>
        <v>852</v>
      </c>
      <c r="AF854">
        <f t="shared" si="123"/>
        <v>851</v>
      </c>
      <c r="AG854">
        <f t="shared" si="117"/>
        <v>-46.069050000000061</v>
      </c>
      <c r="AH854">
        <f t="shared" si="118"/>
        <v>2122.3573679025058</v>
      </c>
      <c r="AI854">
        <f t="shared" si="119"/>
        <v>-2.2492791342484293</v>
      </c>
      <c r="AJ854">
        <f t="shared" si="120"/>
        <v>2.9470746672656793</v>
      </c>
      <c r="AK854">
        <f t="shared" si="121"/>
        <v>724201</v>
      </c>
      <c r="AL854">
        <f t="shared" si="124"/>
        <v>4535.9611299999997</v>
      </c>
      <c r="AM854" t="str">
        <f t="shared" si="125"/>
        <v/>
      </c>
    </row>
    <row r="855" spans="1:39" x14ac:dyDescent="0.55000000000000004">
      <c r="A855">
        <v>1777500002</v>
      </c>
      <c r="B855" t="s">
        <v>72</v>
      </c>
      <c r="C855" t="s">
        <v>73</v>
      </c>
      <c r="D855">
        <v>4546.3999999999996</v>
      </c>
      <c r="E855">
        <v>4518.5928199999998</v>
      </c>
      <c r="F855">
        <v>4596.0559499999999</v>
      </c>
      <c r="G855">
        <v>4755.40355</v>
      </c>
      <c r="H855">
        <v>4792.7697200000002</v>
      </c>
      <c r="Q855">
        <v>4589.3714399999999</v>
      </c>
      <c r="R855">
        <v>4618.7347399999999</v>
      </c>
      <c r="S855">
        <v>4645.3235100000002</v>
      </c>
      <c r="V855">
        <v>4554.4316699999999</v>
      </c>
      <c r="W855">
        <v>4520.8666800000001</v>
      </c>
      <c r="AB855">
        <v>4546.7222700000002</v>
      </c>
      <c r="AC855">
        <v>4546.2734600000003</v>
      </c>
      <c r="AD855">
        <v>0</v>
      </c>
      <c r="AE855">
        <f t="shared" si="122"/>
        <v>853</v>
      </c>
      <c r="AF855">
        <f t="shared" si="123"/>
        <v>852</v>
      </c>
      <c r="AG855">
        <f t="shared" si="117"/>
        <v>-42.971440000000257</v>
      </c>
      <c r="AH855">
        <f t="shared" si="118"/>
        <v>1846.5446556736222</v>
      </c>
      <c r="AI855">
        <f t="shared" si="119"/>
        <v>-1.8253884856213851</v>
      </c>
      <c r="AJ855">
        <f t="shared" si="120"/>
        <v>2.2308673237781766</v>
      </c>
      <c r="AK855">
        <f t="shared" si="121"/>
        <v>725904</v>
      </c>
      <c r="AL855">
        <f t="shared" si="124"/>
        <v>4535.9611299999997</v>
      </c>
      <c r="AM855" t="str">
        <f t="shared" si="125"/>
        <v/>
      </c>
    </row>
    <row r="856" spans="1:39" x14ac:dyDescent="0.55000000000000004">
      <c r="A856">
        <v>1777500902</v>
      </c>
      <c r="B856" t="s">
        <v>72</v>
      </c>
      <c r="C856" t="s">
        <v>73</v>
      </c>
      <c r="D856">
        <v>4549.1400000000003</v>
      </c>
      <c r="E856">
        <v>4518.5928199999998</v>
      </c>
      <c r="F856">
        <v>4596.0559499999999</v>
      </c>
      <c r="G856">
        <v>4755.40355</v>
      </c>
      <c r="H856">
        <v>4792.7697200000002</v>
      </c>
      <c r="Q856">
        <v>4589.1038399999998</v>
      </c>
      <c r="R856">
        <v>4618.4671399999997</v>
      </c>
      <c r="S856">
        <v>4645.05591</v>
      </c>
      <c r="V856">
        <v>4554.1640699999998</v>
      </c>
      <c r="W856">
        <v>4520.5990700000002</v>
      </c>
      <c r="AB856">
        <v>4547.4023299999999</v>
      </c>
      <c r="AC856">
        <v>4546.8378899999998</v>
      </c>
      <c r="AD856">
        <v>0</v>
      </c>
      <c r="AE856">
        <f t="shared" si="122"/>
        <v>854</v>
      </c>
      <c r="AF856">
        <f t="shared" si="123"/>
        <v>853</v>
      </c>
      <c r="AG856">
        <f t="shared" si="117"/>
        <v>-39.963839999999436</v>
      </c>
      <c r="AH856">
        <f t="shared" si="118"/>
        <v>1597.1085075455549</v>
      </c>
      <c r="AI856">
        <f t="shared" si="119"/>
        <v>-1.4683081829660576</v>
      </c>
      <c r="AJ856">
        <f t="shared" si="120"/>
        <v>1.6688717334891905</v>
      </c>
      <c r="AK856">
        <f t="shared" si="121"/>
        <v>727609</v>
      </c>
      <c r="AL856">
        <f t="shared" si="124"/>
        <v>4535.9611299999997</v>
      </c>
      <c r="AM856" t="str">
        <f t="shared" si="125"/>
        <v/>
      </c>
    </row>
    <row r="857" spans="1:39" x14ac:dyDescent="0.55000000000000004">
      <c r="A857">
        <v>1777501802</v>
      </c>
      <c r="B857" t="s">
        <v>72</v>
      </c>
      <c r="C857" t="s">
        <v>73</v>
      </c>
      <c r="D857">
        <v>4548.51</v>
      </c>
      <c r="E857">
        <v>4518.5928199999998</v>
      </c>
      <c r="F857">
        <v>4596.0559499999999</v>
      </c>
      <c r="G857">
        <v>4755.40355</v>
      </c>
      <c r="H857">
        <v>4792.7697200000002</v>
      </c>
      <c r="Q857">
        <v>4588.8362299999999</v>
      </c>
      <c r="R857">
        <v>4618.1995299999999</v>
      </c>
      <c r="S857">
        <v>4644.7883000000002</v>
      </c>
      <c r="V857">
        <v>4553.8964599999999</v>
      </c>
      <c r="W857">
        <v>4520.3314700000001</v>
      </c>
      <c r="AB857">
        <v>4548.38375</v>
      </c>
      <c r="AC857">
        <v>4547.6108199999999</v>
      </c>
      <c r="AD857">
        <v>0</v>
      </c>
      <c r="AE857">
        <f t="shared" si="122"/>
        <v>855</v>
      </c>
      <c r="AF857">
        <f t="shared" si="123"/>
        <v>854</v>
      </c>
      <c r="AG857">
        <f t="shared" si="117"/>
        <v>-40.326229999999669</v>
      </c>
      <c r="AH857">
        <f t="shared" si="118"/>
        <v>1626.2048260128734</v>
      </c>
      <c r="AI857">
        <f t="shared" si="119"/>
        <v>-1.5086151086923345</v>
      </c>
      <c r="AJ857">
        <f t="shared" si="120"/>
        <v>1.7302330514176327</v>
      </c>
      <c r="AK857">
        <f t="shared" si="121"/>
        <v>729316</v>
      </c>
      <c r="AL857">
        <f t="shared" si="124"/>
        <v>4535.9611299999997</v>
      </c>
      <c r="AM857" t="str">
        <f t="shared" si="125"/>
        <v/>
      </c>
    </row>
    <row r="858" spans="1:39" x14ac:dyDescent="0.55000000000000004">
      <c r="A858">
        <v>1777502702</v>
      </c>
      <c r="B858" t="s">
        <v>72</v>
      </c>
      <c r="C858" t="s">
        <v>73</v>
      </c>
      <c r="D858">
        <v>4552.08</v>
      </c>
      <c r="E858">
        <v>4518.5928199999998</v>
      </c>
      <c r="F858">
        <v>4596.0559499999999</v>
      </c>
      <c r="G858">
        <v>4755.40355</v>
      </c>
      <c r="H858">
        <v>4792.7697200000002</v>
      </c>
      <c r="Q858">
        <v>4588.5686299999998</v>
      </c>
      <c r="R858">
        <v>4617.9319299999997</v>
      </c>
      <c r="S858">
        <v>4644.5207</v>
      </c>
      <c r="V858">
        <v>4553.6288599999998</v>
      </c>
      <c r="W858">
        <v>4520.0638600000002</v>
      </c>
      <c r="AB858">
        <v>4549.7461899999998</v>
      </c>
      <c r="AC858">
        <v>4548.6785099999997</v>
      </c>
      <c r="AD858">
        <v>0</v>
      </c>
      <c r="AE858">
        <f t="shared" si="122"/>
        <v>856</v>
      </c>
      <c r="AF858">
        <f t="shared" si="123"/>
        <v>855</v>
      </c>
      <c r="AG858">
        <f t="shared" si="117"/>
        <v>-36.48862999999983</v>
      </c>
      <c r="AH858">
        <f t="shared" si="118"/>
        <v>1331.4201192768876</v>
      </c>
      <c r="AI858">
        <f t="shared" si="119"/>
        <v>-1.1176047978147068</v>
      </c>
      <c r="AJ858">
        <f t="shared" si="120"/>
        <v>1.1598033086335777</v>
      </c>
      <c r="AK858">
        <f t="shared" si="121"/>
        <v>731025</v>
      </c>
      <c r="AL858">
        <f t="shared" si="124"/>
        <v>4535.9611299999997</v>
      </c>
      <c r="AM858" t="str">
        <f t="shared" si="125"/>
        <v/>
      </c>
    </row>
    <row r="859" spans="1:39" x14ac:dyDescent="0.55000000000000004">
      <c r="A859">
        <v>1777503602</v>
      </c>
      <c r="B859" t="s">
        <v>72</v>
      </c>
      <c r="C859" t="s">
        <v>73</v>
      </c>
      <c r="D859">
        <v>4553.33</v>
      </c>
      <c r="E859">
        <v>4518.5928199999998</v>
      </c>
      <c r="F859">
        <v>4596.0559499999999</v>
      </c>
      <c r="G859">
        <v>4755.40355</v>
      </c>
      <c r="H859">
        <v>4792.7697200000002</v>
      </c>
      <c r="Q859">
        <v>4588.3010299999996</v>
      </c>
      <c r="R859">
        <v>4617.6643299999996</v>
      </c>
      <c r="S859">
        <v>4644.2530999999999</v>
      </c>
      <c r="V859">
        <v>4553.3612599999997</v>
      </c>
      <c r="W859">
        <v>4519.7962600000001</v>
      </c>
      <c r="AB859">
        <v>4551.4153800000004</v>
      </c>
      <c r="AC859">
        <v>4550.0469400000002</v>
      </c>
      <c r="AD859">
        <v>0</v>
      </c>
      <c r="AE859">
        <f t="shared" si="122"/>
        <v>857</v>
      </c>
      <c r="AF859">
        <f t="shared" si="123"/>
        <v>856</v>
      </c>
      <c r="AG859">
        <f t="shared" si="117"/>
        <v>-34.971029999999701</v>
      </c>
      <c r="AH859">
        <f t="shared" si="118"/>
        <v>1222.972939260879</v>
      </c>
      <c r="AI859">
        <f t="shared" si="119"/>
        <v>-0.98387710763776237</v>
      </c>
      <c r="AJ859">
        <f t="shared" si="120"/>
        <v>0.97856078470069618</v>
      </c>
      <c r="AK859">
        <f t="shared" si="121"/>
        <v>732736</v>
      </c>
      <c r="AL859">
        <f t="shared" si="124"/>
        <v>4535.9611299999997</v>
      </c>
      <c r="AM859" t="str">
        <f t="shared" si="125"/>
        <v/>
      </c>
    </row>
    <row r="860" spans="1:39" x14ac:dyDescent="0.55000000000000004">
      <c r="A860">
        <v>1777504502</v>
      </c>
      <c r="B860" t="s">
        <v>72</v>
      </c>
      <c r="C860" t="s">
        <v>73</v>
      </c>
      <c r="D860">
        <v>4551.63</v>
      </c>
      <c r="E860">
        <v>4518.5928199999998</v>
      </c>
      <c r="F860">
        <v>4596.0559499999999</v>
      </c>
      <c r="G860">
        <v>4755.40355</v>
      </c>
      <c r="H860">
        <v>4792.7697200000002</v>
      </c>
      <c r="Q860">
        <v>4588.0334199999998</v>
      </c>
      <c r="R860">
        <v>4617.3967199999997</v>
      </c>
      <c r="S860">
        <v>4643.98549</v>
      </c>
      <c r="V860">
        <v>4553.0936499999998</v>
      </c>
      <c r="W860">
        <v>4519.5286599999999</v>
      </c>
      <c r="AB860">
        <v>4553.3715700000002</v>
      </c>
      <c r="AC860">
        <v>4551.7092599999996</v>
      </c>
      <c r="AD860">
        <v>0</v>
      </c>
      <c r="AE860">
        <f t="shared" si="122"/>
        <v>858</v>
      </c>
      <c r="AF860">
        <f t="shared" si="123"/>
        <v>857</v>
      </c>
      <c r="AG860">
        <f t="shared" si="117"/>
        <v>-36.403419999999642</v>
      </c>
      <c r="AH860">
        <f t="shared" si="118"/>
        <v>1325.2089876963739</v>
      </c>
      <c r="AI860">
        <f t="shared" si="119"/>
        <v>-1.1097934146781432</v>
      </c>
      <c r="AJ860">
        <f t="shared" si="120"/>
        <v>1.1490074853006238</v>
      </c>
      <c r="AK860">
        <f t="shared" si="121"/>
        <v>734449</v>
      </c>
      <c r="AL860">
        <f t="shared" si="124"/>
        <v>4535.9611299999997</v>
      </c>
      <c r="AM860" t="str">
        <f t="shared" si="125"/>
        <v/>
      </c>
    </row>
    <row r="861" spans="1:39" x14ac:dyDescent="0.55000000000000004">
      <c r="A861">
        <v>1777505402</v>
      </c>
      <c r="B861" t="s">
        <v>72</v>
      </c>
      <c r="C861" t="s">
        <v>73</v>
      </c>
      <c r="D861">
        <v>4554.4399999999996</v>
      </c>
      <c r="E861">
        <v>4518.5928199999998</v>
      </c>
      <c r="F861">
        <v>4596.0559499999999</v>
      </c>
      <c r="G861">
        <v>4755.40355</v>
      </c>
      <c r="H861">
        <v>4792.7697200000002</v>
      </c>
      <c r="Q861">
        <v>4587.7658199999996</v>
      </c>
      <c r="R861">
        <v>4617.1291199999996</v>
      </c>
      <c r="S861">
        <v>4643.7178899999999</v>
      </c>
      <c r="V861">
        <v>4552.8260499999997</v>
      </c>
      <c r="W861">
        <v>4519.2610500000001</v>
      </c>
      <c r="AB861">
        <v>4555.6797699999997</v>
      </c>
      <c r="AC861">
        <v>4553.6945100000003</v>
      </c>
      <c r="AD861">
        <v>0</v>
      </c>
      <c r="AE861">
        <f t="shared" si="122"/>
        <v>859</v>
      </c>
      <c r="AF861">
        <f t="shared" si="123"/>
        <v>858</v>
      </c>
      <c r="AG861">
        <f t="shared" si="117"/>
        <v>-33.325820000000022</v>
      </c>
      <c r="AH861">
        <f t="shared" si="118"/>
        <v>1110.6102786724014</v>
      </c>
      <c r="AI861">
        <f t="shared" si="119"/>
        <v>-0.85144797570697583</v>
      </c>
      <c r="AJ861">
        <f t="shared" si="120"/>
        <v>0.80700734917400263</v>
      </c>
      <c r="AK861">
        <f t="shared" si="121"/>
        <v>736164</v>
      </c>
      <c r="AL861">
        <f t="shared" si="124"/>
        <v>4535.9611299999997</v>
      </c>
      <c r="AM861" t="str">
        <f t="shared" si="125"/>
        <v/>
      </c>
    </row>
    <row r="862" spans="1:39" x14ac:dyDescent="0.55000000000000004">
      <c r="A862">
        <v>1777506302</v>
      </c>
      <c r="B862" t="s">
        <v>72</v>
      </c>
      <c r="C862" t="s">
        <v>73</v>
      </c>
      <c r="D862">
        <v>4561.66</v>
      </c>
      <c r="E862">
        <v>4518.5928199999998</v>
      </c>
      <c r="F862">
        <v>4596.0559499999999</v>
      </c>
      <c r="G862">
        <v>4755.40355</v>
      </c>
      <c r="H862">
        <v>4792.7697200000002</v>
      </c>
      <c r="Q862">
        <v>4587.4982099999997</v>
      </c>
      <c r="R862">
        <v>4616.8615099999997</v>
      </c>
      <c r="S862">
        <v>4643.45028</v>
      </c>
      <c r="V862">
        <v>4552.5584399999998</v>
      </c>
      <c r="W862">
        <v>4518.9934499999999</v>
      </c>
      <c r="AB862">
        <v>4558.3107900000005</v>
      </c>
      <c r="AC862">
        <v>4556.0026500000004</v>
      </c>
      <c r="AD862">
        <v>0</v>
      </c>
      <c r="AE862">
        <f t="shared" si="122"/>
        <v>860</v>
      </c>
      <c r="AF862">
        <f t="shared" si="123"/>
        <v>859</v>
      </c>
      <c r="AG862">
        <f t="shared" si="117"/>
        <v>-25.83820999999989</v>
      </c>
      <c r="AH862">
        <f t="shared" si="118"/>
        <v>667.61309600409436</v>
      </c>
      <c r="AI862">
        <f t="shared" si="119"/>
        <v>-0.39682850001693076</v>
      </c>
      <c r="AJ862">
        <f t="shared" si="120"/>
        <v>0.29161093622547096</v>
      </c>
      <c r="AK862">
        <f t="shared" si="121"/>
        <v>737881</v>
      </c>
      <c r="AL862">
        <f t="shared" si="124"/>
        <v>4535.9611299999997</v>
      </c>
      <c r="AM862" t="str">
        <f t="shared" si="125"/>
        <v/>
      </c>
    </row>
    <row r="863" spans="1:39" x14ac:dyDescent="0.55000000000000004">
      <c r="A863">
        <v>1777507202</v>
      </c>
      <c r="B863" t="s">
        <v>72</v>
      </c>
      <c r="C863" t="s">
        <v>73</v>
      </c>
      <c r="D863">
        <v>4557.93</v>
      </c>
      <c r="E863">
        <v>4518.5928199999998</v>
      </c>
      <c r="F863">
        <v>4596.0559499999999</v>
      </c>
      <c r="G863">
        <v>4755.40355</v>
      </c>
      <c r="H863">
        <v>4792.7697200000002</v>
      </c>
      <c r="Q863">
        <v>4587.2306099999996</v>
      </c>
      <c r="R863">
        <v>4616.5939099999996</v>
      </c>
      <c r="S863">
        <v>4643.1826799999999</v>
      </c>
      <c r="V863">
        <v>4552.2908399999997</v>
      </c>
      <c r="W863">
        <v>4518.7258400000001</v>
      </c>
      <c r="AB863">
        <v>4561.0976199999996</v>
      </c>
      <c r="AC863">
        <v>4558.5501400000003</v>
      </c>
      <c r="AD863">
        <v>0</v>
      </c>
      <c r="AE863">
        <f t="shared" si="122"/>
        <v>861</v>
      </c>
      <c r="AF863">
        <f t="shared" si="123"/>
        <v>860</v>
      </c>
      <c r="AG863">
        <f t="shared" si="117"/>
        <v>-29.300609999999324</v>
      </c>
      <c r="AH863">
        <f t="shared" si="118"/>
        <v>858.52574637206033</v>
      </c>
      <c r="AI863">
        <f t="shared" si="119"/>
        <v>-0.57868945701562646</v>
      </c>
      <c r="AJ863">
        <f t="shared" si="120"/>
        <v>0.4822372568312841</v>
      </c>
      <c r="AK863">
        <f t="shared" si="121"/>
        <v>739600</v>
      </c>
      <c r="AL863">
        <f t="shared" si="124"/>
        <v>4535.9611299999997</v>
      </c>
      <c r="AM863" t="str">
        <f t="shared" si="125"/>
        <v/>
      </c>
    </row>
    <row r="864" spans="1:39" x14ac:dyDescent="0.55000000000000004">
      <c r="A864">
        <v>1777508102</v>
      </c>
      <c r="B864" t="s">
        <v>72</v>
      </c>
      <c r="C864" t="s">
        <v>73</v>
      </c>
      <c r="D864">
        <v>4563.57</v>
      </c>
      <c r="E864">
        <v>4518.5928199999998</v>
      </c>
      <c r="F864">
        <v>4596.0559499999999</v>
      </c>
      <c r="G864">
        <v>4755.40355</v>
      </c>
      <c r="H864">
        <v>4792.7697200000002</v>
      </c>
      <c r="Q864">
        <v>4586.9630100000004</v>
      </c>
      <c r="R864">
        <v>4616.3263100000004</v>
      </c>
      <c r="S864">
        <v>4642.9150799999998</v>
      </c>
      <c r="V864">
        <v>4552.0232400000004</v>
      </c>
      <c r="W864">
        <v>4518.4582399999999</v>
      </c>
      <c r="AB864">
        <v>4564.1343399999996</v>
      </c>
      <c r="AC864">
        <v>4561.3422399999999</v>
      </c>
      <c r="AD864">
        <v>0</v>
      </c>
      <c r="AE864">
        <f t="shared" si="122"/>
        <v>862</v>
      </c>
      <c r="AF864">
        <f t="shared" si="123"/>
        <v>861</v>
      </c>
      <c r="AG864">
        <f t="shared" si="117"/>
        <v>-23.393010000000686</v>
      </c>
      <c r="AH864">
        <f t="shared" si="118"/>
        <v>547.23291686013215</v>
      </c>
      <c r="AI864">
        <f t="shared" si="119"/>
        <v>-0.29449227287534169</v>
      </c>
      <c r="AJ864">
        <f t="shared" si="120"/>
        <v>0.19592891728090256</v>
      </c>
      <c r="AK864">
        <f t="shared" si="121"/>
        <v>741321</v>
      </c>
      <c r="AL864">
        <f t="shared" si="124"/>
        <v>4535.9611299999997</v>
      </c>
      <c r="AM864" t="str">
        <f t="shared" si="125"/>
        <v/>
      </c>
    </row>
    <row r="865" spans="1:39" x14ac:dyDescent="0.55000000000000004">
      <c r="A865">
        <v>1777509002</v>
      </c>
      <c r="B865" t="s">
        <v>72</v>
      </c>
      <c r="C865" t="s">
        <v>73</v>
      </c>
      <c r="D865">
        <v>4567.1099999999997</v>
      </c>
      <c r="E865">
        <v>4518.5928199999998</v>
      </c>
      <c r="F865">
        <v>4596.0559499999999</v>
      </c>
      <c r="G865">
        <v>4755.40355</v>
      </c>
      <c r="H865">
        <v>4792.7697200000002</v>
      </c>
      <c r="Q865">
        <v>4586.6953999999996</v>
      </c>
      <c r="R865">
        <v>4616.0586999999996</v>
      </c>
      <c r="S865">
        <v>4642.6474699999999</v>
      </c>
      <c r="V865">
        <v>4551.7556299999997</v>
      </c>
      <c r="W865">
        <v>4518.1906399999998</v>
      </c>
      <c r="AB865">
        <v>4567.2409500000003</v>
      </c>
      <c r="AC865">
        <v>4564.2915899999998</v>
      </c>
      <c r="AD865">
        <v>0</v>
      </c>
      <c r="AE865">
        <f t="shared" si="122"/>
        <v>863</v>
      </c>
      <c r="AF865">
        <f t="shared" si="123"/>
        <v>862</v>
      </c>
      <c r="AG865">
        <f t="shared" si="117"/>
        <v>-19.585399999999936</v>
      </c>
      <c r="AH865">
        <f t="shared" si="118"/>
        <v>383.58789315999752</v>
      </c>
      <c r="AI865">
        <f t="shared" si="119"/>
        <v>-0.17282752940588658</v>
      </c>
      <c r="AJ865">
        <f t="shared" si="120"/>
        <v>9.6268431425905687E-2</v>
      </c>
      <c r="AK865">
        <f t="shared" si="121"/>
        <v>743044</v>
      </c>
      <c r="AL865">
        <f t="shared" si="124"/>
        <v>4535.9611299999997</v>
      </c>
      <c r="AM865" t="str">
        <f t="shared" si="125"/>
        <v/>
      </c>
    </row>
    <row r="866" spans="1:39" x14ac:dyDescent="0.55000000000000004">
      <c r="A866">
        <v>1777509902</v>
      </c>
      <c r="B866" t="s">
        <v>72</v>
      </c>
      <c r="C866" t="s">
        <v>73</v>
      </c>
      <c r="D866">
        <v>4569.83</v>
      </c>
      <c r="E866">
        <v>4518.5928199999998</v>
      </c>
      <c r="F866">
        <v>4596.0559499999999</v>
      </c>
      <c r="G866">
        <v>4755.40355</v>
      </c>
      <c r="H866">
        <v>4792.7697200000002</v>
      </c>
      <c r="Q866">
        <v>4586.4278000000004</v>
      </c>
      <c r="R866">
        <v>4615.7911000000004</v>
      </c>
      <c r="S866">
        <v>4642.3798699999998</v>
      </c>
      <c r="V866">
        <v>4551.4880300000004</v>
      </c>
      <c r="W866">
        <v>4517.9230299999999</v>
      </c>
      <c r="AB866">
        <v>4570.1818899999998</v>
      </c>
      <c r="AC866">
        <v>4567.2367400000003</v>
      </c>
      <c r="AD866">
        <v>0</v>
      </c>
      <c r="AE866">
        <f t="shared" si="122"/>
        <v>864</v>
      </c>
      <c r="AF866">
        <f t="shared" si="123"/>
        <v>863</v>
      </c>
      <c r="AG866">
        <f t="shared" si="117"/>
        <v>-16.597800000000461</v>
      </c>
      <c r="AH866">
        <f t="shared" si="118"/>
        <v>275.48696484001533</v>
      </c>
      <c r="AI866">
        <f t="shared" si="119"/>
        <v>-0.10518823449426178</v>
      </c>
      <c r="AJ866">
        <f t="shared" si="120"/>
        <v>4.9654226522073859E-2</v>
      </c>
      <c r="AK866">
        <f t="shared" si="121"/>
        <v>744769</v>
      </c>
      <c r="AL866">
        <f t="shared" si="124"/>
        <v>4535.9611299999997</v>
      </c>
      <c r="AM866" t="str">
        <f t="shared" si="125"/>
        <v/>
      </c>
    </row>
    <row r="867" spans="1:39" x14ac:dyDescent="0.55000000000000004">
      <c r="A867">
        <v>1777510802</v>
      </c>
      <c r="B867" t="s">
        <v>72</v>
      </c>
      <c r="C867" t="s">
        <v>73</v>
      </c>
      <c r="D867">
        <v>4568.5200000000004</v>
      </c>
      <c r="E867">
        <v>4518.5928199999998</v>
      </c>
      <c r="F867">
        <v>4596.0559499999999</v>
      </c>
      <c r="G867">
        <v>4755.40355</v>
      </c>
      <c r="H867">
        <v>4792.7697200000002</v>
      </c>
      <c r="Q867">
        <v>4586.1601899999996</v>
      </c>
      <c r="R867">
        <v>4615.5234899999996</v>
      </c>
      <c r="S867">
        <v>4642.1122599999999</v>
      </c>
      <c r="V867">
        <v>4551.2204199999996</v>
      </c>
      <c r="W867">
        <v>4517.6554299999998</v>
      </c>
      <c r="AB867">
        <v>4572.7669500000002</v>
      </c>
      <c r="AC867">
        <v>4570.0018399999999</v>
      </c>
      <c r="AD867">
        <v>0</v>
      </c>
      <c r="AE867">
        <f t="shared" si="122"/>
        <v>865</v>
      </c>
      <c r="AF867">
        <f t="shared" si="123"/>
        <v>864</v>
      </c>
      <c r="AG867">
        <f t="shared" si="117"/>
        <v>-17.640189999999166</v>
      </c>
      <c r="AH867">
        <f t="shared" si="118"/>
        <v>311.17630323607057</v>
      </c>
      <c r="AI867">
        <f t="shared" si="119"/>
        <v>-0.12627732113215473</v>
      </c>
      <c r="AJ867">
        <f t="shared" si="120"/>
        <v>6.3352994408150162E-2</v>
      </c>
      <c r="AK867">
        <f t="shared" si="121"/>
        <v>746496</v>
      </c>
      <c r="AL867">
        <f t="shared" si="124"/>
        <v>4535.9611299999997</v>
      </c>
      <c r="AM867" t="str">
        <f t="shared" si="125"/>
        <v/>
      </c>
    </row>
    <row r="868" spans="1:39" x14ac:dyDescent="0.55000000000000004">
      <c r="A868">
        <v>1777511702</v>
      </c>
      <c r="B868" t="s">
        <v>72</v>
      </c>
      <c r="C868" t="s">
        <v>73</v>
      </c>
      <c r="D868">
        <v>4579.79</v>
      </c>
      <c r="E868">
        <v>4518.5928199999998</v>
      </c>
      <c r="F868">
        <v>4596.0559499999999</v>
      </c>
      <c r="G868">
        <v>4755.40355</v>
      </c>
      <c r="H868">
        <v>4792.7697200000002</v>
      </c>
      <c r="Q868">
        <v>4585.8925900000004</v>
      </c>
      <c r="R868">
        <v>4615.2558900000004</v>
      </c>
      <c r="S868">
        <v>4641.8446599999997</v>
      </c>
      <c r="V868">
        <v>4550.9528200000004</v>
      </c>
      <c r="W868">
        <v>4517.3878199999999</v>
      </c>
      <c r="AB868">
        <v>4574.9108999999999</v>
      </c>
      <c r="AC868">
        <v>4572.4563699999999</v>
      </c>
      <c r="AD868">
        <v>0</v>
      </c>
      <c r="AE868">
        <f t="shared" si="122"/>
        <v>866</v>
      </c>
      <c r="AF868">
        <f t="shared" si="123"/>
        <v>865</v>
      </c>
      <c r="AG868">
        <f t="shared" si="117"/>
        <v>-6.1025900000004185</v>
      </c>
      <c r="AH868">
        <f t="shared" si="118"/>
        <v>37.241604708105108</v>
      </c>
      <c r="AI868">
        <f t="shared" si="119"/>
        <v>-5.2282718797603909E-3</v>
      </c>
      <c r="AJ868">
        <f t="shared" si="120"/>
        <v>9.0742530232254233E-4</v>
      </c>
      <c r="AK868">
        <f t="shared" si="121"/>
        <v>748225</v>
      </c>
      <c r="AL868">
        <f t="shared" si="124"/>
        <v>4535.9611299999997</v>
      </c>
      <c r="AM868" t="str">
        <f t="shared" si="125"/>
        <v/>
      </c>
    </row>
    <row r="869" spans="1:39" x14ac:dyDescent="0.55000000000000004">
      <c r="A869">
        <v>1777512602</v>
      </c>
      <c r="B869" t="s">
        <v>72</v>
      </c>
      <c r="C869" t="s">
        <v>73</v>
      </c>
      <c r="D869">
        <v>4576.3100000000004</v>
      </c>
      <c r="E869">
        <v>4518.5928199999998</v>
      </c>
      <c r="F869">
        <v>4596.0559499999999</v>
      </c>
      <c r="G869">
        <v>4755.40355</v>
      </c>
      <c r="H869">
        <v>4792.7697200000002</v>
      </c>
      <c r="Q869">
        <v>4585.6249900000003</v>
      </c>
      <c r="R869">
        <v>4614.9882799999996</v>
      </c>
      <c r="S869">
        <v>4641.5770599999996</v>
      </c>
      <c r="V869">
        <v>4550.6852200000003</v>
      </c>
      <c r="W869">
        <v>4517.1202199999998</v>
      </c>
      <c r="AB869">
        <v>4576.1533399999998</v>
      </c>
      <c r="AC869">
        <v>4574.3048600000002</v>
      </c>
      <c r="AD869">
        <v>0</v>
      </c>
      <c r="AE869">
        <f t="shared" si="122"/>
        <v>867</v>
      </c>
      <c r="AF869">
        <f t="shared" si="123"/>
        <v>866</v>
      </c>
      <c r="AG869">
        <f t="shared" si="117"/>
        <v>-9.3149899999998524</v>
      </c>
      <c r="AH869">
        <f t="shared" si="118"/>
        <v>86.769038700097255</v>
      </c>
      <c r="AI869">
        <f t="shared" si="119"/>
        <v>-1.8593569159267433E-2</v>
      </c>
      <c r="AJ869">
        <f t="shared" si="120"/>
        <v>4.9258783771898903E-3</v>
      </c>
      <c r="AK869">
        <f t="shared" si="121"/>
        <v>749956</v>
      </c>
      <c r="AL869">
        <f t="shared" si="124"/>
        <v>4535.9611299999997</v>
      </c>
      <c r="AM869" t="str">
        <f t="shared" si="125"/>
        <v/>
      </c>
    </row>
    <row r="870" spans="1:39" x14ac:dyDescent="0.55000000000000004">
      <c r="A870">
        <v>1777513502</v>
      </c>
      <c r="B870" t="s">
        <v>72</v>
      </c>
      <c r="C870" t="s">
        <v>73</v>
      </c>
      <c r="D870">
        <v>4579.13</v>
      </c>
      <c r="E870">
        <v>4518.5928199999998</v>
      </c>
      <c r="F870">
        <v>4596.0559499999999</v>
      </c>
      <c r="G870">
        <v>4755.40355</v>
      </c>
      <c r="H870">
        <v>4792.7697200000002</v>
      </c>
      <c r="Q870">
        <v>4585.3573800000004</v>
      </c>
      <c r="R870">
        <v>4614.7206800000004</v>
      </c>
      <c r="S870">
        <v>4641.3094499999997</v>
      </c>
      <c r="V870">
        <v>4550.4176100000004</v>
      </c>
      <c r="W870">
        <v>4516.8526199999997</v>
      </c>
      <c r="Z870">
        <v>4582.32</v>
      </c>
      <c r="AB870">
        <v>4576.4413100000002</v>
      </c>
      <c r="AC870">
        <v>4575.3730800000003</v>
      </c>
      <c r="AD870">
        <v>0</v>
      </c>
      <c r="AE870">
        <f t="shared" si="122"/>
        <v>868</v>
      </c>
      <c r="AF870">
        <f t="shared" si="123"/>
        <v>867</v>
      </c>
      <c r="AG870">
        <f t="shared" si="117"/>
        <v>-6.2273800000002666</v>
      </c>
      <c r="AH870">
        <f t="shared" si="118"/>
        <v>38.780261664403319</v>
      </c>
      <c r="AI870">
        <f t="shared" si="119"/>
        <v>-5.5556091834151628E-3</v>
      </c>
      <c r="AJ870">
        <f t="shared" si="120"/>
        <v>9.8395578365713821E-4</v>
      </c>
      <c r="AK870">
        <f t="shared" si="121"/>
        <v>751689</v>
      </c>
      <c r="AL870">
        <f t="shared" si="124"/>
        <v>4535.9611299999997</v>
      </c>
      <c r="AM870" t="str">
        <f t="shared" si="125"/>
        <v/>
      </c>
    </row>
    <row r="871" spans="1:39" x14ac:dyDescent="0.55000000000000004">
      <c r="A871">
        <v>1777514402</v>
      </c>
      <c r="B871" t="s">
        <v>72</v>
      </c>
      <c r="C871" t="s">
        <v>73</v>
      </c>
      <c r="D871">
        <v>4579.74</v>
      </c>
      <c r="E871">
        <v>4518.5928199999998</v>
      </c>
      <c r="F871">
        <v>4596.0559499999999</v>
      </c>
      <c r="G871">
        <v>4755.40355</v>
      </c>
      <c r="H871">
        <v>4792.7697200000002</v>
      </c>
      <c r="Q871">
        <v>4585.0897800000002</v>
      </c>
      <c r="R871">
        <v>4614.4530800000002</v>
      </c>
      <c r="S871">
        <v>4641.0418499999996</v>
      </c>
      <c r="V871">
        <v>4550.1500100000003</v>
      </c>
      <c r="W871">
        <v>4516.5850099999998</v>
      </c>
      <c r="AB871">
        <v>4575.6206499999998</v>
      </c>
      <c r="AC871">
        <v>4575.4968699999999</v>
      </c>
      <c r="AD871">
        <v>0</v>
      </c>
      <c r="AE871">
        <f t="shared" si="122"/>
        <v>869</v>
      </c>
      <c r="AF871">
        <f t="shared" si="123"/>
        <v>868</v>
      </c>
      <c r="AG871">
        <f t="shared" si="117"/>
        <v>-5.3497800000004645</v>
      </c>
      <c r="AH871">
        <f t="shared" si="118"/>
        <v>28.620146048404969</v>
      </c>
      <c r="AI871">
        <f t="shared" si="119"/>
        <v>-3.5222757513122998E-3</v>
      </c>
      <c r="AJ871">
        <f t="shared" si="120"/>
        <v>5.3591733348740773E-4</v>
      </c>
      <c r="AK871">
        <f t="shared" si="121"/>
        <v>753424</v>
      </c>
      <c r="AL871">
        <f t="shared" si="124"/>
        <v>4535.9611299999997</v>
      </c>
      <c r="AM871" t="str">
        <f t="shared" si="125"/>
        <v/>
      </c>
    </row>
    <row r="872" spans="1:39" x14ac:dyDescent="0.55000000000000004">
      <c r="A872">
        <v>1777515302</v>
      </c>
      <c r="B872" t="s">
        <v>72</v>
      </c>
      <c r="C872" t="s">
        <v>73</v>
      </c>
      <c r="D872">
        <v>4573.13</v>
      </c>
      <c r="E872">
        <v>4518.5928199999998</v>
      </c>
      <c r="F872">
        <v>4596.0559499999999</v>
      </c>
      <c r="G872">
        <v>4755.40355</v>
      </c>
      <c r="H872">
        <v>4792.7697200000002</v>
      </c>
      <c r="Q872">
        <v>4584.8221700000004</v>
      </c>
      <c r="R872">
        <v>4614.1854700000004</v>
      </c>
      <c r="S872">
        <v>4640.7742399999997</v>
      </c>
      <c r="V872">
        <v>4549.8824000000004</v>
      </c>
      <c r="W872">
        <v>4516.3174099999997</v>
      </c>
      <c r="AB872">
        <v>4573.7037200000004</v>
      </c>
      <c r="AC872">
        <v>4574.6002900000003</v>
      </c>
      <c r="AD872">
        <v>1</v>
      </c>
      <c r="AE872">
        <f t="shared" si="122"/>
        <v>870</v>
      </c>
      <c r="AF872">
        <f t="shared" si="123"/>
        <v>869</v>
      </c>
      <c r="AG872">
        <f t="shared" si="117"/>
        <v>-11.69217000000026</v>
      </c>
      <c r="AH872">
        <f t="shared" si="118"/>
        <v>136.7068393089061</v>
      </c>
      <c r="AI872">
        <f t="shared" si="119"/>
        <v>-3.677061961462328E-2</v>
      </c>
      <c r="AJ872">
        <f t="shared" si="120"/>
        <v>1.2227413453137432E-2</v>
      </c>
      <c r="AK872">
        <f t="shared" si="121"/>
        <v>755161</v>
      </c>
      <c r="AL872">
        <f t="shared" si="124"/>
        <v>4573.7037200000004</v>
      </c>
      <c r="AM872">
        <f t="shared" si="125"/>
        <v>37.742590000000746</v>
      </c>
    </row>
    <row r="873" spans="1:39" x14ac:dyDescent="0.55000000000000004">
      <c r="A873">
        <v>1777516202</v>
      </c>
      <c r="B873" t="s">
        <v>72</v>
      </c>
      <c r="C873" t="s">
        <v>73</v>
      </c>
      <c r="D873">
        <v>4562.53</v>
      </c>
      <c r="E873">
        <v>4518.5928199999998</v>
      </c>
      <c r="F873">
        <v>4596.0559499999999</v>
      </c>
      <c r="G873">
        <v>4755.40355</v>
      </c>
      <c r="H873">
        <v>4792.7697200000002</v>
      </c>
      <c r="Q873">
        <v>4584.5545700000002</v>
      </c>
      <c r="R873">
        <v>4613.9178700000002</v>
      </c>
      <c r="S873">
        <v>4640.5066399999996</v>
      </c>
      <c r="V873">
        <v>4549.6148000000003</v>
      </c>
      <c r="W873">
        <v>4516.0497999999998</v>
      </c>
      <c r="AB873">
        <v>4570.9660800000001</v>
      </c>
      <c r="AC873">
        <v>4572.7831900000001</v>
      </c>
      <c r="AD873">
        <v>0</v>
      </c>
      <c r="AE873">
        <f t="shared" si="122"/>
        <v>871</v>
      </c>
      <c r="AF873">
        <f t="shared" si="123"/>
        <v>870</v>
      </c>
      <c r="AG873">
        <f t="shared" si="117"/>
        <v>-22.024570000000494</v>
      </c>
      <c r="AH873">
        <f t="shared" si="118"/>
        <v>485.08168368492176</v>
      </c>
      <c r="AI873">
        <f t="shared" si="119"/>
        <v>-0.24577510988566645</v>
      </c>
      <c r="AJ873">
        <f t="shared" si="120"/>
        <v>0.15395147891815245</v>
      </c>
      <c r="AK873">
        <f t="shared" si="121"/>
        <v>756900</v>
      </c>
      <c r="AL873">
        <f t="shared" si="124"/>
        <v>4573.7037200000004</v>
      </c>
      <c r="AM873" t="str">
        <f t="shared" si="125"/>
        <v/>
      </c>
    </row>
    <row r="874" spans="1:39" x14ac:dyDescent="0.55000000000000004">
      <c r="A874">
        <v>1777517102</v>
      </c>
      <c r="B874" t="s">
        <v>72</v>
      </c>
      <c r="C874" t="s">
        <v>73</v>
      </c>
      <c r="D874">
        <v>4565.0200000000004</v>
      </c>
      <c r="E874">
        <v>4518.5928199999998</v>
      </c>
      <c r="F874">
        <v>4596.0559499999999</v>
      </c>
      <c r="G874">
        <v>4755.40355</v>
      </c>
      <c r="H874">
        <v>4792.7697200000002</v>
      </c>
      <c r="Q874">
        <v>4584.2869700000001</v>
      </c>
      <c r="R874">
        <v>4613.6502600000003</v>
      </c>
      <c r="S874">
        <v>4640.2390400000004</v>
      </c>
      <c r="V874">
        <v>4549.3472000000002</v>
      </c>
      <c r="W874">
        <v>4515.7821999999996</v>
      </c>
      <c r="AB874">
        <v>4567.8880799999997</v>
      </c>
      <c r="AC874">
        <v>4570.3356299999996</v>
      </c>
      <c r="AD874">
        <v>0</v>
      </c>
      <c r="AE874">
        <f t="shared" si="122"/>
        <v>872</v>
      </c>
      <c r="AF874">
        <f t="shared" si="123"/>
        <v>871</v>
      </c>
      <c r="AG874">
        <f t="shared" si="117"/>
        <v>-19.266969999999674</v>
      </c>
      <c r="AH874">
        <f t="shared" si="118"/>
        <v>371.21613298088744</v>
      </c>
      <c r="AI874">
        <f t="shared" si="119"/>
        <v>-0.16453407272034373</v>
      </c>
      <c r="AJ874">
        <f t="shared" si="120"/>
        <v>9.0158732444908504E-2</v>
      </c>
      <c r="AK874">
        <f t="shared" si="121"/>
        <v>758641</v>
      </c>
      <c r="AL874">
        <f t="shared" si="124"/>
        <v>4573.7037200000004</v>
      </c>
      <c r="AM874" t="str">
        <f t="shared" si="125"/>
        <v/>
      </c>
    </row>
    <row r="875" spans="1:39" x14ac:dyDescent="0.55000000000000004">
      <c r="A875">
        <v>1777518002</v>
      </c>
      <c r="B875" t="s">
        <v>72</v>
      </c>
      <c r="C875" t="s">
        <v>73</v>
      </c>
      <c r="D875">
        <v>4564.9799999999996</v>
      </c>
      <c r="E875">
        <v>4518.5928199999998</v>
      </c>
      <c r="F875">
        <v>4596.0559499999999</v>
      </c>
      <c r="G875">
        <v>4755.40355</v>
      </c>
      <c r="H875">
        <v>4792.7697200000002</v>
      </c>
      <c r="Q875">
        <v>4584.0193600000002</v>
      </c>
      <c r="R875">
        <v>4613.3826600000002</v>
      </c>
      <c r="S875">
        <v>4639.9714299999996</v>
      </c>
      <c r="V875">
        <v>4549.0795900000003</v>
      </c>
      <c r="W875">
        <v>4515.5145899999998</v>
      </c>
      <c r="AB875">
        <v>4564.5158600000004</v>
      </c>
      <c r="AC875">
        <v>4567.4257500000003</v>
      </c>
      <c r="AD875">
        <v>0</v>
      </c>
      <c r="AE875">
        <f t="shared" si="122"/>
        <v>873</v>
      </c>
      <c r="AF875">
        <f t="shared" si="123"/>
        <v>872</v>
      </c>
      <c r="AG875">
        <f t="shared" si="117"/>
        <v>-19.03936000000067</v>
      </c>
      <c r="AH875">
        <f t="shared" si="118"/>
        <v>362.49722920962552</v>
      </c>
      <c r="AI875">
        <f t="shared" si="119"/>
        <v>-0.15877152693540686</v>
      </c>
      <c r="AJ875">
        <f t="shared" si="120"/>
        <v>8.5973279868156116E-2</v>
      </c>
      <c r="AK875">
        <f t="shared" si="121"/>
        <v>760384</v>
      </c>
      <c r="AL875">
        <f t="shared" si="124"/>
        <v>4573.7037200000004</v>
      </c>
      <c r="AM875" t="str">
        <f t="shared" si="125"/>
        <v/>
      </c>
    </row>
    <row r="876" spans="1:39" x14ac:dyDescent="0.55000000000000004">
      <c r="A876">
        <v>1777518902</v>
      </c>
      <c r="B876" t="s">
        <v>72</v>
      </c>
      <c r="C876" t="s">
        <v>73</v>
      </c>
      <c r="D876">
        <v>4563.32</v>
      </c>
      <c r="E876">
        <v>4518.5928199999998</v>
      </c>
      <c r="F876">
        <v>4596.0559499999999</v>
      </c>
      <c r="G876">
        <v>4755.40355</v>
      </c>
      <c r="H876">
        <v>4792.7697200000002</v>
      </c>
      <c r="Q876">
        <v>4583.7517600000001</v>
      </c>
      <c r="R876">
        <v>4613.1150600000001</v>
      </c>
      <c r="S876">
        <v>4639.7038300000004</v>
      </c>
      <c r="V876">
        <v>4548.8119900000002</v>
      </c>
      <c r="W876">
        <v>4515.2469899999996</v>
      </c>
      <c r="AB876">
        <v>4561.0269099999996</v>
      </c>
      <c r="AC876">
        <v>4564.2263300000004</v>
      </c>
      <c r="AD876">
        <v>0</v>
      </c>
      <c r="AE876">
        <f t="shared" si="122"/>
        <v>874</v>
      </c>
      <c r="AF876">
        <f t="shared" si="123"/>
        <v>873</v>
      </c>
      <c r="AG876">
        <f t="shared" si="117"/>
        <v>-20.431760000000395</v>
      </c>
      <c r="AH876">
        <f t="shared" si="118"/>
        <v>417.45681669761615</v>
      </c>
      <c r="AI876">
        <f t="shared" si="119"/>
        <v>-0.19621532322088286</v>
      </c>
      <c r="AJ876">
        <f t="shared" si="120"/>
        <v>0.11401899976591437</v>
      </c>
      <c r="AK876">
        <f t="shared" si="121"/>
        <v>762129</v>
      </c>
      <c r="AL876">
        <f t="shared" si="124"/>
        <v>4573.7037200000004</v>
      </c>
      <c r="AM876" t="str">
        <f t="shared" si="125"/>
        <v/>
      </c>
    </row>
    <row r="877" spans="1:39" x14ac:dyDescent="0.55000000000000004">
      <c r="A877">
        <v>1777519802</v>
      </c>
      <c r="B877" t="s">
        <v>72</v>
      </c>
      <c r="C877" t="s">
        <v>73</v>
      </c>
      <c r="D877">
        <v>4561.66</v>
      </c>
      <c r="E877">
        <v>4518.5928199999998</v>
      </c>
      <c r="F877">
        <v>4596.0559499999999</v>
      </c>
      <c r="G877">
        <v>4755.40355</v>
      </c>
      <c r="H877">
        <v>4792.7697200000002</v>
      </c>
      <c r="Q877">
        <v>4583.4841500000002</v>
      </c>
      <c r="R877">
        <v>4612.8474500000002</v>
      </c>
      <c r="S877">
        <v>4639.4362199999996</v>
      </c>
      <c r="V877">
        <v>4548.5443800000003</v>
      </c>
      <c r="W877">
        <v>4514.9793900000004</v>
      </c>
      <c r="AB877">
        <v>4557.5726999999997</v>
      </c>
      <c r="AC877">
        <v>4560.8995100000002</v>
      </c>
      <c r="AD877">
        <v>0</v>
      </c>
      <c r="AE877">
        <f t="shared" si="122"/>
        <v>875</v>
      </c>
      <c r="AF877">
        <f t="shared" si="123"/>
        <v>874</v>
      </c>
      <c r="AG877">
        <f t="shared" si="117"/>
        <v>-21.824150000000373</v>
      </c>
      <c r="AH877">
        <f t="shared" si="118"/>
        <v>476.29352322251628</v>
      </c>
      <c r="AI877">
        <f t="shared" si="119"/>
        <v>-0.23912643999521463</v>
      </c>
      <c r="AJ877">
        <f t="shared" si="120"/>
        <v>0.1484237719988159</v>
      </c>
      <c r="AK877">
        <f t="shared" si="121"/>
        <v>763876</v>
      </c>
      <c r="AL877">
        <f t="shared" si="124"/>
        <v>4573.7037200000004</v>
      </c>
      <c r="AM877" t="str">
        <f t="shared" si="125"/>
        <v/>
      </c>
    </row>
    <row r="878" spans="1:39" x14ac:dyDescent="0.55000000000000004">
      <c r="A878">
        <v>1777520702</v>
      </c>
      <c r="B878" t="s">
        <v>72</v>
      </c>
      <c r="C878" t="s">
        <v>73</v>
      </c>
      <c r="D878">
        <v>4556.09</v>
      </c>
      <c r="E878">
        <v>4518.5928199999998</v>
      </c>
      <c r="F878">
        <v>4596.0559499999999</v>
      </c>
      <c r="G878">
        <v>4755.40355</v>
      </c>
      <c r="H878">
        <v>4792.7697200000002</v>
      </c>
      <c r="Q878">
        <v>4583.2165500000001</v>
      </c>
      <c r="R878">
        <v>4612.5798500000001</v>
      </c>
      <c r="S878">
        <v>4639.1686200000004</v>
      </c>
      <c r="V878">
        <v>4548.2767800000001</v>
      </c>
      <c r="W878">
        <v>4514.7117799999996</v>
      </c>
      <c r="AB878">
        <v>4554.3384400000004</v>
      </c>
      <c r="AC878">
        <v>4557.6189800000002</v>
      </c>
      <c r="AD878">
        <v>0</v>
      </c>
      <c r="AE878">
        <f t="shared" si="122"/>
        <v>876</v>
      </c>
      <c r="AF878">
        <f t="shared" si="123"/>
        <v>875</v>
      </c>
      <c r="AG878">
        <f t="shared" si="117"/>
        <v>-27.126549999999952</v>
      </c>
      <c r="AH878">
        <f t="shared" si="118"/>
        <v>735.84971490249734</v>
      </c>
      <c r="AI878">
        <f t="shared" si="119"/>
        <v>-0.45919724458494438</v>
      </c>
      <c r="AJ878">
        <f t="shared" si="120"/>
        <v>0.35426835810997565</v>
      </c>
      <c r="AK878">
        <f t="shared" si="121"/>
        <v>765625</v>
      </c>
      <c r="AL878">
        <f t="shared" si="124"/>
        <v>4573.7037200000004</v>
      </c>
      <c r="AM878" t="str">
        <f t="shared" si="125"/>
        <v/>
      </c>
    </row>
    <row r="879" spans="1:39" x14ac:dyDescent="0.55000000000000004">
      <c r="A879">
        <v>1777521602</v>
      </c>
      <c r="B879" t="s">
        <v>72</v>
      </c>
      <c r="C879" t="s">
        <v>73</v>
      </c>
      <c r="D879">
        <v>4555.41</v>
      </c>
      <c r="E879">
        <v>4518.5928199999998</v>
      </c>
      <c r="F879">
        <v>4596.0559499999999</v>
      </c>
      <c r="G879">
        <v>4755.40355</v>
      </c>
      <c r="H879">
        <v>4792.7697200000002</v>
      </c>
      <c r="Q879">
        <v>4582.94895</v>
      </c>
      <c r="R879">
        <v>4612.3122400000002</v>
      </c>
      <c r="S879">
        <v>4638.9010099999996</v>
      </c>
      <c r="V879">
        <v>4548.0091700000003</v>
      </c>
      <c r="W879">
        <v>4514.4441800000004</v>
      </c>
      <c r="AB879">
        <v>4551.6532800000004</v>
      </c>
      <c r="AC879">
        <v>4554.6361299999999</v>
      </c>
      <c r="AD879">
        <v>0</v>
      </c>
      <c r="AE879">
        <f t="shared" si="122"/>
        <v>877</v>
      </c>
      <c r="AF879">
        <f t="shared" si="123"/>
        <v>876</v>
      </c>
      <c r="AG879">
        <f t="shared" si="117"/>
        <v>-27.538950000000114</v>
      </c>
      <c r="AH879">
        <f t="shared" si="118"/>
        <v>758.39376710250622</v>
      </c>
      <c r="AI879">
        <f t="shared" si="119"/>
        <v>-0.48046053118367776</v>
      </c>
      <c r="AJ879">
        <f t="shared" si="120"/>
        <v>0.37630814871647328</v>
      </c>
      <c r="AK879">
        <f t="shared" si="121"/>
        <v>767376</v>
      </c>
      <c r="AL879">
        <f t="shared" si="124"/>
        <v>4573.7037200000004</v>
      </c>
      <c r="AM879" t="str">
        <f t="shared" si="125"/>
        <v/>
      </c>
    </row>
    <row r="880" spans="1:39" x14ac:dyDescent="0.55000000000000004">
      <c r="A880">
        <v>1777522502</v>
      </c>
      <c r="B880" t="s">
        <v>72</v>
      </c>
      <c r="C880" t="s">
        <v>73</v>
      </c>
      <c r="D880">
        <v>4547.28</v>
      </c>
      <c r="E880">
        <v>4518.5928199999998</v>
      </c>
      <c r="F880">
        <v>4596.0559499999999</v>
      </c>
      <c r="G880">
        <v>4755.40355</v>
      </c>
      <c r="H880">
        <v>4792.7697200000002</v>
      </c>
      <c r="Q880">
        <v>4582.6813400000001</v>
      </c>
      <c r="R880">
        <v>4612.0446400000001</v>
      </c>
      <c r="S880">
        <v>4638.6334100000004</v>
      </c>
      <c r="V880">
        <v>4547.7415700000001</v>
      </c>
      <c r="W880">
        <v>4514.1765699999996</v>
      </c>
      <c r="AB880">
        <v>4549.7284200000004</v>
      </c>
      <c r="AC880">
        <v>4552.18228</v>
      </c>
      <c r="AD880">
        <v>0</v>
      </c>
      <c r="AE880">
        <f t="shared" si="122"/>
        <v>878</v>
      </c>
      <c r="AF880">
        <f t="shared" si="123"/>
        <v>877</v>
      </c>
      <c r="AG880">
        <f t="shared" si="117"/>
        <v>-35.401340000000346</v>
      </c>
      <c r="AH880">
        <f t="shared" si="118"/>
        <v>1253.2548737956245</v>
      </c>
      <c r="AI880">
        <f t="shared" si="119"/>
        <v>-1.0206449423201926</v>
      </c>
      <c r="AJ880">
        <f t="shared" si="120"/>
        <v>1.027620873074186</v>
      </c>
      <c r="AK880">
        <f t="shared" si="121"/>
        <v>769129</v>
      </c>
      <c r="AL880">
        <f t="shared" si="124"/>
        <v>4573.7037200000004</v>
      </c>
      <c r="AM880" t="str">
        <f t="shared" si="125"/>
        <v/>
      </c>
    </row>
    <row r="881" spans="1:39" x14ac:dyDescent="0.55000000000000004">
      <c r="A881">
        <v>1777523402</v>
      </c>
      <c r="B881" t="s">
        <v>72</v>
      </c>
      <c r="C881" t="s">
        <v>73</v>
      </c>
      <c r="D881">
        <v>4544.74</v>
      </c>
      <c r="E881">
        <v>4518.5928199999998</v>
      </c>
      <c r="F881">
        <v>4596.0559499999999</v>
      </c>
      <c r="G881">
        <v>4755.40355</v>
      </c>
      <c r="H881">
        <v>4792.7697200000002</v>
      </c>
      <c r="Q881">
        <v>4582.41374</v>
      </c>
      <c r="R881">
        <v>4611.7770399999999</v>
      </c>
      <c r="S881">
        <v>4638.3658100000002</v>
      </c>
      <c r="V881">
        <v>4547.47397</v>
      </c>
      <c r="W881">
        <v>4513.9089700000004</v>
      </c>
      <c r="AA881">
        <v>4540.82</v>
      </c>
      <c r="AB881">
        <v>4548.9211400000004</v>
      </c>
      <c r="AC881">
        <v>4550.5517099999997</v>
      </c>
      <c r="AD881">
        <v>0</v>
      </c>
      <c r="AE881">
        <f t="shared" si="122"/>
        <v>879</v>
      </c>
      <c r="AF881">
        <f t="shared" si="123"/>
        <v>878</v>
      </c>
      <c r="AG881">
        <f t="shared" si="117"/>
        <v>-37.67374000000018</v>
      </c>
      <c r="AH881">
        <f t="shared" si="118"/>
        <v>1419.3106855876135</v>
      </c>
      <c r="AI881">
        <f t="shared" si="119"/>
        <v>-1.2300755697968628</v>
      </c>
      <c r="AJ881">
        <f t="shared" si="120"/>
        <v>1.3179807209572414</v>
      </c>
      <c r="AK881">
        <f t="shared" si="121"/>
        <v>770884</v>
      </c>
      <c r="AL881">
        <f t="shared" si="124"/>
        <v>4573.7037200000004</v>
      </c>
      <c r="AM881" t="str">
        <f t="shared" si="125"/>
        <v/>
      </c>
    </row>
    <row r="882" spans="1:39" x14ac:dyDescent="0.55000000000000004">
      <c r="A882">
        <v>1777524302</v>
      </c>
      <c r="B882" t="s">
        <v>72</v>
      </c>
      <c r="C882" t="s">
        <v>73</v>
      </c>
      <c r="D882">
        <v>4541.91</v>
      </c>
      <c r="E882">
        <v>4518.5928199999998</v>
      </c>
      <c r="F882">
        <v>4596.0559499999999</v>
      </c>
      <c r="G882">
        <v>4755.40355</v>
      </c>
      <c r="H882">
        <v>4792.7697200000002</v>
      </c>
      <c r="Q882">
        <v>4582.1461300000001</v>
      </c>
      <c r="R882">
        <v>4611.5094300000001</v>
      </c>
      <c r="S882">
        <v>4638.0982000000004</v>
      </c>
      <c r="V882">
        <v>4547.2063600000001</v>
      </c>
      <c r="W882">
        <v>4513.6413700000003</v>
      </c>
      <c r="AB882">
        <v>4549.3872000000001</v>
      </c>
      <c r="AC882">
        <v>4549.9694499999996</v>
      </c>
      <c r="AD882">
        <v>0</v>
      </c>
      <c r="AE882">
        <f t="shared" si="122"/>
        <v>880</v>
      </c>
      <c r="AF882">
        <f t="shared" si="123"/>
        <v>879</v>
      </c>
      <c r="AG882">
        <f t="shared" si="117"/>
        <v>-40.23613000000023</v>
      </c>
      <c r="AH882">
        <f t="shared" si="118"/>
        <v>1618.9461573769186</v>
      </c>
      <c r="AI882">
        <f t="shared" si="119"/>
        <v>-1.4985256891852587</v>
      </c>
      <c r="AJ882">
        <f t="shared" si="120"/>
        <v>1.7148215130740816</v>
      </c>
      <c r="AK882">
        <f t="shared" si="121"/>
        <v>772641</v>
      </c>
      <c r="AL882">
        <f t="shared" si="124"/>
        <v>4573.7037200000004</v>
      </c>
      <c r="AM882" t="str">
        <f t="shared" si="125"/>
        <v/>
      </c>
    </row>
    <row r="883" spans="1:39" x14ac:dyDescent="0.55000000000000004">
      <c r="A883">
        <v>1777525202</v>
      </c>
      <c r="B883" t="s">
        <v>72</v>
      </c>
      <c r="C883" t="s">
        <v>73</v>
      </c>
      <c r="D883">
        <v>4553.22</v>
      </c>
      <c r="E883">
        <v>4518.5928199999998</v>
      </c>
      <c r="F883">
        <v>4596.0559499999999</v>
      </c>
      <c r="G883">
        <v>4755.40355</v>
      </c>
      <c r="H883">
        <v>4792.7697200000002</v>
      </c>
      <c r="Q883">
        <v>4581.87853</v>
      </c>
      <c r="R883">
        <v>4611.2418299999999</v>
      </c>
      <c r="S883">
        <v>4637.8306000000002</v>
      </c>
      <c r="V883">
        <v>4546.93876</v>
      </c>
      <c r="W883">
        <v>4513.3737600000004</v>
      </c>
      <c r="AB883">
        <v>4551.2341100000003</v>
      </c>
      <c r="AC883">
        <v>4550.60178</v>
      </c>
      <c r="AD883">
        <v>1</v>
      </c>
      <c r="AE883">
        <f t="shared" si="122"/>
        <v>881</v>
      </c>
      <c r="AF883">
        <f t="shared" si="123"/>
        <v>880</v>
      </c>
      <c r="AG883">
        <f t="shared" si="117"/>
        <v>-28.658529999999701</v>
      </c>
      <c r="AH883">
        <f t="shared" si="118"/>
        <v>821.31134176088278</v>
      </c>
      <c r="AI883">
        <f t="shared" si="119"/>
        <v>-0.54147363451006003</v>
      </c>
      <c r="AJ883">
        <f t="shared" si="120"/>
        <v>0.44133640496893239</v>
      </c>
      <c r="AK883">
        <f t="shared" si="121"/>
        <v>774400</v>
      </c>
      <c r="AL883">
        <f t="shared" si="124"/>
        <v>4551.2341100000003</v>
      </c>
      <c r="AM883">
        <f t="shared" si="125"/>
        <v>22.469610000000102</v>
      </c>
    </row>
    <row r="884" spans="1:39" x14ac:dyDescent="0.55000000000000004">
      <c r="A884">
        <v>1777526102</v>
      </c>
      <c r="B884" t="s">
        <v>72</v>
      </c>
      <c r="C884" t="s">
        <v>73</v>
      </c>
      <c r="D884">
        <v>4555.7299999999996</v>
      </c>
      <c r="E884">
        <v>4518.5928199999998</v>
      </c>
      <c r="F884">
        <v>4596.0559499999999</v>
      </c>
      <c r="G884">
        <v>4755.40355</v>
      </c>
      <c r="H884">
        <v>4792.7697200000002</v>
      </c>
      <c r="Q884">
        <v>4581.6109200000001</v>
      </c>
      <c r="R884">
        <v>4610.9742200000001</v>
      </c>
      <c r="S884">
        <v>4637.5629900000004</v>
      </c>
      <c r="V884">
        <v>4546.6711500000001</v>
      </c>
      <c r="W884">
        <v>4513.1061600000003</v>
      </c>
      <c r="AB884">
        <v>4554.1030199999996</v>
      </c>
      <c r="AC884">
        <v>4552.3523999999998</v>
      </c>
      <c r="AD884">
        <v>0</v>
      </c>
      <c r="AE884">
        <f t="shared" si="122"/>
        <v>882</v>
      </c>
      <c r="AF884">
        <f t="shared" si="123"/>
        <v>881</v>
      </c>
      <c r="AG884">
        <f t="shared" si="117"/>
        <v>-25.880920000000515</v>
      </c>
      <c r="AH884">
        <f t="shared" si="118"/>
        <v>669.8220200464267</v>
      </c>
      <c r="AI884">
        <f t="shared" si="119"/>
        <v>-0.3987996012947928</v>
      </c>
      <c r="AJ884">
        <f t="shared" si="120"/>
        <v>0.29354382835096549</v>
      </c>
      <c r="AK884">
        <f t="shared" si="121"/>
        <v>776161</v>
      </c>
      <c r="AL884">
        <f t="shared" si="124"/>
        <v>4551.2341100000003</v>
      </c>
      <c r="AM884" t="str">
        <f t="shared" si="125"/>
        <v/>
      </c>
    </row>
    <row r="885" spans="1:39" x14ac:dyDescent="0.55000000000000004">
      <c r="A885">
        <v>1777527002</v>
      </c>
      <c r="B885" t="s">
        <v>72</v>
      </c>
      <c r="C885" t="s">
        <v>73</v>
      </c>
      <c r="D885">
        <v>4564.04</v>
      </c>
      <c r="E885">
        <v>4518.5928199999998</v>
      </c>
      <c r="F885">
        <v>4596.0559499999999</v>
      </c>
      <c r="G885">
        <v>4755.40355</v>
      </c>
      <c r="H885">
        <v>4792.7697200000002</v>
      </c>
      <c r="Q885">
        <v>4581.3433199999999</v>
      </c>
      <c r="R885">
        <v>4610.7066199999999</v>
      </c>
      <c r="S885">
        <v>4637.2953900000002</v>
      </c>
      <c r="V885">
        <v>4546.40355</v>
      </c>
      <c r="W885">
        <v>4512.8385500000004</v>
      </c>
      <c r="AB885">
        <v>4557.8219900000004</v>
      </c>
      <c r="AC885">
        <v>4555.0871999999999</v>
      </c>
      <c r="AD885">
        <v>0</v>
      </c>
      <c r="AE885">
        <f t="shared" si="122"/>
        <v>883</v>
      </c>
      <c r="AF885">
        <f t="shared" si="123"/>
        <v>882</v>
      </c>
      <c r="AG885">
        <f t="shared" si="117"/>
        <v>-17.303319999999985</v>
      </c>
      <c r="AH885">
        <f t="shared" si="118"/>
        <v>299.40488302239947</v>
      </c>
      <c r="AI885">
        <f t="shared" si="119"/>
        <v>-0.11918014322626572</v>
      </c>
      <c r="AJ885">
        <f t="shared" si="120"/>
        <v>5.8650520502466288E-2</v>
      </c>
      <c r="AK885">
        <f t="shared" si="121"/>
        <v>777924</v>
      </c>
      <c r="AL885">
        <f t="shared" si="124"/>
        <v>4551.2341100000003</v>
      </c>
      <c r="AM885" t="str">
        <f t="shared" si="125"/>
        <v/>
      </c>
    </row>
    <row r="886" spans="1:39" x14ac:dyDescent="0.55000000000000004">
      <c r="A886">
        <v>1777527902</v>
      </c>
      <c r="B886" t="s">
        <v>72</v>
      </c>
      <c r="C886" t="s">
        <v>73</v>
      </c>
      <c r="D886">
        <v>4562.71</v>
      </c>
      <c r="E886">
        <v>4518.5928199999998</v>
      </c>
      <c r="F886">
        <v>4596.0559499999999</v>
      </c>
      <c r="G886">
        <v>4755.40355</v>
      </c>
      <c r="H886">
        <v>4792.7697200000002</v>
      </c>
      <c r="Q886">
        <v>4581.0757199999998</v>
      </c>
      <c r="R886">
        <v>4610.4390199999998</v>
      </c>
      <c r="S886">
        <v>4637.0277900000001</v>
      </c>
      <c r="V886">
        <v>4546.1359499999999</v>
      </c>
      <c r="W886">
        <v>4512.5709500000003</v>
      </c>
      <c r="AB886">
        <v>4562.1063899999999</v>
      </c>
      <c r="AC886">
        <v>4558.5967899999996</v>
      </c>
      <c r="AD886">
        <v>0</v>
      </c>
      <c r="AE886">
        <f t="shared" si="122"/>
        <v>884</v>
      </c>
      <c r="AF886">
        <f t="shared" si="123"/>
        <v>883</v>
      </c>
      <c r="AG886">
        <f t="shared" si="117"/>
        <v>-18.365719999999783</v>
      </c>
      <c r="AH886">
        <f t="shared" si="118"/>
        <v>337.29967111839204</v>
      </c>
      <c r="AI886">
        <f t="shared" si="119"/>
        <v>-0.1425080708717667</v>
      </c>
      <c r="AJ886">
        <f t="shared" si="120"/>
        <v>7.4436500630597813E-2</v>
      </c>
      <c r="AK886">
        <f t="shared" si="121"/>
        <v>779689</v>
      </c>
      <c r="AL886">
        <f t="shared" si="124"/>
        <v>4551.2341100000003</v>
      </c>
      <c r="AM886" t="str">
        <f t="shared" si="125"/>
        <v/>
      </c>
    </row>
    <row r="887" spans="1:39" x14ac:dyDescent="0.55000000000000004">
      <c r="A887">
        <v>1777528802</v>
      </c>
      <c r="B887" t="s">
        <v>72</v>
      </c>
      <c r="C887" t="s">
        <v>73</v>
      </c>
      <c r="D887">
        <v>4566.21</v>
      </c>
      <c r="E887">
        <v>4518.5928199999998</v>
      </c>
      <c r="F887">
        <v>4596.0559499999999</v>
      </c>
      <c r="G887">
        <v>4755.40355</v>
      </c>
      <c r="H887">
        <v>4792.7697200000002</v>
      </c>
      <c r="Q887">
        <v>4580.8081099999999</v>
      </c>
      <c r="R887">
        <v>4610.1714099999999</v>
      </c>
      <c r="S887">
        <v>4636.7601800000002</v>
      </c>
      <c r="V887">
        <v>4545.86834</v>
      </c>
      <c r="W887">
        <v>4512.3033500000001</v>
      </c>
      <c r="AB887">
        <v>4566.9917299999997</v>
      </c>
      <c r="AC887">
        <v>4562.7942599999997</v>
      </c>
      <c r="AD887">
        <v>0</v>
      </c>
      <c r="AE887">
        <f t="shared" si="122"/>
        <v>885</v>
      </c>
      <c r="AF887">
        <f t="shared" si="123"/>
        <v>884</v>
      </c>
      <c r="AG887">
        <f t="shared" si="117"/>
        <v>-14.598109999999906</v>
      </c>
      <c r="AH887">
        <f t="shared" si="118"/>
        <v>213.10481557209727</v>
      </c>
      <c r="AI887">
        <f t="shared" si="119"/>
        <v>-7.1565791689820829E-2</v>
      </c>
      <c r="AJ887">
        <f t="shared" si="120"/>
        <v>2.9712598877136197E-2</v>
      </c>
      <c r="AK887">
        <f t="shared" si="121"/>
        <v>781456</v>
      </c>
      <c r="AL887">
        <f t="shared" si="124"/>
        <v>4551.2341100000003</v>
      </c>
      <c r="AM887" t="str">
        <f t="shared" si="125"/>
        <v/>
      </c>
    </row>
    <row r="888" spans="1:39" x14ac:dyDescent="0.55000000000000004">
      <c r="A888">
        <v>1777529702</v>
      </c>
      <c r="B888" t="s">
        <v>72</v>
      </c>
      <c r="C888" t="s">
        <v>73</v>
      </c>
      <c r="D888">
        <v>4569.57</v>
      </c>
      <c r="E888">
        <v>4518.5928199999998</v>
      </c>
      <c r="F888">
        <v>4596.0559499999999</v>
      </c>
      <c r="G888">
        <v>4755.40355</v>
      </c>
      <c r="H888">
        <v>4792.7697200000002</v>
      </c>
      <c r="Q888">
        <v>4580.5405099999998</v>
      </c>
      <c r="R888">
        <v>4609.9038099999998</v>
      </c>
      <c r="S888">
        <v>4636.4925800000001</v>
      </c>
      <c r="V888">
        <v>4545.6007399999999</v>
      </c>
      <c r="W888">
        <v>4512.0357400000003</v>
      </c>
      <c r="AB888">
        <v>4572.4006499999996</v>
      </c>
      <c r="AC888">
        <v>4567.5974500000002</v>
      </c>
      <c r="AD888">
        <v>0</v>
      </c>
      <c r="AE888">
        <f t="shared" si="122"/>
        <v>886</v>
      </c>
      <c r="AF888">
        <f t="shared" si="123"/>
        <v>885</v>
      </c>
      <c r="AG888">
        <f t="shared" si="117"/>
        <v>-10.970510000000104</v>
      </c>
      <c r="AH888">
        <f t="shared" si="118"/>
        <v>120.35208966010228</v>
      </c>
      <c r="AI888">
        <f t="shared" si="119"/>
        <v>-3.0373583783685168E-2</v>
      </c>
      <c r="AJ888">
        <f t="shared" si="120"/>
        <v>9.4767927536292818E-3</v>
      </c>
      <c r="AK888">
        <f t="shared" si="121"/>
        <v>783225</v>
      </c>
      <c r="AL888">
        <f t="shared" si="124"/>
        <v>4551.2341100000003</v>
      </c>
      <c r="AM888" t="str">
        <f t="shared" si="125"/>
        <v/>
      </c>
    </row>
    <row r="889" spans="1:39" x14ac:dyDescent="0.55000000000000004">
      <c r="A889">
        <v>1777530602</v>
      </c>
      <c r="B889" t="s">
        <v>72</v>
      </c>
      <c r="C889" t="s">
        <v>73</v>
      </c>
      <c r="D889">
        <v>4575.2299999999996</v>
      </c>
      <c r="E889">
        <v>4518.5928199999998</v>
      </c>
      <c r="F889">
        <v>4596.0559499999999</v>
      </c>
      <c r="G889">
        <v>4755.40355</v>
      </c>
      <c r="H889">
        <v>4792.7697200000002</v>
      </c>
      <c r="Q889">
        <v>4580.2728999999999</v>
      </c>
      <c r="R889">
        <v>4609.6361999999999</v>
      </c>
      <c r="S889">
        <v>4636.2249700000002</v>
      </c>
      <c r="V889">
        <v>4545.33313</v>
      </c>
      <c r="W889">
        <v>4511.7681400000001</v>
      </c>
      <c r="AB889">
        <v>4578.2314500000002</v>
      </c>
      <c r="AC889">
        <v>4572.9144500000002</v>
      </c>
      <c r="AD889">
        <v>0</v>
      </c>
      <c r="AE889">
        <f t="shared" si="122"/>
        <v>887</v>
      </c>
      <c r="AF889">
        <f t="shared" si="123"/>
        <v>886</v>
      </c>
      <c r="AG889">
        <f t="shared" si="117"/>
        <v>-5.0429000000003725</v>
      </c>
      <c r="AH889">
        <f t="shared" si="118"/>
        <v>25.430840410003757</v>
      </c>
      <c r="AI889">
        <f t="shared" si="119"/>
        <v>-2.9502352872408039E-3</v>
      </c>
      <c r="AJ889">
        <f t="shared" si="120"/>
        <v>4.2313167544138494E-4</v>
      </c>
      <c r="AK889">
        <f t="shared" si="121"/>
        <v>784996</v>
      </c>
      <c r="AL889">
        <f t="shared" si="124"/>
        <v>4551.2341100000003</v>
      </c>
      <c r="AM889" t="str">
        <f t="shared" si="125"/>
        <v/>
      </c>
    </row>
    <row r="890" spans="1:39" x14ac:dyDescent="0.55000000000000004">
      <c r="A890">
        <v>1777531502</v>
      </c>
      <c r="B890" t="s">
        <v>72</v>
      </c>
      <c r="C890" t="s">
        <v>73</v>
      </c>
      <c r="D890">
        <v>4589.4399999999996</v>
      </c>
      <c r="E890">
        <v>4518.5928199999998</v>
      </c>
      <c r="F890">
        <v>4596.0559499999999</v>
      </c>
      <c r="G890">
        <v>4755.40355</v>
      </c>
      <c r="H890">
        <v>4792.7697200000002</v>
      </c>
      <c r="Q890">
        <v>4580.0052999999998</v>
      </c>
      <c r="R890">
        <v>4609.3685999999998</v>
      </c>
      <c r="S890">
        <v>4635.9573700000001</v>
      </c>
      <c r="V890">
        <v>4545.0655299999999</v>
      </c>
      <c r="W890">
        <v>4511.5005300000003</v>
      </c>
      <c r="AB890">
        <v>4584.2400699999998</v>
      </c>
      <c r="AC890">
        <v>4578.57726</v>
      </c>
      <c r="AD890">
        <v>0</v>
      </c>
      <c r="AE890">
        <f t="shared" si="122"/>
        <v>888</v>
      </c>
      <c r="AF890">
        <f t="shared" si="123"/>
        <v>887</v>
      </c>
      <c r="AG890">
        <f t="shared" si="117"/>
        <v>9.4346999999997934</v>
      </c>
      <c r="AH890">
        <f t="shared" si="118"/>
        <v>89.013564089996095</v>
      </c>
      <c r="AI890">
        <f t="shared" si="119"/>
        <v>1.9319677395727874E-2</v>
      </c>
      <c r="AJ890">
        <f t="shared" si="120"/>
        <v>5.184017913641919E-3</v>
      </c>
      <c r="AK890">
        <f t="shared" si="121"/>
        <v>786769</v>
      </c>
      <c r="AL890">
        <f t="shared" si="124"/>
        <v>4551.2341100000003</v>
      </c>
      <c r="AM890" t="str">
        <f t="shared" si="125"/>
        <v/>
      </c>
    </row>
    <row r="891" spans="1:39" x14ac:dyDescent="0.55000000000000004">
      <c r="A891">
        <v>1777532402</v>
      </c>
      <c r="B891" t="s">
        <v>72</v>
      </c>
      <c r="C891" t="s">
        <v>73</v>
      </c>
      <c r="D891">
        <v>4591.59</v>
      </c>
      <c r="E891">
        <v>4518.5928199999998</v>
      </c>
      <c r="F891">
        <v>4596.0559499999999</v>
      </c>
      <c r="G891">
        <v>4755.40355</v>
      </c>
      <c r="H891">
        <v>4792.7697200000002</v>
      </c>
      <c r="Q891">
        <v>4579.7376999999997</v>
      </c>
      <c r="R891">
        <v>4609.1009899999999</v>
      </c>
      <c r="S891">
        <v>4635.68977</v>
      </c>
      <c r="V891">
        <v>4544.7979299999997</v>
      </c>
      <c r="W891">
        <v>4511.2329300000001</v>
      </c>
      <c r="AB891">
        <v>4589.9597999999996</v>
      </c>
      <c r="AC891">
        <v>4584.2685300000003</v>
      </c>
      <c r="AD891">
        <v>0</v>
      </c>
      <c r="AE891">
        <f t="shared" si="122"/>
        <v>889</v>
      </c>
      <c r="AF891">
        <f t="shared" si="123"/>
        <v>888</v>
      </c>
      <c r="AG891">
        <f t="shared" si="117"/>
        <v>11.852300000000469</v>
      </c>
      <c r="AH891">
        <f t="shared" si="118"/>
        <v>140.47701529001111</v>
      </c>
      <c r="AI891">
        <f t="shared" si="119"/>
        <v>3.8302179860599438E-2</v>
      </c>
      <c r="AJ891">
        <f t="shared" si="120"/>
        <v>1.2911141924471728E-2</v>
      </c>
      <c r="AK891">
        <f t="shared" si="121"/>
        <v>788544</v>
      </c>
      <c r="AL891">
        <f t="shared" si="124"/>
        <v>4551.2341100000003</v>
      </c>
      <c r="AM891" t="str">
        <f t="shared" si="125"/>
        <v/>
      </c>
    </row>
    <row r="892" spans="1:39" x14ac:dyDescent="0.55000000000000004">
      <c r="A892">
        <v>1777533302</v>
      </c>
      <c r="B892" t="s">
        <v>72</v>
      </c>
      <c r="C892" t="s">
        <v>73</v>
      </c>
      <c r="D892">
        <v>4591.59</v>
      </c>
      <c r="E892">
        <v>4518.5928199999998</v>
      </c>
      <c r="F892">
        <v>4596.0559499999999</v>
      </c>
      <c r="G892">
        <v>4755.40355</v>
      </c>
      <c r="H892">
        <v>4792.7697200000002</v>
      </c>
      <c r="Q892">
        <v>4579.4700899999998</v>
      </c>
      <c r="R892">
        <v>4608.8333899999998</v>
      </c>
      <c r="S892">
        <v>4635.4221600000001</v>
      </c>
      <c r="V892">
        <v>4544.5303199999998</v>
      </c>
      <c r="W892">
        <v>4510.96533</v>
      </c>
      <c r="AB892">
        <v>4595.30501</v>
      </c>
      <c r="AC892">
        <v>4589.7867699999997</v>
      </c>
      <c r="AD892">
        <v>0</v>
      </c>
      <c r="AE892">
        <f t="shared" si="122"/>
        <v>890</v>
      </c>
      <c r="AF892">
        <f t="shared" si="123"/>
        <v>889</v>
      </c>
      <c r="AG892">
        <f t="shared" si="117"/>
        <v>12.119910000000345</v>
      </c>
      <c r="AH892">
        <f t="shared" si="118"/>
        <v>146.89221840810836</v>
      </c>
      <c r="AI892">
        <f t="shared" si="119"/>
        <v>4.0955644919739728E-2</v>
      </c>
      <c r="AJ892">
        <f t="shared" si="120"/>
        <v>1.411730156972011E-2</v>
      </c>
      <c r="AK892">
        <f t="shared" si="121"/>
        <v>790321</v>
      </c>
      <c r="AL892">
        <f t="shared" si="124"/>
        <v>4551.2341100000003</v>
      </c>
      <c r="AM892" t="str">
        <f t="shared" si="125"/>
        <v/>
      </c>
    </row>
    <row r="893" spans="1:39" x14ac:dyDescent="0.55000000000000004">
      <c r="A893">
        <v>1777534202</v>
      </c>
      <c r="B893" t="s">
        <v>72</v>
      </c>
      <c r="C893" t="s">
        <v>73</v>
      </c>
      <c r="D893">
        <v>4596.6899999999996</v>
      </c>
      <c r="E893">
        <v>4518.5928199999998</v>
      </c>
      <c r="F893">
        <v>4596.0559499999999</v>
      </c>
      <c r="G893">
        <v>4755.40355</v>
      </c>
      <c r="H893">
        <v>4792.7697200000002</v>
      </c>
      <c r="Q893">
        <v>4579.2024899999997</v>
      </c>
      <c r="R893">
        <v>4608.5657899999997</v>
      </c>
      <c r="S893">
        <v>4635.1545599999999</v>
      </c>
      <c r="V893">
        <v>4544.2627199999997</v>
      </c>
      <c r="W893">
        <v>4510.6977200000001</v>
      </c>
      <c r="AB893">
        <v>4600.2811600000005</v>
      </c>
      <c r="AC893">
        <v>4595.0339599999998</v>
      </c>
      <c r="AD893">
        <v>0</v>
      </c>
      <c r="AE893">
        <f t="shared" si="122"/>
        <v>891</v>
      </c>
      <c r="AF893">
        <f t="shared" si="123"/>
        <v>890</v>
      </c>
      <c r="AG893">
        <f t="shared" si="117"/>
        <v>17.487509999999929</v>
      </c>
      <c r="AH893">
        <f t="shared" si="118"/>
        <v>305.81300600009752</v>
      </c>
      <c r="AI893">
        <f t="shared" si="119"/>
        <v>0.1230267388472495</v>
      </c>
      <c r="AJ893">
        <f t="shared" si="120"/>
        <v>6.1187965906674489E-2</v>
      </c>
      <c r="AK893">
        <f t="shared" si="121"/>
        <v>792100</v>
      </c>
      <c r="AL893">
        <f t="shared" si="124"/>
        <v>4551.2341100000003</v>
      </c>
      <c r="AM893" t="str">
        <f t="shared" si="125"/>
        <v/>
      </c>
    </row>
    <row r="894" spans="1:39" x14ac:dyDescent="0.55000000000000004">
      <c r="A894">
        <v>1777535102</v>
      </c>
      <c r="B894" t="s">
        <v>72</v>
      </c>
      <c r="C894" t="s">
        <v>73</v>
      </c>
      <c r="D894">
        <v>4598.4399999999996</v>
      </c>
      <c r="E894">
        <v>4518.5928199999998</v>
      </c>
      <c r="F894">
        <v>4596.0559499999999</v>
      </c>
      <c r="G894">
        <v>4755.40355</v>
      </c>
      <c r="H894">
        <v>4792.7697200000002</v>
      </c>
      <c r="Q894">
        <v>4578.9348799999998</v>
      </c>
      <c r="R894">
        <v>4608.2981799999998</v>
      </c>
      <c r="S894">
        <v>4634.8869500000001</v>
      </c>
      <c r="V894">
        <v>4543.9951099999998</v>
      </c>
      <c r="W894">
        <v>4510.43012</v>
      </c>
      <c r="AB894">
        <v>4604.81754</v>
      </c>
      <c r="AC894">
        <v>4599.9257500000003</v>
      </c>
      <c r="AD894">
        <v>0</v>
      </c>
      <c r="AE894">
        <f t="shared" si="122"/>
        <v>892</v>
      </c>
      <c r="AF894">
        <f t="shared" si="123"/>
        <v>891</v>
      </c>
      <c r="AG894">
        <f t="shared" si="117"/>
        <v>19.505119999999806</v>
      </c>
      <c r="AH894">
        <f t="shared" si="118"/>
        <v>380.44970621439245</v>
      </c>
      <c r="AI894">
        <f t="shared" si="119"/>
        <v>0.17071098337707818</v>
      </c>
      <c r="AJ894">
        <f t="shared" si="120"/>
        <v>9.4699703399931695E-2</v>
      </c>
      <c r="AK894">
        <f t="shared" si="121"/>
        <v>793881</v>
      </c>
      <c r="AL894">
        <f t="shared" si="124"/>
        <v>4551.2341100000003</v>
      </c>
      <c r="AM894" t="str">
        <f t="shared" si="125"/>
        <v/>
      </c>
    </row>
    <row r="895" spans="1:39" x14ac:dyDescent="0.55000000000000004">
      <c r="A895">
        <v>1777536002</v>
      </c>
      <c r="B895" t="s">
        <v>72</v>
      </c>
      <c r="C895" t="s">
        <v>73</v>
      </c>
      <c r="D895">
        <v>4618.7</v>
      </c>
      <c r="E895">
        <v>4518.5928199999998</v>
      </c>
      <c r="F895">
        <v>4596.0559499999999</v>
      </c>
      <c r="G895">
        <v>4755.40355</v>
      </c>
      <c r="H895">
        <v>4792.7697200000002</v>
      </c>
      <c r="Q895">
        <v>4578.6672799999997</v>
      </c>
      <c r="R895">
        <v>4608.0305799999996</v>
      </c>
      <c r="S895">
        <v>4634.6193499999999</v>
      </c>
      <c r="V895">
        <v>4543.7275099999997</v>
      </c>
      <c r="W895">
        <v>4510.1625100000001</v>
      </c>
      <c r="AB895">
        <v>4608.9498599999997</v>
      </c>
      <c r="AC895">
        <v>4604.4378100000004</v>
      </c>
      <c r="AD895">
        <v>0</v>
      </c>
      <c r="AE895">
        <f t="shared" si="122"/>
        <v>893</v>
      </c>
      <c r="AF895">
        <f t="shared" si="123"/>
        <v>892</v>
      </c>
      <c r="AG895">
        <f t="shared" si="117"/>
        <v>40.032720000000154</v>
      </c>
      <c r="AH895">
        <f t="shared" si="118"/>
        <v>1602.6186705984123</v>
      </c>
      <c r="AI895">
        <f t="shared" si="119"/>
        <v>1.4759134193549976</v>
      </c>
      <c r="AJ895">
        <f t="shared" si="120"/>
        <v>1.6804071030644223</v>
      </c>
      <c r="AK895">
        <f t="shared" si="121"/>
        <v>795664</v>
      </c>
      <c r="AL895">
        <f t="shared" si="124"/>
        <v>4551.2341100000003</v>
      </c>
      <c r="AM895" t="str">
        <f t="shared" si="125"/>
        <v/>
      </c>
    </row>
    <row r="896" spans="1:39" x14ac:dyDescent="0.55000000000000004">
      <c r="A896">
        <v>1777536902</v>
      </c>
      <c r="B896" t="s">
        <v>72</v>
      </c>
      <c r="C896" t="s">
        <v>73</v>
      </c>
      <c r="D896">
        <v>4617.3500000000004</v>
      </c>
      <c r="E896">
        <v>4518.5928199999998</v>
      </c>
      <c r="F896">
        <v>4596.0559499999999</v>
      </c>
      <c r="G896">
        <v>4755.40355</v>
      </c>
      <c r="H896">
        <v>4792.7697200000002</v>
      </c>
      <c r="Q896">
        <v>4578.3996800000004</v>
      </c>
      <c r="R896">
        <v>4607.7629699999998</v>
      </c>
      <c r="S896">
        <v>4634.3517499999998</v>
      </c>
      <c r="V896">
        <v>4543.4599099999996</v>
      </c>
      <c r="W896">
        <v>4509.89491</v>
      </c>
      <c r="AB896">
        <v>4612.2766199999996</v>
      </c>
      <c r="AC896">
        <v>4608.3572100000001</v>
      </c>
      <c r="AD896">
        <v>0</v>
      </c>
      <c r="AE896">
        <f t="shared" si="122"/>
        <v>894</v>
      </c>
      <c r="AF896">
        <f t="shared" si="123"/>
        <v>893</v>
      </c>
      <c r="AG896">
        <f t="shared" si="117"/>
        <v>38.95031999999992</v>
      </c>
      <c r="AH896">
        <f t="shared" si="118"/>
        <v>1517.1274281023937</v>
      </c>
      <c r="AI896">
        <f t="shared" si="119"/>
        <v>1.3594044101499316</v>
      </c>
      <c r="AJ896">
        <f t="shared" si="120"/>
        <v>1.5059072795998831</v>
      </c>
      <c r="AK896">
        <f t="shared" si="121"/>
        <v>797449</v>
      </c>
      <c r="AL896">
        <f t="shared" si="124"/>
        <v>4551.2341100000003</v>
      </c>
      <c r="AM896" t="str">
        <f t="shared" si="125"/>
        <v/>
      </c>
    </row>
    <row r="897" spans="1:39" x14ac:dyDescent="0.55000000000000004">
      <c r="A897">
        <v>1777537802</v>
      </c>
      <c r="B897" t="s">
        <v>72</v>
      </c>
      <c r="C897" t="s">
        <v>73</v>
      </c>
      <c r="D897">
        <v>4614.82</v>
      </c>
      <c r="E897">
        <v>4518.5928199999998</v>
      </c>
      <c r="F897">
        <v>4596.0559499999999</v>
      </c>
      <c r="G897">
        <v>4755.40355</v>
      </c>
      <c r="H897">
        <v>4792.7697200000002</v>
      </c>
      <c r="Q897">
        <v>4578.1320699999997</v>
      </c>
      <c r="R897">
        <v>4607.4953699999996</v>
      </c>
      <c r="S897">
        <v>4634.0841399999999</v>
      </c>
      <c r="V897">
        <v>4543.1922999999997</v>
      </c>
      <c r="W897">
        <v>4509.6273000000001</v>
      </c>
      <c r="AB897">
        <v>4615.0588299999999</v>
      </c>
      <c r="AC897">
        <v>4611.70802</v>
      </c>
      <c r="AD897">
        <v>0</v>
      </c>
      <c r="AE897">
        <f t="shared" si="122"/>
        <v>895</v>
      </c>
      <c r="AF897">
        <f t="shared" si="123"/>
        <v>894</v>
      </c>
      <c r="AG897">
        <f t="shared" si="117"/>
        <v>36.687930000000051</v>
      </c>
      <c r="AH897">
        <f t="shared" si="118"/>
        <v>1346.0042076849038</v>
      </c>
      <c r="AI897">
        <f t="shared" si="119"/>
        <v>1.1360179948155251</v>
      </c>
      <c r="AJ897">
        <f t="shared" si="120"/>
        <v>1.1853509379437968</v>
      </c>
      <c r="AK897">
        <f t="shared" si="121"/>
        <v>799236</v>
      </c>
      <c r="AL897">
        <f t="shared" si="124"/>
        <v>4551.2341100000003</v>
      </c>
      <c r="AM897" t="str">
        <f t="shared" si="125"/>
        <v/>
      </c>
    </row>
    <row r="898" spans="1:39" x14ac:dyDescent="0.55000000000000004">
      <c r="A898">
        <v>1777538702</v>
      </c>
      <c r="B898" t="s">
        <v>72</v>
      </c>
      <c r="C898" t="s">
        <v>73</v>
      </c>
      <c r="D898">
        <v>4616</v>
      </c>
      <c r="E898">
        <v>4518.5928199999998</v>
      </c>
      <c r="F898">
        <v>4596.0559499999999</v>
      </c>
      <c r="G898">
        <v>4755.40355</v>
      </c>
      <c r="H898">
        <v>4792.7697200000002</v>
      </c>
      <c r="Q898">
        <v>4577.8644700000004</v>
      </c>
      <c r="R898">
        <v>4607.2277700000004</v>
      </c>
      <c r="S898">
        <v>4633.8165399999998</v>
      </c>
      <c r="V898">
        <v>4542.9246999999996</v>
      </c>
      <c r="W898">
        <v>4509.3597</v>
      </c>
      <c r="AB898">
        <v>4617.6513400000003</v>
      </c>
      <c r="AC898">
        <v>4614.6796800000002</v>
      </c>
      <c r="AD898">
        <v>0</v>
      </c>
      <c r="AE898">
        <f t="shared" si="122"/>
        <v>896</v>
      </c>
      <c r="AF898">
        <f t="shared" si="123"/>
        <v>895</v>
      </c>
      <c r="AG898">
        <f t="shared" si="117"/>
        <v>38.135529999999562</v>
      </c>
      <c r="AH898">
        <f t="shared" si="118"/>
        <v>1454.3186483808665</v>
      </c>
      <c r="AI898">
        <f t="shared" si="119"/>
        <v>1.2758656466974845</v>
      </c>
      <c r="AJ898">
        <f t="shared" si="120"/>
        <v>1.3837997846072794</v>
      </c>
      <c r="AK898">
        <f t="shared" si="121"/>
        <v>801025</v>
      </c>
      <c r="AL898">
        <f t="shared" si="124"/>
        <v>4551.2341100000003</v>
      </c>
      <c r="AM898" t="str">
        <f t="shared" si="125"/>
        <v/>
      </c>
    </row>
    <row r="899" spans="1:39" x14ac:dyDescent="0.55000000000000004">
      <c r="A899">
        <v>1777539602</v>
      </c>
      <c r="B899" t="s">
        <v>72</v>
      </c>
      <c r="C899" t="s">
        <v>73</v>
      </c>
      <c r="D899">
        <v>4618.96</v>
      </c>
      <c r="E899">
        <v>4518.5928199999998</v>
      </c>
      <c r="F899">
        <v>4596.0559499999999</v>
      </c>
      <c r="G899">
        <v>4755.40355</v>
      </c>
      <c r="H899">
        <v>4792.7697200000002</v>
      </c>
      <c r="Q899">
        <v>4577.5968599999997</v>
      </c>
      <c r="R899">
        <v>4606.9601599999996</v>
      </c>
      <c r="S899">
        <v>4633.5489299999999</v>
      </c>
      <c r="V899">
        <v>4542.6570899999997</v>
      </c>
      <c r="W899">
        <v>4509.0920999999998</v>
      </c>
      <c r="AB899">
        <v>4620.2543699999997</v>
      </c>
      <c r="AC899">
        <v>4617.4670299999998</v>
      </c>
      <c r="AD899">
        <v>0</v>
      </c>
      <c r="AE899">
        <f t="shared" si="122"/>
        <v>897</v>
      </c>
      <c r="AF899">
        <f t="shared" si="123"/>
        <v>896</v>
      </c>
      <c r="AG899">
        <f t="shared" ref="AG899:AG962" si="126">D899-Q899</f>
        <v>41.363140000000385</v>
      </c>
      <c r="AH899">
        <f t="shared" ref="AH899:AH962" si="127">AG899^2</f>
        <v>1710.9093506596319</v>
      </c>
      <c r="AI899">
        <f t="shared" ref="AI899:AI962" si="128">(AG899/STDEV($AG$3:$AG$1137))^3</f>
        <v>1.6280063116750902</v>
      </c>
      <c r="AJ899">
        <f t="shared" ref="AJ899:AJ962" si="129">(AG899/STDEV($AG$3:$AG$1137))^4</f>
        <v>1.9151734495288384</v>
      </c>
      <c r="AK899">
        <f t="shared" ref="AK899:AK962" si="130">AF899^2</f>
        <v>802816</v>
      </c>
      <c r="AL899">
        <f t="shared" si="124"/>
        <v>4551.2341100000003</v>
      </c>
      <c r="AM899" t="str">
        <f t="shared" si="125"/>
        <v/>
      </c>
    </row>
    <row r="900" spans="1:39" x14ac:dyDescent="0.55000000000000004">
      <c r="A900">
        <v>1777540502</v>
      </c>
      <c r="B900" t="s">
        <v>72</v>
      </c>
      <c r="C900" t="s">
        <v>73</v>
      </c>
      <c r="D900">
        <v>4625.41</v>
      </c>
      <c r="E900">
        <v>4518.5928199999998</v>
      </c>
      <c r="F900">
        <v>4596.0559499999999</v>
      </c>
      <c r="G900">
        <v>4755.40355</v>
      </c>
      <c r="H900">
        <v>4792.7697200000002</v>
      </c>
      <c r="Q900">
        <v>4577.3292600000004</v>
      </c>
      <c r="R900">
        <v>4606.6925600000004</v>
      </c>
      <c r="S900">
        <v>4633.2813299999998</v>
      </c>
      <c r="V900">
        <v>4542.3894899999996</v>
      </c>
      <c r="W900">
        <v>4508.82449</v>
      </c>
      <c r="AB900">
        <v>4622.9544800000003</v>
      </c>
      <c r="AC900">
        <v>4620.2107500000002</v>
      </c>
      <c r="AD900">
        <v>0</v>
      </c>
      <c r="AE900">
        <f t="shared" ref="AE900:AE963" si="131">AE899+1</f>
        <v>898</v>
      </c>
      <c r="AF900">
        <f t="shared" ref="AF900:AF963" si="132">AF899+1</f>
        <v>897</v>
      </c>
      <c r="AG900">
        <f t="shared" si="126"/>
        <v>48.080739999999423</v>
      </c>
      <c r="AH900">
        <f t="shared" si="127"/>
        <v>2311.7575589475446</v>
      </c>
      <c r="AI900">
        <f t="shared" si="128"/>
        <v>2.5569899084173078</v>
      </c>
      <c r="AJ900">
        <f t="shared" si="129"/>
        <v>3.496541485195082</v>
      </c>
      <c r="AK900">
        <f t="shared" si="130"/>
        <v>804609</v>
      </c>
      <c r="AL900">
        <f t="shared" ref="AL900:AL963" si="133">IF(AD900=1,AB900,IF(AL899&lt;&gt;"",AL899,""))</f>
        <v>4551.2341100000003</v>
      </c>
      <c r="AM900" t="str">
        <f t="shared" ref="AM900:AM963" si="134">IF(AND(AD900=1,AL899&lt;&gt;""),ABS(AB900-AL899),"")</f>
        <v/>
      </c>
    </row>
    <row r="901" spans="1:39" x14ac:dyDescent="0.55000000000000004">
      <c r="A901">
        <v>1777541402</v>
      </c>
      <c r="B901" t="s">
        <v>72</v>
      </c>
      <c r="C901" t="s">
        <v>73</v>
      </c>
      <c r="D901">
        <v>4619.3500000000004</v>
      </c>
      <c r="E901">
        <v>4518.5928199999998</v>
      </c>
      <c r="F901">
        <v>4596.0559499999999</v>
      </c>
      <c r="G901">
        <v>4755.40355</v>
      </c>
      <c r="H901">
        <v>4792.7697200000002</v>
      </c>
      <c r="Q901">
        <v>4577.0616600000003</v>
      </c>
      <c r="R901">
        <v>4606.4249499999996</v>
      </c>
      <c r="S901">
        <v>4633.0137199999999</v>
      </c>
      <c r="V901">
        <v>4542.1218799999997</v>
      </c>
      <c r="W901">
        <v>4508.5568899999998</v>
      </c>
      <c r="AB901">
        <v>4625.6464400000004</v>
      </c>
      <c r="AC901">
        <v>4622.9286000000002</v>
      </c>
      <c r="AD901">
        <v>0</v>
      </c>
      <c r="AE901">
        <f t="shared" si="131"/>
        <v>899</v>
      </c>
      <c r="AF901">
        <f t="shared" si="132"/>
        <v>898</v>
      </c>
      <c r="AG901">
        <f t="shared" si="126"/>
        <v>42.288340000000062</v>
      </c>
      <c r="AH901">
        <f t="shared" si="127"/>
        <v>1788.3036999556052</v>
      </c>
      <c r="AI901">
        <f t="shared" si="128"/>
        <v>1.7397125528848427</v>
      </c>
      <c r="AJ901">
        <f t="shared" si="129"/>
        <v>2.0923612231719431</v>
      </c>
      <c r="AK901">
        <f t="shared" si="130"/>
        <v>806404</v>
      </c>
      <c r="AL901">
        <f t="shared" si="133"/>
        <v>4551.2341100000003</v>
      </c>
      <c r="AM901" t="str">
        <f t="shared" si="134"/>
        <v/>
      </c>
    </row>
    <row r="902" spans="1:39" x14ac:dyDescent="0.55000000000000004">
      <c r="A902">
        <v>1777542302</v>
      </c>
      <c r="B902" t="s">
        <v>72</v>
      </c>
      <c r="C902" t="s">
        <v>73</v>
      </c>
      <c r="D902">
        <v>4624.91</v>
      </c>
      <c r="E902">
        <v>4518.5928199999998</v>
      </c>
      <c r="F902">
        <v>4596.0559499999999</v>
      </c>
      <c r="G902">
        <v>4755.40355</v>
      </c>
      <c r="H902">
        <v>4792.7697200000002</v>
      </c>
      <c r="Q902">
        <v>4576.7940500000004</v>
      </c>
      <c r="R902">
        <v>4606.1573500000004</v>
      </c>
      <c r="S902">
        <v>4632.7461199999998</v>
      </c>
      <c r="V902">
        <v>4541.8542799999996</v>
      </c>
      <c r="W902">
        <v>4508.28928</v>
      </c>
      <c r="AB902">
        <v>4628.4679100000003</v>
      </c>
      <c r="AC902">
        <v>4625.6982500000004</v>
      </c>
      <c r="AD902">
        <v>0</v>
      </c>
      <c r="AE902">
        <f t="shared" si="131"/>
        <v>900</v>
      </c>
      <c r="AF902">
        <f t="shared" si="132"/>
        <v>899</v>
      </c>
      <c r="AG902">
        <f t="shared" si="126"/>
        <v>48.11594999999943</v>
      </c>
      <c r="AH902">
        <f t="shared" si="127"/>
        <v>2315.144644402445</v>
      </c>
      <c r="AI902">
        <f t="shared" si="128"/>
        <v>2.5626115499607964</v>
      </c>
      <c r="AJ902">
        <f t="shared" si="129"/>
        <v>3.5067949486211778</v>
      </c>
      <c r="AK902">
        <f t="shared" si="130"/>
        <v>808201</v>
      </c>
      <c r="AL902">
        <f t="shared" si="133"/>
        <v>4551.2341100000003</v>
      </c>
      <c r="AM902" t="str">
        <f t="shared" si="134"/>
        <v/>
      </c>
    </row>
    <row r="903" spans="1:39" x14ac:dyDescent="0.55000000000000004">
      <c r="A903">
        <v>1777543202</v>
      </c>
      <c r="B903" t="s">
        <v>72</v>
      </c>
      <c r="C903" t="s">
        <v>73</v>
      </c>
      <c r="D903">
        <v>4626.92</v>
      </c>
      <c r="E903">
        <v>4518.5928199999998</v>
      </c>
      <c r="F903">
        <v>4596.0559499999999</v>
      </c>
      <c r="G903">
        <v>4755.40355</v>
      </c>
      <c r="H903">
        <v>4792.7697200000002</v>
      </c>
      <c r="Q903">
        <v>4576.5264500000003</v>
      </c>
      <c r="R903">
        <v>4605.8897500000003</v>
      </c>
      <c r="S903">
        <v>4632.4785199999997</v>
      </c>
      <c r="V903">
        <v>4541.5866800000003</v>
      </c>
      <c r="W903">
        <v>4508.0216799999998</v>
      </c>
      <c r="AB903">
        <v>4631.1871600000004</v>
      </c>
      <c r="AC903">
        <v>4628.4427100000003</v>
      </c>
      <c r="AD903">
        <v>0</v>
      </c>
      <c r="AE903">
        <f t="shared" si="131"/>
        <v>901</v>
      </c>
      <c r="AF903">
        <f t="shared" si="132"/>
        <v>900</v>
      </c>
      <c r="AG903">
        <f t="shared" si="126"/>
        <v>50.393549999999777</v>
      </c>
      <c r="AH903">
        <f t="shared" si="127"/>
        <v>2539.5098816024774</v>
      </c>
      <c r="AI903">
        <f t="shared" si="128"/>
        <v>2.9440178922329499</v>
      </c>
      <c r="AJ903">
        <f t="shared" si="129"/>
        <v>4.2194313642641736</v>
      </c>
      <c r="AK903">
        <f t="shared" si="130"/>
        <v>810000</v>
      </c>
      <c r="AL903">
        <f t="shared" si="133"/>
        <v>4551.2341100000003</v>
      </c>
      <c r="AM903" t="str">
        <f t="shared" si="134"/>
        <v/>
      </c>
    </row>
    <row r="904" spans="1:39" x14ac:dyDescent="0.55000000000000004">
      <c r="A904">
        <v>1777544102</v>
      </c>
      <c r="B904" t="s">
        <v>72</v>
      </c>
      <c r="C904" t="s">
        <v>73</v>
      </c>
      <c r="D904">
        <v>4643.78</v>
      </c>
      <c r="E904">
        <v>4518.5928199999998</v>
      </c>
      <c r="F904">
        <v>4596.0559499999999</v>
      </c>
      <c r="G904">
        <v>4755.40355</v>
      </c>
      <c r="H904">
        <v>4792.7697200000002</v>
      </c>
      <c r="Q904">
        <v>4576.2588400000004</v>
      </c>
      <c r="R904">
        <v>4605.6221400000004</v>
      </c>
      <c r="S904">
        <v>4632.2109099999998</v>
      </c>
      <c r="V904">
        <v>4541.3190699999996</v>
      </c>
      <c r="W904">
        <v>4507.7540799999997</v>
      </c>
      <c r="AB904">
        <v>4633.6301700000004</v>
      </c>
      <c r="AC904">
        <v>4631.0364399999999</v>
      </c>
      <c r="AD904">
        <v>0</v>
      </c>
      <c r="AE904">
        <f t="shared" si="131"/>
        <v>902</v>
      </c>
      <c r="AF904">
        <f t="shared" si="132"/>
        <v>901</v>
      </c>
      <c r="AG904">
        <f t="shared" si="126"/>
        <v>67.521159999999327</v>
      </c>
      <c r="AH904">
        <f t="shared" si="127"/>
        <v>4559.1070477455087</v>
      </c>
      <c r="AI904">
        <f t="shared" si="128"/>
        <v>7.0816632114331854</v>
      </c>
      <c r="AJ904">
        <f t="shared" si="129"/>
        <v>13.599210360314361</v>
      </c>
      <c r="AK904">
        <f t="shared" si="130"/>
        <v>811801</v>
      </c>
      <c r="AL904">
        <f t="shared" si="133"/>
        <v>4551.2341100000003</v>
      </c>
      <c r="AM904" t="str">
        <f t="shared" si="134"/>
        <v/>
      </c>
    </row>
    <row r="905" spans="1:39" x14ac:dyDescent="0.55000000000000004">
      <c r="A905">
        <v>1777545002</v>
      </c>
      <c r="B905" t="s">
        <v>72</v>
      </c>
      <c r="C905" t="s">
        <v>73</v>
      </c>
      <c r="D905">
        <v>4636.62</v>
      </c>
      <c r="E905">
        <v>4518.5928199999998</v>
      </c>
      <c r="F905">
        <v>4596.0559499999999</v>
      </c>
      <c r="G905">
        <v>4755.40355</v>
      </c>
      <c r="H905">
        <v>4792.7697200000002</v>
      </c>
      <c r="Q905">
        <v>4575.9912400000003</v>
      </c>
      <c r="R905">
        <v>4605.3545400000003</v>
      </c>
      <c r="S905">
        <v>4631.9433099999997</v>
      </c>
      <c r="V905">
        <v>4541.0514700000003</v>
      </c>
      <c r="W905">
        <v>4507.4864699999998</v>
      </c>
      <c r="Z905">
        <v>4647.1000000000004</v>
      </c>
      <c r="AB905">
        <v>4635.2101400000001</v>
      </c>
      <c r="AC905">
        <v>4633.1232900000005</v>
      </c>
      <c r="AD905">
        <v>0</v>
      </c>
      <c r="AE905">
        <f t="shared" si="131"/>
        <v>903</v>
      </c>
      <c r="AF905">
        <f t="shared" si="132"/>
        <v>902</v>
      </c>
      <c r="AG905">
        <f t="shared" si="126"/>
        <v>60.628759999999602</v>
      </c>
      <c r="AH905">
        <f t="shared" si="127"/>
        <v>3675.8465391375516</v>
      </c>
      <c r="AI905">
        <f t="shared" si="128"/>
        <v>5.1268621744485943</v>
      </c>
      <c r="AJ905">
        <f t="shared" si="129"/>
        <v>8.8403377257234936</v>
      </c>
      <c r="AK905">
        <f t="shared" si="130"/>
        <v>813604</v>
      </c>
      <c r="AL905">
        <f t="shared" si="133"/>
        <v>4551.2341100000003</v>
      </c>
      <c r="AM905" t="str">
        <f t="shared" si="134"/>
        <v/>
      </c>
    </row>
    <row r="906" spans="1:39" x14ac:dyDescent="0.55000000000000004">
      <c r="A906">
        <v>1777545902</v>
      </c>
      <c r="B906" t="s">
        <v>72</v>
      </c>
      <c r="C906" t="s">
        <v>73</v>
      </c>
      <c r="D906">
        <v>4639.68</v>
      </c>
      <c r="E906">
        <v>4518.5928199999998</v>
      </c>
      <c r="F906">
        <v>4596.0559499999999</v>
      </c>
      <c r="G906">
        <v>4755.40355</v>
      </c>
      <c r="H906">
        <v>4792.7697200000002</v>
      </c>
      <c r="Q906">
        <v>4575.7236300000004</v>
      </c>
      <c r="R906">
        <v>4605.0869300000004</v>
      </c>
      <c r="S906">
        <v>4631.6756999999998</v>
      </c>
      <c r="V906">
        <v>4540.7838599999995</v>
      </c>
      <c r="W906">
        <v>4507.2188699999997</v>
      </c>
      <c r="AB906">
        <v>4636.0804399999997</v>
      </c>
      <c r="AC906">
        <v>4634.6018599999998</v>
      </c>
      <c r="AD906">
        <v>0</v>
      </c>
      <c r="AE906">
        <f t="shared" si="131"/>
        <v>904</v>
      </c>
      <c r="AF906">
        <f t="shared" si="132"/>
        <v>903</v>
      </c>
      <c r="AG906">
        <f t="shared" si="126"/>
        <v>63.956369999999879</v>
      </c>
      <c r="AH906">
        <f t="shared" si="127"/>
        <v>4090.4172635768846</v>
      </c>
      <c r="AI906">
        <f t="shared" si="128"/>
        <v>6.0182053645936628</v>
      </c>
      <c r="AJ906">
        <f t="shared" si="129"/>
        <v>10.946854305024287</v>
      </c>
      <c r="AK906">
        <f t="shared" si="130"/>
        <v>815409</v>
      </c>
      <c r="AL906">
        <f t="shared" si="133"/>
        <v>4551.2341100000003</v>
      </c>
      <c r="AM906" t="str">
        <f t="shared" si="134"/>
        <v/>
      </c>
    </row>
    <row r="907" spans="1:39" x14ac:dyDescent="0.55000000000000004">
      <c r="A907">
        <v>1777546802</v>
      </c>
      <c r="B907" t="s">
        <v>72</v>
      </c>
      <c r="C907" t="s">
        <v>73</v>
      </c>
      <c r="D907">
        <v>4635.99</v>
      </c>
      <c r="E907">
        <v>4518.5928199999998</v>
      </c>
      <c r="F907">
        <v>4596.0559499999999</v>
      </c>
      <c r="G907">
        <v>4755.40355</v>
      </c>
      <c r="H907">
        <v>4792.7697200000002</v>
      </c>
      <c r="Q907">
        <v>4575.4560300000003</v>
      </c>
      <c r="R907">
        <v>4604.8193300000003</v>
      </c>
      <c r="S907">
        <v>4631.4080999999996</v>
      </c>
      <c r="V907">
        <v>4540.5162600000003</v>
      </c>
      <c r="W907">
        <v>4506.9512599999998</v>
      </c>
      <c r="AB907">
        <v>4636.2276899999997</v>
      </c>
      <c r="AC907">
        <v>4635.4147800000001</v>
      </c>
      <c r="AD907">
        <v>0</v>
      </c>
      <c r="AE907">
        <f t="shared" si="131"/>
        <v>905</v>
      </c>
      <c r="AF907">
        <f t="shared" si="132"/>
        <v>904</v>
      </c>
      <c r="AG907">
        <f t="shared" si="126"/>
        <v>60.533969999999499</v>
      </c>
      <c r="AH907">
        <f t="shared" si="127"/>
        <v>3664.3615239608393</v>
      </c>
      <c r="AI907">
        <f t="shared" si="128"/>
        <v>5.1028529815967918</v>
      </c>
      <c r="AJ907">
        <f t="shared" si="129"/>
        <v>8.7851815614337294</v>
      </c>
      <c r="AK907">
        <f t="shared" si="130"/>
        <v>817216</v>
      </c>
      <c r="AL907">
        <f t="shared" si="133"/>
        <v>4551.2341100000003</v>
      </c>
      <c r="AM907" t="str">
        <f t="shared" si="134"/>
        <v/>
      </c>
    </row>
    <row r="908" spans="1:39" x14ac:dyDescent="0.55000000000000004">
      <c r="A908">
        <v>1777547702</v>
      </c>
      <c r="B908" t="s">
        <v>72</v>
      </c>
      <c r="C908" t="s">
        <v>73</v>
      </c>
      <c r="D908">
        <v>4637.7</v>
      </c>
      <c r="E908">
        <v>4518.5928199999998</v>
      </c>
      <c r="F908">
        <v>4596.0559499999999</v>
      </c>
      <c r="G908">
        <v>4755.40355</v>
      </c>
      <c r="H908">
        <v>4792.7697200000002</v>
      </c>
      <c r="Q908">
        <v>4575.1884300000002</v>
      </c>
      <c r="R908">
        <v>4604.5517300000001</v>
      </c>
      <c r="S908">
        <v>4631.1405000000004</v>
      </c>
      <c r="V908">
        <v>4540.2486600000002</v>
      </c>
      <c r="W908">
        <v>4506.6836599999997</v>
      </c>
      <c r="AB908">
        <v>4635.8996299999999</v>
      </c>
      <c r="AC908">
        <v>4635.6571999999996</v>
      </c>
      <c r="AD908">
        <v>0</v>
      </c>
      <c r="AE908">
        <f t="shared" si="131"/>
        <v>906</v>
      </c>
      <c r="AF908">
        <f t="shared" si="132"/>
        <v>905</v>
      </c>
      <c r="AG908">
        <f t="shared" si="126"/>
        <v>62.511569999999665</v>
      </c>
      <c r="AH908">
        <f t="shared" si="127"/>
        <v>3907.696383864858</v>
      </c>
      <c r="AI908">
        <f t="shared" si="128"/>
        <v>5.6194887224303942</v>
      </c>
      <c r="AJ908">
        <f t="shared" si="129"/>
        <v>9.9906958692305334</v>
      </c>
      <c r="AK908">
        <f t="shared" si="130"/>
        <v>819025</v>
      </c>
      <c r="AL908">
        <f t="shared" si="133"/>
        <v>4551.2341100000003</v>
      </c>
      <c r="AM908" t="str">
        <f t="shared" si="134"/>
        <v/>
      </c>
    </row>
    <row r="909" spans="1:39" x14ac:dyDescent="0.55000000000000004">
      <c r="A909">
        <v>1777548602</v>
      </c>
      <c r="B909" t="s">
        <v>72</v>
      </c>
      <c r="C909" t="s">
        <v>73</v>
      </c>
      <c r="D909">
        <v>4629.82</v>
      </c>
      <c r="E909">
        <v>4518.5928199999998</v>
      </c>
      <c r="F909">
        <v>4596.0559499999999</v>
      </c>
      <c r="G909">
        <v>4755.40355</v>
      </c>
      <c r="H909">
        <v>4792.7697200000002</v>
      </c>
      <c r="Q909">
        <v>4574.9208200000003</v>
      </c>
      <c r="R909">
        <v>4604.2841200000003</v>
      </c>
      <c r="S909">
        <v>4630.8728899999996</v>
      </c>
      <c r="V909">
        <v>4539.9810500000003</v>
      </c>
      <c r="W909">
        <v>4506.4160599999996</v>
      </c>
      <c r="AB909">
        <v>4635.2303899999997</v>
      </c>
      <c r="AC909">
        <v>4635.4438</v>
      </c>
      <c r="AD909">
        <v>1</v>
      </c>
      <c r="AE909">
        <f t="shared" si="131"/>
        <v>907</v>
      </c>
      <c r="AF909">
        <f t="shared" si="132"/>
        <v>906</v>
      </c>
      <c r="AG909">
        <f t="shared" si="126"/>
        <v>54.899179999999433</v>
      </c>
      <c r="AH909">
        <f t="shared" si="127"/>
        <v>3013.9199646723378</v>
      </c>
      <c r="AI909">
        <f t="shared" si="128"/>
        <v>3.8063888936391956</v>
      </c>
      <c r="AJ909">
        <f t="shared" si="129"/>
        <v>5.9431616554561888</v>
      </c>
      <c r="AK909">
        <f t="shared" si="130"/>
        <v>820836</v>
      </c>
      <c r="AL909">
        <f t="shared" si="133"/>
        <v>4635.2303899999997</v>
      </c>
      <c r="AM909">
        <f t="shared" si="134"/>
        <v>83.996279999999388</v>
      </c>
    </row>
    <row r="910" spans="1:39" x14ac:dyDescent="0.55000000000000004">
      <c r="A910">
        <v>1777549502</v>
      </c>
      <c r="B910" t="s">
        <v>72</v>
      </c>
      <c r="C910" t="s">
        <v>73</v>
      </c>
      <c r="D910">
        <v>4630.21</v>
      </c>
      <c r="E910">
        <v>4518.5928199999998</v>
      </c>
      <c r="F910">
        <v>4596.0559499999999</v>
      </c>
      <c r="G910">
        <v>4755.40355</v>
      </c>
      <c r="H910">
        <v>4792.7697200000002</v>
      </c>
      <c r="Q910">
        <v>4574.6532200000001</v>
      </c>
      <c r="R910">
        <v>4604.0165200000001</v>
      </c>
      <c r="S910">
        <v>4630.6052900000004</v>
      </c>
      <c r="V910">
        <v>4539.7134500000002</v>
      </c>
      <c r="W910">
        <v>4506.1484499999997</v>
      </c>
      <c r="AB910">
        <v>4634.5854099999997</v>
      </c>
      <c r="AC910">
        <v>4635.0146100000002</v>
      </c>
      <c r="AD910">
        <v>0</v>
      </c>
      <c r="AE910">
        <f t="shared" si="131"/>
        <v>908</v>
      </c>
      <c r="AF910">
        <f t="shared" si="132"/>
        <v>907</v>
      </c>
      <c r="AG910">
        <f t="shared" si="126"/>
        <v>55.55677999999989</v>
      </c>
      <c r="AH910">
        <f t="shared" si="127"/>
        <v>3086.5558039683879</v>
      </c>
      <c r="AI910">
        <f t="shared" si="128"/>
        <v>3.9448163034300294</v>
      </c>
      <c r="AJ910">
        <f t="shared" si="129"/>
        <v>6.233075381864281</v>
      </c>
      <c r="AK910">
        <f t="shared" si="130"/>
        <v>822649</v>
      </c>
      <c r="AL910">
        <f t="shared" si="133"/>
        <v>4635.2303899999997</v>
      </c>
      <c r="AM910" t="str">
        <f t="shared" si="134"/>
        <v/>
      </c>
    </row>
    <row r="911" spans="1:39" x14ac:dyDescent="0.55000000000000004">
      <c r="A911">
        <v>1777550402</v>
      </c>
      <c r="B911" t="s">
        <v>72</v>
      </c>
      <c r="C911" t="s">
        <v>73</v>
      </c>
      <c r="D911">
        <v>4635.8100000000004</v>
      </c>
      <c r="E911">
        <v>4518.5928199999998</v>
      </c>
      <c r="F911">
        <v>4596.0559499999999</v>
      </c>
      <c r="G911">
        <v>4755.40355</v>
      </c>
      <c r="H911">
        <v>4792.7697200000002</v>
      </c>
      <c r="Q911">
        <v>4574.3856100000003</v>
      </c>
      <c r="R911">
        <v>4603.7489100000003</v>
      </c>
      <c r="S911">
        <v>4630.3376799999996</v>
      </c>
      <c r="V911">
        <v>4539.4458400000003</v>
      </c>
      <c r="W911">
        <v>4505.8808499999996</v>
      </c>
      <c r="AB911">
        <v>4634.0489900000002</v>
      </c>
      <c r="AC911">
        <v>4634.5317999999997</v>
      </c>
      <c r="AD911">
        <v>0</v>
      </c>
      <c r="AE911">
        <f t="shared" si="131"/>
        <v>909</v>
      </c>
      <c r="AF911">
        <f t="shared" si="132"/>
        <v>908</v>
      </c>
      <c r="AG911">
        <f t="shared" si="126"/>
        <v>61.42439000000013</v>
      </c>
      <c r="AH911">
        <f t="shared" si="127"/>
        <v>3772.9556868721161</v>
      </c>
      <c r="AI911">
        <f t="shared" si="128"/>
        <v>5.3313616197772173</v>
      </c>
      <c r="AJ911">
        <f t="shared" si="129"/>
        <v>9.3135987057062071</v>
      </c>
      <c r="AK911">
        <f t="shared" si="130"/>
        <v>824464</v>
      </c>
      <c r="AL911">
        <f t="shared" si="133"/>
        <v>4635.2303899999997</v>
      </c>
      <c r="AM911" t="str">
        <f t="shared" si="134"/>
        <v/>
      </c>
    </row>
    <row r="912" spans="1:39" x14ac:dyDescent="0.55000000000000004">
      <c r="A912">
        <v>1777551302</v>
      </c>
      <c r="B912" t="s">
        <v>72</v>
      </c>
      <c r="C912" t="s">
        <v>73</v>
      </c>
      <c r="D912">
        <v>4630.51</v>
      </c>
      <c r="E912">
        <v>4518.5928199999998</v>
      </c>
      <c r="F912">
        <v>4596.0559499999999</v>
      </c>
      <c r="G912">
        <v>4755.40355</v>
      </c>
      <c r="H912">
        <v>4792.7697200000002</v>
      </c>
      <c r="Q912">
        <v>4574.1180100000001</v>
      </c>
      <c r="R912">
        <v>4603.4813100000001</v>
      </c>
      <c r="S912">
        <v>4630.0700800000004</v>
      </c>
      <c r="V912">
        <v>4539.1782400000002</v>
      </c>
      <c r="W912">
        <v>4505.6132399999997</v>
      </c>
      <c r="AB912">
        <v>4633.4363899999998</v>
      </c>
      <c r="AC912">
        <v>4633.9840899999999</v>
      </c>
      <c r="AD912">
        <v>0</v>
      </c>
      <c r="AE912">
        <f t="shared" si="131"/>
        <v>910</v>
      </c>
      <c r="AF912">
        <f t="shared" si="132"/>
        <v>909</v>
      </c>
      <c r="AG912">
        <f t="shared" si="126"/>
        <v>56.391990000000078</v>
      </c>
      <c r="AH912">
        <f t="shared" si="127"/>
        <v>3180.0565361601089</v>
      </c>
      <c r="AI912">
        <f t="shared" si="128"/>
        <v>4.1254169262346645</v>
      </c>
      <c r="AJ912">
        <f t="shared" si="129"/>
        <v>6.6164311074416169</v>
      </c>
      <c r="AK912">
        <f t="shared" si="130"/>
        <v>826281</v>
      </c>
      <c r="AL912">
        <f t="shared" si="133"/>
        <v>4635.2303899999997</v>
      </c>
      <c r="AM912" t="str">
        <f t="shared" si="134"/>
        <v/>
      </c>
    </row>
    <row r="913" spans="1:39" x14ac:dyDescent="0.55000000000000004">
      <c r="A913">
        <v>1777552202</v>
      </c>
      <c r="B913" t="s">
        <v>72</v>
      </c>
      <c r="C913" t="s">
        <v>73</v>
      </c>
      <c r="D913">
        <v>4625.92</v>
      </c>
      <c r="E913">
        <v>4518.5928199999998</v>
      </c>
      <c r="F913">
        <v>4596.0559499999999</v>
      </c>
      <c r="G913">
        <v>4755.40355</v>
      </c>
      <c r="H913">
        <v>4792.7697200000002</v>
      </c>
      <c r="Q913">
        <v>4573.85041</v>
      </c>
      <c r="R913">
        <v>4603.2137000000002</v>
      </c>
      <c r="S913">
        <v>4629.8024800000003</v>
      </c>
      <c r="V913">
        <v>4538.9106400000001</v>
      </c>
      <c r="W913">
        <v>4505.3456399999995</v>
      </c>
      <c r="AB913">
        <v>4632.8060699999996</v>
      </c>
      <c r="AC913">
        <v>4633.3950800000002</v>
      </c>
      <c r="AD913">
        <v>0</v>
      </c>
      <c r="AE913">
        <f t="shared" si="131"/>
        <v>911</v>
      </c>
      <c r="AF913">
        <f t="shared" si="132"/>
        <v>910</v>
      </c>
      <c r="AG913">
        <f t="shared" si="126"/>
        <v>52.069590000000062</v>
      </c>
      <c r="AH913">
        <f t="shared" si="127"/>
        <v>2711.2422027681064</v>
      </c>
      <c r="AI913">
        <f t="shared" si="128"/>
        <v>3.2476413216191342</v>
      </c>
      <c r="AJ913">
        <f t="shared" si="129"/>
        <v>4.8093982911010515</v>
      </c>
      <c r="AK913">
        <f t="shared" si="130"/>
        <v>828100</v>
      </c>
      <c r="AL913">
        <f t="shared" si="133"/>
        <v>4635.2303899999997</v>
      </c>
      <c r="AM913" t="str">
        <f t="shared" si="134"/>
        <v/>
      </c>
    </row>
    <row r="914" spans="1:39" x14ac:dyDescent="0.55000000000000004">
      <c r="A914">
        <v>1777553102</v>
      </c>
      <c r="B914" t="s">
        <v>72</v>
      </c>
      <c r="C914" t="s">
        <v>73</v>
      </c>
      <c r="D914">
        <v>4639.57</v>
      </c>
      <c r="E914">
        <v>4518.5928199999998</v>
      </c>
      <c r="F914">
        <v>4596.0559499999999</v>
      </c>
      <c r="G914">
        <v>4755.40355</v>
      </c>
      <c r="H914">
        <v>4792.7697200000002</v>
      </c>
      <c r="Q914">
        <v>4573.5828000000001</v>
      </c>
      <c r="R914">
        <v>4602.9461000000001</v>
      </c>
      <c r="S914">
        <v>4629.5348700000004</v>
      </c>
      <c r="V914">
        <v>4538.6430300000002</v>
      </c>
      <c r="W914">
        <v>4505.0780400000003</v>
      </c>
      <c r="AB914">
        <v>4632.1084000000001</v>
      </c>
      <c r="AC914">
        <v>4632.7517399999997</v>
      </c>
      <c r="AD914">
        <v>0</v>
      </c>
      <c r="AE914">
        <f t="shared" si="131"/>
        <v>912</v>
      </c>
      <c r="AF914">
        <f t="shared" si="132"/>
        <v>911</v>
      </c>
      <c r="AG914">
        <f t="shared" si="126"/>
        <v>65.987199999999575</v>
      </c>
      <c r="AH914">
        <f t="shared" si="127"/>
        <v>4354.3105638399438</v>
      </c>
      <c r="AI914">
        <f t="shared" si="128"/>
        <v>6.6098969105114085</v>
      </c>
      <c r="AJ914">
        <f t="shared" si="129"/>
        <v>12.404889925050947</v>
      </c>
      <c r="AK914">
        <f t="shared" si="130"/>
        <v>829921</v>
      </c>
      <c r="AL914">
        <f t="shared" si="133"/>
        <v>4635.2303899999997</v>
      </c>
      <c r="AM914" t="str">
        <f t="shared" si="134"/>
        <v/>
      </c>
    </row>
    <row r="915" spans="1:39" x14ac:dyDescent="0.55000000000000004">
      <c r="A915">
        <v>1777554002</v>
      </c>
      <c r="B915" t="s">
        <v>72</v>
      </c>
      <c r="C915" t="s">
        <v>73</v>
      </c>
      <c r="D915">
        <v>4641.5</v>
      </c>
      <c r="E915">
        <v>4518.5928199999998</v>
      </c>
      <c r="F915">
        <v>4596.0559499999999</v>
      </c>
      <c r="G915">
        <v>4755.40355</v>
      </c>
      <c r="H915">
        <v>4792.7697200000002</v>
      </c>
      <c r="Q915">
        <v>4573.3152</v>
      </c>
      <c r="R915">
        <v>4602.6785</v>
      </c>
      <c r="S915">
        <v>4629.2672700000003</v>
      </c>
      <c r="V915">
        <v>4538.3754300000001</v>
      </c>
      <c r="W915">
        <v>4504.8104300000005</v>
      </c>
      <c r="AB915">
        <v>4630.8108199999997</v>
      </c>
      <c r="AC915">
        <v>4631.7812800000002</v>
      </c>
      <c r="AD915">
        <v>0</v>
      </c>
      <c r="AE915">
        <f t="shared" si="131"/>
        <v>913</v>
      </c>
      <c r="AF915">
        <f t="shared" si="132"/>
        <v>912</v>
      </c>
      <c r="AG915">
        <f t="shared" si="126"/>
        <v>68.184799999999996</v>
      </c>
      <c r="AH915">
        <f t="shared" si="127"/>
        <v>4649.1669510399997</v>
      </c>
      <c r="AI915">
        <f t="shared" si="128"/>
        <v>7.2925312254489505</v>
      </c>
      <c r="AJ915">
        <f t="shared" si="129"/>
        <v>14.141790411870462</v>
      </c>
      <c r="AK915">
        <f t="shared" si="130"/>
        <v>831744</v>
      </c>
      <c r="AL915">
        <f t="shared" si="133"/>
        <v>4635.2303899999997</v>
      </c>
      <c r="AM915" t="str">
        <f t="shared" si="134"/>
        <v/>
      </c>
    </row>
    <row r="916" spans="1:39" x14ac:dyDescent="0.55000000000000004">
      <c r="A916">
        <v>1777554902</v>
      </c>
      <c r="B916" t="s">
        <v>72</v>
      </c>
      <c r="C916" t="s">
        <v>73</v>
      </c>
      <c r="D916">
        <v>4633.5</v>
      </c>
      <c r="E916">
        <v>4518.5928199999998</v>
      </c>
      <c r="F916">
        <v>4596.0559499999999</v>
      </c>
      <c r="G916">
        <v>4755.40355</v>
      </c>
      <c r="H916">
        <v>4792.7697200000002</v>
      </c>
      <c r="Q916">
        <v>4573.0475900000001</v>
      </c>
      <c r="R916">
        <v>4602.4108900000001</v>
      </c>
      <c r="S916">
        <v>4628.9996600000004</v>
      </c>
      <c r="V916">
        <v>4538.1078200000002</v>
      </c>
      <c r="W916">
        <v>4504.5428300000003</v>
      </c>
      <c r="AB916">
        <v>4628.8019000000004</v>
      </c>
      <c r="AC916">
        <v>4630.2915899999998</v>
      </c>
      <c r="AD916">
        <v>0</v>
      </c>
      <c r="AE916">
        <f t="shared" si="131"/>
        <v>914</v>
      </c>
      <c r="AF916">
        <f t="shared" si="132"/>
        <v>913</v>
      </c>
      <c r="AG916">
        <f t="shared" si="126"/>
        <v>60.452409999999873</v>
      </c>
      <c r="AH916">
        <f t="shared" si="127"/>
        <v>3654.4938748080845</v>
      </c>
      <c r="AI916">
        <f t="shared" si="128"/>
        <v>5.0822548847475559</v>
      </c>
      <c r="AJ916">
        <f t="shared" si="129"/>
        <v>8.7379305641715472</v>
      </c>
      <c r="AK916">
        <f t="shared" si="130"/>
        <v>833569</v>
      </c>
      <c r="AL916">
        <f t="shared" si="133"/>
        <v>4635.2303899999997</v>
      </c>
      <c r="AM916" t="str">
        <f t="shared" si="134"/>
        <v/>
      </c>
    </row>
    <row r="917" spans="1:39" x14ac:dyDescent="0.55000000000000004">
      <c r="A917">
        <v>1777555802</v>
      </c>
      <c r="B917" t="s">
        <v>72</v>
      </c>
      <c r="C917" t="s">
        <v>73</v>
      </c>
      <c r="D917">
        <v>4625.4399999999996</v>
      </c>
      <c r="E917">
        <v>4518.5928199999998</v>
      </c>
      <c r="F917">
        <v>4596.0559499999999</v>
      </c>
      <c r="G917">
        <v>4755.40355</v>
      </c>
      <c r="H917">
        <v>4792.7697200000002</v>
      </c>
      <c r="Q917">
        <v>4572.77999</v>
      </c>
      <c r="R917">
        <v>4602.14329</v>
      </c>
      <c r="S917">
        <v>4628.7320600000003</v>
      </c>
      <c r="V917">
        <v>4537.84022</v>
      </c>
      <c r="W917">
        <v>4504.2752200000004</v>
      </c>
      <c r="AB917">
        <v>4626.4072200000001</v>
      </c>
      <c r="AC917">
        <v>4628.3494000000001</v>
      </c>
      <c r="AD917">
        <v>0</v>
      </c>
      <c r="AE917">
        <f t="shared" si="131"/>
        <v>915</v>
      </c>
      <c r="AF917">
        <f t="shared" si="132"/>
        <v>914</v>
      </c>
      <c r="AG917">
        <f t="shared" si="126"/>
        <v>52.660009999999602</v>
      </c>
      <c r="AH917">
        <f t="shared" si="127"/>
        <v>2773.076653200058</v>
      </c>
      <c r="AI917">
        <f t="shared" si="128"/>
        <v>3.3593743059873176</v>
      </c>
      <c r="AJ917">
        <f t="shared" si="129"/>
        <v>5.0312727516295617</v>
      </c>
      <c r="AK917">
        <f t="shared" si="130"/>
        <v>835396</v>
      </c>
      <c r="AL917">
        <f t="shared" si="133"/>
        <v>4635.2303899999997</v>
      </c>
      <c r="AM917" t="str">
        <f t="shared" si="134"/>
        <v/>
      </c>
    </row>
    <row r="918" spans="1:39" x14ac:dyDescent="0.55000000000000004">
      <c r="A918">
        <v>1777556702</v>
      </c>
      <c r="B918" t="s">
        <v>72</v>
      </c>
      <c r="C918" t="s">
        <v>73</v>
      </c>
      <c r="D918">
        <v>4610.99</v>
      </c>
      <c r="E918">
        <v>4518.5928199999998</v>
      </c>
      <c r="F918">
        <v>4596.0559499999999</v>
      </c>
      <c r="G918">
        <v>4755.40355</v>
      </c>
      <c r="H918">
        <v>4792.7697200000002</v>
      </c>
      <c r="Q918">
        <v>4572.5123899999999</v>
      </c>
      <c r="R918">
        <v>4601.8756800000001</v>
      </c>
      <c r="S918">
        <v>4628.4644600000001</v>
      </c>
      <c r="V918">
        <v>4537.5726199999999</v>
      </c>
      <c r="W918">
        <v>4504.0076200000003</v>
      </c>
      <c r="AB918">
        <v>4624.0361199999998</v>
      </c>
      <c r="AC918">
        <v>4626.1927599999999</v>
      </c>
      <c r="AD918">
        <v>0</v>
      </c>
      <c r="AE918">
        <f t="shared" si="131"/>
        <v>916</v>
      </c>
      <c r="AF918">
        <f t="shared" si="132"/>
        <v>915</v>
      </c>
      <c r="AG918">
        <f t="shared" si="126"/>
        <v>38.477609999999913</v>
      </c>
      <c r="AH918">
        <f t="shared" si="127"/>
        <v>1480.5264713120932</v>
      </c>
      <c r="AI918">
        <f t="shared" si="128"/>
        <v>1.3105085229227451</v>
      </c>
      <c r="AJ918">
        <f t="shared" si="129"/>
        <v>1.4341232158978252</v>
      </c>
      <c r="AK918">
        <f t="shared" si="130"/>
        <v>837225</v>
      </c>
      <c r="AL918">
        <f t="shared" si="133"/>
        <v>4635.2303899999997</v>
      </c>
      <c r="AM918" t="str">
        <f t="shared" si="134"/>
        <v/>
      </c>
    </row>
    <row r="919" spans="1:39" x14ac:dyDescent="0.55000000000000004">
      <c r="A919">
        <v>1777557602</v>
      </c>
      <c r="B919" t="s">
        <v>72</v>
      </c>
      <c r="C919" t="s">
        <v>73</v>
      </c>
      <c r="D919">
        <v>4620.3900000000003</v>
      </c>
      <c r="E919">
        <v>4518.5928199999998</v>
      </c>
      <c r="F919">
        <v>4596.0559499999999</v>
      </c>
      <c r="G919">
        <v>4755.40355</v>
      </c>
      <c r="H919">
        <v>4792.7697200000002</v>
      </c>
      <c r="Q919">
        <v>4572.24478</v>
      </c>
      <c r="R919">
        <v>4601.60808</v>
      </c>
      <c r="S919">
        <v>4628.1968500000003</v>
      </c>
      <c r="V919">
        <v>4537.30501</v>
      </c>
      <c r="W919">
        <v>4503.7400100000004</v>
      </c>
      <c r="AB919">
        <v>4622.27171</v>
      </c>
      <c r="AC919">
        <v>4624.2322400000003</v>
      </c>
      <c r="AD919">
        <v>0</v>
      </c>
      <c r="AE919">
        <f t="shared" si="131"/>
        <v>917</v>
      </c>
      <c r="AF919">
        <f t="shared" si="132"/>
        <v>916</v>
      </c>
      <c r="AG919">
        <f t="shared" si="126"/>
        <v>48.145220000000336</v>
      </c>
      <c r="AH919">
        <f t="shared" si="127"/>
        <v>2317.9622088484325</v>
      </c>
      <c r="AI919">
        <f t="shared" si="128"/>
        <v>2.5672910758643956</v>
      </c>
      <c r="AJ919">
        <f t="shared" si="129"/>
        <v>3.5153357827496579</v>
      </c>
      <c r="AK919">
        <f t="shared" si="130"/>
        <v>839056</v>
      </c>
      <c r="AL919">
        <f t="shared" si="133"/>
        <v>4635.2303899999997</v>
      </c>
      <c r="AM919" t="str">
        <f t="shared" si="134"/>
        <v/>
      </c>
    </row>
    <row r="920" spans="1:39" x14ac:dyDescent="0.55000000000000004">
      <c r="A920">
        <v>1777558502</v>
      </c>
      <c r="B920" t="s">
        <v>72</v>
      </c>
      <c r="C920" t="s">
        <v>73</v>
      </c>
      <c r="D920">
        <v>4622.8100000000004</v>
      </c>
      <c r="E920">
        <v>4518.5928199999998</v>
      </c>
      <c r="F920">
        <v>4596.0559499999999</v>
      </c>
      <c r="G920">
        <v>4755.40355</v>
      </c>
      <c r="H920">
        <v>4792.7697200000002</v>
      </c>
      <c r="Q920">
        <v>4571.9771799999999</v>
      </c>
      <c r="R920">
        <v>4601.3404799999998</v>
      </c>
      <c r="S920">
        <v>4627.9292500000001</v>
      </c>
      <c r="V920">
        <v>4537.0374099999999</v>
      </c>
      <c r="W920">
        <v>4503.4724100000003</v>
      </c>
      <c r="AB920">
        <v>4620.9202699999996</v>
      </c>
      <c r="AC920">
        <v>4622.5762500000001</v>
      </c>
      <c r="AD920">
        <v>0</v>
      </c>
      <c r="AE920">
        <f t="shared" si="131"/>
        <v>918</v>
      </c>
      <c r="AF920">
        <f t="shared" si="132"/>
        <v>917</v>
      </c>
      <c r="AG920">
        <f t="shared" si="126"/>
        <v>50.832820000000538</v>
      </c>
      <c r="AH920">
        <f t="shared" si="127"/>
        <v>2583.9755891524546</v>
      </c>
      <c r="AI920">
        <f t="shared" si="128"/>
        <v>3.0216780814747151</v>
      </c>
      <c r="AJ920">
        <f t="shared" si="129"/>
        <v>4.368485773959387</v>
      </c>
      <c r="AK920">
        <f t="shared" si="130"/>
        <v>840889</v>
      </c>
      <c r="AL920">
        <f t="shared" si="133"/>
        <v>4635.2303899999997</v>
      </c>
      <c r="AM920" t="str">
        <f t="shared" si="134"/>
        <v/>
      </c>
    </row>
    <row r="921" spans="1:39" x14ac:dyDescent="0.55000000000000004">
      <c r="A921">
        <v>1777559402</v>
      </c>
      <c r="B921" t="s">
        <v>72</v>
      </c>
      <c r="C921" t="s">
        <v>73</v>
      </c>
      <c r="D921">
        <v>4617.7</v>
      </c>
      <c r="E921">
        <v>4518.5928199999998</v>
      </c>
      <c r="F921">
        <v>4596.0559499999999</v>
      </c>
      <c r="G921">
        <v>4755.40355</v>
      </c>
      <c r="H921">
        <v>4792.7697200000002</v>
      </c>
      <c r="Q921">
        <v>4571.70957</v>
      </c>
      <c r="R921">
        <v>4601.07287</v>
      </c>
      <c r="S921">
        <v>4627.6616400000003</v>
      </c>
      <c r="V921">
        <v>4536.7698</v>
      </c>
      <c r="W921">
        <v>4503.2048100000002</v>
      </c>
      <c r="AB921">
        <v>4619.8394900000003</v>
      </c>
      <c r="AC921">
        <v>4621.2078700000002</v>
      </c>
      <c r="AD921">
        <v>0</v>
      </c>
      <c r="AE921">
        <f t="shared" si="131"/>
        <v>919</v>
      </c>
      <c r="AF921">
        <f t="shared" si="132"/>
        <v>918</v>
      </c>
      <c r="AG921">
        <f t="shared" si="126"/>
        <v>45.990429999999833</v>
      </c>
      <c r="AH921">
        <f t="shared" si="127"/>
        <v>2115.1196515848847</v>
      </c>
      <c r="AI921">
        <f t="shared" si="128"/>
        <v>2.2377831270297639</v>
      </c>
      <c r="AJ921">
        <f t="shared" si="129"/>
        <v>2.9270085648024922</v>
      </c>
      <c r="AK921">
        <f t="shared" si="130"/>
        <v>842724</v>
      </c>
      <c r="AL921">
        <f t="shared" si="133"/>
        <v>4635.2303899999997</v>
      </c>
      <c r="AM921" t="str">
        <f t="shared" si="134"/>
        <v/>
      </c>
    </row>
    <row r="922" spans="1:39" x14ac:dyDescent="0.55000000000000004">
      <c r="A922">
        <v>1777560302</v>
      </c>
      <c r="B922" t="s">
        <v>72</v>
      </c>
      <c r="C922" t="s">
        <v>73</v>
      </c>
      <c r="D922">
        <v>4619.59</v>
      </c>
      <c r="E922">
        <v>4518.5928199999998</v>
      </c>
      <c r="F922">
        <v>4596.0559499999999</v>
      </c>
      <c r="G922">
        <v>4755.40355</v>
      </c>
      <c r="H922">
        <v>4792.7697200000002</v>
      </c>
      <c r="Q922">
        <v>4571.4419699999999</v>
      </c>
      <c r="R922">
        <v>4600.8052699999998</v>
      </c>
      <c r="S922">
        <v>4627.3940400000001</v>
      </c>
      <c r="V922">
        <v>4536.5021999999999</v>
      </c>
      <c r="W922">
        <v>4502.9372000000003</v>
      </c>
      <c r="AB922">
        <v>4619.0256900000004</v>
      </c>
      <c r="AC922">
        <v>4620.1167800000003</v>
      </c>
      <c r="AD922">
        <v>0</v>
      </c>
      <c r="AE922">
        <f t="shared" si="131"/>
        <v>920</v>
      </c>
      <c r="AF922">
        <f t="shared" si="132"/>
        <v>919</v>
      </c>
      <c r="AG922">
        <f t="shared" si="126"/>
        <v>48.14803000000029</v>
      </c>
      <c r="AH922">
        <f t="shared" si="127"/>
        <v>2318.2327928809277</v>
      </c>
      <c r="AI922">
        <f t="shared" si="128"/>
        <v>2.5677406226095632</v>
      </c>
      <c r="AJ922">
        <f t="shared" si="129"/>
        <v>3.516156546130671</v>
      </c>
      <c r="AK922">
        <f t="shared" si="130"/>
        <v>844561</v>
      </c>
      <c r="AL922">
        <f t="shared" si="133"/>
        <v>4635.2303899999997</v>
      </c>
      <c r="AM922" t="str">
        <f t="shared" si="134"/>
        <v/>
      </c>
    </row>
    <row r="923" spans="1:39" x14ac:dyDescent="0.55000000000000004">
      <c r="A923">
        <v>1777561202</v>
      </c>
      <c r="B923" t="s">
        <v>72</v>
      </c>
      <c r="C923" t="s">
        <v>73</v>
      </c>
      <c r="D923">
        <v>4620.13</v>
      </c>
      <c r="E923">
        <v>4518.5928199999998</v>
      </c>
      <c r="F923">
        <v>4596.0559499999999</v>
      </c>
      <c r="G923">
        <v>4755.40355</v>
      </c>
      <c r="H923">
        <v>4792.7697200000002</v>
      </c>
      <c r="Q923">
        <v>4571.1743699999997</v>
      </c>
      <c r="R923">
        <v>4600.53766</v>
      </c>
      <c r="S923">
        <v>4627.1264300000003</v>
      </c>
      <c r="V923">
        <v>4536.23459</v>
      </c>
      <c r="W923">
        <v>4502.6696000000002</v>
      </c>
      <c r="AB923">
        <v>4618.23207</v>
      </c>
      <c r="AC923">
        <v>4619.17443</v>
      </c>
      <c r="AD923">
        <v>0</v>
      </c>
      <c r="AE923">
        <f t="shared" si="131"/>
        <v>921</v>
      </c>
      <c r="AF923">
        <f t="shared" si="132"/>
        <v>920</v>
      </c>
      <c r="AG923">
        <f t="shared" si="126"/>
        <v>48.955630000000383</v>
      </c>
      <c r="AH923">
        <f t="shared" si="127"/>
        <v>2396.6537086969374</v>
      </c>
      <c r="AI923">
        <f t="shared" si="128"/>
        <v>2.699128219847776</v>
      </c>
      <c r="AJ923">
        <f t="shared" si="129"/>
        <v>3.7580684643261231</v>
      </c>
      <c r="AK923">
        <f t="shared" si="130"/>
        <v>846400</v>
      </c>
      <c r="AL923">
        <f t="shared" si="133"/>
        <v>4635.2303899999997</v>
      </c>
      <c r="AM923" t="str">
        <f t="shared" si="134"/>
        <v/>
      </c>
    </row>
    <row r="924" spans="1:39" x14ac:dyDescent="0.55000000000000004">
      <c r="A924">
        <v>1777562102</v>
      </c>
      <c r="B924" t="s">
        <v>72</v>
      </c>
      <c r="C924" t="s">
        <v>73</v>
      </c>
      <c r="D924">
        <v>4623.09</v>
      </c>
      <c r="E924">
        <v>4518.5928199999998</v>
      </c>
      <c r="F924">
        <v>4596.0559499999999</v>
      </c>
      <c r="G924">
        <v>4755.40355</v>
      </c>
      <c r="H924">
        <v>4792.7697200000002</v>
      </c>
      <c r="Q924">
        <v>4570.9067599999998</v>
      </c>
      <c r="R924">
        <v>4600.2700599999998</v>
      </c>
      <c r="S924">
        <v>4626.8588300000001</v>
      </c>
      <c r="V924">
        <v>4535.9669899999999</v>
      </c>
      <c r="W924">
        <v>4502.4019900000003</v>
      </c>
      <c r="AB924">
        <v>4617.2481699999998</v>
      </c>
      <c r="AC924">
        <v>4618.2112999999999</v>
      </c>
      <c r="AD924">
        <v>0</v>
      </c>
      <c r="AE924">
        <f t="shared" si="131"/>
        <v>922</v>
      </c>
      <c r="AF924">
        <f t="shared" si="132"/>
        <v>921</v>
      </c>
      <c r="AG924">
        <f t="shared" si="126"/>
        <v>52.183240000000296</v>
      </c>
      <c r="AH924">
        <f t="shared" si="127"/>
        <v>2723.090536897631</v>
      </c>
      <c r="AI924">
        <f t="shared" si="128"/>
        <v>3.2689532214336374</v>
      </c>
      <c r="AJ924">
        <f t="shared" si="129"/>
        <v>4.8515250097360374</v>
      </c>
      <c r="AK924">
        <f t="shared" si="130"/>
        <v>848241</v>
      </c>
      <c r="AL924">
        <f t="shared" si="133"/>
        <v>4635.2303899999997</v>
      </c>
      <c r="AM924" t="str">
        <f t="shared" si="134"/>
        <v/>
      </c>
    </row>
    <row r="925" spans="1:39" x14ac:dyDescent="0.55000000000000004">
      <c r="A925">
        <v>1777563002</v>
      </c>
      <c r="B925" t="s">
        <v>72</v>
      </c>
      <c r="C925" t="s">
        <v>73</v>
      </c>
      <c r="D925">
        <v>4615.6499999999996</v>
      </c>
      <c r="E925">
        <v>4518.5928199999998</v>
      </c>
      <c r="F925">
        <v>4596.0559499999999</v>
      </c>
      <c r="G925">
        <v>4755.40355</v>
      </c>
      <c r="H925">
        <v>4792.7697200000002</v>
      </c>
      <c r="Q925">
        <v>4570.6391599999997</v>
      </c>
      <c r="R925">
        <v>4600.0024599999997</v>
      </c>
      <c r="S925">
        <v>4626.59123</v>
      </c>
      <c r="V925">
        <v>4535.6993899999998</v>
      </c>
      <c r="W925">
        <v>4502.1343900000002</v>
      </c>
      <c r="AB925">
        <v>4615.8920699999999</v>
      </c>
      <c r="AC925">
        <v>4617.0516799999996</v>
      </c>
      <c r="AD925">
        <v>0</v>
      </c>
      <c r="AE925">
        <f t="shared" si="131"/>
        <v>923</v>
      </c>
      <c r="AF925">
        <f t="shared" si="132"/>
        <v>922</v>
      </c>
      <c r="AG925">
        <f t="shared" si="126"/>
        <v>45.010839999999916</v>
      </c>
      <c r="AH925">
        <f t="shared" si="127"/>
        <v>2025.9757175055925</v>
      </c>
      <c r="AI925">
        <f t="shared" si="128"/>
        <v>2.0978138008137521</v>
      </c>
      <c r="AJ925">
        <f t="shared" si="129"/>
        <v>2.6854840927895203</v>
      </c>
      <c r="AK925">
        <f t="shared" si="130"/>
        <v>850084</v>
      </c>
      <c r="AL925">
        <f t="shared" si="133"/>
        <v>4635.2303899999997</v>
      </c>
      <c r="AM925" t="str">
        <f t="shared" si="134"/>
        <v/>
      </c>
    </row>
    <row r="926" spans="1:39" x14ac:dyDescent="0.55000000000000004">
      <c r="A926">
        <v>1777563902</v>
      </c>
      <c r="B926" t="s">
        <v>72</v>
      </c>
      <c r="C926" t="s">
        <v>73</v>
      </c>
      <c r="D926">
        <v>4615.3500000000004</v>
      </c>
      <c r="E926">
        <v>4518.5928199999998</v>
      </c>
      <c r="F926">
        <v>4596.0559499999999</v>
      </c>
      <c r="G926">
        <v>4755.40355</v>
      </c>
      <c r="H926">
        <v>4792.7697200000002</v>
      </c>
      <c r="Q926">
        <v>4570.3715499999998</v>
      </c>
      <c r="R926">
        <v>4599.7348499999998</v>
      </c>
      <c r="S926">
        <v>4626.3236200000001</v>
      </c>
      <c r="V926">
        <v>4535.4317799999999</v>
      </c>
      <c r="W926">
        <v>4501.86679</v>
      </c>
      <c r="AB926">
        <v>4614.3570600000003</v>
      </c>
      <c r="AC926">
        <v>4615.7043700000004</v>
      </c>
      <c r="AD926">
        <v>0</v>
      </c>
      <c r="AE926">
        <f t="shared" si="131"/>
        <v>924</v>
      </c>
      <c r="AF926">
        <f t="shared" si="132"/>
        <v>923</v>
      </c>
      <c r="AG926">
        <f t="shared" si="126"/>
        <v>44.978450000000521</v>
      </c>
      <c r="AH926">
        <f t="shared" si="127"/>
        <v>2023.0609644025469</v>
      </c>
      <c r="AI926">
        <f t="shared" si="128"/>
        <v>2.0932882706358469</v>
      </c>
      <c r="AJ926">
        <f t="shared" si="129"/>
        <v>2.6777624875092587</v>
      </c>
      <c r="AK926">
        <f t="shared" si="130"/>
        <v>851929</v>
      </c>
      <c r="AL926">
        <f t="shared" si="133"/>
        <v>4635.2303899999997</v>
      </c>
      <c r="AM926" t="str">
        <f t="shared" si="134"/>
        <v/>
      </c>
    </row>
    <row r="927" spans="1:39" x14ac:dyDescent="0.55000000000000004">
      <c r="A927">
        <v>1777564802</v>
      </c>
      <c r="B927" t="s">
        <v>72</v>
      </c>
      <c r="C927" t="s">
        <v>73</v>
      </c>
      <c r="D927">
        <v>4611.63</v>
      </c>
      <c r="E927">
        <v>4518.5928199999998</v>
      </c>
      <c r="F927">
        <v>4596.0559499999999</v>
      </c>
      <c r="G927">
        <v>4755.40355</v>
      </c>
      <c r="H927">
        <v>4792.7697200000002</v>
      </c>
      <c r="Q927">
        <v>4570.1039499999997</v>
      </c>
      <c r="R927">
        <v>4599.4672499999997</v>
      </c>
      <c r="S927">
        <v>4626.05602</v>
      </c>
      <c r="V927">
        <v>4535.1641799999998</v>
      </c>
      <c r="W927">
        <v>4501.5991800000002</v>
      </c>
      <c r="AB927">
        <v>4612.7963099999997</v>
      </c>
      <c r="AC927">
        <v>4614.2503399999996</v>
      </c>
      <c r="AD927">
        <v>0</v>
      </c>
      <c r="AE927">
        <f t="shared" si="131"/>
        <v>925</v>
      </c>
      <c r="AF927">
        <f t="shared" si="132"/>
        <v>924</v>
      </c>
      <c r="AG927">
        <f t="shared" si="126"/>
        <v>41.526050000000396</v>
      </c>
      <c r="AH927">
        <f t="shared" si="127"/>
        <v>1724.412828602533</v>
      </c>
      <c r="AI927">
        <f t="shared" si="128"/>
        <v>1.6473180310598972</v>
      </c>
      <c r="AJ927">
        <f t="shared" si="129"/>
        <v>1.9455240456349181</v>
      </c>
      <c r="AK927">
        <f t="shared" si="130"/>
        <v>853776</v>
      </c>
      <c r="AL927">
        <f t="shared" si="133"/>
        <v>4635.2303899999997</v>
      </c>
      <c r="AM927" t="str">
        <f t="shared" si="134"/>
        <v/>
      </c>
    </row>
    <row r="928" spans="1:39" x14ac:dyDescent="0.55000000000000004">
      <c r="A928">
        <v>1777565702</v>
      </c>
      <c r="B928" t="s">
        <v>72</v>
      </c>
      <c r="C928" t="s">
        <v>73</v>
      </c>
      <c r="D928">
        <v>4608.08</v>
      </c>
      <c r="E928">
        <v>4518.5928199999998</v>
      </c>
      <c r="F928">
        <v>4596.0559499999999</v>
      </c>
      <c r="G928">
        <v>4755.40355</v>
      </c>
      <c r="H928">
        <v>4792.7697200000002</v>
      </c>
      <c r="Q928">
        <v>4569.8363399999998</v>
      </c>
      <c r="R928">
        <v>4599.1996399999998</v>
      </c>
      <c r="S928">
        <v>4625.7884100000001</v>
      </c>
      <c r="V928">
        <v>4534.8965699999999</v>
      </c>
      <c r="W928">
        <v>4501.33158</v>
      </c>
      <c r="AB928">
        <v>4611.5588399999997</v>
      </c>
      <c r="AC928">
        <v>4612.9045900000001</v>
      </c>
      <c r="AD928">
        <v>0</v>
      </c>
      <c r="AE928">
        <f t="shared" si="131"/>
        <v>926</v>
      </c>
      <c r="AF928">
        <f t="shared" si="132"/>
        <v>925</v>
      </c>
      <c r="AG928">
        <f t="shared" si="126"/>
        <v>38.243660000000091</v>
      </c>
      <c r="AH928">
        <f t="shared" si="127"/>
        <v>1462.5775301956069</v>
      </c>
      <c r="AI928">
        <f t="shared" si="128"/>
        <v>1.2867492683945128</v>
      </c>
      <c r="AJ928">
        <f t="shared" si="129"/>
        <v>1.3995612406647193</v>
      </c>
      <c r="AK928">
        <f t="shared" si="130"/>
        <v>855625</v>
      </c>
      <c r="AL928">
        <f t="shared" si="133"/>
        <v>4635.2303899999997</v>
      </c>
      <c r="AM928" t="str">
        <f t="shared" si="134"/>
        <v/>
      </c>
    </row>
    <row r="929" spans="1:39" x14ac:dyDescent="0.55000000000000004">
      <c r="A929">
        <v>1777566602</v>
      </c>
      <c r="B929" t="s">
        <v>72</v>
      </c>
      <c r="C929" t="s">
        <v>73</v>
      </c>
      <c r="D929">
        <v>4609.12</v>
      </c>
      <c r="E929">
        <v>4518.5928199999998</v>
      </c>
      <c r="F929">
        <v>4596.0559499999999</v>
      </c>
      <c r="G929">
        <v>4755.40355</v>
      </c>
      <c r="H929">
        <v>4792.7697200000002</v>
      </c>
      <c r="Q929">
        <v>4569.5687399999997</v>
      </c>
      <c r="R929">
        <v>4598.9320399999997</v>
      </c>
      <c r="S929">
        <v>4625.52081</v>
      </c>
      <c r="V929">
        <v>4534.6289699999998</v>
      </c>
      <c r="W929">
        <v>4501.0639700000002</v>
      </c>
      <c r="AB929">
        <v>4610.9964399999999</v>
      </c>
      <c r="AC929">
        <v>4611.9505099999997</v>
      </c>
      <c r="AD929">
        <v>0</v>
      </c>
      <c r="AE929">
        <f t="shared" si="131"/>
        <v>927</v>
      </c>
      <c r="AF929">
        <f t="shared" si="132"/>
        <v>926</v>
      </c>
      <c r="AG929">
        <f t="shared" si="126"/>
        <v>39.551260000000184</v>
      </c>
      <c r="AH929">
        <f t="shared" si="127"/>
        <v>1564.3021675876146</v>
      </c>
      <c r="AI929">
        <f t="shared" si="128"/>
        <v>1.4233003466116834</v>
      </c>
      <c r="AJ929">
        <f t="shared" si="129"/>
        <v>1.6010150219552011</v>
      </c>
      <c r="AK929">
        <f t="shared" si="130"/>
        <v>857476</v>
      </c>
      <c r="AL929">
        <f t="shared" si="133"/>
        <v>4635.2303899999997</v>
      </c>
      <c r="AM929" t="str">
        <f t="shared" si="134"/>
        <v/>
      </c>
    </row>
    <row r="930" spans="1:39" x14ac:dyDescent="0.55000000000000004">
      <c r="A930">
        <v>1777567502</v>
      </c>
      <c r="B930" t="s">
        <v>72</v>
      </c>
      <c r="C930" t="s">
        <v>73</v>
      </c>
      <c r="D930">
        <v>4607.62</v>
      </c>
      <c r="E930">
        <v>4518.5928199999998</v>
      </c>
      <c r="F930">
        <v>4596.0559499999999</v>
      </c>
      <c r="G930">
        <v>4755.40355</v>
      </c>
      <c r="H930">
        <v>4792.7697200000002</v>
      </c>
      <c r="Q930">
        <v>4569.3011399999996</v>
      </c>
      <c r="R930">
        <v>4598.6644399999996</v>
      </c>
      <c r="S930">
        <v>4625.2532099999999</v>
      </c>
      <c r="V930">
        <v>4534.3613699999996</v>
      </c>
      <c r="W930">
        <v>4500.79637</v>
      </c>
      <c r="AA930">
        <v>4605.5600000000004</v>
      </c>
      <c r="AB930">
        <v>4611.2679500000004</v>
      </c>
      <c r="AC930">
        <v>4611.60923</v>
      </c>
      <c r="AD930">
        <v>0</v>
      </c>
      <c r="AE930">
        <f t="shared" si="131"/>
        <v>928</v>
      </c>
      <c r="AF930">
        <f t="shared" si="132"/>
        <v>927</v>
      </c>
      <c r="AG930">
        <f t="shared" si="126"/>
        <v>38.318860000000313</v>
      </c>
      <c r="AH930">
        <f t="shared" si="127"/>
        <v>1468.3350316996241</v>
      </c>
      <c r="AI930">
        <f t="shared" si="128"/>
        <v>1.2943547595760956</v>
      </c>
      <c r="AJ930">
        <f t="shared" si="129"/>
        <v>1.41060179895551</v>
      </c>
      <c r="AK930">
        <f t="shared" si="130"/>
        <v>859329</v>
      </c>
      <c r="AL930">
        <f t="shared" si="133"/>
        <v>4635.2303899999997</v>
      </c>
      <c r="AM930" t="str">
        <f t="shared" si="134"/>
        <v/>
      </c>
    </row>
    <row r="931" spans="1:39" x14ac:dyDescent="0.55000000000000004">
      <c r="A931">
        <v>1777568402</v>
      </c>
      <c r="B931" t="s">
        <v>72</v>
      </c>
      <c r="C931" t="s">
        <v>73</v>
      </c>
      <c r="D931">
        <v>4615.95</v>
      </c>
      <c r="E931">
        <v>4518.5928199999998</v>
      </c>
      <c r="F931">
        <v>4596.0559499999999</v>
      </c>
      <c r="G931">
        <v>4755.40355</v>
      </c>
      <c r="H931">
        <v>4792.7697200000002</v>
      </c>
      <c r="Q931">
        <v>4569.0335299999997</v>
      </c>
      <c r="R931">
        <v>4598.3968299999997</v>
      </c>
      <c r="S931">
        <v>4624.9856</v>
      </c>
      <c r="V931">
        <v>4534.0937599999997</v>
      </c>
      <c r="W931">
        <v>4500.5287699999999</v>
      </c>
      <c r="AB931">
        <v>4612.4702600000001</v>
      </c>
      <c r="AC931">
        <v>4612.0397499999999</v>
      </c>
      <c r="AD931">
        <v>1</v>
      </c>
      <c r="AE931">
        <f t="shared" si="131"/>
        <v>929</v>
      </c>
      <c r="AF931">
        <f t="shared" si="132"/>
        <v>928</v>
      </c>
      <c r="AG931">
        <f t="shared" si="126"/>
        <v>46.916470000000118</v>
      </c>
      <c r="AH931">
        <f t="shared" si="127"/>
        <v>2201.155157260911</v>
      </c>
      <c r="AI931">
        <f t="shared" si="128"/>
        <v>2.375699845387774</v>
      </c>
      <c r="AJ931">
        <f t="shared" si="129"/>
        <v>3.1699719980543888</v>
      </c>
      <c r="AK931">
        <f t="shared" si="130"/>
        <v>861184</v>
      </c>
      <c r="AL931">
        <f t="shared" si="133"/>
        <v>4612.4702600000001</v>
      </c>
      <c r="AM931">
        <f t="shared" si="134"/>
        <v>22.760129999999663</v>
      </c>
    </row>
    <row r="932" spans="1:39" x14ac:dyDescent="0.55000000000000004">
      <c r="A932">
        <v>1777569302</v>
      </c>
      <c r="B932" t="s">
        <v>72</v>
      </c>
      <c r="C932" t="s">
        <v>73</v>
      </c>
      <c r="D932">
        <v>4618</v>
      </c>
      <c r="E932">
        <v>4518.5928199999998</v>
      </c>
      <c r="F932">
        <v>4596.0559499999999</v>
      </c>
      <c r="G932">
        <v>4755.40355</v>
      </c>
      <c r="H932">
        <v>4792.7697200000002</v>
      </c>
      <c r="Q932">
        <v>4568.7659299999996</v>
      </c>
      <c r="R932">
        <v>4598.1292299999996</v>
      </c>
      <c r="S932">
        <v>4624.7179999999998</v>
      </c>
      <c r="V932">
        <v>4533.8261599999996</v>
      </c>
      <c r="W932">
        <v>4500.26116</v>
      </c>
      <c r="AB932">
        <v>4614.2954900000004</v>
      </c>
      <c r="AC932">
        <v>4613.1676200000002</v>
      </c>
      <c r="AD932">
        <v>0</v>
      </c>
      <c r="AE932">
        <f t="shared" si="131"/>
        <v>930</v>
      </c>
      <c r="AF932">
        <f t="shared" si="132"/>
        <v>929</v>
      </c>
      <c r="AG932">
        <f t="shared" si="126"/>
        <v>49.234070000000429</v>
      </c>
      <c r="AH932">
        <f t="shared" si="127"/>
        <v>2423.9936487649425</v>
      </c>
      <c r="AI932">
        <f t="shared" si="128"/>
        <v>2.7454453351779367</v>
      </c>
      <c r="AJ932">
        <f t="shared" si="129"/>
        <v>3.8442981958184652</v>
      </c>
      <c r="AK932">
        <f t="shared" si="130"/>
        <v>863041</v>
      </c>
      <c r="AL932">
        <f t="shared" si="133"/>
        <v>4612.4702600000001</v>
      </c>
      <c r="AM932" t="str">
        <f t="shared" si="134"/>
        <v/>
      </c>
    </row>
    <row r="933" spans="1:39" x14ac:dyDescent="0.55000000000000004">
      <c r="A933">
        <v>1777570202</v>
      </c>
      <c r="B933" t="s">
        <v>72</v>
      </c>
      <c r="C933" t="s">
        <v>73</v>
      </c>
      <c r="D933">
        <v>4617.8599999999997</v>
      </c>
      <c r="E933">
        <v>4518.5928199999998</v>
      </c>
      <c r="F933">
        <v>4596.0559499999999</v>
      </c>
      <c r="G933">
        <v>4755.40355</v>
      </c>
      <c r="H933">
        <v>4792.7697200000002</v>
      </c>
      <c r="Q933">
        <v>4568.4983199999997</v>
      </c>
      <c r="R933">
        <v>4597.8616199999997</v>
      </c>
      <c r="S933">
        <v>4624.45039</v>
      </c>
      <c r="V933">
        <v>4533.5585499999997</v>
      </c>
      <c r="W933">
        <v>4499.9935599999999</v>
      </c>
      <c r="AB933">
        <v>4616.4691199999997</v>
      </c>
      <c r="AC933">
        <v>4614.81837</v>
      </c>
      <c r="AD933">
        <v>0</v>
      </c>
      <c r="AE933">
        <f t="shared" si="131"/>
        <v>931</v>
      </c>
      <c r="AF933">
        <f t="shared" si="132"/>
        <v>930</v>
      </c>
      <c r="AG933">
        <f t="shared" si="126"/>
        <v>49.361679999999978</v>
      </c>
      <c r="AH933">
        <f t="shared" si="127"/>
        <v>2436.575452422398</v>
      </c>
      <c r="AI933">
        <f t="shared" si="128"/>
        <v>2.7668485095124709</v>
      </c>
      <c r="AJ933">
        <f t="shared" si="129"/>
        <v>3.8843096317842658</v>
      </c>
      <c r="AK933">
        <f t="shared" si="130"/>
        <v>864900</v>
      </c>
      <c r="AL933">
        <f t="shared" si="133"/>
        <v>4612.4702600000001</v>
      </c>
      <c r="AM933" t="str">
        <f t="shared" si="134"/>
        <v/>
      </c>
    </row>
    <row r="934" spans="1:39" x14ac:dyDescent="0.55000000000000004">
      <c r="A934">
        <v>1777571102</v>
      </c>
      <c r="B934" t="s">
        <v>72</v>
      </c>
      <c r="C934" t="s">
        <v>73</v>
      </c>
      <c r="D934">
        <v>4616.8599999999997</v>
      </c>
      <c r="E934">
        <v>4518.5928199999998</v>
      </c>
      <c r="F934">
        <v>4596.0559499999999</v>
      </c>
      <c r="G934">
        <v>4755.40355</v>
      </c>
      <c r="H934">
        <v>4792.7697200000002</v>
      </c>
      <c r="Q934">
        <v>4568.2307199999996</v>
      </c>
      <c r="R934">
        <v>4597.5940199999995</v>
      </c>
      <c r="S934">
        <v>4624.1827899999998</v>
      </c>
      <c r="V934">
        <v>4533.2909499999996</v>
      </c>
      <c r="W934">
        <v>4499.72595</v>
      </c>
      <c r="AB934">
        <v>4618.6906300000001</v>
      </c>
      <c r="AC934">
        <v>4616.7545</v>
      </c>
      <c r="AD934">
        <v>0</v>
      </c>
      <c r="AE934">
        <f t="shared" si="131"/>
        <v>932</v>
      </c>
      <c r="AF934">
        <f t="shared" si="132"/>
        <v>931</v>
      </c>
      <c r="AG934">
        <f t="shared" si="126"/>
        <v>48.629280000000108</v>
      </c>
      <c r="AH934">
        <f t="shared" si="127"/>
        <v>2364.8068733184105</v>
      </c>
      <c r="AI934">
        <f t="shared" si="128"/>
        <v>2.645508145007216</v>
      </c>
      <c r="AJ934">
        <f t="shared" si="129"/>
        <v>3.6588572902953529</v>
      </c>
      <c r="AK934">
        <f t="shared" si="130"/>
        <v>866761</v>
      </c>
      <c r="AL934">
        <f t="shared" si="133"/>
        <v>4612.4702600000001</v>
      </c>
      <c r="AM934" t="str">
        <f t="shared" si="134"/>
        <v/>
      </c>
    </row>
    <row r="935" spans="1:39" x14ac:dyDescent="0.55000000000000004">
      <c r="A935">
        <v>1777572002</v>
      </c>
      <c r="B935" t="s">
        <v>72</v>
      </c>
      <c r="C935" t="s">
        <v>73</v>
      </c>
      <c r="D935">
        <v>4620.57</v>
      </c>
      <c r="E935">
        <v>4518.5928199999998</v>
      </c>
      <c r="F935">
        <v>4596.0559499999999</v>
      </c>
      <c r="G935">
        <v>4755.40355</v>
      </c>
      <c r="H935">
        <v>4792.7697200000002</v>
      </c>
      <c r="Q935">
        <v>4567.9631200000003</v>
      </c>
      <c r="R935">
        <v>4597.3264099999997</v>
      </c>
      <c r="S935">
        <v>4623.9151899999997</v>
      </c>
      <c r="V935">
        <v>4533.0233500000004</v>
      </c>
      <c r="W935">
        <v>4499.4583499999999</v>
      </c>
      <c r="AB935">
        <v>4620.6531599999998</v>
      </c>
      <c r="AC935">
        <v>4618.7038300000004</v>
      </c>
      <c r="AD935">
        <v>0</v>
      </c>
      <c r="AE935">
        <f t="shared" si="131"/>
        <v>933</v>
      </c>
      <c r="AF935">
        <f t="shared" si="132"/>
        <v>932</v>
      </c>
      <c r="AG935">
        <f t="shared" si="126"/>
        <v>52.606879999999364</v>
      </c>
      <c r="AH935">
        <f t="shared" si="127"/>
        <v>2767.483823334333</v>
      </c>
      <c r="AI935">
        <f t="shared" si="128"/>
        <v>3.3492164913048748</v>
      </c>
      <c r="AJ935">
        <f t="shared" si="129"/>
        <v>5.0109987526371169</v>
      </c>
      <c r="AK935">
        <f t="shared" si="130"/>
        <v>868624</v>
      </c>
      <c r="AL935">
        <f t="shared" si="133"/>
        <v>4612.4702600000001</v>
      </c>
      <c r="AM935" t="str">
        <f t="shared" si="134"/>
        <v/>
      </c>
    </row>
    <row r="936" spans="1:39" x14ac:dyDescent="0.55000000000000004">
      <c r="A936">
        <v>1777572902</v>
      </c>
      <c r="B936" t="s">
        <v>72</v>
      </c>
      <c r="C936" t="s">
        <v>73</v>
      </c>
      <c r="D936">
        <v>4620.79</v>
      </c>
      <c r="E936">
        <v>4518.5928199999998</v>
      </c>
      <c r="F936">
        <v>4596.0559499999999</v>
      </c>
      <c r="G936">
        <v>4755.40355</v>
      </c>
      <c r="H936">
        <v>4792.7697200000002</v>
      </c>
      <c r="Q936">
        <v>4567.6955099999996</v>
      </c>
      <c r="R936">
        <v>4597.0588100000004</v>
      </c>
      <c r="S936">
        <v>4623.6475799999998</v>
      </c>
      <c r="V936">
        <v>4532.7557399999996</v>
      </c>
      <c r="W936">
        <v>4499.1907499999998</v>
      </c>
      <c r="AB936">
        <v>4622.0027099999998</v>
      </c>
      <c r="AC936">
        <v>4620.3532699999996</v>
      </c>
      <c r="AD936">
        <v>0</v>
      </c>
      <c r="AE936">
        <f t="shared" si="131"/>
        <v>934</v>
      </c>
      <c r="AF936">
        <f t="shared" si="132"/>
        <v>933</v>
      </c>
      <c r="AG936">
        <f t="shared" si="126"/>
        <v>53.094490000000405</v>
      </c>
      <c r="AH936">
        <f t="shared" si="127"/>
        <v>2819.024868360143</v>
      </c>
      <c r="AI936">
        <f t="shared" si="128"/>
        <v>3.4432134419086471</v>
      </c>
      <c r="AJ936">
        <f t="shared" si="129"/>
        <v>5.1993843997553713</v>
      </c>
      <c r="AK936">
        <f t="shared" si="130"/>
        <v>870489</v>
      </c>
      <c r="AL936">
        <f t="shared" si="133"/>
        <v>4612.4702600000001</v>
      </c>
      <c r="AM936" t="str">
        <f t="shared" si="134"/>
        <v/>
      </c>
    </row>
    <row r="937" spans="1:39" x14ac:dyDescent="0.55000000000000004">
      <c r="A937">
        <v>1777573802</v>
      </c>
      <c r="B937" t="s">
        <v>72</v>
      </c>
      <c r="C937" t="s">
        <v>73</v>
      </c>
      <c r="D937">
        <v>4620.7</v>
      </c>
      <c r="E937">
        <v>4518.5928199999998</v>
      </c>
      <c r="F937">
        <v>4596.0559499999999</v>
      </c>
      <c r="G937">
        <v>4755.40355</v>
      </c>
      <c r="H937">
        <v>4792.7697200000002</v>
      </c>
      <c r="Q937">
        <v>4567.4279100000003</v>
      </c>
      <c r="R937">
        <v>4596.7912100000003</v>
      </c>
      <c r="S937">
        <v>4623.3799799999997</v>
      </c>
      <c r="V937">
        <v>4532.4881400000004</v>
      </c>
      <c r="W937">
        <v>4498.9231399999999</v>
      </c>
      <c r="AB937">
        <v>4622.5640599999997</v>
      </c>
      <c r="AC937">
        <v>4621.4586600000002</v>
      </c>
      <c r="AD937">
        <v>0</v>
      </c>
      <c r="AE937">
        <f t="shared" si="131"/>
        <v>935</v>
      </c>
      <c r="AF937">
        <f t="shared" si="132"/>
        <v>934</v>
      </c>
      <c r="AG937">
        <f t="shared" si="126"/>
        <v>53.27208999999948</v>
      </c>
      <c r="AH937">
        <f t="shared" si="127"/>
        <v>2837.9155729680447</v>
      </c>
      <c r="AI937">
        <f t="shared" si="128"/>
        <v>3.4778815868924218</v>
      </c>
      <c r="AJ937">
        <f t="shared" si="129"/>
        <v>5.2693015753505783</v>
      </c>
      <c r="AK937">
        <f t="shared" si="130"/>
        <v>872356</v>
      </c>
      <c r="AL937">
        <f t="shared" si="133"/>
        <v>4612.4702600000001</v>
      </c>
      <c r="AM937" t="str">
        <f t="shared" si="134"/>
        <v/>
      </c>
    </row>
    <row r="938" spans="1:39" x14ac:dyDescent="0.55000000000000004">
      <c r="A938">
        <v>1777574702</v>
      </c>
      <c r="B938" t="s">
        <v>72</v>
      </c>
      <c r="C938" t="s">
        <v>73</v>
      </c>
      <c r="D938">
        <v>4622.4799999999996</v>
      </c>
      <c r="E938">
        <v>4518.5928199999998</v>
      </c>
      <c r="F938">
        <v>4596.0559499999999</v>
      </c>
      <c r="G938">
        <v>4755.40355</v>
      </c>
      <c r="H938">
        <v>4792.7697200000002</v>
      </c>
      <c r="Q938">
        <v>4567.1602999999996</v>
      </c>
      <c r="R938">
        <v>4596.5236000000004</v>
      </c>
      <c r="S938">
        <v>4623.1123699999998</v>
      </c>
      <c r="V938">
        <v>4532.2205299999996</v>
      </c>
      <c r="W938">
        <v>4498.6555399999997</v>
      </c>
      <c r="AB938">
        <v>4622.31167</v>
      </c>
      <c r="AC938">
        <v>4621.8851699999996</v>
      </c>
      <c r="AD938">
        <v>0</v>
      </c>
      <c r="AE938">
        <f t="shared" si="131"/>
        <v>936</v>
      </c>
      <c r="AF938">
        <f t="shared" si="132"/>
        <v>935</v>
      </c>
      <c r="AG938">
        <f t="shared" si="126"/>
        <v>55.319700000000012</v>
      </c>
      <c r="AH938">
        <f t="shared" si="127"/>
        <v>3060.2692080900015</v>
      </c>
      <c r="AI938">
        <f t="shared" si="128"/>
        <v>3.8945298174521477</v>
      </c>
      <c r="AJ938">
        <f t="shared" si="129"/>
        <v>6.1273597254128038</v>
      </c>
      <c r="AK938">
        <f t="shared" si="130"/>
        <v>874225</v>
      </c>
      <c r="AL938">
        <f t="shared" si="133"/>
        <v>4612.4702600000001</v>
      </c>
      <c r="AM938" t="str">
        <f t="shared" si="134"/>
        <v/>
      </c>
    </row>
    <row r="939" spans="1:39" x14ac:dyDescent="0.55000000000000004">
      <c r="A939">
        <v>1777575602</v>
      </c>
      <c r="B939" t="s">
        <v>72</v>
      </c>
      <c r="C939" t="s">
        <v>73</v>
      </c>
      <c r="D939">
        <v>4624.33</v>
      </c>
      <c r="E939">
        <v>4518.5928199999998</v>
      </c>
      <c r="F939">
        <v>4596.0559499999999</v>
      </c>
      <c r="G939">
        <v>4755.40355</v>
      </c>
      <c r="H939">
        <v>4792.7697200000002</v>
      </c>
      <c r="Q939">
        <v>4566.8927000000003</v>
      </c>
      <c r="R939">
        <v>4596.2560000000003</v>
      </c>
      <c r="S939">
        <v>4622.8447699999997</v>
      </c>
      <c r="V939">
        <v>4531.9529300000004</v>
      </c>
      <c r="W939">
        <v>4498.3879299999999</v>
      </c>
      <c r="AB939">
        <v>4621.3179</v>
      </c>
      <c r="AC939">
        <v>4621.6015299999999</v>
      </c>
      <c r="AD939">
        <v>1</v>
      </c>
      <c r="AE939">
        <f t="shared" si="131"/>
        <v>937</v>
      </c>
      <c r="AF939">
        <f t="shared" si="132"/>
        <v>936</v>
      </c>
      <c r="AG939">
        <f t="shared" si="126"/>
        <v>57.437299999999595</v>
      </c>
      <c r="AH939">
        <f t="shared" si="127"/>
        <v>3299.0434312899533</v>
      </c>
      <c r="AI939">
        <f t="shared" si="128"/>
        <v>4.3591080488202634</v>
      </c>
      <c r="AJ939">
        <f t="shared" si="129"/>
        <v>7.1208228006181509</v>
      </c>
      <c r="AK939">
        <f t="shared" si="130"/>
        <v>876096</v>
      </c>
      <c r="AL939">
        <f t="shared" si="133"/>
        <v>4621.3179</v>
      </c>
      <c r="AM939">
        <f t="shared" si="134"/>
        <v>8.8476399999999558</v>
      </c>
    </row>
    <row r="940" spans="1:39" x14ac:dyDescent="0.55000000000000004">
      <c r="A940">
        <v>1777576502</v>
      </c>
      <c r="B940" t="s">
        <v>72</v>
      </c>
      <c r="C940" t="s">
        <v>73</v>
      </c>
      <c r="D940">
        <v>4617.7700000000004</v>
      </c>
      <c r="E940">
        <v>4518.5928199999998</v>
      </c>
      <c r="F940">
        <v>4596.0559499999999</v>
      </c>
      <c r="G940">
        <v>4755.40355</v>
      </c>
      <c r="H940">
        <v>4792.7697200000002</v>
      </c>
      <c r="Q940">
        <v>4566.6251000000002</v>
      </c>
      <c r="R940">
        <v>4595.9883900000004</v>
      </c>
      <c r="S940">
        <v>4622.5771699999996</v>
      </c>
      <c r="V940">
        <v>4531.6853300000002</v>
      </c>
      <c r="W940">
        <v>4498.1203299999997</v>
      </c>
      <c r="AB940">
        <v>4619.8425100000004</v>
      </c>
      <c r="AC940">
        <v>4620.7220200000002</v>
      </c>
      <c r="AD940">
        <v>0</v>
      </c>
      <c r="AE940">
        <f t="shared" si="131"/>
        <v>938</v>
      </c>
      <c r="AF940">
        <f t="shared" si="132"/>
        <v>937</v>
      </c>
      <c r="AG940">
        <f t="shared" si="126"/>
        <v>51.144900000000234</v>
      </c>
      <c r="AH940">
        <f t="shared" si="127"/>
        <v>2615.800796010024</v>
      </c>
      <c r="AI940">
        <f t="shared" si="128"/>
        <v>3.0776737890239096</v>
      </c>
      <c r="AJ940">
        <f t="shared" si="129"/>
        <v>4.4767562422382632</v>
      </c>
      <c r="AK940">
        <f t="shared" si="130"/>
        <v>877969</v>
      </c>
      <c r="AL940">
        <f t="shared" si="133"/>
        <v>4621.3179</v>
      </c>
      <c r="AM940" t="str">
        <f t="shared" si="134"/>
        <v/>
      </c>
    </row>
    <row r="941" spans="1:39" x14ac:dyDescent="0.55000000000000004">
      <c r="A941">
        <v>1777577402</v>
      </c>
      <c r="B941" t="s">
        <v>72</v>
      </c>
      <c r="C941" t="s">
        <v>73</v>
      </c>
      <c r="D941">
        <v>4622.49</v>
      </c>
      <c r="E941">
        <v>4518.5928199999998</v>
      </c>
      <c r="F941">
        <v>4596.0559499999999</v>
      </c>
      <c r="G941">
        <v>4755.40355</v>
      </c>
      <c r="H941">
        <v>4792.7697200000002</v>
      </c>
      <c r="Q941">
        <v>4566.3574900000003</v>
      </c>
      <c r="R941">
        <v>4595.7207900000003</v>
      </c>
      <c r="S941">
        <v>4622.3095599999997</v>
      </c>
      <c r="V941">
        <v>4531.4177200000004</v>
      </c>
      <c r="W941">
        <v>4497.8527299999996</v>
      </c>
      <c r="AB941">
        <v>4618.4684100000004</v>
      </c>
      <c r="AC941">
        <v>4619.5952200000002</v>
      </c>
      <c r="AD941">
        <v>0</v>
      </c>
      <c r="AE941">
        <f t="shared" si="131"/>
        <v>939</v>
      </c>
      <c r="AF941">
        <f t="shared" si="132"/>
        <v>938</v>
      </c>
      <c r="AG941">
        <f t="shared" si="126"/>
        <v>56.132509999999456</v>
      </c>
      <c r="AH941">
        <f t="shared" si="127"/>
        <v>3150.8586789000387</v>
      </c>
      <c r="AI941">
        <f t="shared" si="128"/>
        <v>4.0687309421374058</v>
      </c>
      <c r="AJ941">
        <f t="shared" si="129"/>
        <v>6.4954906543978099</v>
      </c>
      <c r="AK941">
        <f t="shared" si="130"/>
        <v>879844</v>
      </c>
      <c r="AL941">
        <f t="shared" si="133"/>
        <v>4621.3179</v>
      </c>
      <c r="AM941" t="str">
        <f t="shared" si="134"/>
        <v/>
      </c>
    </row>
    <row r="942" spans="1:39" x14ac:dyDescent="0.55000000000000004">
      <c r="A942">
        <v>1777578302</v>
      </c>
      <c r="B942" t="s">
        <v>72</v>
      </c>
      <c r="C942" t="s">
        <v>73</v>
      </c>
      <c r="D942">
        <v>4617.07</v>
      </c>
      <c r="E942">
        <v>4518.5928199999998</v>
      </c>
      <c r="F942">
        <v>4596.0559499999999</v>
      </c>
      <c r="G942">
        <v>4755.40355</v>
      </c>
      <c r="H942">
        <v>4792.7697200000002</v>
      </c>
      <c r="Q942">
        <v>4566.0898900000002</v>
      </c>
      <c r="R942">
        <v>4595.4531900000002</v>
      </c>
      <c r="S942">
        <v>4622.0419599999996</v>
      </c>
      <c r="V942">
        <v>4531.1501200000002</v>
      </c>
      <c r="W942">
        <v>4497.5851199999997</v>
      </c>
      <c r="AB942">
        <v>4617.4831899999999</v>
      </c>
      <c r="AC942">
        <v>4618.5392000000002</v>
      </c>
      <c r="AD942">
        <v>0</v>
      </c>
      <c r="AE942">
        <f t="shared" si="131"/>
        <v>940</v>
      </c>
      <c r="AF942">
        <f t="shared" si="132"/>
        <v>939</v>
      </c>
      <c r="AG942">
        <f t="shared" si="126"/>
        <v>50.980109999999513</v>
      </c>
      <c r="AH942">
        <f t="shared" si="127"/>
        <v>2598.9716156120503</v>
      </c>
      <c r="AI942">
        <f t="shared" si="128"/>
        <v>3.0480205387751305</v>
      </c>
      <c r="AJ942">
        <f t="shared" si="129"/>
        <v>4.4193376635848294</v>
      </c>
      <c r="AK942">
        <f t="shared" si="130"/>
        <v>881721</v>
      </c>
      <c r="AL942">
        <f t="shared" si="133"/>
        <v>4621.3179</v>
      </c>
      <c r="AM942" t="str">
        <f t="shared" si="134"/>
        <v/>
      </c>
    </row>
    <row r="943" spans="1:39" x14ac:dyDescent="0.55000000000000004">
      <c r="A943">
        <v>1777579202</v>
      </c>
      <c r="B943" t="s">
        <v>72</v>
      </c>
      <c r="C943" t="s">
        <v>73</v>
      </c>
      <c r="D943">
        <v>4616.16</v>
      </c>
      <c r="E943">
        <v>4518.5928199999998</v>
      </c>
      <c r="F943">
        <v>4596.0559499999999</v>
      </c>
      <c r="G943">
        <v>4755.40355</v>
      </c>
      <c r="H943">
        <v>4792.7697200000002</v>
      </c>
      <c r="Q943">
        <v>4565.8222800000003</v>
      </c>
      <c r="R943">
        <v>4595.1855800000003</v>
      </c>
      <c r="S943">
        <v>4621.7743499999997</v>
      </c>
      <c r="V943">
        <v>4530.8825100000004</v>
      </c>
      <c r="W943">
        <v>4497.3175199999996</v>
      </c>
      <c r="AB943">
        <v>4617.39455</v>
      </c>
      <c r="AC943">
        <v>4617.9668799999999</v>
      </c>
      <c r="AD943">
        <v>0</v>
      </c>
      <c r="AE943">
        <f t="shared" si="131"/>
        <v>941</v>
      </c>
      <c r="AF943">
        <f t="shared" si="132"/>
        <v>940</v>
      </c>
      <c r="AG943">
        <f t="shared" si="126"/>
        <v>50.337719999999536</v>
      </c>
      <c r="AH943">
        <f t="shared" si="127"/>
        <v>2533.8860547983531</v>
      </c>
      <c r="AI943">
        <f t="shared" si="128"/>
        <v>2.9342438741277839</v>
      </c>
      <c r="AJ943">
        <f t="shared" si="129"/>
        <v>4.2007639224336071</v>
      </c>
      <c r="AK943">
        <f t="shared" si="130"/>
        <v>883600</v>
      </c>
      <c r="AL943">
        <f t="shared" si="133"/>
        <v>4621.3179</v>
      </c>
      <c r="AM943" t="str">
        <f t="shared" si="134"/>
        <v/>
      </c>
    </row>
    <row r="944" spans="1:39" x14ac:dyDescent="0.55000000000000004">
      <c r="A944">
        <v>1777580102</v>
      </c>
      <c r="B944" t="s">
        <v>72</v>
      </c>
      <c r="C944" t="s">
        <v>73</v>
      </c>
      <c r="D944">
        <v>4616.72</v>
      </c>
      <c r="E944">
        <v>4518.5928199999998</v>
      </c>
      <c r="F944">
        <v>4596.0559499999999</v>
      </c>
      <c r="G944">
        <v>4755.40355</v>
      </c>
      <c r="H944">
        <v>4792.7697200000002</v>
      </c>
      <c r="Q944">
        <v>4565.5546800000002</v>
      </c>
      <c r="R944">
        <v>4594.9179800000002</v>
      </c>
      <c r="S944">
        <v>4621.5067499999996</v>
      </c>
      <c r="V944">
        <v>4530.6149100000002</v>
      </c>
      <c r="W944">
        <v>4497.0499099999997</v>
      </c>
      <c r="AB944">
        <v>4618.4206599999998</v>
      </c>
      <c r="AC944">
        <v>4618.1937699999999</v>
      </c>
      <c r="AD944">
        <v>1</v>
      </c>
      <c r="AE944">
        <f t="shared" si="131"/>
        <v>942</v>
      </c>
      <c r="AF944">
        <f t="shared" si="132"/>
        <v>941</v>
      </c>
      <c r="AG944">
        <f t="shared" si="126"/>
        <v>51.165320000000065</v>
      </c>
      <c r="AH944">
        <f t="shared" si="127"/>
        <v>2617.8899707024066</v>
      </c>
      <c r="AI944">
        <f t="shared" si="128"/>
        <v>3.0813616167783215</v>
      </c>
      <c r="AJ944">
        <f t="shared" si="129"/>
        <v>4.4839100444342597</v>
      </c>
      <c r="AK944">
        <f t="shared" si="130"/>
        <v>885481</v>
      </c>
      <c r="AL944">
        <f t="shared" si="133"/>
        <v>4618.4206599999998</v>
      </c>
      <c r="AM944">
        <f t="shared" si="134"/>
        <v>2.8972400000002381</v>
      </c>
    </row>
    <row r="945" spans="1:39" x14ac:dyDescent="0.55000000000000004">
      <c r="A945">
        <v>1777581002</v>
      </c>
      <c r="B945" t="s">
        <v>72</v>
      </c>
      <c r="C945" t="s">
        <v>73</v>
      </c>
      <c r="D945">
        <v>4617.33</v>
      </c>
      <c r="E945">
        <v>4518.5928199999998</v>
      </c>
      <c r="F945">
        <v>4596.0559499999999</v>
      </c>
      <c r="G945">
        <v>4755.40355</v>
      </c>
      <c r="H945">
        <v>4792.7697200000002</v>
      </c>
      <c r="Q945">
        <v>4565.2870800000001</v>
      </c>
      <c r="R945">
        <v>4594.6503700000003</v>
      </c>
      <c r="S945">
        <v>4621.2391399999997</v>
      </c>
      <c r="V945">
        <v>4530.3473000000004</v>
      </c>
      <c r="W945">
        <v>4496.7823099999996</v>
      </c>
      <c r="AB945">
        <v>4620.4877699999997</v>
      </c>
      <c r="AC945">
        <v>4619.3407699999998</v>
      </c>
      <c r="AD945">
        <v>0</v>
      </c>
      <c r="AE945">
        <f t="shared" si="131"/>
        <v>943</v>
      </c>
      <c r="AF945">
        <f t="shared" si="132"/>
        <v>942</v>
      </c>
      <c r="AG945">
        <f t="shared" si="126"/>
        <v>52.042919999999867</v>
      </c>
      <c r="AH945">
        <f t="shared" si="127"/>
        <v>2708.4655221263861</v>
      </c>
      <c r="AI945">
        <f t="shared" si="128"/>
        <v>3.2426535597968851</v>
      </c>
      <c r="AJ945">
        <f t="shared" si="129"/>
        <v>4.7995523799683291</v>
      </c>
      <c r="AK945">
        <f t="shared" si="130"/>
        <v>887364</v>
      </c>
      <c r="AL945">
        <f t="shared" si="133"/>
        <v>4618.4206599999998</v>
      </c>
      <c r="AM945" t="str">
        <f t="shared" si="134"/>
        <v/>
      </c>
    </row>
    <row r="946" spans="1:39" x14ac:dyDescent="0.55000000000000004">
      <c r="A946">
        <v>1777581902</v>
      </c>
      <c r="B946" t="s">
        <v>72</v>
      </c>
      <c r="C946" t="s">
        <v>73</v>
      </c>
      <c r="D946">
        <v>4621.8100000000004</v>
      </c>
      <c r="E946">
        <v>4518.5928199999998</v>
      </c>
      <c r="F946">
        <v>4596.0559499999999</v>
      </c>
      <c r="G946">
        <v>4755.40355</v>
      </c>
      <c r="H946">
        <v>4792.7697200000002</v>
      </c>
      <c r="Q946">
        <v>4565.0194700000002</v>
      </c>
      <c r="R946">
        <v>4594.3827700000002</v>
      </c>
      <c r="S946">
        <v>4620.9715399999995</v>
      </c>
      <c r="V946">
        <v>4530.0797000000002</v>
      </c>
      <c r="W946">
        <v>4496.5146999999997</v>
      </c>
      <c r="AB946">
        <v>4623.3206499999997</v>
      </c>
      <c r="AC946">
        <v>4621.3307100000002</v>
      </c>
      <c r="AD946">
        <v>0</v>
      </c>
      <c r="AE946">
        <f t="shared" si="131"/>
        <v>944</v>
      </c>
      <c r="AF946">
        <f t="shared" si="132"/>
        <v>943</v>
      </c>
      <c r="AG946">
        <f t="shared" si="126"/>
        <v>56.790530000000217</v>
      </c>
      <c r="AH946">
        <f t="shared" si="127"/>
        <v>3225.1642976809248</v>
      </c>
      <c r="AI946">
        <f t="shared" si="128"/>
        <v>4.2135034107261378</v>
      </c>
      <c r="AJ946">
        <f t="shared" si="129"/>
        <v>6.8054649210337246</v>
      </c>
      <c r="AK946">
        <f t="shared" si="130"/>
        <v>889249</v>
      </c>
      <c r="AL946">
        <f t="shared" si="133"/>
        <v>4618.4206599999998</v>
      </c>
      <c r="AM946" t="str">
        <f t="shared" si="134"/>
        <v/>
      </c>
    </row>
    <row r="947" spans="1:39" x14ac:dyDescent="0.55000000000000004">
      <c r="A947">
        <v>1777586402</v>
      </c>
      <c r="B947" t="s">
        <v>72</v>
      </c>
      <c r="C947" t="s">
        <v>73</v>
      </c>
      <c r="D947">
        <v>4631.38</v>
      </c>
      <c r="E947">
        <v>4518.5928199999998</v>
      </c>
      <c r="F947">
        <v>4596.0559499999999</v>
      </c>
      <c r="G947">
        <v>4755.40355</v>
      </c>
      <c r="H947">
        <v>4792.7697200000002</v>
      </c>
      <c r="Q947">
        <v>4564.7518700000001</v>
      </c>
      <c r="R947">
        <v>4594.11517</v>
      </c>
      <c r="S947">
        <v>4620.7039400000003</v>
      </c>
      <c r="V947">
        <v>4529.8121000000001</v>
      </c>
      <c r="W947">
        <v>4496.2470999999996</v>
      </c>
      <c r="AB947">
        <v>4626.4276200000004</v>
      </c>
      <c r="AC947">
        <v>4623.8791700000002</v>
      </c>
      <c r="AD947">
        <v>0</v>
      </c>
      <c r="AE947">
        <f t="shared" si="131"/>
        <v>945</v>
      </c>
      <c r="AF947">
        <f t="shared" si="132"/>
        <v>944</v>
      </c>
      <c r="AG947">
        <f t="shared" si="126"/>
        <v>66.628130000000056</v>
      </c>
      <c r="AH947">
        <f t="shared" si="127"/>
        <v>4439.3077072969072</v>
      </c>
      <c r="AI947">
        <f t="shared" si="128"/>
        <v>6.8043784080530862</v>
      </c>
      <c r="AJ947">
        <f t="shared" si="129"/>
        <v>12.893909284133274</v>
      </c>
      <c r="AK947">
        <f t="shared" si="130"/>
        <v>891136</v>
      </c>
      <c r="AL947">
        <f t="shared" si="133"/>
        <v>4618.4206599999998</v>
      </c>
      <c r="AM947" t="str">
        <f t="shared" si="134"/>
        <v/>
      </c>
    </row>
    <row r="948" spans="1:39" x14ac:dyDescent="0.55000000000000004">
      <c r="A948">
        <v>1777587302</v>
      </c>
      <c r="B948" t="s">
        <v>72</v>
      </c>
      <c r="C948" t="s">
        <v>73</v>
      </c>
      <c r="D948">
        <v>4631.38</v>
      </c>
      <c r="E948">
        <v>4518.5928199999998</v>
      </c>
      <c r="F948">
        <v>4596.0559499999999</v>
      </c>
      <c r="G948">
        <v>4755.40355</v>
      </c>
      <c r="H948">
        <v>4792.7697200000002</v>
      </c>
      <c r="Q948">
        <v>4564.4842600000002</v>
      </c>
      <c r="R948">
        <v>4593.8475600000002</v>
      </c>
      <c r="S948">
        <v>4620.4363300000005</v>
      </c>
      <c r="V948">
        <v>4529.5444900000002</v>
      </c>
      <c r="W948">
        <v>4495.9795000000004</v>
      </c>
      <c r="AB948">
        <v>4629.1487999999999</v>
      </c>
      <c r="AC948">
        <v>4626.5139799999997</v>
      </c>
      <c r="AD948">
        <v>0</v>
      </c>
      <c r="AE948">
        <f t="shared" si="131"/>
        <v>946</v>
      </c>
      <c r="AF948">
        <f t="shared" si="132"/>
        <v>945</v>
      </c>
      <c r="AG948">
        <f t="shared" si="126"/>
        <v>66.895739999999932</v>
      </c>
      <c r="AH948">
        <f t="shared" si="127"/>
        <v>4475.0400301475911</v>
      </c>
      <c r="AI948">
        <f t="shared" si="128"/>
        <v>6.8866969349276888</v>
      </c>
      <c r="AJ948">
        <f t="shared" si="129"/>
        <v>13.10231274810738</v>
      </c>
      <c r="AK948">
        <f t="shared" si="130"/>
        <v>893025</v>
      </c>
      <c r="AL948">
        <f t="shared" si="133"/>
        <v>4618.4206599999998</v>
      </c>
      <c r="AM948" t="str">
        <f t="shared" si="134"/>
        <v/>
      </c>
    </row>
    <row r="949" spans="1:39" x14ac:dyDescent="0.55000000000000004">
      <c r="A949">
        <v>1777588202</v>
      </c>
      <c r="B949" t="s">
        <v>72</v>
      </c>
      <c r="C949" t="s">
        <v>73</v>
      </c>
      <c r="D949">
        <v>4631.75</v>
      </c>
      <c r="E949">
        <v>4518.5928199999998</v>
      </c>
      <c r="F949">
        <v>4596.0559499999999</v>
      </c>
      <c r="G949">
        <v>4755.40355</v>
      </c>
      <c r="H949">
        <v>4792.7697200000002</v>
      </c>
      <c r="Q949">
        <v>4564.21666</v>
      </c>
      <c r="R949">
        <v>4593.57996</v>
      </c>
      <c r="S949">
        <v>4620.1687300000003</v>
      </c>
      <c r="V949">
        <v>4529.2768900000001</v>
      </c>
      <c r="W949">
        <v>4495.7118899999996</v>
      </c>
      <c r="AB949">
        <v>4631.1587300000001</v>
      </c>
      <c r="AC949">
        <v>4628.8363600000002</v>
      </c>
      <c r="AD949">
        <v>0</v>
      </c>
      <c r="AE949">
        <f t="shared" si="131"/>
        <v>947</v>
      </c>
      <c r="AF949">
        <f t="shared" si="132"/>
        <v>946</v>
      </c>
      <c r="AG949">
        <f t="shared" si="126"/>
        <v>67.533339999999953</v>
      </c>
      <c r="AH949">
        <f t="shared" si="127"/>
        <v>4560.7520115555935</v>
      </c>
      <c r="AI949">
        <f t="shared" si="128"/>
        <v>7.0854962417670038</v>
      </c>
      <c r="AJ949">
        <f t="shared" si="129"/>
        <v>13.609025547513525</v>
      </c>
      <c r="AK949">
        <f t="shared" si="130"/>
        <v>894916</v>
      </c>
      <c r="AL949">
        <f t="shared" si="133"/>
        <v>4618.4206599999998</v>
      </c>
      <c r="AM949" t="str">
        <f t="shared" si="134"/>
        <v/>
      </c>
    </row>
    <row r="950" spans="1:39" x14ac:dyDescent="0.55000000000000004">
      <c r="A950">
        <v>1777589102</v>
      </c>
      <c r="B950" t="s">
        <v>72</v>
      </c>
      <c r="C950" t="s">
        <v>73</v>
      </c>
      <c r="D950">
        <v>4630.51</v>
      </c>
      <c r="E950">
        <v>4518.5928199999998</v>
      </c>
      <c r="F950">
        <v>4596.0559499999999</v>
      </c>
      <c r="G950">
        <v>4755.40355</v>
      </c>
      <c r="H950">
        <v>4792.7697200000002</v>
      </c>
      <c r="Q950">
        <v>4563.9490500000002</v>
      </c>
      <c r="R950">
        <v>4593.3123500000002</v>
      </c>
      <c r="S950">
        <v>4619.9011200000004</v>
      </c>
      <c r="V950">
        <v>4529.0092800000002</v>
      </c>
      <c r="W950">
        <v>4495.4442900000004</v>
      </c>
      <c r="AB950">
        <v>4632.1926999999996</v>
      </c>
      <c r="AC950">
        <v>4630.5145300000004</v>
      </c>
      <c r="AD950">
        <v>0</v>
      </c>
      <c r="AE950">
        <f t="shared" si="131"/>
        <v>948</v>
      </c>
      <c r="AF950">
        <f t="shared" si="132"/>
        <v>947</v>
      </c>
      <c r="AG950">
        <f t="shared" si="126"/>
        <v>66.560950000000048</v>
      </c>
      <c r="AH950">
        <f t="shared" si="127"/>
        <v>4430.3600649025066</v>
      </c>
      <c r="AI950">
        <f t="shared" si="128"/>
        <v>6.7838169398571395</v>
      </c>
      <c r="AJ950">
        <f t="shared" si="129"/>
        <v>12.841985051841679</v>
      </c>
      <c r="AK950">
        <f t="shared" si="130"/>
        <v>896809</v>
      </c>
      <c r="AL950">
        <f t="shared" si="133"/>
        <v>4618.4206599999998</v>
      </c>
      <c r="AM950" t="str">
        <f t="shared" si="134"/>
        <v/>
      </c>
    </row>
    <row r="951" spans="1:39" x14ac:dyDescent="0.55000000000000004">
      <c r="A951">
        <v>1777590002</v>
      </c>
      <c r="B951" t="s">
        <v>72</v>
      </c>
      <c r="C951" t="s">
        <v>73</v>
      </c>
      <c r="D951">
        <v>4630.26</v>
      </c>
      <c r="E951">
        <v>4518.5928199999998</v>
      </c>
      <c r="F951">
        <v>4596.0559499999999</v>
      </c>
      <c r="G951">
        <v>4755.40355</v>
      </c>
      <c r="H951">
        <v>4792.7697200000002</v>
      </c>
      <c r="Q951">
        <v>4563.68145</v>
      </c>
      <c r="R951">
        <v>4593.04475</v>
      </c>
      <c r="S951">
        <v>4619.6335200000003</v>
      </c>
      <c r="V951">
        <v>4528.7416800000001</v>
      </c>
      <c r="W951">
        <v>4495.1766799999996</v>
      </c>
      <c r="AB951">
        <v>4632.1855100000002</v>
      </c>
      <c r="AC951">
        <v>4631.3500199999999</v>
      </c>
      <c r="AD951">
        <v>0</v>
      </c>
      <c r="AE951">
        <f t="shared" si="131"/>
        <v>949</v>
      </c>
      <c r="AF951">
        <f t="shared" si="132"/>
        <v>948</v>
      </c>
      <c r="AG951">
        <f t="shared" si="126"/>
        <v>66.578550000000178</v>
      </c>
      <c r="AH951">
        <f t="shared" si="127"/>
        <v>4432.7033201025233</v>
      </c>
      <c r="AI951">
        <f t="shared" si="128"/>
        <v>6.7891996793454483</v>
      </c>
      <c r="AJ951">
        <f t="shared" si="129"/>
        <v>12.855573115015204</v>
      </c>
      <c r="AK951">
        <f t="shared" si="130"/>
        <v>898704</v>
      </c>
      <c r="AL951">
        <f t="shared" si="133"/>
        <v>4618.4206599999998</v>
      </c>
      <c r="AM951" t="str">
        <f t="shared" si="134"/>
        <v/>
      </c>
    </row>
    <row r="952" spans="1:39" x14ac:dyDescent="0.55000000000000004">
      <c r="A952">
        <v>1777590902</v>
      </c>
      <c r="B952" t="s">
        <v>72</v>
      </c>
      <c r="C952" t="s">
        <v>73</v>
      </c>
      <c r="D952">
        <v>4630.75</v>
      </c>
      <c r="E952">
        <v>4518.5928199999998</v>
      </c>
      <c r="F952">
        <v>4596.0559499999999</v>
      </c>
      <c r="G952">
        <v>4755.40355</v>
      </c>
      <c r="H952">
        <v>4792.7697200000002</v>
      </c>
      <c r="Q952">
        <v>4563.4138499999999</v>
      </c>
      <c r="R952">
        <v>4592.7771499999999</v>
      </c>
      <c r="S952">
        <v>4619.3659200000002</v>
      </c>
      <c r="V952">
        <v>4528.47408</v>
      </c>
      <c r="W952">
        <v>4494.9090800000004</v>
      </c>
      <c r="AB952">
        <v>4631.1862300000003</v>
      </c>
      <c r="AC952">
        <v>4631.2681300000004</v>
      </c>
      <c r="AD952">
        <v>1</v>
      </c>
      <c r="AE952">
        <f t="shared" si="131"/>
        <v>950</v>
      </c>
      <c r="AF952">
        <f t="shared" si="132"/>
        <v>949</v>
      </c>
      <c r="AG952">
        <f t="shared" si="126"/>
        <v>67.336150000000089</v>
      </c>
      <c r="AH952">
        <f t="shared" si="127"/>
        <v>4534.1570968225124</v>
      </c>
      <c r="AI952">
        <f t="shared" si="128"/>
        <v>7.0236106604447635</v>
      </c>
      <c r="AJ952">
        <f t="shared" si="129"/>
        <v>13.450772865831047</v>
      </c>
      <c r="AK952">
        <f t="shared" si="130"/>
        <v>900601</v>
      </c>
      <c r="AL952">
        <f t="shared" si="133"/>
        <v>4631.1862300000003</v>
      </c>
      <c r="AM952">
        <f t="shared" si="134"/>
        <v>12.76557000000048</v>
      </c>
    </row>
    <row r="953" spans="1:39" x14ac:dyDescent="0.55000000000000004">
      <c r="A953">
        <v>1777591802</v>
      </c>
      <c r="B953" t="s">
        <v>72</v>
      </c>
      <c r="C953" t="s">
        <v>73</v>
      </c>
      <c r="D953">
        <v>4631.3100000000004</v>
      </c>
      <c r="E953">
        <v>4518.5928199999998</v>
      </c>
      <c r="F953">
        <v>4596.0559499999999</v>
      </c>
      <c r="G953">
        <v>4755.40355</v>
      </c>
      <c r="H953">
        <v>4792.7697200000002</v>
      </c>
      <c r="Q953">
        <v>4563.14624</v>
      </c>
      <c r="R953">
        <v>4592.50954</v>
      </c>
      <c r="S953">
        <v>4619.0983100000003</v>
      </c>
      <c r="V953">
        <v>4528.2064700000001</v>
      </c>
      <c r="W953">
        <v>4494.6414800000002</v>
      </c>
      <c r="AB953">
        <v>4629.3369400000001</v>
      </c>
      <c r="AC953">
        <v>4630.3025299999999</v>
      </c>
      <c r="AD953">
        <v>0</v>
      </c>
      <c r="AE953">
        <f t="shared" si="131"/>
        <v>951</v>
      </c>
      <c r="AF953">
        <f t="shared" si="132"/>
        <v>950</v>
      </c>
      <c r="AG953">
        <f t="shared" si="126"/>
        <v>68.163760000000366</v>
      </c>
      <c r="AH953">
        <f t="shared" si="127"/>
        <v>4646.2981773376496</v>
      </c>
      <c r="AI953">
        <f t="shared" si="128"/>
        <v>7.2857824698918421</v>
      </c>
      <c r="AJ953">
        <f t="shared" si="129"/>
        <v>14.124343380990643</v>
      </c>
      <c r="AK953">
        <f t="shared" si="130"/>
        <v>902500</v>
      </c>
      <c r="AL953">
        <f t="shared" si="133"/>
        <v>4631.1862300000003</v>
      </c>
      <c r="AM953" t="str">
        <f t="shared" si="134"/>
        <v/>
      </c>
    </row>
    <row r="954" spans="1:39" x14ac:dyDescent="0.55000000000000004">
      <c r="A954">
        <v>1777592702</v>
      </c>
      <c r="B954" t="s">
        <v>72</v>
      </c>
      <c r="C954" t="s">
        <v>73</v>
      </c>
      <c r="D954">
        <v>4626.71</v>
      </c>
      <c r="E954">
        <v>4518.5928199999998</v>
      </c>
      <c r="F954">
        <v>4596.0559499999999</v>
      </c>
      <c r="G954">
        <v>4755.40355</v>
      </c>
      <c r="H954">
        <v>4792.7697200000002</v>
      </c>
      <c r="Q954">
        <v>4562.8786399999999</v>
      </c>
      <c r="R954">
        <v>4592.2419399999999</v>
      </c>
      <c r="S954">
        <v>4618.8307100000002</v>
      </c>
      <c r="V954">
        <v>4527.93887</v>
      </c>
      <c r="W954">
        <v>4494.3738700000004</v>
      </c>
      <c r="AB954">
        <v>4626.8860999999997</v>
      </c>
      <c r="AC954">
        <v>4628.5943100000004</v>
      </c>
      <c r="AD954">
        <v>0</v>
      </c>
      <c r="AE954">
        <f t="shared" si="131"/>
        <v>952</v>
      </c>
      <c r="AF954">
        <f t="shared" si="132"/>
        <v>951</v>
      </c>
      <c r="AG954">
        <f t="shared" si="126"/>
        <v>63.831360000000132</v>
      </c>
      <c r="AH954">
        <f t="shared" si="127"/>
        <v>4074.4425194496166</v>
      </c>
      <c r="AI954">
        <f t="shared" si="128"/>
        <v>5.9829844967709587</v>
      </c>
      <c r="AJ954">
        <f t="shared" si="129"/>
        <v>10.86151742627878</v>
      </c>
      <c r="AK954">
        <f t="shared" si="130"/>
        <v>904401</v>
      </c>
      <c r="AL954">
        <f t="shared" si="133"/>
        <v>4631.1862300000003</v>
      </c>
      <c r="AM954" t="str">
        <f t="shared" si="134"/>
        <v/>
      </c>
    </row>
    <row r="955" spans="1:39" x14ac:dyDescent="0.55000000000000004">
      <c r="A955">
        <v>1777593602</v>
      </c>
      <c r="B955" t="s">
        <v>72</v>
      </c>
      <c r="C955" t="s">
        <v>73</v>
      </c>
      <c r="D955">
        <v>4622.55</v>
      </c>
      <c r="E955">
        <v>4518.5928199999998</v>
      </c>
      <c r="F955">
        <v>4596.0559499999999</v>
      </c>
      <c r="G955">
        <v>4755.40355</v>
      </c>
      <c r="H955">
        <v>4792.7697200000002</v>
      </c>
      <c r="Q955">
        <v>4562.61103</v>
      </c>
      <c r="R955">
        <v>4591.97433</v>
      </c>
      <c r="S955">
        <v>4618.5631000000003</v>
      </c>
      <c r="V955">
        <v>4527.6712600000001</v>
      </c>
      <c r="W955">
        <v>4494.1062700000002</v>
      </c>
      <c r="AB955">
        <v>4624.29223</v>
      </c>
      <c r="AC955">
        <v>4626.4432699999998</v>
      </c>
      <c r="AD955">
        <v>0</v>
      </c>
      <c r="AE955">
        <f t="shared" si="131"/>
        <v>953</v>
      </c>
      <c r="AF955">
        <f t="shared" si="132"/>
        <v>952</v>
      </c>
      <c r="AG955">
        <f t="shared" si="126"/>
        <v>59.938970000000154</v>
      </c>
      <c r="AH955">
        <f t="shared" si="127"/>
        <v>3592.6801246609184</v>
      </c>
      <c r="AI955">
        <f t="shared" si="128"/>
        <v>4.9538563800995181</v>
      </c>
      <c r="AJ955">
        <f t="shared" si="129"/>
        <v>8.4448359125149572</v>
      </c>
      <c r="AK955">
        <f t="shared" si="130"/>
        <v>906304</v>
      </c>
      <c r="AL955">
        <f t="shared" si="133"/>
        <v>4631.1862300000003</v>
      </c>
      <c r="AM955" t="str">
        <f t="shared" si="134"/>
        <v/>
      </c>
    </row>
    <row r="956" spans="1:39" x14ac:dyDescent="0.55000000000000004">
      <c r="A956">
        <v>1777594502</v>
      </c>
      <c r="B956" t="s">
        <v>72</v>
      </c>
      <c r="C956" t="s">
        <v>73</v>
      </c>
      <c r="D956">
        <v>4623.6499999999996</v>
      </c>
      <c r="E956">
        <v>4518.5928199999998</v>
      </c>
      <c r="F956">
        <v>4596.0559499999999</v>
      </c>
      <c r="G956">
        <v>4755.40355</v>
      </c>
      <c r="H956">
        <v>4792.7697200000002</v>
      </c>
      <c r="Q956">
        <v>4562.3434299999999</v>
      </c>
      <c r="R956">
        <v>4591.7067299999999</v>
      </c>
      <c r="S956">
        <v>4618.2955000000002</v>
      </c>
      <c r="V956">
        <v>4527.4036599999999</v>
      </c>
      <c r="W956">
        <v>4493.8386600000003</v>
      </c>
      <c r="AB956">
        <v>4622.0189200000004</v>
      </c>
      <c r="AC956">
        <v>4624.2311</v>
      </c>
      <c r="AD956">
        <v>0</v>
      </c>
      <c r="AE956">
        <f t="shared" si="131"/>
        <v>954</v>
      </c>
      <c r="AF956">
        <f t="shared" si="132"/>
        <v>953</v>
      </c>
      <c r="AG956">
        <f t="shared" si="126"/>
        <v>61.306569999999738</v>
      </c>
      <c r="AH956">
        <f t="shared" si="127"/>
        <v>3758.495525164868</v>
      </c>
      <c r="AI956">
        <f t="shared" si="128"/>
        <v>5.3007416849321496</v>
      </c>
      <c r="AJ956">
        <f t="shared" si="129"/>
        <v>9.2423452504094215</v>
      </c>
      <c r="AK956">
        <f t="shared" si="130"/>
        <v>908209</v>
      </c>
      <c r="AL956">
        <f t="shared" si="133"/>
        <v>4631.1862300000003</v>
      </c>
      <c r="AM956" t="str">
        <f t="shared" si="134"/>
        <v/>
      </c>
    </row>
    <row r="957" spans="1:39" x14ac:dyDescent="0.55000000000000004">
      <c r="A957">
        <v>1777595402</v>
      </c>
      <c r="B957" t="s">
        <v>72</v>
      </c>
      <c r="C957" t="s">
        <v>73</v>
      </c>
      <c r="D957">
        <v>4620.8999999999996</v>
      </c>
      <c r="E957">
        <v>4518.5928199999998</v>
      </c>
      <c r="F957">
        <v>4596.0559499999999</v>
      </c>
      <c r="G957">
        <v>4755.40355</v>
      </c>
      <c r="H957">
        <v>4792.7697200000002</v>
      </c>
      <c r="Q957">
        <v>4562.0758299999998</v>
      </c>
      <c r="R957">
        <v>4591.43912</v>
      </c>
      <c r="S957">
        <v>4618.0279</v>
      </c>
      <c r="V957">
        <v>4527.1360599999998</v>
      </c>
      <c r="W957">
        <v>4493.5710600000002</v>
      </c>
      <c r="AB957">
        <v>4620.3006699999996</v>
      </c>
      <c r="AC957">
        <v>4622.2658799999999</v>
      </c>
      <c r="AD957">
        <v>0</v>
      </c>
      <c r="AE957">
        <f t="shared" si="131"/>
        <v>955</v>
      </c>
      <c r="AF957">
        <f t="shared" si="132"/>
        <v>954</v>
      </c>
      <c r="AG957">
        <f t="shared" si="126"/>
        <v>58.824169999999867</v>
      </c>
      <c r="AH957">
        <f t="shared" si="127"/>
        <v>3460.2829761888843</v>
      </c>
      <c r="AI957">
        <f t="shared" si="128"/>
        <v>4.6825563099536547</v>
      </c>
      <c r="AJ957">
        <f t="shared" si="129"/>
        <v>7.8338877599368715</v>
      </c>
      <c r="AK957">
        <f t="shared" si="130"/>
        <v>910116</v>
      </c>
      <c r="AL957">
        <f t="shared" si="133"/>
        <v>4631.1862300000003</v>
      </c>
      <c r="AM957" t="str">
        <f t="shared" si="134"/>
        <v/>
      </c>
    </row>
    <row r="958" spans="1:39" x14ac:dyDescent="0.55000000000000004">
      <c r="A958">
        <v>1777596302</v>
      </c>
      <c r="B958" t="s">
        <v>72</v>
      </c>
      <c r="C958" t="s">
        <v>73</v>
      </c>
      <c r="D958">
        <v>4620.0200000000004</v>
      </c>
      <c r="E958">
        <v>4518.5928199999998</v>
      </c>
      <c r="F958">
        <v>4596.0559499999999</v>
      </c>
      <c r="G958">
        <v>4755.40355</v>
      </c>
      <c r="H958">
        <v>4792.7697200000002</v>
      </c>
      <c r="Q958">
        <v>4561.8082199999999</v>
      </c>
      <c r="R958">
        <v>4591.1715199999999</v>
      </c>
      <c r="S958">
        <v>4617.7602900000002</v>
      </c>
      <c r="V958">
        <v>4526.8684499999999</v>
      </c>
      <c r="W958">
        <v>4493.3034600000001</v>
      </c>
      <c r="AB958">
        <v>4619.3652000000002</v>
      </c>
      <c r="AC958">
        <v>4620.8155399999996</v>
      </c>
      <c r="AD958">
        <v>0</v>
      </c>
      <c r="AE958">
        <f t="shared" si="131"/>
        <v>956</v>
      </c>
      <c r="AF958">
        <f t="shared" si="132"/>
        <v>955</v>
      </c>
      <c r="AG958">
        <f t="shared" si="126"/>
        <v>58.211780000000545</v>
      </c>
      <c r="AH958">
        <f t="shared" si="127"/>
        <v>3388.6113307684632</v>
      </c>
      <c r="AI958">
        <f t="shared" si="128"/>
        <v>4.5378300060150485</v>
      </c>
      <c r="AJ958">
        <f t="shared" si="129"/>
        <v>7.5127273882727321</v>
      </c>
      <c r="AK958">
        <f t="shared" si="130"/>
        <v>912025</v>
      </c>
      <c r="AL958">
        <f t="shared" si="133"/>
        <v>4631.1862300000003</v>
      </c>
      <c r="AM958" t="str">
        <f t="shared" si="134"/>
        <v/>
      </c>
    </row>
    <row r="959" spans="1:39" x14ac:dyDescent="0.55000000000000004">
      <c r="A959">
        <v>1777597202</v>
      </c>
      <c r="B959" t="s">
        <v>72</v>
      </c>
      <c r="C959" t="s">
        <v>73</v>
      </c>
      <c r="D959">
        <v>4618.7</v>
      </c>
      <c r="E959">
        <v>4518.5928199999998</v>
      </c>
      <c r="F959">
        <v>4596.0559499999999</v>
      </c>
      <c r="G959">
        <v>4755.40355</v>
      </c>
      <c r="H959">
        <v>4792.7697200000002</v>
      </c>
      <c r="Q959">
        <v>4561.5406199999998</v>
      </c>
      <c r="R959">
        <v>4590.9039199999997</v>
      </c>
      <c r="S959">
        <v>4617.49269</v>
      </c>
      <c r="V959">
        <v>4526.6008499999998</v>
      </c>
      <c r="W959">
        <v>4493.0358500000002</v>
      </c>
      <c r="AB959">
        <v>4619.2654499999999</v>
      </c>
      <c r="AC959">
        <v>4620.0404900000003</v>
      </c>
      <c r="AD959">
        <v>0</v>
      </c>
      <c r="AE959">
        <f t="shared" si="131"/>
        <v>957</v>
      </c>
      <c r="AF959">
        <f t="shared" si="132"/>
        <v>956</v>
      </c>
      <c r="AG959">
        <f t="shared" si="126"/>
        <v>57.159380000000056</v>
      </c>
      <c r="AH959">
        <f t="shared" si="127"/>
        <v>3267.1947219844064</v>
      </c>
      <c r="AI959">
        <f t="shared" si="128"/>
        <v>4.2961369064452821</v>
      </c>
      <c r="AJ959">
        <f t="shared" si="129"/>
        <v>6.9839987070194907</v>
      </c>
      <c r="AK959">
        <f t="shared" si="130"/>
        <v>913936</v>
      </c>
      <c r="AL959">
        <f t="shared" si="133"/>
        <v>4631.1862300000003</v>
      </c>
      <c r="AM959" t="str">
        <f t="shared" si="134"/>
        <v/>
      </c>
    </row>
    <row r="960" spans="1:39" x14ac:dyDescent="0.55000000000000004">
      <c r="A960">
        <v>1777598102</v>
      </c>
      <c r="B960" t="s">
        <v>72</v>
      </c>
      <c r="C960" t="s">
        <v>73</v>
      </c>
      <c r="D960">
        <v>4616.68</v>
      </c>
      <c r="E960">
        <v>4518.5928199999998</v>
      </c>
      <c r="F960">
        <v>4596.0559499999999</v>
      </c>
      <c r="G960">
        <v>4755.40355</v>
      </c>
      <c r="H960">
        <v>4792.7697200000002</v>
      </c>
      <c r="Q960">
        <v>4561.2730099999999</v>
      </c>
      <c r="R960">
        <v>4590.6363099999999</v>
      </c>
      <c r="S960">
        <v>4617.2250800000002</v>
      </c>
      <c r="V960">
        <v>4526.3332399999999</v>
      </c>
      <c r="W960">
        <v>4492.7682500000001</v>
      </c>
      <c r="AB960">
        <v>4619.9177300000001</v>
      </c>
      <c r="AC960">
        <v>4619.9791100000002</v>
      </c>
      <c r="AD960">
        <v>0</v>
      </c>
      <c r="AE960">
        <f t="shared" si="131"/>
        <v>958</v>
      </c>
      <c r="AF960">
        <f t="shared" si="132"/>
        <v>957</v>
      </c>
      <c r="AG960">
        <f t="shared" si="126"/>
        <v>55.406990000000405</v>
      </c>
      <c r="AH960">
        <f t="shared" si="127"/>
        <v>3069.9345408601448</v>
      </c>
      <c r="AI960">
        <f t="shared" si="128"/>
        <v>3.9129946794618569</v>
      </c>
      <c r="AJ960">
        <f t="shared" si="129"/>
        <v>6.1661252649698257</v>
      </c>
      <c r="AK960">
        <f t="shared" si="130"/>
        <v>915849</v>
      </c>
      <c r="AL960">
        <f t="shared" si="133"/>
        <v>4631.1862300000003</v>
      </c>
      <c r="AM960" t="str">
        <f t="shared" si="134"/>
        <v/>
      </c>
    </row>
    <row r="961" spans="1:39" x14ac:dyDescent="0.55000000000000004">
      <c r="A961">
        <v>1777599002</v>
      </c>
      <c r="B961" t="s">
        <v>72</v>
      </c>
      <c r="C961" t="s">
        <v>73</v>
      </c>
      <c r="D961">
        <v>4620.2</v>
      </c>
      <c r="E961">
        <v>4518.5928199999998</v>
      </c>
      <c r="F961">
        <v>4596.0559499999999</v>
      </c>
      <c r="G961">
        <v>4755.40355</v>
      </c>
      <c r="H961">
        <v>4792.7697200000002</v>
      </c>
      <c r="Q961">
        <v>4561.0054099999998</v>
      </c>
      <c r="R961">
        <v>4590.3687099999997</v>
      </c>
      <c r="S961">
        <v>4616.95748</v>
      </c>
      <c r="V961">
        <v>4526.0656399999998</v>
      </c>
      <c r="W961">
        <v>4492.5006400000002</v>
      </c>
      <c r="AB961">
        <v>4621.1766399999997</v>
      </c>
      <c r="AC961">
        <v>4620.5778700000001</v>
      </c>
      <c r="AD961">
        <v>1</v>
      </c>
      <c r="AE961">
        <f t="shared" si="131"/>
        <v>959</v>
      </c>
      <c r="AF961">
        <f t="shared" si="132"/>
        <v>958</v>
      </c>
      <c r="AG961">
        <f t="shared" si="126"/>
        <v>59.194590000000062</v>
      </c>
      <c r="AH961">
        <f t="shared" si="127"/>
        <v>3503.9994852681075</v>
      </c>
      <c r="AI961">
        <f t="shared" si="128"/>
        <v>4.7715736875260308</v>
      </c>
      <c r="AJ961">
        <f t="shared" si="129"/>
        <v>8.0330816277384649</v>
      </c>
      <c r="AK961">
        <f t="shared" si="130"/>
        <v>917764</v>
      </c>
      <c r="AL961">
        <f t="shared" si="133"/>
        <v>4621.1766399999997</v>
      </c>
      <c r="AM961">
        <f t="shared" si="134"/>
        <v>10.009590000000571</v>
      </c>
    </row>
    <row r="962" spans="1:39" x14ac:dyDescent="0.55000000000000004">
      <c r="A962">
        <v>1777599902</v>
      </c>
      <c r="B962" t="s">
        <v>72</v>
      </c>
      <c r="C962" t="s">
        <v>73</v>
      </c>
      <c r="D962">
        <v>4621.05</v>
      </c>
      <c r="E962">
        <v>4518.5928199999998</v>
      </c>
      <c r="F962">
        <v>4596.0559499999999</v>
      </c>
      <c r="G962">
        <v>4755.40355</v>
      </c>
      <c r="H962">
        <v>4792.7697200000002</v>
      </c>
      <c r="Q962">
        <v>4560.7378099999996</v>
      </c>
      <c r="R962">
        <v>4590.1010999999999</v>
      </c>
      <c r="S962">
        <v>4616.6898799999999</v>
      </c>
      <c r="V962">
        <v>4525.7980399999997</v>
      </c>
      <c r="W962">
        <v>4492.2330400000001</v>
      </c>
      <c r="AB962">
        <v>4622.6710899999998</v>
      </c>
      <c r="AC962">
        <v>4621.6244800000004</v>
      </c>
      <c r="AD962">
        <v>0</v>
      </c>
      <c r="AE962">
        <f t="shared" si="131"/>
        <v>960</v>
      </c>
      <c r="AF962">
        <f t="shared" si="132"/>
        <v>959</v>
      </c>
      <c r="AG962">
        <f t="shared" si="126"/>
        <v>60.312190000000555</v>
      </c>
      <c r="AH962">
        <f t="shared" si="127"/>
        <v>3637.5602625961669</v>
      </c>
      <c r="AI962">
        <f t="shared" si="128"/>
        <v>5.0469718201144911</v>
      </c>
      <c r="AJ962">
        <f t="shared" si="129"/>
        <v>8.6571413084989892</v>
      </c>
      <c r="AK962">
        <f t="shared" si="130"/>
        <v>919681</v>
      </c>
      <c r="AL962">
        <f t="shared" si="133"/>
        <v>4621.1766399999997</v>
      </c>
      <c r="AM962" t="str">
        <f t="shared" si="134"/>
        <v/>
      </c>
    </row>
    <row r="963" spans="1:39" x14ac:dyDescent="0.55000000000000004">
      <c r="A963">
        <v>1777600802</v>
      </c>
      <c r="B963" t="s">
        <v>72</v>
      </c>
      <c r="C963" t="s">
        <v>73</v>
      </c>
      <c r="D963">
        <v>4630.8900000000003</v>
      </c>
      <c r="E963">
        <v>4518.5928199999998</v>
      </c>
      <c r="F963">
        <v>4596.0559499999999</v>
      </c>
      <c r="G963">
        <v>4755.40355</v>
      </c>
      <c r="H963">
        <v>4792.7697200000002</v>
      </c>
      <c r="Q963">
        <v>4560.4701999999997</v>
      </c>
      <c r="R963">
        <v>4589.8334999999997</v>
      </c>
      <c r="S963">
        <v>4616.42227</v>
      </c>
      <c r="V963">
        <v>4525.5304299999998</v>
      </c>
      <c r="W963">
        <v>4491.9654399999999</v>
      </c>
      <c r="AB963">
        <v>4624.1071000000002</v>
      </c>
      <c r="AC963">
        <v>4622.8657899999998</v>
      </c>
      <c r="AD963">
        <v>0</v>
      </c>
      <c r="AE963">
        <f t="shared" si="131"/>
        <v>961</v>
      </c>
      <c r="AF963">
        <f t="shared" si="132"/>
        <v>960</v>
      </c>
      <c r="AG963">
        <f t="shared" ref="AG963:AG1026" si="135">D963-Q963</f>
        <v>70.419800000000578</v>
      </c>
      <c r="AH963">
        <f t="shared" ref="AH963:AH1026" si="136">AG963^2</f>
        <v>4958.9482320400812</v>
      </c>
      <c r="AI963">
        <f t="shared" ref="AI963:AI1026" si="137">(AG963/STDEV($AG$3:$AG$1137))^3</f>
        <v>8.0334102553970279</v>
      </c>
      <c r="AJ963">
        <f t="shared" ref="AJ963:AJ1026" si="138">(AG963/STDEV($AG$3:$AG$1137))^4</f>
        <v>16.089155970559791</v>
      </c>
      <c r="AK963">
        <f t="shared" ref="AK963:AK1026" si="139">AF963^2</f>
        <v>921600</v>
      </c>
      <c r="AL963">
        <f t="shared" si="133"/>
        <v>4621.1766399999997</v>
      </c>
      <c r="AM963" t="str">
        <f t="shared" si="134"/>
        <v/>
      </c>
    </row>
    <row r="964" spans="1:39" x14ac:dyDescent="0.55000000000000004">
      <c r="A964">
        <v>1777601702</v>
      </c>
      <c r="B964" t="s">
        <v>72</v>
      </c>
      <c r="C964" t="s">
        <v>73</v>
      </c>
      <c r="D964">
        <v>4629.3900000000003</v>
      </c>
      <c r="E964">
        <v>4518.5928199999998</v>
      </c>
      <c r="F964">
        <v>4596.0559499999999</v>
      </c>
      <c r="G964">
        <v>4755.40355</v>
      </c>
      <c r="H964">
        <v>4792.7697200000002</v>
      </c>
      <c r="Q964">
        <v>4560.2025999999996</v>
      </c>
      <c r="R964">
        <v>4589.5658999999996</v>
      </c>
      <c r="S964">
        <v>4616.1546699999999</v>
      </c>
      <c r="V964">
        <v>4525.2628299999997</v>
      </c>
      <c r="W964">
        <v>4491.6978300000001</v>
      </c>
      <c r="Z964">
        <v>4635.83</v>
      </c>
      <c r="AB964">
        <v>4625.0241599999999</v>
      </c>
      <c r="AC964">
        <v>4623.9449699999996</v>
      </c>
      <c r="AD964">
        <v>0</v>
      </c>
      <c r="AE964">
        <f t="shared" ref="AE964:AE1027" si="140">AE963+1</f>
        <v>962</v>
      </c>
      <c r="AF964">
        <f t="shared" ref="AF964:AF1027" si="141">AF963+1</f>
        <v>961</v>
      </c>
      <c r="AG964">
        <f t="shared" si="135"/>
        <v>69.187400000000707</v>
      </c>
      <c r="AH964">
        <f t="shared" si="136"/>
        <v>4786.8963187600975</v>
      </c>
      <c r="AI964">
        <f t="shared" si="137"/>
        <v>7.6189761841906396</v>
      </c>
      <c r="AJ964">
        <f t="shared" si="138"/>
        <v>14.992089103106357</v>
      </c>
      <c r="AK964">
        <f t="shared" si="139"/>
        <v>923521</v>
      </c>
      <c r="AL964">
        <f t="shared" ref="AL964:AL1027" si="142">IF(AD964=1,AB964,IF(AL963&lt;&gt;"",AL963,""))</f>
        <v>4621.1766399999997</v>
      </c>
      <c r="AM964" t="str">
        <f t="shared" ref="AM964:AM1027" si="143">IF(AND(AD964=1,AL963&lt;&gt;""),ABS(AB964-AL963),"")</f>
        <v/>
      </c>
    </row>
    <row r="965" spans="1:39" x14ac:dyDescent="0.55000000000000004">
      <c r="A965">
        <v>1777602602</v>
      </c>
      <c r="B965" t="s">
        <v>72</v>
      </c>
      <c r="C965" t="s">
        <v>73</v>
      </c>
      <c r="D965">
        <v>4624.38</v>
      </c>
      <c r="E965">
        <v>4518.5928199999998</v>
      </c>
      <c r="F965">
        <v>4596.0559499999999</v>
      </c>
      <c r="G965">
        <v>4755.40355</v>
      </c>
      <c r="H965">
        <v>4792.7697200000002</v>
      </c>
      <c r="Q965">
        <v>4559.9349899999997</v>
      </c>
      <c r="R965">
        <v>4589.2982899999997</v>
      </c>
      <c r="S965">
        <v>4615.88706</v>
      </c>
      <c r="V965">
        <v>4524.9952199999998</v>
      </c>
      <c r="W965">
        <v>4491.4302299999999</v>
      </c>
      <c r="AB965">
        <v>4625.4026700000004</v>
      </c>
      <c r="AC965">
        <v>4624.67382</v>
      </c>
      <c r="AD965">
        <v>0</v>
      </c>
      <c r="AE965">
        <f t="shared" si="140"/>
        <v>963</v>
      </c>
      <c r="AF965">
        <f t="shared" si="141"/>
        <v>962</v>
      </c>
      <c r="AG965">
        <f t="shared" si="135"/>
        <v>64.445010000000366</v>
      </c>
      <c r="AH965">
        <f t="shared" si="136"/>
        <v>4153.159313900147</v>
      </c>
      <c r="AI965">
        <f t="shared" si="137"/>
        <v>6.1572029776905168</v>
      </c>
      <c r="AJ965">
        <f t="shared" si="138"/>
        <v>11.285252856990597</v>
      </c>
      <c r="AK965">
        <f t="shared" si="139"/>
        <v>925444</v>
      </c>
      <c r="AL965">
        <f t="shared" si="142"/>
        <v>4621.1766399999997</v>
      </c>
      <c r="AM965" t="str">
        <f t="shared" si="143"/>
        <v/>
      </c>
    </row>
    <row r="966" spans="1:39" x14ac:dyDescent="0.55000000000000004">
      <c r="A966">
        <v>1777603502</v>
      </c>
      <c r="B966" t="s">
        <v>72</v>
      </c>
      <c r="C966" t="s">
        <v>73</v>
      </c>
      <c r="D966">
        <v>4619.1499999999996</v>
      </c>
      <c r="E966">
        <v>4518.5928199999998</v>
      </c>
      <c r="F966">
        <v>4596.0559499999999</v>
      </c>
      <c r="G966">
        <v>4755.40355</v>
      </c>
      <c r="H966">
        <v>4792.7697200000002</v>
      </c>
      <c r="Q966">
        <v>4559.6673899999996</v>
      </c>
      <c r="R966">
        <v>4589.0306899999996</v>
      </c>
      <c r="S966">
        <v>4615.6194599999999</v>
      </c>
      <c r="V966">
        <v>4524.7276199999997</v>
      </c>
      <c r="W966">
        <v>4491.1626200000001</v>
      </c>
      <c r="AB966">
        <v>4625.3862600000002</v>
      </c>
      <c r="AC966">
        <v>4625.0300399999996</v>
      </c>
      <c r="AD966">
        <v>0</v>
      </c>
      <c r="AE966">
        <f t="shared" si="140"/>
        <v>964</v>
      </c>
      <c r="AF966">
        <f t="shared" si="141"/>
        <v>963</v>
      </c>
      <c r="AG966">
        <f t="shared" si="135"/>
        <v>59.482610000000022</v>
      </c>
      <c r="AH966">
        <f t="shared" si="136"/>
        <v>3538.1808924121028</v>
      </c>
      <c r="AI966">
        <f t="shared" si="137"/>
        <v>4.8415635159938439</v>
      </c>
      <c r="AJ966">
        <f t="shared" si="138"/>
        <v>8.1905709792884291</v>
      </c>
      <c r="AK966">
        <f t="shared" si="139"/>
        <v>927369</v>
      </c>
      <c r="AL966">
        <f t="shared" si="142"/>
        <v>4621.1766399999997</v>
      </c>
      <c r="AM966" t="str">
        <f t="shared" si="143"/>
        <v/>
      </c>
    </row>
    <row r="967" spans="1:39" x14ac:dyDescent="0.55000000000000004">
      <c r="A967">
        <v>1777604402</v>
      </c>
      <c r="B967" t="s">
        <v>72</v>
      </c>
      <c r="C967" t="s">
        <v>73</v>
      </c>
      <c r="D967">
        <v>4620.8500000000004</v>
      </c>
      <c r="E967">
        <v>4518.5928199999998</v>
      </c>
      <c r="F967">
        <v>4596.0559499999999</v>
      </c>
      <c r="G967">
        <v>4755.40355</v>
      </c>
      <c r="H967">
        <v>4792.7697200000002</v>
      </c>
      <c r="Q967">
        <v>4559.3997900000004</v>
      </c>
      <c r="R967">
        <v>4588.7630799999997</v>
      </c>
      <c r="S967">
        <v>4615.35185</v>
      </c>
      <c r="V967">
        <v>4524.4600099999998</v>
      </c>
      <c r="W967">
        <v>4490.8950199999999</v>
      </c>
      <c r="AB967">
        <v>4625.1593400000002</v>
      </c>
      <c r="AC967">
        <v>4625.0946899999999</v>
      </c>
      <c r="AD967">
        <v>0</v>
      </c>
      <c r="AE967">
        <f t="shared" si="140"/>
        <v>965</v>
      </c>
      <c r="AF967">
        <f t="shared" si="141"/>
        <v>964</v>
      </c>
      <c r="AG967">
        <f t="shared" si="135"/>
        <v>61.45020999999997</v>
      </c>
      <c r="AH967">
        <f t="shared" si="136"/>
        <v>3776.1283090440961</v>
      </c>
      <c r="AI967">
        <f t="shared" si="137"/>
        <v>5.3380876269530892</v>
      </c>
      <c r="AJ967">
        <f t="shared" si="138"/>
        <v>9.3292686237582618</v>
      </c>
      <c r="AK967">
        <f t="shared" si="139"/>
        <v>929296</v>
      </c>
      <c r="AL967">
        <f t="shared" si="142"/>
        <v>4621.1766399999997</v>
      </c>
      <c r="AM967" t="str">
        <f t="shared" si="143"/>
        <v/>
      </c>
    </row>
    <row r="968" spans="1:39" x14ac:dyDescent="0.55000000000000004">
      <c r="A968">
        <v>1777605302</v>
      </c>
      <c r="B968" t="s">
        <v>72</v>
      </c>
      <c r="C968" t="s">
        <v>73</v>
      </c>
      <c r="D968">
        <v>4626.13</v>
      </c>
      <c r="E968">
        <v>4518.5928199999998</v>
      </c>
      <c r="F968">
        <v>4596.0559499999999</v>
      </c>
      <c r="G968">
        <v>4755.40355</v>
      </c>
      <c r="H968">
        <v>4792.7697200000002</v>
      </c>
      <c r="Q968">
        <v>4559.1321799999996</v>
      </c>
      <c r="R968">
        <v>4588.4954799999996</v>
      </c>
      <c r="S968">
        <v>4615.0842499999999</v>
      </c>
      <c r="V968">
        <v>4524.1924099999997</v>
      </c>
      <c r="W968">
        <v>4490.6274100000001</v>
      </c>
      <c r="AB968">
        <v>4624.7018699999999</v>
      </c>
      <c r="AC968">
        <v>4624.8982800000003</v>
      </c>
      <c r="AD968">
        <v>1</v>
      </c>
      <c r="AE968">
        <f t="shared" si="140"/>
        <v>966</v>
      </c>
      <c r="AF968">
        <f t="shared" si="141"/>
        <v>965</v>
      </c>
      <c r="AG968">
        <f t="shared" si="135"/>
        <v>66.997820000000502</v>
      </c>
      <c r="AH968">
        <f t="shared" si="136"/>
        <v>4488.7078847524672</v>
      </c>
      <c r="AI968">
        <f t="shared" si="137"/>
        <v>6.9182714704893202</v>
      </c>
      <c r="AJ968">
        <f t="shared" si="138"/>
        <v>13.182470235865777</v>
      </c>
      <c r="AK968">
        <f t="shared" si="139"/>
        <v>931225</v>
      </c>
      <c r="AL968">
        <f t="shared" si="142"/>
        <v>4624.7018699999999</v>
      </c>
      <c r="AM968">
        <f t="shared" si="143"/>
        <v>3.5252300000001924</v>
      </c>
    </row>
    <row r="969" spans="1:39" x14ac:dyDescent="0.55000000000000004">
      <c r="A969">
        <v>1777606202</v>
      </c>
      <c r="B969" t="s">
        <v>72</v>
      </c>
      <c r="C969" t="s">
        <v>73</v>
      </c>
      <c r="D969">
        <v>4626.21</v>
      </c>
      <c r="E969">
        <v>4518.5928199999998</v>
      </c>
      <c r="F969">
        <v>4596.0559499999999</v>
      </c>
      <c r="G969">
        <v>4755.40355</v>
      </c>
      <c r="H969">
        <v>4792.7697200000002</v>
      </c>
      <c r="Q969">
        <v>4558.8645800000004</v>
      </c>
      <c r="R969">
        <v>4588.2278800000004</v>
      </c>
      <c r="S969">
        <v>4614.8166499999998</v>
      </c>
      <c r="V969">
        <v>4523.9248100000004</v>
      </c>
      <c r="W969">
        <v>4490.3598099999999</v>
      </c>
      <c r="AB969">
        <v>4623.8541100000002</v>
      </c>
      <c r="AC969">
        <v>4624.37619</v>
      </c>
      <c r="AD969">
        <v>0</v>
      </c>
      <c r="AE969">
        <f t="shared" si="140"/>
        <v>967</v>
      </c>
      <c r="AF969">
        <f t="shared" si="141"/>
        <v>966</v>
      </c>
      <c r="AG969">
        <f t="shared" si="135"/>
        <v>67.345419999999649</v>
      </c>
      <c r="AH969">
        <f t="shared" si="136"/>
        <v>4535.4055949763524</v>
      </c>
      <c r="AI969">
        <f t="shared" si="137"/>
        <v>7.0265118287446997</v>
      </c>
      <c r="AJ969">
        <f t="shared" si="138"/>
        <v>13.458181333062406</v>
      </c>
      <c r="AK969">
        <f t="shared" si="139"/>
        <v>933156</v>
      </c>
      <c r="AL969">
        <f t="shared" si="142"/>
        <v>4624.7018699999999</v>
      </c>
      <c r="AM969" t="str">
        <f t="shared" si="143"/>
        <v/>
      </c>
    </row>
    <row r="970" spans="1:39" x14ac:dyDescent="0.55000000000000004">
      <c r="A970">
        <v>1777607102</v>
      </c>
      <c r="B970" t="s">
        <v>72</v>
      </c>
      <c r="C970" t="s">
        <v>73</v>
      </c>
      <c r="D970">
        <v>4626.67</v>
      </c>
      <c r="E970">
        <v>4518.5928199999998</v>
      </c>
      <c r="F970">
        <v>4596.0559499999999</v>
      </c>
      <c r="G970">
        <v>4755.40355</v>
      </c>
      <c r="H970">
        <v>4792.7697200000002</v>
      </c>
      <c r="Q970">
        <v>4558.5969699999996</v>
      </c>
      <c r="R970">
        <v>4587.9602699999996</v>
      </c>
      <c r="S970">
        <v>4614.5490399999999</v>
      </c>
      <c r="V970">
        <v>4523.6571999999996</v>
      </c>
      <c r="W970">
        <v>4490.0922099999998</v>
      </c>
      <c r="AB970">
        <v>4622.5755600000002</v>
      </c>
      <c r="AC970">
        <v>4623.47588</v>
      </c>
      <c r="AD970">
        <v>0</v>
      </c>
      <c r="AE970">
        <f t="shared" si="140"/>
        <v>968</v>
      </c>
      <c r="AF970">
        <f t="shared" si="141"/>
        <v>967</v>
      </c>
      <c r="AG970">
        <f t="shared" si="135"/>
        <v>68.073030000000472</v>
      </c>
      <c r="AH970">
        <f t="shared" si="136"/>
        <v>4633.9374133809642</v>
      </c>
      <c r="AI970">
        <f t="shared" si="137"/>
        <v>7.2567277543751612</v>
      </c>
      <c r="AJ970">
        <f t="shared" si="138"/>
        <v>14.049292045045258</v>
      </c>
      <c r="AK970">
        <f t="shared" si="139"/>
        <v>935089</v>
      </c>
      <c r="AL970">
        <f t="shared" si="142"/>
        <v>4624.7018699999999</v>
      </c>
      <c r="AM970" t="str">
        <f t="shared" si="143"/>
        <v/>
      </c>
    </row>
    <row r="971" spans="1:39" x14ac:dyDescent="0.55000000000000004">
      <c r="A971">
        <v>1777608002</v>
      </c>
      <c r="B971" t="s">
        <v>72</v>
      </c>
      <c r="C971" t="s">
        <v>73</v>
      </c>
      <c r="D971">
        <v>4621.93</v>
      </c>
      <c r="E971">
        <v>4518.5928199999998</v>
      </c>
      <c r="F971">
        <v>4596.0559499999999</v>
      </c>
      <c r="G971">
        <v>4755.40355</v>
      </c>
      <c r="H971">
        <v>4792.7697200000002</v>
      </c>
      <c r="Q971">
        <v>4558.3293700000004</v>
      </c>
      <c r="R971">
        <v>4587.6926700000004</v>
      </c>
      <c r="S971">
        <v>4614.2814399999997</v>
      </c>
      <c r="V971">
        <v>4523.3896000000004</v>
      </c>
      <c r="W971">
        <v>4489.8245999999999</v>
      </c>
      <c r="AB971">
        <v>4620.8327600000002</v>
      </c>
      <c r="AC971">
        <v>4622.1543199999996</v>
      </c>
      <c r="AD971">
        <v>0</v>
      </c>
      <c r="AE971">
        <f t="shared" si="140"/>
        <v>969</v>
      </c>
      <c r="AF971">
        <f t="shared" si="141"/>
        <v>968</v>
      </c>
      <c r="AG971">
        <f t="shared" si="135"/>
        <v>63.60062999999991</v>
      </c>
      <c r="AH971">
        <f t="shared" si="136"/>
        <v>4045.0401363968886</v>
      </c>
      <c r="AI971">
        <f t="shared" si="137"/>
        <v>5.9183389937874793</v>
      </c>
      <c r="AJ971">
        <f t="shared" si="138"/>
        <v>10.705323190574319</v>
      </c>
      <c r="AK971">
        <f t="shared" si="139"/>
        <v>937024</v>
      </c>
      <c r="AL971">
        <f t="shared" si="142"/>
        <v>4624.7018699999999</v>
      </c>
      <c r="AM971" t="str">
        <f t="shared" si="143"/>
        <v/>
      </c>
    </row>
    <row r="972" spans="1:39" x14ac:dyDescent="0.55000000000000004">
      <c r="A972">
        <v>1777608902</v>
      </c>
      <c r="B972" t="s">
        <v>72</v>
      </c>
      <c r="C972" t="s">
        <v>73</v>
      </c>
      <c r="D972">
        <v>4617.53</v>
      </c>
      <c r="E972">
        <v>4518.5928199999998</v>
      </c>
      <c r="F972">
        <v>4596.0559499999999</v>
      </c>
      <c r="G972">
        <v>4755.40355</v>
      </c>
      <c r="H972">
        <v>4792.7697200000002</v>
      </c>
      <c r="Q972">
        <v>4558.0617599999996</v>
      </c>
      <c r="R972">
        <v>4587.4250599999996</v>
      </c>
      <c r="S972">
        <v>4614.0138299999999</v>
      </c>
      <c r="V972">
        <v>4523.1219899999996</v>
      </c>
      <c r="W972">
        <v>4489.5569999999998</v>
      </c>
      <c r="AB972">
        <v>4618.7514899999996</v>
      </c>
      <c r="AC972">
        <v>4620.4529000000002</v>
      </c>
      <c r="AD972">
        <v>0</v>
      </c>
      <c r="AE972">
        <f t="shared" si="140"/>
        <v>970</v>
      </c>
      <c r="AF972">
        <f t="shared" si="141"/>
        <v>969</v>
      </c>
      <c r="AG972">
        <f t="shared" si="135"/>
        <v>59.468240000000151</v>
      </c>
      <c r="AH972">
        <f t="shared" si="136"/>
        <v>3536.4715686976178</v>
      </c>
      <c r="AI972">
        <f t="shared" si="137"/>
        <v>4.838055442221818</v>
      </c>
      <c r="AJ972">
        <f t="shared" si="138"/>
        <v>8.1826590291661496</v>
      </c>
      <c r="AK972">
        <f t="shared" si="139"/>
        <v>938961</v>
      </c>
      <c r="AL972">
        <f t="shared" si="142"/>
        <v>4624.7018699999999</v>
      </c>
      <c r="AM972" t="str">
        <f t="shared" si="143"/>
        <v/>
      </c>
    </row>
    <row r="973" spans="1:39" x14ac:dyDescent="0.55000000000000004">
      <c r="A973">
        <v>1777609802</v>
      </c>
      <c r="B973" t="s">
        <v>72</v>
      </c>
      <c r="C973" t="s">
        <v>73</v>
      </c>
      <c r="D973">
        <v>4613.51</v>
      </c>
      <c r="E973">
        <v>4518.5928199999998</v>
      </c>
      <c r="F973">
        <v>4596.0559499999999</v>
      </c>
      <c r="G973">
        <v>4755.40355</v>
      </c>
      <c r="H973">
        <v>4792.7697200000002</v>
      </c>
      <c r="Q973">
        <v>4557.7941600000004</v>
      </c>
      <c r="R973">
        <v>4587.1574600000004</v>
      </c>
      <c r="S973">
        <v>4613.7462299999997</v>
      </c>
      <c r="V973">
        <v>4522.8543900000004</v>
      </c>
      <c r="W973">
        <v>4489.2893899999999</v>
      </c>
      <c r="AB973">
        <v>4616.4932799999997</v>
      </c>
      <c r="AC973">
        <v>4618.4730900000004</v>
      </c>
      <c r="AD973">
        <v>0</v>
      </c>
      <c r="AE973">
        <f t="shared" si="140"/>
        <v>971</v>
      </c>
      <c r="AF973">
        <f t="shared" si="141"/>
        <v>970</v>
      </c>
      <c r="AG973">
        <f t="shared" si="135"/>
        <v>55.715839999999844</v>
      </c>
      <c r="AH973">
        <f t="shared" si="136"/>
        <v>3104.2548269055824</v>
      </c>
      <c r="AI973">
        <f t="shared" si="137"/>
        <v>3.9787956286169437</v>
      </c>
      <c r="AJ973">
        <f t="shared" si="138"/>
        <v>6.3047641180884391</v>
      </c>
      <c r="AK973">
        <f t="shared" si="139"/>
        <v>940900</v>
      </c>
      <c r="AL973">
        <f t="shared" si="142"/>
        <v>4624.7018699999999</v>
      </c>
      <c r="AM973" t="str">
        <f t="shared" si="143"/>
        <v/>
      </c>
    </row>
    <row r="974" spans="1:39" x14ac:dyDescent="0.55000000000000004">
      <c r="A974">
        <v>1777610702</v>
      </c>
      <c r="B974" t="s">
        <v>72</v>
      </c>
      <c r="C974" t="s">
        <v>73</v>
      </c>
      <c r="D974">
        <v>4609.18</v>
      </c>
      <c r="E974">
        <v>4518.5928199999998</v>
      </c>
      <c r="F974">
        <v>4596.0559499999999</v>
      </c>
      <c r="G974">
        <v>4755.40355</v>
      </c>
      <c r="H974">
        <v>4792.7697200000002</v>
      </c>
      <c r="Q974">
        <v>4557.5265600000002</v>
      </c>
      <c r="R974">
        <v>4586.8898600000002</v>
      </c>
      <c r="S974">
        <v>4613.4786299999996</v>
      </c>
      <c r="V974">
        <v>4522.5867900000003</v>
      </c>
      <c r="W974">
        <v>4489.0217899999998</v>
      </c>
      <c r="AB974">
        <v>4614.2007100000001</v>
      </c>
      <c r="AC974">
        <v>4616.3369000000002</v>
      </c>
      <c r="AD974">
        <v>0</v>
      </c>
      <c r="AE974">
        <f t="shared" si="140"/>
        <v>972</v>
      </c>
      <c r="AF974">
        <f t="shared" si="141"/>
        <v>971</v>
      </c>
      <c r="AG974">
        <f t="shared" si="135"/>
        <v>51.653440000000046</v>
      </c>
      <c r="AH974">
        <f t="shared" si="136"/>
        <v>2668.0778638336046</v>
      </c>
      <c r="AI974">
        <f t="shared" si="137"/>
        <v>3.1703947048654757</v>
      </c>
      <c r="AJ974">
        <f t="shared" si="138"/>
        <v>4.6574812153703595</v>
      </c>
      <c r="AK974">
        <f t="shared" si="139"/>
        <v>942841</v>
      </c>
      <c r="AL974">
        <f t="shared" si="142"/>
        <v>4624.7018699999999</v>
      </c>
      <c r="AM974" t="str">
        <f t="shared" si="143"/>
        <v/>
      </c>
    </row>
    <row r="975" spans="1:39" x14ac:dyDescent="0.55000000000000004">
      <c r="A975">
        <v>1777611602</v>
      </c>
      <c r="B975" t="s">
        <v>72</v>
      </c>
      <c r="C975" t="s">
        <v>73</v>
      </c>
      <c r="D975">
        <v>4614.29</v>
      </c>
      <c r="E975">
        <v>4518.5928199999998</v>
      </c>
      <c r="F975">
        <v>4596.0559499999999</v>
      </c>
      <c r="G975">
        <v>4755.40355</v>
      </c>
      <c r="H975">
        <v>4792.7697200000002</v>
      </c>
      <c r="Q975">
        <v>4557.2589500000004</v>
      </c>
      <c r="R975">
        <v>4586.6222500000003</v>
      </c>
      <c r="S975">
        <v>4613.2110199999997</v>
      </c>
      <c r="V975">
        <v>4522.3191800000004</v>
      </c>
      <c r="W975">
        <v>4488.7541899999997</v>
      </c>
      <c r="AB975">
        <v>4611.9819200000002</v>
      </c>
      <c r="AC975">
        <v>4614.1594100000002</v>
      </c>
      <c r="AD975">
        <v>0</v>
      </c>
      <c r="AE975">
        <f t="shared" si="140"/>
        <v>973</v>
      </c>
      <c r="AF975">
        <f t="shared" si="141"/>
        <v>972</v>
      </c>
      <c r="AG975">
        <f t="shared" si="135"/>
        <v>57.031049999999595</v>
      </c>
      <c r="AH975">
        <f t="shared" si="136"/>
        <v>3252.5406641024538</v>
      </c>
      <c r="AI975">
        <f t="shared" si="137"/>
        <v>4.2672657193116263</v>
      </c>
      <c r="AJ975">
        <f t="shared" si="138"/>
        <v>6.9214897885461095</v>
      </c>
      <c r="AK975">
        <f t="shared" si="139"/>
        <v>944784</v>
      </c>
      <c r="AL975">
        <f t="shared" si="142"/>
        <v>4624.7018699999999</v>
      </c>
      <c r="AM975" t="str">
        <f t="shared" si="143"/>
        <v/>
      </c>
    </row>
    <row r="976" spans="1:39" x14ac:dyDescent="0.55000000000000004">
      <c r="A976">
        <v>1777612502</v>
      </c>
      <c r="B976" t="s">
        <v>72</v>
      </c>
      <c r="C976" t="s">
        <v>73</v>
      </c>
      <c r="D976">
        <v>4614.6400000000003</v>
      </c>
      <c r="E976">
        <v>4518.5928199999998</v>
      </c>
      <c r="F976">
        <v>4596.0559499999999</v>
      </c>
      <c r="G976">
        <v>4755.40355</v>
      </c>
      <c r="H976">
        <v>4792.7697200000002</v>
      </c>
      <c r="Q976">
        <v>4556.9913500000002</v>
      </c>
      <c r="R976">
        <v>4586.3546500000002</v>
      </c>
      <c r="S976">
        <v>4612.9434199999996</v>
      </c>
      <c r="V976">
        <v>4522.0515800000003</v>
      </c>
      <c r="W976">
        <v>4488.4865799999998</v>
      </c>
      <c r="AB976">
        <v>4609.7021800000002</v>
      </c>
      <c r="AC976">
        <v>4611.9308000000001</v>
      </c>
      <c r="AD976">
        <v>0</v>
      </c>
      <c r="AE976">
        <f t="shared" si="140"/>
        <v>974</v>
      </c>
      <c r="AF976">
        <f t="shared" si="141"/>
        <v>973</v>
      </c>
      <c r="AG976">
        <f t="shared" si="135"/>
        <v>57.648650000000089</v>
      </c>
      <c r="AH976">
        <f t="shared" si="136"/>
        <v>3323.3668468225101</v>
      </c>
      <c r="AI976">
        <f t="shared" si="137"/>
        <v>4.4074054989080267</v>
      </c>
      <c r="AJ976">
        <f t="shared" si="138"/>
        <v>7.22621167231567</v>
      </c>
      <c r="AK976">
        <f t="shared" si="139"/>
        <v>946729</v>
      </c>
      <c r="AL976">
        <f t="shared" si="142"/>
        <v>4624.7018699999999</v>
      </c>
      <c r="AM976" t="str">
        <f t="shared" si="143"/>
        <v/>
      </c>
    </row>
    <row r="977" spans="1:39" x14ac:dyDescent="0.55000000000000004">
      <c r="A977">
        <v>1777613402</v>
      </c>
      <c r="B977" t="s">
        <v>72</v>
      </c>
      <c r="C977" t="s">
        <v>73</v>
      </c>
      <c r="D977">
        <v>4610</v>
      </c>
      <c r="E977">
        <v>4518.5928199999998</v>
      </c>
      <c r="F977">
        <v>4596.0559499999999</v>
      </c>
      <c r="G977">
        <v>4755.40355</v>
      </c>
      <c r="H977">
        <v>4792.7697200000002</v>
      </c>
      <c r="Q977">
        <v>4556.7237400000004</v>
      </c>
      <c r="R977">
        <v>4586.0870400000003</v>
      </c>
      <c r="S977">
        <v>4612.6758099999997</v>
      </c>
      <c r="V977">
        <v>4521.7839700000004</v>
      </c>
      <c r="W977">
        <v>4488.2189799999996</v>
      </c>
      <c r="AB977">
        <v>4607.3039699999999</v>
      </c>
      <c r="AC977">
        <v>4609.6173799999997</v>
      </c>
      <c r="AD977">
        <v>0</v>
      </c>
      <c r="AE977">
        <f t="shared" si="140"/>
        <v>975</v>
      </c>
      <c r="AF977">
        <f t="shared" si="141"/>
        <v>974</v>
      </c>
      <c r="AG977">
        <f t="shared" si="135"/>
        <v>53.276259999999638</v>
      </c>
      <c r="AH977">
        <f t="shared" si="136"/>
        <v>2838.3598795875614</v>
      </c>
      <c r="AI977">
        <f t="shared" si="137"/>
        <v>3.4786983692724349</v>
      </c>
      <c r="AJ977">
        <f t="shared" si="138"/>
        <v>5.2709516377143242</v>
      </c>
      <c r="AK977">
        <f t="shared" si="139"/>
        <v>948676</v>
      </c>
      <c r="AL977">
        <f t="shared" si="142"/>
        <v>4624.7018699999999</v>
      </c>
      <c r="AM977" t="str">
        <f t="shared" si="143"/>
        <v/>
      </c>
    </row>
    <row r="978" spans="1:39" x14ac:dyDescent="0.55000000000000004">
      <c r="A978">
        <v>1777614302</v>
      </c>
      <c r="B978" t="s">
        <v>72</v>
      </c>
      <c r="C978" t="s">
        <v>73</v>
      </c>
      <c r="D978">
        <v>4605.03</v>
      </c>
      <c r="E978">
        <v>4518.5928199999998</v>
      </c>
      <c r="F978">
        <v>4596.0559499999999</v>
      </c>
      <c r="G978">
        <v>4755.40355</v>
      </c>
      <c r="H978">
        <v>4792.7697200000002</v>
      </c>
      <c r="Q978">
        <v>4556.4561400000002</v>
      </c>
      <c r="R978">
        <v>4585.8194400000002</v>
      </c>
      <c r="S978">
        <v>4612.4082099999996</v>
      </c>
      <c r="V978">
        <v>4521.5163700000003</v>
      </c>
      <c r="W978">
        <v>4487.9513699999998</v>
      </c>
      <c r="AB978">
        <v>4604.8331600000001</v>
      </c>
      <c r="AC978">
        <v>4607.2252699999999</v>
      </c>
      <c r="AD978">
        <v>0</v>
      </c>
      <c r="AE978">
        <f t="shared" si="140"/>
        <v>976</v>
      </c>
      <c r="AF978">
        <f t="shared" si="141"/>
        <v>975</v>
      </c>
      <c r="AG978">
        <f t="shared" si="135"/>
        <v>48.573859999999513</v>
      </c>
      <c r="AH978">
        <f t="shared" si="136"/>
        <v>2359.4198752995526</v>
      </c>
      <c r="AI978">
        <f t="shared" si="137"/>
        <v>2.6364736474428834</v>
      </c>
      <c r="AJ978">
        <f t="shared" si="138"/>
        <v>3.6422066222454061</v>
      </c>
      <c r="AK978">
        <f t="shared" si="139"/>
        <v>950625</v>
      </c>
      <c r="AL978">
        <f t="shared" si="142"/>
        <v>4624.7018699999999</v>
      </c>
      <c r="AM978" t="str">
        <f t="shared" si="143"/>
        <v/>
      </c>
    </row>
    <row r="979" spans="1:39" x14ac:dyDescent="0.55000000000000004">
      <c r="A979">
        <v>1777615202</v>
      </c>
      <c r="B979" t="s">
        <v>72</v>
      </c>
      <c r="C979" t="s">
        <v>73</v>
      </c>
      <c r="D979">
        <v>4601.49</v>
      </c>
      <c r="E979">
        <v>4518.5928199999998</v>
      </c>
      <c r="F979">
        <v>4596.0559499999999</v>
      </c>
      <c r="G979">
        <v>4755.40355</v>
      </c>
      <c r="H979">
        <v>4792.7697200000002</v>
      </c>
      <c r="Q979">
        <v>4556.1885400000001</v>
      </c>
      <c r="R979">
        <v>4585.5518300000003</v>
      </c>
      <c r="S979">
        <v>4612.1406100000004</v>
      </c>
      <c r="V979">
        <v>4521.2487700000001</v>
      </c>
      <c r="W979">
        <v>4487.6837699999996</v>
      </c>
      <c r="AB979">
        <v>4602.3359200000004</v>
      </c>
      <c r="AC979">
        <v>4604.7806</v>
      </c>
      <c r="AD979">
        <v>0</v>
      </c>
      <c r="AE979">
        <f t="shared" si="140"/>
        <v>977</v>
      </c>
      <c r="AF979">
        <f t="shared" si="141"/>
        <v>976</v>
      </c>
      <c r="AG979">
        <f t="shared" si="135"/>
        <v>45.301459999999679</v>
      </c>
      <c r="AH979">
        <f t="shared" si="136"/>
        <v>2052.2222781315709</v>
      </c>
      <c r="AI979">
        <f t="shared" si="137"/>
        <v>2.1387113845921633</v>
      </c>
      <c r="AJ979">
        <f t="shared" si="138"/>
        <v>2.7555158172623297</v>
      </c>
      <c r="AK979">
        <f t="shared" si="139"/>
        <v>952576</v>
      </c>
      <c r="AL979">
        <f t="shared" si="142"/>
        <v>4624.7018699999999</v>
      </c>
      <c r="AM979" t="str">
        <f t="shared" si="143"/>
        <v/>
      </c>
    </row>
    <row r="980" spans="1:39" x14ac:dyDescent="0.55000000000000004">
      <c r="A980">
        <v>1777616102</v>
      </c>
      <c r="B980" t="s">
        <v>72</v>
      </c>
      <c r="C980" t="s">
        <v>73</v>
      </c>
      <c r="D980">
        <v>4593.4399999999996</v>
      </c>
      <c r="E980">
        <v>4518.5928199999998</v>
      </c>
      <c r="F980">
        <v>4596.0559499999999</v>
      </c>
      <c r="G980">
        <v>4755.40355</v>
      </c>
      <c r="H980">
        <v>4792.7697200000002</v>
      </c>
      <c r="Q980">
        <v>4555.9209300000002</v>
      </c>
      <c r="R980">
        <v>4585.2842300000002</v>
      </c>
      <c r="S980">
        <v>4611.8729999999996</v>
      </c>
      <c r="V980">
        <v>4520.9811600000003</v>
      </c>
      <c r="W980">
        <v>4487.4161700000004</v>
      </c>
      <c r="AB980">
        <v>4599.7534699999997</v>
      </c>
      <c r="AC980">
        <v>4602.26703</v>
      </c>
      <c r="AD980">
        <v>0</v>
      </c>
      <c r="AE980">
        <f t="shared" si="140"/>
        <v>978</v>
      </c>
      <c r="AF980">
        <f t="shared" si="141"/>
        <v>977</v>
      </c>
      <c r="AG980">
        <f t="shared" si="135"/>
        <v>37.519069999999374</v>
      </c>
      <c r="AH980">
        <f t="shared" si="136"/>
        <v>1407.6806136648531</v>
      </c>
      <c r="AI980">
        <f t="shared" si="137"/>
        <v>1.2149874134429584</v>
      </c>
      <c r="AJ980">
        <f t="shared" si="138"/>
        <v>1.2964697019013591</v>
      </c>
      <c r="AK980">
        <f t="shared" si="139"/>
        <v>954529</v>
      </c>
      <c r="AL980">
        <f t="shared" si="142"/>
        <v>4624.7018699999999</v>
      </c>
      <c r="AM980" t="str">
        <f t="shared" si="143"/>
        <v/>
      </c>
    </row>
    <row r="981" spans="1:39" x14ac:dyDescent="0.55000000000000004">
      <c r="A981">
        <v>1777617002</v>
      </c>
      <c r="B981" t="s">
        <v>72</v>
      </c>
      <c r="C981" t="s">
        <v>73</v>
      </c>
      <c r="D981">
        <v>4593.3599999999997</v>
      </c>
      <c r="E981">
        <v>4518.5928199999998</v>
      </c>
      <c r="F981">
        <v>4596.0559499999999</v>
      </c>
      <c r="G981">
        <v>4755.40355</v>
      </c>
      <c r="H981">
        <v>4792.7697200000002</v>
      </c>
      <c r="Q981">
        <v>4555.6533300000001</v>
      </c>
      <c r="R981">
        <v>4585.0166300000001</v>
      </c>
      <c r="S981">
        <v>4611.6054000000004</v>
      </c>
      <c r="V981">
        <v>4520.7135600000001</v>
      </c>
      <c r="W981">
        <v>4487.1485599999996</v>
      </c>
      <c r="AB981">
        <v>4597.1360299999997</v>
      </c>
      <c r="AC981">
        <v>4599.7015300000003</v>
      </c>
      <c r="AD981">
        <v>0</v>
      </c>
      <c r="AE981">
        <f t="shared" si="140"/>
        <v>979</v>
      </c>
      <c r="AF981">
        <f t="shared" si="141"/>
        <v>978</v>
      </c>
      <c r="AG981">
        <f t="shared" si="135"/>
        <v>37.706669999999576</v>
      </c>
      <c r="AH981">
        <f t="shared" si="136"/>
        <v>1421.7929624888679</v>
      </c>
      <c r="AI981">
        <f t="shared" si="137"/>
        <v>1.2333039568484534</v>
      </c>
      <c r="AJ981">
        <f t="shared" si="138"/>
        <v>1.3225948678512081</v>
      </c>
      <c r="AK981">
        <f t="shared" si="139"/>
        <v>956484</v>
      </c>
      <c r="AL981">
        <f t="shared" si="142"/>
        <v>4624.7018699999999</v>
      </c>
      <c r="AM981" t="str">
        <f t="shared" si="143"/>
        <v/>
      </c>
    </row>
    <row r="982" spans="1:39" x14ac:dyDescent="0.55000000000000004">
      <c r="A982">
        <v>1777617902</v>
      </c>
      <c r="B982" t="s">
        <v>72</v>
      </c>
      <c r="C982" t="s">
        <v>73</v>
      </c>
      <c r="D982">
        <v>4594.7700000000004</v>
      </c>
      <c r="E982">
        <v>4518.5928199999998</v>
      </c>
      <c r="F982">
        <v>4596.0559499999999</v>
      </c>
      <c r="G982">
        <v>4755.40355</v>
      </c>
      <c r="H982">
        <v>4792.7697200000002</v>
      </c>
      <c r="Q982">
        <v>4555.3857200000002</v>
      </c>
      <c r="R982">
        <v>4584.7490200000002</v>
      </c>
      <c r="S982">
        <v>4611.3377899999996</v>
      </c>
      <c r="V982">
        <v>4520.4459500000003</v>
      </c>
      <c r="W982">
        <v>4486.8809600000004</v>
      </c>
      <c r="AB982">
        <v>4594.2933800000001</v>
      </c>
      <c r="AC982">
        <v>4596.9974499999998</v>
      </c>
      <c r="AD982">
        <v>0</v>
      </c>
      <c r="AE982">
        <f t="shared" si="140"/>
        <v>980</v>
      </c>
      <c r="AF982">
        <f t="shared" si="141"/>
        <v>979</v>
      </c>
      <c r="AG982">
        <f t="shared" si="135"/>
        <v>39.384280000000217</v>
      </c>
      <c r="AH982">
        <f t="shared" si="136"/>
        <v>1551.1215111184172</v>
      </c>
      <c r="AI982">
        <f t="shared" si="137"/>
        <v>1.4053494096805434</v>
      </c>
      <c r="AJ982">
        <f t="shared" si="138"/>
        <v>1.5741486965809739</v>
      </c>
      <c r="AK982">
        <f t="shared" si="139"/>
        <v>958441</v>
      </c>
      <c r="AL982">
        <f t="shared" si="142"/>
        <v>4624.7018699999999</v>
      </c>
      <c r="AM982" t="str">
        <f t="shared" si="143"/>
        <v/>
      </c>
    </row>
    <row r="983" spans="1:39" x14ac:dyDescent="0.55000000000000004">
      <c r="A983">
        <v>1777618802</v>
      </c>
      <c r="B983" t="s">
        <v>72</v>
      </c>
      <c r="C983" t="s">
        <v>73</v>
      </c>
      <c r="D983">
        <v>4595.97</v>
      </c>
      <c r="E983">
        <v>4518.5928199999998</v>
      </c>
      <c r="F983">
        <v>4596.0559499999999</v>
      </c>
      <c r="G983">
        <v>4755.40355</v>
      </c>
      <c r="H983">
        <v>4792.7697200000002</v>
      </c>
      <c r="Q983">
        <v>4555.1181200000001</v>
      </c>
      <c r="R983">
        <v>4584.4814200000001</v>
      </c>
      <c r="S983">
        <v>4611.0701900000004</v>
      </c>
      <c r="V983">
        <v>4520.1783500000001</v>
      </c>
      <c r="W983">
        <v>4486.6133499999996</v>
      </c>
      <c r="AB983">
        <v>4591.0964899999999</v>
      </c>
      <c r="AC983">
        <v>4594.0469700000003</v>
      </c>
      <c r="AD983">
        <v>0</v>
      </c>
      <c r="AE983">
        <f t="shared" si="140"/>
        <v>981</v>
      </c>
      <c r="AF983">
        <f t="shared" si="141"/>
        <v>980</v>
      </c>
      <c r="AG983">
        <f t="shared" si="135"/>
        <v>40.851880000000165</v>
      </c>
      <c r="AH983">
        <f t="shared" si="136"/>
        <v>1668.8760995344135</v>
      </c>
      <c r="AI983">
        <f t="shared" si="137"/>
        <v>1.5683815583623197</v>
      </c>
      <c r="AJ983">
        <f t="shared" si="138"/>
        <v>1.822226267553956</v>
      </c>
      <c r="AK983">
        <f t="shared" si="139"/>
        <v>960400</v>
      </c>
      <c r="AL983">
        <f t="shared" si="142"/>
        <v>4624.7018699999999</v>
      </c>
      <c r="AM983" t="str">
        <f t="shared" si="143"/>
        <v/>
      </c>
    </row>
    <row r="984" spans="1:39" x14ac:dyDescent="0.55000000000000004">
      <c r="A984">
        <v>1777619702</v>
      </c>
      <c r="B984" t="s">
        <v>72</v>
      </c>
      <c r="C984" t="s">
        <v>73</v>
      </c>
      <c r="D984">
        <v>4592.32</v>
      </c>
      <c r="E984">
        <v>4518.5928199999998</v>
      </c>
      <c r="F984">
        <v>4596.0559499999999</v>
      </c>
      <c r="G984">
        <v>4755.40355</v>
      </c>
      <c r="H984">
        <v>4792.7697200000002</v>
      </c>
      <c r="Q984">
        <v>4554.85052</v>
      </c>
      <c r="R984">
        <v>4584.2138100000002</v>
      </c>
      <c r="S984">
        <v>4610.8025900000002</v>
      </c>
      <c r="V984">
        <v>4519.91075</v>
      </c>
      <c r="W984">
        <v>4486.3457500000004</v>
      </c>
      <c r="AB984">
        <v>4587.4814200000001</v>
      </c>
      <c r="AC984">
        <v>4590.7641999999996</v>
      </c>
      <c r="AD984">
        <v>0</v>
      </c>
      <c r="AE984">
        <f t="shared" si="140"/>
        <v>982</v>
      </c>
      <c r="AF984">
        <f t="shared" si="141"/>
        <v>981</v>
      </c>
      <c r="AG984">
        <f t="shared" si="135"/>
        <v>37.469479999999749</v>
      </c>
      <c r="AH984">
        <f t="shared" si="136"/>
        <v>1403.9619314703812</v>
      </c>
      <c r="AI984">
        <f t="shared" si="137"/>
        <v>1.2101761301253702</v>
      </c>
      <c r="AJ984">
        <f t="shared" si="138"/>
        <v>1.2896289587658711</v>
      </c>
      <c r="AK984">
        <f t="shared" si="139"/>
        <v>962361</v>
      </c>
      <c r="AL984">
        <f t="shared" si="142"/>
        <v>4624.7018699999999</v>
      </c>
      <c r="AM984" t="str">
        <f t="shared" si="143"/>
        <v/>
      </c>
    </row>
    <row r="985" spans="1:39" x14ac:dyDescent="0.55000000000000004">
      <c r="A985">
        <v>1777620602</v>
      </c>
      <c r="B985" t="s">
        <v>72</v>
      </c>
      <c r="C985" t="s">
        <v>73</v>
      </c>
      <c r="D985">
        <v>4585.41</v>
      </c>
      <c r="E985">
        <v>4518.5928199999998</v>
      </c>
      <c r="F985">
        <v>4596.0559499999999</v>
      </c>
      <c r="G985">
        <v>4755.40355</v>
      </c>
      <c r="H985">
        <v>4792.7697200000002</v>
      </c>
      <c r="Q985">
        <v>4554.5829100000001</v>
      </c>
      <c r="R985">
        <v>4583.9462100000001</v>
      </c>
      <c r="S985">
        <v>4610.5349800000004</v>
      </c>
      <c r="V985">
        <v>4519.6431400000001</v>
      </c>
      <c r="W985">
        <v>4486.0781500000003</v>
      </c>
      <c r="AB985">
        <v>4583.5784700000004</v>
      </c>
      <c r="AC985">
        <v>4587.1713300000001</v>
      </c>
      <c r="AD985">
        <v>0</v>
      </c>
      <c r="AE985">
        <f t="shared" si="140"/>
        <v>983</v>
      </c>
      <c r="AF985">
        <f t="shared" si="141"/>
        <v>982</v>
      </c>
      <c r="AG985">
        <f t="shared" si="135"/>
        <v>30.827089999999771</v>
      </c>
      <c r="AH985">
        <f t="shared" si="136"/>
        <v>950.30947786808588</v>
      </c>
      <c r="AI985">
        <f t="shared" si="137"/>
        <v>0.67392749560892773</v>
      </c>
      <c r="AJ985">
        <f t="shared" si="138"/>
        <v>0.59085951554733152</v>
      </c>
      <c r="AK985">
        <f t="shared" si="139"/>
        <v>964324</v>
      </c>
      <c r="AL985">
        <f t="shared" si="142"/>
        <v>4624.7018699999999</v>
      </c>
      <c r="AM985" t="str">
        <f t="shared" si="143"/>
        <v/>
      </c>
    </row>
    <row r="986" spans="1:39" x14ac:dyDescent="0.55000000000000004">
      <c r="A986">
        <v>1777621502</v>
      </c>
      <c r="B986" t="s">
        <v>72</v>
      </c>
      <c r="C986" t="s">
        <v>73</v>
      </c>
      <c r="D986">
        <v>4578.16</v>
      </c>
      <c r="E986">
        <v>4518.5928199999998</v>
      </c>
      <c r="F986">
        <v>4596.0559499999999</v>
      </c>
      <c r="G986">
        <v>4755.40355</v>
      </c>
      <c r="H986">
        <v>4792.7697200000002</v>
      </c>
      <c r="Q986">
        <v>4554.31531</v>
      </c>
      <c r="R986">
        <v>4583.6786099999999</v>
      </c>
      <c r="S986">
        <v>4610.2673800000002</v>
      </c>
      <c r="V986">
        <v>4519.37554</v>
      </c>
      <c r="W986">
        <v>4485.8105400000004</v>
      </c>
      <c r="AB986">
        <v>4579.6577900000002</v>
      </c>
      <c r="AC986">
        <v>4583.4145600000002</v>
      </c>
      <c r="AD986">
        <v>0</v>
      </c>
      <c r="AE986">
        <f t="shared" si="140"/>
        <v>984</v>
      </c>
      <c r="AF986">
        <f t="shared" si="141"/>
        <v>983</v>
      </c>
      <c r="AG986">
        <f t="shared" si="135"/>
        <v>23.8446899999999</v>
      </c>
      <c r="AH986">
        <f t="shared" si="136"/>
        <v>568.56924119609528</v>
      </c>
      <c r="AI986">
        <f t="shared" si="137"/>
        <v>0.31188222680992367</v>
      </c>
      <c r="AJ986">
        <f t="shared" si="138"/>
        <v>0.21150509573456772</v>
      </c>
      <c r="AK986">
        <f t="shared" si="139"/>
        <v>966289</v>
      </c>
      <c r="AL986">
        <f t="shared" si="142"/>
        <v>4624.7018699999999</v>
      </c>
      <c r="AM986" t="str">
        <f t="shared" si="143"/>
        <v/>
      </c>
    </row>
    <row r="987" spans="1:39" x14ac:dyDescent="0.55000000000000004">
      <c r="A987">
        <v>1777622402</v>
      </c>
      <c r="B987" t="s">
        <v>72</v>
      </c>
      <c r="C987" t="s">
        <v>73</v>
      </c>
      <c r="D987">
        <v>4574.0600000000004</v>
      </c>
      <c r="E987">
        <v>4518.5928199999998</v>
      </c>
      <c r="F987">
        <v>4596.0559499999999</v>
      </c>
      <c r="G987">
        <v>4755.40355</v>
      </c>
      <c r="H987">
        <v>4792.7697200000002</v>
      </c>
      <c r="Q987">
        <v>4554.0477000000001</v>
      </c>
      <c r="R987">
        <v>4583.4110000000001</v>
      </c>
      <c r="S987">
        <v>4609.9997700000004</v>
      </c>
      <c r="V987">
        <v>4519.1079300000001</v>
      </c>
      <c r="W987">
        <v>4485.5429400000003</v>
      </c>
      <c r="AB987">
        <v>4576.0184799999997</v>
      </c>
      <c r="AC987">
        <v>4579.7165199999999</v>
      </c>
      <c r="AD987">
        <v>0</v>
      </c>
      <c r="AE987">
        <f t="shared" si="140"/>
        <v>985</v>
      </c>
      <c r="AF987">
        <f t="shared" si="141"/>
        <v>984</v>
      </c>
      <c r="AG987">
        <f t="shared" si="135"/>
        <v>20.012300000000323</v>
      </c>
      <c r="AH987">
        <f t="shared" si="136"/>
        <v>400.49215129001294</v>
      </c>
      <c r="AI987">
        <f t="shared" si="137"/>
        <v>0.18437693810974945</v>
      </c>
      <c r="AJ987">
        <f t="shared" si="138"/>
        <v>0.1049402589056386</v>
      </c>
      <c r="AK987">
        <f t="shared" si="139"/>
        <v>968256</v>
      </c>
      <c r="AL987">
        <f t="shared" si="142"/>
        <v>4624.7018699999999</v>
      </c>
      <c r="AM987" t="str">
        <f t="shared" si="143"/>
        <v/>
      </c>
    </row>
    <row r="988" spans="1:39" x14ac:dyDescent="0.55000000000000004">
      <c r="A988">
        <v>1777623302</v>
      </c>
      <c r="B988" t="s">
        <v>72</v>
      </c>
      <c r="C988" t="s">
        <v>73</v>
      </c>
      <c r="D988">
        <v>4567.37</v>
      </c>
      <c r="E988">
        <v>4518.5928199999998</v>
      </c>
      <c r="F988">
        <v>4596.0559499999999</v>
      </c>
      <c r="G988">
        <v>4755.40355</v>
      </c>
      <c r="H988">
        <v>4792.7697200000002</v>
      </c>
      <c r="Q988">
        <v>4553.7800999999999</v>
      </c>
      <c r="R988">
        <v>4583.1433999999999</v>
      </c>
      <c r="S988">
        <v>4609.7321700000002</v>
      </c>
      <c r="V988">
        <v>4518.84033</v>
      </c>
      <c r="W988">
        <v>4485.2753300000004</v>
      </c>
      <c r="AB988">
        <v>4572.8526899999997</v>
      </c>
      <c r="AC988">
        <v>4576.2846</v>
      </c>
      <c r="AD988">
        <v>0</v>
      </c>
      <c r="AE988">
        <f t="shared" si="140"/>
        <v>986</v>
      </c>
      <c r="AF988">
        <f t="shared" si="141"/>
        <v>985</v>
      </c>
      <c r="AG988">
        <f t="shared" si="135"/>
        <v>13.589899999999943</v>
      </c>
      <c r="AH988">
        <f t="shared" si="136"/>
        <v>184.68538200999845</v>
      </c>
      <c r="AI988">
        <f t="shared" si="137"/>
        <v>5.7738349836405835E-2</v>
      </c>
      <c r="AJ988">
        <f t="shared" si="138"/>
        <v>2.2316144083964564E-2</v>
      </c>
      <c r="AK988">
        <f t="shared" si="139"/>
        <v>970225</v>
      </c>
      <c r="AL988">
        <f t="shared" si="142"/>
        <v>4624.7018699999999</v>
      </c>
      <c r="AM988" t="str">
        <f t="shared" si="143"/>
        <v/>
      </c>
    </row>
    <row r="989" spans="1:39" x14ac:dyDescent="0.55000000000000004">
      <c r="A989">
        <v>1777624202</v>
      </c>
      <c r="B989" t="s">
        <v>72</v>
      </c>
      <c r="C989" t="s">
        <v>73</v>
      </c>
      <c r="D989">
        <v>4571.29</v>
      </c>
      <c r="E989">
        <v>4518.5928199999998</v>
      </c>
      <c r="F989">
        <v>4596.0559499999999</v>
      </c>
      <c r="G989">
        <v>4755.40355</v>
      </c>
      <c r="H989">
        <v>4792.7697200000002</v>
      </c>
      <c r="Q989">
        <v>4553.5124999999998</v>
      </c>
      <c r="R989">
        <v>4582.8757900000001</v>
      </c>
      <c r="S989">
        <v>4609.4645600000003</v>
      </c>
      <c r="V989">
        <v>4518.5727299999999</v>
      </c>
      <c r="W989">
        <v>4485.0077300000003</v>
      </c>
      <c r="AB989">
        <v>4570.3896599999998</v>
      </c>
      <c r="AC989">
        <v>4573.3371299999999</v>
      </c>
      <c r="AD989">
        <v>0</v>
      </c>
      <c r="AE989">
        <f t="shared" si="140"/>
        <v>987</v>
      </c>
      <c r="AF989">
        <f t="shared" si="141"/>
        <v>986</v>
      </c>
      <c r="AG989">
        <f t="shared" si="135"/>
        <v>17.777500000000146</v>
      </c>
      <c r="AH989">
        <f t="shared" si="136"/>
        <v>316.03950625000516</v>
      </c>
      <c r="AI989">
        <f t="shared" si="137"/>
        <v>0.12924913534644891</v>
      </c>
      <c r="AJ989">
        <f t="shared" si="138"/>
        <v>6.5348686372939932E-2</v>
      </c>
      <c r="AK989">
        <f t="shared" si="139"/>
        <v>972196</v>
      </c>
      <c r="AL989">
        <f t="shared" si="142"/>
        <v>4624.7018699999999</v>
      </c>
      <c r="AM989" t="str">
        <f t="shared" si="143"/>
        <v/>
      </c>
    </row>
    <row r="990" spans="1:39" x14ac:dyDescent="0.55000000000000004">
      <c r="A990">
        <v>1777625102</v>
      </c>
      <c r="B990" t="s">
        <v>72</v>
      </c>
      <c r="C990" t="s">
        <v>73</v>
      </c>
      <c r="D990">
        <v>4568.51</v>
      </c>
      <c r="E990">
        <v>4518.5928199999998</v>
      </c>
      <c r="F990">
        <v>4596.0559499999999</v>
      </c>
      <c r="G990">
        <v>4755.40355</v>
      </c>
      <c r="H990">
        <v>4792.7697200000002</v>
      </c>
      <c r="Q990">
        <v>4553.2448899999999</v>
      </c>
      <c r="R990">
        <v>4582.6081899999999</v>
      </c>
      <c r="S990">
        <v>4609.1969600000002</v>
      </c>
      <c r="V990">
        <v>4518.30512</v>
      </c>
      <c r="W990">
        <v>4484.7401200000004</v>
      </c>
      <c r="AB990">
        <v>4568.5133100000003</v>
      </c>
      <c r="AC990">
        <v>4570.9252200000001</v>
      </c>
      <c r="AD990">
        <v>0</v>
      </c>
      <c r="AE990">
        <f t="shared" si="140"/>
        <v>988</v>
      </c>
      <c r="AF990">
        <f t="shared" si="141"/>
        <v>987</v>
      </c>
      <c r="AG990">
        <f t="shared" si="135"/>
        <v>15.265110000000277</v>
      </c>
      <c r="AH990">
        <f t="shared" si="136"/>
        <v>233.02358331210846</v>
      </c>
      <c r="AI990">
        <f t="shared" si="137"/>
        <v>8.1830536584593716E-2</v>
      </c>
      <c r="AJ990">
        <f t="shared" si="138"/>
        <v>3.5526617920837444E-2</v>
      </c>
      <c r="AK990">
        <f t="shared" si="139"/>
        <v>974169</v>
      </c>
      <c r="AL990">
        <f t="shared" si="142"/>
        <v>4624.7018699999999</v>
      </c>
      <c r="AM990" t="str">
        <f t="shared" si="143"/>
        <v/>
      </c>
    </row>
    <row r="991" spans="1:39" x14ac:dyDescent="0.55000000000000004">
      <c r="A991">
        <v>1777626002</v>
      </c>
      <c r="B991" t="s">
        <v>72</v>
      </c>
      <c r="C991" t="s">
        <v>73</v>
      </c>
      <c r="D991">
        <v>4565.87</v>
      </c>
      <c r="E991">
        <v>4518.5928199999998</v>
      </c>
      <c r="F991">
        <v>4596.0559499999999</v>
      </c>
      <c r="G991">
        <v>4755.40355</v>
      </c>
      <c r="H991">
        <v>4792.7697200000002</v>
      </c>
      <c r="Q991">
        <v>4552.9772899999998</v>
      </c>
      <c r="R991">
        <v>4582.3405899999998</v>
      </c>
      <c r="S991">
        <v>4608.9293600000001</v>
      </c>
      <c r="V991">
        <v>4518.0375199999999</v>
      </c>
      <c r="W991">
        <v>4484.4725200000003</v>
      </c>
      <c r="AB991">
        <v>4567.2565500000001</v>
      </c>
      <c r="AC991">
        <v>4569.0908799999997</v>
      </c>
      <c r="AD991">
        <v>0</v>
      </c>
      <c r="AE991">
        <f t="shared" si="140"/>
        <v>989</v>
      </c>
      <c r="AF991">
        <f t="shared" si="141"/>
        <v>988</v>
      </c>
      <c r="AG991">
        <f t="shared" si="135"/>
        <v>12.892710000000079</v>
      </c>
      <c r="AH991">
        <f t="shared" si="136"/>
        <v>166.22197114410204</v>
      </c>
      <c r="AI991">
        <f t="shared" si="137"/>
        <v>4.9300148406306907E-2</v>
      </c>
      <c r="AJ991">
        <f t="shared" si="138"/>
        <v>1.8077191920284709E-2</v>
      </c>
      <c r="AK991">
        <f t="shared" si="139"/>
        <v>976144</v>
      </c>
      <c r="AL991">
        <f t="shared" si="142"/>
        <v>4624.7018699999999</v>
      </c>
      <c r="AM991" t="str">
        <f t="shared" si="143"/>
        <v/>
      </c>
    </row>
    <row r="992" spans="1:39" x14ac:dyDescent="0.55000000000000004">
      <c r="A992">
        <v>1777626902</v>
      </c>
      <c r="B992" t="s">
        <v>72</v>
      </c>
      <c r="C992" t="s">
        <v>73</v>
      </c>
      <c r="D992">
        <v>4569.29</v>
      </c>
      <c r="E992">
        <v>4518.5928199999998</v>
      </c>
      <c r="F992">
        <v>4596.0559499999999</v>
      </c>
      <c r="G992">
        <v>4755.40355</v>
      </c>
      <c r="H992">
        <v>4792.7697200000002</v>
      </c>
      <c r="Q992">
        <v>4552.7096799999999</v>
      </c>
      <c r="R992">
        <v>4582.0729799999999</v>
      </c>
      <c r="S992">
        <v>4608.6617500000002</v>
      </c>
      <c r="V992">
        <v>4517.76991</v>
      </c>
      <c r="W992">
        <v>4484.2049200000001</v>
      </c>
      <c r="AB992">
        <v>4566.6020099999996</v>
      </c>
      <c r="AC992">
        <v>4567.84645</v>
      </c>
      <c r="AD992">
        <v>0</v>
      </c>
      <c r="AE992">
        <f t="shared" si="140"/>
        <v>990</v>
      </c>
      <c r="AF992">
        <f t="shared" si="141"/>
        <v>989</v>
      </c>
      <c r="AG992">
        <f t="shared" si="135"/>
        <v>16.580320000000029</v>
      </c>
      <c r="AH992">
        <f t="shared" si="136"/>
        <v>274.90701130240097</v>
      </c>
      <c r="AI992">
        <f t="shared" si="137"/>
        <v>0.10485624689366302</v>
      </c>
      <c r="AJ992">
        <f t="shared" si="138"/>
        <v>4.9445383010684629E-2</v>
      </c>
      <c r="AK992">
        <f t="shared" si="139"/>
        <v>978121</v>
      </c>
      <c r="AL992">
        <f t="shared" si="142"/>
        <v>4624.7018699999999</v>
      </c>
      <c r="AM992" t="str">
        <f t="shared" si="143"/>
        <v/>
      </c>
    </row>
    <row r="993" spans="1:39" x14ac:dyDescent="0.55000000000000004">
      <c r="A993">
        <v>1777627802</v>
      </c>
      <c r="B993" t="s">
        <v>72</v>
      </c>
      <c r="C993" t="s">
        <v>73</v>
      </c>
      <c r="D993">
        <v>4570.62</v>
      </c>
      <c r="E993">
        <v>4518.5928199999998</v>
      </c>
      <c r="F993">
        <v>4596.0559499999999</v>
      </c>
      <c r="G993">
        <v>4755.40355</v>
      </c>
      <c r="H993">
        <v>4792.7697200000002</v>
      </c>
      <c r="Q993">
        <v>4552.4420799999998</v>
      </c>
      <c r="R993">
        <v>4581.8053799999998</v>
      </c>
      <c r="S993">
        <v>4608.3941500000001</v>
      </c>
      <c r="V993">
        <v>4517.5023099999999</v>
      </c>
      <c r="W993">
        <v>4483.9373100000003</v>
      </c>
      <c r="AB993">
        <v>4566.3613500000001</v>
      </c>
      <c r="AC993">
        <v>4567.1039000000001</v>
      </c>
      <c r="AD993">
        <v>0</v>
      </c>
      <c r="AE993">
        <f t="shared" si="140"/>
        <v>991</v>
      </c>
      <c r="AF993">
        <f t="shared" si="141"/>
        <v>990</v>
      </c>
      <c r="AG993">
        <f t="shared" si="135"/>
        <v>18.177920000000086</v>
      </c>
      <c r="AH993">
        <f t="shared" si="136"/>
        <v>330.4367755264031</v>
      </c>
      <c r="AI993">
        <f t="shared" si="137"/>
        <v>0.13818094162957087</v>
      </c>
      <c r="AJ993">
        <f t="shared" si="138"/>
        <v>7.1438259302727583E-2</v>
      </c>
      <c r="AK993">
        <f t="shared" si="139"/>
        <v>980100</v>
      </c>
      <c r="AL993">
        <f t="shared" si="142"/>
        <v>4624.7018699999999</v>
      </c>
      <c r="AM993" t="str">
        <f t="shared" si="143"/>
        <v/>
      </c>
    </row>
    <row r="994" spans="1:39" x14ac:dyDescent="0.55000000000000004">
      <c r="A994">
        <v>1777628702</v>
      </c>
      <c r="B994" t="s">
        <v>72</v>
      </c>
      <c r="C994" t="s">
        <v>73</v>
      </c>
      <c r="D994">
        <v>4563.12</v>
      </c>
      <c r="E994">
        <v>4518.5928199999998</v>
      </c>
      <c r="F994">
        <v>4596.0559499999999</v>
      </c>
      <c r="G994">
        <v>4755.40355</v>
      </c>
      <c r="H994">
        <v>4792.7697200000002</v>
      </c>
      <c r="Q994">
        <v>4552.1744699999999</v>
      </c>
      <c r="R994">
        <v>4581.5377699999999</v>
      </c>
      <c r="S994">
        <v>4608.1265400000002</v>
      </c>
      <c r="V994">
        <v>4517.2347</v>
      </c>
      <c r="W994">
        <v>4483.6697100000001</v>
      </c>
      <c r="AA994">
        <v>4560.4399999999996</v>
      </c>
      <c r="AB994">
        <v>4566.4096099999997</v>
      </c>
      <c r="AC994">
        <v>4566.7567600000002</v>
      </c>
      <c r="AD994">
        <v>0</v>
      </c>
      <c r="AE994">
        <f t="shared" si="140"/>
        <v>992</v>
      </c>
      <c r="AF994">
        <f t="shared" si="141"/>
        <v>991</v>
      </c>
      <c r="AG994">
        <f t="shared" si="135"/>
        <v>10.945529999999962</v>
      </c>
      <c r="AH994">
        <f t="shared" si="136"/>
        <v>119.80462698089917</v>
      </c>
      <c r="AI994">
        <f t="shared" si="137"/>
        <v>3.0166572680952585E-2</v>
      </c>
      <c r="AJ994">
        <f t="shared" si="138"/>
        <v>9.3907719751642488E-3</v>
      </c>
      <c r="AK994">
        <f t="shared" si="139"/>
        <v>982081</v>
      </c>
      <c r="AL994">
        <f t="shared" si="142"/>
        <v>4624.7018699999999</v>
      </c>
      <c r="AM994" t="str">
        <f t="shared" si="143"/>
        <v/>
      </c>
    </row>
    <row r="995" spans="1:39" x14ac:dyDescent="0.55000000000000004">
      <c r="A995">
        <v>1777629602</v>
      </c>
      <c r="B995" t="s">
        <v>72</v>
      </c>
      <c r="C995" t="s">
        <v>73</v>
      </c>
      <c r="D995">
        <v>4566.78</v>
      </c>
      <c r="E995">
        <v>4518.5928199999998</v>
      </c>
      <c r="F995">
        <v>4596.0559499999999</v>
      </c>
      <c r="G995">
        <v>4755.40355</v>
      </c>
      <c r="H995">
        <v>4792.7697200000002</v>
      </c>
      <c r="Q995">
        <v>4551.9068699999998</v>
      </c>
      <c r="R995">
        <v>4581.2701699999998</v>
      </c>
      <c r="S995">
        <v>4607.8589400000001</v>
      </c>
      <c r="V995">
        <v>4516.9670999999998</v>
      </c>
      <c r="W995">
        <v>4483.4021000000002</v>
      </c>
      <c r="AB995">
        <v>4566.9336300000004</v>
      </c>
      <c r="AC995">
        <v>4566.84519</v>
      </c>
      <c r="AD995">
        <v>1</v>
      </c>
      <c r="AE995">
        <f t="shared" si="140"/>
        <v>993</v>
      </c>
      <c r="AF995">
        <f t="shared" si="141"/>
        <v>992</v>
      </c>
      <c r="AG995">
        <f t="shared" si="135"/>
        <v>14.873129999999946</v>
      </c>
      <c r="AH995">
        <f t="shared" si="136"/>
        <v>221.20999599689841</v>
      </c>
      <c r="AI995">
        <f t="shared" si="137"/>
        <v>7.5687246574455164E-2</v>
      </c>
      <c r="AJ995">
        <f t="shared" si="138"/>
        <v>3.2015744721089784E-2</v>
      </c>
      <c r="AK995">
        <f t="shared" si="139"/>
        <v>984064</v>
      </c>
      <c r="AL995">
        <f t="shared" si="142"/>
        <v>4566.9336300000004</v>
      </c>
      <c r="AM995">
        <f t="shared" si="143"/>
        <v>57.768239999999423</v>
      </c>
    </row>
    <row r="996" spans="1:39" x14ac:dyDescent="0.55000000000000004">
      <c r="A996">
        <v>1777630502</v>
      </c>
      <c r="B996" t="s">
        <v>72</v>
      </c>
      <c r="C996" t="s">
        <v>73</v>
      </c>
      <c r="D996">
        <v>4572.18</v>
      </c>
      <c r="E996">
        <v>4518.5928199999998</v>
      </c>
      <c r="F996">
        <v>4596.0559499999999</v>
      </c>
      <c r="G996">
        <v>4755.40355</v>
      </c>
      <c r="H996">
        <v>4792.7697200000002</v>
      </c>
      <c r="Q996">
        <v>4551.6392699999997</v>
      </c>
      <c r="R996">
        <v>4581.0025699999997</v>
      </c>
      <c r="S996">
        <v>4607.5913399999999</v>
      </c>
      <c r="V996">
        <v>4516.6994999999997</v>
      </c>
      <c r="W996">
        <v>4483.1345000000001</v>
      </c>
      <c r="AB996">
        <v>4567.8218399999996</v>
      </c>
      <c r="AC996">
        <v>4567.3335200000001</v>
      </c>
      <c r="AD996">
        <v>0</v>
      </c>
      <c r="AE996">
        <f t="shared" si="140"/>
        <v>994</v>
      </c>
      <c r="AF996">
        <f t="shared" si="141"/>
        <v>993</v>
      </c>
      <c r="AG996">
        <f t="shared" si="135"/>
        <v>20.540730000000622</v>
      </c>
      <c r="AH996">
        <f t="shared" si="136"/>
        <v>421.92158893292554</v>
      </c>
      <c r="AI996">
        <f t="shared" si="137"/>
        <v>0.19937155972592549</v>
      </c>
      <c r="AJ996">
        <f t="shared" si="138"/>
        <v>0.11647094752855269</v>
      </c>
      <c r="AK996">
        <f t="shared" si="139"/>
        <v>986049</v>
      </c>
      <c r="AL996">
        <f t="shared" si="142"/>
        <v>4566.9336300000004</v>
      </c>
      <c r="AM996" t="str">
        <f t="shared" si="143"/>
        <v/>
      </c>
    </row>
    <row r="997" spans="1:39" x14ac:dyDescent="0.55000000000000004">
      <c r="A997">
        <v>1777631402</v>
      </c>
      <c r="B997" t="s">
        <v>72</v>
      </c>
      <c r="C997" t="s">
        <v>73</v>
      </c>
      <c r="D997">
        <v>4570.49</v>
      </c>
      <c r="E997">
        <v>4518.5928199999998</v>
      </c>
      <c r="F997">
        <v>4596.0559499999999</v>
      </c>
      <c r="G997">
        <v>4755.40355</v>
      </c>
      <c r="H997">
        <v>4792.7697200000002</v>
      </c>
      <c r="Q997">
        <v>4551.3716599999998</v>
      </c>
      <c r="R997">
        <v>4580.7349599999998</v>
      </c>
      <c r="S997">
        <v>4607.3237300000001</v>
      </c>
      <c r="V997">
        <v>4516.4318899999998</v>
      </c>
      <c r="W997">
        <v>4482.8669</v>
      </c>
      <c r="AB997">
        <v>4568.9182700000001</v>
      </c>
      <c r="AC997">
        <v>4568.1258900000003</v>
      </c>
      <c r="AD997">
        <v>0</v>
      </c>
      <c r="AE997">
        <f t="shared" si="140"/>
        <v>995</v>
      </c>
      <c r="AF997">
        <f t="shared" si="141"/>
        <v>994</v>
      </c>
      <c r="AG997">
        <f t="shared" si="135"/>
        <v>19.118339999999989</v>
      </c>
      <c r="AH997">
        <f t="shared" si="136"/>
        <v>365.51092435559957</v>
      </c>
      <c r="AI997">
        <f t="shared" si="137"/>
        <v>0.16075560600600278</v>
      </c>
      <c r="AJ997">
        <f t="shared" si="138"/>
        <v>8.7408735173065411E-2</v>
      </c>
      <c r="AK997">
        <f t="shared" si="139"/>
        <v>988036</v>
      </c>
      <c r="AL997">
        <f t="shared" si="142"/>
        <v>4566.9336300000004</v>
      </c>
      <c r="AM997" t="str">
        <f t="shared" si="143"/>
        <v/>
      </c>
    </row>
    <row r="998" spans="1:39" x14ac:dyDescent="0.55000000000000004">
      <c r="A998">
        <v>1777632302</v>
      </c>
      <c r="B998" t="s">
        <v>72</v>
      </c>
      <c r="C998" t="s">
        <v>73</v>
      </c>
      <c r="D998">
        <v>4566.67</v>
      </c>
      <c r="E998">
        <v>4518.5928199999998</v>
      </c>
      <c r="F998">
        <v>4596.0559499999999</v>
      </c>
      <c r="G998">
        <v>4755.40355</v>
      </c>
      <c r="H998">
        <v>4792.7697200000002</v>
      </c>
      <c r="Q998">
        <v>4551.1040599999997</v>
      </c>
      <c r="R998">
        <v>4580.4673599999996</v>
      </c>
      <c r="S998">
        <v>4607.0561299999999</v>
      </c>
      <c r="V998">
        <v>4516.1642899999997</v>
      </c>
      <c r="W998">
        <v>4482.5992900000001</v>
      </c>
      <c r="AB998">
        <v>4570.2925500000001</v>
      </c>
      <c r="AC998">
        <v>4569.2092199999997</v>
      </c>
      <c r="AD998">
        <v>0</v>
      </c>
      <c r="AE998">
        <f t="shared" si="140"/>
        <v>996</v>
      </c>
      <c r="AF998">
        <f t="shared" si="141"/>
        <v>995</v>
      </c>
      <c r="AG998">
        <f t="shared" si="135"/>
        <v>15.56594000000041</v>
      </c>
      <c r="AH998">
        <f t="shared" si="136"/>
        <v>242.29848808361277</v>
      </c>
      <c r="AI998">
        <f t="shared" si="137"/>
        <v>8.6764414567807258E-2</v>
      </c>
      <c r="AJ998">
        <f t="shared" si="138"/>
        <v>3.8410991793552757E-2</v>
      </c>
      <c r="AK998">
        <f t="shared" si="139"/>
        <v>990025</v>
      </c>
      <c r="AL998">
        <f t="shared" si="142"/>
        <v>4566.9336300000004</v>
      </c>
      <c r="AM998" t="str">
        <f t="shared" si="143"/>
        <v/>
      </c>
    </row>
    <row r="999" spans="1:39" x14ac:dyDescent="0.55000000000000004">
      <c r="A999">
        <v>1777633202</v>
      </c>
      <c r="B999" t="s">
        <v>72</v>
      </c>
      <c r="C999" t="s">
        <v>73</v>
      </c>
      <c r="D999">
        <v>4565.9399999999996</v>
      </c>
      <c r="E999">
        <v>4518.5928199999998</v>
      </c>
      <c r="F999">
        <v>4596.0559499999999</v>
      </c>
      <c r="G999">
        <v>4755.40355</v>
      </c>
      <c r="H999">
        <v>4792.7697200000002</v>
      </c>
      <c r="Q999">
        <v>4550.8364499999998</v>
      </c>
      <c r="R999">
        <v>4580.1997499999998</v>
      </c>
      <c r="S999">
        <v>4606.7885200000001</v>
      </c>
      <c r="V999">
        <v>4515.8966799999998</v>
      </c>
      <c r="W999">
        <v>4482.33169</v>
      </c>
      <c r="AB999">
        <v>4572.0390900000002</v>
      </c>
      <c r="AC999">
        <v>4570.6241600000003</v>
      </c>
      <c r="AD999">
        <v>0</v>
      </c>
      <c r="AE999">
        <f t="shared" si="140"/>
        <v>997</v>
      </c>
      <c r="AF999">
        <f t="shared" si="141"/>
        <v>996</v>
      </c>
      <c r="AG999">
        <f t="shared" si="135"/>
        <v>15.103549999999814</v>
      </c>
      <c r="AH999">
        <f t="shared" si="136"/>
        <v>228.11722260249437</v>
      </c>
      <c r="AI999">
        <f t="shared" si="137"/>
        <v>7.9259749862374024E-2</v>
      </c>
      <c r="AJ999">
        <f t="shared" si="138"/>
        <v>3.40463267775718E-2</v>
      </c>
      <c r="AK999">
        <f t="shared" si="139"/>
        <v>992016</v>
      </c>
      <c r="AL999">
        <f t="shared" si="142"/>
        <v>4566.9336300000004</v>
      </c>
      <c r="AM999" t="str">
        <f t="shared" si="143"/>
        <v/>
      </c>
    </row>
    <row r="1000" spans="1:39" x14ac:dyDescent="0.55000000000000004">
      <c r="A1000">
        <v>1777634102</v>
      </c>
      <c r="B1000" t="s">
        <v>72</v>
      </c>
      <c r="C1000" t="s">
        <v>73</v>
      </c>
      <c r="D1000">
        <v>4572.03</v>
      </c>
      <c r="E1000">
        <v>4518.5928199999998</v>
      </c>
      <c r="F1000">
        <v>4596.0559499999999</v>
      </c>
      <c r="G1000">
        <v>4755.40355</v>
      </c>
      <c r="H1000">
        <v>4792.7697200000002</v>
      </c>
      <c r="Q1000">
        <v>4550.5688499999997</v>
      </c>
      <c r="R1000">
        <v>4579.9321499999996</v>
      </c>
      <c r="S1000">
        <v>4606.5209199999999</v>
      </c>
      <c r="V1000">
        <v>4515.6290799999997</v>
      </c>
      <c r="W1000">
        <v>4482.0640800000001</v>
      </c>
      <c r="AB1000">
        <v>4574.19344</v>
      </c>
      <c r="AC1000">
        <v>4572.4088000000002</v>
      </c>
      <c r="AD1000">
        <v>0</v>
      </c>
      <c r="AE1000">
        <f t="shared" si="140"/>
        <v>998</v>
      </c>
      <c r="AF1000">
        <f t="shared" si="141"/>
        <v>997</v>
      </c>
      <c r="AG1000">
        <f t="shared" si="135"/>
        <v>21.461150000000089</v>
      </c>
      <c r="AH1000">
        <f t="shared" si="136"/>
        <v>460.58095932250382</v>
      </c>
      <c r="AI1000">
        <f t="shared" si="137"/>
        <v>0.22739167173208252</v>
      </c>
      <c r="AJ1000">
        <f t="shared" si="138"/>
        <v>0.1387925236886938</v>
      </c>
      <c r="AK1000">
        <f t="shared" si="139"/>
        <v>994009</v>
      </c>
      <c r="AL1000">
        <f t="shared" si="142"/>
        <v>4566.9336300000004</v>
      </c>
      <c r="AM1000" t="str">
        <f t="shared" si="143"/>
        <v/>
      </c>
    </row>
    <row r="1001" spans="1:39" x14ac:dyDescent="0.55000000000000004">
      <c r="A1001">
        <v>1777635002</v>
      </c>
      <c r="B1001" t="s">
        <v>72</v>
      </c>
      <c r="C1001" t="s">
        <v>73</v>
      </c>
      <c r="D1001">
        <v>4575.75</v>
      </c>
      <c r="E1001">
        <v>4518.5928199999998</v>
      </c>
      <c r="F1001">
        <v>4596.0559499999999</v>
      </c>
      <c r="G1001">
        <v>4755.40355</v>
      </c>
      <c r="H1001">
        <v>4792.7697200000002</v>
      </c>
      <c r="Q1001">
        <v>4550.3012500000004</v>
      </c>
      <c r="R1001">
        <v>4579.6645500000004</v>
      </c>
      <c r="S1001">
        <v>4606.2533199999998</v>
      </c>
      <c r="V1001">
        <v>4515.3614799999996</v>
      </c>
      <c r="W1001">
        <v>4481.79648</v>
      </c>
      <c r="AB1001">
        <v>4576.6159200000002</v>
      </c>
      <c r="AC1001">
        <v>4574.5123599999997</v>
      </c>
      <c r="AD1001">
        <v>0</v>
      </c>
      <c r="AE1001">
        <f t="shared" si="140"/>
        <v>999</v>
      </c>
      <c r="AF1001">
        <f t="shared" si="141"/>
        <v>998</v>
      </c>
      <c r="AG1001">
        <f t="shared" si="135"/>
        <v>25.448749999999563</v>
      </c>
      <c r="AH1001">
        <f t="shared" si="136"/>
        <v>647.63887656247778</v>
      </c>
      <c r="AI1001">
        <f t="shared" si="137"/>
        <v>0.37915339634489537</v>
      </c>
      <c r="AJ1001">
        <f t="shared" si="138"/>
        <v>0.27442263756515894</v>
      </c>
      <c r="AK1001">
        <f t="shared" si="139"/>
        <v>996004</v>
      </c>
      <c r="AL1001">
        <f t="shared" si="142"/>
        <v>4566.9336300000004</v>
      </c>
      <c r="AM1001" t="str">
        <f t="shared" si="143"/>
        <v/>
      </c>
    </row>
    <row r="1002" spans="1:39" x14ac:dyDescent="0.55000000000000004">
      <c r="A1002">
        <v>1777635902</v>
      </c>
      <c r="B1002" t="s">
        <v>72</v>
      </c>
      <c r="C1002" t="s">
        <v>73</v>
      </c>
      <c r="D1002">
        <v>4578.84</v>
      </c>
      <c r="E1002">
        <v>4518.5928199999998</v>
      </c>
      <c r="F1002">
        <v>4596.0559499999999</v>
      </c>
      <c r="G1002">
        <v>4755.40355</v>
      </c>
      <c r="H1002">
        <v>4792.7697200000002</v>
      </c>
      <c r="Q1002">
        <v>4550.0336399999997</v>
      </c>
      <c r="R1002">
        <v>4579.3969399999996</v>
      </c>
      <c r="S1002">
        <v>4605.9857099999999</v>
      </c>
      <c r="V1002">
        <v>4515.0938699999997</v>
      </c>
      <c r="W1002">
        <v>4481.5288799999998</v>
      </c>
      <c r="AB1002">
        <v>4579.2970599999999</v>
      </c>
      <c r="AC1002">
        <v>4576.9047099999998</v>
      </c>
      <c r="AD1002">
        <v>0</v>
      </c>
      <c r="AE1002">
        <f t="shared" si="140"/>
        <v>1000</v>
      </c>
      <c r="AF1002">
        <f t="shared" si="141"/>
        <v>999</v>
      </c>
      <c r="AG1002">
        <f t="shared" si="135"/>
        <v>28.806360000000495</v>
      </c>
      <c r="AH1002">
        <f t="shared" si="136"/>
        <v>829.80637644962849</v>
      </c>
      <c r="AI1002">
        <f t="shared" si="137"/>
        <v>0.54989622221934109</v>
      </c>
      <c r="AJ1002">
        <f t="shared" si="138"/>
        <v>0.45051333260492393</v>
      </c>
      <c r="AK1002">
        <f t="shared" si="139"/>
        <v>998001</v>
      </c>
      <c r="AL1002">
        <f t="shared" si="142"/>
        <v>4566.9336300000004</v>
      </c>
      <c r="AM1002" t="str">
        <f t="shared" si="143"/>
        <v/>
      </c>
    </row>
    <row r="1003" spans="1:39" x14ac:dyDescent="0.55000000000000004">
      <c r="A1003">
        <v>1777636802</v>
      </c>
      <c r="B1003" t="s">
        <v>72</v>
      </c>
      <c r="C1003" t="s">
        <v>73</v>
      </c>
      <c r="D1003">
        <v>4584.8599999999997</v>
      </c>
      <c r="E1003">
        <v>4518.5928199999998</v>
      </c>
      <c r="F1003">
        <v>4596.0559499999999</v>
      </c>
      <c r="G1003">
        <v>4755.40355</v>
      </c>
      <c r="H1003">
        <v>4792.7697200000002</v>
      </c>
      <c r="Q1003">
        <v>4549.7660400000004</v>
      </c>
      <c r="R1003">
        <v>4579.1293400000004</v>
      </c>
      <c r="S1003">
        <v>4605.7181099999998</v>
      </c>
      <c r="V1003">
        <v>4514.8262699999996</v>
      </c>
      <c r="W1003">
        <v>4481.26127</v>
      </c>
      <c r="AB1003">
        <v>4582.3315700000003</v>
      </c>
      <c r="AC1003">
        <v>4579.6181399999996</v>
      </c>
      <c r="AD1003">
        <v>0</v>
      </c>
      <c r="AE1003">
        <f t="shared" si="140"/>
        <v>1001</v>
      </c>
      <c r="AF1003">
        <f t="shared" si="141"/>
        <v>1000</v>
      </c>
      <c r="AG1003">
        <f t="shared" si="135"/>
        <v>35.093959999999242</v>
      </c>
      <c r="AH1003">
        <f t="shared" si="136"/>
        <v>1231.5860284815469</v>
      </c>
      <c r="AI1003">
        <f t="shared" si="137"/>
        <v>0.9942891830237649</v>
      </c>
      <c r="AJ1003">
        <f t="shared" si="138"/>
        <v>0.99239283401347822</v>
      </c>
      <c r="AK1003">
        <f t="shared" si="139"/>
        <v>1000000</v>
      </c>
      <c r="AL1003">
        <f t="shared" si="142"/>
        <v>4566.9336300000004</v>
      </c>
      <c r="AM1003" t="str">
        <f t="shared" si="143"/>
        <v/>
      </c>
    </row>
    <row r="1004" spans="1:39" x14ac:dyDescent="0.55000000000000004">
      <c r="A1004">
        <v>1777637702</v>
      </c>
      <c r="B1004" t="s">
        <v>72</v>
      </c>
      <c r="C1004" t="s">
        <v>73</v>
      </c>
      <c r="D1004">
        <v>4602.95</v>
      </c>
      <c r="E1004">
        <v>4518.5928199999998</v>
      </c>
      <c r="F1004">
        <v>4596.0559499999999</v>
      </c>
      <c r="G1004">
        <v>4755.40355</v>
      </c>
      <c r="H1004">
        <v>4792.7697200000002</v>
      </c>
      <c r="Q1004">
        <v>4549.4984299999996</v>
      </c>
      <c r="R1004">
        <v>4578.8617299999996</v>
      </c>
      <c r="S1004">
        <v>4605.4504999999999</v>
      </c>
      <c r="V1004">
        <v>4514.5586599999997</v>
      </c>
      <c r="W1004">
        <v>4480.9936699999998</v>
      </c>
      <c r="AB1004">
        <v>4585.8169699999999</v>
      </c>
      <c r="AC1004">
        <v>4582.7175500000003</v>
      </c>
      <c r="AD1004">
        <v>0</v>
      </c>
      <c r="AE1004">
        <f t="shared" si="140"/>
        <v>1002</v>
      </c>
      <c r="AF1004">
        <f t="shared" si="141"/>
        <v>1001</v>
      </c>
      <c r="AG1004">
        <f t="shared" si="135"/>
        <v>53.451570000000174</v>
      </c>
      <c r="AH1004">
        <f t="shared" si="136"/>
        <v>2857.0703354649186</v>
      </c>
      <c r="AI1004">
        <f t="shared" si="137"/>
        <v>3.5131523405248117</v>
      </c>
      <c r="AJ1004">
        <f t="shared" si="138"/>
        <v>5.3406728639431629</v>
      </c>
      <c r="AK1004">
        <f t="shared" si="139"/>
        <v>1002001</v>
      </c>
      <c r="AL1004">
        <f t="shared" si="142"/>
        <v>4566.9336300000004</v>
      </c>
      <c r="AM1004" t="str">
        <f t="shared" si="143"/>
        <v/>
      </c>
    </row>
    <row r="1005" spans="1:39" x14ac:dyDescent="0.55000000000000004">
      <c r="A1005">
        <v>1777638602</v>
      </c>
      <c r="B1005" t="s">
        <v>72</v>
      </c>
      <c r="C1005" t="s">
        <v>73</v>
      </c>
      <c r="D1005">
        <v>4591.95</v>
      </c>
      <c r="E1005">
        <v>4518.5928199999998</v>
      </c>
      <c r="F1005">
        <v>4596.0559499999999</v>
      </c>
      <c r="G1005">
        <v>4755.40355</v>
      </c>
      <c r="H1005">
        <v>4792.7697200000002</v>
      </c>
      <c r="Q1005">
        <v>4549.2308300000004</v>
      </c>
      <c r="R1005">
        <v>4578.5941300000004</v>
      </c>
      <c r="S1005">
        <v>4605.1828999999998</v>
      </c>
      <c r="V1005">
        <v>4514.2910599999996</v>
      </c>
      <c r="W1005">
        <v>4480.72606</v>
      </c>
      <c r="AB1005">
        <v>4589.5589300000001</v>
      </c>
      <c r="AC1005">
        <v>4586.1382400000002</v>
      </c>
      <c r="AD1005">
        <v>0</v>
      </c>
      <c r="AE1005">
        <f t="shared" si="140"/>
        <v>1003</v>
      </c>
      <c r="AF1005">
        <f t="shared" si="141"/>
        <v>1002</v>
      </c>
      <c r="AG1005">
        <f t="shared" si="135"/>
        <v>42.719169999999394</v>
      </c>
      <c r="AH1005">
        <f t="shared" si="136"/>
        <v>1824.9274854888483</v>
      </c>
      <c r="AI1005">
        <f t="shared" si="137"/>
        <v>1.7934282348272328</v>
      </c>
      <c r="AJ1005">
        <f t="shared" si="138"/>
        <v>2.1789403287050759</v>
      </c>
      <c r="AK1005">
        <f t="shared" si="139"/>
        <v>1004004</v>
      </c>
      <c r="AL1005">
        <f t="shared" si="142"/>
        <v>4566.9336300000004</v>
      </c>
      <c r="AM1005" t="str">
        <f t="shared" si="143"/>
        <v/>
      </c>
    </row>
    <row r="1006" spans="1:39" x14ac:dyDescent="0.55000000000000004">
      <c r="A1006">
        <v>1777639502</v>
      </c>
      <c r="B1006" t="s">
        <v>72</v>
      </c>
      <c r="C1006" t="s">
        <v>73</v>
      </c>
      <c r="D1006">
        <v>4591.18</v>
      </c>
      <c r="E1006">
        <v>4518.5928199999998</v>
      </c>
      <c r="F1006">
        <v>4596.0559499999999</v>
      </c>
      <c r="G1006">
        <v>4755.40355</v>
      </c>
      <c r="H1006">
        <v>4792.7697200000002</v>
      </c>
      <c r="Q1006">
        <v>4548.9632300000003</v>
      </c>
      <c r="R1006">
        <v>4578.3265199999996</v>
      </c>
      <c r="S1006">
        <v>4604.9152999999997</v>
      </c>
      <c r="V1006">
        <v>4514.0234600000003</v>
      </c>
      <c r="W1006">
        <v>4480.4584599999998</v>
      </c>
      <c r="AB1006">
        <v>4594.1641200000004</v>
      </c>
      <c r="AC1006">
        <v>4590.1511799999998</v>
      </c>
      <c r="AD1006">
        <v>0</v>
      </c>
      <c r="AE1006">
        <f t="shared" si="140"/>
        <v>1004</v>
      </c>
      <c r="AF1006">
        <f t="shared" si="141"/>
        <v>1003</v>
      </c>
      <c r="AG1006">
        <f t="shared" si="135"/>
        <v>42.216769999999997</v>
      </c>
      <c r="AH1006">
        <f t="shared" si="136"/>
        <v>1782.2556692328997</v>
      </c>
      <c r="AI1006">
        <f t="shared" si="137"/>
        <v>1.7308944753781839</v>
      </c>
      <c r="AJ1006">
        <f t="shared" si="138"/>
        <v>2.0782324530235101</v>
      </c>
      <c r="AK1006">
        <f t="shared" si="139"/>
        <v>1006009</v>
      </c>
      <c r="AL1006">
        <f t="shared" si="142"/>
        <v>4566.9336300000004</v>
      </c>
      <c r="AM1006" t="str">
        <f t="shared" si="143"/>
        <v/>
      </c>
    </row>
    <row r="1007" spans="1:39" x14ac:dyDescent="0.55000000000000004">
      <c r="A1007">
        <v>1777640402</v>
      </c>
      <c r="B1007" t="s">
        <v>72</v>
      </c>
      <c r="C1007" t="s">
        <v>73</v>
      </c>
      <c r="D1007">
        <v>4591.32</v>
      </c>
      <c r="E1007">
        <v>4518.5928199999998</v>
      </c>
      <c r="F1007">
        <v>4596.0559499999999</v>
      </c>
      <c r="G1007">
        <v>4755.40355</v>
      </c>
      <c r="H1007">
        <v>4792.7697200000002</v>
      </c>
      <c r="Q1007">
        <v>4548.6956200000004</v>
      </c>
      <c r="R1007">
        <v>4578.0589200000004</v>
      </c>
      <c r="S1007">
        <v>4604.6476899999998</v>
      </c>
      <c r="V1007">
        <v>4513.7558499999996</v>
      </c>
      <c r="W1007">
        <v>4480.1908599999997</v>
      </c>
      <c r="AB1007">
        <v>4599.8901599999999</v>
      </c>
      <c r="AC1007">
        <v>4595.0206699999999</v>
      </c>
      <c r="AD1007">
        <v>0</v>
      </c>
      <c r="AE1007">
        <f t="shared" si="140"/>
        <v>1005</v>
      </c>
      <c r="AF1007">
        <f t="shared" si="141"/>
        <v>1004</v>
      </c>
      <c r="AG1007">
        <f t="shared" si="135"/>
        <v>42.624379999999292</v>
      </c>
      <c r="AH1007">
        <f t="shared" si="136"/>
        <v>1816.8377703843396</v>
      </c>
      <c r="AI1007">
        <f t="shared" si="137"/>
        <v>1.7815163370491804</v>
      </c>
      <c r="AJ1007">
        <f t="shared" si="138"/>
        <v>2.1596651111646716</v>
      </c>
      <c r="AK1007">
        <f t="shared" si="139"/>
        <v>1008016</v>
      </c>
      <c r="AL1007">
        <f t="shared" si="142"/>
        <v>4566.9336300000004</v>
      </c>
      <c r="AM1007" t="str">
        <f t="shared" si="143"/>
        <v/>
      </c>
    </row>
    <row r="1008" spans="1:39" x14ac:dyDescent="0.55000000000000004">
      <c r="A1008">
        <v>1777641302</v>
      </c>
      <c r="B1008" t="s">
        <v>72</v>
      </c>
      <c r="C1008" t="s">
        <v>73</v>
      </c>
      <c r="D1008">
        <v>4589.2</v>
      </c>
      <c r="E1008">
        <v>4518.5928199999998</v>
      </c>
      <c r="F1008">
        <v>4596.0559499999999</v>
      </c>
      <c r="G1008">
        <v>4755.40355</v>
      </c>
      <c r="H1008">
        <v>4792.7697200000002</v>
      </c>
      <c r="Q1008">
        <v>4548.4280200000003</v>
      </c>
      <c r="R1008">
        <v>4577.7913200000003</v>
      </c>
      <c r="S1008">
        <v>4604.3800899999997</v>
      </c>
      <c r="V1008">
        <v>4513.4882500000003</v>
      </c>
      <c r="W1008">
        <v>4479.9232499999998</v>
      </c>
      <c r="AB1008">
        <v>4606.7948500000002</v>
      </c>
      <c r="AC1008">
        <v>4600.9077600000001</v>
      </c>
      <c r="AD1008">
        <v>0</v>
      </c>
      <c r="AE1008">
        <f t="shared" si="140"/>
        <v>1006</v>
      </c>
      <c r="AF1008">
        <f t="shared" si="141"/>
        <v>1005</v>
      </c>
      <c r="AG1008">
        <f t="shared" si="135"/>
        <v>40.77197999999953</v>
      </c>
      <c r="AH1008">
        <f t="shared" si="136"/>
        <v>1662.3543531203618</v>
      </c>
      <c r="AI1008">
        <f t="shared" si="137"/>
        <v>1.5591970053879234</v>
      </c>
      <c r="AJ1008">
        <f t="shared" si="138"/>
        <v>1.8080120584933863</v>
      </c>
      <c r="AK1008">
        <f t="shared" si="139"/>
        <v>1010025</v>
      </c>
      <c r="AL1008">
        <f t="shared" si="142"/>
        <v>4566.9336300000004</v>
      </c>
      <c r="AM1008" t="str">
        <f t="shared" si="143"/>
        <v/>
      </c>
    </row>
    <row r="1009" spans="1:39" x14ac:dyDescent="0.55000000000000004">
      <c r="A1009">
        <v>1777642202</v>
      </c>
      <c r="B1009" t="s">
        <v>72</v>
      </c>
      <c r="C1009" t="s">
        <v>73</v>
      </c>
      <c r="D1009">
        <v>4608.07</v>
      </c>
      <c r="E1009">
        <v>4518.5928199999998</v>
      </c>
      <c r="F1009">
        <v>4596.0559499999999</v>
      </c>
      <c r="G1009">
        <v>4755.40355</v>
      </c>
      <c r="H1009">
        <v>4792.7697200000002</v>
      </c>
      <c r="Q1009">
        <v>4548.1604100000004</v>
      </c>
      <c r="R1009">
        <v>4577.5237100000004</v>
      </c>
      <c r="S1009">
        <v>4604.1124799999998</v>
      </c>
      <c r="V1009">
        <v>4513.2206399999995</v>
      </c>
      <c r="W1009">
        <v>4479.6556499999997</v>
      </c>
      <c r="AB1009">
        <v>4614.7508699999998</v>
      </c>
      <c r="AC1009">
        <v>4607.8293199999998</v>
      </c>
      <c r="AD1009">
        <v>0</v>
      </c>
      <c r="AE1009">
        <f t="shared" si="140"/>
        <v>1007</v>
      </c>
      <c r="AF1009">
        <f t="shared" si="141"/>
        <v>1006</v>
      </c>
      <c r="AG1009">
        <f t="shared" si="135"/>
        <v>59.909589999999298</v>
      </c>
      <c r="AH1009">
        <f t="shared" si="136"/>
        <v>3589.1589739680157</v>
      </c>
      <c r="AI1009">
        <f t="shared" si="137"/>
        <v>4.9465753254859708</v>
      </c>
      <c r="AJ1009">
        <f t="shared" si="138"/>
        <v>8.4282906220702305</v>
      </c>
      <c r="AK1009">
        <f t="shared" si="139"/>
        <v>1012036</v>
      </c>
      <c r="AL1009">
        <f t="shared" si="142"/>
        <v>4566.9336300000004</v>
      </c>
      <c r="AM1009" t="str">
        <f t="shared" si="143"/>
        <v/>
      </c>
    </row>
    <row r="1010" spans="1:39" x14ac:dyDescent="0.55000000000000004">
      <c r="A1010">
        <v>1777643102</v>
      </c>
      <c r="B1010" t="s">
        <v>72</v>
      </c>
      <c r="C1010" t="s">
        <v>73</v>
      </c>
      <c r="D1010">
        <v>4625.7</v>
      </c>
      <c r="E1010">
        <v>4518.5928199999998</v>
      </c>
      <c r="F1010">
        <v>4596.0559499999999</v>
      </c>
      <c r="G1010">
        <v>4755.40355</v>
      </c>
      <c r="H1010">
        <v>4792.7697200000002</v>
      </c>
      <c r="Q1010">
        <v>4547.8928100000003</v>
      </c>
      <c r="R1010">
        <v>4577.2561100000003</v>
      </c>
      <c r="S1010">
        <v>4603.8448799999996</v>
      </c>
      <c r="V1010">
        <v>4512.9530400000003</v>
      </c>
      <c r="W1010">
        <v>4479.3880399999998</v>
      </c>
      <c r="AB1010">
        <v>4622.8140599999997</v>
      </c>
      <c r="AC1010">
        <v>4615.3216899999998</v>
      </c>
      <c r="AD1010">
        <v>0</v>
      </c>
      <c r="AE1010">
        <f t="shared" si="140"/>
        <v>1008</v>
      </c>
      <c r="AF1010">
        <f t="shared" si="141"/>
        <v>1007</v>
      </c>
      <c r="AG1010">
        <f t="shared" si="135"/>
        <v>77.807189999999537</v>
      </c>
      <c r="AH1010">
        <f t="shared" si="136"/>
        <v>6053.9588156960281</v>
      </c>
      <c r="AI1010">
        <f t="shared" si="137"/>
        <v>10.836144251509157</v>
      </c>
      <c r="AJ1010">
        <f t="shared" si="138"/>
        <v>23.979108733735298</v>
      </c>
      <c r="AK1010">
        <f t="shared" si="139"/>
        <v>1014049</v>
      </c>
      <c r="AL1010">
        <f t="shared" si="142"/>
        <v>4566.9336300000004</v>
      </c>
      <c r="AM1010" t="str">
        <f t="shared" si="143"/>
        <v/>
      </c>
    </row>
    <row r="1011" spans="1:39" x14ac:dyDescent="0.55000000000000004">
      <c r="A1011">
        <v>1777644002</v>
      </c>
      <c r="B1011" t="s">
        <v>72</v>
      </c>
      <c r="C1011" t="s">
        <v>73</v>
      </c>
      <c r="D1011">
        <v>4656.0600000000004</v>
      </c>
      <c r="E1011">
        <v>4518.5928199999998</v>
      </c>
      <c r="F1011">
        <v>4596.0559499999999</v>
      </c>
      <c r="G1011">
        <v>4755.40355</v>
      </c>
      <c r="H1011">
        <v>4792.7697200000002</v>
      </c>
      <c r="Q1011">
        <v>4547.6252100000002</v>
      </c>
      <c r="R1011">
        <v>4576.9885000000004</v>
      </c>
      <c r="S1011">
        <v>4603.5772699999998</v>
      </c>
      <c r="V1011">
        <v>4512.6854400000002</v>
      </c>
      <c r="W1011">
        <v>4479.1204399999997</v>
      </c>
      <c r="AB1011">
        <v>4630.0188799999996</v>
      </c>
      <c r="AC1011">
        <v>4622.6702800000003</v>
      </c>
      <c r="AD1011">
        <v>0</v>
      </c>
      <c r="AE1011">
        <f t="shared" si="140"/>
        <v>1009</v>
      </c>
      <c r="AF1011">
        <f t="shared" si="141"/>
        <v>1008</v>
      </c>
      <c r="AG1011">
        <f t="shared" si="135"/>
        <v>108.43479000000025</v>
      </c>
      <c r="AH1011">
        <f t="shared" si="136"/>
        <v>11758.103682344154</v>
      </c>
      <c r="AI1011">
        <f t="shared" si="137"/>
        <v>29.330638190062313</v>
      </c>
      <c r="AJ1011">
        <f t="shared" si="138"/>
        <v>90.454188875527478</v>
      </c>
      <c r="AK1011">
        <f t="shared" si="139"/>
        <v>1016064</v>
      </c>
      <c r="AL1011">
        <f t="shared" si="142"/>
        <v>4566.9336300000004</v>
      </c>
      <c r="AM1011" t="str">
        <f t="shared" si="143"/>
        <v/>
      </c>
    </row>
    <row r="1012" spans="1:39" x14ac:dyDescent="0.55000000000000004">
      <c r="A1012">
        <v>1777644902</v>
      </c>
      <c r="B1012" t="s">
        <v>72</v>
      </c>
      <c r="C1012" t="s">
        <v>73</v>
      </c>
      <c r="D1012">
        <v>4644.67</v>
      </c>
      <c r="E1012">
        <v>4518.5928199999998</v>
      </c>
      <c r="F1012">
        <v>4596.0559499999999</v>
      </c>
      <c r="G1012">
        <v>4755.40355</v>
      </c>
      <c r="H1012">
        <v>4792.7697200000002</v>
      </c>
      <c r="Q1012">
        <v>4547.3576000000003</v>
      </c>
      <c r="R1012">
        <v>4576.7209000000003</v>
      </c>
      <c r="S1012">
        <v>4603.3096699999996</v>
      </c>
      <c r="V1012">
        <v>4512.4178300000003</v>
      </c>
      <c r="W1012">
        <v>4478.8528299999998</v>
      </c>
      <c r="Z1012">
        <v>4660.32</v>
      </c>
      <c r="AB1012">
        <v>4635.1597499999998</v>
      </c>
      <c r="AC1012">
        <v>4628.9150099999997</v>
      </c>
      <c r="AD1012">
        <v>0</v>
      </c>
      <c r="AE1012">
        <f t="shared" si="140"/>
        <v>1010</v>
      </c>
      <c r="AF1012">
        <f t="shared" si="141"/>
        <v>1009</v>
      </c>
      <c r="AG1012">
        <f t="shared" si="135"/>
        <v>97.312399999999798</v>
      </c>
      <c r="AH1012">
        <f t="shared" si="136"/>
        <v>9469.7031937599604</v>
      </c>
      <c r="AI1012">
        <f t="shared" si="137"/>
        <v>21.199232373193656</v>
      </c>
      <c r="AJ1012">
        <f t="shared" si="138"/>
        <v>58.671453470054246</v>
      </c>
      <c r="AK1012">
        <f t="shared" si="139"/>
        <v>1018081</v>
      </c>
      <c r="AL1012">
        <f t="shared" si="142"/>
        <v>4566.9336300000004</v>
      </c>
      <c r="AM1012" t="str">
        <f t="shared" si="143"/>
        <v/>
      </c>
    </row>
    <row r="1013" spans="1:39" x14ac:dyDescent="0.55000000000000004">
      <c r="A1013">
        <v>1777645802</v>
      </c>
      <c r="B1013" t="s">
        <v>72</v>
      </c>
      <c r="C1013" t="s">
        <v>73</v>
      </c>
      <c r="D1013">
        <v>4633.2299999999996</v>
      </c>
      <c r="E1013">
        <v>4518.5928199999998</v>
      </c>
      <c r="F1013">
        <v>4596.0559499999999</v>
      </c>
      <c r="G1013">
        <v>4755.40355</v>
      </c>
      <c r="H1013">
        <v>4792.7697200000002</v>
      </c>
      <c r="Q1013">
        <v>4547.09</v>
      </c>
      <c r="R1013">
        <v>4576.4533000000001</v>
      </c>
      <c r="S1013">
        <v>4603.0420700000004</v>
      </c>
      <c r="V1013">
        <v>4512.1502300000002</v>
      </c>
      <c r="W1013">
        <v>4478.5852299999997</v>
      </c>
      <c r="AB1013">
        <v>4638.4910399999999</v>
      </c>
      <c r="AC1013">
        <v>4633.7030299999997</v>
      </c>
      <c r="AD1013">
        <v>0</v>
      </c>
      <c r="AE1013">
        <f t="shared" si="140"/>
        <v>1011</v>
      </c>
      <c r="AF1013">
        <f t="shared" si="141"/>
        <v>1010</v>
      </c>
      <c r="AG1013">
        <f t="shared" si="135"/>
        <v>86.139999999999418</v>
      </c>
      <c r="AH1013">
        <f t="shared" si="136"/>
        <v>7420.0995999998995</v>
      </c>
      <c r="AI1013">
        <f t="shared" si="137"/>
        <v>14.703820311541007</v>
      </c>
      <c r="AJ1013">
        <f t="shared" si="138"/>
        <v>36.022477797684381</v>
      </c>
      <c r="AK1013">
        <f t="shared" si="139"/>
        <v>1020100</v>
      </c>
      <c r="AL1013">
        <f t="shared" si="142"/>
        <v>4566.9336300000004</v>
      </c>
      <c r="AM1013" t="str">
        <f t="shared" si="143"/>
        <v/>
      </c>
    </row>
    <row r="1014" spans="1:39" x14ac:dyDescent="0.55000000000000004">
      <c r="A1014">
        <v>1777646702</v>
      </c>
      <c r="B1014" t="s">
        <v>72</v>
      </c>
      <c r="C1014" t="s">
        <v>73</v>
      </c>
      <c r="D1014">
        <v>4632.21</v>
      </c>
      <c r="E1014">
        <v>4518.5928199999998</v>
      </c>
      <c r="F1014">
        <v>4596.0559499999999</v>
      </c>
      <c r="G1014">
        <v>4755.40355</v>
      </c>
      <c r="H1014">
        <v>4792.7697200000002</v>
      </c>
      <c r="Q1014">
        <v>4546.8223900000003</v>
      </c>
      <c r="R1014">
        <v>4576.1856900000002</v>
      </c>
      <c r="S1014">
        <v>4602.7744599999996</v>
      </c>
      <c r="V1014">
        <v>4511.8826200000003</v>
      </c>
      <c r="W1014">
        <v>4478.3176299999996</v>
      </c>
      <c r="AB1014">
        <v>4640.5192800000004</v>
      </c>
      <c r="AC1014">
        <v>4637.1111499999997</v>
      </c>
      <c r="AD1014">
        <v>0</v>
      </c>
      <c r="AE1014">
        <f t="shared" si="140"/>
        <v>1012</v>
      </c>
      <c r="AF1014">
        <f t="shared" si="141"/>
        <v>1011</v>
      </c>
      <c r="AG1014">
        <f t="shared" si="135"/>
        <v>85.387609999999768</v>
      </c>
      <c r="AH1014">
        <f t="shared" si="136"/>
        <v>7291.04394151206</v>
      </c>
      <c r="AI1014">
        <f t="shared" si="137"/>
        <v>14.321884201402643</v>
      </c>
      <c r="AJ1014">
        <f t="shared" si="138"/>
        <v>34.780317635247926</v>
      </c>
      <c r="AK1014">
        <f t="shared" si="139"/>
        <v>1022121</v>
      </c>
      <c r="AL1014">
        <f t="shared" si="142"/>
        <v>4566.9336300000004</v>
      </c>
      <c r="AM1014" t="str">
        <f t="shared" si="143"/>
        <v/>
      </c>
    </row>
    <row r="1015" spans="1:39" x14ac:dyDescent="0.55000000000000004">
      <c r="A1015">
        <v>1777647602</v>
      </c>
      <c r="B1015" t="s">
        <v>72</v>
      </c>
      <c r="C1015" t="s">
        <v>73</v>
      </c>
      <c r="D1015">
        <v>4636.58</v>
      </c>
      <c r="E1015">
        <v>4518.5928199999998</v>
      </c>
      <c r="F1015">
        <v>4596.0559499999999</v>
      </c>
      <c r="G1015">
        <v>4755.40355</v>
      </c>
      <c r="H1015">
        <v>4792.7697200000002</v>
      </c>
      <c r="Q1015">
        <v>4546.5547900000001</v>
      </c>
      <c r="R1015">
        <v>4575.9180900000001</v>
      </c>
      <c r="S1015">
        <v>4602.5068600000004</v>
      </c>
      <c r="V1015">
        <v>4511.6150200000002</v>
      </c>
      <c r="W1015">
        <v>4478.0500199999997</v>
      </c>
      <c r="AB1015">
        <v>4641.5854200000003</v>
      </c>
      <c r="AC1015">
        <v>4639.3482899999999</v>
      </c>
      <c r="AD1015">
        <v>0</v>
      </c>
      <c r="AE1015">
        <f t="shared" si="140"/>
        <v>1013</v>
      </c>
      <c r="AF1015">
        <f t="shared" si="141"/>
        <v>1012</v>
      </c>
      <c r="AG1015">
        <f t="shared" si="135"/>
        <v>90.025209999999788</v>
      </c>
      <c r="AH1015">
        <f t="shared" si="136"/>
        <v>8104.5384355440619</v>
      </c>
      <c r="AI1015">
        <f t="shared" si="137"/>
        <v>16.784484750406449</v>
      </c>
      <c r="AJ1015">
        <f t="shared" si="138"/>
        <v>42.974485419423871</v>
      </c>
      <c r="AK1015">
        <f t="shared" si="139"/>
        <v>1024144</v>
      </c>
      <c r="AL1015">
        <f t="shared" si="142"/>
        <v>4566.9336300000004</v>
      </c>
      <c r="AM1015" t="str">
        <f t="shared" si="143"/>
        <v/>
      </c>
    </row>
    <row r="1016" spans="1:39" x14ac:dyDescent="0.55000000000000004">
      <c r="A1016">
        <v>1777648502</v>
      </c>
      <c r="B1016" t="s">
        <v>72</v>
      </c>
      <c r="C1016" t="s">
        <v>73</v>
      </c>
      <c r="D1016">
        <v>4636.46</v>
      </c>
      <c r="E1016">
        <v>4518.5928199999998</v>
      </c>
      <c r="F1016">
        <v>4596.0559499999999</v>
      </c>
      <c r="G1016">
        <v>4755.40355</v>
      </c>
      <c r="H1016">
        <v>4792.7697200000002</v>
      </c>
      <c r="Q1016">
        <v>4546.2871800000003</v>
      </c>
      <c r="R1016">
        <v>4575.6504800000002</v>
      </c>
      <c r="S1016">
        <v>4602.2392499999996</v>
      </c>
      <c r="V1016">
        <v>4511.3474100000003</v>
      </c>
      <c r="W1016">
        <v>4477.7824199999995</v>
      </c>
      <c r="AB1016">
        <v>4641.9162100000003</v>
      </c>
      <c r="AC1016">
        <v>4640.6322499999997</v>
      </c>
      <c r="AD1016">
        <v>0</v>
      </c>
      <c r="AE1016">
        <f t="shared" si="140"/>
        <v>1014</v>
      </c>
      <c r="AF1016">
        <f t="shared" si="141"/>
        <v>1013</v>
      </c>
      <c r="AG1016">
        <f t="shared" si="135"/>
        <v>90.172819999999774</v>
      </c>
      <c r="AH1016">
        <f t="shared" si="136"/>
        <v>8131.1374667523596</v>
      </c>
      <c r="AI1016">
        <f t="shared" si="137"/>
        <v>16.867182330776632</v>
      </c>
      <c r="AJ1016">
        <f t="shared" si="138"/>
        <v>43.257032162136404</v>
      </c>
      <c r="AK1016">
        <f t="shared" si="139"/>
        <v>1026169</v>
      </c>
      <c r="AL1016">
        <f t="shared" si="142"/>
        <v>4566.9336300000004</v>
      </c>
      <c r="AM1016" t="str">
        <f t="shared" si="143"/>
        <v/>
      </c>
    </row>
    <row r="1017" spans="1:39" x14ac:dyDescent="0.55000000000000004">
      <c r="A1017">
        <v>1777649402</v>
      </c>
      <c r="B1017" t="s">
        <v>72</v>
      </c>
      <c r="C1017" t="s">
        <v>73</v>
      </c>
      <c r="D1017">
        <v>4643.6000000000004</v>
      </c>
      <c r="E1017">
        <v>4518.5928199999998</v>
      </c>
      <c r="F1017">
        <v>4596.0559499999999</v>
      </c>
      <c r="G1017">
        <v>4755.40355</v>
      </c>
      <c r="H1017">
        <v>4792.7697200000002</v>
      </c>
      <c r="Q1017">
        <v>4546.0195800000001</v>
      </c>
      <c r="R1017">
        <v>4575.3828800000001</v>
      </c>
      <c r="S1017">
        <v>4601.9716500000004</v>
      </c>
      <c r="V1017">
        <v>4511.0798100000002</v>
      </c>
      <c r="W1017">
        <v>4477.5148099999997</v>
      </c>
      <c r="AB1017">
        <v>4641.8057900000003</v>
      </c>
      <c r="AC1017">
        <v>4641.2190199999995</v>
      </c>
      <c r="AD1017">
        <v>0</v>
      </c>
      <c r="AE1017">
        <f t="shared" si="140"/>
        <v>1015</v>
      </c>
      <c r="AF1017">
        <f t="shared" si="141"/>
        <v>1014</v>
      </c>
      <c r="AG1017">
        <f t="shared" si="135"/>
        <v>97.580420000000231</v>
      </c>
      <c r="AH1017">
        <f t="shared" si="136"/>
        <v>9521.938367376446</v>
      </c>
      <c r="AI1017">
        <f t="shared" si="137"/>
        <v>21.374877459098673</v>
      </c>
      <c r="AJ1017">
        <f t="shared" si="138"/>
        <v>59.320505720691827</v>
      </c>
      <c r="AK1017">
        <f t="shared" si="139"/>
        <v>1028196</v>
      </c>
      <c r="AL1017">
        <f t="shared" si="142"/>
        <v>4566.9336300000004</v>
      </c>
      <c r="AM1017" t="str">
        <f t="shared" si="143"/>
        <v/>
      </c>
    </row>
    <row r="1018" spans="1:39" x14ac:dyDescent="0.55000000000000004">
      <c r="A1018">
        <v>1777650302</v>
      </c>
      <c r="B1018" t="s">
        <v>72</v>
      </c>
      <c r="C1018" t="s">
        <v>73</v>
      </c>
      <c r="D1018">
        <v>4643.3</v>
      </c>
      <c r="E1018">
        <v>4518.5928199999998</v>
      </c>
      <c r="F1018">
        <v>4596.0559499999999</v>
      </c>
      <c r="G1018">
        <v>4755.40355</v>
      </c>
      <c r="H1018">
        <v>4792.7697200000002</v>
      </c>
      <c r="Q1018">
        <v>4545.75198</v>
      </c>
      <c r="R1018">
        <v>4575.11528</v>
      </c>
      <c r="S1018">
        <v>4601.7040500000003</v>
      </c>
      <c r="V1018">
        <v>4510.8122100000001</v>
      </c>
      <c r="W1018">
        <v>4477.2472100000005</v>
      </c>
      <c r="AB1018">
        <v>4641.2599700000001</v>
      </c>
      <c r="AC1018">
        <v>4641.2394899999999</v>
      </c>
      <c r="AD1018">
        <v>0</v>
      </c>
      <c r="AE1018">
        <f t="shared" si="140"/>
        <v>1016</v>
      </c>
      <c r="AF1018">
        <f t="shared" si="141"/>
        <v>1015</v>
      </c>
      <c r="AG1018">
        <f t="shared" si="135"/>
        <v>97.548020000000179</v>
      </c>
      <c r="AH1018">
        <f t="shared" si="136"/>
        <v>9515.6162059204344</v>
      </c>
      <c r="AI1018">
        <f t="shared" si="137"/>
        <v>21.353592980929193</v>
      </c>
      <c r="AJ1018">
        <f t="shared" si="138"/>
        <v>59.241759293837347</v>
      </c>
      <c r="AK1018">
        <f t="shared" si="139"/>
        <v>1030225</v>
      </c>
      <c r="AL1018">
        <f t="shared" si="142"/>
        <v>4566.9336300000004</v>
      </c>
      <c r="AM1018" t="str">
        <f t="shared" si="143"/>
        <v/>
      </c>
    </row>
    <row r="1019" spans="1:39" x14ac:dyDescent="0.55000000000000004">
      <c r="A1019">
        <v>1777651202</v>
      </c>
      <c r="B1019" t="s">
        <v>72</v>
      </c>
      <c r="C1019" t="s">
        <v>73</v>
      </c>
      <c r="D1019">
        <v>4642.75</v>
      </c>
      <c r="E1019">
        <v>4518.5928199999998</v>
      </c>
      <c r="F1019">
        <v>4596.0559499999999</v>
      </c>
      <c r="G1019">
        <v>4755.40355</v>
      </c>
      <c r="H1019">
        <v>4792.7697200000002</v>
      </c>
      <c r="Q1019">
        <v>4545.4843700000001</v>
      </c>
      <c r="R1019">
        <v>4574.8476700000001</v>
      </c>
      <c r="S1019">
        <v>4601.4364400000004</v>
      </c>
      <c r="V1019">
        <v>4510.5446000000002</v>
      </c>
      <c r="W1019">
        <v>4476.9796100000003</v>
      </c>
      <c r="AB1019">
        <v>4640.4134599999998</v>
      </c>
      <c r="AC1019">
        <v>4640.8264799999997</v>
      </c>
      <c r="AD1019">
        <v>1</v>
      </c>
      <c r="AE1019">
        <f t="shared" si="140"/>
        <v>1017</v>
      </c>
      <c r="AF1019">
        <f t="shared" si="141"/>
        <v>1016</v>
      </c>
      <c r="AG1019">
        <f t="shared" si="135"/>
        <v>97.265629999999874</v>
      </c>
      <c r="AH1019">
        <f t="shared" si="136"/>
        <v>9460.6027792968762</v>
      </c>
      <c r="AI1019">
        <f t="shared" si="137"/>
        <v>21.168680922967287</v>
      </c>
      <c r="AJ1019">
        <f t="shared" si="138"/>
        <v>58.558740753208909</v>
      </c>
      <c r="AK1019">
        <f t="shared" si="139"/>
        <v>1032256</v>
      </c>
      <c r="AL1019">
        <f t="shared" si="142"/>
        <v>4640.4134599999998</v>
      </c>
      <c r="AM1019">
        <f t="shared" si="143"/>
        <v>73.479829999999311</v>
      </c>
    </row>
    <row r="1020" spans="1:39" x14ac:dyDescent="0.55000000000000004">
      <c r="A1020">
        <v>1777652102</v>
      </c>
      <c r="B1020" t="s">
        <v>72</v>
      </c>
      <c r="C1020" t="s">
        <v>73</v>
      </c>
      <c r="D1020">
        <v>4637.96</v>
      </c>
      <c r="E1020">
        <v>4518.5928199999998</v>
      </c>
      <c r="F1020">
        <v>4596.0559499999999</v>
      </c>
      <c r="G1020">
        <v>4755.40355</v>
      </c>
      <c r="H1020">
        <v>4792.7697200000002</v>
      </c>
      <c r="Q1020">
        <v>4545.21677</v>
      </c>
      <c r="R1020">
        <v>4574.58007</v>
      </c>
      <c r="S1020">
        <v>4601.1688400000003</v>
      </c>
      <c r="V1020">
        <v>4510.277</v>
      </c>
      <c r="W1020">
        <v>4476.7120000000004</v>
      </c>
      <c r="AB1020">
        <v>4639.3023800000001</v>
      </c>
      <c r="AC1020">
        <v>4640.0644300000004</v>
      </c>
      <c r="AD1020">
        <v>0</v>
      </c>
      <c r="AE1020">
        <f t="shared" si="140"/>
        <v>1018</v>
      </c>
      <c r="AF1020">
        <f t="shared" si="141"/>
        <v>1017</v>
      </c>
      <c r="AG1020">
        <f t="shared" si="135"/>
        <v>92.74323000000004</v>
      </c>
      <c r="AH1020">
        <f t="shared" si="136"/>
        <v>8601.3067108329069</v>
      </c>
      <c r="AI1020">
        <f t="shared" si="137"/>
        <v>18.351105666868978</v>
      </c>
      <c r="AJ1020">
        <f t="shared" si="138"/>
        <v>48.404192700501852</v>
      </c>
      <c r="AK1020">
        <f t="shared" si="139"/>
        <v>1034289</v>
      </c>
      <c r="AL1020">
        <f t="shared" si="142"/>
        <v>4640.4134599999998</v>
      </c>
      <c r="AM1020" t="str">
        <f t="shared" si="143"/>
        <v/>
      </c>
    </row>
    <row r="1021" spans="1:39" x14ac:dyDescent="0.55000000000000004">
      <c r="A1021">
        <v>1777653002</v>
      </c>
      <c r="B1021" t="s">
        <v>72</v>
      </c>
      <c r="C1021" t="s">
        <v>73</v>
      </c>
      <c r="D1021">
        <v>4638.8599999999997</v>
      </c>
      <c r="E1021">
        <v>4518.5928199999998</v>
      </c>
      <c r="F1021">
        <v>4596.0559499999999</v>
      </c>
      <c r="G1021">
        <v>4755.40355</v>
      </c>
      <c r="H1021">
        <v>4792.7697200000002</v>
      </c>
      <c r="Q1021">
        <v>4544.9491600000001</v>
      </c>
      <c r="R1021">
        <v>4574.3124600000001</v>
      </c>
      <c r="S1021">
        <v>4600.9012300000004</v>
      </c>
      <c r="V1021">
        <v>4510.0093900000002</v>
      </c>
      <c r="W1021">
        <v>4476.4444000000003</v>
      </c>
      <c r="AB1021">
        <v>4638.0202399999998</v>
      </c>
      <c r="AC1021">
        <v>4639.0423300000002</v>
      </c>
      <c r="AD1021">
        <v>0</v>
      </c>
      <c r="AE1021">
        <f t="shared" si="140"/>
        <v>1019</v>
      </c>
      <c r="AF1021">
        <f t="shared" si="141"/>
        <v>1018</v>
      </c>
      <c r="AG1021">
        <f t="shared" si="135"/>
        <v>93.910839999999553</v>
      </c>
      <c r="AH1021">
        <f t="shared" si="136"/>
        <v>8819.2458695055157</v>
      </c>
      <c r="AI1021">
        <f t="shared" si="137"/>
        <v>19.052973351062366</v>
      </c>
      <c r="AJ1021">
        <f t="shared" si="138"/>
        <v>50.888191086935507</v>
      </c>
      <c r="AK1021">
        <f t="shared" si="139"/>
        <v>1036324</v>
      </c>
      <c r="AL1021">
        <f t="shared" si="142"/>
        <v>4640.4134599999998</v>
      </c>
      <c r="AM1021" t="str">
        <f t="shared" si="143"/>
        <v/>
      </c>
    </row>
    <row r="1022" spans="1:39" x14ac:dyDescent="0.55000000000000004">
      <c r="A1022">
        <v>1777653902</v>
      </c>
      <c r="B1022" t="s">
        <v>72</v>
      </c>
      <c r="C1022" t="s">
        <v>73</v>
      </c>
      <c r="D1022">
        <v>4638.72</v>
      </c>
      <c r="E1022">
        <v>4518.5928199999998</v>
      </c>
      <c r="F1022">
        <v>4596.0559499999999</v>
      </c>
      <c r="G1022">
        <v>4755.40355</v>
      </c>
      <c r="H1022">
        <v>4792.7697200000002</v>
      </c>
      <c r="Q1022">
        <v>4544.68156</v>
      </c>
      <c r="R1022">
        <v>4574.04486</v>
      </c>
      <c r="S1022">
        <v>4600.6336300000003</v>
      </c>
      <c r="V1022">
        <v>4509.74179</v>
      </c>
      <c r="W1022">
        <v>4476.1767900000004</v>
      </c>
      <c r="AB1022">
        <v>4636.5093900000002</v>
      </c>
      <c r="AC1022">
        <v>4637.7758599999997</v>
      </c>
      <c r="AD1022">
        <v>0</v>
      </c>
      <c r="AE1022">
        <f t="shared" si="140"/>
        <v>1020</v>
      </c>
      <c r="AF1022">
        <f t="shared" si="141"/>
        <v>1019</v>
      </c>
      <c r="AG1022">
        <f t="shared" si="135"/>
        <v>94.038440000000264</v>
      </c>
      <c r="AH1022">
        <f t="shared" si="136"/>
        <v>8843.228197633649</v>
      </c>
      <c r="AI1022">
        <f t="shared" si="137"/>
        <v>19.130742782104623</v>
      </c>
      <c r="AJ1022">
        <f t="shared" si="138"/>
        <v>51.165329668970422</v>
      </c>
      <c r="AK1022">
        <f t="shared" si="139"/>
        <v>1038361</v>
      </c>
      <c r="AL1022">
        <f t="shared" si="142"/>
        <v>4640.4134599999998</v>
      </c>
      <c r="AM1022" t="str">
        <f t="shared" si="143"/>
        <v/>
      </c>
    </row>
    <row r="1023" spans="1:39" x14ac:dyDescent="0.55000000000000004">
      <c r="A1023">
        <v>1777654802</v>
      </c>
      <c r="B1023" t="s">
        <v>72</v>
      </c>
      <c r="C1023" t="s">
        <v>73</v>
      </c>
      <c r="D1023">
        <v>4639.7299999999996</v>
      </c>
      <c r="E1023">
        <v>4518.5928199999998</v>
      </c>
      <c r="F1023">
        <v>4596.0559499999999</v>
      </c>
      <c r="G1023">
        <v>4755.40355</v>
      </c>
      <c r="H1023">
        <v>4792.7697200000002</v>
      </c>
      <c r="Q1023">
        <v>4544.4139599999999</v>
      </c>
      <c r="R1023">
        <v>4573.7772599999998</v>
      </c>
      <c r="S1023">
        <v>4600.3660300000001</v>
      </c>
      <c r="V1023">
        <v>4509.4741899999999</v>
      </c>
      <c r="W1023">
        <v>4475.9091900000003</v>
      </c>
      <c r="AB1023">
        <v>4634.7139999999999</v>
      </c>
      <c r="AC1023">
        <v>4636.2449299999998</v>
      </c>
      <c r="AD1023">
        <v>0</v>
      </c>
      <c r="AE1023">
        <f t="shared" si="140"/>
        <v>1021</v>
      </c>
      <c r="AF1023">
        <f t="shared" si="141"/>
        <v>1020</v>
      </c>
      <c r="AG1023">
        <f t="shared" si="135"/>
        <v>95.316039999999703</v>
      </c>
      <c r="AH1023">
        <f t="shared" si="136"/>
        <v>9085.1474812815432</v>
      </c>
      <c r="AI1023">
        <f t="shared" si="137"/>
        <v>19.921111077187984</v>
      </c>
      <c r="AJ1023">
        <f t="shared" si="138"/>
        <v>54.003023555086628</v>
      </c>
      <c r="AK1023">
        <f t="shared" si="139"/>
        <v>1040400</v>
      </c>
      <c r="AL1023">
        <f t="shared" si="142"/>
        <v>4640.4134599999998</v>
      </c>
      <c r="AM1023" t="str">
        <f t="shared" si="143"/>
        <v/>
      </c>
    </row>
    <row r="1024" spans="1:39" x14ac:dyDescent="0.55000000000000004">
      <c r="A1024">
        <v>1777655702</v>
      </c>
      <c r="B1024" t="s">
        <v>72</v>
      </c>
      <c r="C1024" t="s">
        <v>73</v>
      </c>
      <c r="D1024">
        <v>4631.67</v>
      </c>
      <c r="E1024">
        <v>4518.5928199999998</v>
      </c>
      <c r="F1024">
        <v>4596.0559499999999</v>
      </c>
      <c r="G1024">
        <v>4755.40355</v>
      </c>
      <c r="H1024">
        <v>4792.7697200000002</v>
      </c>
      <c r="Q1024">
        <v>4544.14635</v>
      </c>
      <c r="R1024">
        <v>4573.50965</v>
      </c>
      <c r="S1024">
        <v>4600.0984200000003</v>
      </c>
      <c r="V1024">
        <v>4509.20658</v>
      </c>
      <c r="W1024">
        <v>4475.6415900000002</v>
      </c>
      <c r="AB1024">
        <v>4632.5648799999999</v>
      </c>
      <c r="AC1024">
        <v>4634.4049100000002</v>
      </c>
      <c r="AD1024">
        <v>0</v>
      </c>
      <c r="AE1024">
        <f t="shared" si="140"/>
        <v>1022</v>
      </c>
      <c r="AF1024">
        <f t="shared" si="141"/>
        <v>1021</v>
      </c>
      <c r="AG1024">
        <f t="shared" si="135"/>
        <v>87.523650000000089</v>
      </c>
      <c r="AH1024">
        <f t="shared" si="136"/>
        <v>7660.3893093225151</v>
      </c>
      <c r="AI1024">
        <f t="shared" si="137"/>
        <v>15.423816395106853</v>
      </c>
      <c r="AJ1024">
        <f t="shared" si="138"/>
        <v>38.393331229138774</v>
      </c>
      <c r="AK1024">
        <f t="shared" si="139"/>
        <v>1042441</v>
      </c>
      <c r="AL1024">
        <f t="shared" si="142"/>
        <v>4640.4134599999998</v>
      </c>
      <c r="AM1024" t="str">
        <f t="shared" si="143"/>
        <v/>
      </c>
    </row>
    <row r="1025" spans="1:39" x14ac:dyDescent="0.55000000000000004">
      <c r="A1025">
        <v>1777656602</v>
      </c>
      <c r="B1025" t="s">
        <v>72</v>
      </c>
      <c r="C1025" t="s">
        <v>73</v>
      </c>
      <c r="D1025">
        <v>4628</v>
      </c>
      <c r="E1025">
        <v>4518.5928199999998</v>
      </c>
      <c r="F1025">
        <v>4596.0559499999999</v>
      </c>
      <c r="G1025">
        <v>4755.40355</v>
      </c>
      <c r="H1025">
        <v>4792.7697200000002</v>
      </c>
      <c r="Q1025">
        <v>4543.8787499999999</v>
      </c>
      <c r="R1025">
        <v>4573.2420499999998</v>
      </c>
      <c r="S1025">
        <v>4599.8308200000001</v>
      </c>
      <c r="V1025">
        <v>4508.9389799999999</v>
      </c>
      <c r="W1025">
        <v>4475.3739800000003</v>
      </c>
      <c r="AB1025">
        <v>4630.3063700000002</v>
      </c>
      <c r="AC1025">
        <v>4632.3556399999998</v>
      </c>
      <c r="AD1025">
        <v>0</v>
      </c>
      <c r="AE1025">
        <f t="shared" si="140"/>
        <v>1023</v>
      </c>
      <c r="AF1025">
        <f t="shared" si="141"/>
        <v>1022</v>
      </c>
      <c r="AG1025">
        <f t="shared" si="135"/>
        <v>84.121250000000146</v>
      </c>
      <c r="AH1025">
        <f t="shared" si="136"/>
        <v>7076.3847015625242</v>
      </c>
      <c r="AI1025">
        <f t="shared" si="137"/>
        <v>13.694076096775197</v>
      </c>
      <c r="AJ1025">
        <f t="shared" si="138"/>
        <v>32.762496118260962</v>
      </c>
      <c r="AK1025">
        <f t="shared" si="139"/>
        <v>1044484</v>
      </c>
      <c r="AL1025">
        <f t="shared" si="142"/>
        <v>4640.4134599999998</v>
      </c>
      <c r="AM1025" t="str">
        <f t="shared" si="143"/>
        <v/>
      </c>
    </row>
    <row r="1026" spans="1:39" x14ac:dyDescent="0.55000000000000004">
      <c r="A1026">
        <v>1777657502</v>
      </c>
      <c r="B1026" t="s">
        <v>72</v>
      </c>
      <c r="C1026" t="s">
        <v>73</v>
      </c>
      <c r="D1026">
        <v>4629.43</v>
      </c>
      <c r="E1026">
        <v>4518.5928199999998</v>
      </c>
      <c r="F1026">
        <v>4596.0559499999999</v>
      </c>
      <c r="G1026">
        <v>4755.40355</v>
      </c>
      <c r="H1026">
        <v>4792.7697200000002</v>
      </c>
      <c r="Q1026">
        <v>4543.61114</v>
      </c>
      <c r="R1026">
        <v>4572.97444</v>
      </c>
      <c r="S1026">
        <v>4599.5632100000003</v>
      </c>
      <c r="V1026">
        <v>4508.67137</v>
      </c>
      <c r="W1026">
        <v>4475.1063800000002</v>
      </c>
      <c r="AB1026">
        <v>4628.0933400000004</v>
      </c>
      <c r="AC1026">
        <v>4630.2244899999996</v>
      </c>
      <c r="AD1026">
        <v>0</v>
      </c>
      <c r="AE1026">
        <f t="shared" si="140"/>
        <v>1024</v>
      </c>
      <c r="AF1026">
        <f t="shared" si="141"/>
        <v>1023</v>
      </c>
      <c r="AG1026">
        <f t="shared" si="135"/>
        <v>85.818860000000313</v>
      </c>
      <c r="AH1026">
        <f t="shared" si="136"/>
        <v>7364.8767316996536</v>
      </c>
      <c r="AI1026">
        <f t="shared" si="137"/>
        <v>14.539979960271031</v>
      </c>
      <c r="AJ1026">
        <f t="shared" si="138"/>
        <v>35.488290315751463</v>
      </c>
      <c r="AK1026">
        <f t="shared" si="139"/>
        <v>1046529</v>
      </c>
      <c r="AL1026">
        <f t="shared" si="142"/>
        <v>4640.4134599999998</v>
      </c>
      <c r="AM1026" t="str">
        <f t="shared" si="143"/>
        <v/>
      </c>
    </row>
    <row r="1027" spans="1:39" x14ac:dyDescent="0.55000000000000004">
      <c r="A1027">
        <v>1777658402</v>
      </c>
      <c r="B1027" t="s">
        <v>72</v>
      </c>
      <c r="C1027" t="s">
        <v>73</v>
      </c>
      <c r="D1027">
        <v>4615.72</v>
      </c>
      <c r="E1027">
        <v>4518.5928199999998</v>
      </c>
      <c r="F1027">
        <v>4596.0559499999999</v>
      </c>
      <c r="G1027">
        <v>4755.40355</v>
      </c>
      <c r="H1027">
        <v>4792.7697200000002</v>
      </c>
      <c r="Q1027">
        <v>4543.3435399999998</v>
      </c>
      <c r="R1027">
        <v>4572.7068399999998</v>
      </c>
      <c r="S1027">
        <v>4599.2956100000001</v>
      </c>
      <c r="V1027">
        <v>4508.4037699999999</v>
      </c>
      <c r="W1027">
        <v>4474.8387700000003</v>
      </c>
      <c r="AB1027">
        <v>4625.9399199999998</v>
      </c>
      <c r="AC1027">
        <v>4628.0822099999996</v>
      </c>
      <c r="AD1027">
        <v>0</v>
      </c>
      <c r="AE1027">
        <f t="shared" si="140"/>
        <v>1025</v>
      </c>
      <c r="AF1027">
        <f t="shared" si="141"/>
        <v>1024</v>
      </c>
      <c r="AG1027">
        <f t="shared" ref="AG1027:AG1090" si="144">D1027-Q1027</f>
        <v>72.376460000000407</v>
      </c>
      <c r="AH1027">
        <f t="shared" ref="AH1027:AH1090" si="145">AG1027^2</f>
        <v>5238.3519621316591</v>
      </c>
      <c r="AI1027">
        <f t="shared" ref="AI1027:AI1090" si="146">(AG1027/STDEV($AG$3:$AG$1137))^3</f>
        <v>8.7218295917921935</v>
      </c>
      <c r="AJ1027">
        <f t="shared" ref="AJ1027:AJ1090" si="147">(AG1027/STDEV($AG$3:$AG$1137))^4</f>
        <v>17.95326588754244</v>
      </c>
      <c r="AK1027">
        <f t="shared" ref="AK1027:AK1090" si="148">AF1027^2</f>
        <v>1048576</v>
      </c>
      <c r="AL1027">
        <f t="shared" si="142"/>
        <v>4640.4134599999998</v>
      </c>
      <c r="AM1027" t="str">
        <f t="shared" si="143"/>
        <v/>
      </c>
    </row>
    <row r="1028" spans="1:39" x14ac:dyDescent="0.55000000000000004">
      <c r="A1028">
        <v>1777659302</v>
      </c>
      <c r="B1028" t="s">
        <v>72</v>
      </c>
      <c r="C1028" t="s">
        <v>73</v>
      </c>
      <c r="D1028">
        <v>4623.4799999999996</v>
      </c>
      <c r="E1028">
        <v>4518.5928199999998</v>
      </c>
      <c r="F1028">
        <v>4596.0559499999999</v>
      </c>
      <c r="G1028">
        <v>4755.40355</v>
      </c>
      <c r="H1028">
        <v>4792.7697200000002</v>
      </c>
      <c r="Q1028">
        <v>4543.0759399999997</v>
      </c>
      <c r="R1028">
        <v>4572.43923</v>
      </c>
      <c r="S1028">
        <v>4599.02801</v>
      </c>
      <c r="V1028">
        <v>4508.1361699999998</v>
      </c>
      <c r="W1028">
        <v>4474.5711700000002</v>
      </c>
      <c r="AB1028">
        <v>4624.1975000000002</v>
      </c>
      <c r="AC1028">
        <v>4626.1398499999996</v>
      </c>
      <c r="AD1028">
        <v>0</v>
      </c>
      <c r="AE1028">
        <f t="shared" ref="AE1028:AE1091" si="149">AE1027+1</f>
        <v>1026</v>
      </c>
      <c r="AF1028">
        <f t="shared" ref="AF1028:AF1091" si="150">AF1027+1</f>
        <v>1025</v>
      </c>
      <c r="AG1028">
        <f t="shared" si="144"/>
        <v>80.404059999999845</v>
      </c>
      <c r="AH1028">
        <f t="shared" si="145"/>
        <v>6464.8128644835751</v>
      </c>
      <c r="AI1028">
        <f t="shared" si="146"/>
        <v>11.957751432711982</v>
      </c>
      <c r="AJ1028">
        <f t="shared" si="147"/>
        <v>27.344250791883102</v>
      </c>
      <c r="AK1028">
        <f t="shared" si="148"/>
        <v>1050625</v>
      </c>
      <c r="AL1028">
        <f t="shared" ref="AL1028:AL1091" si="151">IF(AD1028=1,AB1028,IF(AL1027&lt;&gt;"",AL1027,""))</f>
        <v>4640.4134599999998</v>
      </c>
      <c r="AM1028" t="str">
        <f t="shared" ref="AM1028:AM1091" si="152">IF(AND(AD1028=1,AL1027&lt;&gt;""),ABS(AB1028-AL1027),"")</f>
        <v/>
      </c>
    </row>
    <row r="1029" spans="1:39" x14ac:dyDescent="0.55000000000000004">
      <c r="A1029">
        <v>1777660202</v>
      </c>
      <c r="B1029" t="s">
        <v>72</v>
      </c>
      <c r="C1029" t="s">
        <v>73</v>
      </c>
      <c r="D1029">
        <v>4622.32</v>
      </c>
      <c r="E1029">
        <v>4518.5928199999998</v>
      </c>
      <c r="F1029">
        <v>4596.0559499999999</v>
      </c>
      <c r="G1029">
        <v>4755.40355</v>
      </c>
      <c r="H1029">
        <v>4792.7697200000002</v>
      </c>
      <c r="Q1029">
        <v>4542.8083299999998</v>
      </c>
      <c r="R1029">
        <v>4572.1716299999998</v>
      </c>
      <c r="S1029">
        <v>4598.7604000000001</v>
      </c>
      <c r="V1029">
        <v>4507.8685599999999</v>
      </c>
      <c r="W1029">
        <v>4474.30357</v>
      </c>
      <c r="AB1029">
        <v>4622.5844200000001</v>
      </c>
      <c r="AC1029">
        <v>4624.3621400000002</v>
      </c>
      <c r="AD1029">
        <v>0</v>
      </c>
      <c r="AE1029">
        <f t="shared" si="149"/>
        <v>1027</v>
      </c>
      <c r="AF1029">
        <f t="shared" si="150"/>
        <v>1026</v>
      </c>
      <c r="AG1029">
        <f t="shared" si="144"/>
        <v>79.511669999999867</v>
      </c>
      <c r="AH1029">
        <f t="shared" si="145"/>
        <v>6322.1056661888788</v>
      </c>
      <c r="AI1029">
        <f t="shared" si="146"/>
        <v>11.564003378396949</v>
      </c>
      <c r="AJ1029">
        <f t="shared" si="147"/>
        <v>26.15035645895939</v>
      </c>
      <c r="AK1029">
        <f t="shared" si="148"/>
        <v>1052676</v>
      </c>
      <c r="AL1029">
        <f t="shared" si="151"/>
        <v>4640.4134599999998</v>
      </c>
      <c r="AM1029" t="str">
        <f t="shared" si="152"/>
        <v/>
      </c>
    </row>
    <row r="1030" spans="1:39" x14ac:dyDescent="0.55000000000000004">
      <c r="A1030">
        <v>1777661102</v>
      </c>
      <c r="B1030" t="s">
        <v>72</v>
      </c>
      <c r="C1030" t="s">
        <v>73</v>
      </c>
      <c r="D1030">
        <v>4624.3500000000004</v>
      </c>
      <c r="E1030">
        <v>4518.5928199999998</v>
      </c>
      <c r="F1030">
        <v>4596.0559499999999</v>
      </c>
      <c r="G1030">
        <v>4755.40355</v>
      </c>
      <c r="H1030">
        <v>4792.7697200000002</v>
      </c>
      <c r="Q1030">
        <v>4542.5407299999997</v>
      </c>
      <c r="R1030">
        <v>4571.9040299999997</v>
      </c>
      <c r="S1030">
        <v>4598.4928</v>
      </c>
      <c r="V1030">
        <v>4507.6009599999998</v>
      </c>
      <c r="W1030">
        <v>4474.0359600000002</v>
      </c>
      <c r="AB1030">
        <v>4621.0267700000004</v>
      </c>
      <c r="AC1030">
        <v>4622.69445</v>
      </c>
      <c r="AD1030">
        <v>0</v>
      </c>
      <c r="AE1030">
        <f t="shared" si="149"/>
        <v>1028</v>
      </c>
      <c r="AF1030">
        <f t="shared" si="150"/>
        <v>1027</v>
      </c>
      <c r="AG1030">
        <f t="shared" si="144"/>
        <v>81.809270000000652</v>
      </c>
      <c r="AH1030">
        <f t="shared" si="145"/>
        <v>6692.7566579330069</v>
      </c>
      <c r="AI1030">
        <f t="shared" si="146"/>
        <v>12.595724026633293</v>
      </c>
      <c r="AJ1030">
        <f t="shared" si="147"/>
        <v>29.30651534011994</v>
      </c>
      <c r="AK1030">
        <f t="shared" si="148"/>
        <v>1054729</v>
      </c>
      <c r="AL1030">
        <f t="shared" si="151"/>
        <v>4640.4134599999998</v>
      </c>
      <c r="AM1030" t="str">
        <f t="shared" si="152"/>
        <v/>
      </c>
    </row>
    <row r="1031" spans="1:39" x14ac:dyDescent="0.55000000000000004">
      <c r="A1031">
        <v>1777662002</v>
      </c>
      <c r="B1031" t="s">
        <v>72</v>
      </c>
      <c r="C1031" t="s">
        <v>73</v>
      </c>
      <c r="D1031">
        <v>4626.3</v>
      </c>
      <c r="E1031">
        <v>4518.5928199999998</v>
      </c>
      <c r="F1031">
        <v>4596.0559499999999</v>
      </c>
      <c r="G1031">
        <v>4755.40355</v>
      </c>
      <c r="H1031">
        <v>4792.7697200000002</v>
      </c>
      <c r="Q1031">
        <v>4542.2731199999998</v>
      </c>
      <c r="R1031">
        <v>4571.6364199999998</v>
      </c>
      <c r="S1031">
        <v>4598.2251900000001</v>
      </c>
      <c r="V1031">
        <v>4507.3333499999999</v>
      </c>
      <c r="W1031">
        <v>4473.76836</v>
      </c>
      <c r="AB1031">
        <v>4619.3873100000001</v>
      </c>
      <c r="AC1031">
        <v>4621.0408799999996</v>
      </c>
      <c r="AD1031">
        <v>0</v>
      </c>
      <c r="AE1031">
        <f t="shared" si="149"/>
        <v>1029</v>
      </c>
      <c r="AF1031">
        <f t="shared" si="150"/>
        <v>1028</v>
      </c>
      <c r="AG1031">
        <f t="shared" si="144"/>
        <v>84.026880000000347</v>
      </c>
      <c r="AH1031">
        <f t="shared" si="145"/>
        <v>7060.516562534458</v>
      </c>
      <c r="AI1031">
        <f t="shared" si="146"/>
        <v>13.648040377596192</v>
      </c>
      <c r="AJ1031">
        <f t="shared" si="147"/>
        <v>32.61572711856725</v>
      </c>
      <c r="AK1031">
        <f t="shared" si="148"/>
        <v>1056784</v>
      </c>
      <c r="AL1031">
        <f t="shared" si="151"/>
        <v>4640.4134599999998</v>
      </c>
      <c r="AM1031" t="str">
        <f t="shared" si="152"/>
        <v/>
      </c>
    </row>
    <row r="1032" spans="1:39" x14ac:dyDescent="0.55000000000000004">
      <c r="A1032">
        <v>1777662902</v>
      </c>
      <c r="B1032" t="s">
        <v>72</v>
      </c>
      <c r="C1032" t="s">
        <v>73</v>
      </c>
      <c r="D1032">
        <v>4624.3999999999996</v>
      </c>
      <c r="E1032">
        <v>4518.5928199999998</v>
      </c>
      <c r="F1032">
        <v>4596.0559499999999</v>
      </c>
      <c r="G1032">
        <v>4755.40355</v>
      </c>
      <c r="H1032">
        <v>4792.7697200000002</v>
      </c>
      <c r="Q1032">
        <v>4542.0055199999997</v>
      </c>
      <c r="R1032">
        <v>4571.3688199999997</v>
      </c>
      <c r="S1032">
        <v>4597.95759</v>
      </c>
      <c r="V1032">
        <v>4507.0657499999998</v>
      </c>
      <c r="W1032">
        <v>4473.5007500000002</v>
      </c>
      <c r="AB1032">
        <v>4617.6176400000004</v>
      </c>
      <c r="AC1032">
        <v>4619.3292600000004</v>
      </c>
      <c r="AD1032">
        <v>0</v>
      </c>
      <c r="AE1032">
        <f t="shared" si="149"/>
        <v>1030</v>
      </c>
      <c r="AF1032">
        <f t="shared" si="150"/>
        <v>1029</v>
      </c>
      <c r="AG1032">
        <f t="shared" si="144"/>
        <v>82.39447999999993</v>
      </c>
      <c r="AH1032">
        <f t="shared" si="145"/>
        <v>6788.8503344703886</v>
      </c>
      <c r="AI1032">
        <f t="shared" si="146"/>
        <v>12.867966929864489</v>
      </c>
      <c r="AJ1032">
        <f t="shared" si="147"/>
        <v>30.154114631833455</v>
      </c>
      <c r="AK1032">
        <f t="shared" si="148"/>
        <v>1058841</v>
      </c>
      <c r="AL1032">
        <f t="shared" si="151"/>
        <v>4640.4134599999998</v>
      </c>
      <c r="AM1032" t="str">
        <f t="shared" si="152"/>
        <v/>
      </c>
    </row>
    <row r="1033" spans="1:39" x14ac:dyDescent="0.55000000000000004">
      <c r="A1033">
        <v>1777663802</v>
      </c>
      <c r="B1033" t="s">
        <v>72</v>
      </c>
      <c r="C1033" t="s">
        <v>73</v>
      </c>
      <c r="D1033">
        <v>4611.78</v>
      </c>
      <c r="E1033">
        <v>4518.5928199999998</v>
      </c>
      <c r="F1033">
        <v>4596.0559499999999</v>
      </c>
      <c r="G1033">
        <v>4755.40355</v>
      </c>
      <c r="H1033">
        <v>4792.7697200000002</v>
      </c>
      <c r="Q1033">
        <v>4541.7379199999996</v>
      </c>
      <c r="R1033">
        <v>4571.1012099999998</v>
      </c>
      <c r="S1033">
        <v>4597.6899899999999</v>
      </c>
      <c r="V1033">
        <v>4506.7981499999996</v>
      </c>
      <c r="W1033">
        <v>4473.23315</v>
      </c>
      <c r="AB1033">
        <v>4615.85239</v>
      </c>
      <c r="AC1033">
        <v>4617.5908200000003</v>
      </c>
      <c r="AD1033">
        <v>0</v>
      </c>
      <c r="AE1033">
        <f t="shared" si="149"/>
        <v>1031</v>
      </c>
      <c r="AF1033">
        <f t="shared" si="150"/>
        <v>1030</v>
      </c>
      <c r="AG1033">
        <f t="shared" si="144"/>
        <v>70.042080000000169</v>
      </c>
      <c r="AH1033">
        <f t="shared" si="145"/>
        <v>4905.8929707264233</v>
      </c>
      <c r="AI1033">
        <f t="shared" si="146"/>
        <v>7.9048327991408804</v>
      </c>
      <c r="AJ1033">
        <f t="shared" si="147"/>
        <v>15.746725289791886</v>
      </c>
      <c r="AK1033">
        <f t="shared" si="148"/>
        <v>1060900</v>
      </c>
      <c r="AL1033">
        <f t="shared" si="151"/>
        <v>4640.4134599999998</v>
      </c>
      <c r="AM1033" t="str">
        <f t="shared" si="152"/>
        <v/>
      </c>
    </row>
    <row r="1034" spans="1:39" x14ac:dyDescent="0.55000000000000004">
      <c r="A1034">
        <v>1777664702</v>
      </c>
      <c r="B1034" t="s">
        <v>72</v>
      </c>
      <c r="C1034" t="s">
        <v>73</v>
      </c>
      <c r="D1034">
        <v>4610.0600000000004</v>
      </c>
      <c r="E1034">
        <v>4518.5928199999998</v>
      </c>
      <c r="F1034">
        <v>4596.0559499999999</v>
      </c>
      <c r="G1034">
        <v>4755.40355</v>
      </c>
      <c r="H1034">
        <v>4792.7697200000002</v>
      </c>
      <c r="Q1034">
        <v>4541.4703099999997</v>
      </c>
      <c r="R1034">
        <v>4570.8336099999997</v>
      </c>
      <c r="S1034">
        <v>4597.42238</v>
      </c>
      <c r="V1034">
        <v>4506.5305399999997</v>
      </c>
      <c r="W1034">
        <v>4472.9655400000001</v>
      </c>
      <c r="AB1034">
        <v>4614.6063800000002</v>
      </c>
      <c r="AC1034">
        <v>4616.0986000000003</v>
      </c>
      <c r="AD1034">
        <v>0</v>
      </c>
      <c r="AE1034">
        <f t="shared" si="149"/>
        <v>1032</v>
      </c>
      <c r="AF1034">
        <f t="shared" si="150"/>
        <v>1031</v>
      </c>
      <c r="AG1034">
        <f t="shared" si="144"/>
        <v>68.589690000000701</v>
      </c>
      <c r="AH1034">
        <f t="shared" si="145"/>
        <v>4704.5455742961958</v>
      </c>
      <c r="AI1034">
        <f t="shared" si="146"/>
        <v>7.4232161150408791</v>
      </c>
      <c r="AJ1034">
        <f t="shared" si="147"/>
        <v>14.480697214082019</v>
      </c>
      <c r="AK1034">
        <f t="shared" si="148"/>
        <v>1062961</v>
      </c>
      <c r="AL1034">
        <f t="shared" si="151"/>
        <v>4640.4134599999998</v>
      </c>
      <c r="AM1034" t="str">
        <f t="shared" si="152"/>
        <v/>
      </c>
    </row>
    <row r="1035" spans="1:39" x14ac:dyDescent="0.55000000000000004">
      <c r="A1035">
        <v>1777665602</v>
      </c>
      <c r="B1035" t="s">
        <v>72</v>
      </c>
      <c r="C1035" t="s">
        <v>73</v>
      </c>
      <c r="D1035">
        <v>4611.41</v>
      </c>
      <c r="E1035">
        <v>4518.5928199999998</v>
      </c>
      <c r="F1035">
        <v>4596.0559499999999</v>
      </c>
      <c r="G1035">
        <v>4755.40355</v>
      </c>
      <c r="H1035">
        <v>4792.7697200000002</v>
      </c>
      <c r="Q1035">
        <v>4541.2027099999996</v>
      </c>
      <c r="R1035">
        <v>4570.5660099999996</v>
      </c>
      <c r="S1035">
        <v>4597.1547799999998</v>
      </c>
      <c r="V1035">
        <v>4506.2629399999996</v>
      </c>
      <c r="W1035">
        <v>4472.69794</v>
      </c>
      <c r="AB1035">
        <v>4614.0592299999998</v>
      </c>
      <c r="AC1035">
        <v>4615.0789199999999</v>
      </c>
      <c r="AD1035">
        <v>0</v>
      </c>
      <c r="AE1035">
        <f t="shared" si="149"/>
        <v>1033</v>
      </c>
      <c r="AF1035">
        <f t="shared" si="150"/>
        <v>1032</v>
      </c>
      <c r="AG1035">
        <f t="shared" si="144"/>
        <v>70.207290000000285</v>
      </c>
      <c r="AH1035">
        <f t="shared" si="145"/>
        <v>4929.0635691441403</v>
      </c>
      <c r="AI1035">
        <f t="shared" si="146"/>
        <v>7.9609008189519708</v>
      </c>
      <c r="AJ1035">
        <f t="shared" si="147"/>
        <v>15.895820539966467</v>
      </c>
      <c r="AK1035">
        <f t="shared" si="148"/>
        <v>1065024</v>
      </c>
      <c r="AL1035">
        <f t="shared" si="151"/>
        <v>4640.4134599999998</v>
      </c>
      <c r="AM1035" t="str">
        <f t="shared" si="152"/>
        <v/>
      </c>
    </row>
    <row r="1036" spans="1:39" x14ac:dyDescent="0.55000000000000004">
      <c r="A1036">
        <v>1777666502</v>
      </c>
      <c r="B1036" t="s">
        <v>72</v>
      </c>
      <c r="C1036" t="s">
        <v>73</v>
      </c>
      <c r="D1036">
        <v>4613.3</v>
      </c>
      <c r="E1036">
        <v>4518.5928199999998</v>
      </c>
      <c r="F1036">
        <v>4596.0559499999999</v>
      </c>
      <c r="G1036">
        <v>4755.40355</v>
      </c>
      <c r="H1036">
        <v>4792.7697200000002</v>
      </c>
      <c r="Q1036">
        <v>4540.9350999999997</v>
      </c>
      <c r="R1036">
        <v>4570.2983999999997</v>
      </c>
      <c r="S1036">
        <v>4596.88717</v>
      </c>
      <c r="V1036">
        <v>4505.9953299999997</v>
      </c>
      <c r="W1036">
        <v>4472.4303399999999</v>
      </c>
      <c r="AB1036">
        <v>4614.27441</v>
      </c>
      <c r="AC1036">
        <v>4614.6766600000001</v>
      </c>
      <c r="AD1036">
        <v>0</v>
      </c>
      <c r="AE1036">
        <f t="shared" si="149"/>
        <v>1034</v>
      </c>
      <c r="AF1036">
        <f t="shared" si="150"/>
        <v>1033</v>
      </c>
      <c r="AG1036">
        <f t="shared" si="144"/>
        <v>72.364900000000489</v>
      </c>
      <c r="AH1036">
        <f t="shared" si="145"/>
        <v>5236.6787520100706</v>
      </c>
      <c r="AI1036">
        <f t="shared" si="146"/>
        <v>8.7176510958877973</v>
      </c>
      <c r="AJ1036">
        <f t="shared" si="147"/>
        <v>17.941798621172033</v>
      </c>
      <c r="AK1036">
        <f t="shared" si="148"/>
        <v>1067089</v>
      </c>
      <c r="AL1036">
        <f t="shared" si="151"/>
        <v>4640.4134599999998</v>
      </c>
      <c r="AM1036" t="str">
        <f t="shared" si="152"/>
        <v/>
      </c>
    </row>
    <row r="1037" spans="1:39" x14ac:dyDescent="0.55000000000000004">
      <c r="A1037">
        <v>1777667402</v>
      </c>
      <c r="B1037" t="s">
        <v>72</v>
      </c>
      <c r="C1037" t="s">
        <v>73</v>
      </c>
      <c r="D1037">
        <v>4613.7700000000004</v>
      </c>
      <c r="E1037">
        <v>4518.5928199999998</v>
      </c>
      <c r="F1037">
        <v>4596.0559499999999</v>
      </c>
      <c r="G1037">
        <v>4755.40355</v>
      </c>
      <c r="H1037">
        <v>4792.7697200000002</v>
      </c>
      <c r="Q1037">
        <v>4540.6674999999996</v>
      </c>
      <c r="R1037">
        <v>4570.0308000000005</v>
      </c>
      <c r="S1037">
        <v>4596.6195699999998</v>
      </c>
      <c r="V1037">
        <v>4505.7277299999996</v>
      </c>
      <c r="W1037">
        <v>4472.16273</v>
      </c>
      <c r="AB1037">
        <v>4615.1934300000003</v>
      </c>
      <c r="AC1037">
        <v>4614.93505</v>
      </c>
      <c r="AD1037">
        <v>1</v>
      </c>
      <c r="AE1037">
        <f t="shared" si="149"/>
        <v>1035</v>
      </c>
      <c r="AF1037">
        <f t="shared" si="150"/>
        <v>1034</v>
      </c>
      <c r="AG1037">
        <f t="shared" si="144"/>
        <v>73.102500000000873</v>
      </c>
      <c r="AH1037">
        <f t="shared" si="145"/>
        <v>5343.9755062501281</v>
      </c>
      <c r="AI1037">
        <f t="shared" si="146"/>
        <v>8.986948911720976</v>
      </c>
      <c r="AJ1037">
        <f t="shared" si="147"/>
        <v>18.68456668169609</v>
      </c>
      <c r="AK1037">
        <f t="shared" si="148"/>
        <v>1069156</v>
      </c>
      <c r="AL1037">
        <f t="shared" si="151"/>
        <v>4615.1934300000003</v>
      </c>
      <c r="AM1037">
        <f t="shared" si="152"/>
        <v>25.220029999999497</v>
      </c>
    </row>
    <row r="1038" spans="1:39" x14ac:dyDescent="0.55000000000000004">
      <c r="A1038">
        <v>1777668302</v>
      </c>
      <c r="B1038" t="s">
        <v>72</v>
      </c>
      <c r="C1038" t="s">
        <v>73</v>
      </c>
      <c r="D1038">
        <v>4613.9799999999996</v>
      </c>
      <c r="E1038">
        <v>4518.5928199999998</v>
      </c>
      <c r="F1038">
        <v>4596.0559499999999</v>
      </c>
      <c r="G1038">
        <v>4755.40355</v>
      </c>
      <c r="H1038">
        <v>4792.7697200000002</v>
      </c>
      <c r="Q1038">
        <v>4540.3998899999997</v>
      </c>
      <c r="R1038">
        <v>4569.7631899999997</v>
      </c>
      <c r="S1038">
        <v>4596.35196</v>
      </c>
      <c r="V1038">
        <v>4505.4601199999997</v>
      </c>
      <c r="W1038">
        <v>4471.8951299999999</v>
      </c>
      <c r="AB1038">
        <v>4616.6745499999997</v>
      </c>
      <c r="AC1038">
        <v>4615.8047999999999</v>
      </c>
      <c r="AD1038">
        <v>0</v>
      </c>
      <c r="AE1038">
        <f t="shared" si="149"/>
        <v>1036</v>
      </c>
      <c r="AF1038">
        <f t="shared" si="150"/>
        <v>1035</v>
      </c>
      <c r="AG1038">
        <f t="shared" si="144"/>
        <v>73.580109999999877</v>
      </c>
      <c r="AH1038">
        <f t="shared" si="145"/>
        <v>5414.0325876120814</v>
      </c>
      <c r="AI1038">
        <f t="shared" si="146"/>
        <v>9.1642490408666273</v>
      </c>
      <c r="AJ1038">
        <f t="shared" si="147"/>
        <v>19.177670107321926</v>
      </c>
      <c r="AK1038">
        <f t="shared" si="148"/>
        <v>1071225</v>
      </c>
      <c r="AL1038">
        <f t="shared" si="151"/>
        <v>4615.1934300000003</v>
      </c>
      <c r="AM1038" t="str">
        <f t="shared" si="152"/>
        <v/>
      </c>
    </row>
    <row r="1039" spans="1:39" x14ac:dyDescent="0.55000000000000004">
      <c r="A1039">
        <v>1777845602</v>
      </c>
      <c r="B1039" t="s">
        <v>72</v>
      </c>
      <c r="C1039" t="s">
        <v>73</v>
      </c>
      <c r="D1039">
        <v>4623.1099999999997</v>
      </c>
      <c r="E1039">
        <v>4518.5928199999998</v>
      </c>
      <c r="F1039">
        <v>4596.0559499999999</v>
      </c>
      <c r="G1039">
        <v>4755.40355</v>
      </c>
      <c r="H1039">
        <v>4792.7697200000002</v>
      </c>
      <c r="Q1039">
        <v>4540.1322899999996</v>
      </c>
      <c r="R1039">
        <v>4569.4955900000004</v>
      </c>
      <c r="S1039">
        <v>4596.0843599999998</v>
      </c>
      <c r="V1039">
        <v>4505.1925199999996</v>
      </c>
      <c r="W1039">
        <v>4471.62752</v>
      </c>
      <c r="AB1039">
        <v>4618.4714899999999</v>
      </c>
      <c r="AC1039">
        <v>4617.1381499999998</v>
      </c>
      <c r="AD1039">
        <v>0</v>
      </c>
      <c r="AE1039">
        <f t="shared" si="149"/>
        <v>1037</v>
      </c>
      <c r="AF1039">
        <f t="shared" si="150"/>
        <v>1036</v>
      </c>
      <c r="AG1039">
        <f t="shared" si="144"/>
        <v>82.977710000000116</v>
      </c>
      <c r="AH1039">
        <f t="shared" si="145"/>
        <v>6885.3003568441191</v>
      </c>
      <c r="AI1039">
        <f t="shared" si="146"/>
        <v>13.143163780139609</v>
      </c>
      <c r="AJ1039">
        <f t="shared" si="147"/>
        <v>31.017007355770957</v>
      </c>
      <c r="AK1039">
        <f t="shared" si="148"/>
        <v>1073296</v>
      </c>
      <c r="AL1039">
        <f t="shared" si="151"/>
        <v>4615.1934300000003</v>
      </c>
      <c r="AM1039" t="str">
        <f t="shared" si="152"/>
        <v/>
      </c>
    </row>
    <row r="1040" spans="1:39" x14ac:dyDescent="0.55000000000000004">
      <c r="A1040">
        <v>1777846502</v>
      </c>
      <c r="B1040" t="s">
        <v>72</v>
      </c>
      <c r="C1040" t="s">
        <v>73</v>
      </c>
      <c r="D1040">
        <v>4620.91</v>
      </c>
      <c r="E1040">
        <v>4518.5928199999998</v>
      </c>
      <c r="F1040">
        <v>4596.0559499999999</v>
      </c>
      <c r="G1040">
        <v>4755.40355</v>
      </c>
      <c r="H1040">
        <v>4792.7697200000002</v>
      </c>
      <c r="Q1040">
        <v>4539.8646900000003</v>
      </c>
      <c r="R1040">
        <v>4569.2279900000003</v>
      </c>
      <c r="S1040">
        <v>4595.8167599999997</v>
      </c>
      <c r="V1040">
        <v>4504.9249200000004</v>
      </c>
      <c r="W1040">
        <v>4471.3599199999999</v>
      </c>
      <c r="AB1040">
        <v>4619.9576800000004</v>
      </c>
      <c r="AC1040">
        <v>4618.5479100000002</v>
      </c>
      <c r="AD1040">
        <v>0</v>
      </c>
      <c r="AE1040">
        <f t="shared" si="149"/>
        <v>1038</v>
      </c>
      <c r="AF1040">
        <f t="shared" si="150"/>
        <v>1037</v>
      </c>
      <c r="AG1040">
        <f t="shared" si="144"/>
        <v>81.045309999999517</v>
      </c>
      <c r="AH1040">
        <f t="shared" si="145"/>
        <v>6568.3422729960221</v>
      </c>
      <c r="AI1040">
        <f t="shared" si="146"/>
        <v>12.246140783304808</v>
      </c>
      <c r="AJ1040">
        <f t="shared" si="147"/>
        <v>28.227061129913505</v>
      </c>
      <c r="AK1040">
        <f t="shared" si="148"/>
        <v>1075369</v>
      </c>
      <c r="AL1040">
        <f t="shared" si="151"/>
        <v>4615.1934300000003</v>
      </c>
      <c r="AM1040" t="str">
        <f t="shared" si="152"/>
        <v/>
      </c>
    </row>
    <row r="1041" spans="1:39" x14ac:dyDescent="0.55000000000000004">
      <c r="A1041">
        <v>1777847402</v>
      </c>
      <c r="B1041" t="s">
        <v>72</v>
      </c>
      <c r="C1041" t="s">
        <v>73</v>
      </c>
      <c r="D1041">
        <v>4628.2</v>
      </c>
      <c r="E1041">
        <v>4518.5928199999998</v>
      </c>
      <c r="F1041">
        <v>4596.0559499999999</v>
      </c>
      <c r="G1041">
        <v>4755.40355</v>
      </c>
      <c r="H1041">
        <v>4792.7697200000002</v>
      </c>
      <c r="Q1041">
        <v>4539.5970799999996</v>
      </c>
      <c r="R1041">
        <v>4568.9603800000004</v>
      </c>
      <c r="S1041">
        <v>4595.5491499999998</v>
      </c>
      <c r="V1041">
        <v>4504.6573099999996</v>
      </c>
      <c r="W1041">
        <v>4471.0923199999997</v>
      </c>
      <c r="AB1041">
        <v>4620.8297300000004</v>
      </c>
      <c r="AC1041">
        <v>4619.6888200000003</v>
      </c>
      <c r="AD1041">
        <v>0</v>
      </c>
      <c r="AE1041">
        <f t="shared" si="149"/>
        <v>1039</v>
      </c>
      <c r="AF1041">
        <f t="shared" si="150"/>
        <v>1038</v>
      </c>
      <c r="AG1041">
        <f t="shared" si="144"/>
        <v>88.602920000000267</v>
      </c>
      <c r="AH1041">
        <f t="shared" si="145"/>
        <v>7850.477432526447</v>
      </c>
      <c r="AI1041">
        <f t="shared" si="146"/>
        <v>16.00146289210954</v>
      </c>
      <c r="AJ1041">
        <f t="shared" si="147"/>
        <v>40.322388681031683</v>
      </c>
      <c r="AK1041">
        <f t="shared" si="148"/>
        <v>1077444</v>
      </c>
      <c r="AL1041">
        <f t="shared" si="151"/>
        <v>4615.1934300000003</v>
      </c>
      <c r="AM1041" t="str">
        <f t="shared" si="152"/>
        <v/>
      </c>
    </row>
    <row r="1042" spans="1:39" x14ac:dyDescent="0.55000000000000004">
      <c r="A1042">
        <v>1777848302</v>
      </c>
      <c r="B1042" t="s">
        <v>72</v>
      </c>
      <c r="C1042" t="s">
        <v>73</v>
      </c>
      <c r="D1042">
        <v>4618.95</v>
      </c>
      <c r="E1042">
        <v>4518.5928199999998</v>
      </c>
      <c r="F1042">
        <v>4596.0559499999999</v>
      </c>
      <c r="G1042">
        <v>4755.40355</v>
      </c>
      <c r="H1042">
        <v>4792.7697200000002</v>
      </c>
      <c r="Q1042">
        <v>4539.3294800000003</v>
      </c>
      <c r="R1042">
        <v>4568.6927800000003</v>
      </c>
      <c r="S1042">
        <v>4595.2815499999997</v>
      </c>
      <c r="V1042">
        <v>4504.3897100000004</v>
      </c>
      <c r="W1042">
        <v>4470.8247099999999</v>
      </c>
      <c r="AB1042">
        <v>4620.6126700000004</v>
      </c>
      <c r="AC1042">
        <v>4620.15074</v>
      </c>
      <c r="AD1042">
        <v>0</v>
      </c>
      <c r="AE1042">
        <f t="shared" si="149"/>
        <v>1040</v>
      </c>
      <c r="AF1042">
        <f t="shared" si="150"/>
        <v>1039</v>
      </c>
      <c r="AG1042">
        <f t="shared" si="144"/>
        <v>79.620519999999487</v>
      </c>
      <c r="AH1042">
        <f t="shared" si="145"/>
        <v>6339.4272050703185</v>
      </c>
      <c r="AI1042">
        <f t="shared" si="146"/>
        <v>11.611561142490615</v>
      </c>
      <c r="AJ1042">
        <f t="shared" si="147"/>
        <v>26.29384818922949</v>
      </c>
      <c r="AK1042">
        <f t="shared" si="148"/>
        <v>1079521</v>
      </c>
      <c r="AL1042">
        <f t="shared" si="151"/>
        <v>4615.1934300000003</v>
      </c>
      <c r="AM1042" t="str">
        <f t="shared" si="152"/>
        <v/>
      </c>
    </row>
    <row r="1043" spans="1:39" x14ac:dyDescent="0.55000000000000004">
      <c r="A1043">
        <v>1777849202</v>
      </c>
      <c r="B1043" t="s">
        <v>72</v>
      </c>
      <c r="C1043" t="s">
        <v>73</v>
      </c>
      <c r="D1043">
        <v>4615.08</v>
      </c>
      <c r="E1043">
        <v>4518.5928199999998</v>
      </c>
      <c r="F1043">
        <v>4596.0559499999999</v>
      </c>
      <c r="G1043">
        <v>4755.40355</v>
      </c>
      <c r="H1043">
        <v>4792.7697200000002</v>
      </c>
      <c r="Q1043">
        <v>4539.0618700000005</v>
      </c>
      <c r="R1043">
        <v>4568.4251700000004</v>
      </c>
      <c r="S1043">
        <v>4595.0139399999998</v>
      </c>
      <c r="V1043">
        <v>4504.1220999999996</v>
      </c>
      <c r="W1043">
        <v>4470.5571099999997</v>
      </c>
      <c r="AB1043">
        <v>4619.5298300000004</v>
      </c>
      <c r="AC1043">
        <v>4619.8402900000001</v>
      </c>
      <c r="AD1043">
        <v>1</v>
      </c>
      <c r="AE1043">
        <f t="shared" si="149"/>
        <v>1041</v>
      </c>
      <c r="AF1043">
        <f t="shared" si="150"/>
        <v>1040</v>
      </c>
      <c r="AG1043">
        <f t="shared" si="144"/>
        <v>76.018129999999474</v>
      </c>
      <c r="AH1043">
        <f t="shared" si="145"/>
        <v>5778.7560886968204</v>
      </c>
      <c r="AI1043">
        <f t="shared" si="146"/>
        <v>10.105716963381214</v>
      </c>
      <c r="AJ1043">
        <f t="shared" si="147"/>
        <v>21.848561109261677</v>
      </c>
      <c r="AK1043">
        <f t="shared" si="148"/>
        <v>1081600</v>
      </c>
      <c r="AL1043">
        <f t="shared" si="151"/>
        <v>4619.5298300000004</v>
      </c>
      <c r="AM1043">
        <f t="shared" si="152"/>
        <v>4.3364000000001397</v>
      </c>
    </row>
    <row r="1044" spans="1:39" x14ac:dyDescent="0.55000000000000004">
      <c r="A1044">
        <v>1777850102</v>
      </c>
      <c r="B1044" t="s">
        <v>72</v>
      </c>
      <c r="C1044" t="s">
        <v>73</v>
      </c>
      <c r="D1044">
        <v>4617.09</v>
      </c>
      <c r="E1044">
        <v>4518.5928199999998</v>
      </c>
      <c r="F1044">
        <v>4596.0559499999999</v>
      </c>
      <c r="G1044">
        <v>4755.40355</v>
      </c>
      <c r="H1044">
        <v>4792.7697200000002</v>
      </c>
      <c r="Q1044">
        <v>4538.7942700000003</v>
      </c>
      <c r="R1044">
        <v>4568.1575700000003</v>
      </c>
      <c r="S1044">
        <v>4594.7463399999997</v>
      </c>
      <c r="V1044">
        <v>4503.8545000000004</v>
      </c>
      <c r="W1044">
        <v>4470.2894999999999</v>
      </c>
      <c r="AB1044">
        <v>4617.8138300000001</v>
      </c>
      <c r="AC1044">
        <v>4618.8270599999996</v>
      </c>
      <c r="AD1044">
        <v>0</v>
      </c>
      <c r="AE1044">
        <f t="shared" si="149"/>
        <v>1042</v>
      </c>
      <c r="AF1044">
        <f t="shared" si="150"/>
        <v>1041</v>
      </c>
      <c r="AG1044">
        <f t="shared" si="144"/>
        <v>78.295729999999821</v>
      </c>
      <c r="AH1044">
        <f t="shared" si="145"/>
        <v>6130.2213362328721</v>
      </c>
      <c r="AI1044">
        <f t="shared" si="146"/>
        <v>11.041544255450431</v>
      </c>
      <c r="AJ1044">
        <f t="shared" si="147"/>
        <v>24.587049937852456</v>
      </c>
      <c r="AK1044">
        <f t="shared" si="148"/>
        <v>1083681</v>
      </c>
      <c r="AL1044">
        <f t="shared" si="151"/>
        <v>4619.5298300000004</v>
      </c>
      <c r="AM1044" t="str">
        <f t="shared" si="152"/>
        <v/>
      </c>
    </row>
    <row r="1045" spans="1:39" x14ac:dyDescent="0.55000000000000004">
      <c r="A1045">
        <v>1777851002</v>
      </c>
      <c r="B1045" t="s">
        <v>72</v>
      </c>
      <c r="C1045" t="s">
        <v>73</v>
      </c>
      <c r="D1045">
        <v>4613.63</v>
      </c>
      <c r="E1045">
        <v>4518.5928199999998</v>
      </c>
      <c r="F1045">
        <v>4596.0559499999999</v>
      </c>
      <c r="G1045">
        <v>4755.40355</v>
      </c>
      <c r="H1045">
        <v>4792.7697200000002</v>
      </c>
      <c r="Q1045">
        <v>4538.5266700000002</v>
      </c>
      <c r="R1045">
        <v>4567.8899700000002</v>
      </c>
      <c r="S1045">
        <v>4594.4787399999996</v>
      </c>
      <c r="V1045">
        <v>4503.5869000000002</v>
      </c>
      <c r="W1045">
        <v>4470.0218999999997</v>
      </c>
      <c r="AB1045">
        <v>4615.5777699999999</v>
      </c>
      <c r="AC1045">
        <v>4617.2024099999999</v>
      </c>
      <c r="AD1045">
        <v>0</v>
      </c>
      <c r="AE1045">
        <f t="shared" si="149"/>
        <v>1043</v>
      </c>
      <c r="AF1045">
        <f t="shared" si="150"/>
        <v>1042</v>
      </c>
      <c r="AG1045">
        <f t="shared" si="144"/>
        <v>75.103329999999914</v>
      </c>
      <c r="AH1045">
        <f t="shared" si="145"/>
        <v>5640.5101770888868</v>
      </c>
      <c r="AI1045">
        <f t="shared" si="146"/>
        <v>9.7452540488300485</v>
      </c>
      <c r="AJ1045">
        <f t="shared" si="147"/>
        <v>20.815693617141186</v>
      </c>
      <c r="AK1045">
        <f t="shared" si="148"/>
        <v>1085764</v>
      </c>
      <c r="AL1045">
        <f t="shared" si="151"/>
        <v>4619.5298300000004</v>
      </c>
      <c r="AM1045" t="str">
        <f t="shared" si="152"/>
        <v/>
      </c>
    </row>
    <row r="1046" spans="1:39" x14ac:dyDescent="0.55000000000000004">
      <c r="A1046">
        <v>1777851902</v>
      </c>
      <c r="B1046" t="s">
        <v>72</v>
      </c>
      <c r="C1046" t="s">
        <v>73</v>
      </c>
      <c r="D1046">
        <v>4613.8599999999997</v>
      </c>
      <c r="E1046">
        <v>4518.5928199999998</v>
      </c>
      <c r="F1046">
        <v>4596.0559499999999</v>
      </c>
      <c r="G1046">
        <v>4755.40355</v>
      </c>
      <c r="H1046">
        <v>4792.7697200000002</v>
      </c>
      <c r="Q1046">
        <v>4538.2590600000003</v>
      </c>
      <c r="R1046">
        <v>4567.6223600000003</v>
      </c>
      <c r="S1046">
        <v>4594.2111299999997</v>
      </c>
      <c r="V1046">
        <v>4503.3192900000004</v>
      </c>
      <c r="W1046">
        <v>4469.7542999999996</v>
      </c>
      <c r="AB1046">
        <v>4613.10995</v>
      </c>
      <c r="AC1046">
        <v>4615.1561799999999</v>
      </c>
      <c r="AD1046">
        <v>0</v>
      </c>
      <c r="AE1046">
        <f t="shared" si="149"/>
        <v>1044</v>
      </c>
      <c r="AF1046">
        <f t="shared" si="150"/>
        <v>1043</v>
      </c>
      <c r="AG1046">
        <f t="shared" si="144"/>
        <v>75.600939999999355</v>
      </c>
      <c r="AH1046">
        <f t="shared" si="145"/>
        <v>5715.5021288835023</v>
      </c>
      <c r="AI1046">
        <f t="shared" si="146"/>
        <v>9.9402468781215418</v>
      </c>
      <c r="AJ1046">
        <f t="shared" si="147"/>
        <v>21.372872469055977</v>
      </c>
      <c r="AK1046">
        <f t="shared" si="148"/>
        <v>1087849</v>
      </c>
      <c r="AL1046">
        <f t="shared" si="151"/>
        <v>4619.5298300000004</v>
      </c>
      <c r="AM1046" t="str">
        <f t="shared" si="152"/>
        <v/>
      </c>
    </row>
    <row r="1047" spans="1:39" x14ac:dyDescent="0.55000000000000004">
      <c r="A1047">
        <v>1777852802</v>
      </c>
      <c r="B1047" t="s">
        <v>72</v>
      </c>
      <c r="C1047" t="s">
        <v>73</v>
      </c>
      <c r="D1047">
        <v>4612.3</v>
      </c>
      <c r="E1047">
        <v>4518.5928199999998</v>
      </c>
      <c r="F1047">
        <v>4596.0559499999999</v>
      </c>
      <c r="G1047">
        <v>4755.40355</v>
      </c>
      <c r="H1047">
        <v>4792.7697200000002</v>
      </c>
      <c r="Q1047">
        <v>4537.9914600000002</v>
      </c>
      <c r="R1047">
        <v>4567.3547600000002</v>
      </c>
      <c r="S1047">
        <v>4593.9435299999996</v>
      </c>
      <c r="V1047">
        <v>4503.0516900000002</v>
      </c>
      <c r="W1047">
        <v>4469.4866899999997</v>
      </c>
      <c r="AB1047">
        <v>4610.6119600000002</v>
      </c>
      <c r="AC1047">
        <v>4612.8840700000001</v>
      </c>
      <c r="AD1047">
        <v>0</v>
      </c>
      <c r="AE1047">
        <f t="shared" si="149"/>
        <v>1045</v>
      </c>
      <c r="AF1047">
        <f t="shared" si="150"/>
        <v>1044</v>
      </c>
      <c r="AG1047">
        <f t="shared" si="144"/>
        <v>74.308539999999994</v>
      </c>
      <c r="AH1047">
        <f t="shared" si="145"/>
        <v>5521.7591169315992</v>
      </c>
      <c r="AI1047">
        <f t="shared" si="146"/>
        <v>9.4391257056519446</v>
      </c>
      <c r="AJ1047">
        <f t="shared" si="147"/>
        <v>19.948444025576869</v>
      </c>
      <c r="AK1047">
        <f t="shared" si="148"/>
        <v>1089936</v>
      </c>
      <c r="AL1047">
        <f t="shared" si="151"/>
        <v>4619.5298300000004</v>
      </c>
      <c r="AM1047" t="str">
        <f t="shared" si="152"/>
        <v/>
      </c>
    </row>
    <row r="1048" spans="1:39" x14ac:dyDescent="0.55000000000000004">
      <c r="A1048">
        <v>1777853702</v>
      </c>
      <c r="B1048" t="s">
        <v>72</v>
      </c>
      <c r="C1048" t="s">
        <v>73</v>
      </c>
      <c r="D1048">
        <v>4606.13</v>
      </c>
      <c r="E1048">
        <v>4518.5928199999998</v>
      </c>
      <c r="F1048">
        <v>4596.0559499999999</v>
      </c>
      <c r="G1048">
        <v>4755.40355</v>
      </c>
      <c r="H1048">
        <v>4792.7697200000002</v>
      </c>
      <c r="Q1048">
        <v>4537.7238500000003</v>
      </c>
      <c r="R1048">
        <v>4567.0871500000003</v>
      </c>
      <c r="S1048">
        <v>4593.6759199999997</v>
      </c>
      <c r="V1048">
        <v>4502.7840800000004</v>
      </c>
      <c r="W1048">
        <v>4469.2190899999996</v>
      </c>
      <c r="AB1048">
        <v>4608.26458</v>
      </c>
      <c r="AC1048">
        <v>4610.5743199999997</v>
      </c>
      <c r="AD1048">
        <v>0</v>
      </c>
      <c r="AE1048">
        <f t="shared" si="149"/>
        <v>1046</v>
      </c>
      <c r="AF1048">
        <f t="shared" si="150"/>
        <v>1045</v>
      </c>
      <c r="AG1048">
        <f t="shared" si="144"/>
        <v>68.406149999999798</v>
      </c>
      <c r="AH1048">
        <f t="shared" si="145"/>
        <v>4679.4013578224722</v>
      </c>
      <c r="AI1048">
        <f t="shared" si="146"/>
        <v>7.3637838072719575</v>
      </c>
      <c r="AJ1048">
        <f t="shared" si="147"/>
        <v>14.326321932507227</v>
      </c>
      <c r="AK1048">
        <f t="shared" si="148"/>
        <v>1092025</v>
      </c>
      <c r="AL1048">
        <f t="shared" si="151"/>
        <v>4619.5298300000004</v>
      </c>
      <c r="AM1048" t="str">
        <f t="shared" si="152"/>
        <v/>
      </c>
    </row>
    <row r="1049" spans="1:39" x14ac:dyDescent="0.55000000000000004">
      <c r="A1049">
        <v>1777854602</v>
      </c>
      <c r="B1049" t="s">
        <v>72</v>
      </c>
      <c r="C1049" t="s">
        <v>73</v>
      </c>
      <c r="D1049">
        <v>4605.8599999999997</v>
      </c>
      <c r="E1049">
        <v>4518.5928199999998</v>
      </c>
      <c r="F1049">
        <v>4596.0559499999999</v>
      </c>
      <c r="G1049">
        <v>4755.40355</v>
      </c>
      <c r="H1049">
        <v>4792.7697200000002</v>
      </c>
      <c r="Q1049">
        <v>4537.4562500000002</v>
      </c>
      <c r="R1049">
        <v>4566.8195500000002</v>
      </c>
      <c r="S1049">
        <v>4593.4083199999995</v>
      </c>
      <c r="V1049">
        <v>4502.5164800000002</v>
      </c>
      <c r="W1049">
        <v>4468.9514799999997</v>
      </c>
      <c r="AB1049">
        <v>4606.3389800000004</v>
      </c>
      <c r="AC1049">
        <v>4608.4566500000001</v>
      </c>
      <c r="AD1049">
        <v>0</v>
      </c>
      <c r="AE1049">
        <f t="shared" si="149"/>
        <v>1047</v>
      </c>
      <c r="AF1049">
        <f t="shared" si="150"/>
        <v>1046</v>
      </c>
      <c r="AG1049">
        <f t="shared" si="144"/>
        <v>68.403749999999491</v>
      </c>
      <c r="AH1049">
        <f t="shared" si="145"/>
        <v>4679.07301406243</v>
      </c>
      <c r="AI1049">
        <f t="shared" si="146"/>
        <v>7.3630087690146713</v>
      </c>
      <c r="AJ1049">
        <f t="shared" si="147"/>
        <v>14.32431150723367</v>
      </c>
      <c r="AK1049">
        <f t="shared" si="148"/>
        <v>1094116</v>
      </c>
      <c r="AL1049">
        <f t="shared" si="151"/>
        <v>4619.5298300000004</v>
      </c>
      <c r="AM1049" t="str">
        <f t="shared" si="152"/>
        <v/>
      </c>
    </row>
    <row r="1050" spans="1:39" x14ac:dyDescent="0.55000000000000004">
      <c r="A1050">
        <v>1777855502</v>
      </c>
      <c r="B1050" t="s">
        <v>72</v>
      </c>
      <c r="C1050" t="s">
        <v>73</v>
      </c>
      <c r="D1050">
        <v>4613.01</v>
      </c>
      <c r="E1050">
        <v>4518.5928199999998</v>
      </c>
      <c r="F1050">
        <v>4596.0559499999999</v>
      </c>
      <c r="G1050">
        <v>4755.40355</v>
      </c>
      <c r="H1050">
        <v>4792.7697200000002</v>
      </c>
      <c r="Q1050">
        <v>4537.1886500000001</v>
      </c>
      <c r="R1050">
        <v>4566.5519400000003</v>
      </c>
      <c r="S1050">
        <v>4593.1407200000003</v>
      </c>
      <c r="V1050">
        <v>4502.2488800000001</v>
      </c>
      <c r="W1050">
        <v>4468.6838799999996</v>
      </c>
      <c r="AB1050">
        <v>4604.8508300000003</v>
      </c>
      <c r="AC1050">
        <v>4606.6537399999997</v>
      </c>
      <c r="AD1050">
        <v>0</v>
      </c>
      <c r="AE1050">
        <f t="shared" si="149"/>
        <v>1048</v>
      </c>
      <c r="AF1050">
        <f t="shared" si="150"/>
        <v>1047</v>
      </c>
      <c r="AG1050">
        <f t="shared" si="144"/>
        <v>75.821350000000166</v>
      </c>
      <c r="AH1050">
        <f t="shared" si="145"/>
        <v>5748.8771158225254</v>
      </c>
      <c r="AI1050">
        <f t="shared" si="146"/>
        <v>10.027441172776479</v>
      </c>
      <c r="AJ1050">
        <f t="shared" si="147"/>
        <v>21.623209882846357</v>
      </c>
      <c r="AK1050">
        <f t="shared" si="148"/>
        <v>1096209</v>
      </c>
      <c r="AL1050">
        <f t="shared" si="151"/>
        <v>4619.5298300000004</v>
      </c>
      <c r="AM1050" t="str">
        <f t="shared" si="152"/>
        <v/>
      </c>
    </row>
    <row r="1051" spans="1:39" x14ac:dyDescent="0.55000000000000004">
      <c r="A1051">
        <v>1777856402</v>
      </c>
      <c r="B1051" t="s">
        <v>72</v>
      </c>
      <c r="C1051" t="s">
        <v>73</v>
      </c>
      <c r="D1051">
        <v>4600.58</v>
      </c>
      <c r="E1051">
        <v>4518.5928199999998</v>
      </c>
      <c r="F1051">
        <v>4596.0559499999999</v>
      </c>
      <c r="G1051">
        <v>4755.40355</v>
      </c>
      <c r="H1051">
        <v>4792.7697200000002</v>
      </c>
      <c r="Q1051">
        <v>4536.9210400000002</v>
      </c>
      <c r="R1051">
        <v>4566.2843400000002</v>
      </c>
      <c r="S1051">
        <v>4592.8731100000005</v>
      </c>
      <c r="V1051">
        <v>4501.9812700000002</v>
      </c>
      <c r="W1051">
        <v>4468.4162800000004</v>
      </c>
      <c r="AB1051">
        <v>4603.5826800000004</v>
      </c>
      <c r="AC1051">
        <v>4605.1182099999996</v>
      </c>
      <c r="AD1051">
        <v>0</v>
      </c>
      <c r="AE1051">
        <f t="shared" si="149"/>
        <v>1049</v>
      </c>
      <c r="AF1051">
        <f t="shared" si="150"/>
        <v>1048</v>
      </c>
      <c r="AG1051">
        <f t="shared" si="144"/>
        <v>63.658959999999752</v>
      </c>
      <c r="AH1051">
        <f t="shared" si="145"/>
        <v>4052.4631882815684</v>
      </c>
      <c r="AI1051">
        <f t="shared" si="146"/>
        <v>5.9346375785021053</v>
      </c>
      <c r="AJ1051">
        <f t="shared" si="147"/>
        <v>10.744649912176685</v>
      </c>
      <c r="AK1051">
        <f t="shared" si="148"/>
        <v>1098304</v>
      </c>
      <c r="AL1051">
        <f t="shared" si="151"/>
        <v>4619.5298300000004</v>
      </c>
      <c r="AM1051" t="str">
        <f t="shared" si="152"/>
        <v/>
      </c>
    </row>
    <row r="1052" spans="1:39" x14ac:dyDescent="0.55000000000000004">
      <c r="A1052">
        <v>1777857302</v>
      </c>
      <c r="B1052" t="s">
        <v>72</v>
      </c>
      <c r="C1052" t="s">
        <v>73</v>
      </c>
      <c r="D1052">
        <v>4594.6499999999996</v>
      </c>
      <c r="E1052">
        <v>4518.5928199999998</v>
      </c>
      <c r="F1052">
        <v>4596.0559499999999</v>
      </c>
      <c r="G1052">
        <v>4755.40355</v>
      </c>
      <c r="H1052">
        <v>4792.7697200000002</v>
      </c>
      <c r="Q1052">
        <v>4536.65344</v>
      </c>
      <c r="R1052">
        <v>4566.01674</v>
      </c>
      <c r="S1052">
        <v>4592.6055100000003</v>
      </c>
      <c r="V1052">
        <v>4501.7136700000001</v>
      </c>
      <c r="W1052">
        <v>4468.1486699999996</v>
      </c>
      <c r="AB1052">
        <v>4602.8242799999998</v>
      </c>
      <c r="AC1052">
        <v>4603.9712499999996</v>
      </c>
      <c r="AD1052">
        <v>0</v>
      </c>
      <c r="AE1052">
        <f t="shared" si="149"/>
        <v>1050</v>
      </c>
      <c r="AF1052">
        <f t="shared" si="150"/>
        <v>1049</v>
      </c>
      <c r="AG1052">
        <f t="shared" si="144"/>
        <v>57.99655999999959</v>
      </c>
      <c r="AH1052">
        <f t="shared" si="145"/>
        <v>3363.6009718335526</v>
      </c>
      <c r="AI1052">
        <f t="shared" si="146"/>
        <v>4.4876842057603916</v>
      </c>
      <c r="AJ1052">
        <f t="shared" si="147"/>
        <v>7.4022381127116379</v>
      </c>
      <c r="AK1052">
        <f t="shared" si="148"/>
        <v>1100401</v>
      </c>
      <c r="AL1052">
        <f t="shared" si="151"/>
        <v>4619.5298300000004</v>
      </c>
      <c r="AM1052" t="str">
        <f t="shared" si="152"/>
        <v/>
      </c>
    </row>
    <row r="1053" spans="1:39" x14ac:dyDescent="0.55000000000000004">
      <c r="A1053">
        <v>1777858202</v>
      </c>
      <c r="B1053" t="s">
        <v>72</v>
      </c>
      <c r="C1053" t="s">
        <v>73</v>
      </c>
      <c r="D1053">
        <v>4601.59</v>
      </c>
      <c r="E1053">
        <v>4518.5928199999998</v>
      </c>
      <c r="F1053">
        <v>4596.0559499999999</v>
      </c>
      <c r="G1053">
        <v>4755.40355</v>
      </c>
      <c r="H1053">
        <v>4792.7697200000002</v>
      </c>
      <c r="Q1053">
        <v>4536.3858300000002</v>
      </c>
      <c r="R1053">
        <v>4565.7491300000002</v>
      </c>
      <c r="S1053">
        <v>4592.3379000000004</v>
      </c>
      <c r="V1053">
        <v>4501.4460600000002</v>
      </c>
      <c r="W1053">
        <v>4467.8810700000004</v>
      </c>
      <c r="AB1053">
        <v>4602.6806800000004</v>
      </c>
      <c r="AC1053">
        <v>4603.3259600000001</v>
      </c>
      <c r="AD1053">
        <v>0</v>
      </c>
      <c r="AE1053">
        <f t="shared" si="149"/>
        <v>1051</v>
      </c>
      <c r="AF1053">
        <f t="shared" si="150"/>
        <v>1050</v>
      </c>
      <c r="AG1053">
        <f t="shared" si="144"/>
        <v>65.204169999999976</v>
      </c>
      <c r="AH1053">
        <f t="shared" si="145"/>
        <v>4251.583785388897</v>
      </c>
      <c r="AI1053">
        <f t="shared" si="146"/>
        <v>6.377371220924271</v>
      </c>
      <c r="AJ1053">
        <f t="shared" si="147"/>
        <v>11.826482590438145</v>
      </c>
      <c r="AK1053">
        <f t="shared" si="148"/>
        <v>1102500</v>
      </c>
      <c r="AL1053">
        <f t="shared" si="151"/>
        <v>4619.5298300000004</v>
      </c>
      <c r="AM1053" t="str">
        <f t="shared" si="152"/>
        <v/>
      </c>
    </row>
    <row r="1054" spans="1:39" x14ac:dyDescent="0.55000000000000004">
      <c r="A1054">
        <v>1777859102</v>
      </c>
      <c r="B1054" t="s">
        <v>72</v>
      </c>
      <c r="C1054" t="s">
        <v>73</v>
      </c>
      <c r="D1054">
        <v>4613.1400000000003</v>
      </c>
      <c r="E1054">
        <v>4518.5928199999998</v>
      </c>
      <c r="F1054">
        <v>4596.0559499999999</v>
      </c>
      <c r="G1054">
        <v>4755.40355</v>
      </c>
      <c r="H1054">
        <v>4792.7697200000002</v>
      </c>
      <c r="Q1054">
        <v>4536.11823</v>
      </c>
      <c r="R1054">
        <v>4565.48153</v>
      </c>
      <c r="S1054">
        <v>4592.0703000000003</v>
      </c>
      <c r="V1054">
        <v>4501.1784600000001</v>
      </c>
      <c r="W1054">
        <v>4467.6134599999996</v>
      </c>
      <c r="AB1054">
        <v>4602.8737300000003</v>
      </c>
      <c r="AC1054">
        <v>4603.0998499999996</v>
      </c>
      <c r="AD1054">
        <v>0</v>
      </c>
      <c r="AE1054">
        <f t="shared" si="149"/>
        <v>1052</v>
      </c>
      <c r="AF1054">
        <f t="shared" si="150"/>
        <v>1051</v>
      </c>
      <c r="AG1054">
        <f t="shared" si="144"/>
        <v>77.021770000000288</v>
      </c>
      <c r="AH1054">
        <f t="shared" si="145"/>
        <v>5932.353053932944</v>
      </c>
      <c r="AI1054">
        <f t="shared" si="146"/>
        <v>10.511291221168808</v>
      </c>
      <c r="AJ1054">
        <f t="shared" si="147"/>
        <v>23.025448137637017</v>
      </c>
      <c r="AK1054">
        <f t="shared" si="148"/>
        <v>1104601</v>
      </c>
      <c r="AL1054">
        <f t="shared" si="151"/>
        <v>4619.5298300000004</v>
      </c>
      <c r="AM1054" t="str">
        <f t="shared" si="152"/>
        <v/>
      </c>
    </row>
    <row r="1055" spans="1:39" x14ac:dyDescent="0.55000000000000004">
      <c r="A1055">
        <v>1777860002</v>
      </c>
      <c r="B1055" t="s">
        <v>72</v>
      </c>
      <c r="C1055" t="s">
        <v>73</v>
      </c>
      <c r="D1055">
        <v>4608.34</v>
      </c>
      <c r="E1055">
        <v>4518.5928199999998</v>
      </c>
      <c r="F1055">
        <v>4596.0559499999999</v>
      </c>
      <c r="G1055">
        <v>4755.40355</v>
      </c>
      <c r="H1055">
        <v>4792.7697200000002</v>
      </c>
      <c r="Q1055">
        <v>4535.8506299999999</v>
      </c>
      <c r="R1055">
        <v>4565.2139200000001</v>
      </c>
      <c r="S1055">
        <v>4591.8027000000002</v>
      </c>
      <c r="V1055">
        <v>4500.91086</v>
      </c>
      <c r="W1055">
        <v>4467.3458600000004</v>
      </c>
      <c r="AB1055">
        <v>4603.0743300000004</v>
      </c>
      <c r="AC1055">
        <v>4603.08709</v>
      </c>
      <c r="AD1055">
        <v>0</v>
      </c>
      <c r="AE1055">
        <f t="shared" si="149"/>
        <v>1053</v>
      </c>
      <c r="AF1055">
        <f t="shared" si="150"/>
        <v>1052</v>
      </c>
      <c r="AG1055">
        <f t="shared" si="144"/>
        <v>72.489370000000235</v>
      </c>
      <c r="AH1055">
        <f t="shared" si="145"/>
        <v>5254.7087629969337</v>
      </c>
      <c r="AI1055">
        <f t="shared" si="146"/>
        <v>8.7627124510002385</v>
      </c>
      <c r="AJ1055">
        <f t="shared" si="147"/>
        <v>18.065559399696006</v>
      </c>
      <c r="AK1055">
        <f t="shared" si="148"/>
        <v>1106704</v>
      </c>
      <c r="AL1055">
        <f t="shared" si="151"/>
        <v>4619.5298300000004</v>
      </c>
      <c r="AM1055" t="str">
        <f t="shared" si="152"/>
        <v/>
      </c>
    </row>
    <row r="1056" spans="1:39" x14ac:dyDescent="0.55000000000000004">
      <c r="A1056">
        <v>1777860902</v>
      </c>
      <c r="B1056" t="s">
        <v>72</v>
      </c>
      <c r="C1056" t="s">
        <v>73</v>
      </c>
      <c r="D1056">
        <v>4593.09</v>
      </c>
      <c r="E1056">
        <v>4518.5928199999998</v>
      </c>
      <c r="F1056">
        <v>4596.0559499999999</v>
      </c>
      <c r="G1056">
        <v>4755.40355</v>
      </c>
      <c r="H1056">
        <v>4792.7697200000002</v>
      </c>
      <c r="Q1056">
        <v>4535.58302</v>
      </c>
      <c r="R1056">
        <v>4564.94632</v>
      </c>
      <c r="S1056">
        <v>4591.5350900000003</v>
      </c>
      <c r="V1056">
        <v>4500.6432500000001</v>
      </c>
      <c r="W1056">
        <v>4467.0782499999996</v>
      </c>
      <c r="AB1056">
        <v>4603.4631300000001</v>
      </c>
      <c r="AC1056">
        <v>4603.2751099999996</v>
      </c>
      <c r="AD1056">
        <v>1</v>
      </c>
      <c r="AE1056">
        <f t="shared" si="149"/>
        <v>1054</v>
      </c>
      <c r="AF1056">
        <f t="shared" si="150"/>
        <v>1053</v>
      </c>
      <c r="AG1056">
        <f t="shared" si="144"/>
        <v>57.506980000000112</v>
      </c>
      <c r="AH1056">
        <f t="shared" si="145"/>
        <v>3307.0527487204131</v>
      </c>
      <c r="AI1056">
        <f t="shared" si="146"/>
        <v>4.3749920449130988</v>
      </c>
      <c r="AJ1056">
        <f t="shared" si="147"/>
        <v>7.1554402057982927</v>
      </c>
      <c r="AK1056">
        <f t="shared" si="148"/>
        <v>1108809</v>
      </c>
      <c r="AL1056">
        <f t="shared" si="151"/>
        <v>4603.4631300000001</v>
      </c>
      <c r="AM1056">
        <f t="shared" si="152"/>
        <v>16.06670000000031</v>
      </c>
    </row>
    <row r="1057" spans="1:39" x14ac:dyDescent="0.55000000000000004">
      <c r="A1057">
        <v>1777861802</v>
      </c>
      <c r="B1057" t="s">
        <v>72</v>
      </c>
      <c r="C1057" t="s">
        <v>73</v>
      </c>
      <c r="D1057">
        <v>4603.32</v>
      </c>
      <c r="E1057">
        <v>4518.5928199999998</v>
      </c>
      <c r="F1057">
        <v>4596.0559499999999</v>
      </c>
      <c r="G1057">
        <v>4755.40355</v>
      </c>
      <c r="H1057">
        <v>4792.7697200000002</v>
      </c>
      <c r="Q1057">
        <v>4535.3154199999999</v>
      </c>
      <c r="R1057">
        <v>4564.6787199999999</v>
      </c>
      <c r="S1057">
        <v>4591.2674900000002</v>
      </c>
      <c r="V1057">
        <v>4500.37565</v>
      </c>
      <c r="W1057">
        <v>4466.8106500000004</v>
      </c>
      <c r="AB1057">
        <v>4604.5181400000001</v>
      </c>
      <c r="AC1057">
        <v>4603.8966300000002</v>
      </c>
      <c r="AD1057">
        <v>0</v>
      </c>
      <c r="AE1057">
        <f t="shared" si="149"/>
        <v>1055</v>
      </c>
      <c r="AF1057">
        <f t="shared" si="150"/>
        <v>1054</v>
      </c>
      <c r="AG1057">
        <f t="shared" si="144"/>
        <v>68.004579999999805</v>
      </c>
      <c r="AH1057">
        <f t="shared" si="145"/>
        <v>4624.6229009763738</v>
      </c>
      <c r="AI1057">
        <f t="shared" si="146"/>
        <v>7.2348590183218624</v>
      </c>
      <c r="AJ1057">
        <f t="shared" si="147"/>
        <v>13.992868847000066</v>
      </c>
      <c r="AK1057">
        <f t="shared" si="148"/>
        <v>1110916</v>
      </c>
      <c r="AL1057">
        <f t="shared" si="151"/>
        <v>4603.4631300000001</v>
      </c>
      <c r="AM1057" t="str">
        <f t="shared" si="152"/>
        <v/>
      </c>
    </row>
    <row r="1058" spans="1:39" x14ac:dyDescent="0.55000000000000004">
      <c r="A1058">
        <v>1777862702</v>
      </c>
      <c r="B1058" t="s">
        <v>72</v>
      </c>
      <c r="C1058" t="s">
        <v>73</v>
      </c>
      <c r="D1058">
        <v>4605.7700000000004</v>
      </c>
      <c r="E1058">
        <v>4518.5928199999998</v>
      </c>
      <c r="F1058">
        <v>4596.0559499999999</v>
      </c>
      <c r="G1058">
        <v>4755.40355</v>
      </c>
      <c r="H1058">
        <v>4792.7697200000002</v>
      </c>
      <c r="Q1058">
        <v>4535.04781</v>
      </c>
      <c r="R1058">
        <v>4564.41111</v>
      </c>
      <c r="S1058">
        <v>4590.9998800000003</v>
      </c>
      <c r="V1058">
        <v>4500.1080400000001</v>
      </c>
      <c r="W1058">
        <v>4466.5430500000002</v>
      </c>
      <c r="AB1058">
        <v>4605.9958399999996</v>
      </c>
      <c r="AC1058">
        <v>4604.9462400000002</v>
      </c>
      <c r="AD1058">
        <v>0</v>
      </c>
      <c r="AE1058">
        <f t="shared" si="149"/>
        <v>1056</v>
      </c>
      <c r="AF1058">
        <f t="shared" si="150"/>
        <v>1055</v>
      </c>
      <c r="AG1058">
        <f t="shared" si="144"/>
        <v>70.72219000000041</v>
      </c>
      <c r="AH1058">
        <f t="shared" si="145"/>
        <v>5001.6281583961581</v>
      </c>
      <c r="AI1058">
        <f t="shared" si="146"/>
        <v>8.1373441999412197</v>
      </c>
      <c r="AJ1058">
        <f t="shared" si="147"/>
        <v>16.367295198354824</v>
      </c>
      <c r="AK1058">
        <f t="shared" si="148"/>
        <v>1113025</v>
      </c>
      <c r="AL1058">
        <f t="shared" si="151"/>
        <v>4603.4631300000001</v>
      </c>
      <c r="AM1058" t="str">
        <f t="shared" si="152"/>
        <v/>
      </c>
    </row>
    <row r="1059" spans="1:39" x14ac:dyDescent="0.55000000000000004">
      <c r="A1059">
        <v>1777863602</v>
      </c>
      <c r="B1059" t="s">
        <v>72</v>
      </c>
      <c r="C1059" t="s">
        <v>73</v>
      </c>
      <c r="D1059">
        <v>4610.07</v>
      </c>
      <c r="E1059">
        <v>4518.5928199999998</v>
      </c>
      <c r="F1059">
        <v>4596.0559499999999</v>
      </c>
      <c r="G1059">
        <v>4755.40355</v>
      </c>
      <c r="H1059">
        <v>4792.7697200000002</v>
      </c>
      <c r="Q1059">
        <v>4534.7802099999999</v>
      </c>
      <c r="R1059">
        <v>4564.1435099999999</v>
      </c>
      <c r="S1059">
        <v>4590.7322800000002</v>
      </c>
      <c r="V1059">
        <v>4499.8404399999999</v>
      </c>
      <c r="W1059">
        <v>4466.2754400000003</v>
      </c>
      <c r="AB1059">
        <v>4607.6417899999997</v>
      </c>
      <c r="AC1059">
        <v>4606.2940099999996</v>
      </c>
      <c r="AD1059">
        <v>0</v>
      </c>
      <c r="AE1059">
        <f t="shared" si="149"/>
        <v>1057</v>
      </c>
      <c r="AF1059">
        <f t="shared" si="150"/>
        <v>1056</v>
      </c>
      <c r="AG1059">
        <f t="shared" si="144"/>
        <v>75.289789999999812</v>
      </c>
      <c r="AH1059">
        <f t="shared" si="145"/>
        <v>5668.5524782440716</v>
      </c>
      <c r="AI1059">
        <f t="shared" si="146"/>
        <v>9.8180184045928112</v>
      </c>
      <c r="AJ1059">
        <f t="shared" si="147"/>
        <v>21.023182279967145</v>
      </c>
      <c r="AK1059">
        <f t="shared" si="148"/>
        <v>1115136</v>
      </c>
      <c r="AL1059">
        <f t="shared" si="151"/>
        <v>4603.4631300000001</v>
      </c>
      <c r="AM1059" t="str">
        <f t="shared" si="152"/>
        <v/>
      </c>
    </row>
    <row r="1060" spans="1:39" x14ac:dyDescent="0.55000000000000004">
      <c r="A1060">
        <v>1777864502</v>
      </c>
      <c r="B1060" t="s">
        <v>72</v>
      </c>
      <c r="C1060" t="s">
        <v>73</v>
      </c>
      <c r="D1060">
        <v>4610.2700000000004</v>
      </c>
      <c r="E1060">
        <v>4518.5928199999998</v>
      </c>
      <c r="F1060">
        <v>4596.0559499999999</v>
      </c>
      <c r="G1060">
        <v>4755.40355</v>
      </c>
      <c r="H1060">
        <v>4792.7697200000002</v>
      </c>
      <c r="Q1060">
        <v>4534.5126</v>
      </c>
      <c r="R1060">
        <v>4563.8759</v>
      </c>
      <c r="S1060">
        <v>4590.4646700000003</v>
      </c>
      <c r="V1060">
        <v>4499.5728300000001</v>
      </c>
      <c r="W1060">
        <v>4466.0078400000002</v>
      </c>
      <c r="AB1060">
        <v>4609.07942</v>
      </c>
      <c r="AC1060">
        <v>4607.6867199999997</v>
      </c>
      <c r="AD1060">
        <v>0</v>
      </c>
      <c r="AE1060">
        <f t="shared" si="149"/>
        <v>1058</v>
      </c>
      <c r="AF1060">
        <f t="shared" si="150"/>
        <v>1057</v>
      </c>
      <c r="AG1060">
        <f t="shared" si="144"/>
        <v>75.757400000000416</v>
      </c>
      <c r="AH1060">
        <f t="shared" si="145"/>
        <v>5739.1836547600633</v>
      </c>
      <c r="AI1060">
        <f t="shared" si="146"/>
        <v>10.002090232910257</v>
      </c>
      <c r="AJ1060">
        <f t="shared" si="147"/>
        <v>21.550351469873789</v>
      </c>
      <c r="AK1060">
        <f t="shared" si="148"/>
        <v>1117249</v>
      </c>
      <c r="AL1060">
        <f t="shared" si="151"/>
        <v>4603.4631300000001</v>
      </c>
      <c r="AM1060" t="str">
        <f t="shared" si="152"/>
        <v/>
      </c>
    </row>
    <row r="1061" spans="1:39" x14ac:dyDescent="0.55000000000000004">
      <c r="A1061">
        <v>1777865402</v>
      </c>
      <c r="B1061" t="s">
        <v>72</v>
      </c>
      <c r="C1061" t="s">
        <v>73</v>
      </c>
      <c r="D1061">
        <v>4605.07</v>
      </c>
      <c r="E1061">
        <v>4518.5928199999998</v>
      </c>
      <c r="F1061">
        <v>4596.0559499999999</v>
      </c>
      <c r="G1061">
        <v>4755.40355</v>
      </c>
      <c r="H1061">
        <v>4792.7697200000002</v>
      </c>
      <c r="Q1061">
        <v>4534.2449999999999</v>
      </c>
      <c r="R1061">
        <v>4563.6082999999999</v>
      </c>
      <c r="S1061">
        <v>4590.1970700000002</v>
      </c>
      <c r="V1061">
        <v>4499.3052299999999</v>
      </c>
      <c r="W1061">
        <v>4465.7402300000003</v>
      </c>
      <c r="AB1061">
        <v>4610.0652</v>
      </c>
      <c r="AC1061">
        <v>4608.8759600000003</v>
      </c>
      <c r="AD1061">
        <v>0</v>
      </c>
      <c r="AE1061">
        <f t="shared" si="149"/>
        <v>1059</v>
      </c>
      <c r="AF1061">
        <f t="shared" si="150"/>
        <v>1058</v>
      </c>
      <c r="AG1061">
        <f t="shared" si="144"/>
        <v>70.824999999999818</v>
      </c>
      <c r="AH1061">
        <f t="shared" si="145"/>
        <v>5016.1806249999745</v>
      </c>
      <c r="AI1061">
        <f t="shared" si="146"/>
        <v>8.1728839842475001</v>
      </c>
      <c r="AJ1061">
        <f t="shared" si="147"/>
        <v>16.46267654762935</v>
      </c>
      <c r="AK1061">
        <f t="shared" si="148"/>
        <v>1119364</v>
      </c>
      <c r="AL1061">
        <f t="shared" si="151"/>
        <v>4603.4631300000001</v>
      </c>
      <c r="AM1061" t="str">
        <f t="shared" si="152"/>
        <v/>
      </c>
    </row>
    <row r="1062" spans="1:39" x14ac:dyDescent="0.55000000000000004">
      <c r="A1062">
        <v>1777866302</v>
      </c>
      <c r="B1062" t="s">
        <v>72</v>
      </c>
      <c r="C1062" t="s">
        <v>73</v>
      </c>
      <c r="D1062">
        <v>4615.09</v>
      </c>
      <c r="E1062">
        <v>4518.5928199999998</v>
      </c>
      <c r="F1062">
        <v>4596.0559499999999</v>
      </c>
      <c r="G1062">
        <v>4755.40355</v>
      </c>
      <c r="H1062">
        <v>4792.7697200000002</v>
      </c>
      <c r="Q1062">
        <v>4533.9773999999998</v>
      </c>
      <c r="R1062">
        <v>4563.3406999999997</v>
      </c>
      <c r="S1062">
        <v>4589.92947</v>
      </c>
      <c r="V1062">
        <v>4499.0376299999998</v>
      </c>
      <c r="W1062">
        <v>4465.4726300000002</v>
      </c>
      <c r="AB1062">
        <v>4610.5598300000001</v>
      </c>
      <c r="AC1062">
        <v>4609.7178899999999</v>
      </c>
      <c r="AD1062">
        <v>0</v>
      </c>
      <c r="AE1062">
        <f t="shared" si="149"/>
        <v>1060</v>
      </c>
      <c r="AF1062">
        <f t="shared" si="150"/>
        <v>1059</v>
      </c>
      <c r="AG1062">
        <f t="shared" si="144"/>
        <v>81.112600000000384</v>
      </c>
      <c r="AH1062">
        <f t="shared" si="145"/>
        <v>6579.2538787600624</v>
      </c>
      <c r="AI1062">
        <f t="shared" si="146"/>
        <v>12.276669157589135</v>
      </c>
      <c r="AJ1062">
        <f t="shared" si="147"/>
        <v>28.320922985311753</v>
      </c>
      <c r="AK1062">
        <f t="shared" si="148"/>
        <v>1121481</v>
      </c>
      <c r="AL1062">
        <f t="shared" si="151"/>
        <v>4603.4631300000001</v>
      </c>
      <c r="AM1062" t="str">
        <f t="shared" si="152"/>
        <v/>
      </c>
    </row>
    <row r="1063" spans="1:39" x14ac:dyDescent="0.55000000000000004">
      <c r="A1063">
        <v>1777867202</v>
      </c>
      <c r="B1063" t="s">
        <v>72</v>
      </c>
      <c r="C1063" t="s">
        <v>73</v>
      </c>
      <c r="D1063">
        <v>4611.1899999999996</v>
      </c>
      <c r="E1063">
        <v>4518.5928199999998</v>
      </c>
      <c r="F1063">
        <v>4596.0559499999999</v>
      </c>
      <c r="G1063">
        <v>4755.40355</v>
      </c>
      <c r="H1063">
        <v>4792.7697200000002</v>
      </c>
      <c r="Q1063">
        <v>4533.7097899999999</v>
      </c>
      <c r="R1063">
        <v>4563.0730899999999</v>
      </c>
      <c r="S1063">
        <v>4589.6618600000002</v>
      </c>
      <c r="V1063">
        <v>4498.7700199999999</v>
      </c>
      <c r="W1063">
        <v>4465.2050300000001</v>
      </c>
      <c r="AB1063">
        <v>4610.2107299999998</v>
      </c>
      <c r="AC1063">
        <v>4609.9643100000003</v>
      </c>
      <c r="AD1063">
        <v>0</v>
      </c>
      <c r="AE1063">
        <f t="shared" si="149"/>
        <v>1061</v>
      </c>
      <c r="AF1063">
        <f t="shared" si="150"/>
        <v>1060</v>
      </c>
      <c r="AG1063">
        <f t="shared" si="144"/>
        <v>77.480209999999715</v>
      </c>
      <c r="AH1063">
        <f t="shared" si="145"/>
        <v>6003.182941644056</v>
      </c>
      <c r="AI1063">
        <f t="shared" si="146"/>
        <v>10.700102844073653</v>
      </c>
      <c r="AJ1063">
        <f t="shared" si="147"/>
        <v>23.578559516190388</v>
      </c>
      <c r="AK1063">
        <f t="shared" si="148"/>
        <v>1123600</v>
      </c>
      <c r="AL1063">
        <f t="shared" si="151"/>
        <v>4603.4631300000001</v>
      </c>
      <c r="AM1063" t="str">
        <f t="shared" si="152"/>
        <v/>
      </c>
    </row>
    <row r="1064" spans="1:39" x14ac:dyDescent="0.55000000000000004">
      <c r="A1064">
        <v>1777868102</v>
      </c>
      <c r="B1064" t="s">
        <v>72</v>
      </c>
      <c r="C1064" t="s">
        <v>73</v>
      </c>
      <c r="D1064">
        <v>4608.12</v>
      </c>
      <c r="E1064">
        <v>4518.5928199999998</v>
      </c>
      <c r="F1064">
        <v>4596.0559499999999</v>
      </c>
      <c r="G1064">
        <v>4755.40355</v>
      </c>
      <c r="H1064">
        <v>4792.7697200000002</v>
      </c>
      <c r="Q1064">
        <v>4533.4421899999998</v>
      </c>
      <c r="R1064">
        <v>4562.8054899999997</v>
      </c>
      <c r="S1064">
        <v>4589.39426</v>
      </c>
      <c r="V1064">
        <v>4498.5024199999998</v>
      </c>
      <c r="W1064">
        <v>4464.9374200000002</v>
      </c>
      <c r="AB1064">
        <v>4609.1786899999997</v>
      </c>
      <c r="AC1064">
        <v>4609.5715</v>
      </c>
      <c r="AD1064">
        <v>1</v>
      </c>
      <c r="AE1064">
        <f t="shared" si="149"/>
        <v>1062</v>
      </c>
      <c r="AF1064">
        <f t="shared" si="150"/>
        <v>1061</v>
      </c>
      <c r="AG1064">
        <f t="shared" si="144"/>
        <v>74.677810000000136</v>
      </c>
      <c r="AH1064">
        <f t="shared" si="145"/>
        <v>5576.77530639612</v>
      </c>
      <c r="AI1064">
        <f t="shared" si="146"/>
        <v>9.5805469729503638</v>
      </c>
      <c r="AJ1064">
        <f t="shared" si="147"/>
        <v>20.347938018188305</v>
      </c>
      <c r="AK1064">
        <f t="shared" si="148"/>
        <v>1125721</v>
      </c>
      <c r="AL1064">
        <f t="shared" si="151"/>
        <v>4609.1786899999997</v>
      </c>
      <c r="AM1064">
        <f t="shared" si="152"/>
        <v>5.7155599999996411</v>
      </c>
    </row>
    <row r="1065" spans="1:39" x14ac:dyDescent="0.55000000000000004">
      <c r="A1065">
        <v>1777869002</v>
      </c>
      <c r="B1065" t="s">
        <v>72</v>
      </c>
      <c r="C1065" t="s">
        <v>73</v>
      </c>
      <c r="D1065">
        <v>4609.32</v>
      </c>
      <c r="E1065">
        <v>4518.5928199999998</v>
      </c>
      <c r="F1065">
        <v>4596.0559499999999</v>
      </c>
      <c r="G1065">
        <v>4755.40355</v>
      </c>
      <c r="H1065">
        <v>4792.7697200000002</v>
      </c>
      <c r="Q1065">
        <v>4533.1745799999999</v>
      </c>
      <c r="R1065">
        <v>4562.5378799999999</v>
      </c>
      <c r="S1065">
        <v>4589.1266500000002</v>
      </c>
      <c r="V1065">
        <v>4498.2348099999999</v>
      </c>
      <c r="W1065">
        <v>4464.6698200000001</v>
      </c>
      <c r="AB1065">
        <v>4607.6396100000002</v>
      </c>
      <c r="AC1065">
        <v>4608.6055500000002</v>
      </c>
      <c r="AD1065">
        <v>0</v>
      </c>
      <c r="AE1065">
        <f t="shared" si="149"/>
        <v>1063</v>
      </c>
      <c r="AF1065">
        <f t="shared" si="150"/>
        <v>1062</v>
      </c>
      <c r="AG1065">
        <f t="shared" si="144"/>
        <v>76.145419999999831</v>
      </c>
      <c r="AH1065">
        <f t="shared" si="145"/>
        <v>5798.1249869763742</v>
      </c>
      <c r="AI1065">
        <f t="shared" si="146"/>
        <v>10.156567143946939</v>
      </c>
      <c r="AJ1065">
        <f t="shared" si="147"/>
        <v>21.995268030441757</v>
      </c>
      <c r="AK1065">
        <f t="shared" si="148"/>
        <v>1127844</v>
      </c>
      <c r="AL1065">
        <f t="shared" si="151"/>
        <v>4609.1786899999997</v>
      </c>
      <c r="AM1065" t="str">
        <f t="shared" si="152"/>
        <v/>
      </c>
    </row>
    <row r="1066" spans="1:39" x14ac:dyDescent="0.55000000000000004">
      <c r="A1066">
        <v>1777869902</v>
      </c>
      <c r="B1066" t="s">
        <v>72</v>
      </c>
      <c r="C1066" t="s">
        <v>73</v>
      </c>
      <c r="D1066">
        <v>4606</v>
      </c>
      <c r="E1066">
        <v>4518.5928199999998</v>
      </c>
      <c r="F1066">
        <v>4596.0559499999999</v>
      </c>
      <c r="G1066">
        <v>4755.40355</v>
      </c>
      <c r="H1066">
        <v>4792.7697200000002</v>
      </c>
      <c r="Q1066">
        <v>4532.9069799999997</v>
      </c>
      <c r="R1066">
        <v>4562.2702799999997</v>
      </c>
      <c r="S1066">
        <v>4588.85905</v>
      </c>
      <c r="V1066">
        <v>4497.9672099999998</v>
      </c>
      <c r="W1066">
        <v>4464.4022100000002</v>
      </c>
      <c r="AB1066">
        <v>4605.6857399999999</v>
      </c>
      <c r="AC1066">
        <v>4607.1456500000004</v>
      </c>
      <c r="AD1066">
        <v>0</v>
      </c>
      <c r="AE1066">
        <f t="shared" si="149"/>
        <v>1064</v>
      </c>
      <c r="AF1066">
        <f t="shared" si="150"/>
        <v>1063</v>
      </c>
      <c r="AG1066">
        <f t="shared" si="144"/>
        <v>73.093020000000251</v>
      </c>
      <c r="AH1066">
        <f t="shared" si="145"/>
        <v>5342.589572720437</v>
      </c>
      <c r="AI1066">
        <f t="shared" si="146"/>
        <v>8.9834530574957068</v>
      </c>
      <c r="AJ1066">
        <f t="shared" si="147"/>
        <v>18.674876439112396</v>
      </c>
      <c r="AK1066">
        <f t="shared" si="148"/>
        <v>1129969</v>
      </c>
      <c r="AL1066">
        <f t="shared" si="151"/>
        <v>4609.1786899999997</v>
      </c>
      <c r="AM1066" t="str">
        <f t="shared" si="152"/>
        <v/>
      </c>
    </row>
    <row r="1067" spans="1:39" x14ac:dyDescent="0.55000000000000004">
      <c r="A1067">
        <v>1777870802</v>
      </c>
      <c r="B1067" t="s">
        <v>72</v>
      </c>
      <c r="C1067" t="s">
        <v>73</v>
      </c>
      <c r="D1067">
        <v>4603.74</v>
      </c>
      <c r="E1067">
        <v>4518.5928199999998</v>
      </c>
      <c r="F1067">
        <v>4596.0559499999999</v>
      </c>
      <c r="G1067">
        <v>4755.40355</v>
      </c>
      <c r="H1067">
        <v>4792.7697200000002</v>
      </c>
      <c r="Q1067">
        <v>4532.6393799999996</v>
      </c>
      <c r="R1067">
        <v>4562.0026799999996</v>
      </c>
      <c r="S1067">
        <v>4588.5914499999999</v>
      </c>
      <c r="V1067">
        <v>4497.6996099999997</v>
      </c>
      <c r="W1067">
        <v>4464.1346100000001</v>
      </c>
      <c r="AB1067">
        <v>4603.5303100000001</v>
      </c>
      <c r="AC1067">
        <v>4605.3379800000002</v>
      </c>
      <c r="AD1067">
        <v>0</v>
      </c>
      <c r="AE1067">
        <f t="shared" si="149"/>
        <v>1065</v>
      </c>
      <c r="AF1067">
        <f t="shared" si="150"/>
        <v>1064</v>
      </c>
      <c r="AG1067">
        <f t="shared" si="144"/>
        <v>71.100620000000163</v>
      </c>
      <c r="AH1067">
        <f t="shared" si="145"/>
        <v>5055.2981643844232</v>
      </c>
      <c r="AI1067">
        <f t="shared" si="146"/>
        <v>8.2686716791953181</v>
      </c>
      <c r="AJ1067">
        <f t="shared" si="147"/>
        <v>16.72043854214763</v>
      </c>
      <c r="AK1067">
        <f t="shared" si="148"/>
        <v>1132096</v>
      </c>
      <c r="AL1067">
        <f t="shared" si="151"/>
        <v>4609.1786899999997</v>
      </c>
      <c r="AM1067" t="str">
        <f t="shared" si="152"/>
        <v/>
      </c>
    </row>
    <row r="1068" spans="1:39" x14ac:dyDescent="0.55000000000000004">
      <c r="A1068">
        <v>1777871702</v>
      </c>
      <c r="B1068" t="s">
        <v>72</v>
      </c>
      <c r="C1068" t="s">
        <v>73</v>
      </c>
      <c r="D1068">
        <v>4596.32</v>
      </c>
      <c r="E1068">
        <v>4518.5928199999998</v>
      </c>
      <c r="F1068">
        <v>4596.0559499999999</v>
      </c>
      <c r="G1068">
        <v>4755.40355</v>
      </c>
      <c r="H1068">
        <v>4792.7697200000002</v>
      </c>
      <c r="Q1068">
        <v>4532.3717699999997</v>
      </c>
      <c r="R1068">
        <v>4561.7350699999997</v>
      </c>
      <c r="S1068">
        <v>4588.32384</v>
      </c>
      <c r="V1068">
        <v>4497.4319999999998</v>
      </c>
      <c r="W1068">
        <v>4463.8670099999999</v>
      </c>
      <c r="AB1068">
        <v>4601.33061</v>
      </c>
      <c r="AC1068">
        <v>4603.3342899999998</v>
      </c>
      <c r="AD1068">
        <v>0</v>
      </c>
      <c r="AE1068">
        <f t="shared" si="149"/>
        <v>1066</v>
      </c>
      <c r="AF1068">
        <f t="shared" si="150"/>
        <v>1065</v>
      </c>
      <c r="AG1068">
        <f t="shared" si="144"/>
        <v>63.948229999999967</v>
      </c>
      <c r="AH1068">
        <f t="shared" si="145"/>
        <v>4089.3761201328957</v>
      </c>
      <c r="AI1068">
        <f t="shared" si="146"/>
        <v>6.0159077690455254</v>
      </c>
      <c r="AJ1068">
        <f t="shared" si="147"/>
        <v>10.941282357531446</v>
      </c>
      <c r="AK1068">
        <f t="shared" si="148"/>
        <v>1134225</v>
      </c>
      <c r="AL1068">
        <f t="shared" si="151"/>
        <v>4609.1786899999997</v>
      </c>
      <c r="AM1068" t="str">
        <f t="shared" si="152"/>
        <v/>
      </c>
    </row>
    <row r="1069" spans="1:39" x14ac:dyDescent="0.55000000000000004">
      <c r="A1069">
        <v>1777872602</v>
      </c>
      <c r="B1069" t="s">
        <v>72</v>
      </c>
      <c r="C1069" t="s">
        <v>73</v>
      </c>
      <c r="D1069">
        <v>4598.8500000000004</v>
      </c>
      <c r="E1069">
        <v>4518.5928199999998</v>
      </c>
      <c r="F1069">
        <v>4596.0559499999999</v>
      </c>
      <c r="G1069">
        <v>4755.40355</v>
      </c>
      <c r="H1069">
        <v>4792.7697200000002</v>
      </c>
      <c r="Q1069">
        <v>4532.1041699999996</v>
      </c>
      <c r="R1069">
        <v>4561.4674699999996</v>
      </c>
      <c r="S1069">
        <v>4588.0562399999999</v>
      </c>
      <c r="V1069">
        <v>4497.1643999999997</v>
      </c>
      <c r="W1069">
        <v>4463.5994000000001</v>
      </c>
      <c r="AB1069">
        <v>4599.3138200000003</v>
      </c>
      <c r="AC1069">
        <v>4601.3240599999999</v>
      </c>
      <c r="AD1069">
        <v>0</v>
      </c>
      <c r="AE1069">
        <f t="shared" si="149"/>
        <v>1067</v>
      </c>
      <c r="AF1069">
        <f t="shared" si="150"/>
        <v>1066</v>
      </c>
      <c r="AG1069">
        <f t="shared" si="144"/>
        <v>66.745830000000751</v>
      </c>
      <c r="AH1069">
        <f t="shared" si="145"/>
        <v>4455.0058223890001</v>
      </c>
      <c r="AI1069">
        <f t="shared" si="146"/>
        <v>6.8405023815872319</v>
      </c>
      <c r="AJ1069">
        <f t="shared" si="147"/>
        <v>12.985260441921541</v>
      </c>
      <c r="AK1069">
        <f t="shared" si="148"/>
        <v>1136356</v>
      </c>
      <c r="AL1069">
        <f t="shared" si="151"/>
        <v>4609.1786899999997</v>
      </c>
      <c r="AM1069" t="str">
        <f t="shared" si="152"/>
        <v/>
      </c>
    </row>
    <row r="1070" spans="1:39" x14ac:dyDescent="0.55000000000000004">
      <c r="A1070">
        <v>1777873502</v>
      </c>
      <c r="B1070" t="s">
        <v>72</v>
      </c>
      <c r="C1070" t="s">
        <v>73</v>
      </c>
      <c r="D1070">
        <v>4599.12</v>
      </c>
      <c r="E1070">
        <v>4518.5928199999998</v>
      </c>
      <c r="F1070">
        <v>4596.0559499999999</v>
      </c>
      <c r="G1070">
        <v>4755.40355</v>
      </c>
      <c r="H1070">
        <v>4792.7697200000002</v>
      </c>
      <c r="Q1070">
        <v>4531.8365599999997</v>
      </c>
      <c r="R1070">
        <v>4561.1998599999997</v>
      </c>
      <c r="S1070">
        <v>4587.78863</v>
      </c>
      <c r="V1070">
        <v>4496.8967899999998</v>
      </c>
      <c r="W1070">
        <v>4463.3317999999999</v>
      </c>
      <c r="AB1070">
        <v>4597.3370599999998</v>
      </c>
      <c r="AC1070">
        <v>4599.3305600000003</v>
      </c>
      <c r="AD1070">
        <v>0</v>
      </c>
      <c r="AE1070">
        <f t="shared" si="149"/>
        <v>1068</v>
      </c>
      <c r="AF1070">
        <f t="shared" si="150"/>
        <v>1067</v>
      </c>
      <c r="AG1070">
        <f t="shared" si="144"/>
        <v>67.283440000000155</v>
      </c>
      <c r="AH1070">
        <f t="shared" si="145"/>
        <v>4527.0612982336206</v>
      </c>
      <c r="AI1070">
        <f t="shared" si="146"/>
        <v>7.0071295521398014</v>
      </c>
      <c r="AJ1070">
        <f t="shared" si="147"/>
        <v>13.408705822352383</v>
      </c>
      <c r="AK1070">
        <f t="shared" si="148"/>
        <v>1138489</v>
      </c>
      <c r="AL1070">
        <f t="shared" si="151"/>
        <v>4609.1786899999997</v>
      </c>
      <c r="AM1070" t="str">
        <f t="shared" si="152"/>
        <v/>
      </c>
    </row>
    <row r="1071" spans="1:39" x14ac:dyDescent="0.55000000000000004">
      <c r="A1071">
        <v>1777874402</v>
      </c>
      <c r="B1071" t="s">
        <v>72</v>
      </c>
      <c r="C1071" t="s">
        <v>73</v>
      </c>
      <c r="D1071">
        <v>4597.4399999999996</v>
      </c>
      <c r="E1071">
        <v>4518.5928199999998</v>
      </c>
      <c r="F1071">
        <v>4596.0559499999999</v>
      </c>
      <c r="G1071">
        <v>4755.40355</v>
      </c>
      <c r="H1071">
        <v>4792.7697200000002</v>
      </c>
      <c r="Q1071">
        <v>4531.5689599999996</v>
      </c>
      <c r="R1071">
        <v>4560.9322599999996</v>
      </c>
      <c r="S1071">
        <v>4587.5210299999999</v>
      </c>
      <c r="V1071">
        <v>4496.6291899999997</v>
      </c>
      <c r="W1071">
        <v>4463.0641900000001</v>
      </c>
      <c r="AB1071">
        <v>4595.2920800000002</v>
      </c>
      <c r="AC1071">
        <v>4597.3113199999998</v>
      </c>
      <c r="AD1071">
        <v>0</v>
      </c>
      <c r="AE1071">
        <f t="shared" si="149"/>
        <v>1069</v>
      </c>
      <c r="AF1071">
        <f t="shared" si="150"/>
        <v>1068</v>
      </c>
      <c r="AG1071">
        <f t="shared" si="144"/>
        <v>65.871039999999994</v>
      </c>
      <c r="AH1071">
        <f t="shared" si="145"/>
        <v>4338.9939106815991</v>
      </c>
      <c r="AI1071">
        <f t="shared" si="146"/>
        <v>6.5750512972021875</v>
      </c>
      <c r="AJ1071">
        <f t="shared" si="147"/>
        <v>12.317772931105345</v>
      </c>
      <c r="AK1071">
        <f t="shared" si="148"/>
        <v>1140624</v>
      </c>
      <c r="AL1071">
        <f t="shared" si="151"/>
        <v>4609.1786899999997</v>
      </c>
      <c r="AM1071" t="str">
        <f t="shared" si="152"/>
        <v/>
      </c>
    </row>
    <row r="1072" spans="1:39" x14ac:dyDescent="0.55000000000000004">
      <c r="A1072">
        <v>1777875302</v>
      </c>
      <c r="B1072" t="s">
        <v>72</v>
      </c>
      <c r="C1072" t="s">
        <v>73</v>
      </c>
      <c r="D1072">
        <v>4594.08</v>
      </c>
      <c r="E1072">
        <v>4518.5928199999998</v>
      </c>
      <c r="F1072">
        <v>4596.0559499999999</v>
      </c>
      <c r="G1072">
        <v>4755.40355</v>
      </c>
      <c r="H1072">
        <v>4792.7697200000002</v>
      </c>
      <c r="Q1072">
        <v>4531.3013600000004</v>
      </c>
      <c r="R1072">
        <v>4560.6646499999997</v>
      </c>
      <c r="S1072">
        <v>4587.2534299999998</v>
      </c>
      <c r="V1072">
        <v>4496.3615900000004</v>
      </c>
      <c r="W1072">
        <v>4462.7965899999999</v>
      </c>
      <c r="AB1072">
        <v>4593.10538</v>
      </c>
      <c r="AC1072">
        <v>4595.2083499999999</v>
      </c>
      <c r="AD1072">
        <v>0</v>
      </c>
      <c r="AE1072">
        <f t="shared" si="149"/>
        <v>1070</v>
      </c>
      <c r="AF1072">
        <f t="shared" si="150"/>
        <v>1069</v>
      </c>
      <c r="AG1072">
        <f t="shared" si="144"/>
        <v>62.778639999999541</v>
      </c>
      <c r="AH1072">
        <f t="shared" si="145"/>
        <v>3941.1576402495425</v>
      </c>
      <c r="AI1072">
        <f t="shared" si="146"/>
        <v>5.6918217904891577</v>
      </c>
      <c r="AJ1072">
        <f t="shared" si="147"/>
        <v>10.162527300758709</v>
      </c>
      <c r="AK1072">
        <f t="shared" si="148"/>
        <v>1142761</v>
      </c>
      <c r="AL1072">
        <f t="shared" si="151"/>
        <v>4609.1786899999997</v>
      </c>
      <c r="AM1072" t="str">
        <f t="shared" si="152"/>
        <v/>
      </c>
    </row>
    <row r="1073" spans="1:39" x14ac:dyDescent="0.55000000000000004">
      <c r="A1073">
        <v>1777876202</v>
      </c>
      <c r="B1073" t="s">
        <v>72</v>
      </c>
      <c r="C1073" t="s">
        <v>73</v>
      </c>
      <c r="D1073">
        <v>4585.46</v>
      </c>
      <c r="E1073">
        <v>4518.5928199999998</v>
      </c>
      <c r="F1073">
        <v>4596.0559499999999</v>
      </c>
      <c r="G1073">
        <v>4755.40355</v>
      </c>
      <c r="H1073">
        <v>4792.7697200000002</v>
      </c>
      <c r="Q1073">
        <v>4531.0337499999996</v>
      </c>
      <c r="R1073">
        <v>4560.3970499999996</v>
      </c>
      <c r="S1073">
        <v>4586.9858199999999</v>
      </c>
      <c r="V1073">
        <v>4496.0939799999996</v>
      </c>
      <c r="W1073">
        <v>4462.5289899999998</v>
      </c>
      <c r="AB1073">
        <v>4590.84735</v>
      </c>
      <c r="AC1073">
        <v>4593.0278500000004</v>
      </c>
      <c r="AD1073">
        <v>0</v>
      </c>
      <c r="AE1073">
        <f t="shared" si="149"/>
        <v>1071</v>
      </c>
      <c r="AF1073">
        <f t="shared" si="150"/>
        <v>1070</v>
      </c>
      <c r="AG1073">
        <f t="shared" si="144"/>
        <v>54.426250000000437</v>
      </c>
      <c r="AH1073">
        <f t="shared" si="145"/>
        <v>2962.2166890625476</v>
      </c>
      <c r="AI1073">
        <f t="shared" si="146"/>
        <v>3.7088632535582615</v>
      </c>
      <c r="AJ1073">
        <f t="shared" si="147"/>
        <v>5.7410028369870094</v>
      </c>
      <c r="AK1073">
        <f t="shared" si="148"/>
        <v>1144900</v>
      </c>
      <c r="AL1073">
        <f t="shared" si="151"/>
        <v>4609.1786899999997</v>
      </c>
      <c r="AM1073" t="str">
        <f t="shared" si="152"/>
        <v/>
      </c>
    </row>
    <row r="1074" spans="1:39" x14ac:dyDescent="0.55000000000000004">
      <c r="A1074">
        <v>1777877102</v>
      </c>
      <c r="B1074" t="s">
        <v>72</v>
      </c>
      <c r="C1074" t="s">
        <v>73</v>
      </c>
      <c r="D1074">
        <v>4588.54</v>
      </c>
      <c r="E1074">
        <v>4518.5928199999998</v>
      </c>
      <c r="F1074">
        <v>4596.0559499999999</v>
      </c>
      <c r="G1074">
        <v>4755.40355</v>
      </c>
      <c r="H1074">
        <v>4792.7697200000002</v>
      </c>
      <c r="Q1074">
        <v>4530.7661500000004</v>
      </c>
      <c r="R1074">
        <v>4560.1294500000004</v>
      </c>
      <c r="S1074">
        <v>4586.7182199999997</v>
      </c>
      <c r="V1074">
        <v>4495.8263800000004</v>
      </c>
      <c r="W1074">
        <v>4462.2613799999999</v>
      </c>
      <c r="AB1074">
        <v>4588.78298</v>
      </c>
      <c r="AC1074">
        <v>4590.90542</v>
      </c>
      <c r="AD1074">
        <v>0</v>
      </c>
      <c r="AE1074">
        <f t="shared" si="149"/>
        <v>1072</v>
      </c>
      <c r="AF1074">
        <f t="shared" si="150"/>
        <v>1071</v>
      </c>
      <c r="AG1074">
        <f t="shared" si="144"/>
        <v>57.773849999999584</v>
      </c>
      <c r="AH1074">
        <f t="shared" si="145"/>
        <v>3337.817743822452</v>
      </c>
      <c r="AI1074">
        <f t="shared" si="146"/>
        <v>4.4361836110415549</v>
      </c>
      <c r="AJ1074">
        <f t="shared" si="147"/>
        <v>7.2891913432219715</v>
      </c>
      <c r="AK1074">
        <f t="shared" si="148"/>
        <v>1147041</v>
      </c>
      <c r="AL1074">
        <f t="shared" si="151"/>
        <v>4609.1786899999997</v>
      </c>
      <c r="AM1074" t="str">
        <f t="shared" si="152"/>
        <v/>
      </c>
    </row>
    <row r="1075" spans="1:39" x14ac:dyDescent="0.55000000000000004">
      <c r="A1075">
        <v>1777878002</v>
      </c>
      <c r="B1075" t="s">
        <v>72</v>
      </c>
      <c r="C1075" t="s">
        <v>73</v>
      </c>
      <c r="D1075">
        <v>4592.16</v>
      </c>
      <c r="E1075">
        <v>4518.5928199999998</v>
      </c>
      <c r="F1075">
        <v>4596.0559499999999</v>
      </c>
      <c r="G1075">
        <v>4755.40355</v>
      </c>
      <c r="H1075">
        <v>4792.7697200000002</v>
      </c>
      <c r="Q1075">
        <v>4530.4985399999996</v>
      </c>
      <c r="R1075">
        <v>4559.8618399999996</v>
      </c>
      <c r="S1075">
        <v>4586.4506099999999</v>
      </c>
      <c r="V1075">
        <v>4495.5587699999996</v>
      </c>
      <c r="W1075">
        <v>4461.9937799999998</v>
      </c>
      <c r="AB1075">
        <v>4586.8504300000004</v>
      </c>
      <c r="AC1075">
        <v>4588.8779199999999</v>
      </c>
      <c r="AD1075">
        <v>0</v>
      </c>
      <c r="AE1075">
        <f t="shared" si="149"/>
        <v>1073</v>
      </c>
      <c r="AF1075">
        <f t="shared" si="150"/>
        <v>1072</v>
      </c>
      <c r="AG1075">
        <f t="shared" si="144"/>
        <v>61.661460000000261</v>
      </c>
      <c r="AH1075">
        <f t="shared" si="145"/>
        <v>3802.1356493316321</v>
      </c>
      <c r="AI1075">
        <f t="shared" si="146"/>
        <v>5.3933300140539409</v>
      </c>
      <c r="AJ1075">
        <f t="shared" si="147"/>
        <v>9.4582181589105403</v>
      </c>
      <c r="AK1075">
        <f t="shared" si="148"/>
        <v>1149184</v>
      </c>
      <c r="AL1075">
        <f t="shared" si="151"/>
        <v>4609.1786899999997</v>
      </c>
      <c r="AM1075" t="str">
        <f t="shared" si="152"/>
        <v/>
      </c>
    </row>
    <row r="1076" spans="1:39" x14ac:dyDescent="0.55000000000000004">
      <c r="A1076">
        <v>1777878902</v>
      </c>
      <c r="B1076" t="s">
        <v>72</v>
      </c>
      <c r="C1076" t="s">
        <v>73</v>
      </c>
      <c r="D1076">
        <v>4585.82</v>
      </c>
      <c r="E1076">
        <v>4518.5928199999998</v>
      </c>
      <c r="F1076">
        <v>4596.0559499999999</v>
      </c>
      <c r="G1076">
        <v>4755.40355</v>
      </c>
      <c r="H1076">
        <v>4792.7697200000002</v>
      </c>
      <c r="Q1076">
        <v>4530.2309400000004</v>
      </c>
      <c r="R1076">
        <v>4559.5942400000004</v>
      </c>
      <c r="S1076">
        <v>4586.1830099999997</v>
      </c>
      <c r="V1076">
        <v>4495.2911700000004</v>
      </c>
      <c r="W1076">
        <v>4461.7261699999999</v>
      </c>
      <c r="AB1076">
        <v>4585.0215500000004</v>
      </c>
      <c r="AC1076">
        <v>4586.94974</v>
      </c>
      <c r="AD1076">
        <v>0</v>
      </c>
      <c r="AE1076">
        <f t="shared" si="149"/>
        <v>1074</v>
      </c>
      <c r="AF1076">
        <f t="shared" si="150"/>
        <v>1073</v>
      </c>
      <c r="AG1076">
        <f t="shared" si="144"/>
        <v>55.589059999999336</v>
      </c>
      <c r="AH1076">
        <f t="shared" si="145"/>
        <v>3090.1435916835262</v>
      </c>
      <c r="AI1076">
        <f t="shared" si="146"/>
        <v>3.9516964360708537</v>
      </c>
      <c r="AJ1076">
        <f t="shared" si="147"/>
        <v>6.2475743573964495</v>
      </c>
      <c r="AK1076">
        <f t="shared" si="148"/>
        <v>1151329</v>
      </c>
      <c r="AL1076">
        <f t="shared" si="151"/>
        <v>4609.1786899999997</v>
      </c>
      <c r="AM1076" t="str">
        <f t="shared" si="152"/>
        <v/>
      </c>
    </row>
    <row r="1077" spans="1:39" x14ac:dyDescent="0.55000000000000004">
      <c r="A1077">
        <v>1777879802</v>
      </c>
      <c r="B1077" t="s">
        <v>72</v>
      </c>
      <c r="C1077" t="s">
        <v>73</v>
      </c>
      <c r="D1077">
        <v>4587.99</v>
      </c>
      <c r="E1077">
        <v>4518.5928199999998</v>
      </c>
      <c r="F1077">
        <v>4596.0559499999999</v>
      </c>
      <c r="G1077">
        <v>4755.40355</v>
      </c>
      <c r="H1077">
        <v>4792.7697200000002</v>
      </c>
      <c r="Q1077">
        <v>4529.9633400000002</v>
      </c>
      <c r="R1077">
        <v>4559.3266299999996</v>
      </c>
      <c r="S1077">
        <v>4585.9154099999996</v>
      </c>
      <c r="V1077">
        <v>4495.0235700000003</v>
      </c>
      <c r="W1077">
        <v>4461.4585699999998</v>
      </c>
      <c r="AB1077">
        <v>4583.5621300000003</v>
      </c>
      <c r="AC1077">
        <v>4585.2559300000003</v>
      </c>
      <c r="AD1077">
        <v>0</v>
      </c>
      <c r="AE1077">
        <f t="shared" si="149"/>
        <v>1075</v>
      </c>
      <c r="AF1077">
        <f t="shared" si="150"/>
        <v>1074</v>
      </c>
      <c r="AG1077">
        <f t="shared" si="144"/>
        <v>58.026659999999538</v>
      </c>
      <c r="AH1077">
        <f t="shared" si="145"/>
        <v>3367.0932707555462</v>
      </c>
      <c r="AI1077">
        <f t="shared" si="146"/>
        <v>4.4946751072401687</v>
      </c>
      <c r="AJ1077">
        <f t="shared" si="147"/>
        <v>7.4176170166682356</v>
      </c>
      <c r="AK1077">
        <f t="shared" si="148"/>
        <v>1153476</v>
      </c>
      <c r="AL1077">
        <f t="shared" si="151"/>
        <v>4609.1786899999997</v>
      </c>
      <c r="AM1077" t="str">
        <f t="shared" si="152"/>
        <v/>
      </c>
    </row>
    <row r="1078" spans="1:39" x14ac:dyDescent="0.55000000000000004">
      <c r="A1078">
        <v>1777880702</v>
      </c>
      <c r="B1078" t="s">
        <v>72</v>
      </c>
      <c r="C1078" t="s">
        <v>73</v>
      </c>
      <c r="D1078">
        <v>4579.0600000000004</v>
      </c>
      <c r="E1078">
        <v>4518.5928199999998</v>
      </c>
      <c r="F1078">
        <v>4596.0559499999999</v>
      </c>
      <c r="G1078">
        <v>4755.40355</v>
      </c>
      <c r="H1078">
        <v>4792.7697200000002</v>
      </c>
      <c r="Q1078">
        <v>4529.6957300000004</v>
      </c>
      <c r="R1078">
        <v>4559.0590300000003</v>
      </c>
      <c r="S1078">
        <v>4585.6477999999997</v>
      </c>
      <c r="V1078">
        <v>4494.7559600000004</v>
      </c>
      <c r="W1078">
        <v>4461.1909599999999</v>
      </c>
      <c r="AB1078">
        <v>4582.44301</v>
      </c>
      <c r="AC1078">
        <v>4583.8494700000001</v>
      </c>
      <c r="AD1078">
        <v>0</v>
      </c>
      <c r="AE1078">
        <f t="shared" si="149"/>
        <v>1076</v>
      </c>
      <c r="AF1078">
        <f t="shared" si="150"/>
        <v>1075</v>
      </c>
      <c r="AG1078">
        <f t="shared" si="144"/>
        <v>49.364270000000033</v>
      </c>
      <c r="AH1078">
        <f t="shared" si="145"/>
        <v>2436.8311526329035</v>
      </c>
      <c r="AI1078">
        <f t="shared" si="146"/>
        <v>2.7672840607529796</v>
      </c>
      <c r="AJ1078">
        <f t="shared" si="147"/>
        <v>3.8851249325416766</v>
      </c>
      <c r="AK1078">
        <f t="shared" si="148"/>
        <v>1155625</v>
      </c>
      <c r="AL1078">
        <f t="shared" si="151"/>
        <v>4609.1786899999997</v>
      </c>
      <c r="AM1078" t="str">
        <f t="shared" si="152"/>
        <v/>
      </c>
    </row>
    <row r="1079" spans="1:39" x14ac:dyDescent="0.55000000000000004">
      <c r="A1079">
        <v>1777881602</v>
      </c>
      <c r="B1079" t="s">
        <v>72</v>
      </c>
      <c r="C1079" t="s">
        <v>73</v>
      </c>
      <c r="D1079">
        <v>4580.25</v>
      </c>
      <c r="E1079">
        <v>4518.5928199999998</v>
      </c>
      <c r="F1079">
        <v>4596.0559499999999</v>
      </c>
      <c r="G1079">
        <v>4755.40355</v>
      </c>
      <c r="H1079">
        <v>4792.7697200000002</v>
      </c>
      <c r="Q1079">
        <v>4529.4281300000002</v>
      </c>
      <c r="R1079">
        <v>4558.7914300000002</v>
      </c>
      <c r="S1079">
        <v>4585.3801999999996</v>
      </c>
      <c r="V1079">
        <v>4494.4883600000003</v>
      </c>
      <c r="W1079">
        <v>4460.9233599999998</v>
      </c>
      <c r="AB1079">
        <v>4581.8234599999996</v>
      </c>
      <c r="AC1079">
        <v>4582.8364600000004</v>
      </c>
      <c r="AD1079">
        <v>0</v>
      </c>
      <c r="AE1079">
        <f t="shared" si="149"/>
        <v>1077</v>
      </c>
      <c r="AF1079">
        <f t="shared" si="150"/>
        <v>1076</v>
      </c>
      <c r="AG1079">
        <f t="shared" si="144"/>
        <v>50.821869999999763</v>
      </c>
      <c r="AH1079">
        <f t="shared" si="145"/>
        <v>2582.8624702968759</v>
      </c>
      <c r="AI1079">
        <f t="shared" si="146"/>
        <v>3.0197257848233625</v>
      </c>
      <c r="AJ1079">
        <f t="shared" si="147"/>
        <v>4.3647228928031945</v>
      </c>
      <c r="AK1079">
        <f t="shared" si="148"/>
        <v>1157776</v>
      </c>
      <c r="AL1079">
        <f t="shared" si="151"/>
        <v>4609.1786899999997</v>
      </c>
      <c r="AM1079" t="str">
        <f t="shared" si="152"/>
        <v/>
      </c>
    </row>
    <row r="1080" spans="1:39" x14ac:dyDescent="0.55000000000000004">
      <c r="A1080">
        <v>1777882502</v>
      </c>
      <c r="B1080" t="s">
        <v>72</v>
      </c>
      <c r="C1080" t="s">
        <v>73</v>
      </c>
      <c r="D1080">
        <v>4575.07</v>
      </c>
      <c r="E1080">
        <v>4518.5928199999998</v>
      </c>
      <c r="F1080">
        <v>4596.0559499999999</v>
      </c>
      <c r="G1080">
        <v>4755.40355</v>
      </c>
      <c r="H1080">
        <v>4792.7697200000002</v>
      </c>
      <c r="Q1080">
        <v>4529.1605200000004</v>
      </c>
      <c r="R1080">
        <v>4558.5238200000003</v>
      </c>
      <c r="S1080">
        <v>4585.1125899999997</v>
      </c>
      <c r="V1080">
        <v>4494.2207500000004</v>
      </c>
      <c r="W1080">
        <v>4460.6557599999996</v>
      </c>
      <c r="AB1080">
        <v>4581.4146199999996</v>
      </c>
      <c r="AC1080">
        <v>4582.12554</v>
      </c>
      <c r="AD1080">
        <v>0</v>
      </c>
      <c r="AE1080">
        <f t="shared" si="149"/>
        <v>1078</v>
      </c>
      <c r="AF1080">
        <f t="shared" si="150"/>
        <v>1077</v>
      </c>
      <c r="AG1080">
        <f t="shared" si="144"/>
        <v>45.909479999999348</v>
      </c>
      <c r="AH1080">
        <f t="shared" si="145"/>
        <v>2107.6803538703402</v>
      </c>
      <c r="AI1080">
        <f t="shared" si="146"/>
        <v>2.2259874197826819</v>
      </c>
      <c r="AJ1080">
        <f t="shared" si="147"/>
        <v>2.906455027986901</v>
      </c>
      <c r="AK1080">
        <f t="shared" si="148"/>
        <v>1159929</v>
      </c>
      <c r="AL1080">
        <f t="shared" si="151"/>
        <v>4609.1786899999997</v>
      </c>
      <c r="AM1080" t="str">
        <f t="shared" si="152"/>
        <v/>
      </c>
    </row>
    <row r="1081" spans="1:39" x14ac:dyDescent="0.55000000000000004">
      <c r="A1081">
        <v>1777883402</v>
      </c>
      <c r="B1081" t="s">
        <v>72</v>
      </c>
      <c r="C1081" t="s">
        <v>73</v>
      </c>
      <c r="D1081">
        <v>4578.09</v>
      </c>
      <c r="E1081">
        <v>4518.5928199999998</v>
      </c>
      <c r="F1081">
        <v>4596.0559499999999</v>
      </c>
      <c r="G1081">
        <v>4755.40355</v>
      </c>
      <c r="H1081">
        <v>4792.7697200000002</v>
      </c>
      <c r="Q1081">
        <v>4528.8929200000002</v>
      </c>
      <c r="R1081">
        <v>4558.2562200000002</v>
      </c>
      <c r="S1081">
        <v>4584.8449899999996</v>
      </c>
      <c r="V1081">
        <v>4493.9531500000003</v>
      </c>
      <c r="W1081">
        <v>4460.3881499999998</v>
      </c>
      <c r="AB1081">
        <v>4580.9816099999998</v>
      </c>
      <c r="AC1081">
        <v>4581.55357</v>
      </c>
      <c r="AD1081">
        <v>0</v>
      </c>
      <c r="AE1081">
        <f t="shared" si="149"/>
        <v>1079</v>
      </c>
      <c r="AF1081">
        <f t="shared" si="150"/>
        <v>1078</v>
      </c>
      <c r="AG1081">
        <f t="shared" si="144"/>
        <v>49.197079999999914</v>
      </c>
      <c r="AH1081">
        <f t="shared" si="145"/>
        <v>2420.3526805263914</v>
      </c>
      <c r="AI1081">
        <f t="shared" si="146"/>
        <v>2.7392619497536215</v>
      </c>
      <c r="AJ1081">
        <f t="shared" si="147"/>
        <v>3.8327581857691513</v>
      </c>
      <c r="AK1081">
        <f t="shared" si="148"/>
        <v>1162084</v>
      </c>
      <c r="AL1081">
        <f t="shared" si="151"/>
        <v>4609.1786899999997</v>
      </c>
      <c r="AM1081" t="str">
        <f t="shared" si="152"/>
        <v/>
      </c>
    </row>
    <row r="1082" spans="1:39" x14ac:dyDescent="0.55000000000000004">
      <c r="A1082">
        <v>1777884302</v>
      </c>
      <c r="B1082" t="s">
        <v>72</v>
      </c>
      <c r="C1082" t="s">
        <v>73</v>
      </c>
      <c r="D1082">
        <v>4577.1099999999997</v>
      </c>
      <c r="E1082">
        <v>4518.5928199999998</v>
      </c>
      <c r="F1082">
        <v>4596.0559499999999</v>
      </c>
      <c r="G1082">
        <v>4755.40355</v>
      </c>
      <c r="H1082">
        <v>4792.7697200000002</v>
      </c>
      <c r="Q1082">
        <v>4528.6253100000004</v>
      </c>
      <c r="R1082">
        <v>4557.9886100000003</v>
      </c>
      <c r="S1082">
        <v>4584.5773799999997</v>
      </c>
      <c r="V1082">
        <v>4493.6855400000004</v>
      </c>
      <c r="W1082">
        <v>4460.1205499999996</v>
      </c>
      <c r="AB1082">
        <v>4580.0490799999998</v>
      </c>
      <c r="AC1082">
        <v>4580.8013300000002</v>
      </c>
      <c r="AD1082">
        <v>0</v>
      </c>
      <c r="AE1082">
        <f t="shared" si="149"/>
        <v>1080</v>
      </c>
      <c r="AF1082">
        <f t="shared" si="150"/>
        <v>1079</v>
      </c>
      <c r="AG1082">
        <f t="shared" si="144"/>
        <v>48.484689999999318</v>
      </c>
      <c r="AH1082">
        <f t="shared" si="145"/>
        <v>2350.7651643960339</v>
      </c>
      <c r="AI1082">
        <f t="shared" si="146"/>
        <v>2.6219804791724588</v>
      </c>
      <c r="AJ1082">
        <f t="shared" si="147"/>
        <v>3.6155352938387995</v>
      </c>
      <c r="AK1082">
        <f t="shared" si="148"/>
        <v>1164241</v>
      </c>
      <c r="AL1082">
        <f t="shared" si="151"/>
        <v>4609.1786899999997</v>
      </c>
      <c r="AM1082" t="str">
        <f t="shared" si="152"/>
        <v/>
      </c>
    </row>
    <row r="1083" spans="1:39" x14ac:dyDescent="0.55000000000000004">
      <c r="A1083">
        <v>1777885202</v>
      </c>
      <c r="B1083" t="s">
        <v>72</v>
      </c>
      <c r="C1083" t="s">
        <v>73</v>
      </c>
      <c r="D1083">
        <v>4584.21</v>
      </c>
      <c r="E1083">
        <v>4518.5928199999998</v>
      </c>
      <c r="F1083">
        <v>4596.0559499999999</v>
      </c>
      <c r="G1083">
        <v>4755.40355</v>
      </c>
      <c r="H1083">
        <v>4792.7697200000002</v>
      </c>
      <c r="Q1083">
        <v>4528.3577100000002</v>
      </c>
      <c r="R1083">
        <v>4557.7210100000002</v>
      </c>
      <c r="S1083">
        <v>4584.3097799999996</v>
      </c>
      <c r="V1083">
        <v>4493.4179400000003</v>
      </c>
      <c r="W1083">
        <v>4459.8529399999998</v>
      </c>
      <c r="AB1083">
        <v>4578.2729900000004</v>
      </c>
      <c r="AC1083">
        <v>4579.5371599999999</v>
      </c>
      <c r="AD1083">
        <v>0</v>
      </c>
      <c r="AE1083">
        <f t="shared" si="149"/>
        <v>1081</v>
      </c>
      <c r="AF1083">
        <f t="shared" si="150"/>
        <v>1080</v>
      </c>
      <c r="AG1083">
        <f t="shared" si="144"/>
        <v>55.852289999999812</v>
      </c>
      <c r="AH1083">
        <f t="shared" si="145"/>
        <v>3119.4782982440788</v>
      </c>
      <c r="AI1083">
        <f t="shared" si="146"/>
        <v>4.0080998989614383</v>
      </c>
      <c r="AJ1083">
        <f t="shared" si="147"/>
        <v>6.366753708713472</v>
      </c>
      <c r="AK1083">
        <f t="shared" si="148"/>
        <v>1166400</v>
      </c>
      <c r="AL1083">
        <f t="shared" si="151"/>
        <v>4609.1786899999997</v>
      </c>
      <c r="AM1083" t="str">
        <f t="shared" si="152"/>
        <v/>
      </c>
    </row>
    <row r="1084" spans="1:39" x14ac:dyDescent="0.55000000000000004">
      <c r="A1084">
        <v>1777886102</v>
      </c>
      <c r="B1084" t="s">
        <v>72</v>
      </c>
      <c r="C1084" t="s">
        <v>73</v>
      </c>
      <c r="D1084">
        <v>4581.1499999999996</v>
      </c>
      <c r="E1084">
        <v>4518.5928199999998</v>
      </c>
      <c r="F1084">
        <v>4596.0559499999999</v>
      </c>
      <c r="G1084">
        <v>4755.40355</v>
      </c>
      <c r="H1084">
        <v>4792.7697200000002</v>
      </c>
      <c r="Q1084">
        <v>4528.0901100000001</v>
      </c>
      <c r="R1084">
        <v>4557.4534100000001</v>
      </c>
      <c r="S1084">
        <v>4584.0421800000004</v>
      </c>
      <c r="V1084">
        <v>4493.1503400000001</v>
      </c>
      <c r="W1084">
        <v>4459.5853399999996</v>
      </c>
      <c r="AB1084">
        <v>4575.2566900000002</v>
      </c>
      <c r="AC1084">
        <v>4577.3969200000001</v>
      </c>
      <c r="AD1084">
        <v>0</v>
      </c>
      <c r="AE1084">
        <f t="shared" si="149"/>
        <v>1082</v>
      </c>
      <c r="AF1084">
        <f t="shared" si="150"/>
        <v>1081</v>
      </c>
      <c r="AG1084">
        <f t="shared" si="144"/>
        <v>53.059889999999541</v>
      </c>
      <c r="AH1084">
        <f t="shared" si="145"/>
        <v>2815.3519268120513</v>
      </c>
      <c r="AI1084">
        <f t="shared" si="146"/>
        <v>3.4364863277396434</v>
      </c>
      <c r="AJ1084">
        <f t="shared" si="147"/>
        <v>5.1858445446644899</v>
      </c>
      <c r="AK1084">
        <f t="shared" si="148"/>
        <v>1168561</v>
      </c>
      <c r="AL1084">
        <f t="shared" si="151"/>
        <v>4609.1786899999997</v>
      </c>
      <c r="AM1084" t="str">
        <f t="shared" si="152"/>
        <v/>
      </c>
    </row>
    <row r="1085" spans="1:39" x14ac:dyDescent="0.55000000000000004">
      <c r="A1085">
        <v>1777887002</v>
      </c>
      <c r="B1085" t="s">
        <v>72</v>
      </c>
      <c r="C1085" t="s">
        <v>73</v>
      </c>
      <c r="D1085">
        <v>4581.26</v>
      </c>
      <c r="E1085">
        <v>4518.5928199999998</v>
      </c>
      <c r="F1085">
        <v>4596.0559499999999</v>
      </c>
      <c r="G1085">
        <v>4755.40355</v>
      </c>
      <c r="H1085">
        <v>4792.7697200000002</v>
      </c>
      <c r="Q1085">
        <v>4527.8225000000002</v>
      </c>
      <c r="R1085">
        <v>4557.1858000000002</v>
      </c>
      <c r="S1085">
        <v>4583.7745699999996</v>
      </c>
      <c r="V1085">
        <v>4492.8827300000003</v>
      </c>
      <c r="W1085">
        <v>4459.3177400000004</v>
      </c>
      <c r="AB1085">
        <v>4571.1458300000004</v>
      </c>
      <c r="AC1085">
        <v>4574.2713800000001</v>
      </c>
      <c r="AD1085">
        <v>0</v>
      </c>
      <c r="AE1085">
        <f t="shared" si="149"/>
        <v>1083</v>
      </c>
      <c r="AF1085">
        <f t="shared" si="150"/>
        <v>1082</v>
      </c>
      <c r="AG1085">
        <f t="shared" si="144"/>
        <v>53.4375</v>
      </c>
      <c r="AH1085">
        <f t="shared" si="145"/>
        <v>2855.56640625</v>
      </c>
      <c r="AI1085">
        <f t="shared" si="146"/>
        <v>3.5103787806563371</v>
      </c>
      <c r="AJ1085">
        <f t="shared" si="147"/>
        <v>5.3350518052854445</v>
      </c>
      <c r="AK1085">
        <f t="shared" si="148"/>
        <v>1170724</v>
      </c>
      <c r="AL1085">
        <f t="shared" si="151"/>
        <v>4609.1786899999997</v>
      </c>
      <c r="AM1085" t="str">
        <f t="shared" si="152"/>
        <v/>
      </c>
    </row>
    <row r="1086" spans="1:39" x14ac:dyDescent="0.55000000000000004">
      <c r="A1086">
        <v>1777887902</v>
      </c>
      <c r="B1086" t="s">
        <v>72</v>
      </c>
      <c r="C1086" t="s">
        <v>73</v>
      </c>
      <c r="D1086">
        <v>4575.47</v>
      </c>
      <c r="E1086">
        <v>4518.5928199999998</v>
      </c>
      <c r="F1086">
        <v>4596.0559499999999</v>
      </c>
      <c r="G1086">
        <v>4755.40355</v>
      </c>
      <c r="H1086">
        <v>4792.7697200000002</v>
      </c>
      <c r="Q1086">
        <v>4527.5549000000001</v>
      </c>
      <c r="R1086">
        <v>4556.9182000000001</v>
      </c>
      <c r="S1086">
        <v>4583.5069700000004</v>
      </c>
      <c r="V1086">
        <v>4492.6151300000001</v>
      </c>
      <c r="W1086">
        <v>4459.0501299999996</v>
      </c>
      <c r="AB1086">
        <v>4566.2987400000002</v>
      </c>
      <c r="AC1086">
        <v>4570.2850600000002</v>
      </c>
      <c r="AD1086">
        <v>0</v>
      </c>
      <c r="AE1086">
        <f t="shared" si="149"/>
        <v>1084</v>
      </c>
      <c r="AF1086">
        <f t="shared" si="150"/>
        <v>1083</v>
      </c>
      <c r="AG1086">
        <f t="shared" si="144"/>
        <v>47.915100000000166</v>
      </c>
      <c r="AH1086">
        <f t="shared" si="145"/>
        <v>2295.8568080100158</v>
      </c>
      <c r="AI1086">
        <f t="shared" si="146"/>
        <v>2.5306540591947235</v>
      </c>
      <c r="AJ1086">
        <f t="shared" si="147"/>
        <v>3.4486070216392726</v>
      </c>
      <c r="AK1086">
        <f t="shared" si="148"/>
        <v>1172889</v>
      </c>
      <c r="AL1086">
        <f t="shared" si="151"/>
        <v>4609.1786899999997</v>
      </c>
      <c r="AM1086" t="str">
        <f t="shared" si="152"/>
        <v/>
      </c>
    </row>
    <row r="1087" spans="1:39" x14ac:dyDescent="0.55000000000000004">
      <c r="A1087">
        <v>1777888802</v>
      </c>
      <c r="B1087" t="s">
        <v>72</v>
      </c>
      <c r="C1087" t="s">
        <v>73</v>
      </c>
      <c r="D1087">
        <v>4541.79</v>
      </c>
      <c r="E1087">
        <v>4518.5928199999998</v>
      </c>
      <c r="F1087">
        <v>4596.0559499999999</v>
      </c>
      <c r="G1087">
        <v>4755.40355</v>
      </c>
      <c r="H1087">
        <v>4792.7697200000002</v>
      </c>
      <c r="Q1087">
        <v>4527.2872900000002</v>
      </c>
      <c r="R1087">
        <v>4556.6505900000002</v>
      </c>
      <c r="S1087">
        <v>4583.2393599999996</v>
      </c>
      <c r="V1087">
        <v>4492.3475200000003</v>
      </c>
      <c r="W1087">
        <v>4458.7825300000004</v>
      </c>
      <c r="AB1087">
        <v>4561.4900500000003</v>
      </c>
      <c r="AC1087">
        <v>4565.8875500000004</v>
      </c>
      <c r="AD1087">
        <v>0</v>
      </c>
      <c r="AE1087">
        <f t="shared" si="149"/>
        <v>1085</v>
      </c>
      <c r="AF1087">
        <f t="shared" si="150"/>
        <v>1084</v>
      </c>
      <c r="AG1087">
        <f t="shared" si="144"/>
        <v>14.502709999999752</v>
      </c>
      <c r="AH1087">
        <f t="shared" si="145"/>
        <v>210.3285973440928</v>
      </c>
      <c r="AI1087">
        <f t="shared" si="146"/>
        <v>7.01718736724318E-2</v>
      </c>
      <c r="AJ1087">
        <f t="shared" si="147"/>
        <v>2.8943481118771638E-2</v>
      </c>
      <c r="AK1087">
        <f t="shared" si="148"/>
        <v>1175056</v>
      </c>
      <c r="AL1087">
        <f t="shared" si="151"/>
        <v>4609.1786899999997</v>
      </c>
      <c r="AM1087" t="str">
        <f t="shared" si="152"/>
        <v/>
      </c>
    </row>
    <row r="1088" spans="1:39" x14ac:dyDescent="0.55000000000000004">
      <c r="A1088">
        <v>1777889702</v>
      </c>
      <c r="B1088" t="s">
        <v>72</v>
      </c>
      <c r="C1088" t="s">
        <v>73</v>
      </c>
      <c r="D1088">
        <v>4545</v>
      </c>
      <c r="E1088">
        <v>4518.5928199999998</v>
      </c>
      <c r="F1088">
        <v>4596.0559499999999</v>
      </c>
      <c r="G1088">
        <v>4755.40355</v>
      </c>
      <c r="H1088">
        <v>4792.7697200000002</v>
      </c>
      <c r="Q1088">
        <v>4527.0196900000001</v>
      </c>
      <c r="R1088">
        <v>4556.3829900000001</v>
      </c>
      <c r="S1088">
        <v>4582.9717600000004</v>
      </c>
      <c r="V1088">
        <v>4492.0799200000001</v>
      </c>
      <c r="W1088">
        <v>4458.5149199999996</v>
      </c>
      <c r="AA1088">
        <v>4526.3999999999996</v>
      </c>
      <c r="AB1088">
        <v>4558.2214599999998</v>
      </c>
      <c r="AC1088">
        <v>4562.0545099999999</v>
      </c>
      <c r="AD1088">
        <v>0</v>
      </c>
      <c r="AE1088">
        <f t="shared" si="149"/>
        <v>1086</v>
      </c>
      <c r="AF1088">
        <f t="shared" si="150"/>
        <v>1085</v>
      </c>
      <c r="AG1088">
        <f t="shared" si="144"/>
        <v>17.980309999999918</v>
      </c>
      <c r="AH1088">
        <f t="shared" si="145"/>
        <v>323.29154769609704</v>
      </c>
      <c r="AI1088">
        <f t="shared" si="146"/>
        <v>0.13372330754279893</v>
      </c>
      <c r="AJ1088">
        <f t="shared" si="147"/>
        <v>6.8382159764625389E-2</v>
      </c>
      <c r="AK1088">
        <f t="shared" si="148"/>
        <v>1177225</v>
      </c>
      <c r="AL1088">
        <f t="shared" si="151"/>
        <v>4609.1786899999997</v>
      </c>
      <c r="AM1088" t="str">
        <f t="shared" si="152"/>
        <v/>
      </c>
    </row>
    <row r="1089" spans="1:39" x14ac:dyDescent="0.55000000000000004">
      <c r="A1089">
        <v>1777890602</v>
      </c>
      <c r="B1089" t="s">
        <v>72</v>
      </c>
      <c r="C1089" t="s">
        <v>73</v>
      </c>
      <c r="D1089">
        <v>4558.6400000000003</v>
      </c>
      <c r="E1089">
        <v>4518.5928199999998</v>
      </c>
      <c r="F1089">
        <v>4596.0559499999999</v>
      </c>
      <c r="G1089">
        <v>4755.40355</v>
      </c>
      <c r="H1089">
        <v>4792.7697200000002</v>
      </c>
      <c r="Q1089">
        <v>4526.75209</v>
      </c>
      <c r="R1089">
        <v>4556.1153899999999</v>
      </c>
      <c r="S1089">
        <v>4582.7041600000002</v>
      </c>
      <c r="V1089">
        <v>4491.81232</v>
      </c>
      <c r="W1089">
        <v>4458.2473200000004</v>
      </c>
      <c r="AB1089">
        <v>4556.7514600000004</v>
      </c>
      <c r="AC1089">
        <v>4559.4029799999998</v>
      </c>
      <c r="AD1089">
        <v>0</v>
      </c>
      <c r="AE1089">
        <f t="shared" si="149"/>
        <v>1087</v>
      </c>
      <c r="AF1089">
        <f t="shared" si="150"/>
        <v>1086</v>
      </c>
      <c r="AG1089">
        <f t="shared" si="144"/>
        <v>31.887910000000375</v>
      </c>
      <c r="AH1089">
        <f t="shared" si="145"/>
        <v>1016.8388041681239</v>
      </c>
      <c r="AI1089">
        <f t="shared" si="146"/>
        <v>0.7459225754279174</v>
      </c>
      <c r="AJ1089">
        <f t="shared" si="147"/>
        <v>0.67648525523367986</v>
      </c>
      <c r="AK1089">
        <f t="shared" si="148"/>
        <v>1179396</v>
      </c>
      <c r="AL1089">
        <f t="shared" si="151"/>
        <v>4609.1786899999997</v>
      </c>
      <c r="AM1089" t="str">
        <f t="shared" si="152"/>
        <v/>
      </c>
    </row>
    <row r="1090" spans="1:39" x14ac:dyDescent="0.55000000000000004">
      <c r="A1090">
        <v>1777891502</v>
      </c>
      <c r="B1090" t="s">
        <v>72</v>
      </c>
      <c r="C1090" t="s">
        <v>73</v>
      </c>
      <c r="D1090">
        <v>4562.67</v>
      </c>
      <c r="E1090">
        <v>4518.5928199999998</v>
      </c>
      <c r="F1090">
        <v>4596.0559499999999</v>
      </c>
      <c r="G1090">
        <v>4755.40355</v>
      </c>
      <c r="H1090">
        <v>4792.7697200000002</v>
      </c>
      <c r="Q1090">
        <v>4526.4844800000001</v>
      </c>
      <c r="R1090">
        <v>4555.8477800000001</v>
      </c>
      <c r="S1090">
        <v>4582.4365500000004</v>
      </c>
      <c r="V1090">
        <v>4491.5447100000001</v>
      </c>
      <c r="W1090">
        <v>4457.9797200000003</v>
      </c>
      <c r="AB1090">
        <v>4556.7005399999998</v>
      </c>
      <c r="AC1090">
        <v>4558.0517600000003</v>
      </c>
      <c r="AD1090">
        <v>0</v>
      </c>
      <c r="AE1090">
        <f t="shared" si="149"/>
        <v>1088</v>
      </c>
      <c r="AF1090">
        <f t="shared" si="150"/>
        <v>1087</v>
      </c>
      <c r="AG1090">
        <f t="shared" si="144"/>
        <v>36.185519999999997</v>
      </c>
      <c r="AH1090">
        <f t="shared" si="145"/>
        <v>1309.3918576703998</v>
      </c>
      <c r="AI1090">
        <f t="shared" si="146"/>
        <v>1.0899837879744705</v>
      </c>
      <c r="AJ1090">
        <f t="shared" si="147"/>
        <v>1.1217430426394992</v>
      </c>
      <c r="AK1090">
        <f t="shared" si="148"/>
        <v>1181569</v>
      </c>
      <c r="AL1090">
        <f t="shared" si="151"/>
        <v>4609.1786899999997</v>
      </c>
      <c r="AM1090" t="str">
        <f t="shared" si="152"/>
        <v/>
      </c>
    </row>
    <row r="1091" spans="1:39" x14ac:dyDescent="0.55000000000000004">
      <c r="A1091">
        <v>1777892402</v>
      </c>
      <c r="B1091" t="s">
        <v>72</v>
      </c>
      <c r="C1091" t="s">
        <v>73</v>
      </c>
      <c r="D1091">
        <v>4565.34</v>
      </c>
      <c r="E1091">
        <v>4518.5928199999998</v>
      </c>
      <c r="F1091">
        <v>4596.0559499999999</v>
      </c>
      <c r="G1091">
        <v>4755.40355</v>
      </c>
      <c r="H1091">
        <v>4792.7697200000002</v>
      </c>
      <c r="Q1091">
        <v>4526.2168799999999</v>
      </c>
      <c r="R1091">
        <v>4555.5801799999999</v>
      </c>
      <c r="S1091">
        <v>4582.1689500000002</v>
      </c>
      <c r="V1091">
        <v>4491.27711</v>
      </c>
      <c r="W1091">
        <v>4457.7121100000004</v>
      </c>
      <c r="AB1091">
        <v>4557.6986699999998</v>
      </c>
      <c r="AC1091">
        <v>4557.8752100000002</v>
      </c>
      <c r="AD1091">
        <v>0</v>
      </c>
      <c r="AE1091">
        <f t="shared" si="149"/>
        <v>1089</v>
      </c>
      <c r="AF1091">
        <f t="shared" si="150"/>
        <v>1088</v>
      </c>
      <c r="AG1091">
        <f t="shared" ref="AG1091:AG1137" si="153">D1091-Q1091</f>
        <v>39.123120000000199</v>
      </c>
      <c r="AH1091">
        <f t="shared" ref="AH1091:AH1154" si="154">AG1091^2</f>
        <v>1530.6185185344157</v>
      </c>
      <c r="AI1091">
        <f t="shared" ref="AI1091:AI1137" si="155">(AG1091/STDEV($AG$3:$AG$1137))^3</f>
        <v>1.3775774645120775</v>
      </c>
      <c r="AJ1091">
        <f t="shared" ref="AJ1091:AJ1137" si="156">(AG1091/STDEV($AG$3:$AG$1137))^4</f>
        <v>1.5328089921840526</v>
      </c>
      <c r="AK1091">
        <f t="shared" ref="AK1091:AK1137" si="157">AF1091^2</f>
        <v>1183744</v>
      </c>
      <c r="AL1091">
        <f t="shared" si="151"/>
        <v>4609.1786899999997</v>
      </c>
      <c r="AM1091" t="str">
        <f t="shared" si="152"/>
        <v/>
      </c>
    </row>
    <row r="1092" spans="1:39" x14ac:dyDescent="0.55000000000000004">
      <c r="A1092">
        <v>1777893302</v>
      </c>
      <c r="B1092" t="s">
        <v>72</v>
      </c>
      <c r="C1092" t="s">
        <v>73</v>
      </c>
      <c r="D1092">
        <v>4562.26</v>
      </c>
      <c r="E1092">
        <v>4518.5928199999998</v>
      </c>
      <c r="F1092">
        <v>4596.0559499999999</v>
      </c>
      <c r="G1092">
        <v>4755.40355</v>
      </c>
      <c r="H1092">
        <v>4792.7697200000002</v>
      </c>
      <c r="Q1092">
        <v>4525.9492700000001</v>
      </c>
      <c r="R1092">
        <v>4555.3125700000001</v>
      </c>
      <c r="S1092">
        <v>4581.9013400000003</v>
      </c>
      <c r="V1092">
        <v>4491.0095000000001</v>
      </c>
      <c r="W1092">
        <v>4457.4445100000003</v>
      </c>
      <c r="AB1092">
        <v>4559.2623700000004</v>
      </c>
      <c r="AC1092">
        <v>4558.5687900000003</v>
      </c>
      <c r="AD1092">
        <v>1</v>
      </c>
      <c r="AE1092">
        <f t="shared" ref="AE1092:AE1137" si="158">AE1091+1</f>
        <v>1090</v>
      </c>
      <c r="AF1092">
        <f t="shared" ref="AF1092:AF1137" si="159">AF1091+1</f>
        <v>1089</v>
      </c>
      <c r="AG1092">
        <f t="shared" si="153"/>
        <v>36.310730000000149</v>
      </c>
      <c r="AH1092">
        <f t="shared" si="154"/>
        <v>1318.4691131329107</v>
      </c>
      <c r="AI1092">
        <f t="shared" si="155"/>
        <v>1.1013377485063487</v>
      </c>
      <c r="AJ1092">
        <f t="shared" si="156"/>
        <v>1.1373497416776999</v>
      </c>
      <c r="AK1092">
        <f t="shared" si="157"/>
        <v>1185921</v>
      </c>
      <c r="AL1092">
        <f t="shared" ref="AL1092:AL1137" si="160">IF(AD1092=1,AB1092,IF(AL1091&lt;&gt;"",AL1091,""))</f>
        <v>4559.2623700000004</v>
      </c>
      <c r="AM1092">
        <f t="shared" ref="AM1092:AM1137" si="161">IF(AND(AD1092=1,AL1091&lt;&gt;""),ABS(AB1092-AL1091),"")</f>
        <v>49.916319999999359</v>
      </c>
    </row>
    <row r="1093" spans="1:39" x14ac:dyDescent="0.55000000000000004">
      <c r="A1093">
        <v>1777894202</v>
      </c>
      <c r="B1093" t="s">
        <v>72</v>
      </c>
      <c r="C1093" t="s">
        <v>73</v>
      </c>
      <c r="D1093">
        <v>4553.6499999999996</v>
      </c>
      <c r="E1093">
        <v>4518.5928199999998</v>
      </c>
      <c r="F1093">
        <v>4596.0559499999999</v>
      </c>
      <c r="G1093">
        <v>4755.40355</v>
      </c>
      <c r="H1093">
        <v>4792.7697200000002</v>
      </c>
      <c r="Q1093">
        <v>4525.6816699999999</v>
      </c>
      <c r="R1093">
        <v>4555.0449699999999</v>
      </c>
      <c r="S1093">
        <v>4581.6337400000002</v>
      </c>
      <c r="V1093">
        <v>4490.7419</v>
      </c>
      <c r="W1093">
        <v>4457.1769000000004</v>
      </c>
      <c r="AB1093">
        <v>4561.0117200000004</v>
      </c>
      <c r="AC1093">
        <v>4559.7902599999998</v>
      </c>
      <c r="AD1093">
        <v>0</v>
      </c>
      <c r="AE1093">
        <f t="shared" si="158"/>
        <v>1091</v>
      </c>
      <c r="AF1093">
        <f t="shared" si="159"/>
        <v>1090</v>
      </c>
      <c r="AG1093">
        <f t="shared" si="153"/>
        <v>27.968329999999696</v>
      </c>
      <c r="AH1093">
        <f t="shared" si="154"/>
        <v>782.22748298888303</v>
      </c>
      <c r="AI1093">
        <f t="shared" si="155"/>
        <v>0.50328639462042835</v>
      </c>
      <c r="AJ1093">
        <f t="shared" si="156"/>
        <v>0.40033195152748052</v>
      </c>
      <c r="AK1093">
        <f t="shared" si="157"/>
        <v>1188100</v>
      </c>
      <c r="AL1093">
        <f t="shared" si="160"/>
        <v>4559.2623700000004</v>
      </c>
      <c r="AM1093" t="str">
        <f t="shared" si="161"/>
        <v/>
      </c>
    </row>
    <row r="1094" spans="1:39" x14ac:dyDescent="0.55000000000000004">
      <c r="A1094">
        <v>1777895102</v>
      </c>
      <c r="B1094" t="s">
        <v>72</v>
      </c>
      <c r="C1094" t="s">
        <v>73</v>
      </c>
      <c r="D1094">
        <v>4559.9399999999996</v>
      </c>
      <c r="E1094">
        <v>4518.5928199999998</v>
      </c>
      <c r="F1094">
        <v>4596.0559499999999</v>
      </c>
      <c r="G1094">
        <v>4755.40355</v>
      </c>
      <c r="H1094">
        <v>4792.7697200000002</v>
      </c>
      <c r="Q1094">
        <v>4525.4140699999998</v>
      </c>
      <c r="R1094">
        <v>4554.77736</v>
      </c>
      <c r="S1094">
        <v>4581.3661400000001</v>
      </c>
      <c r="V1094">
        <v>4490.4742999999999</v>
      </c>
      <c r="W1094">
        <v>4456.9093000000003</v>
      </c>
      <c r="AB1094">
        <v>4562.8170399999999</v>
      </c>
      <c r="AC1094">
        <v>4561.3036499999998</v>
      </c>
      <c r="AD1094">
        <v>0</v>
      </c>
      <c r="AE1094">
        <f t="shared" si="158"/>
        <v>1092</v>
      </c>
      <c r="AF1094">
        <f t="shared" si="159"/>
        <v>1091</v>
      </c>
      <c r="AG1094">
        <f t="shared" si="153"/>
        <v>34.525929999999789</v>
      </c>
      <c r="AH1094">
        <f t="shared" si="154"/>
        <v>1192.0398423648855</v>
      </c>
      <c r="AI1094">
        <f t="shared" si="155"/>
        <v>0.94678581271339257</v>
      </c>
      <c r="AJ1094">
        <f t="shared" si="156"/>
        <v>0.92968463928359313</v>
      </c>
      <c r="AK1094">
        <f t="shared" si="157"/>
        <v>1190281</v>
      </c>
      <c r="AL1094">
        <f t="shared" si="160"/>
        <v>4559.2623700000004</v>
      </c>
      <c r="AM1094" t="str">
        <f t="shared" si="161"/>
        <v/>
      </c>
    </row>
    <row r="1095" spans="1:39" x14ac:dyDescent="0.55000000000000004">
      <c r="A1095">
        <v>1777896002</v>
      </c>
      <c r="B1095" t="s">
        <v>72</v>
      </c>
      <c r="C1095" t="s">
        <v>73</v>
      </c>
      <c r="D1095">
        <v>4563.67</v>
      </c>
      <c r="E1095">
        <v>4518.5928199999998</v>
      </c>
      <c r="F1095">
        <v>4596.0559499999999</v>
      </c>
      <c r="G1095">
        <v>4755.40355</v>
      </c>
      <c r="H1095">
        <v>4792.7697200000002</v>
      </c>
      <c r="Q1095">
        <v>4525.1464599999999</v>
      </c>
      <c r="R1095">
        <v>4554.5097599999999</v>
      </c>
      <c r="S1095">
        <v>4581.0985300000002</v>
      </c>
      <c r="V1095">
        <v>4490.20669</v>
      </c>
      <c r="W1095">
        <v>4456.6417000000001</v>
      </c>
      <c r="AB1095">
        <v>4564.2706699999999</v>
      </c>
      <c r="AC1095">
        <v>4562.7871599999999</v>
      </c>
      <c r="AD1095">
        <v>0</v>
      </c>
      <c r="AE1095">
        <f t="shared" si="158"/>
        <v>1093</v>
      </c>
      <c r="AF1095">
        <f t="shared" si="159"/>
        <v>1092</v>
      </c>
      <c r="AG1095">
        <f t="shared" si="153"/>
        <v>38.523540000000139</v>
      </c>
      <c r="AH1095">
        <f t="shared" si="154"/>
        <v>1484.0631341316107</v>
      </c>
      <c r="AI1095">
        <f t="shared" si="155"/>
        <v>1.3152071152752225</v>
      </c>
      <c r="AJ1095">
        <f t="shared" si="156"/>
        <v>1.4409830300672983</v>
      </c>
      <c r="AK1095">
        <f t="shared" si="157"/>
        <v>1192464</v>
      </c>
      <c r="AL1095">
        <f t="shared" si="160"/>
        <v>4559.2623700000004</v>
      </c>
      <c r="AM1095" t="str">
        <f t="shared" si="161"/>
        <v/>
      </c>
    </row>
    <row r="1096" spans="1:39" x14ac:dyDescent="0.55000000000000004">
      <c r="A1096">
        <v>1777896902</v>
      </c>
      <c r="B1096" t="s">
        <v>72</v>
      </c>
      <c r="C1096" t="s">
        <v>73</v>
      </c>
      <c r="D1096">
        <v>4568.68</v>
      </c>
      <c r="E1096">
        <v>4518.5928199999998</v>
      </c>
      <c r="F1096">
        <v>4596.0559499999999</v>
      </c>
      <c r="G1096">
        <v>4755.40355</v>
      </c>
      <c r="H1096">
        <v>4792.7697200000002</v>
      </c>
      <c r="Q1096">
        <v>4524.8788599999998</v>
      </c>
      <c r="R1096">
        <v>4554.2421599999998</v>
      </c>
      <c r="S1096">
        <v>4580.8309300000001</v>
      </c>
      <c r="V1096">
        <v>4489.9390899999999</v>
      </c>
      <c r="W1096">
        <v>4456.3740900000003</v>
      </c>
      <c r="AB1096">
        <v>4565.2156199999999</v>
      </c>
      <c r="AC1096">
        <v>4564.0013900000004</v>
      </c>
      <c r="AD1096">
        <v>0</v>
      </c>
      <c r="AE1096">
        <f t="shared" si="158"/>
        <v>1094</v>
      </c>
      <c r="AF1096">
        <f t="shared" si="159"/>
        <v>1093</v>
      </c>
      <c r="AG1096">
        <f t="shared" si="153"/>
        <v>43.801140000000487</v>
      </c>
      <c r="AH1096">
        <f t="shared" si="154"/>
        <v>1918.5398652996425</v>
      </c>
      <c r="AI1096">
        <f t="shared" si="155"/>
        <v>1.9331779203055195</v>
      </c>
      <c r="AJ1096">
        <f t="shared" si="156"/>
        <v>2.4082178343837608</v>
      </c>
      <c r="AK1096">
        <f t="shared" si="157"/>
        <v>1194649</v>
      </c>
      <c r="AL1096">
        <f t="shared" si="160"/>
        <v>4559.2623700000004</v>
      </c>
      <c r="AM1096" t="str">
        <f t="shared" si="161"/>
        <v/>
      </c>
    </row>
    <row r="1097" spans="1:39" x14ac:dyDescent="0.55000000000000004">
      <c r="A1097">
        <v>1777897802</v>
      </c>
      <c r="B1097" t="s">
        <v>72</v>
      </c>
      <c r="C1097" t="s">
        <v>73</v>
      </c>
      <c r="D1097">
        <v>4570.1000000000004</v>
      </c>
      <c r="E1097">
        <v>4518.5928199999998</v>
      </c>
      <c r="F1097">
        <v>4596.0559499999999</v>
      </c>
      <c r="G1097">
        <v>4755.40355</v>
      </c>
      <c r="H1097">
        <v>4792.7697200000002</v>
      </c>
      <c r="Q1097">
        <v>4524.6112499999999</v>
      </c>
      <c r="R1097">
        <v>4553.9745499999999</v>
      </c>
      <c r="S1097">
        <v>4580.5633200000002</v>
      </c>
      <c r="V1097">
        <v>4489.67148</v>
      </c>
      <c r="W1097">
        <v>4456.1064900000001</v>
      </c>
      <c r="AB1097">
        <v>4565.6591500000004</v>
      </c>
      <c r="AC1097">
        <v>4564.8302700000004</v>
      </c>
      <c r="AD1097">
        <v>0</v>
      </c>
      <c r="AE1097">
        <f t="shared" si="158"/>
        <v>1095</v>
      </c>
      <c r="AF1097">
        <f t="shared" si="159"/>
        <v>1094</v>
      </c>
      <c r="AG1097">
        <f t="shared" si="153"/>
        <v>45.488750000000437</v>
      </c>
      <c r="AH1097">
        <f t="shared" si="154"/>
        <v>2069.2263765625398</v>
      </c>
      <c r="AI1097">
        <f t="shared" si="155"/>
        <v>2.1653474513593736</v>
      </c>
      <c r="AJ1097">
        <f t="shared" si="156"/>
        <v>2.8013677468354401</v>
      </c>
      <c r="AK1097">
        <f t="shared" si="157"/>
        <v>1196836</v>
      </c>
      <c r="AL1097">
        <f t="shared" si="160"/>
        <v>4559.2623700000004</v>
      </c>
      <c r="AM1097" t="str">
        <f t="shared" si="161"/>
        <v/>
      </c>
    </row>
    <row r="1098" spans="1:39" x14ac:dyDescent="0.55000000000000004">
      <c r="A1098">
        <v>1777898702</v>
      </c>
      <c r="B1098" t="s">
        <v>72</v>
      </c>
      <c r="C1098" t="s">
        <v>73</v>
      </c>
      <c r="D1098">
        <v>4568.79</v>
      </c>
      <c r="E1098">
        <v>4518.5928199999998</v>
      </c>
      <c r="F1098">
        <v>4596.0559499999999</v>
      </c>
      <c r="G1098">
        <v>4755.40355</v>
      </c>
      <c r="H1098">
        <v>4792.7697200000002</v>
      </c>
      <c r="Q1098">
        <v>4524.3436499999998</v>
      </c>
      <c r="R1098">
        <v>4553.7069499999998</v>
      </c>
      <c r="S1098">
        <v>4580.2957200000001</v>
      </c>
      <c r="V1098">
        <v>4489.4038799999998</v>
      </c>
      <c r="W1098">
        <v>4455.8388800000002</v>
      </c>
      <c r="AB1098">
        <v>4565.8280100000002</v>
      </c>
      <c r="AC1098">
        <v>4565.3291399999998</v>
      </c>
      <c r="AD1098">
        <v>0</v>
      </c>
      <c r="AE1098">
        <f t="shared" si="158"/>
        <v>1096</v>
      </c>
      <c r="AF1098">
        <f t="shared" si="159"/>
        <v>1095</v>
      </c>
      <c r="AG1098">
        <f t="shared" si="153"/>
        <v>44.446350000000166</v>
      </c>
      <c r="AH1098">
        <f t="shared" si="154"/>
        <v>1975.4780283225148</v>
      </c>
      <c r="AI1098">
        <f t="shared" si="155"/>
        <v>2.019872191424489</v>
      </c>
      <c r="AJ1098">
        <f t="shared" si="156"/>
        <v>2.5532804510318909</v>
      </c>
      <c r="AK1098">
        <f t="shared" si="157"/>
        <v>1199025</v>
      </c>
      <c r="AL1098">
        <f t="shared" si="160"/>
        <v>4559.2623700000004</v>
      </c>
      <c r="AM1098" t="str">
        <f t="shared" si="161"/>
        <v/>
      </c>
    </row>
    <row r="1099" spans="1:39" x14ac:dyDescent="0.55000000000000004">
      <c r="A1099">
        <v>1777899602</v>
      </c>
      <c r="B1099" t="s">
        <v>72</v>
      </c>
      <c r="C1099" t="s">
        <v>73</v>
      </c>
      <c r="D1099">
        <v>4565.9799999999996</v>
      </c>
      <c r="E1099">
        <v>4518.5928199999998</v>
      </c>
      <c r="F1099">
        <v>4596.0559499999999</v>
      </c>
      <c r="G1099">
        <v>4755.40355</v>
      </c>
      <c r="H1099">
        <v>4792.7697200000002</v>
      </c>
      <c r="Q1099">
        <v>4524.0760499999997</v>
      </c>
      <c r="R1099">
        <v>4553.4393399999999</v>
      </c>
      <c r="S1099">
        <v>4580.0281199999999</v>
      </c>
      <c r="V1099">
        <v>4489.1362799999997</v>
      </c>
      <c r="W1099">
        <v>4455.5712800000001</v>
      </c>
      <c r="AB1099">
        <v>4566.04079</v>
      </c>
      <c r="AC1099">
        <v>4565.6849599999996</v>
      </c>
      <c r="AD1099">
        <v>0</v>
      </c>
      <c r="AE1099">
        <f t="shared" si="158"/>
        <v>1097</v>
      </c>
      <c r="AF1099">
        <f t="shared" si="159"/>
        <v>1096</v>
      </c>
      <c r="AG1099">
        <f t="shared" si="153"/>
        <v>41.903949999999895</v>
      </c>
      <c r="AH1099">
        <f t="shared" si="154"/>
        <v>1755.9410256024912</v>
      </c>
      <c r="AI1099">
        <f t="shared" si="155"/>
        <v>1.6927018666290699</v>
      </c>
      <c r="AJ1099">
        <f t="shared" si="156"/>
        <v>2.0173161444388463</v>
      </c>
      <c r="AK1099">
        <f t="shared" si="157"/>
        <v>1201216</v>
      </c>
      <c r="AL1099">
        <f t="shared" si="160"/>
        <v>4559.2623700000004</v>
      </c>
      <c r="AM1099" t="str">
        <f t="shared" si="161"/>
        <v/>
      </c>
    </row>
    <row r="1100" spans="1:39" x14ac:dyDescent="0.55000000000000004">
      <c r="A1100">
        <v>1777900502</v>
      </c>
      <c r="B1100" t="s">
        <v>72</v>
      </c>
      <c r="C1100" t="s">
        <v>73</v>
      </c>
      <c r="D1100">
        <v>4561.09</v>
      </c>
      <c r="E1100">
        <v>4518.5928199999998</v>
      </c>
      <c r="F1100">
        <v>4596.0559499999999</v>
      </c>
      <c r="G1100">
        <v>4755.40355</v>
      </c>
      <c r="H1100">
        <v>4792.7697200000002</v>
      </c>
      <c r="Q1100">
        <v>4523.8084399999998</v>
      </c>
      <c r="R1100">
        <v>4553.1717399999998</v>
      </c>
      <c r="S1100">
        <v>4579.7605100000001</v>
      </c>
      <c r="V1100">
        <v>4488.8686699999998</v>
      </c>
      <c r="W1100">
        <v>4455.3036700000002</v>
      </c>
      <c r="AB1100">
        <v>4566.51181</v>
      </c>
      <c r="AC1100">
        <v>4566.0983800000004</v>
      </c>
      <c r="AD1100">
        <v>0</v>
      </c>
      <c r="AE1100">
        <f t="shared" si="158"/>
        <v>1098</v>
      </c>
      <c r="AF1100">
        <f t="shared" si="159"/>
        <v>1097</v>
      </c>
      <c r="AG1100">
        <f t="shared" si="153"/>
        <v>37.281560000000354</v>
      </c>
      <c r="AH1100">
        <f t="shared" si="154"/>
        <v>1389.9147160336265</v>
      </c>
      <c r="AI1100">
        <f t="shared" si="155"/>
        <v>1.1920591734746675</v>
      </c>
      <c r="AJ1100">
        <f t="shared" si="156"/>
        <v>1.2639515270253938</v>
      </c>
      <c r="AK1100">
        <f t="shared" si="157"/>
        <v>1203409</v>
      </c>
      <c r="AL1100">
        <f t="shared" si="160"/>
        <v>4559.2623700000004</v>
      </c>
      <c r="AM1100" t="str">
        <f t="shared" si="161"/>
        <v/>
      </c>
    </row>
    <row r="1101" spans="1:39" x14ac:dyDescent="0.55000000000000004">
      <c r="A1101">
        <v>1777901402</v>
      </c>
      <c r="B1101" t="s">
        <v>72</v>
      </c>
      <c r="C1101" t="s">
        <v>73</v>
      </c>
      <c r="D1101">
        <v>4565.51</v>
      </c>
      <c r="E1101">
        <v>4518.5928199999998</v>
      </c>
      <c r="F1101">
        <v>4596.0559499999999</v>
      </c>
      <c r="G1101">
        <v>4755.40355</v>
      </c>
      <c r="H1101">
        <v>4792.7697200000002</v>
      </c>
      <c r="Q1101">
        <v>4523.5408399999997</v>
      </c>
      <c r="R1101">
        <v>4552.9041399999996</v>
      </c>
      <c r="S1101">
        <v>4579.4929099999999</v>
      </c>
      <c r="V1101">
        <v>4488.6010699999997</v>
      </c>
      <c r="W1101">
        <v>4455.0360700000001</v>
      </c>
      <c r="AB1101">
        <v>4567.2824199999995</v>
      </c>
      <c r="AC1101">
        <v>4566.6904000000004</v>
      </c>
      <c r="AD1101">
        <v>0</v>
      </c>
      <c r="AE1101">
        <f t="shared" si="158"/>
        <v>1099</v>
      </c>
      <c r="AF1101">
        <f t="shared" si="159"/>
        <v>1098</v>
      </c>
      <c r="AG1101">
        <f t="shared" si="153"/>
        <v>41.969160000000556</v>
      </c>
      <c r="AH1101">
        <f t="shared" si="154"/>
        <v>1761.4103911056468</v>
      </c>
      <c r="AI1101">
        <f t="shared" si="155"/>
        <v>1.7006166062014982</v>
      </c>
      <c r="AJ1101">
        <f t="shared" si="156"/>
        <v>2.029902697770896</v>
      </c>
      <c r="AK1101">
        <f t="shared" si="157"/>
        <v>1205604</v>
      </c>
      <c r="AL1101">
        <f t="shared" si="160"/>
        <v>4559.2623700000004</v>
      </c>
      <c r="AM1101" t="str">
        <f t="shared" si="161"/>
        <v/>
      </c>
    </row>
    <row r="1102" spans="1:39" x14ac:dyDescent="0.55000000000000004">
      <c r="A1102">
        <v>1777902302</v>
      </c>
      <c r="B1102" t="s">
        <v>72</v>
      </c>
      <c r="C1102" t="s">
        <v>73</v>
      </c>
      <c r="D1102">
        <v>4563.8500000000004</v>
      </c>
      <c r="E1102">
        <v>4518.5928199999998</v>
      </c>
      <c r="F1102">
        <v>4596.0559499999999</v>
      </c>
      <c r="G1102">
        <v>4755.40355</v>
      </c>
      <c r="H1102">
        <v>4792.7697200000002</v>
      </c>
      <c r="Q1102">
        <v>4523.2732299999998</v>
      </c>
      <c r="R1102">
        <v>4552.6365299999998</v>
      </c>
      <c r="S1102">
        <v>4579.2253000000001</v>
      </c>
      <c r="V1102">
        <v>4488.3334599999998</v>
      </c>
      <c r="W1102">
        <v>4454.76847</v>
      </c>
      <c r="AB1102">
        <v>4567.8890099999999</v>
      </c>
      <c r="AC1102">
        <v>4567.2897000000003</v>
      </c>
      <c r="AD1102">
        <v>0</v>
      </c>
      <c r="AE1102">
        <f t="shared" si="158"/>
        <v>1100</v>
      </c>
      <c r="AF1102">
        <f t="shared" si="159"/>
        <v>1099</v>
      </c>
      <c r="AG1102">
        <f t="shared" si="153"/>
        <v>40.576770000000579</v>
      </c>
      <c r="AH1102">
        <f t="shared" si="154"/>
        <v>1646.474263632947</v>
      </c>
      <c r="AI1102">
        <f t="shared" si="155"/>
        <v>1.5369084710464342</v>
      </c>
      <c r="AJ1102">
        <f t="shared" si="156"/>
        <v>1.7736340011852472</v>
      </c>
      <c r="AK1102">
        <f t="shared" si="157"/>
        <v>1207801</v>
      </c>
      <c r="AL1102">
        <f t="shared" si="160"/>
        <v>4559.2623700000004</v>
      </c>
      <c r="AM1102" t="str">
        <f t="shared" si="161"/>
        <v/>
      </c>
    </row>
    <row r="1103" spans="1:39" x14ac:dyDescent="0.55000000000000004">
      <c r="A1103">
        <v>1777903202</v>
      </c>
      <c r="B1103" t="s">
        <v>72</v>
      </c>
      <c r="C1103" t="s">
        <v>73</v>
      </c>
      <c r="D1103">
        <v>4560.18</v>
      </c>
      <c r="E1103">
        <v>4518.5928199999998</v>
      </c>
      <c r="F1103">
        <v>4596.0559499999999</v>
      </c>
      <c r="G1103">
        <v>4755.40355</v>
      </c>
      <c r="H1103">
        <v>4792.7697200000002</v>
      </c>
      <c r="Q1103">
        <v>4523.0056299999997</v>
      </c>
      <c r="R1103">
        <v>4552.3689299999996</v>
      </c>
      <c r="S1103">
        <v>4578.9576999999999</v>
      </c>
      <c r="V1103">
        <v>4488.0658599999997</v>
      </c>
      <c r="W1103">
        <v>4454.5008600000001</v>
      </c>
      <c r="AB1103">
        <v>4567.82539</v>
      </c>
      <c r="AC1103">
        <v>4567.5575500000004</v>
      </c>
      <c r="AD1103">
        <v>0</v>
      </c>
      <c r="AE1103">
        <f t="shared" si="158"/>
        <v>1101</v>
      </c>
      <c r="AF1103">
        <f t="shared" si="159"/>
        <v>1100</v>
      </c>
      <c r="AG1103">
        <f t="shared" si="153"/>
        <v>37.174370000000636</v>
      </c>
      <c r="AH1103">
        <f t="shared" si="154"/>
        <v>1381.9337848969471</v>
      </c>
      <c r="AI1103">
        <f t="shared" si="155"/>
        <v>1.1818066681375758</v>
      </c>
      <c r="AJ1103">
        <f t="shared" si="156"/>
        <v>1.2494779070376671</v>
      </c>
      <c r="AK1103">
        <f t="shared" si="157"/>
        <v>1210000</v>
      </c>
      <c r="AL1103">
        <f t="shared" si="160"/>
        <v>4559.2623700000004</v>
      </c>
      <c r="AM1103" t="str">
        <f t="shared" si="161"/>
        <v/>
      </c>
    </row>
    <row r="1104" spans="1:39" x14ac:dyDescent="0.55000000000000004">
      <c r="A1104">
        <v>1777904102</v>
      </c>
      <c r="B1104" t="s">
        <v>72</v>
      </c>
      <c r="C1104" t="s">
        <v>73</v>
      </c>
      <c r="D1104">
        <v>4571.2</v>
      </c>
      <c r="E1104">
        <v>4518.5928199999998</v>
      </c>
      <c r="F1104">
        <v>4596.0559499999999</v>
      </c>
      <c r="G1104">
        <v>4755.40355</v>
      </c>
      <c r="H1104">
        <v>4792.7697200000002</v>
      </c>
      <c r="Q1104">
        <v>4522.7380300000004</v>
      </c>
      <c r="R1104">
        <v>4552.1013199999998</v>
      </c>
      <c r="S1104">
        <v>4578.6900900000001</v>
      </c>
      <c r="V1104">
        <v>4487.7982499999998</v>
      </c>
      <c r="W1104">
        <v>4454.23326</v>
      </c>
      <c r="AB1104">
        <v>4566.5537299999996</v>
      </c>
      <c r="AC1104">
        <v>4567.0556399999996</v>
      </c>
      <c r="AD1104">
        <v>1</v>
      </c>
      <c r="AE1104">
        <f t="shared" si="158"/>
        <v>1102</v>
      </c>
      <c r="AF1104">
        <f t="shared" si="159"/>
        <v>1101</v>
      </c>
      <c r="AG1104">
        <f t="shared" si="153"/>
        <v>48.461969999999383</v>
      </c>
      <c r="AH1104">
        <f t="shared" si="154"/>
        <v>2348.56253628084</v>
      </c>
      <c r="AI1104">
        <f t="shared" si="155"/>
        <v>2.6182962139580566</v>
      </c>
      <c r="AJ1104">
        <f t="shared" si="156"/>
        <v>3.6087630743996959</v>
      </c>
      <c r="AK1104">
        <f t="shared" si="157"/>
        <v>1212201</v>
      </c>
      <c r="AL1104">
        <f t="shared" si="160"/>
        <v>4566.5537299999996</v>
      </c>
      <c r="AM1104">
        <f t="shared" si="161"/>
        <v>7.2913599999992584</v>
      </c>
    </row>
    <row r="1105" spans="1:39" x14ac:dyDescent="0.55000000000000004">
      <c r="A1105">
        <v>1777905002</v>
      </c>
      <c r="B1105" t="s">
        <v>72</v>
      </c>
      <c r="C1105" t="s">
        <v>73</v>
      </c>
      <c r="D1105">
        <v>4574.38</v>
      </c>
      <c r="E1105">
        <v>4518.5928199999998</v>
      </c>
      <c r="F1105">
        <v>4596.0559499999999</v>
      </c>
      <c r="G1105">
        <v>4755.40355</v>
      </c>
      <c r="H1105">
        <v>4792.7697200000002</v>
      </c>
      <c r="Q1105">
        <v>4522.4704199999996</v>
      </c>
      <c r="R1105">
        <v>4551.8337199999996</v>
      </c>
      <c r="S1105">
        <v>4578.4224899999999</v>
      </c>
      <c r="V1105">
        <v>4487.5306499999997</v>
      </c>
      <c r="W1105">
        <v>4453.9656500000001</v>
      </c>
      <c r="Z1105">
        <v>4583.16</v>
      </c>
      <c r="AB1105">
        <v>4563.1943499999998</v>
      </c>
      <c r="AC1105">
        <v>4565.1249900000003</v>
      </c>
      <c r="AD1105">
        <v>0</v>
      </c>
      <c r="AE1105">
        <f t="shared" si="158"/>
        <v>1103</v>
      </c>
      <c r="AF1105">
        <f t="shared" si="159"/>
        <v>1102</v>
      </c>
      <c r="AG1105">
        <f t="shared" si="153"/>
        <v>51.90958000000046</v>
      </c>
      <c r="AH1105">
        <f t="shared" si="154"/>
        <v>2694.6044957764479</v>
      </c>
      <c r="AI1105">
        <f t="shared" si="155"/>
        <v>3.217793199785409</v>
      </c>
      <c r="AJ1105">
        <f t="shared" si="156"/>
        <v>4.7505530549716193</v>
      </c>
      <c r="AK1105">
        <f t="shared" si="157"/>
        <v>1214404</v>
      </c>
      <c r="AL1105">
        <f t="shared" si="160"/>
        <v>4566.5537299999996</v>
      </c>
      <c r="AM1105" t="str">
        <f t="shared" si="161"/>
        <v/>
      </c>
    </row>
    <row r="1106" spans="1:39" x14ac:dyDescent="0.55000000000000004">
      <c r="A1106">
        <v>1777905902</v>
      </c>
      <c r="B1106" t="s">
        <v>72</v>
      </c>
      <c r="C1106" t="s">
        <v>73</v>
      </c>
      <c r="D1106">
        <v>4561.26</v>
      </c>
      <c r="E1106">
        <v>4518.5928199999998</v>
      </c>
      <c r="F1106">
        <v>4596.0559499999999</v>
      </c>
      <c r="G1106">
        <v>4755.40355</v>
      </c>
      <c r="H1106">
        <v>4792.7697200000002</v>
      </c>
      <c r="Q1106">
        <v>4522.2028200000004</v>
      </c>
      <c r="R1106">
        <v>4551.5661200000004</v>
      </c>
      <c r="S1106">
        <v>4578.1548899999998</v>
      </c>
      <c r="V1106">
        <v>4487.2630499999996</v>
      </c>
      <c r="W1106">
        <v>4453.69805</v>
      </c>
      <c r="AB1106">
        <v>4557.3686399999997</v>
      </c>
      <c r="AC1106">
        <v>4561.2468200000003</v>
      </c>
      <c r="AD1106">
        <v>0</v>
      </c>
      <c r="AE1106">
        <f t="shared" si="158"/>
        <v>1104</v>
      </c>
      <c r="AF1106">
        <f t="shared" si="159"/>
        <v>1103</v>
      </c>
      <c r="AG1106">
        <f t="shared" si="153"/>
        <v>39.057179999999789</v>
      </c>
      <c r="AH1106">
        <f t="shared" si="154"/>
        <v>1525.4633095523836</v>
      </c>
      <c r="AI1106">
        <f t="shared" si="155"/>
        <v>1.3706236907197011</v>
      </c>
      <c r="AJ1106">
        <f t="shared" si="156"/>
        <v>1.5225012068250421</v>
      </c>
      <c r="AK1106">
        <f t="shared" si="157"/>
        <v>1216609</v>
      </c>
      <c r="AL1106">
        <f t="shared" si="160"/>
        <v>4566.5537299999996</v>
      </c>
      <c r="AM1106" t="str">
        <f t="shared" si="161"/>
        <v/>
      </c>
    </row>
    <row r="1107" spans="1:39" x14ac:dyDescent="0.55000000000000004">
      <c r="A1107">
        <v>1777906802</v>
      </c>
      <c r="B1107" t="s">
        <v>72</v>
      </c>
      <c r="C1107" t="s">
        <v>73</v>
      </c>
      <c r="D1107">
        <v>4548.46</v>
      </c>
      <c r="E1107">
        <v>4518.5928199999998</v>
      </c>
      <c r="F1107">
        <v>4596.0559499999999</v>
      </c>
      <c r="G1107">
        <v>4755.40355</v>
      </c>
      <c r="H1107">
        <v>4792.7697200000002</v>
      </c>
      <c r="Q1107">
        <v>4521.9352099999996</v>
      </c>
      <c r="R1107">
        <v>4551.2985099999996</v>
      </c>
      <c r="S1107">
        <v>4577.8872799999999</v>
      </c>
      <c r="V1107">
        <v>4486.9954399999997</v>
      </c>
      <c r="W1107">
        <v>4453.4304499999998</v>
      </c>
      <c r="AB1107">
        <v>4549.5910599999997</v>
      </c>
      <c r="AC1107">
        <v>4555.4189399999996</v>
      </c>
      <c r="AD1107">
        <v>0</v>
      </c>
      <c r="AE1107">
        <f t="shared" si="158"/>
        <v>1105</v>
      </c>
      <c r="AF1107">
        <f t="shared" si="159"/>
        <v>1104</v>
      </c>
      <c r="AG1107">
        <f t="shared" si="153"/>
        <v>26.524790000000394</v>
      </c>
      <c r="AH1107">
        <f t="shared" si="154"/>
        <v>703.56448454412089</v>
      </c>
      <c r="AI1107">
        <f t="shared" si="155"/>
        <v>0.4293104373805342</v>
      </c>
      <c r="AJ1107">
        <f t="shared" si="156"/>
        <v>0.323863443734828</v>
      </c>
      <c r="AK1107">
        <f t="shared" si="157"/>
        <v>1218816</v>
      </c>
      <c r="AL1107">
        <f t="shared" si="160"/>
        <v>4566.5537299999996</v>
      </c>
      <c r="AM1107" t="str">
        <f t="shared" si="161"/>
        <v/>
      </c>
    </row>
    <row r="1108" spans="1:39" x14ac:dyDescent="0.55000000000000004">
      <c r="A1108">
        <v>1777907702</v>
      </c>
      <c r="B1108" t="s">
        <v>72</v>
      </c>
      <c r="C1108" t="s">
        <v>73</v>
      </c>
      <c r="D1108">
        <v>4537.95</v>
      </c>
      <c r="E1108">
        <v>4518.5928199999998</v>
      </c>
      <c r="F1108">
        <v>4596.0559499999999</v>
      </c>
      <c r="G1108">
        <v>4755.40355</v>
      </c>
      <c r="H1108">
        <v>4792.7697200000002</v>
      </c>
      <c r="Q1108">
        <v>4521.6676100000004</v>
      </c>
      <c r="R1108">
        <v>4551.0309100000004</v>
      </c>
      <c r="S1108">
        <v>4577.6196799999998</v>
      </c>
      <c r="V1108">
        <v>4486.7278399999996</v>
      </c>
      <c r="W1108">
        <v>4453.16284</v>
      </c>
      <c r="AB1108">
        <v>4540.7488899999998</v>
      </c>
      <c r="AC1108">
        <v>4548.08392</v>
      </c>
      <c r="AD1108">
        <v>0</v>
      </c>
      <c r="AE1108">
        <f t="shared" si="158"/>
        <v>1106</v>
      </c>
      <c r="AF1108">
        <f t="shared" si="159"/>
        <v>1105</v>
      </c>
      <c r="AG1108">
        <f t="shared" si="153"/>
        <v>16.282389999999396</v>
      </c>
      <c r="AH1108">
        <f t="shared" si="154"/>
        <v>265.11622411208032</v>
      </c>
      <c r="AI1108">
        <f t="shared" si="155"/>
        <v>9.9304754727027031E-2</v>
      </c>
      <c r="AJ1108">
        <f t="shared" si="156"/>
        <v>4.5986115323946385E-2</v>
      </c>
      <c r="AK1108">
        <f t="shared" si="157"/>
        <v>1221025</v>
      </c>
      <c r="AL1108">
        <f t="shared" si="160"/>
        <v>4566.5537299999996</v>
      </c>
      <c r="AM1108" t="str">
        <f t="shared" si="161"/>
        <v/>
      </c>
    </row>
    <row r="1109" spans="1:39" x14ac:dyDescent="0.55000000000000004">
      <c r="A1109">
        <v>1777908602</v>
      </c>
      <c r="B1109" t="s">
        <v>72</v>
      </c>
      <c r="C1109" t="s">
        <v>73</v>
      </c>
      <c r="D1109">
        <v>4535.1000000000004</v>
      </c>
      <c r="E1109">
        <v>4518.5928199999998</v>
      </c>
      <c r="F1109">
        <v>4596.0559499999999</v>
      </c>
      <c r="G1109">
        <v>4755.40355</v>
      </c>
      <c r="H1109">
        <v>4792.7697200000002</v>
      </c>
      <c r="Q1109">
        <v>4521.3999999999996</v>
      </c>
      <c r="R1109">
        <v>4550.7632999999996</v>
      </c>
      <c r="S1109">
        <v>4577.3520699999999</v>
      </c>
      <c r="V1109">
        <v>4486.4602299999997</v>
      </c>
      <c r="W1109">
        <v>4452.8952399999998</v>
      </c>
      <c r="AB1109">
        <v>4531.9178899999997</v>
      </c>
      <c r="AC1109">
        <v>4540.0009</v>
      </c>
      <c r="AD1109">
        <v>0</v>
      </c>
      <c r="AE1109">
        <f t="shared" si="158"/>
        <v>1107</v>
      </c>
      <c r="AF1109">
        <f t="shared" si="159"/>
        <v>1106</v>
      </c>
      <c r="AG1109">
        <f t="shared" si="153"/>
        <v>13.700000000000728</v>
      </c>
      <c r="AH1109">
        <f t="shared" si="154"/>
        <v>187.69000000001995</v>
      </c>
      <c r="AI1109">
        <f t="shared" si="155"/>
        <v>5.9153069570794567E-2</v>
      </c>
      <c r="AJ1109">
        <f t="shared" si="156"/>
        <v>2.3048166428171361E-2</v>
      </c>
      <c r="AK1109">
        <f t="shared" si="157"/>
        <v>1223236</v>
      </c>
      <c r="AL1109">
        <f t="shared" si="160"/>
        <v>4566.5537299999996</v>
      </c>
      <c r="AM1109" t="str">
        <f t="shared" si="161"/>
        <v/>
      </c>
    </row>
    <row r="1110" spans="1:39" x14ac:dyDescent="0.55000000000000004">
      <c r="A1110">
        <v>1777909502</v>
      </c>
      <c r="B1110" t="s">
        <v>72</v>
      </c>
      <c r="C1110" t="s">
        <v>73</v>
      </c>
      <c r="D1110">
        <v>4521.33</v>
      </c>
      <c r="E1110">
        <v>4518.5928199999998</v>
      </c>
      <c r="F1110">
        <v>4596.0559499999999</v>
      </c>
      <c r="G1110">
        <v>4755.40355</v>
      </c>
      <c r="H1110">
        <v>4792.7697200000002</v>
      </c>
      <c r="Q1110">
        <v>4521.1324000000004</v>
      </c>
      <c r="R1110">
        <v>4550.4957000000004</v>
      </c>
      <c r="S1110">
        <v>4577.0844699999998</v>
      </c>
      <c r="V1110">
        <v>4486.1926299999996</v>
      </c>
      <c r="W1110">
        <v>4452.62763</v>
      </c>
      <c r="AB1110">
        <v>4523.9841299999998</v>
      </c>
      <c r="AC1110">
        <v>4531.9925199999998</v>
      </c>
      <c r="AD1110">
        <v>0</v>
      </c>
      <c r="AE1110">
        <f t="shared" si="158"/>
        <v>1108</v>
      </c>
      <c r="AF1110">
        <f t="shared" si="159"/>
        <v>1107</v>
      </c>
      <c r="AG1110">
        <f t="shared" si="153"/>
        <v>0.19759999999951106</v>
      </c>
      <c r="AH1110">
        <f t="shared" si="154"/>
        <v>3.9045759999806771E-2</v>
      </c>
      <c r="AI1110">
        <f t="shared" si="155"/>
        <v>1.7749102818746007E-7</v>
      </c>
      <c r="AJ1110">
        <f t="shared" si="156"/>
        <v>9.974746646759196E-10</v>
      </c>
      <c r="AK1110">
        <f t="shared" si="157"/>
        <v>1225449</v>
      </c>
      <c r="AL1110">
        <f t="shared" si="160"/>
        <v>4566.5537299999996</v>
      </c>
      <c r="AM1110" t="str">
        <f t="shared" si="161"/>
        <v/>
      </c>
    </row>
    <row r="1111" spans="1:39" x14ac:dyDescent="0.55000000000000004">
      <c r="A1111">
        <v>1777910402</v>
      </c>
      <c r="B1111" t="s">
        <v>72</v>
      </c>
      <c r="C1111" t="s">
        <v>73</v>
      </c>
      <c r="D1111">
        <v>4509.88</v>
      </c>
      <c r="E1111">
        <v>4518.5928199999998</v>
      </c>
      <c r="F1111">
        <v>4596.0559499999999</v>
      </c>
      <c r="G1111">
        <v>4755.40355</v>
      </c>
      <c r="H1111">
        <v>4792.7697200000002</v>
      </c>
      <c r="Q1111">
        <v>4520.8648000000003</v>
      </c>
      <c r="R1111">
        <v>4550.2281000000003</v>
      </c>
      <c r="S1111">
        <v>4576.8168699999997</v>
      </c>
      <c r="V1111">
        <v>4485.9250300000003</v>
      </c>
      <c r="W1111">
        <v>4452.3600299999998</v>
      </c>
      <c r="AA1111">
        <v>4500.8599999999997</v>
      </c>
      <c r="AB1111">
        <v>4518.0276100000001</v>
      </c>
      <c r="AC1111">
        <v>4525.0100599999996</v>
      </c>
      <c r="AD1111">
        <v>0</v>
      </c>
      <c r="AE1111">
        <f t="shared" si="158"/>
        <v>1109</v>
      </c>
      <c r="AF1111">
        <f t="shared" si="159"/>
        <v>1108</v>
      </c>
      <c r="AG1111">
        <f t="shared" si="153"/>
        <v>-10.984800000000178</v>
      </c>
      <c r="AH1111">
        <f t="shared" si="154"/>
        <v>120.66583104000389</v>
      </c>
      <c r="AI1111">
        <f t="shared" si="155"/>
        <v>-3.0492430800536617E-2</v>
      </c>
      <c r="AJ1111">
        <f t="shared" si="156"/>
        <v>9.5262665515002207E-3</v>
      </c>
      <c r="AK1111">
        <f t="shared" si="157"/>
        <v>1227664</v>
      </c>
      <c r="AL1111">
        <f t="shared" si="160"/>
        <v>4566.5537299999996</v>
      </c>
      <c r="AM1111" t="str">
        <f t="shared" si="161"/>
        <v/>
      </c>
    </row>
    <row r="1112" spans="1:39" x14ac:dyDescent="0.55000000000000004">
      <c r="A1112">
        <v>1777911302</v>
      </c>
      <c r="B1112" t="s">
        <v>72</v>
      </c>
      <c r="C1112" t="s">
        <v>73</v>
      </c>
      <c r="D1112">
        <v>4515.03</v>
      </c>
      <c r="E1112">
        <v>4518.5928199999998</v>
      </c>
      <c r="F1112">
        <v>4596.0559499999999</v>
      </c>
      <c r="G1112">
        <v>4755.40355</v>
      </c>
      <c r="H1112">
        <v>4792.7697200000002</v>
      </c>
      <c r="Q1112">
        <v>4520.5971900000004</v>
      </c>
      <c r="R1112">
        <v>4549.9604900000004</v>
      </c>
      <c r="S1112">
        <v>4576.5492599999998</v>
      </c>
      <c r="V1112">
        <v>4485.6574199999995</v>
      </c>
      <c r="W1112">
        <v>4452.0924299999997</v>
      </c>
      <c r="AB1112">
        <v>4514.6838600000001</v>
      </c>
      <c r="AC1112">
        <v>4519.8469599999999</v>
      </c>
      <c r="AD1112">
        <v>0</v>
      </c>
      <c r="AE1112">
        <f t="shared" si="158"/>
        <v>1110</v>
      </c>
      <c r="AF1112">
        <f t="shared" si="159"/>
        <v>1109</v>
      </c>
      <c r="AG1112">
        <f t="shared" si="153"/>
        <v>-5.5671900000006644</v>
      </c>
      <c r="AH1112">
        <f t="shared" si="154"/>
        <v>30.993604496107398</v>
      </c>
      <c r="AI1112">
        <f t="shared" si="155"/>
        <v>-3.9693894827839363E-3</v>
      </c>
      <c r="AJ1112">
        <f t="shared" si="156"/>
        <v>6.2848987592499202E-4</v>
      </c>
      <c r="AK1112">
        <f t="shared" si="157"/>
        <v>1229881</v>
      </c>
      <c r="AL1112">
        <f t="shared" si="160"/>
        <v>4566.5537299999996</v>
      </c>
      <c r="AM1112" t="str">
        <f t="shared" si="161"/>
        <v/>
      </c>
    </row>
    <row r="1113" spans="1:39" x14ac:dyDescent="0.55000000000000004">
      <c r="A1113">
        <v>1777912202</v>
      </c>
      <c r="B1113" t="s">
        <v>72</v>
      </c>
      <c r="C1113" t="s">
        <v>73</v>
      </c>
      <c r="D1113">
        <v>4512.59</v>
      </c>
      <c r="E1113">
        <v>4518.5928199999998</v>
      </c>
      <c r="F1113">
        <v>4596.0559499999999</v>
      </c>
      <c r="G1113">
        <v>4755.40355</v>
      </c>
      <c r="H1113">
        <v>4792.7697200000002</v>
      </c>
      <c r="Q1113">
        <v>4520.3295900000003</v>
      </c>
      <c r="R1113">
        <v>4549.6928900000003</v>
      </c>
      <c r="S1113">
        <v>4576.2816599999996</v>
      </c>
      <c r="V1113">
        <v>4485.3898200000003</v>
      </c>
      <c r="W1113">
        <v>4451.8248199999998</v>
      </c>
      <c r="AB1113">
        <v>4513.7029499999999</v>
      </c>
      <c r="AC1113">
        <v>4516.7749599999997</v>
      </c>
      <c r="AD1113">
        <v>0</v>
      </c>
      <c r="AE1113">
        <f t="shared" si="158"/>
        <v>1111</v>
      </c>
      <c r="AF1113">
        <f t="shared" si="159"/>
        <v>1110</v>
      </c>
      <c r="AG1113">
        <f t="shared" si="153"/>
        <v>-7.7395900000001348</v>
      </c>
      <c r="AH1113">
        <f t="shared" si="154"/>
        <v>59.901253368102083</v>
      </c>
      <c r="AI1113">
        <f t="shared" si="155"/>
        <v>-1.0665210926002018E-2</v>
      </c>
      <c r="AJ1113">
        <f t="shared" si="156"/>
        <v>2.3476098978423539E-3</v>
      </c>
      <c r="AK1113">
        <f t="shared" si="157"/>
        <v>1232100</v>
      </c>
      <c r="AL1113">
        <f t="shared" si="160"/>
        <v>4566.5537299999996</v>
      </c>
      <c r="AM1113" t="str">
        <f t="shared" si="161"/>
        <v/>
      </c>
    </row>
    <row r="1114" spans="1:39" x14ac:dyDescent="0.55000000000000004">
      <c r="A1114">
        <v>1777913102</v>
      </c>
      <c r="B1114" t="s">
        <v>72</v>
      </c>
      <c r="C1114" t="s">
        <v>73</v>
      </c>
      <c r="D1114">
        <v>4510.6899999999996</v>
      </c>
      <c r="E1114">
        <v>4518.5928199999998</v>
      </c>
      <c r="F1114">
        <v>4596.0559499999999</v>
      </c>
      <c r="G1114">
        <v>4755.40355</v>
      </c>
      <c r="H1114">
        <v>4792.7697200000002</v>
      </c>
      <c r="Q1114">
        <v>4520.0619800000004</v>
      </c>
      <c r="R1114">
        <v>4549.4252800000004</v>
      </c>
      <c r="S1114">
        <v>4576.0140499999998</v>
      </c>
      <c r="V1114">
        <v>4485.1222100000005</v>
      </c>
      <c r="W1114">
        <v>4451.5572199999997</v>
      </c>
      <c r="AB1114">
        <v>4514.6359300000004</v>
      </c>
      <c r="AC1114">
        <v>4515.7054399999997</v>
      </c>
      <c r="AD1114">
        <v>0</v>
      </c>
      <c r="AE1114">
        <f t="shared" si="158"/>
        <v>1112</v>
      </c>
      <c r="AF1114">
        <f t="shared" si="159"/>
        <v>1111</v>
      </c>
      <c r="AG1114">
        <f t="shared" si="153"/>
        <v>-9.3719800000008036</v>
      </c>
      <c r="AH1114">
        <f t="shared" si="154"/>
        <v>87.834009120415061</v>
      </c>
      <c r="AI1114">
        <f t="shared" si="155"/>
        <v>-1.8936933055250842E-2</v>
      </c>
      <c r="AJ1114">
        <f t="shared" si="156"/>
        <v>5.0475371631681911E-3</v>
      </c>
      <c r="AK1114">
        <f t="shared" si="157"/>
        <v>1234321</v>
      </c>
      <c r="AL1114">
        <f t="shared" si="160"/>
        <v>4566.5537299999996</v>
      </c>
      <c r="AM1114" t="str">
        <f t="shared" si="161"/>
        <v/>
      </c>
    </row>
    <row r="1115" spans="1:39" x14ac:dyDescent="0.55000000000000004">
      <c r="A1115">
        <v>1777914002</v>
      </c>
      <c r="B1115" t="s">
        <v>72</v>
      </c>
      <c r="C1115" t="s">
        <v>73</v>
      </c>
      <c r="D1115">
        <v>4522.3900000000003</v>
      </c>
      <c r="E1115">
        <v>4518.5928199999998</v>
      </c>
      <c r="F1115">
        <v>4596.0559499999999</v>
      </c>
      <c r="G1115">
        <v>4755.40355</v>
      </c>
      <c r="H1115">
        <v>4792.7697200000002</v>
      </c>
      <c r="Q1115">
        <v>4519.7943800000003</v>
      </c>
      <c r="R1115">
        <v>4549.1576800000003</v>
      </c>
      <c r="S1115">
        <v>4575.7464499999996</v>
      </c>
      <c r="V1115">
        <v>4484.8546100000003</v>
      </c>
      <c r="W1115">
        <v>4451.2896099999998</v>
      </c>
      <c r="AB1115">
        <v>4516.7967900000003</v>
      </c>
      <c r="AC1115">
        <v>4516.2511100000002</v>
      </c>
      <c r="AD1115">
        <v>1</v>
      </c>
      <c r="AE1115">
        <f t="shared" si="158"/>
        <v>1113</v>
      </c>
      <c r="AF1115">
        <f t="shared" si="159"/>
        <v>1112</v>
      </c>
      <c r="AG1115">
        <f t="shared" si="153"/>
        <v>2.5956200000000536</v>
      </c>
      <c r="AH1115">
        <f t="shared" si="154"/>
        <v>6.7372431844002776</v>
      </c>
      <c r="AI1115">
        <f t="shared" si="155"/>
        <v>4.0228970629575963E-4</v>
      </c>
      <c r="AJ1115">
        <f t="shared" si="156"/>
        <v>2.969740899181699E-5</v>
      </c>
      <c r="AK1115">
        <f t="shared" si="157"/>
        <v>1236544</v>
      </c>
      <c r="AL1115">
        <f t="shared" si="160"/>
        <v>4516.7967900000003</v>
      </c>
      <c r="AM1115">
        <f t="shared" si="161"/>
        <v>49.756939999999304</v>
      </c>
    </row>
    <row r="1116" spans="1:39" x14ac:dyDescent="0.55000000000000004">
      <c r="A1116">
        <v>1777914902</v>
      </c>
      <c r="B1116" t="s">
        <v>72</v>
      </c>
      <c r="C1116" t="s">
        <v>73</v>
      </c>
      <c r="D1116">
        <v>4524.38</v>
      </c>
      <c r="E1116">
        <v>4518.5928199999998</v>
      </c>
      <c r="F1116">
        <v>4596.0559499999999</v>
      </c>
      <c r="G1116">
        <v>4755.40355</v>
      </c>
      <c r="H1116">
        <v>4792.7697200000002</v>
      </c>
      <c r="Q1116">
        <v>4519.5267800000001</v>
      </c>
      <c r="R1116">
        <v>4548.8900700000004</v>
      </c>
      <c r="S1116">
        <v>4575.4788500000004</v>
      </c>
      <c r="V1116">
        <v>4484.5870100000002</v>
      </c>
      <c r="W1116">
        <v>4451.0220099999997</v>
      </c>
      <c r="AB1116">
        <v>4519.0482700000002</v>
      </c>
      <c r="AC1116">
        <v>4517.6496900000002</v>
      </c>
      <c r="AD1116">
        <v>0</v>
      </c>
      <c r="AE1116">
        <f t="shared" si="158"/>
        <v>1114</v>
      </c>
      <c r="AF1116">
        <f t="shared" si="159"/>
        <v>1113</v>
      </c>
      <c r="AG1116">
        <f t="shared" si="153"/>
        <v>4.8532199999999648</v>
      </c>
      <c r="AH1116">
        <f t="shared" si="154"/>
        <v>23.553744368399659</v>
      </c>
      <c r="AI1116">
        <f t="shared" si="155"/>
        <v>2.6296958465484611E-3</v>
      </c>
      <c r="AJ1116">
        <f t="shared" si="156"/>
        <v>3.6297275453011139E-4</v>
      </c>
      <c r="AK1116">
        <f t="shared" si="157"/>
        <v>1238769</v>
      </c>
      <c r="AL1116">
        <f t="shared" si="160"/>
        <v>4516.7967900000003</v>
      </c>
      <c r="AM1116" t="str">
        <f t="shared" si="161"/>
        <v/>
      </c>
    </row>
    <row r="1117" spans="1:39" x14ac:dyDescent="0.55000000000000004">
      <c r="A1117">
        <v>1777915802</v>
      </c>
      <c r="B1117" t="s">
        <v>72</v>
      </c>
      <c r="C1117" t="s">
        <v>73</v>
      </c>
      <c r="D1117">
        <v>4526.1000000000004</v>
      </c>
      <c r="E1117">
        <v>4518.5928199999998</v>
      </c>
      <c r="F1117">
        <v>4596.0559499999999</v>
      </c>
      <c r="G1117">
        <v>4755.40355</v>
      </c>
      <c r="H1117">
        <v>4792.7697200000002</v>
      </c>
      <c r="Q1117">
        <v>4519.2591700000003</v>
      </c>
      <c r="R1117">
        <v>4548.6224700000002</v>
      </c>
      <c r="S1117">
        <v>4575.2112399999996</v>
      </c>
      <c r="V1117">
        <v>4484.3194000000003</v>
      </c>
      <c r="W1117">
        <v>4450.7544099999996</v>
      </c>
      <c r="AB1117">
        <v>4520.6637000000001</v>
      </c>
      <c r="AC1117">
        <v>4519.1566999999995</v>
      </c>
      <c r="AD1117">
        <v>0</v>
      </c>
      <c r="AE1117">
        <f t="shared" si="158"/>
        <v>1115</v>
      </c>
      <c r="AF1117">
        <f t="shared" si="159"/>
        <v>1114</v>
      </c>
      <c r="AG1117">
        <f t="shared" si="153"/>
        <v>6.8408300000000963</v>
      </c>
      <c r="AH1117">
        <f t="shared" si="154"/>
        <v>46.796955088901321</v>
      </c>
      <c r="AI1117">
        <f t="shared" si="155"/>
        <v>7.3644781585606453E-3</v>
      </c>
      <c r="AJ1117">
        <f t="shared" si="156"/>
        <v>1.432812311818071E-3</v>
      </c>
      <c r="AK1117">
        <f t="shared" si="157"/>
        <v>1240996</v>
      </c>
      <c r="AL1117">
        <f t="shared" si="160"/>
        <v>4516.7967900000003</v>
      </c>
      <c r="AM1117" t="str">
        <f t="shared" si="161"/>
        <v/>
      </c>
    </row>
    <row r="1118" spans="1:39" x14ac:dyDescent="0.55000000000000004">
      <c r="A1118">
        <v>1777916702</v>
      </c>
      <c r="B1118" t="s">
        <v>72</v>
      </c>
      <c r="C1118" t="s">
        <v>73</v>
      </c>
      <c r="D1118">
        <v>4522.3500000000004</v>
      </c>
      <c r="E1118">
        <v>4518.5928199999998</v>
      </c>
      <c r="F1118">
        <v>4596.0559499999999</v>
      </c>
      <c r="G1118">
        <v>4755.40355</v>
      </c>
      <c r="H1118">
        <v>4792.7697200000002</v>
      </c>
      <c r="Q1118">
        <v>4518.9915700000001</v>
      </c>
      <c r="R1118">
        <v>4548.3548700000001</v>
      </c>
      <c r="S1118">
        <v>4574.9436400000004</v>
      </c>
      <c r="V1118">
        <v>4484.0518000000002</v>
      </c>
      <c r="W1118">
        <v>4450.4867999999997</v>
      </c>
      <c r="AB1118">
        <v>4521.2744700000003</v>
      </c>
      <c r="AC1118">
        <v>4520.21558</v>
      </c>
      <c r="AD1118">
        <v>0</v>
      </c>
      <c r="AE1118">
        <f t="shared" si="158"/>
        <v>1116</v>
      </c>
      <c r="AF1118">
        <f t="shared" si="159"/>
        <v>1115</v>
      </c>
      <c r="AG1118">
        <f t="shared" si="153"/>
        <v>3.3584300000002258</v>
      </c>
      <c r="AH1118">
        <f t="shared" si="154"/>
        <v>11.279052064901517</v>
      </c>
      <c r="AI1118">
        <f t="shared" si="155"/>
        <v>8.7141390693255372E-4</v>
      </c>
      <c r="AJ1118">
        <f t="shared" si="156"/>
        <v>8.3233721967323836E-5</v>
      </c>
      <c r="AK1118">
        <f t="shared" si="157"/>
        <v>1243225</v>
      </c>
      <c r="AL1118">
        <f t="shared" si="160"/>
        <v>4516.7967900000003</v>
      </c>
      <c r="AM1118" t="str">
        <f t="shared" si="161"/>
        <v/>
      </c>
    </row>
    <row r="1119" spans="1:39" x14ac:dyDescent="0.55000000000000004">
      <c r="A1119">
        <v>1777917602</v>
      </c>
      <c r="B1119" t="s">
        <v>72</v>
      </c>
      <c r="C1119" t="s">
        <v>73</v>
      </c>
      <c r="D1119">
        <v>4520.01</v>
      </c>
      <c r="E1119">
        <v>4518.5928199999998</v>
      </c>
      <c r="F1119">
        <v>4596.0559499999999</v>
      </c>
      <c r="G1119">
        <v>4755.40355</v>
      </c>
      <c r="H1119">
        <v>4792.7697200000002</v>
      </c>
      <c r="Q1119">
        <v>4518.7239600000003</v>
      </c>
      <c r="R1119">
        <v>4548.0872600000002</v>
      </c>
      <c r="S1119">
        <v>4574.6760299999996</v>
      </c>
      <c r="V1119">
        <v>4483.7841900000003</v>
      </c>
      <c r="W1119">
        <v>4450.2191999999995</v>
      </c>
      <c r="AB1119">
        <v>4520.90726</v>
      </c>
      <c r="AC1119">
        <v>4520.56142</v>
      </c>
      <c r="AD1119">
        <v>0</v>
      </c>
      <c r="AE1119">
        <f t="shared" si="158"/>
        <v>1117</v>
      </c>
      <c r="AF1119">
        <f t="shared" si="159"/>
        <v>1116</v>
      </c>
      <c r="AG1119">
        <f t="shared" si="153"/>
        <v>1.2860399999999572</v>
      </c>
      <c r="AH1119">
        <f t="shared" si="154"/>
        <v>1.6538988815998901</v>
      </c>
      <c r="AI1119">
        <f t="shared" si="155"/>
        <v>4.8930428018848528E-5</v>
      </c>
      <c r="AJ1119">
        <f t="shared" si="156"/>
        <v>1.7896661327913759E-6</v>
      </c>
      <c r="AK1119">
        <f t="shared" si="157"/>
        <v>1245456</v>
      </c>
      <c r="AL1119">
        <f t="shared" si="160"/>
        <v>4516.7967900000003</v>
      </c>
      <c r="AM1119" t="str">
        <f t="shared" si="161"/>
        <v/>
      </c>
    </row>
    <row r="1120" spans="1:39" x14ac:dyDescent="0.55000000000000004">
      <c r="A1120">
        <v>1777918502</v>
      </c>
      <c r="B1120" t="s">
        <v>72</v>
      </c>
      <c r="C1120" t="s">
        <v>73</v>
      </c>
      <c r="D1120">
        <v>4511.95</v>
      </c>
      <c r="E1120">
        <v>4518.5928199999998</v>
      </c>
      <c r="F1120">
        <v>4596.0559499999999</v>
      </c>
      <c r="G1120">
        <v>4755.40355</v>
      </c>
      <c r="H1120">
        <v>4792.7697200000002</v>
      </c>
      <c r="Q1120">
        <v>4518.4563600000001</v>
      </c>
      <c r="R1120">
        <v>4547.8196600000001</v>
      </c>
      <c r="S1120">
        <v>4574.4084300000004</v>
      </c>
      <c r="V1120">
        <v>4483.5165900000002</v>
      </c>
      <c r="W1120">
        <v>4449.9515899999997</v>
      </c>
      <c r="AB1120">
        <v>4519.7938100000001</v>
      </c>
      <c r="AC1120">
        <v>4520.1776099999997</v>
      </c>
      <c r="AD1120">
        <v>1</v>
      </c>
      <c r="AE1120">
        <f t="shared" si="158"/>
        <v>1118</v>
      </c>
      <c r="AF1120">
        <f t="shared" si="159"/>
        <v>1117</v>
      </c>
      <c r="AG1120">
        <f t="shared" si="153"/>
        <v>-6.5063600000003134</v>
      </c>
      <c r="AH1120">
        <f t="shared" si="154"/>
        <v>42.332720449604082</v>
      </c>
      <c r="AI1120">
        <f t="shared" si="155"/>
        <v>-6.3362142296569425E-3</v>
      </c>
      <c r="AJ1120">
        <f t="shared" si="156"/>
        <v>1.1724827717088545E-3</v>
      </c>
      <c r="AK1120">
        <f t="shared" si="157"/>
        <v>1247689</v>
      </c>
      <c r="AL1120">
        <f t="shared" si="160"/>
        <v>4519.7938100000001</v>
      </c>
      <c r="AM1120">
        <f t="shared" si="161"/>
        <v>2.9970199999997931</v>
      </c>
    </row>
    <row r="1121" spans="1:39" x14ac:dyDescent="0.55000000000000004">
      <c r="A1121">
        <v>1777919402</v>
      </c>
      <c r="B1121" t="s">
        <v>72</v>
      </c>
      <c r="C1121" t="s">
        <v>73</v>
      </c>
      <c r="D1121">
        <v>4511.8599999999997</v>
      </c>
      <c r="E1121">
        <v>4518.5928199999998</v>
      </c>
      <c r="F1121">
        <v>4596.0559499999999</v>
      </c>
      <c r="G1121">
        <v>4755.40355</v>
      </c>
      <c r="H1121">
        <v>4792.7697200000002</v>
      </c>
      <c r="Q1121">
        <v>4518.18876</v>
      </c>
      <c r="R1121">
        <v>4547.5520500000002</v>
      </c>
      <c r="S1121">
        <v>4574.1408300000003</v>
      </c>
      <c r="V1121">
        <v>4483.24899</v>
      </c>
      <c r="W1121">
        <v>4449.6839900000004</v>
      </c>
      <c r="AB1121">
        <v>4518.50828</v>
      </c>
      <c r="AC1121">
        <v>4519.3429400000005</v>
      </c>
      <c r="AD1121">
        <v>0</v>
      </c>
      <c r="AE1121">
        <f t="shared" si="158"/>
        <v>1119</v>
      </c>
      <c r="AF1121">
        <f t="shared" si="159"/>
        <v>1118</v>
      </c>
      <c r="AG1121">
        <f t="shared" si="153"/>
        <v>-6.3287600000003295</v>
      </c>
      <c r="AH1121">
        <f t="shared" si="154"/>
        <v>40.053203137604172</v>
      </c>
      <c r="AI1121">
        <f t="shared" si="155"/>
        <v>-5.8313816292708785E-3</v>
      </c>
      <c r="AJ1121">
        <f t="shared" si="156"/>
        <v>1.0496115936477225E-3</v>
      </c>
      <c r="AK1121">
        <f t="shared" si="157"/>
        <v>1249924</v>
      </c>
      <c r="AL1121">
        <f t="shared" si="160"/>
        <v>4519.7938100000001</v>
      </c>
      <c r="AM1121" t="str">
        <f t="shared" si="161"/>
        <v/>
      </c>
    </row>
    <row r="1122" spans="1:39" x14ac:dyDescent="0.55000000000000004">
      <c r="A1122">
        <v>1777920302</v>
      </c>
      <c r="B1122" t="s">
        <v>72</v>
      </c>
      <c r="C1122" t="s">
        <v>73</v>
      </c>
      <c r="D1122">
        <v>4516.3999999999996</v>
      </c>
      <c r="E1122">
        <v>4518.5928199999998</v>
      </c>
      <c r="F1122">
        <v>4596.0559499999999</v>
      </c>
      <c r="G1122">
        <v>4755.40355</v>
      </c>
      <c r="H1122">
        <v>4792.7697200000002</v>
      </c>
      <c r="Q1122">
        <v>4517.9211500000001</v>
      </c>
      <c r="R1122">
        <v>4547.2844500000001</v>
      </c>
      <c r="S1122">
        <v>4573.8732200000004</v>
      </c>
      <c r="V1122">
        <v>4482.9813800000002</v>
      </c>
      <c r="W1122">
        <v>4449.4163799999997</v>
      </c>
      <c r="AB1122">
        <v>4517.4156800000001</v>
      </c>
      <c r="AC1122">
        <v>4518.3793100000003</v>
      </c>
      <c r="AD1122">
        <v>0</v>
      </c>
      <c r="AE1122">
        <f t="shared" si="158"/>
        <v>1120</v>
      </c>
      <c r="AF1122">
        <f t="shared" si="159"/>
        <v>1119</v>
      </c>
      <c r="AG1122">
        <f t="shared" si="153"/>
        <v>-1.5211500000004889</v>
      </c>
      <c r="AH1122">
        <f t="shared" si="154"/>
        <v>2.3138973225014876</v>
      </c>
      <c r="AI1122">
        <f t="shared" si="155"/>
        <v>-8.0971411463570661E-5</v>
      </c>
      <c r="AJ1122">
        <f t="shared" si="156"/>
        <v>3.5030172806964078E-6</v>
      </c>
      <c r="AK1122">
        <f t="shared" si="157"/>
        <v>1252161</v>
      </c>
      <c r="AL1122">
        <f t="shared" si="160"/>
        <v>4519.7938100000001</v>
      </c>
      <c r="AM1122" t="str">
        <f t="shared" si="161"/>
        <v/>
      </c>
    </row>
    <row r="1123" spans="1:39" x14ac:dyDescent="0.55000000000000004">
      <c r="A1123">
        <v>1777921202</v>
      </c>
      <c r="B1123" t="s">
        <v>72</v>
      </c>
      <c r="C1123" t="s">
        <v>73</v>
      </c>
      <c r="D1123">
        <v>4519.05</v>
      </c>
      <c r="E1123">
        <v>4518.5928199999998</v>
      </c>
      <c r="F1123">
        <v>4596.0559499999999</v>
      </c>
      <c r="G1123">
        <v>4755.40355</v>
      </c>
      <c r="H1123">
        <v>4792.7697200000002</v>
      </c>
      <c r="Q1123">
        <v>4517.65355</v>
      </c>
      <c r="R1123">
        <v>4547.01685</v>
      </c>
      <c r="S1123">
        <v>4573.6056200000003</v>
      </c>
      <c r="V1123">
        <v>4482.71378</v>
      </c>
      <c r="W1123">
        <v>4449.1487800000004</v>
      </c>
      <c r="AB1123">
        <v>4516.6973799999996</v>
      </c>
      <c r="AC1123">
        <v>4517.5383499999998</v>
      </c>
      <c r="AD1123">
        <v>0</v>
      </c>
      <c r="AE1123">
        <f t="shared" si="158"/>
        <v>1121</v>
      </c>
      <c r="AF1123">
        <f t="shared" si="159"/>
        <v>1120</v>
      </c>
      <c r="AG1123">
        <f t="shared" si="153"/>
        <v>1.3964500000001863</v>
      </c>
      <c r="AH1123">
        <f t="shared" si="154"/>
        <v>1.9500726025005202</v>
      </c>
      <c r="AI1123">
        <f t="shared" si="155"/>
        <v>6.2645770566384878E-5</v>
      </c>
      <c r="AJ1123">
        <f t="shared" si="156"/>
        <v>2.4880303521199591E-6</v>
      </c>
      <c r="AK1123">
        <f t="shared" si="157"/>
        <v>1254400</v>
      </c>
      <c r="AL1123">
        <f t="shared" si="160"/>
        <v>4519.7938100000001</v>
      </c>
      <c r="AM1123" t="str">
        <f t="shared" si="161"/>
        <v/>
      </c>
    </row>
    <row r="1124" spans="1:39" x14ac:dyDescent="0.55000000000000004">
      <c r="A1124">
        <v>1777922102</v>
      </c>
      <c r="B1124" t="s">
        <v>72</v>
      </c>
      <c r="C1124" t="s">
        <v>73</v>
      </c>
      <c r="D1124">
        <v>4522.42</v>
      </c>
      <c r="E1124">
        <v>4518.5928199999998</v>
      </c>
      <c r="F1124">
        <v>4596.0559499999999</v>
      </c>
      <c r="G1124">
        <v>4755.40355</v>
      </c>
      <c r="H1124">
        <v>4792.7697200000002</v>
      </c>
      <c r="Q1124">
        <v>4517.3859400000001</v>
      </c>
      <c r="R1124">
        <v>4546.7492400000001</v>
      </c>
      <c r="S1124">
        <v>4573.3380100000004</v>
      </c>
      <c r="V1124">
        <v>4482.4461700000002</v>
      </c>
      <c r="W1124">
        <v>4448.8811800000003</v>
      </c>
      <c r="AB1124">
        <v>4516.4624299999996</v>
      </c>
      <c r="AC1124">
        <v>4517.0003900000002</v>
      </c>
      <c r="AD1124">
        <v>0</v>
      </c>
      <c r="AE1124">
        <f t="shared" si="158"/>
        <v>1122</v>
      </c>
      <c r="AF1124">
        <f t="shared" si="159"/>
        <v>1121</v>
      </c>
      <c r="AG1124">
        <f t="shared" si="153"/>
        <v>5.034059999999954</v>
      </c>
      <c r="AH1124">
        <f t="shared" si="154"/>
        <v>25.341760083599539</v>
      </c>
      <c r="AI1124">
        <f t="shared" si="155"/>
        <v>2.9347475385283705E-3</v>
      </c>
      <c r="AJ1124">
        <f t="shared" si="156"/>
        <v>4.2017253675215326E-4</v>
      </c>
      <c r="AK1124">
        <f t="shared" si="157"/>
        <v>1256641</v>
      </c>
      <c r="AL1124">
        <f t="shared" si="160"/>
        <v>4519.7938100000001</v>
      </c>
      <c r="AM1124" t="str">
        <f t="shared" si="161"/>
        <v/>
      </c>
    </row>
    <row r="1125" spans="1:39" x14ac:dyDescent="0.55000000000000004">
      <c r="A1125">
        <v>1777923002</v>
      </c>
      <c r="B1125" t="s">
        <v>72</v>
      </c>
      <c r="C1125" t="s">
        <v>73</v>
      </c>
      <c r="D1125">
        <v>4521.16</v>
      </c>
      <c r="E1125">
        <v>4518.5928199999998</v>
      </c>
      <c r="F1125">
        <v>4596.0559499999999</v>
      </c>
      <c r="G1125">
        <v>4755.40355</v>
      </c>
      <c r="H1125">
        <v>4792.7697200000002</v>
      </c>
      <c r="Q1125">
        <v>4517.11834</v>
      </c>
      <c r="R1125">
        <v>4546.48164</v>
      </c>
      <c r="S1125">
        <v>4573.0704100000003</v>
      </c>
      <c r="V1125">
        <v>4482.17857</v>
      </c>
      <c r="W1125">
        <v>4448.6135700000004</v>
      </c>
      <c r="AB1125">
        <v>4516.6368599999996</v>
      </c>
      <c r="AC1125">
        <v>4516.81862</v>
      </c>
      <c r="AD1125">
        <v>0</v>
      </c>
      <c r="AE1125">
        <f t="shared" si="158"/>
        <v>1123</v>
      </c>
      <c r="AF1125">
        <f t="shared" si="159"/>
        <v>1122</v>
      </c>
      <c r="AG1125">
        <f t="shared" si="153"/>
        <v>4.0416599999998652</v>
      </c>
      <c r="AH1125">
        <f t="shared" si="154"/>
        <v>16.335015555598911</v>
      </c>
      <c r="AI1125">
        <f t="shared" si="155"/>
        <v>1.5187801522941167E-3</v>
      </c>
      <c r="AJ1125">
        <f t="shared" si="156"/>
        <v>1.7457948877992529E-4</v>
      </c>
      <c r="AK1125">
        <f t="shared" si="157"/>
        <v>1258884</v>
      </c>
      <c r="AL1125">
        <f t="shared" si="160"/>
        <v>4519.7938100000001</v>
      </c>
      <c r="AM1125" t="str">
        <f t="shared" si="161"/>
        <v/>
      </c>
    </row>
    <row r="1126" spans="1:39" x14ac:dyDescent="0.55000000000000004">
      <c r="A1126">
        <v>1777923902</v>
      </c>
      <c r="B1126" t="s">
        <v>72</v>
      </c>
      <c r="C1126" t="s">
        <v>73</v>
      </c>
      <c r="D1126">
        <v>4517.46</v>
      </c>
      <c r="E1126">
        <v>4518.5928199999998</v>
      </c>
      <c r="F1126">
        <v>4596.0559499999999</v>
      </c>
      <c r="G1126">
        <v>4755.40355</v>
      </c>
      <c r="H1126">
        <v>4792.7697200000002</v>
      </c>
      <c r="Q1126">
        <v>4516.8507399999999</v>
      </c>
      <c r="R1126">
        <v>4546.2140300000001</v>
      </c>
      <c r="S1126">
        <v>4572.8028000000004</v>
      </c>
      <c r="V1126">
        <v>4481.9109600000002</v>
      </c>
      <c r="W1126">
        <v>4448.3459700000003</v>
      </c>
      <c r="AB1126">
        <v>4517.1665300000004</v>
      </c>
      <c r="AC1126">
        <v>4516.9925800000001</v>
      </c>
      <c r="AD1126">
        <v>1</v>
      </c>
      <c r="AE1126">
        <f t="shared" si="158"/>
        <v>1124</v>
      </c>
      <c r="AF1126">
        <f t="shared" si="159"/>
        <v>1123</v>
      </c>
      <c r="AG1126">
        <f t="shared" si="153"/>
        <v>0.60926000000017666</v>
      </c>
      <c r="AH1126">
        <f t="shared" si="154"/>
        <v>0.37119774760021529</v>
      </c>
      <c r="AI1126">
        <f t="shared" si="155"/>
        <v>5.2026376911673496E-6</v>
      </c>
      <c r="AJ1126">
        <f t="shared" si="156"/>
        <v>9.0149802005623948E-8</v>
      </c>
      <c r="AK1126">
        <f t="shared" si="157"/>
        <v>1261129</v>
      </c>
      <c r="AL1126">
        <f t="shared" si="160"/>
        <v>4517.1665300000004</v>
      </c>
      <c r="AM1126">
        <f t="shared" si="161"/>
        <v>2.6272799999997005</v>
      </c>
    </row>
    <row r="1127" spans="1:39" x14ac:dyDescent="0.55000000000000004">
      <c r="A1127">
        <v>1777924802</v>
      </c>
      <c r="B1127" t="s">
        <v>72</v>
      </c>
      <c r="C1127" t="s">
        <v>73</v>
      </c>
      <c r="D1127">
        <v>4514.74</v>
      </c>
      <c r="E1127">
        <v>4518.5928199999998</v>
      </c>
      <c r="F1127">
        <v>4596.0559499999999</v>
      </c>
      <c r="G1127">
        <v>4755.40355</v>
      </c>
      <c r="H1127">
        <v>4792.7697200000002</v>
      </c>
      <c r="Q1127">
        <v>4516.58313</v>
      </c>
      <c r="R1127">
        <v>4545.94643</v>
      </c>
      <c r="S1127">
        <v>4572.5352000000003</v>
      </c>
      <c r="V1127">
        <v>4481.64336</v>
      </c>
      <c r="W1127">
        <v>4448.0783600000004</v>
      </c>
      <c r="AB1127">
        <v>4517.98711</v>
      </c>
      <c r="AC1127">
        <v>4517.4898499999999</v>
      </c>
      <c r="AD1127">
        <v>0</v>
      </c>
      <c r="AE1127">
        <f t="shared" si="158"/>
        <v>1125</v>
      </c>
      <c r="AF1127">
        <f t="shared" si="159"/>
        <v>1124</v>
      </c>
      <c r="AG1127">
        <f t="shared" si="153"/>
        <v>-1.8431300000002011</v>
      </c>
      <c r="AH1127">
        <f t="shared" si="154"/>
        <v>3.3971281969007414</v>
      </c>
      <c r="AI1127">
        <f t="shared" si="155"/>
        <v>-1.4404012467653367E-4</v>
      </c>
      <c r="AJ1127">
        <f t="shared" si="156"/>
        <v>7.5505395162268174E-6</v>
      </c>
      <c r="AK1127">
        <f t="shared" si="157"/>
        <v>1263376</v>
      </c>
      <c r="AL1127">
        <f t="shared" si="160"/>
        <v>4517.1665300000004</v>
      </c>
      <c r="AM1127" t="str">
        <f t="shared" si="161"/>
        <v/>
      </c>
    </row>
    <row r="1128" spans="1:39" x14ac:dyDescent="0.55000000000000004">
      <c r="A1128">
        <v>1777925702</v>
      </c>
      <c r="B1128" t="s">
        <v>72</v>
      </c>
      <c r="C1128" t="s">
        <v>73</v>
      </c>
      <c r="D1128">
        <v>4515.21</v>
      </c>
      <c r="E1128">
        <v>4518.5928199999998</v>
      </c>
      <c r="F1128">
        <v>4596.0559499999999</v>
      </c>
      <c r="G1128">
        <v>4755.40355</v>
      </c>
      <c r="H1128">
        <v>4792.7697200000002</v>
      </c>
      <c r="Q1128">
        <v>4516.3155299999999</v>
      </c>
      <c r="R1128">
        <v>4545.6788299999998</v>
      </c>
      <c r="S1128">
        <v>4572.2676000000001</v>
      </c>
      <c r="V1128">
        <v>4481.3757599999999</v>
      </c>
      <c r="W1128">
        <v>4447.8107600000003</v>
      </c>
      <c r="AB1128">
        <v>4518.9604499999996</v>
      </c>
      <c r="AC1128">
        <v>4518.2251500000002</v>
      </c>
      <c r="AD1128">
        <v>0</v>
      </c>
      <c r="AE1128">
        <f t="shared" si="158"/>
        <v>1126</v>
      </c>
      <c r="AF1128">
        <f t="shared" si="159"/>
        <v>1125</v>
      </c>
      <c r="AG1128">
        <f t="shared" si="153"/>
        <v>-1.1055299999998169</v>
      </c>
      <c r="AH1128">
        <f t="shared" si="154"/>
        <v>1.2221965808995952</v>
      </c>
      <c r="AI1128">
        <f t="shared" si="155"/>
        <v>-3.1083304374776936E-5</v>
      </c>
      <c r="AJ1128">
        <f t="shared" si="156"/>
        <v>9.7731877404785489E-7</v>
      </c>
      <c r="AK1128">
        <f t="shared" si="157"/>
        <v>1265625</v>
      </c>
      <c r="AL1128">
        <f t="shared" si="160"/>
        <v>4517.1665300000004</v>
      </c>
      <c r="AM1128" t="str">
        <f t="shared" si="161"/>
        <v/>
      </c>
    </row>
    <row r="1129" spans="1:39" x14ac:dyDescent="0.55000000000000004">
      <c r="A1129">
        <v>1777926602</v>
      </c>
      <c r="B1129" t="s">
        <v>72</v>
      </c>
      <c r="C1129" t="s">
        <v>73</v>
      </c>
      <c r="D1129">
        <v>4518.75</v>
      </c>
      <c r="E1129">
        <v>4518.5928199999998</v>
      </c>
      <c r="F1129">
        <v>4596.0559499999999</v>
      </c>
      <c r="G1129">
        <v>4755.40355</v>
      </c>
      <c r="H1129">
        <v>4792.7697200000002</v>
      </c>
      <c r="Q1129">
        <v>4516.04792</v>
      </c>
      <c r="R1129">
        <v>4545.41122</v>
      </c>
      <c r="S1129">
        <v>4571.9999900000003</v>
      </c>
      <c r="V1129">
        <v>4481.10815</v>
      </c>
      <c r="W1129">
        <v>4447.5431600000002</v>
      </c>
      <c r="AB1129">
        <v>4519.86715</v>
      </c>
      <c r="AC1129">
        <v>4519.0461500000001</v>
      </c>
      <c r="AD1129">
        <v>0</v>
      </c>
      <c r="AE1129">
        <f t="shared" si="158"/>
        <v>1127</v>
      </c>
      <c r="AF1129">
        <f t="shared" si="159"/>
        <v>1126</v>
      </c>
      <c r="AG1129">
        <f t="shared" si="153"/>
        <v>2.7020800000000236</v>
      </c>
      <c r="AH1129">
        <f t="shared" si="154"/>
        <v>7.3012363264001277</v>
      </c>
      <c r="AI1129">
        <f t="shared" si="155"/>
        <v>4.5384775692732985E-4</v>
      </c>
      <c r="AJ1129">
        <f t="shared" si="156"/>
        <v>3.4877626653343344E-5</v>
      </c>
      <c r="AK1129">
        <f t="shared" si="157"/>
        <v>1267876</v>
      </c>
      <c r="AL1129">
        <f t="shared" si="160"/>
        <v>4517.1665300000004</v>
      </c>
      <c r="AM1129" t="str">
        <f t="shared" si="161"/>
        <v/>
      </c>
    </row>
    <row r="1130" spans="1:39" x14ac:dyDescent="0.55000000000000004">
      <c r="A1130">
        <v>1777927502</v>
      </c>
      <c r="B1130" t="s">
        <v>72</v>
      </c>
      <c r="C1130" t="s">
        <v>73</v>
      </c>
      <c r="D1130">
        <v>4523.84</v>
      </c>
      <c r="E1130">
        <v>4518.5928199999998</v>
      </c>
      <c r="F1130">
        <v>4596.0559499999999</v>
      </c>
      <c r="G1130">
        <v>4755.40355</v>
      </c>
      <c r="H1130">
        <v>4792.7697200000002</v>
      </c>
      <c r="Q1130">
        <v>4515.7803199999998</v>
      </c>
      <c r="R1130">
        <v>4545.1436199999998</v>
      </c>
      <c r="S1130">
        <v>4571.7323900000001</v>
      </c>
      <c r="V1130">
        <v>4480.8405499999999</v>
      </c>
      <c r="W1130">
        <v>4447.2755500000003</v>
      </c>
      <c r="AB1130">
        <v>4520.4522399999996</v>
      </c>
      <c r="AC1130">
        <v>4519.7491900000005</v>
      </c>
      <c r="AD1130">
        <v>0</v>
      </c>
      <c r="AE1130">
        <f t="shared" si="158"/>
        <v>1128</v>
      </c>
      <c r="AF1130">
        <f t="shared" si="159"/>
        <v>1127</v>
      </c>
      <c r="AG1130">
        <f t="shared" si="153"/>
        <v>8.0596800000002986</v>
      </c>
      <c r="AH1130">
        <f t="shared" si="154"/>
        <v>64.958441702404812</v>
      </c>
      <c r="AI1130">
        <f t="shared" si="155"/>
        <v>1.2043951042871761E-2</v>
      </c>
      <c r="AJ1130">
        <f t="shared" si="156"/>
        <v>2.7607387345089289E-3</v>
      </c>
      <c r="AK1130">
        <f t="shared" si="157"/>
        <v>1270129</v>
      </c>
      <c r="AL1130">
        <f t="shared" si="160"/>
        <v>4517.1665300000004</v>
      </c>
      <c r="AM1130" t="str">
        <f t="shared" si="161"/>
        <v/>
      </c>
    </row>
    <row r="1131" spans="1:39" x14ac:dyDescent="0.55000000000000004">
      <c r="A1131">
        <v>1777932002</v>
      </c>
      <c r="B1131" t="s">
        <v>72</v>
      </c>
      <c r="C1131" t="s">
        <v>73</v>
      </c>
      <c r="D1131">
        <v>4521.1000000000004</v>
      </c>
      <c r="E1131">
        <v>4518.5928199999998</v>
      </c>
      <c r="F1131">
        <v>4596.0559499999999</v>
      </c>
      <c r="G1131">
        <v>4755.40355</v>
      </c>
      <c r="H1131">
        <v>4792.7697200000002</v>
      </c>
      <c r="Q1131">
        <v>4515.51271</v>
      </c>
      <c r="R1131">
        <v>4544.87601</v>
      </c>
      <c r="S1131">
        <v>4571.4647800000002</v>
      </c>
      <c r="V1131">
        <v>4480.57294</v>
      </c>
      <c r="W1131">
        <v>4447.0079500000002</v>
      </c>
      <c r="AB1131">
        <v>4520.5340299999998</v>
      </c>
      <c r="AC1131">
        <v>4520.1416099999997</v>
      </c>
      <c r="AD1131">
        <v>0</v>
      </c>
      <c r="AE1131">
        <f t="shared" si="158"/>
        <v>1129</v>
      </c>
      <c r="AF1131">
        <f t="shared" si="159"/>
        <v>1128</v>
      </c>
      <c r="AG1131">
        <f t="shared" si="153"/>
        <v>5.5872900000003938</v>
      </c>
      <c r="AH1131">
        <f t="shared" si="154"/>
        <v>31.217809544104401</v>
      </c>
      <c r="AI1131">
        <f t="shared" si="155"/>
        <v>4.0125386117908128E-3</v>
      </c>
      <c r="AJ1131">
        <f t="shared" si="156"/>
        <v>6.3761564704061002E-4</v>
      </c>
      <c r="AK1131">
        <f t="shared" si="157"/>
        <v>1272384</v>
      </c>
      <c r="AL1131">
        <f t="shared" si="160"/>
        <v>4517.1665300000004</v>
      </c>
      <c r="AM1131" t="str">
        <f t="shared" si="161"/>
        <v/>
      </c>
    </row>
    <row r="1132" spans="1:39" x14ac:dyDescent="0.55000000000000004">
      <c r="A1132">
        <v>1777932902</v>
      </c>
      <c r="B1132" t="s">
        <v>72</v>
      </c>
      <c r="C1132" t="s">
        <v>73</v>
      </c>
      <c r="D1132">
        <v>4519.66</v>
      </c>
      <c r="E1132">
        <v>4518.5928199999998</v>
      </c>
      <c r="F1132">
        <v>4596.0559499999999</v>
      </c>
      <c r="G1132">
        <v>4755.40355</v>
      </c>
      <c r="H1132">
        <v>4792.7697200000002</v>
      </c>
      <c r="Q1132">
        <v>4515.2451099999998</v>
      </c>
      <c r="R1132">
        <v>4544.6084099999998</v>
      </c>
      <c r="S1132">
        <v>4571.1971800000001</v>
      </c>
      <c r="V1132">
        <v>4480.3053399999999</v>
      </c>
      <c r="W1132">
        <v>4446.7403400000003</v>
      </c>
      <c r="AB1132">
        <v>4520.2373799999996</v>
      </c>
      <c r="AC1132">
        <v>4520.1895000000004</v>
      </c>
      <c r="AD1132">
        <v>0</v>
      </c>
      <c r="AE1132">
        <f t="shared" si="158"/>
        <v>1130</v>
      </c>
      <c r="AF1132">
        <f t="shared" si="159"/>
        <v>1129</v>
      </c>
      <c r="AG1132">
        <f t="shared" si="153"/>
        <v>4.414890000000014</v>
      </c>
      <c r="AH1132">
        <f t="shared" si="154"/>
        <v>19.491253712100125</v>
      </c>
      <c r="AI1132">
        <f t="shared" si="155"/>
        <v>1.9795899777414736E-3</v>
      </c>
      <c r="AJ1132">
        <f t="shared" si="156"/>
        <v>2.4856138597135536E-4</v>
      </c>
      <c r="AK1132">
        <f t="shared" si="157"/>
        <v>1274641</v>
      </c>
      <c r="AL1132">
        <f t="shared" si="160"/>
        <v>4517.1665300000004</v>
      </c>
      <c r="AM1132" t="str">
        <f t="shared" si="161"/>
        <v/>
      </c>
    </row>
    <row r="1133" spans="1:39" x14ac:dyDescent="0.55000000000000004">
      <c r="A1133">
        <v>1777933802</v>
      </c>
      <c r="B1133" t="s">
        <v>72</v>
      </c>
      <c r="C1133" t="s">
        <v>73</v>
      </c>
      <c r="D1133">
        <v>4519.0200000000004</v>
      </c>
      <c r="E1133">
        <v>4518.5928199999998</v>
      </c>
      <c r="F1133">
        <v>4596.0559499999999</v>
      </c>
      <c r="G1133">
        <v>4755.40355</v>
      </c>
      <c r="H1133">
        <v>4792.7697200000002</v>
      </c>
      <c r="Q1133">
        <v>4514.9775099999997</v>
      </c>
      <c r="R1133">
        <v>4544.3408099999997</v>
      </c>
      <c r="S1133">
        <v>4570.92958</v>
      </c>
      <c r="V1133">
        <v>4480.0377399999998</v>
      </c>
      <c r="W1133">
        <v>4446.4727400000002</v>
      </c>
      <c r="AB1133">
        <v>4519.7573000000002</v>
      </c>
      <c r="AC1133">
        <v>4519.9733999999999</v>
      </c>
      <c r="AD1133">
        <v>1</v>
      </c>
      <c r="AE1133">
        <f t="shared" si="158"/>
        <v>1131</v>
      </c>
      <c r="AF1133">
        <f t="shared" si="159"/>
        <v>1130</v>
      </c>
      <c r="AG1133">
        <f t="shared" si="153"/>
        <v>4.0424900000007256</v>
      </c>
      <c r="AH1133">
        <f t="shared" si="154"/>
        <v>16.341725400105865</v>
      </c>
      <c r="AI1133">
        <f t="shared" si="155"/>
        <v>1.5197160398411791E-3</v>
      </c>
      <c r="AJ1133">
        <f t="shared" si="156"/>
        <v>1.7472294034932831E-4</v>
      </c>
      <c r="AK1133">
        <f t="shared" si="157"/>
        <v>1276900</v>
      </c>
      <c r="AL1133">
        <f t="shared" si="160"/>
        <v>4519.7573000000002</v>
      </c>
      <c r="AM1133">
        <f t="shared" si="161"/>
        <v>2.5907699999997931</v>
      </c>
    </row>
    <row r="1134" spans="1:39" x14ac:dyDescent="0.55000000000000004">
      <c r="A1134">
        <v>1777934702</v>
      </c>
      <c r="B1134" t="s">
        <v>72</v>
      </c>
      <c r="C1134" t="s">
        <v>73</v>
      </c>
      <c r="D1134">
        <v>4517.5200000000004</v>
      </c>
      <c r="E1134">
        <v>4518.5928199999998</v>
      </c>
      <c r="F1134">
        <v>4596.0559499999999</v>
      </c>
      <c r="G1134">
        <v>4755.40355</v>
      </c>
      <c r="H1134">
        <v>4792.7697200000002</v>
      </c>
      <c r="Q1134">
        <v>4514.7098999999998</v>
      </c>
      <c r="R1134">
        <v>4544.0731999999998</v>
      </c>
      <c r="S1134">
        <v>4570.6619700000001</v>
      </c>
      <c r="V1134">
        <v>4479.7701299999999</v>
      </c>
      <c r="W1134">
        <v>4446.20514</v>
      </c>
      <c r="AB1134">
        <v>4519.3025100000004</v>
      </c>
      <c r="AC1134">
        <v>4519.63796</v>
      </c>
      <c r="AD1134">
        <v>0</v>
      </c>
      <c r="AE1134">
        <f t="shared" si="158"/>
        <v>1132</v>
      </c>
      <c r="AF1134">
        <f t="shared" si="159"/>
        <v>1131</v>
      </c>
      <c r="AG1134">
        <f t="shared" si="153"/>
        <v>2.8101000000006024</v>
      </c>
      <c r="AH1134">
        <f t="shared" si="154"/>
        <v>7.8966620100033857</v>
      </c>
      <c r="AI1134">
        <f t="shared" si="155"/>
        <v>5.1048255975190188E-4</v>
      </c>
      <c r="AJ1134">
        <f t="shared" si="156"/>
        <v>4.0798219711845815E-5</v>
      </c>
      <c r="AK1134">
        <f t="shared" si="157"/>
        <v>1279161</v>
      </c>
      <c r="AL1134">
        <f t="shared" si="160"/>
        <v>4519.7573000000002</v>
      </c>
      <c r="AM1134" t="str">
        <f t="shared" si="161"/>
        <v/>
      </c>
    </row>
    <row r="1135" spans="1:39" x14ac:dyDescent="0.55000000000000004">
      <c r="A1135">
        <v>1777935602</v>
      </c>
      <c r="B1135" t="s">
        <v>72</v>
      </c>
      <c r="C1135" t="s">
        <v>73</v>
      </c>
      <c r="D1135">
        <v>4520.4399999999996</v>
      </c>
      <c r="E1135">
        <v>4518.5928199999998</v>
      </c>
      <c r="F1135">
        <v>4596.0559499999999</v>
      </c>
      <c r="G1135">
        <v>4755.40355</v>
      </c>
      <c r="H1135">
        <v>4792.7697200000002</v>
      </c>
      <c r="Q1135">
        <v>4514.4422999999997</v>
      </c>
      <c r="R1135">
        <v>4543.8055999999997</v>
      </c>
      <c r="S1135">
        <v>4570.39437</v>
      </c>
      <c r="V1135">
        <v>4479.5025299999998</v>
      </c>
      <c r="W1135">
        <v>4445.9375300000002</v>
      </c>
      <c r="AB1135">
        <v>4519.0687399999997</v>
      </c>
      <c r="AC1135">
        <v>4519.3533500000003</v>
      </c>
      <c r="AD1135">
        <v>0</v>
      </c>
      <c r="AE1135">
        <f t="shared" si="158"/>
        <v>1133</v>
      </c>
      <c r="AF1135">
        <f t="shared" si="159"/>
        <v>1132</v>
      </c>
      <c r="AG1135">
        <f t="shared" si="153"/>
        <v>5.9976999999998952</v>
      </c>
      <c r="AH1135">
        <f t="shared" si="154"/>
        <v>35.97240528999874</v>
      </c>
      <c r="AI1135">
        <f t="shared" si="155"/>
        <v>4.9632917132121134E-3</v>
      </c>
      <c r="AJ1135">
        <f t="shared" si="156"/>
        <v>8.4662885928042208E-4</v>
      </c>
      <c r="AK1135">
        <f t="shared" si="157"/>
        <v>1281424</v>
      </c>
      <c r="AL1135">
        <f t="shared" si="160"/>
        <v>4519.7573000000002</v>
      </c>
      <c r="AM1135" t="str">
        <f t="shared" si="161"/>
        <v/>
      </c>
    </row>
    <row r="1136" spans="1:39" x14ac:dyDescent="0.55000000000000004">
      <c r="A1136">
        <v>1777936502</v>
      </c>
      <c r="B1136" t="s">
        <v>72</v>
      </c>
      <c r="C1136" t="s">
        <v>73</v>
      </c>
      <c r="D1136">
        <v>4521.13</v>
      </c>
      <c r="E1136">
        <v>4518.5928199999998</v>
      </c>
      <c r="F1136">
        <v>4596.0559499999999</v>
      </c>
      <c r="G1136">
        <v>4755.40355</v>
      </c>
      <c r="H1136">
        <v>4792.7697200000002</v>
      </c>
      <c r="Q1136">
        <v>4514.1746899999998</v>
      </c>
      <c r="R1136">
        <v>4543.5379899999998</v>
      </c>
      <c r="S1136">
        <v>4570.1267600000001</v>
      </c>
      <c r="V1136">
        <v>4479.2349199999999</v>
      </c>
      <c r="W1136">
        <v>4445.66993</v>
      </c>
      <c r="AB1136">
        <v>4519.0811000000003</v>
      </c>
      <c r="AC1136">
        <v>4519.2172300000002</v>
      </c>
      <c r="AD1136">
        <v>0</v>
      </c>
      <c r="AE1136">
        <f t="shared" si="158"/>
        <v>1134</v>
      </c>
      <c r="AF1136">
        <f t="shared" si="159"/>
        <v>1133</v>
      </c>
      <c r="AG1136">
        <f t="shared" si="153"/>
        <v>6.9553100000002814</v>
      </c>
      <c r="AH1136">
        <f t="shared" si="154"/>
        <v>48.376337196103918</v>
      </c>
      <c r="AI1136">
        <f t="shared" si="155"/>
        <v>7.740429485620628E-3</v>
      </c>
      <c r="AJ1136">
        <f t="shared" si="156"/>
        <v>1.5311582480679411E-3</v>
      </c>
      <c r="AK1136">
        <f t="shared" si="157"/>
        <v>1283689</v>
      </c>
      <c r="AL1136">
        <f t="shared" si="160"/>
        <v>4519.7573000000002</v>
      </c>
      <c r="AM1136" t="str">
        <f t="shared" si="161"/>
        <v/>
      </c>
    </row>
    <row r="1137" spans="1:39" x14ac:dyDescent="0.55000000000000004">
      <c r="A1137">
        <v>1777937402</v>
      </c>
      <c r="B1137" t="s">
        <v>72</v>
      </c>
      <c r="C1137" t="s">
        <v>73</v>
      </c>
      <c r="D1137">
        <v>4518.5200000000004</v>
      </c>
      <c r="E1137">
        <v>4518.5928199999998</v>
      </c>
      <c r="F1137">
        <v>4596.0559499999999</v>
      </c>
      <c r="G1137">
        <v>4755.40355</v>
      </c>
      <c r="H1137">
        <v>4792.7697200000002</v>
      </c>
      <c r="Q1137">
        <v>4513.9070899999997</v>
      </c>
      <c r="R1137">
        <v>4543.2703899999997</v>
      </c>
      <c r="S1137">
        <v>4569.85916</v>
      </c>
      <c r="V1137">
        <v>4478.9673199999997</v>
      </c>
      <c r="W1137">
        <v>4445.4023200000001</v>
      </c>
      <c r="AB1137">
        <v>4519.4496600000002</v>
      </c>
      <c r="AC1137">
        <v>4519.3334400000003</v>
      </c>
      <c r="AD1137">
        <v>1</v>
      </c>
      <c r="AE1137">
        <f t="shared" si="158"/>
        <v>1135</v>
      </c>
      <c r="AF1137">
        <f t="shared" si="159"/>
        <v>1134</v>
      </c>
      <c r="AG1137">
        <f t="shared" si="153"/>
        <v>4.6129100000007384</v>
      </c>
      <c r="AH1137">
        <f t="shared" si="154"/>
        <v>21.278938668106811</v>
      </c>
      <c r="AI1137">
        <f t="shared" si="155"/>
        <v>2.2580862627842604E-3</v>
      </c>
      <c r="AJ1137">
        <f t="shared" si="156"/>
        <v>2.9624705265639473E-4</v>
      </c>
      <c r="AK1137">
        <f t="shared" si="157"/>
        <v>1285956</v>
      </c>
      <c r="AL1137">
        <f t="shared" si="160"/>
        <v>4519.4496600000002</v>
      </c>
      <c r="AM1137">
        <f t="shared" si="161"/>
        <v>0.30763999999999214</v>
      </c>
    </row>
  </sheetData>
  <mergeCells count="2">
    <mergeCell ref="AE1:AK1"/>
    <mergeCell ref="A1:AD1"/>
  </mergeCells>
  <pageMargins left="0.7" right="0.7" top="0.75" bottom="0.75" header="0.3" footer="0.3"/>
  <pageSetup orientation="portrait" horizontalDpi="200" verticalDpi="2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3"/>
  <sheetViews>
    <sheetView workbookViewId="0">
      <selection activeCell="L8" sqref="L8"/>
    </sheetView>
  </sheetViews>
  <sheetFormatPr defaultRowHeight="14.4" x14ac:dyDescent="0.55000000000000004"/>
  <cols>
    <col min="1" max="1" width="68" customWidth="1"/>
    <col min="2" max="2" width="20" bestFit="1" customWidth="1"/>
    <col min="3" max="3" width="12" customWidth="1"/>
  </cols>
  <sheetData>
    <row r="1" spans="1:3" ht="26.05" customHeight="1" x14ac:dyDescent="0.55000000000000004">
      <c r="A1" s="118" t="s">
        <v>78</v>
      </c>
      <c r="B1" s="113"/>
      <c r="C1" s="113"/>
    </row>
    <row r="2" spans="1:3" ht="22" customHeight="1" x14ac:dyDescent="0.55000000000000004">
      <c r="A2" s="6" t="s">
        <v>79</v>
      </c>
      <c r="B2" s="7">
        <f>SQRT(AVERAGE('Data Export2 Refine'!AH3:AH1137))</f>
        <v>40.755972810827117</v>
      </c>
    </row>
    <row r="3" spans="1:3" ht="22" customHeight="1" x14ac:dyDescent="0.55000000000000004">
      <c r="A3" s="6" t="s">
        <v>80</v>
      </c>
      <c r="B3" s="7">
        <f>COUNT('Data Export2 Refine'!AG3:AG1137)</f>
        <v>1135</v>
      </c>
    </row>
    <row r="4" spans="1:3" ht="6" customHeight="1" x14ac:dyDescent="0.55000000000000004"/>
    <row r="5" spans="1:3" ht="26.05" customHeight="1" x14ac:dyDescent="0.55000000000000004">
      <c r="A5" s="118" t="s">
        <v>81</v>
      </c>
      <c r="B5" s="113"/>
      <c r="C5" s="113"/>
    </row>
    <row r="6" spans="1:3" ht="22" customHeight="1" x14ac:dyDescent="0.55000000000000004">
      <c r="A6" s="8" t="s">
        <v>82</v>
      </c>
      <c r="B6" s="9">
        <f>0.05</f>
        <v>0.05</v>
      </c>
    </row>
    <row r="7" spans="1:3" ht="22" customHeight="1" x14ac:dyDescent="0.55000000000000004">
      <c r="A7" s="10" t="s">
        <v>83</v>
      </c>
      <c r="B7" s="11">
        <f>B3</f>
        <v>1135</v>
      </c>
    </row>
    <row r="8" spans="1:3" ht="30" customHeight="1" x14ac:dyDescent="0.55000000000000004">
      <c r="A8" s="10" t="s">
        <v>84</v>
      </c>
      <c r="B8" s="12">
        <f>SKEW('Data Export2 Refine'!AG3:AG1137)</f>
        <v>-0.22013740810188911</v>
      </c>
    </row>
    <row r="9" spans="1:3" ht="30" customHeight="1" x14ac:dyDescent="0.55000000000000004">
      <c r="A9" s="10" t="s">
        <v>85</v>
      </c>
      <c r="B9" s="12">
        <f>KURT('Data Export2 Refine'!AG3:AG1137)</f>
        <v>-0.66774707295757674</v>
      </c>
    </row>
    <row r="10" spans="1:3" ht="22" customHeight="1" x14ac:dyDescent="0.55000000000000004">
      <c r="A10" s="10" t="s">
        <v>86</v>
      </c>
      <c r="B10" s="12">
        <f>B7/6*(B8^2+B9^2/4)</f>
        <v>30.253806512595173</v>
      </c>
    </row>
    <row r="11" spans="1:3" ht="22" customHeight="1" x14ac:dyDescent="0.55000000000000004">
      <c r="A11" s="13" t="s">
        <v>87</v>
      </c>
      <c r="B11" s="14">
        <f>CHIDIST(B10,2)</f>
        <v>2.6944453999308828E-7</v>
      </c>
    </row>
    <row r="12" spans="1:3" ht="22" customHeight="1" x14ac:dyDescent="0.55000000000000004">
      <c r="A12" s="10" t="s">
        <v>88</v>
      </c>
      <c r="B12" s="12">
        <f>CHIINV(B6,2)</f>
        <v>5.9914645471079817</v>
      </c>
    </row>
    <row r="13" spans="1:3" ht="44.05" customHeight="1" x14ac:dyDescent="0.55000000000000004">
      <c r="A13" s="117" t="str">
        <f>"DECISION:  JB = "&amp;TEXT(B10,"0.0000")&amp;",  p = "&amp;TEXT(B11,"0.00E+00")&amp;"  "&amp;IF(B11&lt;B6,"&lt;","≥")&amp;"  α = "&amp;TEXT(B6,"0.00")&amp;"   ⟹   "&amp;IF(B11&lt;B6,"REJECT H₀  →  Base_FL residuals are NOT normally distributed","FAIL TO REJECT H₀  →  Base_FL residuals are normally distributed")</f>
        <v>DECISION:  JB = 30.2538,  p = 2.69E-07  &lt;  α = 0.05   ⟹   REJECT H₀  →  Base_FL residuals are NOT normally distributed</v>
      </c>
      <c r="B13" s="113"/>
      <c r="C13" s="113"/>
    </row>
    <row r="14" spans="1:3" ht="6" customHeight="1" x14ac:dyDescent="0.55000000000000004">
      <c r="A14" s="1"/>
      <c r="B14" s="1"/>
    </row>
    <row r="15" spans="1:3" ht="26.05" customHeight="1" x14ac:dyDescent="0.55000000000000004">
      <c r="A15" s="118" t="s">
        <v>89</v>
      </c>
      <c r="B15" s="113"/>
      <c r="C15" s="113"/>
    </row>
    <row r="16" spans="1:3" ht="22" customHeight="1" x14ac:dyDescent="0.55000000000000004">
      <c r="A16" s="10" t="s">
        <v>82</v>
      </c>
      <c r="B16" s="12">
        <f>0.05</f>
        <v>0.05</v>
      </c>
    </row>
    <row r="17" spans="1:3" ht="22" customHeight="1" x14ac:dyDescent="0.55000000000000004">
      <c r="A17" s="10" t="s">
        <v>83</v>
      </c>
      <c r="B17" s="12">
        <f>B3</f>
        <v>1135</v>
      </c>
    </row>
    <row r="18" spans="1:3" ht="26.05" customHeight="1" x14ac:dyDescent="0.55000000000000004">
      <c r="A18" s="119" t="s">
        <v>90</v>
      </c>
      <c r="B18" s="113"/>
      <c r="C18" s="113"/>
    </row>
    <row r="19" spans="1:3" ht="30" customHeight="1" x14ac:dyDescent="0.55000000000000004">
      <c r="A19" s="10" t="s">
        <v>91</v>
      </c>
      <c r="B19" s="12">
        <f>INDEX(LINEST('Data Export2 Refine'!AH3:AH1137,CHOOSE({1,2},'Data Export2 Refine'!AF3:AF1137,'Data Export2 Refine'!AK3:AK1137),TRUE,TRUE),3,1)</f>
        <v>0.11986923693139363</v>
      </c>
    </row>
    <row r="20" spans="1:3" ht="22" customHeight="1" x14ac:dyDescent="0.55000000000000004">
      <c r="A20" s="10" t="s">
        <v>92</v>
      </c>
      <c r="B20" s="12">
        <f>B17*B19</f>
        <v>136.05158391713178</v>
      </c>
    </row>
    <row r="21" spans="1:3" ht="22" customHeight="1" x14ac:dyDescent="0.55000000000000004">
      <c r="A21" s="10" t="s">
        <v>93</v>
      </c>
      <c r="B21" s="12">
        <f>CHIDIST(B20,2)</f>
        <v>2.8626873921822909E-30</v>
      </c>
    </row>
    <row r="22" spans="1:3" ht="22" customHeight="1" x14ac:dyDescent="0.55000000000000004">
      <c r="A22" s="10" t="s">
        <v>88</v>
      </c>
      <c r="B22" s="12">
        <f>CHIINV(B16,2)</f>
        <v>5.9914645471079817</v>
      </c>
    </row>
    <row r="23" spans="1:3" ht="44.05" customHeight="1" x14ac:dyDescent="0.55000000000000004">
      <c r="A23" s="117" t="str">
        <f>"DECISION:  LM = "&amp;TEXT(B20,"0.0000")&amp;",  p = "&amp;TEXT(B21,"0.00E+00")&amp;"  "&amp;IF(B21&lt;B16,"&lt;","≥")&amp;"  α = "&amp;TEXT(B16,"0.00")&amp;"   ⟹   "&amp;IF(B21&lt;B16,"REJECT H₀  →  Base_FL residuals are HETEROSCEDASTIC","FAIL TO REJECT H₀  →  Base_FL residuals are HOMOSCEDASTIC")</f>
        <v>DECISION:  LM = 136.0516,  p = 2.86E-30  &lt;  α = 0.05   ⟹   REJECT H₀  →  Base_FL residuals are HETEROSCEDASTIC</v>
      </c>
      <c r="B23" s="113"/>
      <c r="C23" s="113"/>
    </row>
  </sheetData>
  <mergeCells count="6">
    <mergeCell ref="A13:C13"/>
    <mergeCell ref="A1:C1"/>
    <mergeCell ref="A23:C23"/>
    <mergeCell ref="A5:C5"/>
    <mergeCell ref="A18:C18"/>
    <mergeCell ref="A15:C1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1"/>
  <sheetViews>
    <sheetView workbookViewId="0">
      <selection sqref="A1:F1"/>
    </sheetView>
  </sheetViews>
  <sheetFormatPr defaultRowHeight="14.4" x14ac:dyDescent="0.55000000000000004"/>
  <cols>
    <col min="1" max="1" width="52" customWidth="1"/>
    <col min="2" max="3" width="16" customWidth="1"/>
    <col min="4" max="4" width="14" customWidth="1"/>
    <col min="5" max="5" width="13" customWidth="1"/>
    <col min="6" max="6" width="12" customWidth="1"/>
  </cols>
  <sheetData>
    <row r="1" spans="1:6" ht="20.05" customHeight="1" x14ac:dyDescent="0.55000000000000004">
      <c r="A1" s="122" t="s">
        <v>94</v>
      </c>
      <c r="B1" s="113"/>
      <c r="C1" s="113"/>
      <c r="D1" s="113"/>
      <c r="E1" s="113"/>
      <c r="F1" s="113"/>
    </row>
    <row r="2" spans="1:6" x14ac:dyDescent="0.55000000000000004">
      <c r="A2" s="120" t="s">
        <v>95</v>
      </c>
      <c r="B2" s="113"/>
      <c r="C2" s="113"/>
      <c r="D2" s="113"/>
      <c r="E2" s="113"/>
      <c r="F2" s="113"/>
    </row>
    <row r="3" spans="1:6" x14ac:dyDescent="0.55000000000000004">
      <c r="A3" s="127" t="s">
        <v>96</v>
      </c>
      <c r="B3" s="113"/>
      <c r="C3" s="113"/>
      <c r="D3" s="113"/>
      <c r="E3" s="113"/>
      <c r="F3" s="113"/>
    </row>
    <row r="4" spans="1:6" ht="32.049999999999997" customHeight="1" x14ac:dyDescent="0.55000000000000004">
      <c r="A4" s="125" t="s">
        <v>97</v>
      </c>
      <c r="B4" s="113"/>
      <c r="C4" s="113"/>
      <c r="D4" s="113"/>
      <c r="E4" s="113"/>
      <c r="F4" s="113"/>
    </row>
    <row r="5" spans="1:6" x14ac:dyDescent="0.55000000000000004">
      <c r="A5" s="16"/>
      <c r="B5" s="16"/>
      <c r="C5" s="16"/>
      <c r="D5" s="16"/>
      <c r="E5" s="16"/>
      <c r="F5" s="16"/>
    </row>
    <row r="6" spans="1:6" x14ac:dyDescent="0.55000000000000004">
      <c r="A6" s="17" t="s">
        <v>98</v>
      </c>
      <c r="B6" s="18" t="s">
        <v>99</v>
      </c>
      <c r="C6" s="18" t="s">
        <v>100</v>
      </c>
      <c r="D6" s="18" t="s">
        <v>101</v>
      </c>
      <c r="E6" s="18" t="s">
        <v>102</v>
      </c>
      <c r="F6" s="18" t="s">
        <v>103</v>
      </c>
    </row>
    <row r="7" spans="1:6" x14ac:dyDescent="0.55000000000000004">
      <c r="A7" s="128" t="s">
        <v>104</v>
      </c>
      <c r="B7" s="113"/>
      <c r="C7" s="113"/>
      <c r="D7" s="113"/>
      <c r="E7" s="113"/>
      <c r="F7" s="113"/>
    </row>
    <row r="8" spans="1:6" x14ac:dyDescent="0.55000000000000004">
      <c r="A8" s="20" t="s">
        <v>105</v>
      </c>
      <c r="B8" s="21">
        <f>COUNT('Data Export2 Refine'!AF138:AF1137)</f>
        <v>1000</v>
      </c>
      <c r="C8" s="21">
        <f>COUNT('Data Export2 Refine'!AF388:AF637)</f>
        <v>250</v>
      </c>
    </row>
    <row r="9" spans="1:6" x14ac:dyDescent="0.55000000000000004">
      <c r="A9" s="20" t="s">
        <v>106</v>
      </c>
      <c r="B9" s="22">
        <f>AVERAGE('Data Export2 Refine'!AH138:AH1137)</f>
        <v>1688.3896929044868</v>
      </c>
      <c r="C9" s="22">
        <f>AVERAGE('Data Export2 Refine'!AH388:AH637)</f>
        <v>1227.5518887843302</v>
      </c>
    </row>
    <row r="10" spans="1:6" x14ac:dyDescent="0.55000000000000004">
      <c r="A10" s="20" t="s">
        <v>107</v>
      </c>
      <c r="B10" s="22">
        <f>SQRT(AVERAGE('Data Export2 Refine'!AH138:AH1137))</f>
        <v>41.090019383111596</v>
      </c>
      <c r="C10" s="22">
        <f>SQRT(AVERAGE('Data Export2 Refine'!AH388:AH637))</f>
        <v>35.036436587991226</v>
      </c>
    </row>
    <row r="11" spans="1:6" x14ac:dyDescent="0.55000000000000004">
      <c r="A11" s="20" t="s">
        <v>108</v>
      </c>
      <c r="B11" s="22">
        <f>SUMPRODUCT(('Data Export2 Refine'!AG139:AG1137-'Data Export2 Refine'!AG138:AG1136),'Data Export2 Refine'!AG138:AG1136)/SUMPRODUCT('Data Export2 Refine'!AG138:AG1136,'Data Export2 Refine'!AG138:AG1136)</f>
        <v>-1.3121628802062793E-2</v>
      </c>
      <c r="C11" s="22">
        <f>SUMPRODUCT(('Data Export2 Refine'!AG389:AG637-'Data Export2 Refine'!AG388:AG636),'Data Export2 Refine'!AG388:AG636)/SUMPRODUCT('Data Export2 Refine'!AG388:AG636,'Data Export2 Refine'!AG388:AG636)</f>
        <v>-1.8525656403302958E-2</v>
      </c>
    </row>
    <row r="12" spans="1:6" x14ac:dyDescent="0.55000000000000004">
      <c r="A12" s="20" t="s">
        <v>109</v>
      </c>
      <c r="B12" s="23">
        <f>IF(B11&gt;=0,9999,-LN(2)/LN(1+B11))</f>
        <v>52.47744543031213</v>
      </c>
      <c r="C12" s="23">
        <f>IF(C11&gt;=0,9999,-LN(2)/LN(1+C11))</f>
        <v>37.067872389651342</v>
      </c>
    </row>
    <row r="13" spans="1:6" x14ac:dyDescent="0.55000000000000004">
      <c r="A13" s="20" t="s">
        <v>110</v>
      </c>
      <c r="B13" s="22">
        <f>RSQ('Data Export2 Refine'!D138:D1137,'Data Export2 Refine'!AF138:AF1137)</f>
        <v>0.82574393393331202</v>
      </c>
      <c r="C13" s="22">
        <f>RSQ('Data Export2 Refine'!D388:D637,'Data Export2 Refine'!AF388:AF637)</f>
        <v>5.0655973043909584E-2</v>
      </c>
    </row>
    <row r="14" spans="1:6" x14ac:dyDescent="0.55000000000000004">
      <c r="A14" s="16"/>
      <c r="B14" s="16"/>
      <c r="C14" s="16"/>
      <c r="D14" s="16"/>
      <c r="E14" s="16"/>
      <c r="F14" s="16"/>
    </row>
    <row r="15" spans="1:6" x14ac:dyDescent="0.55000000000000004">
      <c r="A15" s="128" t="s">
        <v>111</v>
      </c>
      <c r="B15" s="113"/>
      <c r="C15" s="113"/>
      <c r="D15" s="113"/>
      <c r="E15" s="113"/>
      <c r="F15" s="113"/>
    </row>
    <row r="16" spans="1:6" x14ac:dyDescent="0.55000000000000004">
      <c r="A16" s="20" t="s">
        <v>112</v>
      </c>
      <c r="B16" s="23">
        <f>0.05</f>
        <v>0.05</v>
      </c>
      <c r="C16" s="23">
        <f>0.05</f>
        <v>0.05</v>
      </c>
    </row>
    <row r="17" spans="1:6" x14ac:dyDescent="0.55000000000000004">
      <c r="A17" s="20" t="s">
        <v>113</v>
      </c>
      <c r="B17" s="22">
        <f>SKEW('Data Export2 Refine'!AG138:AG1137)</f>
        <v>-0.39770375157114646</v>
      </c>
      <c r="C17" s="22">
        <f>SKEW('Data Export2 Refine'!AG388:AG637)</f>
        <v>0.18250964693720342</v>
      </c>
    </row>
    <row r="18" spans="1:6" x14ac:dyDescent="0.55000000000000004">
      <c r="A18" s="20" t="s">
        <v>114</v>
      </c>
      <c r="B18" s="22">
        <f>KURT('Data Export2 Refine'!AG138:AG1137)</f>
        <v>-0.41011566751839412</v>
      </c>
      <c r="C18" s="22">
        <f>KURT('Data Export2 Refine'!AG388:AG637)</f>
        <v>-1.1970249171352543</v>
      </c>
    </row>
    <row r="19" spans="1:6" x14ac:dyDescent="0.55000000000000004">
      <c r="A19" s="20" t="s">
        <v>115</v>
      </c>
      <c r="B19" s="22">
        <f>B8/6*(B17^2+B18^2/4)</f>
        <v>33.369498199963111</v>
      </c>
      <c r="C19" s="22">
        <f>C8/6*(C17^2+C18^2/4)</f>
        <v>16.313622261908677</v>
      </c>
    </row>
    <row r="20" spans="1:6" x14ac:dyDescent="0.55000000000000004">
      <c r="A20" s="20" t="s">
        <v>116</v>
      </c>
      <c r="B20" s="22">
        <f>CHIDIST(B19,2)</f>
        <v>5.6742116871812132E-8</v>
      </c>
      <c r="C20" s="22">
        <f>CHIDIST(C19,2)</f>
        <v>2.8677542753670658E-4</v>
      </c>
    </row>
    <row r="21" spans="1:6" x14ac:dyDescent="0.55000000000000004">
      <c r="A21" s="20" t="s">
        <v>117</v>
      </c>
      <c r="B21" s="22">
        <f>CHIINV(B16,2)</f>
        <v>5.9914645471079817</v>
      </c>
      <c r="C21" s="22">
        <f>CHIINV(C16,2)</f>
        <v>5.9914645471079817</v>
      </c>
    </row>
    <row r="22" spans="1:6" x14ac:dyDescent="0.55000000000000004">
      <c r="A22" s="24" t="s">
        <v>118</v>
      </c>
      <c r="B22" s="25" t="str">
        <f>IF(B19&gt;B21,"REJECT H₀","FAIL TO REJECT")</f>
        <v>REJECT H₀</v>
      </c>
    </row>
    <row r="23" spans="1:6" x14ac:dyDescent="0.55000000000000004">
      <c r="A23" s="24" t="s">
        <v>119</v>
      </c>
      <c r="C23" s="25" t="str">
        <f>IF(C19&gt;C21,"REJECT H₀","FAIL TO REJECT")</f>
        <v>REJECT H₀</v>
      </c>
    </row>
    <row r="24" spans="1:6" x14ac:dyDescent="0.55000000000000004">
      <c r="A24" s="16"/>
      <c r="B24" s="16"/>
      <c r="C24" s="16"/>
      <c r="D24" s="16"/>
      <c r="E24" s="16"/>
      <c r="F24" s="16"/>
    </row>
    <row r="25" spans="1:6" x14ac:dyDescent="0.55000000000000004">
      <c r="A25" s="128" t="s">
        <v>120</v>
      </c>
      <c r="B25" s="113"/>
      <c r="C25" s="113"/>
      <c r="D25" s="113"/>
      <c r="E25" s="113"/>
      <c r="F25" s="113"/>
    </row>
    <row r="26" spans="1:6" x14ac:dyDescent="0.55000000000000004">
      <c r="A26" s="20" t="s">
        <v>112</v>
      </c>
      <c r="B26" s="23">
        <f>0.05</f>
        <v>0.05</v>
      </c>
      <c r="C26" s="23">
        <f>0.05</f>
        <v>0.05</v>
      </c>
    </row>
    <row r="27" spans="1:6" x14ac:dyDescent="0.55000000000000004">
      <c r="A27" s="20" t="s">
        <v>121</v>
      </c>
      <c r="B27" s="22">
        <f>INDEX(LINEST('Data Export2 Refine'!AH138:AH1137,CHOOSE({1,2},'Data Export2 Refine'!AF138:AF1137,'Data Export2 Refine'!AK138:AK1137),TRUE,TRUE),3,1)</f>
        <v>0.14846488608046679</v>
      </c>
      <c r="C27" s="22">
        <f>INDEX(LINEST('Data Export2 Refine'!AH388:AH637,CHOOSE({1,2},'Data Export2 Refine'!AF388:AF637,'Data Export2 Refine'!AK388:AK637),TRUE,TRUE),3,1)</f>
        <v>0.60987180789120743</v>
      </c>
    </row>
    <row r="28" spans="1:6" x14ac:dyDescent="0.55000000000000004">
      <c r="A28" s="20" t="s">
        <v>122</v>
      </c>
      <c r="B28" s="22">
        <f>B8*B27</f>
        <v>148.46488608046678</v>
      </c>
      <c r="C28" s="22">
        <f>C8*C27</f>
        <v>152.46795197280187</v>
      </c>
    </row>
    <row r="29" spans="1:6" x14ac:dyDescent="0.55000000000000004">
      <c r="A29" s="20" t="s">
        <v>116</v>
      </c>
      <c r="B29" s="22">
        <f>CHIDIST(B28,2)</f>
        <v>5.7711134176615505E-33</v>
      </c>
      <c r="C29" s="22">
        <f>CHIDIST(C28,2)</f>
        <v>7.7983890116555958E-34</v>
      </c>
    </row>
    <row r="30" spans="1:6" x14ac:dyDescent="0.55000000000000004">
      <c r="A30" s="20" t="s">
        <v>117</v>
      </c>
      <c r="B30" s="22">
        <f>CHIINV(B26,2)</f>
        <v>5.9914645471079817</v>
      </c>
      <c r="C30" s="22">
        <f>CHIINV(C26,2)</f>
        <v>5.9914645471079817</v>
      </c>
    </row>
    <row r="31" spans="1:6" x14ac:dyDescent="0.55000000000000004">
      <c r="A31" s="20" t="s">
        <v>123</v>
      </c>
      <c r="B31" s="22">
        <f>IF(B29=0,-300,LOG10(B29))</f>
        <v>-32.238740390570811</v>
      </c>
      <c r="C31" s="22">
        <f>IF(C29=0,-300,LOG10(C29))</f>
        <v>-33.107995104438935</v>
      </c>
    </row>
    <row r="32" spans="1:6" x14ac:dyDescent="0.55000000000000004">
      <c r="A32" s="24" t="s">
        <v>124</v>
      </c>
      <c r="B32" s="25" t="str">
        <f>IF(B28&gt;B30,"REJECT H₀","FAIL TO REJECT")</f>
        <v>REJECT H₀</v>
      </c>
    </row>
    <row r="33" spans="1:6" x14ac:dyDescent="0.55000000000000004">
      <c r="A33" s="24" t="s">
        <v>125</v>
      </c>
      <c r="C33" s="25" t="str">
        <f>IF(C28&gt;C30,"REJECT H₀","FAIL TO REJECT")</f>
        <v>REJECT H₀</v>
      </c>
    </row>
    <row r="34" spans="1:6" x14ac:dyDescent="0.55000000000000004">
      <c r="A34" s="16"/>
      <c r="B34" s="16"/>
      <c r="C34" s="16"/>
      <c r="D34" s="16"/>
      <c r="E34" s="16"/>
      <c r="F34" s="16"/>
    </row>
    <row r="35" spans="1:6" x14ac:dyDescent="0.55000000000000004">
      <c r="A35" s="124" t="s">
        <v>126</v>
      </c>
      <c r="B35" s="113"/>
      <c r="C35" s="113"/>
      <c r="D35" s="113"/>
      <c r="E35" s="113"/>
      <c r="F35" s="113"/>
    </row>
    <row r="36" spans="1:6" x14ac:dyDescent="0.55000000000000004">
      <c r="A36" s="26" t="s">
        <v>127</v>
      </c>
      <c r="B36" s="27">
        <f>IF(SUMPRODUCT(('Data Export2 Refine'!Y138:Y1137&lt;&gt;"")*1)&gt;0,SUMPRODUCT(('Data Export2 Refine'!Y138:Y1137&lt;&gt;"")*('Data Export2 Refine'!Y138:Y1137-'Data Export2 Refine'!Q138:Q1137))/SUMPRODUCT(('Data Export2 Refine'!Y138:Y1137&lt;&gt;"")*1),IF(SUMPRODUCT(('Data Export2 Refine'!X138:X1137&lt;&gt;"")*1)&gt;0,SUMPRODUCT(('Data Export2 Refine'!X138:X1137&lt;&gt;"")*('Data Export2 Refine'!X138:X1137-'Data Export2 Refine'!Q138:Q1137))/SUMPRODUCT(('Data Export2 Refine'!X138:X1137&lt;&gt;"")*1),SUMPRODUCT(('Data Export2 Refine'!W138:W1137&lt;&gt;"")*('Data Export2 Refine'!W138:W1137-'Data Export2 Refine'!Q138:Q1137))/SUMPRODUCT(('Data Export2 Refine'!W138:W1137&lt;&gt;"")*1)))</f>
        <v>-68.504766489999312</v>
      </c>
      <c r="C36" s="27">
        <f>IF(SUMPRODUCT(('Data Export2 Refine'!Y388:Y637&lt;&gt;"")*1)&gt;0,SUMPRODUCT(('Data Export2 Refine'!Y388:Y637&lt;&gt;"")*('Data Export2 Refine'!Y388:Y637-'Data Export2 Refine'!Q388:Q637))/SUMPRODUCT(('Data Export2 Refine'!Y388:Y637&lt;&gt;"")*1),IF(SUMPRODUCT(('Data Export2 Refine'!X388:X637&lt;&gt;"")*1)&gt;0,SUMPRODUCT(('Data Export2 Refine'!X388:X637&lt;&gt;"")*('Data Export2 Refine'!X388:X637-'Data Export2 Refine'!Q388:Q637))/SUMPRODUCT(('Data Export2 Refine'!X388:X637&lt;&gt;"")*1),SUMPRODUCT(('Data Export2 Refine'!W388:W637&lt;&gt;"")*('Data Export2 Refine'!W388:W637-'Data Export2 Refine'!Q388:Q637))/SUMPRODUCT(('Data Export2 Refine'!W388:W637&lt;&gt;"")*1)))</f>
        <v>-68.504766439999813</v>
      </c>
    </row>
    <row r="37" spans="1:6" x14ac:dyDescent="0.55000000000000004">
      <c r="A37" s="26" t="s">
        <v>128</v>
      </c>
      <c r="B37" s="27">
        <f>IF(SUMPRODUCT(('Data Export2 Refine'!U138:U1137&lt;&gt;"")*1)&gt;0,SUMPRODUCT(('Data Export2 Refine'!U138:U1137&lt;&gt;"")*('Data Export2 Refine'!U138:U1137-'Data Export2 Refine'!Q138:Q1137))/SUMPRODUCT(('Data Export2 Refine'!U138:U1137&lt;&gt;"")*1),IF(SUMPRODUCT(('Data Export2 Refine'!T138:T1137&lt;&gt;"")*1)&gt;0,SUMPRODUCT(('Data Export2 Refine'!T138:T1137&lt;&gt;"")*('Data Export2 Refine'!T138:T1137-'Data Export2 Refine'!Q138:Q1137))/SUMPRODUCT(('Data Export2 Refine'!T138:T1137&lt;&gt;"")*1),IF(SUMPRODUCT(('Data Export2 Refine'!S138:S1137&lt;&gt;"")*1)&gt;0,SUMPRODUCT(('Data Export2 Refine'!S138:S1137&lt;&gt;"")*('Data Export2 Refine'!S138:S1137-'Data Export2 Refine'!Q138:Q1137))/SUMPRODUCT(('Data Export2 Refine'!S138:S1137&lt;&gt;"")*1),SUMPRODUCT(('Data Export2 Refine'!R138:R1137&lt;&gt;"")*('Data Export2 Refine'!R138:R1137-'Data Export2 Refine'!Q138:Q1137))/SUMPRODUCT(('Data Export2 Refine'!R138:R1137&lt;&gt;"")*1))))</f>
        <v>55.952069699999477</v>
      </c>
      <c r="C37" s="27">
        <f>IF(SUMPRODUCT(('Data Export2 Refine'!U388:U637&lt;&gt;"")*1)&gt;0,SUMPRODUCT(('Data Export2 Refine'!U388:U637&lt;&gt;"")*('Data Export2 Refine'!U388:U637-'Data Export2 Refine'!Q388:Q637))/SUMPRODUCT(('Data Export2 Refine'!U388:U637&lt;&gt;"")*1),IF(SUMPRODUCT(('Data Export2 Refine'!T388:T637&lt;&gt;"")*1)&gt;0,SUMPRODUCT(('Data Export2 Refine'!T388:T637&lt;&gt;"")*('Data Export2 Refine'!T388:T637-'Data Export2 Refine'!Q388:Q637))/SUMPRODUCT(('Data Export2 Refine'!T388:T637&lt;&gt;"")*1),IF(SUMPRODUCT(('Data Export2 Refine'!S388:S637&lt;&gt;"")*1)&gt;0,SUMPRODUCT(('Data Export2 Refine'!S388:S637&lt;&gt;"")*('Data Export2 Refine'!S388:S637-'Data Export2 Refine'!Q388:Q637))/SUMPRODUCT(('Data Export2 Refine'!S388:S637&lt;&gt;"")*1),SUMPRODUCT(('Data Export2 Refine'!R388:R637&lt;&gt;"")*('Data Export2 Refine'!R388:R637-'Data Export2 Refine'!Q388:Q637))/SUMPRODUCT(('Data Export2 Refine'!R388:R637&lt;&gt;"")*1))))</f>
        <v>55.952069759999752</v>
      </c>
    </row>
    <row r="38" spans="1:6" x14ac:dyDescent="0.55000000000000004">
      <c r="A38" s="47" t="s">
        <v>129</v>
      </c>
      <c r="B38" s="48">
        <f>IF(AND(B36&lt;0,B37&gt;0),(ABS(B36)+B37)/2,IF(B36&lt;0,ABS(B36),B37))</f>
        <v>62.228418094999398</v>
      </c>
      <c r="C38" s="48">
        <f>IF(AND(C36&lt;0,C37&gt;0),(ABS(C36)+C37)/2,IF(C36&lt;0,ABS(C36),C37))</f>
        <v>62.228418099999786</v>
      </c>
    </row>
    <row r="39" spans="1:6" x14ac:dyDescent="0.55000000000000004">
      <c r="A39" s="26" t="s">
        <v>130</v>
      </c>
      <c r="B39" s="28">
        <f>IF(B38&gt;0,MIN('Data Export2 Refine'!AG138:AG1137)/B38,"N/A")</f>
        <v>-1.3272002170120405</v>
      </c>
      <c r="C39" s="28">
        <f>IF(C38&gt;0,MIN('Data Export2 Refine'!AG388:AG637)/C38,"N/A")</f>
        <v>-0.34565638428144518</v>
      </c>
    </row>
    <row r="40" spans="1:6" x14ac:dyDescent="0.55000000000000004">
      <c r="A40" s="26" t="s">
        <v>131</v>
      </c>
      <c r="B40" s="28">
        <f>IF(B38&gt;0,MAX('Data Export2 Refine'!AG138:AG1137)/B38,"N/A")</f>
        <v>1.7425284672102879</v>
      </c>
      <c r="C40" s="28">
        <f>IF(C38&gt;0,MAX('Data Export2 Refine'!AG388:AG637)/C38,"N/A")</f>
        <v>1.1418757244610036</v>
      </c>
    </row>
    <row r="41" spans="1:6" x14ac:dyDescent="0.55000000000000004">
      <c r="A41" s="29" t="s">
        <v>132</v>
      </c>
      <c r="B41" s="30">
        <f>MAX('Data Export2 Refine'!AG138:AG1137)</f>
        <v>108.43479000000025</v>
      </c>
      <c r="C41" s="30">
        <f>MAX('Data Export2 Refine'!AG388:AG637)</f>
        <v>71.057119999999486</v>
      </c>
    </row>
    <row r="42" spans="1:6" x14ac:dyDescent="0.55000000000000004">
      <c r="A42" s="29" t="s">
        <v>133</v>
      </c>
      <c r="B42" s="30">
        <f>MIN('Data Export2 Refine'!AG138:AG1137)</f>
        <v>-82.589569999999185</v>
      </c>
      <c r="C42" s="30">
        <f>MIN('Data Export2 Refine'!AG388:AG637)</f>
        <v>-21.509649999999965</v>
      </c>
    </row>
    <row r="43" spans="1:6" x14ac:dyDescent="0.55000000000000004">
      <c r="A43" s="124" t="s">
        <v>134</v>
      </c>
      <c r="B43" s="113"/>
      <c r="C43" s="113"/>
      <c r="D43" s="113"/>
      <c r="E43" s="113"/>
      <c r="F43" s="113"/>
    </row>
    <row r="44" spans="1:6" x14ac:dyDescent="0.55000000000000004">
      <c r="A44" s="26" t="s">
        <v>135</v>
      </c>
      <c r="B44" s="31">
        <f>SUMPRODUCT(('Data Export2 Refine'!AD138:AD1137=1)*1)</f>
        <v>89</v>
      </c>
      <c r="C44" s="31">
        <f>SUMPRODUCT(('Data Export2 Refine'!AD388:AD637=1)*1)</f>
        <v>27</v>
      </c>
    </row>
    <row r="45" spans="1:6" ht="52.5" x14ac:dyDescent="0.55000000000000004">
      <c r="A45" s="26" t="s">
        <v>136</v>
      </c>
      <c r="B45" s="27">
        <f>IFERROR(AVERAGEIF('Data Export2 Refine'!AM138:AM1137,"&lt;&gt;"),0)</f>
        <v>17.395167528089853</v>
      </c>
      <c r="C45" s="27">
        <f>IFERROR(AVERAGEIF('Data Export2 Refine'!AM388:AM637,"&lt;&gt;"),0)</f>
        <v>14.525732222222191</v>
      </c>
      <c r="D45" s="32" t="s">
        <v>137</v>
      </c>
    </row>
    <row r="46" spans="1:6" x14ac:dyDescent="0.55000000000000004">
      <c r="A46" s="29" t="s">
        <v>138</v>
      </c>
      <c r="B46" s="30">
        <f>MAX('Data Export2 Refine'!AM138:AM1137)</f>
        <v>89.915750000000116</v>
      </c>
      <c r="C46" s="30">
        <f>MAX('Data Export2 Refine'!AM388:AM637)</f>
        <v>44.361119999999573</v>
      </c>
    </row>
    <row r="47" spans="1:6" x14ac:dyDescent="0.55000000000000004">
      <c r="A47" s="16"/>
      <c r="B47" s="16"/>
      <c r="C47" s="16"/>
      <c r="D47" s="16"/>
      <c r="E47" s="16"/>
      <c r="F47" s="16"/>
    </row>
    <row r="48" spans="1:6" x14ac:dyDescent="0.55000000000000004">
      <c r="A48" s="126" t="s">
        <v>139</v>
      </c>
      <c r="B48" s="113"/>
      <c r="C48" s="113"/>
      <c r="D48" s="113"/>
      <c r="E48" s="113"/>
      <c r="F48" s="113"/>
    </row>
    <row r="49" spans="1:6" x14ac:dyDescent="0.55000000000000004">
      <c r="A49" s="33" t="s">
        <v>140</v>
      </c>
      <c r="B49" s="34" t="s">
        <v>141</v>
      </c>
      <c r="C49" s="34"/>
      <c r="D49" s="34" t="s">
        <v>142</v>
      </c>
      <c r="E49" s="34" t="s">
        <v>143</v>
      </c>
      <c r="F49" s="34" t="s">
        <v>103</v>
      </c>
    </row>
    <row r="50" spans="1:6" x14ac:dyDescent="0.55000000000000004">
      <c r="A50" s="35" t="s">
        <v>144</v>
      </c>
      <c r="B50" s="36">
        <f>IF(AND(B12&gt;0,B12&lt;9999),C12/B12,9999)</f>
        <v>0.70635817131906575</v>
      </c>
      <c r="D50" s="37">
        <f>MAX(-100,MIN(100,(1-B50)*100))</f>
        <v>29.364182868093426</v>
      </c>
      <c r="E50" s="49">
        <v>50</v>
      </c>
      <c r="F50" s="50" t="str">
        <f>IF(D50&gt;=E50,"ALERT","—")</f>
        <v>—</v>
      </c>
    </row>
    <row r="51" spans="1:6" x14ac:dyDescent="0.55000000000000004">
      <c r="A51" s="35" t="s">
        <v>145</v>
      </c>
      <c r="B51" s="36">
        <f>IF(B9&gt;0,C9/B9,1)</f>
        <v>0.72705483452259712</v>
      </c>
      <c r="D51" s="37">
        <f>MAX(-100,MIN(0,-ABS(B51-1)*100))</f>
        <v>-27.294516547740287</v>
      </c>
      <c r="E51" s="49">
        <v>-50</v>
      </c>
      <c r="F51" s="50" t="str">
        <f>IF(D51&lt;=E51,"ALERT","—")</f>
        <v>—</v>
      </c>
    </row>
    <row r="52" spans="1:6" x14ac:dyDescent="0.55000000000000004">
      <c r="A52" s="35" t="s">
        <v>146</v>
      </c>
      <c r="B52" s="36">
        <f>IF(AND(ISNUMBER(B39),ISNUMBER(C39),B39&lt;0,C39&lt;0),C39/B39,1)</f>
        <v>0.26044027106899525</v>
      </c>
      <c r="D52" s="37">
        <f>MAX(-100,MIN(100,(1-B52)*100))</f>
        <v>73.95597289310048</v>
      </c>
      <c r="E52" s="49">
        <v>60</v>
      </c>
      <c r="F52" s="50" t="str">
        <f>IF(D52&gt;=E52,"ALERT","—")</f>
        <v>ALERT</v>
      </c>
    </row>
    <row r="53" spans="1:6" x14ac:dyDescent="0.55000000000000004">
      <c r="A53" s="35" t="s">
        <v>147</v>
      </c>
      <c r="B53" s="36">
        <f>IF(AND(ISNUMBER(B40),ISNUMBER(C40),B40&gt;0,C40&gt;0),C40/B40,1)</f>
        <v>0.65529817500720489</v>
      </c>
      <c r="D53" s="37">
        <f>MAX(-100,MIN(100,(1-B53)*100))</f>
        <v>34.47018249927951</v>
      </c>
      <c r="E53" s="49">
        <v>60</v>
      </c>
      <c r="F53" s="50" t="str">
        <f>IF(D53&gt;=E53,"ALERT","—")</f>
        <v>—</v>
      </c>
    </row>
    <row r="54" spans="1:6" x14ac:dyDescent="0.55000000000000004">
      <c r="A54" s="35" t="s">
        <v>148</v>
      </c>
      <c r="B54" s="36">
        <f>IF(B45&gt;0,C45/B45,1)</f>
        <v>0.83504411203662876</v>
      </c>
      <c r="D54" s="37">
        <f>MAX(-100,MIN(100,(B54-1)*200))</f>
        <v>-32.991177592674248</v>
      </c>
      <c r="E54" s="49">
        <v>50</v>
      </c>
      <c r="F54" s="50" t="str">
        <f>IF(D54&gt;=E54,"ALERT","—")</f>
        <v>—</v>
      </c>
    </row>
    <row r="55" spans="1:6" x14ac:dyDescent="0.55000000000000004">
      <c r="A55" s="35" t="s">
        <v>149</v>
      </c>
      <c r="B55" s="36">
        <f>IF(B13&gt;0.001,C13/B13,0)</f>
        <v>6.1345861546468976E-2</v>
      </c>
      <c r="D55" s="37">
        <f>MAX(-100,MIN(100,(B55-1)*100))</f>
        <v>-93.865413845353103</v>
      </c>
      <c r="E55" s="49">
        <v>-50</v>
      </c>
      <c r="F55" s="50" t="str">
        <f>IF(D55&lt;=E55,"ALERT","—")</f>
        <v>ALERT</v>
      </c>
    </row>
    <row r="56" spans="1:6" x14ac:dyDescent="0.55000000000000004">
      <c r="A56" s="35" t="s">
        <v>150</v>
      </c>
      <c r="B56" s="36">
        <f>C31-B31</f>
        <v>-0.86925471386812347</v>
      </c>
      <c r="D56" s="37">
        <f>MAX(-100,MIN(100,B56*5))</f>
        <v>-4.3462735693406174</v>
      </c>
      <c r="E56" s="49">
        <v>50</v>
      </c>
      <c r="F56" s="50" t="str">
        <f>IF(D56&gt;=E56,"ALERT","—")</f>
        <v>—</v>
      </c>
    </row>
    <row r="57" spans="1:6" x14ac:dyDescent="0.55000000000000004">
      <c r="A57" s="35" t="s">
        <v>151</v>
      </c>
      <c r="B57" s="36">
        <f>IF(B19&gt;0,C19/B19,1)</f>
        <v>0.48887826134366957</v>
      </c>
      <c r="D57" s="37">
        <f>MAX(-100,MIN(100,(1-B57)*100))</f>
        <v>51.112173865633046</v>
      </c>
      <c r="E57" s="49">
        <v>-30</v>
      </c>
      <c r="F57" s="50" t="str">
        <f>IF(D57&lt;=E57,"ALERT","—")</f>
        <v>—</v>
      </c>
    </row>
    <row r="58" spans="1:6" x14ac:dyDescent="0.55000000000000004">
      <c r="A58" s="16"/>
      <c r="B58" s="16"/>
      <c r="C58" s="16"/>
      <c r="D58" s="16"/>
      <c r="E58" s="16"/>
      <c r="F58" s="16"/>
    </row>
    <row r="59" spans="1:6" x14ac:dyDescent="0.55000000000000004">
      <c r="A59" s="121" t="s">
        <v>152</v>
      </c>
      <c r="B59" s="113"/>
      <c r="C59" s="113"/>
      <c r="D59" s="113"/>
      <c r="E59" s="113"/>
      <c r="F59" s="113"/>
    </row>
    <row r="60" spans="1:6" x14ac:dyDescent="0.55000000000000004">
      <c r="A60" s="121" t="s">
        <v>153</v>
      </c>
      <c r="B60" s="113"/>
      <c r="C60" s="113"/>
      <c r="D60" s="38">
        <f>0.25*D50+0.1*D51+0.1*D52+0.1*D53+0.2*D54+0.1*D55+0.1*D56+0.05*D57</f>
        <v>1.5904140347647577</v>
      </c>
    </row>
    <row r="61" spans="1:6" ht="28" customHeight="1" x14ac:dyDescent="0.55000000000000004">
      <c r="A61" s="123" t="s">
        <v>154</v>
      </c>
      <c r="B61" s="113"/>
      <c r="C61" s="113"/>
      <c r="D61" s="39" t="str">
        <f>IF(D60&gt;50,"STRONG BREAKOUT SETUP",IF(D60&gt;20,"MODERATE SETUP — watch for trigger",IF(D60&gt;0,"MILD POSITIVE — early signs",IF(D60&gt;-20,"MIXED — signals conflicting",IF(D60&gt;-50,"STRUCTURAL WEAKNESS","HIGH CAUTION / TREND INTACT")))))</f>
        <v>MILD POSITIVE — early signs</v>
      </c>
    </row>
  </sheetData>
  <mergeCells count="13">
    <mergeCell ref="A2:F2"/>
    <mergeCell ref="A60:C60"/>
    <mergeCell ref="A1:F1"/>
    <mergeCell ref="A61:C61"/>
    <mergeCell ref="A35:F35"/>
    <mergeCell ref="A4:F4"/>
    <mergeCell ref="A48:F48"/>
    <mergeCell ref="A3:F3"/>
    <mergeCell ref="A59:F59"/>
    <mergeCell ref="A15:F15"/>
    <mergeCell ref="A7:F7"/>
    <mergeCell ref="A25:F25"/>
    <mergeCell ref="A43:F43"/>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61"/>
  <sheetViews>
    <sheetView workbookViewId="0">
      <selection sqref="A1:F1"/>
    </sheetView>
  </sheetViews>
  <sheetFormatPr defaultRowHeight="14.4" x14ac:dyDescent="0.55000000000000004"/>
  <cols>
    <col min="1" max="1" width="52" customWidth="1"/>
    <col min="2" max="3" width="16" customWidth="1"/>
    <col min="4" max="4" width="14" customWidth="1"/>
    <col min="5" max="5" width="13" customWidth="1"/>
    <col min="6" max="6" width="12" customWidth="1"/>
  </cols>
  <sheetData>
    <row r="1" spans="1:6" ht="20.05" customHeight="1" x14ac:dyDescent="0.55000000000000004">
      <c r="A1" s="122" t="s">
        <v>155</v>
      </c>
      <c r="B1" s="113"/>
      <c r="C1" s="113"/>
      <c r="D1" s="113"/>
      <c r="E1" s="113"/>
      <c r="F1" s="113"/>
    </row>
    <row r="2" spans="1:6" x14ac:dyDescent="0.55000000000000004">
      <c r="A2" s="120" t="s">
        <v>95</v>
      </c>
      <c r="B2" s="113"/>
      <c r="C2" s="113"/>
      <c r="D2" s="113"/>
      <c r="E2" s="113"/>
      <c r="F2" s="113"/>
    </row>
    <row r="3" spans="1:6" x14ac:dyDescent="0.55000000000000004">
      <c r="A3" s="127" t="s">
        <v>156</v>
      </c>
      <c r="B3" s="113"/>
      <c r="C3" s="113"/>
      <c r="D3" s="113"/>
      <c r="E3" s="113"/>
      <c r="F3" s="113"/>
    </row>
    <row r="4" spans="1:6" ht="32.049999999999997" customHeight="1" x14ac:dyDescent="0.55000000000000004">
      <c r="A4" s="125" t="s">
        <v>97</v>
      </c>
      <c r="B4" s="113"/>
      <c r="C4" s="113"/>
      <c r="D4" s="113"/>
      <c r="E4" s="113"/>
      <c r="F4" s="113"/>
    </row>
    <row r="5" spans="1:6" x14ac:dyDescent="0.55000000000000004">
      <c r="A5" s="16"/>
      <c r="B5" s="16"/>
      <c r="C5" s="16"/>
      <c r="D5" s="16"/>
      <c r="E5" s="16"/>
      <c r="F5" s="16"/>
    </row>
    <row r="6" spans="1:6" x14ac:dyDescent="0.55000000000000004">
      <c r="A6" s="17" t="s">
        <v>98</v>
      </c>
      <c r="B6" s="18" t="s">
        <v>99</v>
      </c>
      <c r="C6" s="18" t="s">
        <v>100</v>
      </c>
      <c r="D6" s="18" t="s">
        <v>101</v>
      </c>
      <c r="E6" s="18" t="s">
        <v>102</v>
      </c>
      <c r="F6" s="18" t="s">
        <v>103</v>
      </c>
    </row>
    <row r="7" spans="1:6" x14ac:dyDescent="0.55000000000000004">
      <c r="A7" s="128" t="s">
        <v>104</v>
      </c>
      <c r="B7" s="113"/>
      <c r="C7" s="113"/>
      <c r="D7" s="113"/>
      <c r="E7" s="113"/>
      <c r="F7" s="113"/>
    </row>
    <row r="8" spans="1:6" x14ac:dyDescent="0.55000000000000004">
      <c r="A8" s="20" t="s">
        <v>105</v>
      </c>
      <c r="B8" s="21">
        <f>COUNT('Data Export2 Refine'!AF138:AF1137)</f>
        <v>1000</v>
      </c>
      <c r="C8" s="21">
        <f>COUNT('Data Export2 Refine'!AF638:AF887)</f>
        <v>250</v>
      </c>
    </row>
    <row r="9" spans="1:6" x14ac:dyDescent="0.55000000000000004">
      <c r="A9" s="20" t="s">
        <v>106</v>
      </c>
      <c r="B9" s="22">
        <f>AVERAGE('Data Export2 Refine'!AH138:AH1137)</f>
        <v>1688.3896929044868</v>
      </c>
      <c r="C9" s="22">
        <f>AVERAGE('Data Export2 Refine'!AH638:AH887)</f>
        <v>1300.1641714634068</v>
      </c>
    </row>
    <row r="10" spans="1:6" x14ac:dyDescent="0.55000000000000004">
      <c r="A10" s="20" t="s">
        <v>107</v>
      </c>
      <c r="B10" s="22">
        <f>SQRT(AVERAGE('Data Export2 Refine'!AH138:AH1137))</f>
        <v>41.090019383111596</v>
      </c>
      <c r="C10" s="22">
        <f>SQRT(AVERAGE('Data Export2 Refine'!AH638:AH887))</f>
        <v>36.057789331341525</v>
      </c>
    </row>
    <row r="11" spans="1:6" x14ac:dyDescent="0.55000000000000004">
      <c r="A11" s="20" t="s">
        <v>108</v>
      </c>
      <c r="B11" s="22">
        <f>SUMPRODUCT(('Data Export2 Refine'!AG139:AG1137-'Data Export2 Refine'!AG138:AG1136),'Data Export2 Refine'!AG138:AG1136)/SUMPRODUCT('Data Export2 Refine'!AG138:AG1136,'Data Export2 Refine'!AG138:AG1136)</f>
        <v>-1.3121628802062793E-2</v>
      </c>
      <c r="C11" s="22">
        <f>SUMPRODUCT(('Data Export2 Refine'!AG639:AG887-'Data Export2 Refine'!AG638:AG886),'Data Export2 Refine'!AG638:AG886)/SUMPRODUCT('Data Export2 Refine'!AG638:AG886,'Data Export2 Refine'!AG638:AG886)</f>
        <v>-2.0346282921447773E-2</v>
      </c>
    </row>
    <row r="12" spans="1:6" x14ac:dyDescent="0.55000000000000004">
      <c r="A12" s="20" t="s">
        <v>109</v>
      </c>
      <c r="B12" s="23">
        <f>IF(B11&gt;=0,9999,-LN(2)/LN(1+B11))</f>
        <v>52.47744543031213</v>
      </c>
      <c r="C12" s="23">
        <f>IF(C11&gt;=0,9999,-LN(2)/LN(1+C11))</f>
        <v>33.719748247479231</v>
      </c>
    </row>
    <row r="13" spans="1:6" x14ac:dyDescent="0.55000000000000004">
      <c r="A13" s="20" t="s">
        <v>110</v>
      </c>
      <c r="B13" s="22">
        <f>RSQ('Data Export2 Refine'!D138:D1137,'Data Export2 Refine'!AF138:AF1137)</f>
        <v>0.82574393393331202</v>
      </c>
      <c r="C13" s="22">
        <f>RSQ('Data Export2 Refine'!D638:D887,'Data Export2 Refine'!AF638:AF887)</f>
        <v>0.81043123516420668</v>
      </c>
    </row>
    <row r="14" spans="1:6" x14ac:dyDescent="0.55000000000000004">
      <c r="A14" s="16"/>
      <c r="B14" s="16"/>
      <c r="C14" s="16"/>
      <c r="D14" s="16"/>
      <c r="E14" s="16"/>
      <c r="F14" s="16"/>
    </row>
    <row r="15" spans="1:6" x14ac:dyDescent="0.55000000000000004">
      <c r="A15" s="128" t="s">
        <v>111</v>
      </c>
      <c r="B15" s="113"/>
      <c r="C15" s="113"/>
      <c r="D15" s="113"/>
      <c r="E15" s="113"/>
      <c r="F15" s="113"/>
    </row>
    <row r="16" spans="1:6" x14ac:dyDescent="0.55000000000000004">
      <c r="A16" s="20" t="s">
        <v>112</v>
      </c>
      <c r="B16" s="23">
        <f>0.05</f>
        <v>0.05</v>
      </c>
      <c r="C16" s="23">
        <f>0.05</f>
        <v>0.05</v>
      </c>
    </row>
    <row r="17" spans="1:6" x14ac:dyDescent="0.55000000000000004">
      <c r="A17" s="20" t="s">
        <v>113</v>
      </c>
      <c r="B17" s="22">
        <f>SKEW('Data Export2 Refine'!AG138:AG1137)</f>
        <v>-0.39770375157114646</v>
      </c>
      <c r="C17" s="22">
        <f>SKEW('Data Export2 Refine'!AG638:AG887)</f>
        <v>0.52852059973759202</v>
      </c>
    </row>
    <row r="18" spans="1:6" x14ac:dyDescent="0.55000000000000004">
      <c r="A18" s="20" t="s">
        <v>114</v>
      </c>
      <c r="B18" s="22">
        <f>KURT('Data Export2 Refine'!AG138:AG1137)</f>
        <v>-0.41011566751839412</v>
      </c>
      <c r="C18" s="22">
        <f>KURT('Data Export2 Refine'!AG638:AG887)</f>
        <v>-0.81454215730551693</v>
      </c>
    </row>
    <row r="19" spans="1:6" x14ac:dyDescent="0.55000000000000004">
      <c r="A19" s="20" t="s">
        <v>115</v>
      </c>
      <c r="B19" s="22">
        <f>B8/6*(B17^2+B18^2/4)</f>
        <v>33.369498199963111</v>
      </c>
      <c r="C19" s="22">
        <f>C8/6*(C17^2+C18^2/4)</f>
        <v>18.550156493915221</v>
      </c>
    </row>
    <row r="20" spans="1:6" x14ac:dyDescent="0.55000000000000004">
      <c r="A20" s="20" t="s">
        <v>116</v>
      </c>
      <c r="B20" s="22">
        <f>CHIDIST(B19,2)</f>
        <v>5.6742116871812132E-8</v>
      </c>
      <c r="C20" s="22">
        <f>CHIDIST(C19,2)</f>
        <v>9.37313124399188E-5</v>
      </c>
    </row>
    <row r="21" spans="1:6" x14ac:dyDescent="0.55000000000000004">
      <c r="A21" s="20" t="s">
        <v>117</v>
      </c>
      <c r="B21" s="22">
        <f>CHIINV(B16,2)</f>
        <v>5.9914645471079817</v>
      </c>
      <c r="C21" s="22">
        <f>CHIINV(C16,2)</f>
        <v>5.9914645471079817</v>
      </c>
    </row>
    <row r="22" spans="1:6" x14ac:dyDescent="0.55000000000000004">
      <c r="A22" s="24" t="s">
        <v>118</v>
      </c>
      <c r="B22" s="25" t="str">
        <f>IF(B19&gt;B21,"REJECT H₀","FAIL TO REJECT")</f>
        <v>REJECT H₀</v>
      </c>
    </row>
    <row r="23" spans="1:6" x14ac:dyDescent="0.55000000000000004">
      <c r="A23" s="24" t="s">
        <v>119</v>
      </c>
      <c r="C23" s="25" t="str">
        <f>IF(C19&gt;C21,"REJECT H₀","FAIL TO REJECT")</f>
        <v>REJECT H₀</v>
      </c>
    </row>
    <row r="24" spans="1:6" x14ac:dyDescent="0.55000000000000004">
      <c r="A24" s="16"/>
      <c r="B24" s="16"/>
      <c r="C24" s="16"/>
      <c r="D24" s="16"/>
      <c r="E24" s="16"/>
      <c r="F24" s="16"/>
    </row>
    <row r="25" spans="1:6" x14ac:dyDescent="0.55000000000000004">
      <c r="A25" s="128" t="s">
        <v>120</v>
      </c>
      <c r="B25" s="113"/>
      <c r="C25" s="113"/>
      <c r="D25" s="113"/>
      <c r="E25" s="113"/>
      <c r="F25" s="113"/>
    </row>
    <row r="26" spans="1:6" x14ac:dyDescent="0.55000000000000004">
      <c r="A26" s="20" t="s">
        <v>112</v>
      </c>
      <c r="B26" s="23">
        <f>0.05</f>
        <v>0.05</v>
      </c>
      <c r="C26" s="23">
        <f>0.05</f>
        <v>0.05</v>
      </c>
    </row>
    <row r="27" spans="1:6" x14ac:dyDescent="0.55000000000000004">
      <c r="A27" s="20" t="s">
        <v>121</v>
      </c>
      <c r="B27" s="22">
        <f>INDEX(LINEST('Data Export2 Refine'!AH138:AH1137,CHOOSE({1,2},'Data Export2 Refine'!AF138:AF1137,'Data Export2 Refine'!AK138:AK1137),TRUE,TRUE),3,1)</f>
        <v>0.14846488608046679</v>
      </c>
      <c r="C27" s="22">
        <f>INDEX(LINEST('Data Export2 Refine'!AH638:AH887,CHOOSE({1,2},'Data Export2 Refine'!AF638:AF887,'Data Export2 Refine'!AK638:AK887),TRUE,TRUE),3,1)</f>
        <v>4.7368897608818079E-2</v>
      </c>
    </row>
    <row r="28" spans="1:6" x14ac:dyDescent="0.55000000000000004">
      <c r="A28" s="20" t="s">
        <v>122</v>
      </c>
      <c r="B28" s="22">
        <f>B8*B27</f>
        <v>148.46488608046678</v>
      </c>
      <c r="C28" s="22">
        <f>C8*C27</f>
        <v>11.84222440220452</v>
      </c>
    </row>
    <row r="29" spans="1:6" x14ac:dyDescent="0.55000000000000004">
      <c r="A29" s="20" t="s">
        <v>116</v>
      </c>
      <c r="B29" s="22">
        <f>CHIDIST(B28,2)</f>
        <v>5.7711134176615505E-33</v>
      </c>
      <c r="C29" s="22">
        <f>CHIDIST(C28,2)</f>
        <v>2.6822153545263032E-3</v>
      </c>
    </row>
    <row r="30" spans="1:6" x14ac:dyDescent="0.55000000000000004">
      <c r="A30" s="20" t="s">
        <v>117</v>
      </c>
      <c r="B30" s="22">
        <f>CHIINV(B26,2)</f>
        <v>5.9914645471079817</v>
      </c>
      <c r="C30" s="22">
        <f>CHIINV(C26,2)</f>
        <v>5.9914645471079817</v>
      </c>
    </row>
    <row r="31" spans="1:6" x14ac:dyDescent="0.55000000000000004">
      <c r="A31" s="20" t="s">
        <v>123</v>
      </c>
      <c r="B31" s="22">
        <f>IF(B29=0,-300,LOG10(B29))</f>
        <v>-32.238740390570811</v>
      </c>
      <c r="C31" s="22">
        <f>IF(C29=0,-300,LOG10(C29))</f>
        <v>-2.571506355668729</v>
      </c>
    </row>
    <row r="32" spans="1:6" x14ac:dyDescent="0.55000000000000004">
      <c r="A32" s="24" t="s">
        <v>124</v>
      </c>
      <c r="B32" s="25" t="str">
        <f>IF(B28&gt;B30,"REJECT H₀","FAIL TO REJECT")</f>
        <v>REJECT H₀</v>
      </c>
    </row>
    <row r="33" spans="1:6" x14ac:dyDescent="0.55000000000000004">
      <c r="A33" s="24" t="s">
        <v>125</v>
      </c>
      <c r="C33" s="25" t="str">
        <f>IF(C28&gt;C30,"REJECT H₀","FAIL TO REJECT")</f>
        <v>REJECT H₀</v>
      </c>
    </row>
    <row r="34" spans="1:6" x14ac:dyDescent="0.55000000000000004">
      <c r="A34" s="16"/>
      <c r="B34" s="16"/>
      <c r="C34" s="16"/>
      <c r="D34" s="16"/>
      <c r="E34" s="16"/>
      <c r="F34" s="16"/>
    </row>
    <row r="35" spans="1:6" x14ac:dyDescent="0.55000000000000004">
      <c r="A35" s="124" t="s">
        <v>126</v>
      </c>
      <c r="B35" s="113"/>
      <c r="C35" s="113"/>
      <c r="D35" s="113"/>
      <c r="E35" s="113"/>
      <c r="F35" s="113"/>
    </row>
    <row r="36" spans="1:6" x14ac:dyDescent="0.55000000000000004">
      <c r="A36" s="26" t="s">
        <v>127</v>
      </c>
      <c r="B36" s="27">
        <f>IF(SUMPRODUCT(('Data Export2 Refine'!Y138:Y1137&lt;&gt;"")*1)&gt;0,SUMPRODUCT(('Data Export2 Refine'!Y138:Y1137&lt;&gt;"")*('Data Export2 Refine'!Y138:Y1137-'Data Export2 Refine'!Q138:Q1137))/SUMPRODUCT(('Data Export2 Refine'!Y138:Y1137&lt;&gt;"")*1),IF(SUMPRODUCT(('Data Export2 Refine'!X138:X1137&lt;&gt;"")*1)&gt;0,SUMPRODUCT(('Data Export2 Refine'!X138:X1137&lt;&gt;"")*('Data Export2 Refine'!X138:X1137-'Data Export2 Refine'!Q138:Q1137))/SUMPRODUCT(('Data Export2 Refine'!X138:X1137&lt;&gt;"")*1),SUMPRODUCT(('Data Export2 Refine'!W138:W1137&lt;&gt;"")*('Data Export2 Refine'!W138:W1137-'Data Export2 Refine'!Q138:Q1137))/SUMPRODUCT(('Data Export2 Refine'!W138:W1137&lt;&gt;"")*1)))</f>
        <v>-68.504766489999312</v>
      </c>
      <c r="C36" s="27">
        <f>IF(SUMPRODUCT(('Data Export2 Refine'!Y638:Y887&lt;&gt;"")*1)&gt;0,SUMPRODUCT(('Data Export2 Refine'!Y638:Y887&lt;&gt;"")*('Data Export2 Refine'!Y638:Y887-'Data Export2 Refine'!Q638:Q887))/SUMPRODUCT(('Data Export2 Refine'!Y638:Y887&lt;&gt;"")*1),IF(SUMPRODUCT(('Data Export2 Refine'!X638:X887&lt;&gt;"")*1)&gt;0,SUMPRODUCT(('Data Export2 Refine'!X638:X887&lt;&gt;"")*('Data Export2 Refine'!X638:X887-'Data Export2 Refine'!Q638:Q887))/SUMPRODUCT(('Data Export2 Refine'!X638:X887&lt;&gt;"")*1),SUMPRODUCT(('Data Export2 Refine'!W638:W887&lt;&gt;"")*('Data Export2 Refine'!W638:W887-'Data Export2 Refine'!Q638:Q887))/SUMPRODUCT(('Data Export2 Refine'!W638:W887&lt;&gt;"")*1)))</f>
        <v>-68.504766519999805</v>
      </c>
    </row>
    <row r="37" spans="1:6" x14ac:dyDescent="0.55000000000000004">
      <c r="A37" s="26" t="s">
        <v>128</v>
      </c>
      <c r="B37" s="27">
        <f>IF(SUMPRODUCT(('Data Export2 Refine'!U138:U1137&lt;&gt;"")*1)&gt;0,SUMPRODUCT(('Data Export2 Refine'!U138:U1137&lt;&gt;"")*('Data Export2 Refine'!U138:U1137-'Data Export2 Refine'!Q138:Q1137))/SUMPRODUCT(('Data Export2 Refine'!U138:U1137&lt;&gt;"")*1),IF(SUMPRODUCT(('Data Export2 Refine'!T138:T1137&lt;&gt;"")*1)&gt;0,SUMPRODUCT(('Data Export2 Refine'!T138:T1137&lt;&gt;"")*('Data Export2 Refine'!T138:T1137-'Data Export2 Refine'!Q138:Q1137))/SUMPRODUCT(('Data Export2 Refine'!T138:T1137&lt;&gt;"")*1),IF(SUMPRODUCT(('Data Export2 Refine'!S138:S1137&lt;&gt;"")*1)&gt;0,SUMPRODUCT(('Data Export2 Refine'!S138:S1137&lt;&gt;"")*('Data Export2 Refine'!S138:S1137-'Data Export2 Refine'!Q138:Q1137))/SUMPRODUCT(('Data Export2 Refine'!S138:S1137&lt;&gt;"")*1),SUMPRODUCT(('Data Export2 Refine'!R138:R1137&lt;&gt;"")*('Data Export2 Refine'!R138:R1137-'Data Export2 Refine'!Q138:Q1137))/SUMPRODUCT(('Data Export2 Refine'!R138:R1137&lt;&gt;"")*1))))</f>
        <v>55.952069699999477</v>
      </c>
      <c r="C37" s="27">
        <f>IF(SUMPRODUCT(('Data Export2 Refine'!U638:U887&lt;&gt;"")*1)&gt;0,SUMPRODUCT(('Data Export2 Refine'!U638:U887&lt;&gt;"")*('Data Export2 Refine'!U638:U887-'Data Export2 Refine'!Q638:Q887))/SUMPRODUCT(('Data Export2 Refine'!U638:U887&lt;&gt;"")*1),IF(SUMPRODUCT(('Data Export2 Refine'!T638:T887&lt;&gt;"")*1)&gt;0,SUMPRODUCT(('Data Export2 Refine'!T638:T887&lt;&gt;"")*('Data Export2 Refine'!T638:T887-'Data Export2 Refine'!Q638:Q887))/SUMPRODUCT(('Data Export2 Refine'!T638:T887&lt;&gt;"")*1),IF(SUMPRODUCT(('Data Export2 Refine'!S638:S887&lt;&gt;"")*1)&gt;0,SUMPRODUCT(('Data Export2 Refine'!S638:S887&lt;&gt;"")*('Data Export2 Refine'!S638:S887-'Data Export2 Refine'!Q638:Q887))/SUMPRODUCT(('Data Export2 Refine'!S638:S887&lt;&gt;"")*1),SUMPRODUCT(('Data Export2 Refine'!R638:R887&lt;&gt;"")*('Data Export2 Refine'!R638:R887-'Data Export2 Refine'!Q638:Q887))/SUMPRODUCT(('Data Export2 Refine'!R638:R887&lt;&gt;"")*1))))</f>
        <v>55.952069679999752</v>
      </c>
    </row>
    <row r="38" spans="1:6" x14ac:dyDescent="0.55000000000000004">
      <c r="A38" s="47" t="s">
        <v>129</v>
      </c>
      <c r="B38" s="48">
        <f>IF(AND(B36&lt;0,B37&gt;0),(ABS(B36)+B37)/2,IF(B36&lt;0,ABS(B36),B37))</f>
        <v>62.228418094999398</v>
      </c>
      <c r="C38" s="48">
        <f>IF(AND(C36&lt;0,C37&gt;0),(ABS(C36)+C37)/2,IF(C36&lt;0,ABS(C36),C37))</f>
        <v>62.228418099999779</v>
      </c>
    </row>
    <row r="39" spans="1:6" x14ac:dyDescent="0.55000000000000004">
      <c r="A39" s="26" t="s">
        <v>130</v>
      </c>
      <c r="B39" s="28">
        <f>IF(B38&gt;0,MIN('Data Export2 Refine'!AG138:AG1137)/B38,"N/A")</f>
        <v>-1.3272002170120405</v>
      </c>
      <c r="C39" s="28">
        <f>IF(C38&gt;0,MIN('Data Export2 Refine'!AG638:AG887)/C38,"N/A")</f>
        <v>-1.3272002169053929</v>
      </c>
    </row>
    <row r="40" spans="1:6" x14ac:dyDescent="0.55000000000000004">
      <c r="A40" s="26" t="s">
        <v>131</v>
      </c>
      <c r="B40" s="28">
        <f>IF(B38&gt;0,MAX('Data Export2 Refine'!AG138:AG1137)/B38,"N/A")</f>
        <v>1.7425284672102879</v>
      </c>
      <c r="C40" s="28">
        <f>IF(C38&gt;0,MAX('Data Export2 Refine'!AG638:AG887)/C38,"N/A")</f>
        <v>0.9873341131903226</v>
      </c>
    </row>
    <row r="41" spans="1:6" x14ac:dyDescent="0.55000000000000004">
      <c r="A41" s="29" t="s">
        <v>132</v>
      </c>
      <c r="B41" s="30">
        <f>MAX('Data Export2 Refine'!AG138:AG1137)</f>
        <v>108.43479000000025</v>
      </c>
      <c r="C41" s="30">
        <f>MAX('Data Export2 Refine'!AG638:AG887)</f>
        <v>61.440239999999903</v>
      </c>
    </row>
    <row r="42" spans="1:6" x14ac:dyDescent="0.55000000000000004">
      <c r="A42" s="29" t="s">
        <v>133</v>
      </c>
      <c r="B42" s="30">
        <f>MIN('Data Export2 Refine'!AG138:AG1137)</f>
        <v>-82.589569999999185</v>
      </c>
      <c r="C42" s="30">
        <f>MIN('Data Export2 Refine'!AG638:AG887)</f>
        <v>-82.589569999999185</v>
      </c>
    </row>
    <row r="43" spans="1:6" x14ac:dyDescent="0.55000000000000004">
      <c r="A43" s="124" t="s">
        <v>134</v>
      </c>
      <c r="B43" s="113"/>
      <c r="C43" s="113"/>
      <c r="D43" s="113"/>
      <c r="E43" s="113"/>
      <c r="F43" s="113"/>
    </row>
    <row r="44" spans="1:6" x14ac:dyDescent="0.55000000000000004">
      <c r="A44" s="26" t="s">
        <v>135</v>
      </c>
      <c r="B44" s="31">
        <f>SUMPRODUCT(('Data Export2 Refine'!AD138:AD1137=1)*1)</f>
        <v>89</v>
      </c>
      <c r="C44" s="31">
        <f>SUMPRODUCT(('Data Export2 Refine'!AD638:AD887=1)*1)</f>
        <v>21</v>
      </c>
    </row>
    <row r="45" spans="1:6" ht="52.5" x14ac:dyDescent="0.55000000000000004">
      <c r="A45" s="26" t="s">
        <v>136</v>
      </c>
      <c r="B45" s="27">
        <f>IFERROR(AVERAGEIF('Data Export2 Refine'!AM138:AM1137,"&lt;&gt;"),0)</f>
        <v>17.395167528089853</v>
      </c>
      <c r="C45" s="27">
        <f>IFERROR(AVERAGEIF('Data Export2 Refine'!AM638:AM887,"&lt;&gt;"),0)</f>
        <v>18.16829666666672</v>
      </c>
      <c r="D45" s="32" t="s">
        <v>137</v>
      </c>
    </row>
    <row r="46" spans="1:6" x14ac:dyDescent="0.55000000000000004">
      <c r="A46" s="29" t="s">
        <v>138</v>
      </c>
      <c r="B46" s="30">
        <f>MAX('Data Export2 Refine'!AM138:AM1137)</f>
        <v>89.915750000000116</v>
      </c>
      <c r="C46" s="30">
        <f>MAX('Data Export2 Refine'!AM638:AM887)</f>
        <v>89.915750000000116</v>
      </c>
    </row>
    <row r="47" spans="1:6" x14ac:dyDescent="0.55000000000000004">
      <c r="A47" s="16"/>
      <c r="B47" s="16"/>
      <c r="C47" s="16"/>
      <c r="D47" s="16"/>
      <c r="E47" s="16"/>
      <c r="F47" s="16"/>
    </row>
    <row r="48" spans="1:6" x14ac:dyDescent="0.55000000000000004">
      <c r="A48" s="126" t="s">
        <v>139</v>
      </c>
      <c r="B48" s="113"/>
      <c r="C48" s="113"/>
      <c r="D48" s="113"/>
      <c r="E48" s="113"/>
      <c r="F48" s="113"/>
    </row>
    <row r="49" spans="1:6" x14ac:dyDescent="0.55000000000000004">
      <c r="A49" s="33" t="s">
        <v>140</v>
      </c>
      <c r="B49" s="34" t="s">
        <v>141</v>
      </c>
      <c r="C49" s="34"/>
      <c r="D49" s="34" t="s">
        <v>142</v>
      </c>
      <c r="E49" s="34" t="s">
        <v>143</v>
      </c>
      <c r="F49" s="34" t="s">
        <v>103</v>
      </c>
    </row>
    <row r="50" spans="1:6" x14ac:dyDescent="0.55000000000000004">
      <c r="A50" s="35" t="s">
        <v>144</v>
      </c>
      <c r="B50" s="36">
        <f>IF(AND(B12&gt;0,B12&lt;9999),C12/B12,9999)</f>
        <v>0.64255696844576127</v>
      </c>
      <c r="D50" s="37">
        <f>MAX(-100,MIN(100,(1-B50)*100))</f>
        <v>35.744303155423871</v>
      </c>
      <c r="E50" s="49">
        <v>50</v>
      </c>
      <c r="F50" s="50" t="str">
        <f>IF(D50&gt;=E50,"ALERT","—")</f>
        <v>—</v>
      </c>
    </row>
    <row r="51" spans="1:6" x14ac:dyDescent="0.55000000000000004">
      <c r="A51" s="35" t="s">
        <v>145</v>
      </c>
      <c r="B51" s="36">
        <f>IF(B9&gt;0,C9/B9,1)</f>
        <v>0.77006166107705432</v>
      </c>
      <c r="D51" s="37">
        <f>MAX(-100,MIN(0,-ABS(B51-1)*100))</f>
        <v>-22.993833892294568</v>
      </c>
      <c r="E51" s="49">
        <v>-50</v>
      </c>
      <c r="F51" s="50" t="str">
        <f>IF(D51&lt;=E51,"ALERT","—")</f>
        <v>—</v>
      </c>
    </row>
    <row r="52" spans="1:6" x14ac:dyDescent="0.55000000000000004">
      <c r="A52" s="35" t="s">
        <v>146</v>
      </c>
      <c r="B52" s="36">
        <f>IF(AND(ISNUMBER(B39),ISNUMBER(C39),B39&lt;0,C39&lt;0),C39/B39,1)</f>
        <v>0.99999999991964472</v>
      </c>
      <c r="D52" s="37">
        <f>MAX(-100,MIN(100,(1-B52)*100))</f>
        <v>8.035527798710973E-9</v>
      </c>
      <c r="E52" s="49">
        <v>60</v>
      </c>
      <c r="F52" s="50" t="str">
        <f>IF(D52&gt;=E52,"ALERT","—")</f>
        <v>—</v>
      </c>
    </row>
    <row r="53" spans="1:6" x14ac:dyDescent="0.55000000000000004">
      <c r="A53" s="35" t="s">
        <v>147</v>
      </c>
      <c r="B53" s="36">
        <f>IF(AND(ISNUMBER(B40),ISNUMBER(C40),B40&gt;0,C40&gt;0),C40/B40,1)</f>
        <v>0.56661003350550798</v>
      </c>
      <c r="D53" s="37">
        <f>MAX(-100,MIN(100,(1-B53)*100))</f>
        <v>43.3389966494492</v>
      </c>
      <c r="E53" s="49">
        <v>60</v>
      </c>
      <c r="F53" s="50" t="str">
        <f>IF(D53&gt;=E53,"ALERT","—")</f>
        <v>—</v>
      </c>
    </row>
    <row r="54" spans="1:6" x14ac:dyDescent="0.55000000000000004">
      <c r="A54" s="35" t="s">
        <v>148</v>
      </c>
      <c r="B54" s="36">
        <f>IF(B45&gt;0,C45/B45,1)</f>
        <v>1.0444450527612574</v>
      </c>
      <c r="D54" s="37">
        <f>MAX(-100,MIN(100,(B54-1)*200))</f>
        <v>8.8890105522514862</v>
      </c>
      <c r="E54" s="49">
        <v>50</v>
      </c>
      <c r="F54" s="50" t="str">
        <f>IF(D54&gt;=E54,"ALERT","—")</f>
        <v>—</v>
      </c>
    </row>
    <row r="55" spans="1:6" x14ac:dyDescent="0.55000000000000004">
      <c r="A55" s="35" t="s">
        <v>149</v>
      </c>
      <c r="B55" s="36">
        <f>IF(B13&gt;0.001,C13/B13,0)</f>
        <v>0.98145587495125086</v>
      </c>
      <c r="D55" s="37">
        <f>MAX(-100,MIN(100,(B55-1)*100))</f>
        <v>-1.8544125048749138</v>
      </c>
      <c r="E55" s="49">
        <v>-50</v>
      </c>
      <c r="F55" s="50" t="str">
        <f>IF(D55&lt;=E55,"ALERT","—")</f>
        <v>—</v>
      </c>
    </row>
    <row r="56" spans="1:6" x14ac:dyDescent="0.55000000000000004">
      <c r="A56" s="35" t="s">
        <v>150</v>
      </c>
      <c r="B56" s="36">
        <f>C31-B31</f>
        <v>29.667234034902084</v>
      </c>
      <c r="D56" s="37">
        <f>MAX(-100,MIN(100,B56*5))</f>
        <v>100</v>
      </c>
      <c r="E56" s="49">
        <v>50</v>
      </c>
      <c r="F56" s="50" t="str">
        <f>IF(D56&gt;=E56,"ALERT","—")</f>
        <v>ALERT</v>
      </c>
    </row>
    <row r="57" spans="1:6" x14ac:dyDescent="0.55000000000000004">
      <c r="A57" s="35" t="s">
        <v>151</v>
      </c>
      <c r="B57" s="36">
        <f>IF(B19&gt;0,C19/B19,1)</f>
        <v>0.55590157163153653</v>
      </c>
      <c r="D57" s="37">
        <f>MAX(-100,MIN(100,(1-B57)*100))</f>
        <v>44.409842836846344</v>
      </c>
      <c r="E57" s="49">
        <v>-30</v>
      </c>
      <c r="F57" s="50" t="str">
        <f>IF(D57&lt;=E57,"ALERT","—")</f>
        <v>—</v>
      </c>
    </row>
    <row r="58" spans="1:6" x14ac:dyDescent="0.55000000000000004">
      <c r="A58" s="16"/>
      <c r="B58" s="16"/>
      <c r="C58" s="16"/>
      <c r="D58" s="16"/>
      <c r="E58" s="16"/>
      <c r="F58" s="16"/>
    </row>
    <row r="59" spans="1:6" x14ac:dyDescent="0.55000000000000004">
      <c r="A59" s="121" t="s">
        <v>152</v>
      </c>
      <c r="B59" s="113"/>
      <c r="C59" s="113"/>
      <c r="D59" s="113"/>
      <c r="E59" s="113"/>
      <c r="F59" s="113"/>
    </row>
    <row r="60" spans="1:6" x14ac:dyDescent="0.55000000000000004">
      <c r="A60" s="121" t="s">
        <v>153</v>
      </c>
      <c r="B60" s="113"/>
      <c r="C60" s="113"/>
      <c r="D60" s="38">
        <f>0.25*D50+0.1*D51+0.1*D52+0.1*D53+0.2*D54+0.1*D55+0.1*D56+0.05*D57</f>
        <v>24.783445067180107</v>
      </c>
    </row>
    <row r="61" spans="1:6" ht="28" customHeight="1" x14ac:dyDescent="0.55000000000000004">
      <c r="A61" s="123" t="s">
        <v>154</v>
      </c>
      <c r="B61" s="113"/>
      <c r="C61" s="113"/>
      <c r="D61" s="39" t="str">
        <f>IF(D60&gt;50,"STRONG BREAKOUT SETUP",IF(D60&gt;20,"MODERATE SETUP — watch for trigger",IF(D60&gt;0,"MILD POSITIVE — early signs",IF(D60&gt;-20,"MIXED — signals conflicting",IF(D60&gt;-50,"STRUCTURAL WEAKNESS","HIGH CAUTION / TREND INTACT")))))</f>
        <v>MODERATE SETUP — watch for trigger</v>
      </c>
    </row>
  </sheetData>
  <mergeCells count="13">
    <mergeCell ref="A2:F2"/>
    <mergeCell ref="A60:C60"/>
    <mergeCell ref="A1:F1"/>
    <mergeCell ref="A61:C61"/>
    <mergeCell ref="A35:F35"/>
    <mergeCell ref="A4:F4"/>
    <mergeCell ref="A48:F48"/>
    <mergeCell ref="A3:F3"/>
    <mergeCell ref="A59:F59"/>
    <mergeCell ref="A15:F15"/>
    <mergeCell ref="A7:F7"/>
    <mergeCell ref="A25:F25"/>
    <mergeCell ref="A43:F43"/>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61"/>
  <sheetViews>
    <sheetView workbookViewId="0">
      <selection sqref="A1:F1"/>
    </sheetView>
  </sheetViews>
  <sheetFormatPr defaultRowHeight="14.4" x14ac:dyDescent="0.55000000000000004"/>
  <cols>
    <col min="1" max="1" width="52" customWidth="1"/>
    <col min="2" max="3" width="16" customWidth="1"/>
    <col min="4" max="4" width="14" customWidth="1"/>
    <col min="5" max="5" width="13" customWidth="1"/>
    <col min="6" max="6" width="12" customWidth="1"/>
  </cols>
  <sheetData>
    <row r="1" spans="1:6" ht="20.05" customHeight="1" x14ac:dyDescent="0.55000000000000004">
      <c r="A1" s="122" t="s">
        <v>157</v>
      </c>
      <c r="B1" s="113"/>
      <c r="C1" s="113"/>
      <c r="D1" s="113"/>
      <c r="E1" s="113"/>
      <c r="F1" s="113"/>
    </row>
    <row r="2" spans="1:6" x14ac:dyDescent="0.55000000000000004">
      <c r="A2" s="120" t="s">
        <v>95</v>
      </c>
      <c r="B2" s="113"/>
      <c r="C2" s="113"/>
      <c r="D2" s="113"/>
      <c r="E2" s="113"/>
      <c r="F2" s="113"/>
    </row>
    <row r="3" spans="1:6" x14ac:dyDescent="0.55000000000000004">
      <c r="A3" s="127" t="s">
        <v>158</v>
      </c>
      <c r="B3" s="113"/>
      <c r="C3" s="113"/>
      <c r="D3" s="113"/>
      <c r="E3" s="113"/>
      <c r="F3" s="113"/>
    </row>
    <row r="4" spans="1:6" ht="32.049999999999997" customHeight="1" x14ac:dyDescent="0.55000000000000004">
      <c r="A4" s="125" t="s">
        <v>97</v>
      </c>
      <c r="B4" s="113"/>
      <c r="C4" s="113"/>
      <c r="D4" s="113"/>
      <c r="E4" s="113"/>
      <c r="F4" s="113"/>
    </row>
    <row r="5" spans="1:6" x14ac:dyDescent="0.55000000000000004">
      <c r="A5" s="16"/>
      <c r="B5" s="16"/>
      <c r="C5" s="16"/>
      <c r="D5" s="16"/>
      <c r="E5" s="16"/>
      <c r="F5" s="16"/>
    </row>
    <row r="6" spans="1:6" x14ac:dyDescent="0.55000000000000004">
      <c r="A6" s="17" t="s">
        <v>98</v>
      </c>
      <c r="B6" s="18" t="s">
        <v>99</v>
      </c>
      <c r="C6" s="18" t="s">
        <v>100</v>
      </c>
      <c r="D6" s="18" t="s">
        <v>101</v>
      </c>
      <c r="E6" s="18" t="s">
        <v>102</v>
      </c>
      <c r="F6" s="18" t="s">
        <v>103</v>
      </c>
    </row>
    <row r="7" spans="1:6" x14ac:dyDescent="0.55000000000000004">
      <c r="A7" s="128" t="s">
        <v>104</v>
      </c>
      <c r="B7" s="113"/>
      <c r="C7" s="113"/>
      <c r="D7" s="113"/>
      <c r="E7" s="113"/>
      <c r="F7" s="113"/>
    </row>
    <row r="8" spans="1:6" x14ac:dyDescent="0.55000000000000004">
      <c r="A8" s="20" t="s">
        <v>105</v>
      </c>
      <c r="B8" s="21">
        <f>COUNT('Data Export2 Refine'!AF138:AF1137)</f>
        <v>1000</v>
      </c>
      <c r="C8" s="21">
        <f>COUNT('Data Export2 Refine'!AF888:AF1137)</f>
        <v>250</v>
      </c>
    </row>
    <row r="9" spans="1:6" x14ac:dyDescent="0.55000000000000004">
      <c r="A9" s="20" t="s">
        <v>106</v>
      </c>
      <c r="B9" s="22">
        <f>AVERAGE('Data Export2 Refine'!AH138:AH1137)</f>
        <v>1688.3896929044868</v>
      </c>
      <c r="C9" s="22">
        <f>AVERAGE('Data Export2 Refine'!AH888:AH1137)</f>
        <v>3028.4049788041111</v>
      </c>
    </row>
    <row r="10" spans="1:6" x14ac:dyDescent="0.55000000000000004">
      <c r="A10" s="20" t="s">
        <v>107</v>
      </c>
      <c r="B10" s="22">
        <f>SQRT(AVERAGE('Data Export2 Refine'!AH138:AH1137))</f>
        <v>41.090019383111596</v>
      </c>
      <c r="C10" s="22">
        <f>SQRT(AVERAGE('Data Export2 Refine'!AH888:AH1137))</f>
        <v>55.030945647009474</v>
      </c>
    </row>
    <row r="11" spans="1:6" x14ac:dyDescent="0.55000000000000004">
      <c r="A11" s="20" t="s">
        <v>108</v>
      </c>
      <c r="B11" s="22">
        <f>SUMPRODUCT(('Data Export2 Refine'!AG139:AG1137-'Data Export2 Refine'!AG138:AG1136),'Data Export2 Refine'!AG138:AG1136)/SUMPRODUCT('Data Export2 Refine'!AG138:AG1136,'Data Export2 Refine'!AG138:AG1136)</f>
        <v>-1.3121628802062793E-2</v>
      </c>
      <c r="C11" s="22">
        <f>SUMPRODUCT(('Data Export2 Refine'!AG889:AG1137-'Data Export2 Refine'!AG888:AG1136),'Data Export2 Refine'!AG888:AG1136)/SUMPRODUCT('Data Export2 Refine'!AG888:AG1136,'Data Export2 Refine'!AG888:AG1136)</f>
        <v>-7.1762627699470879E-3</v>
      </c>
    </row>
    <row r="12" spans="1:6" x14ac:dyDescent="0.55000000000000004">
      <c r="A12" s="20" t="s">
        <v>109</v>
      </c>
      <c r="B12" s="23">
        <f>IF(B11&gt;=0,9999,-LN(2)/LN(1+B11))</f>
        <v>52.47744543031213</v>
      </c>
      <c r="C12" s="23">
        <f>IF(C11&gt;=0,9999,-LN(2)/LN(1+C11))</f>
        <v>96.241889983838007</v>
      </c>
    </row>
    <row r="13" spans="1:6" x14ac:dyDescent="0.55000000000000004">
      <c r="A13" s="20" t="s">
        <v>110</v>
      </c>
      <c r="B13" s="22">
        <f>RSQ('Data Export2 Refine'!D138:D1137,'Data Export2 Refine'!AF138:AF1137)</f>
        <v>0.82574393393331202</v>
      </c>
      <c r="C13" s="22">
        <f>RSQ('Data Export2 Refine'!D888:D1137,'Data Export2 Refine'!AF888:AF1137)</f>
        <v>0.49647232048776929</v>
      </c>
    </row>
    <row r="14" spans="1:6" x14ac:dyDescent="0.55000000000000004">
      <c r="A14" s="16"/>
      <c r="B14" s="16"/>
      <c r="C14" s="16"/>
      <c r="D14" s="16"/>
      <c r="E14" s="16"/>
      <c r="F14" s="16"/>
    </row>
    <row r="15" spans="1:6" x14ac:dyDescent="0.55000000000000004">
      <c r="A15" s="128" t="s">
        <v>111</v>
      </c>
      <c r="B15" s="113"/>
      <c r="C15" s="113"/>
      <c r="D15" s="113"/>
      <c r="E15" s="113"/>
      <c r="F15" s="113"/>
    </row>
    <row r="16" spans="1:6" x14ac:dyDescent="0.55000000000000004">
      <c r="A16" s="20" t="s">
        <v>112</v>
      </c>
      <c r="B16" s="23">
        <f>0.05</f>
        <v>0.05</v>
      </c>
      <c r="C16" s="23">
        <f>0.05</f>
        <v>0.05</v>
      </c>
    </row>
    <row r="17" spans="1:6" x14ac:dyDescent="0.55000000000000004">
      <c r="A17" s="20" t="s">
        <v>113</v>
      </c>
      <c r="B17" s="22">
        <f>SKEW('Data Export2 Refine'!AG138:AG1137)</f>
        <v>-0.39770375157114646</v>
      </c>
      <c r="C17" s="22">
        <f>SKEW('Data Export2 Refine'!AG888:AG1137)</f>
        <v>-0.39598782888956713</v>
      </c>
    </row>
    <row r="18" spans="1:6" x14ac:dyDescent="0.55000000000000004">
      <c r="A18" s="20" t="s">
        <v>114</v>
      </c>
      <c r="B18" s="22">
        <f>KURT('Data Export2 Refine'!AG138:AG1137)</f>
        <v>-0.41011566751839412</v>
      </c>
      <c r="C18" s="22">
        <f>KURT('Data Export2 Refine'!AG888:AG1137)</f>
        <v>-0.51757903658471083</v>
      </c>
    </row>
    <row r="19" spans="1:6" x14ac:dyDescent="0.55000000000000004">
      <c r="A19" s="20" t="s">
        <v>115</v>
      </c>
      <c r="B19" s="22">
        <f>B8/6*(B17^2+B18^2/4)</f>
        <v>33.369498199963111</v>
      </c>
      <c r="C19" s="22">
        <f>C8/6*(C17^2+C18^2/4)</f>
        <v>9.324098975277602</v>
      </c>
    </row>
    <row r="20" spans="1:6" x14ac:dyDescent="0.55000000000000004">
      <c r="A20" s="20" t="s">
        <v>116</v>
      </c>
      <c r="B20" s="22">
        <f>CHIDIST(B19,2)</f>
        <v>5.6742116871812132E-8</v>
      </c>
      <c r="C20" s="22">
        <f>CHIDIST(C19,2)</f>
        <v>9.4470808719218854E-3</v>
      </c>
    </row>
    <row r="21" spans="1:6" x14ac:dyDescent="0.55000000000000004">
      <c r="A21" s="20" t="s">
        <v>117</v>
      </c>
      <c r="B21" s="22">
        <f>CHIINV(B16,2)</f>
        <v>5.9914645471079817</v>
      </c>
      <c r="C21" s="22">
        <f>CHIINV(C16,2)</f>
        <v>5.9914645471079817</v>
      </c>
    </row>
    <row r="22" spans="1:6" x14ac:dyDescent="0.55000000000000004">
      <c r="A22" s="24" t="s">
        <v>118</v>
      </c>
      <c r="B22" s="25" t="str">
        <f>IF(B19&gt;B21,"REJECT H₀","FAIL TO REJECT")</f>
        <v>REJECT H₀</v>
      </c>
    </row>
    <row r="23" spans="1:6" x14ac:dyDescent="0.55000000000000004">
      <c r="A23" s="24" t="s">
        <v>119</v>
      </c>
      <c r="C23" s="25" t="str">
        <f>IF(C19&gt;C21,"REJECT H₀","FAIL TO REJECT")</f>
        <v>REJECT H₀</v>
      </c>
    </row>
    <row r="24" spans="1:6" x14ac:dyDescent="0.55000000000000004">
      <c r="A24" s="16"/>
      <c r="B24" s="16"/>
      <c r="C24" s="16"/>
      <c r="D24" s="16"/>
      <c r="E24" s="16"/>
      <c r="F24" s="16"/>
    </row>
    <row r="25" spans="1:6" x14ac:dyDescent="0.55000000000000004">
      <c r="A25" s="128" t="s">
        <v>120</v>
      </c>
      <c r="B25" s="113"/>
      <c r="C25" s="113"/>
      <c r="D25" s="113"/>
      <c r="E25" s="113"/>
      <c r="F25" s="113"/>
    </row>
    <row r="26" spans="1:6" x14ac:dyDescent="0.55000000000000004">
      <c r="A26" s="20" t="s">
        <v>112</v>
      </c>
      <c r="B26" s="23">
        <f>0.05</f>
        <v>0.05</v>
      </c>
      <c r="C26" s="23">
        <f>0.05</f>
        <v>0.05</v>
      </c>
    </row>
    <row r="27" spans="1:6" x14ac:dyDescent="0.55000000000000004">
      <c r="A27" s="20" t="s">
        <v>121</v>
      </c>
      <c r="B27" s="22">
        <f>INDEX(LINEST('Data Export2 Refine'!AH138:AH1137,CHOOSE({1,2},'Data Export2 Refine'!AF138:AF1137,'Data Export2 Refine'!AK138:AK1137),TRUE,TRUE),3,1)</f>
        <v>0.14846488608046679</v>
      </c>
      <c r="C27" s="22">
        <f>INDEX(LINEST('Data Export2 Refine'!AH888:AH1137,CHOOSE({1,2},'Data Export2 Refine'!AF888:AF1137,'Data Export2 Refine'!AK888:AK1137),TRUE,TRUE),3,1)</f>
        <v>0.33772398751835986</v>
      </c>
    </row>
    <row r="28" spans="1:6" x14ac:dyDescent="0.55000000000000004">
      <c r="A28" s="20" t="s">
        <v>122</v>
      </c>
      <c r="B28" s="22">
        <f>B8*B27</f>
        <v>148.46488608046678</v>
      </c>
      <c r="C28" s="22">
        <f>C8*C27</f>
        <v>84.430996879589969</v>
      </c>
    </row>
    <row r="29" spans="1:6" x14ac:dyDescent="0.55000000000000004">
      <c r="A29" s="20" t="s">
        <v>116</v>
      </c>
      <c r="B29" s="22">
        <f>CHIDIST(B28,2)</f>
        <v>5.7711134176615505E-33</v>
      </c>
      <c r="C29" s="22">
        <f>CHIDIST(C28,2)</f>
        <v>4.6349171643635092E-19</v>
      </c>
    </row>
    <row r="30" spans="1:6" x14ac:dyDescent="0.55000000000000004">
      <c r="A30" s="20" t="s">
        <v>117</v>
      </c>
      <c r="B30" s="22">
        <f>CHIINV(B26,2)</f>
        <v>5.9914645471079817</v>
      </c>
      <c r="C30" s="22">
        <f>CHIINV(C26,2)</f>
        <v>5.9914645471079817</v>
      </c>
    </row>
    <row r="31" spans="1:6" x14ac:dyDescent="0.55000000000000004">
      <c r="A31" s="20" t="s">
        <v>123</v>
      </c>
      <c r="B31" s="22">
        <f>IF(B29=0,-300,LOG10(B29))</f>
        <v>-32.238740390570811</v>
      </c>
      <c r="C31" s="22">
        <f>IF(C29=0,-300,LOG10(C29))</f>
        <v>-18.333958023198299</v>
      </c>
    </row>
    <row r="32" spans="1:6" x14ac:dyDescent="0.55000000000000004">
      <c r="A32" s="24" t="s">
        <v>124</v>
      </c>
      <c r="B32" s="25" t="str">
        <f>IF(B28&gt;B30,"REJECT H₀","FAIL TO REJECT")</f>
        <v>REJECT H₀</v>
      </c>
    </row>
    <row r="33" spans="1:6" x14ac:dyDescent="0.55000000000000004">
      <c r="A33" s="24" t="s">
        <v>125</v>
      </c>
      <c r="C33" s="25" t="str">
        <f>IF(C28&gt;C30,"REJECT H₀","FAIL TO REJECT")</f>
        <v>REJECT H₀</v>
      </c>
    </row>
    <row r="34" spans="1:6" x14ac:dyDescent="0.55000000000000004">
      <c r="A34" s="16"/>
      <c r="B34" s="16"/>
      <c r="C34" s="16"/>
      <c r="D34" s="16"/>
      <c r="E34" s="16"/>
      <c r="F34" s="16"/>
    </row>
    <row r="35" spans="1:6" x14ac:dyDescent="0.55000000000000004">
      <c r="A35" s="124" t="s">
        <v>126</v>
      </c>
      <c r="B35" s="113"/>
      <c r="C35" s="113"/>
      <c r="D35" s="113"/>
      <c r="E35" s="113"/>
      <c r="F35" s="113"/>
    </row>
    <row r="36" spans="1:6" x14ac:dyDescent="0.55000000000000004">
      <c r="A36" s="26" t="s">
        <v>127</v>
      </c>
      <c r="B36" s="27">
        <f>IF(SUMPRODUCT(('Data Export2 Refine'!Y138:Y1137&lt;&gt;"")*1)&gt;0,SUMPRODUCT(('Data Export2 Refine'!Y138:Y1137&lt;&gt;"")*('Data Export2 Refine'!Y138:Y1137-'Data Export2 Refine'!Q138:Q1137))/SUMPRODUCT(('Data Export2 Refine'!Y138:Y1137&lt;&gt;"")*1),IF(SUMPRODUCT(('Data Export2 Refine'!X138:X1137&lt;&gt;"")*1)&gt;0,SUMPRODUCT(('Data Export2 Refine'!X138:X1137&lt;&gt;"")*('Data Export2 Refine'!X138:X1137-'Data Export2 Refine'!Q138:Q1137))/SUMPRODUCT(('Data Export2 Refine'!X138:X1137&lt;&gt;"")*1),SUMPRODUCT(('Data Export2 Refine'!W138:W1137&lt;&gt;"")*('Data Export2 Refine'!W138:W1137-'Data Export2 Refine'!Q138:Q1137))/SUMPRODUCT(('Data Export2 Refine'!W138:W1137&lt;&gt;"")*1)))</f>
        <v>-68.504766489999312</v>
      </c>
      <c r="C36" s="27">
        <f>IF(SUMPRODUCT(('Data Export2 Refine'!Y888:Y1137&lt;&gt;"")*1)&gt;0,SUMPRODUCT(('Data Export2 Refine'!Y888:Y1137&lt;&gt;"")*('Data Export2 Refine'!Y888:Y1137-'Data Export2 Refine'!Q888:Q1137))/SUMPRODUCT(('Data Export2 Refine'!Y888:Y1137&lt;&gt;"")*1),IF(SUMPRODUCT(('Data Export2 Refine'!X888:X1137&lt;&gt;"")*1)&gt;0,SUMPRODUCT(('Data Export2 Refine'!X888:X1137&lt;&gt;"")*('Data Export2 Refine'!X888:X1137-'Data Export2 Refine'!Q888:Q1137))/SUMPRODUCT(('Data Export2 Refine'!X888:X1137&lt;&gt;"")*1),SUMPRODUCT(('Data Export2 Refine'!W888:W1137&lt;&gt;"")*('Data Export2 Refine'!W888:W1137-'Data Export2 Refine'!Q888:Q1137))/SUMPRODUCT(('Data Export2 Refine'!W888:W1137&lt;&gt;"")*1)))</f>
        <v>-68.504766519999819</v>
      </c>
    </row>
    <row r="37" spans="1:6" x14ac:dyDescent="0.55000000000000004">
      <c r="A37" s="26" t="s">
        <v>128</v>
      </c>
      <c r="B37" s="27">
        <f>IF(SUMPRODUCT(('Data Export2 Refine'!U138:U1137&lt;&gt;"")*1)&gt;0,SUMPRODUCT(('Data Export2 Refine'!U138:U1137&lt;&gt;"")*('Data Export2 Refine'!U138:U1137-'Data Export2 Refine'!Q138:Q1137))/SUMPRODUCT(('Data Export2 Refine'!U138:U1137&lt;&gt;"")*1),IF(SUMPRODUCT(('Data Export2 Refine'!T138:T1137&lt;&gt;"")*1)&gt;0,SUMPRODUCT(('Data Export2 Refine'!T138:T1137&lt;&gt;"")*('Data Export2 Refine'!T138:T1137-'Data Export2 Refine'!Q138:Q1137))/SUMPRODUCT(('Data Export2 Refine'!T138:T1137&lt;&gt;"")*1),IF(SUMPRODUCT(('Data Export2 Refine'!S138:S1137&lt;&gt;"")*1)&gt;0,SUMPRODUCT(('Data Export2 Refine'!S138:S1137&lt;&gt;"")*('Data Export2 Refine'!S138:S1137-'Data Export2 Refine'!Q138:Q1137))/SUMPRODUCT(('Data Export2 Refine'!S138:S1137&lt;&gt;"")*1),SUMPRODUCT(('Data Export2 Refine'!R138:R1137&lt;&gt;"")*('Data Export2 Refine'!R138:R1137-'Data Export2 Refine'!Q138:Q1137))/SUMPRODUCT(('Data Export2 Refine'!R138:R1137&lt;&gt;"")*1))))</f>
        <v>55.952069699999477</v>
      </c>
      <c r="C37" s="27">
        <f>IF(SUMPRODUCT(('Data Export2 Refine'!U888:U1137&lt;&gt;"")*1)&gt;0,SUMPRODUCT(('Data Export2 Refine'!U888:U1137&lt;&gt;"")*('Data Export2 Refine'!U888:U1137-'Data Export2 Refine'!Q888:Q1137))/SUMPRODUCT(('Data Export2 Refine'!U888:U1137&lt;&gt;"")*1),IF(SUMPRODUCT(('Data Export2 Refine'!T888:T1137&lt;&gt;"")*1)&gt;0,SUMPRODUCT(('Data Export2 Refine'!T888:T1137&lt;&gt;"")*('Data Export2 Refine'!T888:T1137-'Data Export2 Refine'!Q888:Q1137))/SUMPRODUCT(('Data Export2 Refine'!T888:T1137&lt;&gt;"")*1),IF(SUMPRODUCT(('Data Export2 Refine'!S888:S1137&lt;&gt;"")*1)&gt;0,SUMPRODUCT(('Data Export2 Refine'!S888:S1137&lt;&gt;"")*('Data Export2 Refine'!S888:S1137-'Data Export2 Refine'!Q888:Q1137))/SUMPRODUCT(('Data Export2 Refine'!S888:S1137&lt;&gt;"")*1),SUMPRODUCT(('Data Export2 Refine'!R888:R1137&lt;&gt;"")*('Data Export2 Refine'!R888:R1137-'Data Export2 Refine'!Q888:Q1137))/SUMPRODUCT(('Data Export2 Refine'!R888:R1137&lt;&gt;"")*1))))</f>
        <v>55.952069679999752</v>
      </c>
    </row>
    <row r="38" spans="1:6" x14ac:dyDescent="0.55000000000000004">
      <c r="A38" s="47" t="s">
        <v>129</v>
      </c>
      <c r="B38" s="48">
        <f>IF(AND(B36&lt;0,B37&gt;0),(ABS(B36)+B37)/2,IF(B36&lt;0,ABS(B36),B37))</f>
        <v>62.228418094999398</v>
      </c>
      <c r="C38" s="48">
        <f>IF(AND(C36&lt;0,C37&gt;0),(ABS(C36)+C37)/2,IF(C36&lt;0,ABS(C36),C37))</f>
        <v>62.228418099999786</v>
      </c>
    </row>
    <row r="39" spans="1:6" x14ac:dyDescent="0.55000000000000004">
      <c r="A39" s="26" t="s">
        <v>130</v>
      </c>
      <c r="B39" s="28">
        <f>IF(B38&gt;0,MIN('Data Export2 Refine'!AG138:AG1137)/B38,"N/A")</f>
        <v>-1.3272002170120405</v>
      </c>
      <c r="C39" s="28">
        <f>IF(C38&gt;0,MIN('Data Export2 Refine'!AG888:AG1137)/C38,"N/A")</f>
        <v>-0.17652385092527711</v>
      </c>
    </row>
    <row r="40" spans="1:6" x14ac:dyDescent="0.55000000000000004">
      <c r="A40" s="26" t="s">
        <v>131</v>
      </c>
      <c r="B40" s="28">
        <f>IF(B38&gt;0,MAX('Data Export2 Refine'!AG138:AG1137)/B38,"N/A")</f>
        <v>1.7425284672102879</v>
      </c>
      <c r="C40" s="28">
        <f>IF(C38&gt;0,MAX('Data Export2 Refine'!AG888:AG1137)/C38,"N/A")</f>
        <v>1.7425284670702665</v>
      </c>
    </row>
    <row r="41" spans="1:6" x14ac:dyDescent="0.55000000000000004">
      <c r="A41" s="29" t="s">
        <v>132</v>
      </c>
      <c r="B41" s="30">
        <f>MAX('Data Export2 Refine'!AG138:AG1137)</f>
        <v>108.43479000000025</v>
      </c>
      <c r="C41" s="30">
        <f>MAX('Data Export2 Refine'!AG888:AG1137)</f>
        <v>108.43479000000025</v>
      </c>
    </row>
    <row r="42" spans="1:6" x14ac:dyDescent="0.55000000000000004">
      <c r="A42" s="29" t="s">
        <v>133</v>
      </c>
      <c r="B42" s="30">
        <f>MIN('Data Export2 Refine'!AG138:AG1137)</f>
        <v>-82.589569999999185</v>
      </c>
      <c r="C42" s="30">
        <f>MIN('Data Export2 Refine'!AG888:AG1137)</f>
        <v>-10.984800000000178</v>
      </c>
    </row>
    <row r="43" spans="1:6" x14ac:dyDescent="0.55000000000000004">
      <c r="A43" s="124" t="s">
        <v>134</v>
      </c>
      <c r="B43" s="113"/>
      <c r="C43" s="113"/>
      <c r="D43" s="113"/>
      <c r="E43" s="113"/>
      <c r="F43" s="113"/>
    </row>
    <row r="44" spans="1:6" x14ac:dyDescent="0.55000000000000004">
      <c r="A44" s="26" t="s">
        <v>135</v>
      </c>
      <c r="B44" s="31">
        <f>SUMPRODUCT(('Data Export2 Refine'!AD138:AD1137=1)*1)</f>
        <v>89</v>
      </c>
      <c r="C44" s="31">
        <f>SUMPRODUCT(('Data Export2 Refine'!AD888:AD1137=1)*1)</f>
        <v>20</v>
      </c>
    </row>
    <row r="45" spans="1:6" ht="52.5" x14ac:dyDescent="0.55000000000000004">
      <c r="A45" s="26" t="s">
        <v>136</v>
      </c>
      <c r="B45" s="27">
        <f>IFERROR(AVERAGEIF('Data Export2 Refine'!AM138:AM1137,"&lt;&gt;"),0)</f>
        <v>17.395167528089853</v>
      </c>
      <c r="C45" s="27">
        <f>IFERROR(AVERAGEIF('Data Export2 Refine'!AM888:AM1137,"&lt;&gt;"),0)</f>
        <v>22.1437884999998</v>
      </c>
      <c r="D45" s="32" t="s">
        <v>137</v>
      </c>
    </row>
    <row r="46" spans="1:6" x14ac:dyDescent="0.55000000000000004">
      <c r="A46" s="29" t="s">
        <v>138</v>
      </c>
      <c r="B46" s="30">
        <f>MAX('Data Export2 Refine'!AM138:AM1137)</f>
        <v>89.915750000000116</v>
      </c>
      <c r="C46" s="30">
        <f>MAX('Data Export2 Refine'!AM888:AM1137)</f>
        <v>83.996279999999388</v>
      </c>
    </row>
    <row r="47" spans="1:6" x14ac:dyDescent="0.55000000000000004">
      <c r="A47" s="16"/>
      <c r="B47" s="16"/>
      <c r="C47" s="16"/>
      <c r="D47" s="16"/>
      <c r="E47" s="16"/>
      <c r="F47" s="16"/>
    </row>
    <row r="48" spans="1:6" x14ac:dyDescent="0.55000000000000004">
      <c r="A48" s="126" t="s">
        <v>139</v>
      </c>
      <c r="B48" s="113"/>
      <c r="C48" s="113"/>
      <c r="D48" s="113"/>
      <c r="E48" s="113"/>
      <c r="F48" s="113"/>
    </row>
    <row r="49" spans="1:6" x14ac:dyDescent="0.55000000000000004">
      <c r="A49" s="33" t="s">
        <v>140</v>
      </c>
      <c r="B49" s="34" t="s">
        <v>141</v>
      </c>
      <c r="C49" s="34"/>
      <c r="D49" s="34" t="s">
        <v>142</v>
      </c>
      <c r="E49" s="34" t="s">
        <v>143</v>
      </c>
      <c r="F49" s="34" t="s">
        <v>103</v>
      </c>
    </row>
    <row r="50" spans="1:6" x14ac:dyDescent="0.55000000000000004">
      <c r="A50" s="35" t="s">
        <v>144</v>
      </c>
      <c r="B50" s="36">
        <f>IF(AND(B12&gt;0,B12&lt;9999),C12/B12,9999)</f>
        <v>1.8339667488510516</v>
      </c>
      <c r="D50" s="37">
        <f>MAX(-100,MIN(100,(1-B50)*100))</f>
        <v>-83.396674885105156</v>
      </c>
      <c r="E50" s="49">
        <v>50</v>
      </c>
      <c r="F50" s="50" t="str">
        <f>IF(D50&gt;=E50,"ALERT","—")</f>
        <v>—</v>
      </c>
    </row>
    <row r="51" spans="1:6" x14ac:dyDescent="0.55000000000000004">
      <c r="A51" s="35" t="s">
        <v>145</v>
      </c>
      <c r="B51" s="36">
        <f>IF(B9&gt;0,C9/B9,1)</f>
        <v>1.7936646921804147</v>
      </c>
      <c r="D51" s="37">
        <f>MAX(-100,MIN(0,-ABS(B51-1)*100))</f>
        <v>-79.366469218041473</v>
      </c>
      <c r="E51" s="49">
        <v>-50</v>
      </c>
      <c r="F51" s="50" t="str">
        <f>IF(D51&lt;=E51,"ALERT","—")</f>
        <v>ALERT</v>
      </c>
    </row>
    <row r="52" spans="1:6" x14ac:dyDescent="0.55000000000000004">
      <c r="A52" s="35" t="s">
        <v>146</v>
      </c>
      <c r="B52" s="36">
        <f>IF(AND(ISNUMBER(B39),ISNUMBER(C39),B39&lt;0,C39&lt;0),C39/B39,1)</f>
        <v>0.13300468811155691</v>
      </c>
      <c r="D52" s="37">
        <f>MAX(-100,MIN(100,(1-B52)*100))</f>
        <v>86.699531188844304</v>
      </c>
      <c r="E52" s="49">
        <v>60</v>
      </c>
      <c r="F52" s="50" t="str">
        <f>IF(D52&gt;=E52,"ALERT","—")</f>
        <v>ALERT</v>
      </c>
    </row>
    <row r="53" spans="1:6" x14ac:dyDescent="0.55000000000000004">
      <c r="A53" s="35" t="s">
        <v>147</v>
      </c>
      <c r="B53" s="36">
        <f>IF(AND(ISNUMBER(B40),ISNUMBER(C40),B40&gt;0,C40&gt;0),C40/B40,1)</f>
        <v>0.99999999991964472</v>
      </c>
      <c r="D53" s="37">
        <f>MAX(-100,MIN(100,(1-B53)*100))</f>
        <v>8.035527798710973E-9</v>
      </c>
      <c r="E53" s="49">
        <v>60</v>
      </c>
      <c r="F53" s="50" t="str">
        <f>IF(D53&gt;=E53,"ALERT","—")</f>
        <v>—</v>
      </c>
    </row>
    <row r="54" spans="1:6" x14ac:dyDescent="0.55000000000000004">
      <c r="A54" s="35" t="s">
        <v>148</v>
      </c>
      <c r="B54" s="36">
        <f>IF(B45&gt;0,C45/B45,1)</f>
        <v>1.2729850669297571</v>
      </c>
      <c r="D54" s="37">
        <f>MAX(-100,MIN(100,(B54-1)*200))</f>
        <v>54.597013385951421</v>
      </c>
      <c r="E54" s="49">
        <v>50</v>
      </c>
      <c r="F54" s="50" t="str">
        <f>IF(D54&gt;=E54,"ALERT","—")</f>
        <v>ALERT</v>
      </c>
    </row>
    <row r="55" spans="1:6" x14ac:dyDescent="0.55000000000000004">
      <c r="A55" s="35" t="s">
        <v>149</v>
      </c>
      <c r="B55" s="36">
        <f>IF(B13&gt;0.001,C13/B13,0)</f>
        <v>0.60124246765325307</v>
      </c>
      <c r="D55" s="37">
        <f>MAX(-100,MIN(100,(B55-1)*100))</f>
        <v>-39.87575323467469</v>
      </c>
      <c r="E55" s="49">
        <v>-50</v>
      </c>
      <c r="F55" s="50" t="str">
        <f>IF(D55&lt;=E55,"ALERT","—")</f>
        <v>—</v>
      </c>
    </row>
    <row r="56" spans="1:6" x14ac:dyDescent="0.55000000000000004">
      <c r="A56" s="35" t="s">
        <v>150</v>
      </c>
      <c r="B56" s="36">
        <f>C31-B31</f>
        <v>13.904782367372512</v>
      </c>
      <c r="D56" s="37">
        <f>MAX(-100,MIN(100,B56*5))</f>
        <v>69.523911836862567</v>
      </c>
      <c r="E56" s="49">
        <v>50</v>
      </c>
      <c r="F56" s="50" t="str">
        <f>IF(D56&gt;=E56,"ALERT","—")</f>
        <v>ALERT</v>
      </c>
    </row>
    <row r="57" spans="1:6" x14ac:dyDescent="0.55000000000000004">
      <c r="A57" s="35" t="s">
        <v>151</v>
      </c>
      <c r="B57" s="36">
        <f>IF(B19&gt;0,C19/B19,1)</f>
        <v>0.27941981384928077</v>
      </c>
      <c r="D57" s="37">
        <f>MAX(-100,MIN(100,(1-B57)*100))</f>
        <v>72.05801861507193</v>
      </c>
      <c r="E57" s="49">
        <v>-30</v>
      </c>
      <c r="F57" s="50" t="str">
        <f>IF(D57&lt;=E57,"ALERT","—")</f>
        <v>—</v>
      </c>
    </row>
    <row r="58" spans="1:6" x14ac:dyDescent="0.55000000000000004">
      <c r="A58" s="16"/>
      <c r="B58" s="16"/>
      <c r="C58" s="16"/>
      <c r="D58" s="16"/>
      <c r="E58" s="16"/>
      <c r="F58" s="16"/>
    </row>
    <row r="59" spans="1:6" x14ac:dyDescent="0.55000000000000004">
      <c r="A59" s="121" t="s">
        <v>152</v>
      </c>
      <c r="B59" s="113"/>
      <c r="C59" s="113"/>
      <c r="D59" s="113"/>
      <c r="E59" s="113"/>
      <c r="F59" s="113"/>
    </row>
    <row r="60" spans="1:6" x14ac:dyDescent="0.55000000000000004">
      <c r="A60" s="121" t="s">
        <v>153</v>
      </c>
      <c r="B60" s="113"/>
      <c r="C60" s="113"/>
      <c r="D60" s="38">
        <f>0.25*D50+0.1*D51+0.1*D52+0.1*D53+0.2*D54+0.1*D55+0.1*D56+0.05*D57</f>
        <v>-2.6287430552297826</v>
      </c>
    </row>
    <row r="61" spans="1:6" ht="28" customHeight="1" x14ac:dyDescent="0.55000000000000004">
      <c r="A61" s="123" t="s">
        <v>154</v>
      </c>
      <c r="B61" s="113"/>
      <c r="C61" s="113"/>
      <c r="D61" s="39" t="str">
        <f>IF(D60&gt;50,"STRONG BREAKOUT SETUP",IF(D60&gt;20,"MODERATE SETUP — watch for trigger",IF(D60&gt;0,"MILD POSITIVE — early signs",IF(D60&gt;-20,"MIXED — signals conflicting",IF(D60&gt;-50,"STRUCTURAL WEAKNESS","HIGH CAUTION / TREND INTACT")))))</f>
        <v>MIXED — signals conflicting</v>
      </c>
    </row>
  </sheetData>
  <mergeCells count="13">
    <mergeCell ref="A2:F2"/>
    <mergeCell ref="A60:C60"/>
    <mergeCell ref="A1:F1"/>
    <mergeCell ref="A61:C61"/>
    <mergeCell ref="A35:F35"/>
    <mergeCell ref="A4:F4"/>
    <mergeCell ref="A48:F48"/>
    <mergeCell ref="A3:F3"/>
    <mergeCell ref="A59:F59"/>
    <mergeCell ref="A15:F15"/>
    <mergeCell ref="A7:F7"/>
    <mergeCell ref="A25:F25"/>
    <mergeCell ref="A43:F43"/>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38"/>
  <sheetViews>
    <sheetView workbookViewId="0">
      <selection sqref="A1:G1"/>
    </sheetView>
  </sheetViews>
  <sheetFormatPr defaultRowHeight="14.4" x14ac:dyDescent="0.55000000000000004"/>
  <cols>
    <col min="1" max="1" width="38" customWidth="1"/>
    <col min="2" max="7" width="15" customWidth="1"/>
  </cols>
  <sheetData>
    <row r="1" spans="1:7" ht="22" customHeight="1" x14ac:dyDescent="0.55000000000000004">
      <c r="A1" s="122" t="s">
        <v>159</v>
      </c>
      <c r="B1" s="113"/>
      <c r="C1" s="113"/>
      <c r="D1" s="113"/>
      <c r="E1" s="113"/>
      <c r="F1" s="113"/>
      <c r="G1" s="113"/>
    </row>
    <row r="2" spans="1:7" ht="36" customHeight="1" x14ac:dyDescent="0.55000000000000004">
      <c r="A2" s="125" t="s">
        <v>160</v>
      </c>
      <c r="B2" s="113"/>
      <c r="C2" s="113"/>
      <c r="D2" s="113"/>
      <c r="E2" s="113"/>
      <c r="F2" s="113"/>
      <c r="G2" s="113"/>
    </row>
    <row r="3" spans="1:7" x14ac:dyDescent="0.55000000000000004">
      <c r="A3" s="40" t="s">
        <v>98</v>
      </c>
      <c r="B3" s="19" t="s">
        <v>161</v>
      </c>
      <c r="C3" s="41" t="s">
        <v>162</v>
      </c>
      <c r="D3" s="19" t="s">
        <v>163</v>
      </c>
      <c r="E3" s="41" t="s">
        <v>164</v>
      </c>
      <c r="F3" s="19" t="s">
        <v>165</v>
      </c>
      <c r="G3" s="41" t="s">
        <v>166</v>
      </c>
    </row>
    <row r="4" spans="1:7" x14ac:dyDescent="0.55000000000000004">
      <c r="A4" s="128" t="s">
        <v>167</v>
      </c>
      <c r="B4" s="113"/>
      <c r="C4" s="113"/>
      <c r="D4" s="113"/>
      <c r="E4" s="113"/>
      <c r="F4" s="113"/>
      <c r="G4" s="113"/>
    </row>
    <row r="5" spans="1:7" x14ac:dyDescent="0.55000000000000004">
      <c r="A5" s="24" t="s">
        <v>168</v>
      </c>
      <c r="B5" s="42">
        <f>MACD_H2_Int1!B8</f>
        <v>1000</v>
      </c>
      <c r="C5" s="42">
        <f>MACD_H2_Int1!C8</f>
        <v>250</v>
      </c>
      <c r="D5" s="42">
        <f>MACD_H2_Int2!B8</f>
        <v>1000</v>
      </c>
      <c r="E5" s="42">
        <f>MACD_H2_Int2!C8</f>
        <v>250</v>
      </c>
      <c r="F5" s="42">
        <f>MACD_H2_Int3!B8</f>
        <v>1000</v>
      </c>
      <c r="G5" s="42">
        <f>MACD_H2_Int3!C8</f>
        <v>250</v>
      </c>
    </row>
    <row r="6" spans="1:7" x14ac:dyDescent="0.55000000000000004">
      <c r="A6" s="24" t="s">
        <v>169</v>
      </c>
      <c r="B6" s="43">
        <f>MACD_H2_Int1!B10</f>
        <v>41.090019383111596</v>
      </c>
      <c r="C6" s="43">
        <f>MACD_H2_Int1!C10</f>
        <v>35.036436587991226</v>
      </c>
      <c r="D6" s="43">
        <f>MACD_H2_Int2!B10</f>
        <v>41.090019383111596</v>
      </c>
      <c r="E6" s="43">
        <f>MACD_H2_Int2!C10</f>
        <v>36.057789331341525</v>
      </c>
      <c r="F6" s="43">
        <f>MACD_H2_Int3!B10</f>
        <v>41.090019383111596</v>
      </c>
      <c r="G6" s="43">
        <f>MACD_H2_Int3!C10</f>
        <v>55.030945647009474</v>
      </c>
    </row>
    <row r="7" spans="1:7" x14ac:dyDescent="0.55000000000000004">
      <c r="A7" s="24" t="s">
        <v>109</v>
      </c>
      <c r="B7" s="43">
        <f>MACD_H2_Int1!B12</f>
        <v>52.47744543031213</v>
      </c>
      <c r="C7" s="43">
        <f>MACD_H2_Int1!C12</f>
        <v>37.067872389651342</v>
      </c>
      <c r="D7" s="43">
        <f>MACD_H2_Int2!B12</f>
        <v>52.47744543031213</v>
      </c>
      <c r="E7" s="43">
        <f>MACD_H2_Int2!C12</f>
        <v>33.719748247479231</v>
      </c>
      <c r="F7" s="43">
        <f>MACD_H2_Int3!B12</f>
        <v>52.47744543031213</v>
      </c>
      <c r="G7" s="43">
        <f>MACD_H2_Int3!C12</f>
        <v>96.241889983838007</v>
      </c>
    </row>
    <row r="8" spans="1:7" x14ac:dyDescent="0.55000000000000004">
      <c r="A8" s="24" t="s">
        <v>170</v>
      </c>
      <c r="B8" s="44">
        <f>MACD_H2_Int1!B13</f>
        <v>0.82574393393331202</v>
      </c>
      <c r="C8" s="44">
        <f>MACD_H2_Int1!C13</f>
        <v>5.0655973043909584E-2</v>
      </c>
      <c r="D8" s="44">
        <f>MACD_H2_Int2!B13</f>
        <v>0.82574393393331202</v>
      </c>
      <c r="E8" s="44">
        <f>MACD_H2_Int2!C13</f>
        <v>0.81043123516420668</v>
      </c>
      <c r="F8" s="44">
        <f>MACD_H2_Int3!B13</f>
        <v>0.82574393393331202</v>
      </c>
      <c r="G8" s="44">
        <f>MACD_H2_Int3!C13</f>
        <v>0.49647232048776929</v>
      </c>
    </row>
    <row r="9" spans="1:7" x14ac:dyDescent="0.55000000000000004">
      <c r="A9" s="24" t="s">
        <v>171</v>
      </c>
      <c r="B9" s="44">
        <f>MACD_H2_Int1!B19</f>
        <v>33.369498199963111</v>
      </c>
      <c r="C9" s="44">
        <f>MACD_H2_Int1!C19</f>
        <v>16.313622261908677</v>
      </c>
      <c r="D9" s="44">
        <f>MACD_H2_Int2!B19</f>
        <v>33.369498199963111</v>
      </c>
      <c r="E9" s="44">
        <f>MACD_H2_Int2!C19</f>
        <v>18.550156493915221</v>
      </c>
      <c r="F9" s="44">
        <f>MACD_H2_Int3!B19</f>
        <v>33.369498199963111</v>
      </c>
      <c r="G9" s="44">
        <f>MACD_H2_Int3!C19</f>
        <v>9.324098975277602</v>
      </c>
    </row>
    <row r="10" spans="1:7" x14ac:dyDescent="0.55000000000000004">
      <c r="A10" s="24" t="s">
        <v>172</v>
      </c>
      <c r="B10" s="44">
        <f>MACD_H2_Int1!B20</f>
        <v>5.6742116871812132E-8</v>
      </c>
      <c r="C10" s="44">
        <f>MACD_H2_Int1!C20</f>
        <v>2.8677542753670658E-4</v>
      </c>
      <c r="D10" s="44">
        <f>MACD_H2_Int2!B20</f>
        <v>5.6742116871812132E-8</v>
      </c>
      <c r="E10" s="44">
        <f>MACD_H2_Int2!C20</f>
        <v>9.37313124399188E-5</v>
      </c>
      <c r="F10" s="44">
        <f>MACD_H2_Int3!B20</f>
        <v>5.6742116871812132E-8</v>
      </c>
      <c r="G10" s="44">
        <f>MACD_H2_Int3!C20</f>
        <v>9.4470808719218854E-3</v>
      </c>
    </row>
    <row r="11" spans="1:7" x14ac:dyDescent="0.55000000000000004">
      <c r="A11" s="24" t="s">
        <v>123</v>
      </c>
      <c r="B11" s="44">
        <f>MACD_H2_Int1!B31</f>
        <v>-32.238740390570811</v>
      </c>
      <c r="C11" s="44">
        <f>MACD_H2_Int1!C31</f>
        <v>-33.107995104438935</v>
      </c>
      <c r="D11" s="44">
        <f>MACD_H2_Int2!B31</f>
        <v>-32.238740390570811</v>
      </c>
      <c r="E11" s="44">
        <f>MACD_H2_Int2!C31</f>
        <v>-2.571506355668729</v>
      </c>
      <c r="F11" s="44">
        <f>MACD_H2_Int3!B31</f>
        <v>-32.238740390570811</v>
      </c>
      <c r="G11" s="44">
        <f>MACD_H2_Int3!C31</f>
        <v>-18.333958023198299</v>
      </c>
    </row>
    <row r="12" spans="1:7" x14ac:dyDescent="0.55000000000000004">
      <c r="A12" s="24" t="s">
        <v>173</v>
      </c>
      <c r="B12" s="43">
        <f>MACD_H2_Int1!B36</f>
        <v>-68.504766489999312</v>
      </c>
      <c r="C12" s="43">
        <f>MACD_H2_Int1!C36</f>
        <v>-68.504766439999813</v>
      </c>
      <c r="D12" s="43">
        <f>MACD_H2_Int2!B36</f>
        <v>-68.504766489999312</v>
      </c>
      <c r="E12" s="43">
        <f>MACD_H2_Int2!C36</f>
        <v>-68.504766519999805</v>
      </c>
      <c r="F12" s="43">
        <f>MACD_H2_Int3!B36</f>
        <v>-68.504766489999312</v>
      </c>
      <c r="G12" s="43">
        <f>MACD_H2_Int3!C36</f>
        <v>-68.504766519999819</v>
      </c>
    </row>
    <row r="13" spans="1:7" x14ac:dyDescent="0.55000000000000004">
      <c r="A13" s="24" t="s">
        <v>174</v>
      </c>
      <c r="B13" s="43">
        <f>MACD_H2_Int1!B37</f>
        <v>55.952069699999477</v>
      </c>
      <c r="C13" s="43">
        <f>MACD_H2_Int1!C37</f>
        <v>55.952069759999752</v>
      </c>
      <c r="D13" s="43">
        <f>MACD_H2_Int2!B37</f>
        <v>55.952069699999477</v>
      </c>
      <c r="E13" s="43">
        <f>MACD_H2_Int2!C37</f>
        <v>55.952069679999752</v>
      </c>
      <c r="F13" s="43">
        <f>MACD_H2_Int3!B37</f>
        <v>55.952069699999477</v>
      </c>
      <c r="G13" s="43">
        <f>MACD_H2_Int3!C37</f>
        <v>55.952069679999752</v>
      </c>
    </row>
    <row r="14" spans="1:7" x14ac:dyDescent="0.55000000000000004">
      <c r="A14" s="24" t="s">
        <v>175</v>
      </c>
      <c r="B14" s="43">
        <f>MACD_H2_Int1!B38</f>
        <v>62.228418094999398</v>
      </c>
      <c r="C14" s="43">
        <f>MACD_H2_Int1!C38</f>
        <v>62.228418099999786</v>
      </c>
      <c r="D14" s="43">
        <f>MACD_H2_Int2!B38</f>
        <v>62.228418094999398</v>
      </c>
      <c r="E14" s="43">
        <f>MACD_H2_Int2!C38</f>
        <v>62.228418099999779</v>
      </c>
      <c r="F14" s="43">
        <f>MACD_H2_Int3!B38</f>
        <v>62.228418094999398</v>
      </c>
      <c r="G14" s="43">
        <f>MACD_H2_Int3!C38</f>
        <v>62.228418099999786</v>
      </c>
    </row>
    <row r="15" spans="1:7" x14ac:dyDescent="0.55000000000000004">
      <c r="A15" s="24" t="s">
        <v>176</v>
      </c>
      <c r="B15" s="44">
        <f>MACD_H2_Int1!B39</f>
        <v>-1.3272002170120405</v>
      </c>
      <c r="C15" s="44">
        <f>MACD_H2_Int1!C39</f>
        <v>-0.34565638428144518</v>
      </c>
      <c r="D15" s="44">
        <f>MACD_H2_Int2!B39</f>
        <v>-1.3272002170120405</v>
      </c>
      <c r="E15" s="44">
        <f>MACD_H2_Int2!C39</f>
        <v>-1.3272002169053929</v>
      </c>
      <c r="F15" s="44">
        <f>MACD_H2_Int3!B39</f>
        <v>-1.3272002170120405</v>
      </c>
      <c r="G15" s="44">
        <f>MACD_H2_Int3!C39</f>
        <v>-0.17652385092527711</v>
      </c>
    </row>
    <row r="16" spans="1:7" x14ac:dyDescent="0.55000000000000004">
      <c r="A16" s="24" t="s">
        <v>177</v>
      </c>
      <c r="B16" s="44">
        <f>MACD_H2_Int1!B40</f>
        <v>1.7425284672102879</v>
      </c>
      <c r="C16" s="44">
        <f>MACD_H2_Int1!C40</f>
        <v>1.1418757244610036</v>
      </c>
      <c r="D16" s="44">
        <f>MACD_H2_Int2!B40</f>
        <v>1.7425284672102879</v>
      </c>
      <c r="E16" s="44">
        <f>MACD_H2_Int2!C40</f>
        <v>0.9873341131903226</v>
      </c>
      <c r="F16" s="44">
        <f>MACD_H2_Int3!B40</f>
        <v>1.7425284672102879</v>
      </c>
      <c r="G16" s="44">
        <f>MACD_H2_Int3!C40</f>
        <v>1.7425284670702665</v>
      </c>
    </row>
    <row r="17" spans="1:7" x14ac:dyDescent="0.55000000000000004">
      <c r="A17" s="24" t="s">
        <v>178</v>
      </c>
      <c r="B17" s="42">
        <f>MACD_H2_Int1!B44</f>
        <v>89</v>
      </c>
      <c r="C17" s="42">
        <f>MACD_H2_Int1!C44</f>
        <v>27</v>
      </c>
      <c r="D17" s="42">
        <f>MACD_H2_Int2!B44</f>
        <v>89</v>
      </c>
      <c r="E17" s="42">
        <f>MACD_H2_Int2!C44</f>
        <v>21</v>
      </c>
      <c r="F17" s="42">
        <f>MACD_H2_Int3!B44</f>
        <v>89</v>
      </c>
      <c r="G17" s="42">
        <f>MACD_H2_Int3!C44</f>
        <v>20</v>
      </c>
    </row>
    <row r="18" spans="1:7" x14ac:dyDescent="0.55000000000000004">
      <c r="A18" s="24" t="s">
        <v>179</v>
      </c>
      <c r="B18" s="43">
        <f>MACD_H2_Int1!B45</f>
        <v>17.395167528089853</v>
      </c>
      <c r="C18" s="43">
        <f>MACD_H2_Int1!C45</f>
        <v>14.525732222222191</v>
      </c>
      <c r="D18" s="43">
        <f>MACD_H2_Int2!B45</f>
        <v>17.395167528089853</v>
      </c>
      <c r="E18" s="43">
        <f>MACD_H2_Int2!C45</f>
        <v>18.16829666666672</v>
      </c>
      <c r="F18" s="43">
        <f>MACD_H2_Int3!B45</f>
        <v>17.395167528089853</v>
      </c>
      <c r="G18" s="43">
        <f>MACD_H2_Int3!C45</f>
        <v>22.1437884999998</v>
      </c>
    </row>
    <row r="19" spans="1:7" x14ac:dyDescent="0.55000000000000004">
      <c r="A19" s="24" t="s">
        <v>180</v>
      </c>
      <c r="B19" s="43">
        <f>MACD_H2_Int1!B46</f>
        <v>89.915750000000116</v>
      </c>
      <c r="C19" s="43">
        <f>MACD_H2_Int1!C46</f>
        <v>44.361119999999573</v>
      </c>
      <c r="D19" s="43">
        <f>MACD_H2_Int2!B46</f>
        <v>89.915750000000116</v>
      </c>
      <c r="E19" s="43">
        <f>MACD_H2_Int2!C46</f>
        <v>89.915750000000116</v>
      </c>
      <c r="F19" s="43">
        <f>MACD_H2_Int3!B46</f>
        <v>89.915750000000116</v>
      </c>
      <c r="G19" s="43">
        <f>MACD_H2_Int3!C46</f>
        <v>83.996279999999388</v>
      </c>
    </row>
    <row r="21" spans="1:7" x14ac:dyDescent="0.55000000000000004">
      <c r="A21" s="126" t="s">
        <v>181</v>
      </c>
      <c r="B21" s="113"/>
      <c r="C21" s="113"/>
      <c r="D21" s="113"/>
      <c r="E21" s="113"/>
      <c r="F21" s="113"/>
      <c r="G21" s="113"/>
    </row>
    <row r="22" spans="1:7" x14ac:dyDescent="0.55000000000000004">
      <c r="A22" s="45" t="s">
        <v>182</v>
      </c>
      <c r="B22" s="129">
        <f>MACD_H2_Int1!D50</f>
        <v>29.364182868093426</v>
      </c>
      <c r="C22" s="113"/>
      <c r="D22" s="129">
        <f>MACD_H2_Int2!D50</f>
        <v>35.744303155423871</v>
      </c>
      <c r="E22" s="113"/>
      <c r="F22" s="129">
        <f>MACD_H2_Int3!D50</f>
        <v>-83.396674885105156</v>
      </c>
      <c r="G22" s="113"/>
    </row>
    <row r="23" spans="1:7" x14ac:dyDescent="0.55000000000000004">
      <c r="A23" s="45" t="s">
        <v>183</v>
      </c>
      <c r="B23" s="129">
        <f>MACD_H2_Int1!D51</f>
        <v>-27.294516547740287</v>
      </c>
      <c r="C23" s="113"/>
      <c r="D23" s="129">
        <f>MACD_H2_Int2!D51</f>
        <v>-22.993833892294568</v>
      </c>
      <c r="E23" s="113"/>
      <c r="F23" s="129">
        <f>MACD_H2_Int3!D51</f>
        <v>-79.366469218041473</v>
      </c>
      <c r="G23" s="113"/>
    </row>
    <row r="24" spans="1:7" x14ac:dyDescent="0.55000000000000004">
      <c r="A24" s="45" t="s">
        <v>184</v>
      </c>
      <c r="B24" s="129">
        <f>MACD_H2_Int1!D52</f>
        <v>73.95597289310048</v>
      </c>
      <c r="C24" s="113"/>
      <c r="D24" s="129">
        <f>MACD_H2_Int2!D52</f>
        <v>8.035527798710973E-9</v>
      </c>
      <c r="E24" s="113"/>
      <c r="F24" s="129">
        <f>MACD_H2_Int3!D52</f>
        <v>86.699531188844304</v>
      </c>
      <c r="G24" s="113"/>
    </row>
    <row r="25" spans="1:7" x14ac:dyDescent="0.55000000000000004">
      <c r="A25" s="45" t="s">
        <v>185</v>
      </c>
      <c r="B25" s="129">
        <f>MACD_H2_Int1!D53</f>
        <v>34.47018249927951</v>
      </c>
      <c r="C25" s="113"/>
      <c r="D25" s="129">
        <f>MACD_H2_Int2!D53</f>
        <v>43.3389966494492</v>
      </c>
      <c r="E25" s="113"/>
      <c r="F25" s="129">
        <f>MACD_H2_Int3!D53</f>
        <v>8.035527798710973E-9</v>
      </c>
      <c r="G25" s="113"/>
    </row>
    <row r="26" spans="1:7" x14ac:dyDescent="0.55000000000000004">
      <c r="A26" s="45" t="s">
        <v>186</v>
      </c>
      <c r="B26" s="129">
        <f>MACD_H2_Int1!D54</f>
        <v>-32.991177592674248</v>
      </c>
      <c r="C26" s="113"/>
      <c r="D26" s="129">
        <f>MACD_H2_Int2!D54</f>
        <v>8.8890105522514862</v>
      </c>
      <c r="E26" s="113"/>
      <c r="F26" s="129">
        <f>MACD_H2_Int3!D54</f>
        <v>54.597013385951421</v>
      </c>
      <c r="G26" s="113"/>
    </row>
    <row r="27" spans="1:7" x14ac:dyDescent="0.55000000000000004">
      <c r="A27" s="45" t="s">
        <v>187</v>
      </c>
      <c r="B27" s="129">
        <f>MACD_H2_Int1!D55</f>
        <v>-93.865413845353103</v>
      </c>
      <c r="C27" s="113"/>
      <c r="D27" s="129">
        <f>MACD_H2_Int2!D55</f>
        <v>-1.8544125048749138</v>
      </c>
      <c r="E27" s="113"/>
      <c r="F27" s="129">
        <f>MACD_H2_Int3!D55</f>
        <v>-39.87575323467469</v>
      </c>
      <c r="G27" s="113"/>
    </row>
    <row r="28" spans="1:7" x14ac:dyDescent="0.55000000000000004">
      <c r="A28" s="45" t="s">
        <v>188</v>
      </c>
      <c r="B28" s="129">
        <f>MACD_H2_Int1!D56</f>
        <v>-4.3462735693406174</v>
      </c>
      <c r="C28" s="113"/>
      <c r="D28" s="129">
        <f>MACD_H2_Int2!D56</f>
        <v>100</v>
      </c>
      <c r="E28" s="113"/>
      <c r="F28" s="129">
        <f>MACD_H2_Int3!D56</f>
        <v>69.523911836862567</v>
      </c>
      <c r="G28" s="113"/>
    </row>
    <row r="29" spans="1:7" x14ac:dyDescent="0.55000000000000004">
      <c r="A29" s="45" t="s">
        <v>189</v>
      </c>
      <c r="B29" s="129">
        <f>MACD_H2_Int1!D57</f>
        <v>51.112173865633046</v>
      </c>
      <c r="C29" s="113"/>
      <c r="D29" s="129">
        <f>MACD_H2_Int2!D57</f>
        <v>44.409842836846344</v>
      </c>
      <c r="E29" s="113"/>
      <c r="F29" s="129">
        <f>MACD_H2_Int3!D57</f>
        <v>72.05801861507193</v>
      </c>
      <c r="G29" s="113"/>
    </row>
    <row r="30" spans="1:7" x14ac:dyDescent="0.55000000000000004">
      <c r="A30" s="17" t="s">
        <v>190</v>
      </c>
      <c r="B30" s="134">
        <f>MACD_H2_Int1!D60</f>
        <v>1.5904140347647577</v>
      </c>
      <c r="C30" s="113"/>
      <c r="D30" s="134">
        <f>MACD_H2_Int2!D60</f>
        <v>24.783445067180107</v>
      </c>
      <c r="E30" s="113"/>
      <c r="F30" s="134">
        <f>MACD_H2_Int3!D60</f>
        <v>-2.6287430552297826</v>
      </c>
      <c r="G30" s="113"/>
    </row>
    <row r="31" spans="1:7" x14ac:dyDescent="0.55000000000000004">
      <c r="A31" s="46" t="s">
        <v>191</v>
      </c>
      <c r="B31" s="132" t="str">
        <f>MACD_H2_Int1!D61</f>
        <v>MILD POSITIVE — early signs</v>
      </c>
      <c r="C31" s="113"/>
      <c r="D31" s="132" t="str">
        <f>MACD_H2_Int2!D61</f>
        <v>MODERATE SETUP — watch for trigger</v>
      </c>
      <c r="E31" s="113"/>
      <c r="F31" s="132" t="str">
        <f>MACD_H2_Int3!D61</f>
        <v>MIXED — signals conflicting</v>
      </c>
      <c r="G31" s="113"/>
    </row>
    <row r="33" spans="1:7" x14ac:dyDescent="0.55000000000000004">
      <c r="A33" s="133" t="s">
        <v>192</v>
      </c>
      <c r="B33" s="113"/>
      <c r="C33" s="113"/>
      <c r="D33" s="113"/>
      <c r="E33" s="113"/>
      <c r="F33" s="113"/>
      <c r="G33" s="113"/>
    </row>
    <row r="34" spans="1:7" ht="60" customHeight="1" x14ac:dyDescent="0.55000000000000004">
      <c r="A34" s="130" t="s">
        <v>193</v>
      </c>
      <c r="B34" s="113"/>
      <c r="C34" s="113"/>
      <c r="D34" s="113"/>
      <c r="E34" s="113"/>
      <c r="F34" s="113"/>
      <c r="G34" s="113"/>
    </row>
    <row r="35" spans="1:7" ht="60" customHeight="1" x14ac:dyDescent="0.55000000000000004">
      <c r="A35" s="130" t="s">
        <v>194</v>
      </c>
      <c r="B35" s="113"/>
      <c r="C35" s="113"/>
      <c r="D35" s="113"/>
      <c r="E35" s="113"/>
      <c r="F35" s="113"/>
      <c r="G35" s="113"/>
    </row>
    <row r="36" spans="1:7" ht="60" customHeight="1" x14ac:dyDescent="0.55000000000000004">
      <c r="A36" s="130" t="s">
        <v>195</v>
      </c>
      <c r="B36" s="113"/>
      <c r="C36" s="113"/>
      <c r="D36" s="113"/>
      <c r="E36" s="113"/>
      <c r="F36" s="113"/>
      <c r="G36" s="113"/>
    </row>
    <row r="38" spans="1:7" ht="72" customHeight="1" x14ac:dyDescent="0.55000000000000004">
      <c r="A38" s="131" t="s">
        <v>196</v>
      </c>
      <c r="B38" s="113"/>
      <c r="C38" s="113"/>
      <c r="D38" s="113"/>
      <c r="E38" s="113"/>
      <c r="F38" s="113"/>
      <c r="G38" s="113"/>
    </row>
  </sheetData>
  <mergeCells count="39">
    <mergeCell ref="A2:G2"/>
    <mergeCell ref="B26:C26"/>
    <mergeCell ref="D26:E26"/>
    <mergeCell ref="A1:G1"/>
    <mergeCell ref="B29:C29"/>
    <mergeCell ref="F23:G23"/>
    <mergeCell ref="B28:C28"/>
    <mergeCell ref="F31:G31"/>
    <mergeCell ref="D28:E28"/>
    <mergeCell ref="F22:G22"/>
    <mergeCell ref="F28:G28"/>
    <mergeCell ref="F27:G27"/>
    <mergeCell ref="D25:E25"/>
    <mergeCell ref="B24:C24"/>
    <mergeCell ref="B30:C30"/>
    <mergeCell ref="D24:E24"/>
    <mergeCell ref="D30:E30"/>
    <mergeCell ref="A21:G21"/>
    <mergeCell ref="D29:E29"/>
    <mergeCell ref="A38:G38"/>
    <mergeCell ref="D22:E22"/>
    <mergeCell ref="B31:C31"/>
    <mergeCell ref="B27:C27"/>
    <mergeCell ref="D31:E31"/>
    <mergeCell ref="A33:G33"/>
    <mergeCell ref="F24:G24"/>
    <mergeCell ref="F30:G30"/>
    <mergeCell ref="D27:E27"/>
    <mergeCell ref="A34:G34"/>
    <mergeCell ref="B23:C23"/>
    <mergeCell ref="F26:G26"/>
    <mergeCell ref="A36:G36"/>
    <mergeCell ref="D23:E23"/>
    <mergeCell ref="B25:C25"/>
    <mergeCell ref="F29:G29"/>
    <mergeCell ref="F25:G25"/>
    <mergeCell ref="A35:G35"/>
    <mergeCell ref="A4:G4"/>
    <mergeCell ref="B22:C22"/>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70"/>
  <sheetViews>
    <sheetView workbookViewId="0">
      <selection sqref="A1:F1"/>
    </sheetView>
  </sheetViews>
  <sheetFormatPr defaultRowHeight="14.4" x14ac:dyDescent="0.55000000000000004"/>
  <cols>
    <col min="1" max="1" width="22" customWidth="1"/>
    <col min="2" max="2" width="24" customWidth="1"/>
    <col min="3" max="3" width="44" customWidth="1"/>
    <col min="4" max="4" width="48" customWidth="1"/>
    <col min="5" max="5" width="17" customWidth="1"/>
    <col min="6" max="6" width="54" customWidth="1"/>
  </cols>
  <sheetData>
    <row r="1" spans="1:6" ht="26.05" customHeight="1" x14ac:dyDescent="0.55000000000000004">
      <c r="A1" s="138" t="s">
        <v>197</v>
      </c>
      <c r="B1" s="113"/>
      <c r="C1" s="113"/>
      <c r="D1" s="113"/>
      <c r="E1" s="113"/>
      <c r="F1" s="113"/>
    </row>
    <row r="2" spans="1:6" ht="52" customHeight="1" x14ac:dyDescent="0.55000000000000004">
      <c r="A2" s="137" t="s">
        <v>198</v>
      </c>
      <c r="B2" s="113"/>
      <c r="C2" s="113"/>
      <c r="D2" s="113"/>
      <c r="E2" s="113"/>
      <c r="F2" s="113"/>
    </row>
    <row r="3" spans="1:6" ht="18" customHeight="1" x14ac:dyDescent="0.55000000000000004">
      <c r="A3" s="51" t="s">
        <v>199</v>
      </c>
      <c r="B3" s="51" t="s">
        <v>200</v>
      </c>
      <c r="C3" s="51" t="s">
        <v>201</v>
      </c>
      <c r="D3" s="51" t="s">
        <v>202</v>
      </c>
      <c r="E3" s="51" t="s">
        <v>203</v>
      </c>
      <c r="F3" s="51" t="s">
        <v>204</v>
      </c>
    </row>
    <row r="4" spans="1:6" ht="22" customHeight="1" x14ac:dyDescent="0.55000000000000004">
      <c r="A4" s="136" t="s">
        <v>205</v>
      </c>
      <c r="B4" s="113"/>
      <c r="C4" s="113"/>
      <c r="D4" s="113"/>
      <c r="E4" s="113"/>
      <c r="F4" s="113"/>
    </row>
    <row r="5" spans="1:6" ht="44.05" customHeight="1" x14ac:dyDescent="0.55000000000000004">
      <c r="A5" s="135" t="s">
        <v>206</v>
      </c>
      <c r="B5" s="113"/>
      <c r="C5" s="113"/>
      <c r="D5" s="113"/>
      <c r="E5" s="113"/>
      <c r="F5" s="113"/>
    </row>
    <row r="6" spans="1:6" ht="88" customHeight="1" x14ac:dyDescent="0.55000000000000004">
      <c r="A6" s="52" t="s">
        <v>207</v>
      </c>
      <c r="B6" s="53" t="s">
        <v>208</v>
      </c>
      <c r="C6" s="54" t="s">
        <v>209</v>
      </c>
      <c r="D6" s="55" t="s">
        <v>210</v>
      </c>
      <c r="E6" s="56" t="s">
        <v>211</v>
      </c>
      <c r="F6" s="57" t="s">
        <v>212</v>
      </c>
    </row>
    <row r="7" spans="1:6" ht="88" customHeight="1" x14ac:dyDescent="0.55000000000000004">
      <c r="A7" s="58" t="s">
        <v>207</v>
      </c>
      <c r="B7" s="53" t="s">
        <v>213</v>
      </c>
      <c r="C7" s="59" t="s">
        <v>214</v>
      </c>
      <c r="D7" s="60" t="s">
        <v>215</v>
      </c>
      <c r="E7" s="61" t="s">
        <v>216</v>
      </c>
      <c r="F7" s="57" t="s">
        <v>217</v>
      </c>
    </row>
    <row r="8" spans="1:6" ht="88" customHeight="1" x14ac:dyDescent="0.55000000000000004">
      <c r="A8" s="52" t="s">
        <v>207</v>
      </c>
      <c r="B8" s="53" t="s">
        <v>218</v>
      </c>
      <c r="C8" s="54" t="s">
        <v>219</v>
      </c>
      <c r="D8" s="55" t="s">
        <v>220</v>
      </c>
      <c r="E8" s="62" t="s">
        <v>221</v>
      </c>
      <c r="F8" s="57" t="s">
        <v>222</v>
      </c>
    </row>
    <row r="9" spans="1:6" ht="88" customHeight="1" x14ac:dyDescent="0.55000000000000004">
      <c r="A9" s="58" t="s">
        <v>207</v>
      </c>
      <c r="B9" s="53" t="s">
        <v>223</v>
      </c>
      <c r="C9" s="59" t="s">
        <v>224</v>
      </c>
      <c r="D9" s="60" t="s">
        <v>225</v>
      </c>
      <c r="E9" s="63" t="s">
        <v>226</v>
      </c>
      <c r="F9" s="57" t="s">
        <v>227</v>
      </c>
    </row>
    <row r="10" spans="1:6" ht="4" customHeight="1" x14ac:dyDescent="0.55000000000000004">
      <c r="A10" s="64"/>
      <c r="B10" s="64"/>
      <c r="C10" s="64"/>
      <c r="D10" s="64"/>
      <c r="E10" s="64"/>
      <c r="F10" s="64"/>
    </row>
    <row r="11" spans="1:6" ht="22" customHeight="1" x14ac:dyDescent="0.55000000000000004">
      <c r="A11" s="136" t="s">
        <v>228</v>
      </c>
      <c r="B11" s="113"/>
      <c r="C11" s="113"/>
      <c r="D11" s="113"/>
      <c r="E11" s="113"/>
      <c r="F11" s="113"/>
    </row>
    <row r="12" spans="1:6" ht="44.05" customHeight="1" x14ac:dyDescent="0.55000000000000004">
      <c r="A12" s="135" t="s">
        <v>229</v>
      </c>
      <c r="B12" s="113"/>
      <c r="C12" s="113"/>
      <c r="D12" s="113"/>
      <c r="E12" s="113"/>
      <c r="F12" s="113"/>
    </row>
    <row r="13" spans="1:6" ht="88" customHeight="1" x14ac:dyDescent="0.55000000000000004">
      <c r="A13" s="52" t="s">
        <v>230</v>
      </c>
      <c r="B13" s="53" t="s">
        <v>231</v>
      </c>
      <c r="C13" s="54" t="s">
        <v>232</v>
      </c>
      <c r="D13" s="55" t="s">
        <v>233</v>
      </c>
      <c r="E13" s="65" t="s">
        <v>234</v>
      </c>
      <c r="F13" s="57" t="s">
        <v>235</v>
      </c>
    </row>
    <row r="14" spans="1:6" ht="88" customHeight="1" x14ac:dyDescent="0.55000000000000004">
      <c r="A14" s="58" t="s">
        <v>230</v>
      </c>
      <c r="B14" s="53" t="s">
        <v>236</v>
      </c>
      <c r="C14" s="59" t="s">
        <v>237</v>
      </c>
      <c r="D14" s="60" t="s">
        <v>238</v>
      </c>
      <c r="E14" s="65" t="s">
        <v>239</v>
      </c>
      <c r="F14" s="57" t="s">
        <v>240</v>
      </c>
    </row>
    <row r="15" spans="1:6" ht="88" customHeight="1" x14ac:dyDescent="0.55000000000000004">
      <c r="A15" s="52" t="s">
        <v>230</v>
      </c>
      <c r="B15" s="53" t="s">
        <v>241</v>
      </c>
      <c r="C15" s="54" t="s">
        <v>242</v>
      </c>
      <c r="D15" s="55" t="s">
        <v>243</v>
      </c>
      <c r="E15" s="61" t="s">
        <v>244</v>
      </c>
      <c r="F15" s="57" t="s">
        <v>245</v>
      </c>
    </row>
    <row r="16" spans="1:6" ht="88" customHeight="1" x14ac:dyDescent="0.55000000000000004">
      <c r="A16" s="58" t="s">
        <v>230</v>
      </c>
      <c r="B16" s="53" t="s">
        <v>246</v>
      </c>
      <c r="C16" s="59" t="s">
        <v>247</v>
      </c>
      <c r="D16" s="60" t="s">
        <v>248</v>
      </c>
      <c r="E16" s="66" t="s">
        <v>249</v>
      </c>
      <c r="F16" s="57" t="s">
        <v>250</v>
      </c>
    </row>
    <row r="17" spans="1:6" ht="4" customHeight="1" x14ac:dyDescent="0.55000000000000004">
      <c r="A17" s="64"/>
      <c r="B17" s="64"/>
      <c r="C17" s="64"/>
      <c r="D17" s="64"/>
      <c r="E17" s="64"/>
      <c r="F17" s="64"/>
    </row>
    <row r="18" spans="1:6" ht="22" customHeight="1" x14ac:dyDescent="0.55000000000000004">
      <c r="A18" s="136" t="s">
        <v>251</v>
      </c>
      <c r="B18" s="113"/>
      <c r="C18" s="113"/>
      <c r="D18" s="113"/>
      <c r="E18" s="113"/>
      <c r="F18" s="113"/>
    </row>
    <row r="19" spans="1:6" ht="44.05" customHeight="1" x14ac:dyDescent="0.55000000000000004">
      <c r="A19" s="135" t="s">
        <v>252</v>
      </c>
      <c r="B19" s="113"/>
      <c r="C19" s="113"/>
      <c r="D19" s="113"/>
      <c r="E19" s="113"/>
      <c r="F19" s="113"/>
    </row>
    <row r="20" spans="1:6" ht="88" customHeight="1" x14ac:dyDescent="0.55000000000000004">
      <c r="A20" s="52" t="s">
        <v>253</v>
      </c>
      <c r="B20" s="53" t="s">
        <v>254</v>
      </c>
      <c r="C20" s="54" t="s">
        <v>255</v>
      </c>
      <c r="D20" s="55" t="s">
        <v>256</v>
      </c>
      <c r="E20" s="67" t="s">
        <v>257</v>
      </c>
      <c r="F20" s="57" t="s">
        <v>258</v>
      </c>
    </row>
    <row r="21" spans="1:6" ht="88" customHeight="1" x14ac:dyDescent="0.55000000000000004">
      <c r="A21" s="58" t="s">
        <v>253</v>
      </c>
      <c r="B21" s="53" t="s">
        <v>259</v>
      </c>
      <c r="C21" s="59" t="s">
        <v>260</v>
      </c>
      <c r="D21" s="60" t="s">
        <v>261</v>
      </c>
      <c r="E21" s="68" t="s">
        <v>262</v>
      </c>
      <c r="F21" s="57" t="s">
        <v>263</v>
      </c>
    </row>
    <row r="22" spans="1:6" ht="88" customHeight="1" x14ac:dyDescent="0.55000000000000004">
      <c r="A22" s="52" t="s">
        <v>253</v>
      </c>
      <c r="B22" s="53" t="s">
        <v>264</v>
      </c>
      <c r="C22" s="54" t="s">
        <v>265</v>
      </c>
      <c r="D22" s="55" t="s">
        <v>266</v>
      </c>
      <c r="E22" s="61" t="s">
        <v>267</v>
      </c>
      <c r="F22" s="57" t="s">
        <v>268</v>
      </c>
    </row>
    <row r="23" spans="1:6" ht="88" customHeight="1" x14ac:dyDescent="0.55000000000000004">
      <c r="A23" s="58" t="s">
        <v>253</v>
      </c>
      <c r="B23" s="53" t="s">
        <v>269</v>
      </c>
      <c r="C23" s="59" t="s">
        <v>270</v>
      </c>
      <c r="D23" s="60" t="s">
        <v>271</v>
      </c>
      <c r="E23" s="69" t="s">
        <v>272</v>
      </c>
      <c r="F23" s="57" t="s">
        <v>273</v>
      </c>
    </row>
    <row r="24" spans="1:6" ht="4" customHeight="1" x14ac:dyDescent="0.55000000000000004">
      <c r="A24" s="64"/>
      <c r="B24" s="64"/>
      <c r="C24" s="64"/>
      <c r="D24" s="64"/>
      <c r="E24" s="64"/>
      <c r="F24" s="64"/>
    </row>
    <row r="25" spans="1:6" ht="22" customHeight="1" x14ac:dyDescent="0.55000000000000004">
      <c r="A25" s="136" t="s">
        <v>274</v>
      </c>
      <c r="B25" s="113"/>
      <c r="C25" s="113"/>
      <c r="D25" s="113"/>
      <c r="E25" s="113"/>
      <c r="F25" s="113"/>
    </row>
    <row r="26" spans="1:6" ht="44.05" customHeight="1" x14ac:dyDescent="0.55000000000000004">
      <c r="A26" s="135" t="s">
        <v>275</v>
      </c>
      <c r="B26" s="113"/>
      <c r="C26" s="113"/>
      <c r="D26" s="113"/>
      <c r="E26" s="113"/>
      <c r="F26" s="113"/>
    </row>
    <row r="27" spans="1:6" ht="88" customHeight="1" x14ac:dyDescent="0.55000000000000004">
      <c r="A27" s="52" t="s">
        <v>276</v>
      </c>
      <c r="B27" s="53" t="s">
        <v>277</v>
      </c>
      <c r="C27" s="54" t="s">
        <v>278</v>
      </c>
      <c r="D27" s="55" t="s">
        <v>279</v>
      </c>
      <c r="E27" s="69" t="s">
        <v>280</v>
      </c>
      <c r="F27" s="57" t="s">
        <v>281</v>
      </c>
    </row>
    <row r="28" spans="1:6" ht="88" customHeight="1" x14ac:dyDescent="0.55000000000000004">
      <c r="A28" s="58" t="s">
        <v>276</v>
      </c>
      <c r="B28" s="53" t="s">
        <v>264</v>
      </c>
      <c r="C28" s="59" t="s">
        <v>282</v>
      </c>
      <c r="D28" s="60" t="s">
        <v>283</v>
      </c>
      <c r="E28" s="61" t="s">
        <v>267</v>
      </c>
      <c r="F28" s="57" t="s">
        <v>284</v>
      </c>
    </row>
    <row r="29" spans="1:6" ht="88" customHeight="1" x14ac:dyDescent="0.55000000000000004">
      <c r="A29" s="52" t="s">
        <v>276</v>
      </c>
      <c r="B29" s="53" t="s">
        <v>285</v>
      </c>
      <c r="C29" s="54" t="s">
        <v>286</v>
      </c>
      <c r="D29" s="55" t="s">
        <v>287</v>
      </c>
      <c r="E29" s="69" t="s">
        <v>288</v>
      </c>
      <c r="F29" s="57" t="s">
        <v>289</v>
      </c>
    </row>
    <row r="30" spans="1:6" ht="88" customHeight="1" x14ac:dyDescent="0.55000000000000004">
      <c r="A30" s="58" t="s">
        <v>276</v>
      </c>
      <c r="B30" s="53" t="s">
        <v>290</v>
      </c>
      <c r="C30" s="59" t="s">
        <v>291</v>
      </c>
      <c r="D30" s="60" t="s">
        <v>292</v>
      </c>
      <c r="E30" s="69" t="s">
        <v>293</v>
      </c>
      <c r="F30" s="57" t="s">
        <v>294</v>
      </c>
    </row>
    <row r="31" spans="1:6" ht="4" customHeight="1" x14ac:dyDescent="0.55000000000000004">
      <c r="A31" s="64"/>
      <c r="B31" s="64"/>
      <c r="C31" s="64"/>
      <c r="D31" s="64"/>
      <c r="E31" s="64"/>
      <c r="F31" s="64"/>
    </row>
    <row r="32" spans="1:6" ht="22" customHeight="1" x14ac:dyDescent="0.55000000000000004">
      <c r="A32" s="136" t="s">
        <v>295</v>
      </c>
      <c r="B32" s="113"/>
      <c r="C32" s="113"/>
      <c r="D32" s="113"/>
      <c r="E32" s="113"/>
      <c r="F32" s="113"/>
    </row>
    <row r="33" spans="1:6" ht="44.05" customHeight="1" x14ac:dyDescent="0.55000000000000004">
      <c r="A33" s="135" t="s">
        <v>296</v>
      </c>
      <c r="B33" s="113"/>
      <c r="C33" s="113"/>
      <c r="D33" s="113"/>
      <c r="E33" s="113"/>
      <c r="F33" s="113"/>
    </row>
    <row r="34" spans="1:6" ht="88" customHeight="1" x14ac:dyDescent="0.55000000000000004">
      <c r="A34" s="52" t="s">
        <v>297</v>
      </c>
      <c r="B34" s="53" t="s">
        <v>298</v>
      </c>
      <c r="C34" s="54" t="s">
        <v>299</v>
      </c>
      <c r="D34" s="55" t="s">
        <v>300</v>
      </c>
      <c r="E34" s="68" t="s">
        <v>301</v>
      </c>
      <c r="F34" s="57" t="s">
        <v>302</v>
      </c>
    </row>
    <row r="35" spans="1:6" ht="88" customHeight="1" x14ac:dyDescent="0.55000000000000004">
      <c r="A35" s="58" t="s">
        <v>297</v>
      </c>
      <c r="B35" s="53" t="s">
        <v>303</v>
      </c>
      <c r="C35" s="59" t="s">
        <v>304</v>
      </c>
      <c r="D35" s="60" t="s">
        <v>305</v>
      </c>
      <c r="E35" s="69" t="s">
        <v>306</v>
      </c>
      <c r="F35" s="57" t="s">
        <v>307</v>
      </c>
    </row>
    <row r="36" spans="1:6" ht="88" customHeight="1" x14ac:dyDescent="0.55000000000000004">
      <c r="A36" s="52" t="s">
        <v>297</v>
      </c>
      <c r="B36" s="53" t="s">
        <v>264</v>
      </c>
      <c r="C36" s="54" t="s">
        <v>308</v>
      </c>
      <c r="D36" s="55" t="s">
        <v>309</v>
      </c>
      <c r="E36" s="61" t="s">
        <v>310</v>
      </c>
      <c r="F36" s="57" t="s">
        <v>311</v>
      </c>
    </row>
    <row r="37" spans="1:6" ht="88" customHeight="1" x14ac:dyDescent="0.55000000000000004">
      <c r="A37" s="58" t="s">
        <v>297</v>
      </c>
      <c r="B37" s="53" t="s">
        <v>312</v>
      </c>
      <c r="C37" s="59" t="s">
        <v>313</v>
      </c>
      <c r="D37" s="60" t="s">
        <v>314</v>
      </c>
      <c r="E37" s="70" t="s">
        <v>315</v>
      </c>
      <c r="F37" s="57" t="s">
        <v>316</v>
      </c>
    </row>
    <row r="38" spans="1:6" ht="4" customHeight="1" x14ac:dyDescent="0.55000000000000004">
      <c r="A38" s="64"/>
      <c r="B38" s="64"/>
      <c r="C38" s="64"/>
      <c r="D38" s="64"/>
      <c r="E38" s="64"/>
      <c r="F38" s="64"/>
    </row>
    <row r="39" spans="1:6" ht="22" customHeight="1" x14ac:dyDescent="0.55000000000000004">
      <c r="A39" s="136" t="s">
        <v>317</v>
      </c>
      <c r="B39" s="113"/>
      <c r="C39" s="113"/>
      <c r="D39" s="113"/>
      <c r="E39" s="113"/>
      <c r="F39" s="113"/>
    </row>
    <row r="40" spans="1:6" ht="44.05" customHeight="1" x14ac:dyDescent="0.55000000000000004">
      <c r="A40" s="135" t="s">
        <v>318</v>
      </c>
      <c r="B40" s="113"/>
      <c r="C40" s="113"/>
      <c r="D40" s="113"/>
      <c r="E40" s="113"/>
      <c r="F40" s="113"/>
    </row>
    <row r="41" spans="1:6" ht="88" customHeight="1" x14ac:dyDescent="0.55000000000000004">
      <c r="A41" s="52" t="s">
        <v>319</v>
      </c>
      <c r="B41" s="53" t="s">
        <v>320</v>
      </c>
      <c r="C41" s="54" t="s">
        <v>321</v>
      </c>
      <c r="D41" s="55" t="s">
        <v>322</v>
      </c>
      <c r="E41" s="71" t="s">
        <v>323</v>
      </c>
      <c r="F41" s="57" t="s">
        <v>324</v>
      </c>
    </row>
    <row r="42" spans="1:6" ht="88" customHeight="1" x14ac:dyDescent="0.55000000000000004">
      <c r="A42" s="58" t="s">
        <v>319</v>
      </c>
      <c r="B42" s="53" t="s">
        <v>325</v>
      </c>
      <c r="C42" s="59" t="s">
        <v>326</v>
      </c>
      <c r="D42" s="60" t="s">
        <v>327</v>
      </c>
      <c r="E42" s="65" t="s">
        <v>328</v>
      </c>
      <c r="F42" s="57" t="s">
        <v>329</v>
      </c>
    </row>
    <row r="43" spans="1:6" ht="88" customHeight="1" x14ac:dyDescent="0.55000000000000004">
      <c r="A43" s="52" t="s">
        <v>319</v>
      </c>
      <c r="B43" s="53" t="s">
        <v>264</v>
      </c>
      <c r="C43" s="54" t="s">
        <v>330</v>
      </c>
      <c r="D43" s="55" t="s">
        <v>331</v>
      </c>
      <c r="E43" s="61" t="s">
        <v>332</v>
      </c>
      <c r="F43" s="57" t="s">
        <v>333</v>
      </c>
    </row>
    <row r="44" spans="1:6" ht="88" customHeight="1" x14ac:dyDescent="0.55000000000000004">
      <c r="A44" s="58" t="s">
        <v>319</v>
      </c>
      <c r="B44" s="53" t="s">
        <v>334</v>
      </c>
      <c r="C44" s="59" t="s">
        <v>335</v>
      </c>
      <c r="D44" s="60" t="s">
        <v>336</v>
      </c>
      <c r="E44" s="67" t="s">
        <v>337</v>
      </c>
      <c r="F44" s="57" t="s">
        <v>338</v>
      </c>
    </row>
    <row r="45" spans="1:6" ht="4" customHeight="1" x14ac:dyDescent="0.55000000000000004">
      <c r="A45" s="64"/>
      <c r="B45" s="64"/>
      <c r="C45" s="64"/>
      <c r="D45" s="64"/>
      <c r="E45" s="64"/>
      <c r="F45" s="64"/>
    </row>
    <row r="46" spans="1:6" ht="22" customHeight="1" x14ac:dyDescent="0.55000000000000004">
      <c r="A46" s="136" t="s">
        <v>339</v>
      </c>
      <c r="B46" s="113"/>
      <c r="C46" s="113"/>
      <c r="D46" s="113"/>
      <c r="E46" s="113"/>
      <c r="F46" s="113"/>
    </row>
    <row r="47" spans="1:6" ht="44.05" customHeight="1" x14ac:dyDescent="0.55000000000000004">
      <c r="A47" s="135" t="s">
        <v>340</v>
      </c>
      <c r="B47" s="113"/>
      <c r="C47" s="113"/>
      <c r="D47" s="113"/>
      <c r="E47" s="113"/>
      <c r="F47" s="113"/>
    </row>
    <row r="48" spans="1:6" ht="88" customHeight="1" x14ac:dyDescent="0.55000000000000004">
      <c r="A48" s="52" t="s">
        <v>341</v>
      </c>
      <c r="B48" s="53" t="s">
        <v>342</v>
      </c>
      <c r="C48" s="54" t="s">
        <v>343</v>
      </c>
      <c r="D48" s="55" t="s">
        <v>344</v>
      </c>
      <c r="E48" s="72" t="s">
        <v>345</v>
      </c>
      <c r="F48" s="57" t="s">
        <v>346</v>
      </c>
    </row>
    <row r="49" spans="1:6" ht="88" customHeight="1" x14ac:dyDescent="0.55000000000000004">
      <c r="A49" s="58" t="s">
        <v>341</v>
      </c>
      <c r="B49" s="53" t="s">
        <v>347</v>
      </c>
      <c r="C49" s="59" t="s">
        <v>348</v>
      </c>
      <c r="D49" s="60" t="s">
        <v>349</v>
      </c>
      <c r="E49" s="73" t="s">
        <v>350</v>
      </c>
      <c r="F49" s="57" t="s">
        <v>351</v>
      </c>
    </row>
    <row r="50" spans="1:6" ht="88" customHeight="1" x14ac:dyDescent="0.55000000000000004">
      <c r="A50" s="52" t="s">
        <v>341</v>
      </c>
      <c r="B50" s="53" t="s">
        <v>352</v>
      </c>
      <c r="C50" s="54" t="s">
        <v>353</v>
      </c>
      <c r="D50" s="55" t="s">
        <v>354</v>
      </c>
      <c r="E50" s="61" t="s">
        <v>355</v>
      </c>
      <c r="F50" s="57" t="s">
        <v>356</v>
      </c>
    </row>
    <row r="51" spans="1:6" ht="88" customHeight="1" x14ac:dyDescent="0.55000000000000004">
      <c r="A51" s="58" t="s">
        <v>341</v>
      </c>
      <c r="B51" s="53" t="s">
        <v>357</v>
      </c>
      <c r="C51" s="59" t="s">
        <v>358</v>
      </c>
      <c r="D51" s="60" t="s">
        <v>359</v>
      </c>
      <c r="E51" s="68" t="s">
        <v>360</v>
      </c>
      <c r="F51" s="57" t="s">
        <v>361</v>
      </c>
    </row>
    <row r="52" spans="1:6" ht="4" customHeight="1" x14ac:dyDescent="0.55000000000000004">
      <c r="A52" s="64"/>
      <c r="B52" s="64"/>
      <c r="C52" s="64"/>
      <c r="D52" s="64"/>
      <c r="E52" s="64"/>
      <c r="F52" s="64"/>
    </row>
    <row r="53" spans="1:6" ht="22" customHeight="1" x14ac:dyDescent="0.55000000000000004">
      <c r="A53" s="136" t="s">
        <v>362</v>
      </c>
      <c r="B53" s="113"/>
      <c r="C53" s="113"/>
      <c r="D53" s="113"/>
      <c r="E53" s="113"/>
      <c r="F53" s="113"/>
    </row>
    <row r="54" spans="1:6" ht="44.05" customHeight="1" x14ac:dyDescent="0.55000000000000004">
      <c r="A54" s="135" t="s">
        <v>363</v>
      </c>
      <c r="B54" s="113"/>
      <c r="C54" s="113"/>
      <c r="D54" s="113"/>
      <c r="E54" s="113"/>
      <c r="F54" s="113"/>
    </row>
    <row r="55" spans="1:6" ht="88" customHeight="1" x14ac:dyDescent="0.55000000000000004">
      <c r="A55" s="52" t="s">
        <v>364</v>
      </c>
      <c r="B55" s="53" t="s">
        <v>365</v>
      </c>
      <c r="C55" s="54" t="s">
        <v>366</v>
      </c>
      <c r="D55" s="55" t="s">
        <v>367</v>
      </c>
      <c r="E55" s="69" t="s">
        <v>368</v>
      </c>
      <c r="F55" s="57" t="s">
        <v>369</v>
      </c>
    </row>
    <row r="56" spans="1:6" ht="88" customHeight="1" x14ac:dyDescent="0.55000000000000004">
      <c r="A56" s="58" t="s">
        <v>364</v>
      </c>
      <c r="B56" s="53" t="s">
        <v>370</v>
      </c>
      <c r="C56" s="59" t="s">
        <v>371</v>
      </c>
      <c r="D56" s="60" t="s">
        <v>372</v>
      </c>
      <c r="E56" s="62" t="s">
        <v>373</v>
      </c>
      <c r="F56" s="57" t="s">
        <v>374</v>
      </c>
    </row>
    <row r="57" spans="1:6" ht="88" customHeight="1" x14ac:dyDescent="0.55000000000000004">
      <c r="A57" s="52" t="s">
        <v>364</v>
      </c>
      <c r="B57" s="53" t="s">
        <v>375</v>
      </c>
      <c r="C57" s="54" t="s">
        <v>376</v>
      </c>
      <c r="D57" s="55" t="s">
        <v>377</v>
      </c>
      <c r="E57" s="68" t="s">
        <v>378</v>
      </c>
      <c r="F57" s="57" t="s">
        <v>379</v>
      </c>
    </row>
    <row r="58" spans="1:6" ht="88" customHeight="1" x14ac:dyDescent="0.55000000000000004">
      <c r="A58" s="58" t="s">
        <v>364</v>
      </c>
      <c r="B58" s="53" t="s">
        <v>264</v>
      </c>
      <c r="C58" s="59" t="s">
        <v>380</v>
      </c>
      <c r="D58" s="60" t="s">
        <v>381</v>
      </c>
      <c r="E58" s="61" t="s">
        <v>382</v>
      </c>
      <c r="F58" s="57" t="s">
        <v>383</v>
      </c>
    </row>
    <row r="59" spans="1:6" ht="4" customHeight="1" x14ac:dyDescent="0.55000000000000004">
      <c r="A59" s="64"/>
      <c r="B59" s="64"/>
      <c r="C59" s="64"/>
      <c r="D59" s="64"/>
      <c r="E59" s="64"/>
      <c r="F59" s="64"/>
    </row>
    <row r="61" spans="1:6" ht="26.05" customHeight="1" x14ac:dyDescent="0.55000000000000004">
      <c r="A61" s="140" t="s">
        <v>384</v>
      </c>
      <c r="B61" s="113"/>
      <c r="C61" s="113"/>
      <c r="D61" s="113"/>
      <c r="E61" s="113"/>
      <c r="F61" s="113"/>
    </row>
    <row r="62" spans="1:6" ht="18" customHeight="1" x14ac:dyDescent="0.55000000000000004">
      <c r="A62" s="51" t="s">
        <v>385</v>
      </c>
      <c r="B62" s="51" t="s">
        <v>386</v>
      </c>
      <c r="C62" s="51" t="s">
        <v>387</v>
      </c>
      <c r="D62" s="51" t="s">
        <v>388</v>
      </c>
      <c r="E62" s="51" t="s">
        <v>203</v>
      </c>
      <c r="F62" s="51" t="s">
        <v>204</v>
      </c>
    </row>
    <row r="63" spans="1:6" ht="88" customHeight="1" x14ac:dyDescent="0.55000000000000004">
      <c r="A63" s="74" t="s">
        <v>389</v>
      </c>
      <c r="B63" s="65" t="s">
        <v>390</v>
      </c>
      <c r="C63" s="75" t="s">
        <v>391</v>
      </c>
      <c r="D63" s="76" t="s">
        <v>392</v>
      </c>
      <c r="E63" s="77" t="s">
        <v>393</v>
      </c>
      <c r="F63" s="57" t="s">
        <v>394</v>
      </c>
    </row>
    <row r="64" spans="1:6" ht="88" customHeight="1" x14ac:dyDescent="0.55000000000000004">
      <c r="A64" s="78" t="s">
        <v>395</v>
      </c>
      <c r="B64" s="65" t="s">
        <v>396</v>
      </c>
      <c r="C64" s="59" t="s">
        <v>397</v>
      </c>
      <c r="D64" s="60" t="s">
        <v>398</v>
      </c>
      <c r="E64" s="73" t="s">
        <v>399</v>
      </c>
      <c r="F64" s="57" t="s">
        <v>400</v>
      </c>
    </row>
    <row r="65" spans="1:6" ht="88" customHeight="1" x14ac:dyDescent="0.55000000000000004">
      <c r="A65" s="74" t="s">
        <v>401</v>
      </c>
      <c r="B65" s="65" t="s">
        <v>402</v>
      </c>
      <c r="C65" s="75" t="s">
        <v>403</v>
      </c>
      <c r="D65" s="76" t="s">
        <v>404</v>
      </c>
      <c r="E65" s="71" t="s">
        <v>405</v>
      </c>
      <c r="F65" s="57" t="s">
        <v>406</v>
      </c>
    </row>
    <row r="66" spans="1:6" ht="88" customHeight="1" x14ac:dyDescent="0.55000000000000004">
      <c r="A66" s="78" t="s">
        <v>407</v>
      </c>
      <c r="B66" s="65" t="s">
        <v>408</v>
      </c>
      <c r="C66" s="59" t="s">
        <v>409</v>
      </c>
      <c r="D66" s="60" t="s">
        <v>410</v>
      </c>
      <c r="E66" s="63" t="s">
        <v>226</v>
      </c>
      <c r="F66" s="57" t="s">
        <v>411</v>
      </c>
    </row>
    <row r="67" spans="1:6" ht="88" customHeight="1" x14ac:dyDescent="0.55000000000000004">
      <c r="A67" s="74" t="s">
        <v>412</v>
      </c>
      <c r="B67" s="65" t="s">
        <v>413</v>
      </c>
      <c r="C67" s="75" t="s">
        <v>414</v>
      </c>
      <c r="D67" s="76" t="s">
        <v>415</v>
      </c>
      <c r="E67" s="79" t="s">
        <v>416</v>
      </c>
      <c r="F67" s="57" t="s">
        <v>417</v>
      </c>
    </row>
    <row r="68" spans="1:6" ht="88" customHeight="1" x14ac:dyDescent="0.55000000000000004">
      <c r="A68" s="78" t="s">
        <v>418</v>
      </c>
      <c r="B68" s="65" t="s">
        <v>419</v>
      </c>
      <c r="C68" s="59" t="s">
        <v>420</v>
      </c>
      <c r="D68" s="60" t="s">
        <v>421</v>
      </c>
      <c r="E68" s="56" t="s">
        <v>422</v>
      </c>
      <c r="F68" s="57" t="s">
        <v>423</v>
      </c>
    </row>
    <row r="70" spans="1:6" ht="60" customHeight="1" x14ac:dyDescent="0.55000000000000004">
      <c r="A70" s="139" t="s">
        <v>424</v>
      </c>
      <c r="B70" s="113"/>
      <c r="C70" s="113"/>
      <c r="D70" s="113"/>
      <c r="E70" s="113"/>
      <c r="F70" s="113"/>
    </row>
  </sheetData>
  <mergeCells count="20">
    <mergeCell ref="A1:F1"/>
    <mergeCell ref="A70:F70"/>
    <mergeCell ref="A61:F61"/>
    <mergeCell ref="A25:F25"/>
    <mergeCell ref="A2:F2"/>
    <mergeCell ref="A33:F33"/>
    <mergeCell ref="A47:F47"/>
    <mergeCell ref="A5:F5"/>
    <mergeCell ref="A32:F32"/>
    <mergeCell ref="A4:F4"/>
    <mergeCell ref="A19:F19"/>
    <mergeCell ref="A40:F40"/>
    <mergeCell ref="A39:F39"/>
    <mergeCell ref="A11:F11"/>
    <mergeCell ref="A54:F54"/>
    <mergeCell ref="A46:F46"/>
    <mergeCell ref="A12:F12"/>
    <mergeCell ref="A18:F18"/>
    <mergeCell ref="A26:F26"/>
    <mergeCell ref="A53:F53"/>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90"/>
  <sheetViews>
    <sheetView tabSelected="1" workbookViewId="0">
      <selection sqref="A1:F1"/>
    </sheetView>
  </sheetViews>
  <sheetFormatPr defaultRowHeight="14.4" x14ac:dyDescent="0.55000000000000004"/>
  <cols>
    <col min="1" max="1" width="28" customWidth="1"/>
    <col min="2" max="5" width="22" customWidth="1"/>
    <col min="6" max="6" width="36" customWidth="1"/>
  </cols>
  <sheetData>
    <row r="1" spans="1:6" ht="28" customHeight="1" x14ac:dyDescent="0.55000000000000004">
      <c r="A1" s="154" t="s">
        <v>425</v>
      </c>
      <c r="B1" s="113"/>
      <c r="C1" s="113"/>
      <c r="D1" s="113"/>
      <c r="E1" s="113"/>
      <c r="F1" s="113"/>
    </row>
    <row r="2" spans="1:6" ht="36" customHeight="1" x14ac:dyDescent="0.55000000000000004">
      <c r="A2" s="152" t="s">
        <v>426</v>
      </c>
      <c r="B2" s="113"/>
      <c r="C2" s="113"/>
      <c r="D2" s="113"/>
      <c r="E2" s="113"/>
      <c r="F2" s="113"/>
    </row>
    <row r="3" spans="1:6" ht="6" customHeight="1" x14ac:dyDescent="0.55000000000000004">
      <c r="A3" s="80"/>
      <c r="B3" s="80"/>
      <c r="C3" s="80"/>
      <c r="D3" s="80"/>
      <c r="E3" s="80"/>
      <c r="F3" s="80"/>
    </row>
    <row r="4" spans="1:6" ht="22" customHeight="1" x14ac:dyDescent="0.55000000000000004">
      <c r="A4" s="151" t="s">
        <v>427</v>
      </c>
      <c r="B4" s="113"/>
      <c r="C4" s="113"/>
      <c r="D4" s="113"/>
      <c r="E4" s="113"/>
      <c r="F4" s="113"/>
    </row>
    <row r="5" spans="1:6" ht="90" customHeight="1" x14ac:dyDescent="0.55000000000000004">
      <c r="A5" s="147" t="s">
        <v>428</v>
      </c>
      <c r="B5" s="113"/>
      <c r="C5" s="113"/>
      <c r="D5" s="113"/>
      <c r="E5" s="113"/>
      <c r="F5" s="113"/>
    </row>
    <row r="6" spans="1:6" ht="6" customHeight="1" x14ac:dyDescent="0.55000000000000004">
      <c r="A6" s="80"/>
      <c r="B6" s="80"/>
      <c r="C6" s="80"/>
      <c r="D6" s="80"/>
      <c r="E6" s="80"/>
      <c r="F6" s="80"/>
    </row>
    <row r="7" spans="1:6" ht="22" customHeight="1" x14ac:dyDescent="0.55000000000000004">
      <c r="A7" s="151" t="s">
        <v>429</v>
      </c>
      <c r="B7" s="113"/>
      <c r="C7" s="113"/>
      <c r="D7" s="113"/>
      <c r="E7" s="113"/>
      <c r="F7" s="113"/>
    </row>
    <row r="8" spans="1:6" ht="18" customHeight="1" x14ac:dyDescent="0.55000000000000004">
      <c r="A8" s="40" t="s">
        <v>430</v>
      </c>
      <c r="B8" s="19" t="s">
        <v>431</v>
      </c>
      <c r="C8" s="41" t="s">
        <v>432</v>
      </c>
      <c r="D8" s="40" t="s">
        <v>433</v>
      </c>
      <c r="E8" s="40" t="s">
        <v>434</v>
      </c>
      <c r="F8" s="40" t="s">
        <v>435</v>
      </c>
    </row>
    <row r="9" spans="1:6" ht="36" customHeight="1" x14ac:dyDescent="0.55000000000000004">
      <c r="A9" s="81" t="s">
        <v>436</v>
      </c>
      <c r="B9" s="82" t="s">
        <v>437</v>
      </c>
      <c r="C9" s="83" t="s">
        <v>438</v>
      </c>
      <c r="D9" s="84" t="s">
        <v>439</v>
      </c>
      <c r="E9" s="84" t="s">
        <v>440</v>
      </c>
      <c r="F9" s="85"/>
    </row>
    <row r="10" spans="1:6" ht="36" customHeight="1" x14ac:dyDescent="0.55000000000000004">
      <c r="A10" s="86" t="s">
        <v>441</v>
      </c>
      <c r="B10" s="82" t="s">
        <v>442</v>
      </c>
      <c r="C10" s="83" t="s">
        <v>442</v>
      </c>
      <c r="D10" s="87" t="s">
        <v>443</v>
      </c>
      <c r="E10" s="87"/>
      <c r="F10" s="85"/>
    </row>
    <row r="11" spans="1:6" ht="36" customHeight="1" x14ac:dyDescent="0.55000000000000004">
      <c r="A11" s="81" t="s">
        <v>444</v>
      </c>
      <c r="B11" s="82" t="s">
        <v>445</v>
      </c>
      <c r="C11" s="83" t="s">
        <v>446</v>
      </c>
      <c r="D11" s="84" t="s">
        <v>447</v>
      </c>
      <c r="E11" s="84"/>
      <c r="F11" s="85" t="s">
        <v>448</v>
      </c>
    </row>
    <row r="12" spans="1:6" ht="36" customHeight="1" x14ac:dyDescent="0.55000000000000004">
      <c r="A12" s="86" t="s">
        <v>449</v>
      </c>
      <c r="B12" s="82" t="s">
        <v>450</v>
      </c>
      <c r="C12" s="83" t="s">
        <v>451</v>
      </c>
      <c r="D12" s="87"/>
      <c r="E12" s="87"/>
      <c r="F12" s="85" t="s">
        <v>452</v>
      </c>
    </row>
    <row r="13" spans="1:6" ht="36" customHeight="1" x14ac:dyDescent="0.55000000000000004">
      <c r="A13" s="81" t="s">
        <v>453</v>
      </c>
      <c r="B13" s="82" t="s">
        <v>454</v>
      </c>
      <c r="C13" s="83" t="s">
        <v>455</v>
      </c>
      <c r="D13" s="84"/>
      <c r="E13" s="84"/>
      <c r="F13" s="85" t="s">
        <v>456</v>
      </c>
    </row>
    <row r="14" spans="1:6" ht="36" customHeight="1" x14ac:dyDescent="0.55000000000000004">
      <c r="A14" s="86" t="s">
        <v>457</v>
      </c>
      <c r="B14" s="82" t="s">
        <v>458</v>
      </c>
      <c r="C14" s="83" t="s">
        <v>459</v>
      </c>
      <c r="D14" s="87"/>
      <c r="E14" s="87"/>
      <c r="F14" s="85" t="s">
        <v>460</v>
      </c>
    </row>
    <row r="15" spans="1:6" ht="6" customHeight="1" x14ac:dyDescent="0.55000000000000004">
      <c r="A15" s="80"/>
      <c r="B15" s="80"/>
      <c r="C15" s="80"/>
      <c r="D15" s="80"/>
      <c r="E15" s="80"/>
      <c r="F15" s="80"/>
    </row>
    <row r="16" spans="1:6" ht="22" customHeight="1" x14ac:dyDescent="0.55000000000000004">
      <c r="A16" s="151" t="s">
        <v>461</v>
      </c>
      <c r="B16" s="113"/>
      <c r="C16" s="113"/>
      <c r="D16" s="113"/>
      <c r="E16" s="113"/>
      <c r="F16" s="113"/>
    </row>
    <row r="17" spans="1:6" ht="18" customHeight="1" x14ac:dyDescent="0.55000000000000004">
      <c r="A17" s="40" t="s">
        <v>462</v>
      </c>
      <c r="B17" s="19" t="s">
        <v>431</v>
      </c>
      <c r="C17" s="41" t="s">
        <v>432</v>
      </c>
      <c r="D17" s="40" t="s">
        <v>463</v>
      </c>
      <c r="E17" s="40" t="s">
        <v>464</v>
      </c>
      <c r="F17" s="40" t="s">
        <v>465</v>
      </c>
    </row>
    <row r="18" spans="1:6" ht="28" customHeight="1" x14ac:dyDescent="0.55000000000000004">
      <c r="A18" s="88" t="s">
        <v>466</v>
      </c>
      <c r="B18" s="82" t="s">
        <v>467</v>
      </c>
      <c r="C18" s="83" t="s">
        <v>467</v>
      </c>
      <c r="D18" s="84" t="s">
        <v>468</v>
      </c>
      <c r="E18" s="89" t="s">
        <v>468</v>
      </c>
      <c r="F18" s="85" t="s">
        <v>469</v>
      </c>
    </row>
    <row r="19" spans="1:6" ht="28" customHeight="1" x14ac:dyDescent="0.55000000000000004">
      <c r="A19" s="90" t="s">
        <v>470</v>
      </c>
      <c r="B19" s="82" t="s">
        <v>471</v>
      </c>
      <c r="C19" s="83" t="s">
        <v>472</v>
      </c>
      <c r="D19" s="91" t="s">
        <v>473</v>
      </c>
      <c r="E19" s="89" t="s">
        <v>468</v>
      </c>
      <c r="F19" s="85" t="s">
        <v>474</v>
      </c>
    </row>
    <row r="20" spans="1:6" ht="28" customHeight="1" x14ac:dyDescent="0.55000000000000004">
      <c r="A20" s="92" t="s">
        <v>475</v>
      </c>
      <c r="B20" s="82" t="s">
        <v>476</v>
      </c>
      <c r="C20" s="83" t="s">
        <v>477</v>
      </c>
      <c r="D20" s="84" t="s">
        <v>478</v>
      </c>
      <c r="E20" s="89" t="s">
        <v>468</v>
      </c>
      <c r="F20" s="93" t="s">
        <v>479</v>
      </c>
    </row>
    <row r="21" spans="1:6" ht="28" customHeight="1" x14ac:dyDescent="0.55000000000000004">
      <c r="A21" s="90" t="s">
        <v>480</v>
      </c>
      <c r="B21" s="82" t="s">
        <v>481</v>
      </c>
      <c r="C21" s="83" t="s">
        <v>482</v>
      </c>
      <c r="D21" s="91" t="s">
        <v>483</v>
      </c>
      <c r="E21" s="89" t="s">
        <v>468</v>
      </c>
      <c r="F21" s="85" t="s">
        <v>484</v>
      </c>
    </row>
    <row r="22" spans="1:6" ht="28" customHeight="1" x14ac:dyDescent="0.55000000000000004">
      <c r="A22" s="88" t="s">
        <v>485</v>
      </c>
      <c r="B22" s="82" t="s">
        <v>486</v>
      </c>
      <c r="C22" s="83" t="s">
        <v>487</v>
      </c>
      <c r="D22" s="84" t="s">
        <v>488</v>
      </c>
      <c r="E22" s="89" t="s">
        <v>468</v>
      </c>
      <c r="F22" s="85" t="s">
        <v>484</v>
      </c>
    </row>
    <row r="23" spans="1:6" ht="28" customHeight="1" x14ac:dyDescent="0.55000000000000004">
      <c r="A23" s="90" t="s">
        <v>489</v>
      </c>
      <c r="B23" s="82" t="s">
        <v>490</v>
      </c>
      <c r="C23" s="83" t="s">
        <v>491</v>
      </c>
      <c r="D23" s="91" t="s">
        <v>492</v>
      </c>
      <c r="E23" s="89" t="s">
        <v>468</v>
      </c>
      <c r="F23" s="85" t="s">
        <v>493</v>
      </c>
    </row>
    <row r="24" spans="1:6" ht="28" customHeight="1" x14ac:dyDescent="0.55000000000000004">
      <c r="A24" s="88" t="s">
        <v>494</v>
      </c>
      <c r="B24" s="82" t="s">
        <v>494</v>
      </c>
      <c r="C24" s="83" t="s">
        <v>494</v>
      </c>
      <c r="D24" s="84" t="s">
        <v>494</v>
      </c>
      <c r="E24" s="89" t="s">
        <v>468</v>
      </c>
      <c r="F24" s="85" t="s">
        <v>495</v>
      </c>
    </row>
    <row r="25" spans="1:6" ht="28" customHeight="1" x14ac:dyDescent="0.55000000000000004">
      <c r="A25" s="90" t="s">
        <v>496</v>
      </c>
      <c r="B25" s="82" t="s">
        <v>497</v>
      </c>
      <c r="C25" s="83" t="s">
        <v>498</v>
      </c>
      <c r="D25" s="91" t="s">
        <v>499</v>
      </c>
      <c r="E25" s="89" t="s">
        <v>468</v>
      </c>
      <c r="F25" s="85" t="s">
        <v>500</v>
      </c>
    </row>
    <row r="26" spans="1:6" ht="44.05" customHeight="1" x14ac:dyDescent="0.55000000000000004">
      <c r="A26" s="153" t="s">
        <v>501</v>
      </c>
      <c r="B26" s="113"/>
      <c r="C26" s="113"/>
      <c r="D26" s="113"/>
      <c r="E26" s="113"/>
      <c r="F26" s="113"/>
    </row>
    <row r="27" spans="1:6" ht="6" customHeight="1" x14ac:dyDescent="0.55000000000000004">
      <c r="A27" s="80"/>
      <c r="B27" s="80"/>
      <c r="C27" s="80"/>
      <c r="D27" s="80"/>
      <c r="E27" s="80"/>
      <c r="F27" s="80"/>
    </row>
    <row r="28" spans="1:6" ht="22" customHeight="1" x14ac:dyDescent="0.55000000000000004">
      <c r="A28" s="151" t="s">
        <v>502</v>
      </c>
      <c r="B28" s="113"/>
      <c r="C28" s="113"/>
      <c r="D28" s="113"/>
      <c r="E28" s="113"/>
      <c r="F28" s="113"/>
    </row>
    <row r="29" spans="1:6" ht="18" customHeight="1" x14ac:dyDescent="0.55000000000000004">
      <c r="A29" s="40" t="s">
        <v>503</v>
      </c>
      <c r="B29" s="40" t="s">
        <v>504</v>
      </c>
      <c r="C29" s="133" t="s">
        <v>505</v>
      </c>
      <c r="D29" s="113"/>
      <c r="E29" s="113"/>
      <c r="F29" s="113"/>
    </row>
    <row r="30" spans="1:6" ht="32.049999999999997" customHeight="1" x14ac:dyDescent="0.55000000000000004">
      <c r="A30" s="94" t="s">
        <v>506</v>
      </c>
      <c r="B30" s="95" t="s">
        <v>507</v>
      </c>
      <c r="C30" s="144" t="s">
        <v>508</v>
      </c>
      <c r="D30" s="113"/>
      <c r="E30" s="113"/>
      <c r="F30" s="113"/>
    </row>
    <row r="31" spans="1:6" ht="32.049999999999997" customHeight="1" x14ac:dyDescent="0.55000000000000004">
      <c r="A31" s="94" t="s">
        <v>509</v>
      </c>
      <c r="B31" s="96" t="s">
        <v>510</v>
      </c>
      <c r="C31" s="144" t="s">
        <v>511</v>
      </c>
      <c r="D31" s="113"/>
      <c r="E31" s="113"/>
      <c r="F31" s="113"/>
    </row>
    <row r="32" spans="1:6" ht="32.049999999999997" customHeight="1" x14ac:dyDescent="0.55000000000000004">
      <c r="A32" s="94" t="s">
        <v>512</v>
      </c>
      <c r="B32" s="92" t="s">
        <v>513</v>
      </c>
      <c r="C32" s="144" t="s">
        <v>514</v>
      </c>
      <c r="D32" s="113"/>
      <c r="E32" s="113"/>
      <c r="F32" s="113"/>
    </row>
    <row r="33" spans="1:6" ht="32.049999999999997" customHeight="1" x14ac:dyDescent="0.55000000000000004">
      <c r="A33" s="94" t="s">
        <v>515</v>
      </c>
      <c r="B33" s="97" t="s">
        <v>516</v>
      </c>
      <c r="C33" s="144" t="s">
        <v>517</v>
      </c>
      <c r="D33" s="113"/>
      <c r="E33" s="113"/>
      <c r="F33" s="113"/>
    </row>
    <row r="34" spans="1:6" ht="6" customHeight="1" x14ac:dyDescent="0.55000000000000004">
      <c r="A34" s="80"/>
      <c r="B34" s="80"/>
      <c r="C34" s="80"/>
      <c r="D34" s="80"/>
      <c r="E34" s="80"/>
      <c r="F34" s="80"/>
    </row>
    <row r="35" spans="1:6" ht="22" customHeight="1" x14ac:dyDescent="0.55000000000000004">
      <c r="A35" s="151" t="s">
        <v>518</v>
      </c>
      <c r="B35" s="113"/>
      <c r="C35" s="113"/>
      <c r="D35" s="113"/>
      <c r="E35" s="113"/>
      <c r="F35" s="113"/>
    </row>
    <row r="36" spans="1:6" ht="44.05" customHeight="1" x14ac:dyDescent="0.55000000000000004">
      <c r="A36" s="142" t="s">
        <v>519</v>
      </c>
      <c r="B36" s="113"/>
      <c r="C36" s="113"/>
      <c r="D36" s="113"/>
      <c r="E36" s="113"/>
      <c r="F36" s="113"/>
    </row>
    <row r="37" spans="1:6" ht="18" customHeight="1" x14ac:dyDescent="0.55000000000000004">
      <c r="A37" s="40" t="s">
        <v>520</v>
      </c>
      <c r="B37" s="40" t="s">
        <v>521</v>
      </c>
      <c r="C37" s="40" t="s">
        <v>63</v>
      </c>
      <c r="D37" s="40" t="s">
        <v>522</v>
      </c>
      <c r="E37" s="40" t="s">
        <v>523</v>
      </c>
      <c r="F37" s="40" t="s">
        <v>524</v>
      </c>
    </row>
    <row r="38" spans="1:6" ht="70" customHeight="1" x14ac:dyDescent="0.55000000000000004">
      <c r="A38" s="98" t="s">
        <v>525</v>
      </c>
      <c r="B38" s="99" t="s">
        <v>526</v>
      </c>
      <c r="C38" s="100" t="s">
        <v>527</v>
      </c>
      <c r="D38" s="101" t="s">
        <v>528</v>
      </c>
      <c r="E38" s="102" t="s">
        <v>529</v>
      </c>
      <c r="F38" s="97" t="s">
        <v>530</v>
      </c>
    </row>
    <row r="39" spans="1:6" ht="70" customHeight="1" x14ac:dyDescent="0.55000000000000004">
      <c r="A39" s="103" t="s">
        <v>531</v>
      </c>
      <c r="B39" s="104" t="s">
        <v>532</v>
      </c>
      <c r="C39" s="100" t="s">
        <v>533</v>
      </c>
      <c r="D39" s="101" t="s">
        <v>534</v>
      </c>
      <c r="E39" s="102" t="s">
        <v>535</v>
      </c>
      <c r="F39" s="92" t="s">
        <v>536</v>
      </c>
    </row>
    <row r="40" spans="1:6" ht="6" customHeight="1" x14ac:dyDescent="0.55000000000000004">
      <c r="A40" s="80"/>
      <c r="B40" s="80"/>
      <c r="C40" s="80"/>
      <c r="D40" s="80"/>
      <c r="E40" s="80"/>
      <c r="F40" s="80"/>
    </row>
    <row r="41" spans="1:6" ht="22" customHeight="1" x14ac:dyDescent="0.55000000000000004">
      <c r="A41" s="151" t="s">
        <v>537</v>
      </c>
      <c r="B41" s="113"/>
      <c r="C41" s="113"/>
      <c r="D41" s="113"/>
      <c r="E41" s="113"/>
      <c r="F41" s="113"/>
    </row>
    <row r="42" spans="1:6" ht="18" customHeight="1" x14ac:dyDescent="0.55000000000000004">
      <c r="A42" s="40" t="s">
        <v>538</v>
      </c>
      <c r="B42" s="40" t="s">
        <v>539</v>
      </c>
      <c r="C42" s="133" t="s">
        <v>540</v>
      </c>
      <c r="D42" s="113"/>
      <c r="E42" s="133" t="s">
        <v>541</v>
      </c>
      <c r="F42" s="113"/>
    </row>
    <row r="43" spans="1:6" ht="56.05" customHeight="1" x14ac:dyDescent="0.55000000000000004">
      <c r="A43" s="105" t="s">
        <v>542</v>
      </c>
      <c r="B43" s="106" t="s">
        <v>543</v>
      </c>
      <c r="C43" s="149" t="s">
        <v>544</v>
      </c>
      <c r="D43" s="113"/>
      <c r="E43" s="145" t="s">
        <v>545</v>
      </c>
      <c r="F43" s="113"/>
    </row>
    <row r="44" spans="1:6" ht="56.05" customHeight="1" x14ac:dyDescent="0.55000000000000004">
      <c r="A44" s="105" t="s">
        <v>546</v>
      </c>
      <c r="B44" s="106" t="s">
        <v>547</v>
      </c>
      <c r="C44" s="148" t="s">
        <v>548</v>
      </c>
      <c r="D44" s="113"/>
      <c r="E44" s="145" t="s">
        <v>549</v>
      </c>
      <c r="F44" s="113"/>
    </row>
    <row r="45" spans="1:6" ht="56.05" customHeight="1" x14ac:dyDescent="0.55000000000000004">
      <c r="A45" s="105" t="s">
        <v>550</v>
      </c>
      <c r="B45" s="106" t="s">
        <v>551</v>
      </c>
      <c r="C45" s="149" t="s">
        <v>552</v>
      </c>
      <c r="D45" s="113"/>
      <c r="E45" s="145" t="s">
        <v>553</v>
      </c>
      <c r="F45" s="113"/>
    </row>
    <row r="46" spans="1:6" ht="56.05" customHeight="1" x14ac:dyDescent="0.55000000000000004">
      <c r="A46" s="105" t="s">
        <v>554</v>
      </c>
      <c r="B46" s="106" t="s">
        <v>555</v>
      </c>
      <c r="C46" s="148" t="s">
        <v>556</v>
      </c>
      <c r="D46" s="113"/>
      <c r="E46" s="145" t="s">
        <v>557</v>
      </c>
      <c r="F46" s="113"/>
    </row>
    <row r="47" spans="1:6" ht="56.05" customHeight="1" x14ac:dyDescent="0.55000000000000004">
      <c r="A47" s="105" t="s">
        <v>558</v>
      </c>
      <c r="B47" s="106" t="s">
        <v>559</v>
      </c>
      <c r="C47" s="149" t="s">
        <v>560</v>
      </c>
      <c r="D47" s="113"/>
      <c r="E47" s="145" t="s">
        <v>561</v>
      </c>
      <c r="F47" s="113"/>
    </row>
    <row r="48" spans="1:6" ht="56.05" customHeight="1" x14ac:dyDescent="0.55000000000000004">
      <c r="A48" s="105" t="s">
        <v>562</v>
      </c>
      <c r="B48" s="106" t="s">
        <v>563</v>
      </c>
      <c r="C48" s="148" t="s">
        <v>564</v>
      </c>
      <c r="D48" s="113"/>
      <c r="E48" s="145" t="s">
        <v>565</v>
      </c>
      <c r="F48" s="113"/>
    </row>
    <row r="49" spans="1:6" ht="56.05" customHeight="1" x14ac:dyDescent="0.55000000000000004">
      <c r="A49" s="105" t="s">
        <v>566</v>
      </c>
      <c r="B49" s="106" t="s">
        <v>567</v>
      </c>
      <c r="C49" s="149" t="s">
        <v>568</v>
      </c>
      <c r="D49" s="113"/>
      <c r="E49" s="145" t="s">
        <v>569</v>
      </c>
      <c r="F49" s="113"/>
    </row>
    <row r="50" spans="1:6" ht="56.05" customHeight="1" x14ac:dyDescent="0.55000000000000004">
      <c r="A50" s="105" t="s">
        <v>570</v>
      </c>
      <c r="B50" s="106" t="s">
        <v>571</v>
      </c>
      <c r="C50" s="148" t="s">
        <v>572</v>
      </c>
      <c r="D50" s="113"/>
      <c r="E50" s="145" t="s">
        <v>573</v>
      </c>
      <c r="F50" s="113"/>
    </row>
    <row r="51" spans="1:6" ht="56.05" customHeight="1" x14ac:dyDescent="0.55000000000000004">
      <c r="A51" s="105" t="s">
        <v>574</v>
      </c>
      <c r="B51" s="106" t="s">
        <v>575</v>
      </c>
      <c r="C51" s="149" t="s">
        <v>576</v>
      </c>
      <c r="D51" s="113"/>
      <c r="E51" s="145" t="s">
        <v>577</v>
      </c>
      <c r="F51" s="113"/>
    </row>
    <row r="52" spans="1:6" ht="6" customHeight="1" x14ac:dyDescent="0.55000000000000004">
      <c r="A52" s="80"/>
      <c r="B52" s="80"/>
      <c r="C52" s="80"/>
      <c r="D52" s="80"/>
      <c r="E52" s="80"/>
      <c r="F52" s="80"/>
    </row>
    <row r="53" spans="1:6" ht="22" customHeight="1" x14ac:dyDescent="0.55000000000000004">
      <c r="A53" s="151" t="s">
        <v>578</v>
      </c>
      <c r="B53" s="113"/>
      <c r="C53" s="113"/>
      <c r="D53" s="113"/>
      <c r="E53" s="113"/>
      <c r="F53" s="113"/>
    </row>
    <row r="54" spans="1:6" ht="18" customHeight="1" x14ac:dyDescent="0.55000000000000004">
      <c r="A54" s="40" t="s">
        <v>579</v>
      </c>
      <c r="B54" s="40" t="s">
        <v>98</v>
      </c>
      <c r="C54" s="40" t="s">
        <v>580</v>
      </c>
      <c r="D54" s="40" t="s">
        <v>581</v>
      </c>
      <c r="E54" s="133" t="s">
        <v>435</v>
      </c>
      <c r="F54" s="113"/>
    </row>
    <row r="55" spans="1:6" ht="60" customHeight="1" x14ac:dyDescent="0.55000000000000004">
      <c r="A55" s="107" t="s">
        <v>582</v>
      </c>
      <c r="B55" s="88" t="s">
        <v>583</v>
      </c>
      <c r="C55" s="108" t="s">
        <v>584</v>
      </c>
      <c r="D55" s="89" t="s">
        <v>585</v>
      </c>
      <c r="E55" s="141" t="s">
        <v>586</v>
      </c>
      <c r="F55" s="113"/>
    </row>
    <row r="56" spans="1:6" ht="60" customHeight="1" x14ac:dyDescent="0.55000000000000004">
      <c r="A56" s="107" t="s">
        <v>587</v>
      </c>
      <c r="B56" s="109" t="s">
        <v>588</v>
      </c>
      <c r="C56" s="108" t="s">
        <v>589</v>
      </c>
      <c r="D56" s="89" t="s">
        <v>585</v>
      </c>
      <c r="E56" s="141" t="s">
        <v>590</v>
      </c>
      <c r="F56" s="113"/>
    </row>
    <row r="57" spans="1:6" ht="60" customHeight="1" x14ac:dyDescent="0.55000000000000004">
      <c r="A57" s="107" t="s">
        <v>176</v>
      </c>
      <c r="B57" s="88" t="s">
        <v>591</v>
      </c>
      <c r="C57" s="108" t="s">
        <v>592</v>
      </c>
      <c r="D57" s="89" t="s">
        <v>585</v>
      </c>
      <c r="E57" s="141" t="s">
        <v>593</v>
      </c>
      <c r="F57" s="113"/>
    </row>
    <row r="58" spans="1:6" ht="60" customHeight="1" x14ac:dyDescent="0.55000000000000004">
      <c r="A58" s="107" t="s">
        <v>177</v>
      </c>
      <c r="B58" s="109" t="s">
        <v>594</v>
      </c>
      <c r="C58" s="108" t="s">
        <v>595</v>
      </c>
      <c r="D58" s="89" t="s">
        <v>585</v>
      </c>
      <c r="E58" s="141" t="s">
        <v>596</v>
      </c>
      <c r="F58" s="113"/>
    </row>
    <row r="59" spans="1:6" ht="60" customHeight="1" x14ac:dyDescent="0.55000000000000004">
      <c r="A59" s="107" t="s">
        <v>297</v>
      </c>
      <c r="B59" s="88" t="s">
        <v>597</v>
      </c>
      <c r="C59" s="108" t="s">
        <v>598</v>
      </c>
      <c r="D59" s="89" t="s">
        <v>585</v>
      </c>
      <c r="E59" s="141" t="s">
        <v>599</v>
      </c>
      <c r="F59" s="113"/>
    </row>
    <row r="60" spans="1:6" ht="60" customHeight="1" x14ac:dyDescent="0.55000000000000004">
      <c r="A60" s="107" t="s">
        <v>319</v>
      </c>
      <c r="B60" s="109" t="s">
        <v>600</v>
      </c>
      <c r="C60" s="108" t="s">
        <v>601</v>
      </c>
      <c r="D60" s="89" t="s">
        <v>602</v>
      </c>
      <c r="E60" s="141" t="s">
        <v>603</v>
      </c>
      <c r="F60" s="113"/>
    </row>
    <row r="61" spans="1:6" ht="60" customHeight="1" x14ac:dyDescent="0.55000000000000004">
      <c r="A61" s="107" t="s">
        <v>604</v>
      </c>
      <c r="B61" s="88" t="s">
        <v>605</v>
      </c>
      <c r="C61" s="108" t="s">
        <v>606</v>
      </c>
      <c r="D61" s="89" t="s">
        <v>607</v>
      </c>
      <c r="E61" s="141" t="s">
        <v>608</v>
      </c>
      <c r="F61" s="113"/>
    </row>
    <row r="62" spans="1:6" ht="60" customHeight="1" x14ac:dyDescent="0.55000000000000004">
      <c r="A62" s="107" t="s">
        <v>609</v>
      </c>
      <c r="B62" s="109" t="s">
        <v>610</v>
      </c>
      <c r="C62" s="108" t="s">
        <v>611</v>
      </c>
      <c r="D62" s="89" t="s">
        <v>612</v>
      </c>
      <c r="E62" s="141" t="s">
        <v>613</v>
      </c>
      <c r="F62" s="113"/>
    </row>
    <row r="63" spans="1:6" ht="60" customHeight="1" x14ac:dyDescent="0.55000000000000004">
      <c r="A63" s="107" t="s">
        <v>175</v>
      </c>
      <c r="B63" s="88" t="s">
        <v>614</v>
      </c>
      <c r="C63" s="108" t="s">
        <v>615</v>
      </c>
      <c r="D63" s="89" t="s">
        <v>585</v>
      </c>
      <c r="E63" s="141" t="s">
        <v>616</v>
      </c>
      <c r="F63" s="113"/>
    </row>
    <row r="64" spans="1:6" ht="6" customHeight="1" x14ac:dyDescent="0.55000000000000004">
      <c r="A64" s="80"/>
      <c r="B64" s="80"/>
      <c r="C64" s="80"/>
      <c r="D64" s="80"/>
      <c r="E64" s="80"/>
      <c r="F64" s="80"/>
    </row>
    <row r="65" spans="1:6" ht="22" customHeight="1" x14ac:dyDescent="0.55000000000000004">
      <c r="A65" s="151" t="s">
        <v>617</v>
      </c>
      <c r="B65" s="113"/>
      <c r="C65" s="113"/>
      <c r="D65" s="113"/>
      <c r="E65" s="113"/>
      <c r="F65" s="113"/>
    </row>
    <row r="66" spans="1:6" ht="28" customHeight="1" x14ac:dyDescent="0.55000000000000004">
      <c r="A66" s="142" t="s">
        <v>618</v>
      </c>
      <c r="B66" s="113"/>
      <c r="C66" s="113"/>
      <c r="D66" s="113"/>
      <c r="E66" s="113"/>
      <c r="F66" s="113"/>
    </row>
    <row r="67" spans="1:6" ht="18" customHeight="1" x14ac:dyDescent="0.55000000000000004">
      <c r="A67" s="40" t="s">
        <v>619</v>
      </c>
      <c r="B67" s="133" t="s">
        <v>620</v>
      </c>
      <c r="C67" s="113"/>
      <c r="D67" s="40" t="s">
        <v>621</v>
      </c>
      <c r="E67" s="133" t="s">
        <v>622</v>
      </c>
      <c r="F67" s="113"/>
    </row>
    <row r="68" spans="1:6" ht="52" customHeight="1" x14ac:dyDescent="0.55000000000000004">
      <c r="A68" s="105" t="s">
        <v>623</v>
      </c>
      <c r="B68" s="149" t="s">
        <v>624</v>
      </c>
      <c r="C68" s="113"/>
      <c r="D68" s="110" t="s">
        <v>625</v>
      </c>
      <c r="E68" s="143" t="s">
        <v>626</v>
      </c>
      <c r="F68" s="113"/>
    </row>
    <row r="69" spans="1:6" ht="52" customHeight="1" x14ac:dyDescent="0.55000000000000004">
      <c r="A69" s="105" t="s">
        <v>627</v>
      </c>
      <c r="B69" s="148" t="s">
        <v>628</v>
      </c>
      <c r="C69" s="113"/>
      <c r="D69" s="110" t="s">
        <v>629</v>
      </c>
      <c r="E69" s="143" t="s">
        <v>630</v>
      </c>
      <c r="F69" s="113"/>
    </row>
    <row r="70" spans="1:6" ht="52" customHeight="1" x14ac:dyDescent="0.55000000000000004">
      <c r="A70" s="105" t="s">
        <v>631</v>
      </c>
      <c r="B70" s="149" t="s">
        <v>632</v>
      </c>
      <c r="C70" s="113"/>
      <c r="D70" s="110" t="s">
        <v>629</v>
      </c>
      <c r="E70" s="143" t="s">
        <v>633</v>
      </c>
      <c r="F70" s="113"/>
    </row>
    <row r="71" spans="1:6" ht="52" customHeight="1" x14ac:dyDescent="0.55000000000000004">
      <c r="A71" s="105" t="s">
        <v>634</v>
      </c>
      <c r="B71" s="148" t="s">
        <v>635</v>
      </c>
      <c r="C71" s="113"/>
      <c r="D71" s="110" t="s">
        <v>636</v>
      </c>
      <c r="E71" s="143" t="s">
        <v>637</v>
      </c>
      <c r="F71" s="113"/>
    </row>
    <row r="72" spans="1:6" ht="52" customHeight="1" x14ac:dyDescent="0.55000000000000004">
      <c r="A72" s="105" t="s">
        <v>638</v>
      </c>
      <c r="B72" s="149" t="s">
        <v>639</v>
      </c>
      <c r="C72" s="113"/>
      <c r="D72" s="110" t="s">
        <v>640</v>
      </c>
      <c r="E72" s="143" t="s">
        <v>641</v>
      </c>
      <c r="F72" s="113"/>
    </row>
    <row r="73" spans="1:6" ht="52" customHeight="1" x14ac:dyDescent="0.55000000000000004">
      <c r="A73" s="105" t="s">
        <v>642</v>
      </c>
      <c r="B73" s="148" t="s">
        <v>643</v>
      </c>
      <c r="C73" s="113"/>
      <c r="D73" s="110" t="s">
        <v>644</v>
      </c>
      <c r="E73" s="143" t="s">
        <v>645</v>
      </c>
      <c r="F73" s="113"/>
    </row>
    <row r="74" spans="1:6" ht="52" customHeight="1" x14ac:dyDescent="0.55000000000000004">
      <c r="A74" s="105" t="s">
        <v>646</v>
      </c>
      <c r="B74" s="149" t="s">
        <v>647</v>
      </c>
      <c r="C74" s="113"/>
      <c r="D74" s="110" t="s">
        <v>648</v>
      </c>
      <c r="E74" s="143" t="s">
        <v>649</v>
      </c>
      <c r="F74" s="113"/>
    </row>
    <row r="75" spans="1:6" ht="6" customHeight="1" x14ac:dyDescent="0.55000000000000004">
      <c r="A75" s="80"/>
      <c r="B75" s="80"/>
      <c r="C75" s="80"/>
      <c r="D75" s="80"/>
      <c r="E75" s="80"/>
      <c r="F75" s="80"/>
    </row>
    <row r="76" spans="1:6" ht="22" customHeight="1" x14ac:dyDescent="0.55000000000000004">
      <c r="A76" s="151" t="s">
        <v>650</v>
      </c>
      <c r="B76" s="113"/>
      <c r="C76" s="113"/>
      <c r="D76" s="113"/>
      <c r="E76" s="113"/>
      <c r="F76" s="113"/>
    </row>
    <row r="77" spans="1:6" ht="18" customHeight="1" x14ac:dyDescent="0.55000000000000004">
      <c r="A77" s="133" t="s">
        <v>651</v>
      </c>
      <c r="B77" s="128" t="s">
        <v>652</v>
      </c>
      <c r="C77" s="113"/>
      <c r="D77" s="155" t="s">
        <v>653</v>
      </c>
      <c r="E77" s="113"/>
      <c r="F77" s="113"/>
    </row>
    <row r="78" spans="1:6" ht="32.049999999999997" customHeight="1" x14ac:dyDescent="0.55000000000000004">
      <c r="A78" s="111" t="s">
        <v>654</v>
      </c>
      <c r="B78" s="146" t="s">
        <v>655</v>
      </c>
      <c r="C78" s="113"/>
      <c r="D78" s="150" t="s">
        <v>656</v>
      </c>
      <c r="E78" s="113"/>
      <c r="F78" s="113"/>
    </row>
    <row r="79" spans="1:6" ht="32.049999999999997" customHeight="1" x14ac:dyDescent="0.55000000000000004">
      <c r="A79" s="111" t="s">
        <v>657</v>
      </c>
      <c r="B79" s="146" t="s">
        <v>658</v>
      </c>
      <c r="C79" s="113"/>
      <c r="D79" s="150" t="s">
        <v>659</v>
      </c>
      <c r="E79" s="113"/>
      <c r="F79" s="113"/>
    </row>
    <row r="80" spans="1:6" ht="32.049999999999997" customHeight="1" x14ac:dyDescent="0.55000000000000004">
      <c r="A80" s="111" t="s">
        <v>660</v>
      </c>
      <c r="B80" s="146" t="s">
        <v>661</v>
      </c>
      <c r="C80" s="113"/>
      <c r="D80" s="150" t="s">
        <v>662</v>
      </c>
      <c r="E80" s="113"/>
      <c r="F80" s="113"/>
    </row>
    <row r="81" spans="1:6" ht="32.049999999999997" customHeight="1" x14ac:dyDescent="0.55000000000000004">
      <c r="A81" s="111" t="s">
        <v>663</v>
      </c>
      <c r="B81" s="146" t="s">
        <v>664</v>
      </c>
      <c r="C81" s="113"/>
      <c r="D81" s="150" t="s">
        <v>665</v>
      </c>
      <c r="E81" s="113"/>
      <c r="F81" s="113"/>
    </row>
    <row r="82" spans="1:6" ht="32.049999999999997" customHeight="1" x14ac:dyDescent="0.55000000000000004">
      <c r="A82" s="111" t="s">
        <v>666</v>
      </c>
      <c r="B82" s="146" t="s">
        <v>667</v>
      </c>
      <c r="C82" s="113"/>
      <c r="D82" s="150" t="s">
        <v>668</v>
      </c>
      <c r="E82" s="113"/>
      <c r="F82" s="113"/>
    </row>
    <row r="83" spans="1:6" ht="32.049999999999997" customHeight="1" x14ac:dyDescent="0.55000000000000004">
      <c r="A83" s="111" t="s">
        <v>669</v>
      </c>
      <c r="B83" s="146" t="s">
        <v>670</v>
      </c>
      <c r="C83" s="113"/>
      <c r="D83" s="150" t="s">
        <v>671</v>
      </c>
      <c r="E83" s="113"/>
      <c r="F83" s="113"/>
    </row>
    <row r="84" spans="1:6" ht="32.049999999999997" customHeight="1" x14ac:dyDescent="0.55000000000000004">
      <c r="A84" s="111" t="s">
        <v>672</v>
      </c>
      <c r="B84" s="146" t="s">
        <v>673</v>
      </c>
      <c r="C84" s="113"/>
      <c r="D84" s="150" t="s">
        <v>674</v>
      </c>
      <c r="E84" s="113"/>
      <c r="F84" s="113"/>
    </row>
    <row r="85" spans="1:6" ht="32.049999999999997" customHeight="1" x14ac:dyDescent="0.55000000000000004">
      <c r="A85" s="111" t="s">
        <v>675</v>
      </c>
      <c r="B85" s="146" t="s">
        <v>676</v>
      </c>
      <c r="C85" s="113"/>
      <c r="D85" s="150" t="s">
        <v>677</v>
      </c>
      <c r="E85" s="113"/>
      <c r="F85" s="113"/>
    </row>
    <row r="86" spans="1:6" ht="32.049999999999997" customHeight="1" x14ac:dyDescent="0.55000000000000004">
      <c r="A86" s="111" t="s">
        <v>678</v>
      </c>
      <c r="B86" s="146" t="s">
        <v>679</v>
      </c>
      <c r="C86" s="113"/>
      <c r="D86" s="150" t="s">
        <v>680</v>
      </c>
      <c r="E86" s="113"/>
      <c r="F86" s="113"/>
    </row>
    <row r="87" spans="1:6" ht="32.049999999999997" customHeight="1" x14ac:dyDescent="0.55000000000000004">
      <c r="A87" s="111" t="s">
        <v>681</v>
      </c>
      <c r="B87" s="146" t="s">
        <v>682</v>
      </c>
      <c r="C87" s="113"/>
      <c r="D87" s="150" t="s">
        <v>683</v>
      </c>
      <c r="E87" s="113"/>
      <c r="F87" s="113"/>
    </row>
    <row r="88" spans="1:6" ht="32.049999999999997" customHeight="1" x14ac:dyDescent="0.55000000000000004">
      <c r="A88" s="111" t="s">
        <v>453</v>
      </c>
      <c r="B88" s="146" t="s">
        <v>684</v>
      </c>
      <c r="C88" s="113"/>
      <c r="D88" s="150" t="s">
        <v>685</v>
      </c>
      <c r="E88" s="113"/>
      <c r="F88" s="113"/>
    </row>
    <row r="89" spans="1:6" ht="6" customHeight="1" x14ac:dyDescent="0.55000000000000004">
      <c r="A89" s="80"/>
      <c r="B89" s="80"/>
      <c r="C89" s="80"/>
      <c r="D89" s="80"/>
      <c r="E89" s="80"/>
      <c r="F89" s="80"/>
    </row>
    <row r="90" spans="1:6" ht="52" customHeight="1" x14ac:dyDescent="0.55000000000000004">
      <c r="A90" s="153" t="s">
        <v>686</v>
      </c>
      <c r="B90" s="113"/>
      <c r="C90" s="113"/>
      <c r="D90" s="113"/>
      <c r="E90" s="113"/>
      <c r="F90" s="113"/>
    </row>
  </sheetData>
  <mergeCells count="92">
    <mergeCell ref="B87:C87"/>
    <mergeCell ref="D79:F79"/>
    <mergeCell ref="E45:F45"/>
    <mergeCell ref="D88:F88"/>
    <mergeCell ref="B74:C74"/>
    <mergeCell ref="D81:F81"/>
    <mergeCell ref="B68:C68"/>
    <mergeCell ref="E47:F47"/>
    <mergeCell ref="C31:F31"/>
    <mergeCell ref="E54:F54"/>
    <mergeCell ref="A36:F36"/>
    <mergeCell ref="E72:F72"/>
    <mergeCell ref="A1:F1"/>
    <mergeCell ref="E56:F56"/>
    <mergeCell ref="A65:F65"/>
    <mergeCell ref="C49:D49"/>
    <mergeCell ref="E43:F43"/>
    <mergeCell ref="C42:D42"/>
    <mergeCell ref="E42:F42"/>
    <mergeCell ref="B70:C70"/>
    <mergeCell ref="C33:F33"/>
    <mergeCell ref="A4:F4"/>
    <mergeCell ref="E60:F60"/>
    <mergeCell ref="A90:F90"/>
    <mergeCell ref="B72:C72"/>
    <mergeCell ref="E68:F68"/>
    <mergeCell ref="B81:C81"/>
    <mergeCell ref="A26:F26"/>
    <mergeCell ref="B71:C71"/>
    <mergeCell ref="D78:F78"/>
    <mergeCell ref="E44:F44"/>
    <mergeCell ref="D87:F87"/>
    <mergeCell ref="A76:F76"/>
    <mergeCell ref="C44:D44"/>
    <mergeCell ref="E69:F69"/>
    <mergeCell ref="B88:C88"/>
    <mergeCell ref="A53:F53"/>
    <mergeCell ref="B82:C82"/>
    <mergeCell ref="E59:F59"/>
    <mergeCell ref="D85:F85"/>
    <mergeCell ref="B84:C84"/>
    <mergeCell ref="B80:C80"/>
    <mergeCell ref="B79:C79"/>
    <mergeCell ref="D86:F86"/>
    <mergeCell ref="D82:F82"/>
    <mergeCell ref="B83:C83"/>
    <mergeCell ref="D84:F84"/>
    <mergeCell ref="B85:C85"/>
    <mergeCell ref="A2:F2"/>
    <mergeCell ref="C47:D47"/>
    <mergeCell ref="C30:F30"/>
    <mergeCell ref="A35:F35"/>
    <mergeCell ref="D83:F83"/>
    <mergeCell ref="A28:F28"/>
    <mergeCell ref="E58:F58"/>
    <mergeCell ref="E50:F50"/>
    <mergeCell ref="C46:D46"/>
    <mergeCell ref="E46:F46"/>
    <mergeCell ref="C51:D51"/>
    <mergeCell ref="C29:F29"/>
    <mergeCell ref="E61:F61"/>
    <mergeCell ref="C48:D48"/>
    <mergeCell ref="E70:F70"/>
    <mergeCell ref="E57:F57"/>
    <mergeCell ref="B86:C86"/>
    <mergeCell ref="A77"/>
    <mergeCell ref="A5:F5"/>
    <mergeCell ref="B67:C67"/>
    <mergeCell ref="E63:F63"/>
    <mergeCell ref="C50:D50"/>
    <mergeCell ref="C43:D43"/>
    <mergeCell ref="B69:C69"/>
    <mergeCell ref="B78:C78"/>
    <mergeCell ref="E49:F49"/>
    <mergeCell ref="D80:F80"/>
    <mergeCell ref="A7:F7"/>
    <mergeCell ref="A41:F41"/>
    <mergeCell ref="A16:F16"/>
    <mergeCell ref="E55:F55"/>
    <mergeCell ref="E67:F67"/>
    <mergeCell ref="E62:F62"/>
    <mergeCell ref="A66:F66"/>
    <mergeCell ref="E71:F71"/>
    <mergeCell ref="C32:F32"/>
    <mergeCell ref="B77:C77"/>
    <mergeCell ref="E73:F73"/>
    <mergeCell ref="E51:F51"/>
    <mergeCell ref="C45:D45"/>
    <mergeCell ref="E48:F48"/>
    <mergeCell ref="D77:F77"/>
    <mergeCell ref="E74:F74"/>
    <mergeCell ref="B73:C7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Statistic2</vt:lpstr>
      <vt:lpstr>Data Export2</vt:lpstr>
      <vt:lpstr>Data Export2 Refine</vt:lpstr>
      <vt:lpstr>Statistical Testing Results</vt:lpstr>
      <vt:lpstr>MACD_H2_Int1</vt:lpstr>
      <vt:lpstr>MACD_H2_Int2</vt:lpstr>
      <vt:lpstr>MACD_H2_Int3</vt:lpstr>
      <vt:lpstr>MACD_H2_Comp</vt:lpstr>
      <vt:lpstr>H2_Signal_Guide</vt:lpstr>
      <vt:lpstr>RT_Architecture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c:creator>
  <cp:lastModifiedBy>WiN</cp:lastModifiedBy>
  <dcterms:created xsi:type="dcterms:W3CDTF">2026-05-10T04:09:50Z</dcterms:created>
  <dcterms:modified xsi:type="dcterms:W3CDTF">2026-05-10T17:27:05Z</dcterms:modified>
</cp:coreProperties>
</file>