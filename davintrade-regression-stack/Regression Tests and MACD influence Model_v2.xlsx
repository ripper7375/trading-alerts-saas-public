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23232" windowHeight="12552" tabRatio="600" firstSheet="0" activeTab="2" autoFilterDateGrouping="1"/>
  </bookViews>
  <sheets>
    <sheet xmlns:r="http://schemas.openxmlformats.org/officeDocument/2006/relationships" name="Statistic2" sheetId="1" state="visible" r:id="rId1"/>
    <sheet xmlns:r="http://schemas.openxmlformats.org/officeDocument/2006/relationships" name="Data Export2" sheetId="2" state="visible" r:id="rId2"/>
    <sheet xmlns:r="http://schemas.openxmlformats.org/officeDocument/2006/relationships" name="Data Export2 Refine" sheetId="3" state="visible" r:id="rId3"/>
    <sheet xmlns:r="http://schemas.openxmlformats.org/officeDocument/2006/relationships" name="MACD_H2_Int1" sheetId="4" state="visible" r:id="rId4"/>
    <sheet xmlns:r="http://schemas.openxmlformats.org/officeDocument/2006/relationships" name="MACD_H2_Int2" sheetId="5" state="visible" r:id="rId5"/>
    <sheet xmlns:r="http://schemas.openxmlformats.org/officeDocument/2006/relationships" name="MACD_H2_Int3" sheetId="6" state="visible" r:id="rId6"/>
    <sheet xmlns:r="http://schemas.openxmlformats.org/officeDocument/2006/relationships" name="MACD_H2_Comp" sheetId="7" state="visible" r:id="rId7"/>
    <sheet xmlns:r="http://schemas.openxmlformats.org/officeDocument/2006/relationships" name="H2_Signal_Guide" sheetId="8" state="visible" r:id="rId8"/>
    <sheet xmlns:r="http://schemas.openxmlformats.org/officeDocument/2006/relationships" name="RT_Architecture" sheetId="9" state="visible" r:id="rId9"/>
    <sheet xmlns:r="http://schemas.openxmlformats.org/officeDocument/2006/relationships" name="UI_Signal_Comments" sheetId="10" state="visible" r:id="rId10"/>
  </sheets>
  <definedNames/>
  <calcPr calcId="191029" fullCalcOnLoad="1" iterateDelta="0.0001"/>
</workbook>
</file>

<file path=xl/styles.xml><?xml version="1.0" encoding="utf-8"?>
<styleSheet xmlns="http://schemas.openxmlformats.org/spreadsheetml/2006/main">
  <numFmts count="1">
    <numFmt numFmtId="164" formatCode="0.0000"/>
  </numFmts>
  <fonts count="71">
    <font>
      <name val="Calibri"/>
      <family val="2"/>
      <color theme="1"/>
      <sz val="11"/>
      <scheme val="minor"/>
    </font>
    <font>
      <name val="Calibri"/>
      <family val="2"/>
      <b val="1"/>
      <color theme="0"/>
      <sz val="11"/>
      <scheme val="minor"/>
    </font>
    <font>
      <name val="Calibri"/>
      <family val="2"/>
      <color theme="0"/>
      <sz val="11"/>
      <scheme val="minor"/>
    </font>
    <font>
      <name val="Calibri"/>
      <family val="2"/>
      <b val="1"/>
      <color rgb="FFFF0000"/>
      <sz val="11"/>
      <scheme val="minor"/>
    </font>
    <font>
      <name val="Calibri"/>
      <b val="1"/>
      <color rgb="FFFFFFFF"/>
      <sz val="11"/>
    </font>
    <font>
      <name val="Calibri"/>
      <b val="1"/>
      <color rgb="FFFFFFFF"/>
      <sz val="11"/>
    </font>
    <font>
      <name val="Calibri"/>
      <b val="1"/>
      <color rgb="FFFFFFFF"/>
      <sz val="10"/>
    </font>
    <font>
      <name val="Calibri"/>
      <color rgb="FF7F6000"/>
      <sz val="10"/>
    </font>
    <font>
      <name val="Calibri"/>
      <color rgb="FF000000"/>
      <sz val="10"/>
    </font>
    <font>
      <name val="Calibri"/>
      <color rgb="FF7030A0"/>
      <sz val="8"/>
    </font>
    <font>
      <name val="Calibri"/>
      <b val="1"/>
      <color rgb="FF000000"/>
      <sz val="10"/>
    </font>
    <font>
      <name val="Calibri"/>
      <b val="1"/>
      <color rgb="FF7F6000"/>
      <sz val="10"/>
    </font>
    <font>
      <name val="Calibri"/>
      <color rgb="FF1F3864"/>
      <sz val="9"/>
    </font>
    <font>
      <name val="Calibri"/>
      <color rgb="FF7030A0"/>
      <sz val="9"/>
    </font>
    <font>
      <name val="Calibri"/>
      <b val="1"/>
      <color rgb="FFFFFFFF"/>
      <sz val="12"/>
    </font>
    <font>
      <name val="Calibri"/>
      <i val="1"/>
      <color rgb="FF4B1A80"/>
      <sz val="9"/>
    </font>
    <font>
      <name val="Calibri"/>
      <b val="1"/>
      <color rgb="FF1F3864"/>
      <sz val="9"/>
    </font>
    <font>
      <name val="Calibri"/>
      <b val="1"/>
      <color rgb="FF375623"/>
      <sz val="9"/>
    </font>
    <font>
      <name val="Calibri"/>
      <color rgb="FF404040"/>
      <sz val="9"/>
    </font>
    <font>
      <name val="Calibri"/>
      <color rgb="FF1F4E79"/>
      <sz val="9"/>
    </font>
    <font>
      <name val="Calibri"/>
      <b val="1"/>
      <color rgb="FF1F4E79"/>
      <sz val="9"/>
    </font>
    <font>
      <name val="Calibri"/>
      <color rgb="FF000000"/>
      <sz val="9"/>
    </font>
    <font>
      <name val="Calibri"/>
      <b val="1"/>
      <color rgb="FF7030A0"/>
      <sz val="9"/>
    </font>
    <font>
      <name val="Calibri"/>
      <b val="1"/>
      <color rgb="FF404040"/>
      <sz val="9"/>
    </font>
    <font>
      <name val="Calibri"/>
      <b val="1"/>
      <color rgb="FFC55A11"/>
      <sz val="9"/>
    </font>
    <font>
      <name val="Calibri"/>
      <b val="1"/>
      <color rgb="FFFFFFFF"/>
      <sz val="9"/>
    </font>
    <font>
      <name val="Calibri"/>
      <b val="1"/>
      <color rgb="FF7F6000"/>
      <sz val="9"/>
    </font>
    <font>
      <name val="Calibri"/>
      <b val="1"/>
      <color rgb="FF276221"/>
      <sz val="9"/>
    </font>
    <font>
      <name val="Calibri"/>
      <b val="1"/>
      <color rgb="FF9C0006"/>
      <sz val="9"/>
    </font>
    <font>
      <name val="Calibri"/>
      <b val="1"/>
      <color rgb="FF595959"/>
      <sz val="9"/>
    </font>
    <font>
      <name val="Calibri"/>
      <b val="1"/>
      <color rgb="FF843C0C"/>
      <sz val="9"/>
    </font>
    <font>
      <name val="Calibri"/>
      <color rgb="FF7F6000"/>
      <sz val="9"/>
    </font>
    <font>
      <name val="Calibri"/>
      <b val="1"/>
      <color rgb="FFFFFFFF"/>
      <sz val="13"/>
    </font>
    <font>
      <name val="Calibri"/>
      <color rgb="FF1F4E79"/>
      <sz val="10"/>
    </font>
    <font>
      <name val="Calibri"/>
      <i val="1"/>
      <color rgb="FF595959"/>
      <sz val="9"/>
    </font>
    <font>
      <name val="Calibri"/>
      <i val="1"/>
      <color rgb="FF7F6000"/>
      <sz val="9"/>
    </font>
    <font>
      <name val="Calibri"/>
      <color rgb="FF375623"/>
      <sz val="9"/>
    </font>
    <font>
      <name val="Calibri"/>
      <color rgb="FF843C0C"/>
      <sz val="9"/>
    </font>
    <font>
      <name val="Calibri"/>
      <i val="1"/>
      <color rgb="FF7030A0"/>
      <sz val="9"/>
    </font>
    <font>
      <name val="Calibri"/>
      <i val="1"/>
      <color rgb="FF1F3864"/>
      <sz val="8"/>
    </font>
    <font>
      <name val="Calibri"/>
      <i val="1"/>
      <color rgb="FF375623"/>
      <sz val="9"/>
    </font>
    <font>
      <name val="Calibri"/>
      <color rgb="FF276221"/>
      <sz val="9"/>
    </font>
    <font>
      <name val="Arial"/>
      <b val="1"/>
      <color rgb="00FFFFFF"/>
      <sz val="13"/>
    </font>
    <font>
      <name val="Arial"/>
      <i val="1"/>
      <color rgb="00BDC3C7"/>
      <sz val="9"/>
    </font>
    <font>
      <name val="Arial"/>
      <i val="1"/>
      <color rgb="007D6608"/>
      <sz val="8"/>
    </font>
    <font>
      <name val="Arial"/>
      <b val="1"/>
      <color rgb="001F3864"/>
      <sz val="9"/>
    </font>
    <font>
      <name val="Arial"/>
      <b val="1"/>
      <color rgb="00FFFFFF"/>
      <sz val="10"/>
    </font>
    <font>
      <name val="Arial"/>
      <i val="1"/>
      <color rgb="001A5276"/>
      <sz val="8"/>
    </font>
    <font>
      <name val="Arial"/>
      <b val="1"/>
      <color rgb="00000000"/>
      <sz val="9"/>
    </font>
    <font>
      <name val="Arial"/>
      <color rgb="00222222"/>
      <sz val="9"/>
    </font>
    <font>
      <name val="Arial"/>
      <color rgb="00444444"/>
      <sz val="9"/>
    </font>
    <font>
      <name val="Arial"/>
      <b val="1"/>
      <color rgb="00C0392B"/>
      <sz val="9"/>
    </font>
    <font>
      <name val="Arial"/>
      <b val="1"/>
      <color rgb="00000000"/>
      <sz val="10"/>
    </font>
    <font>
      <name val="Arial"/>
      <b val="1"/>
      <color rgb="00B7950B"/>
      <sz val="9"/>
    </font>
    <font>
      <name val="Arial"/>
      <color rgb="00000000"/>
      <sz val="9"/>
    </font>
    <font>
      <name val="Arial"/>
      <b val="1"/>
      <color rgb="00FFFFFF"/>
      <sz val="9"/>
    </font>
    <font>
      <name val="Arial"/>
      <color rgb="00888888"/>
      <sz val="9"/>
    </font>
    <font>
      <name val="Arial"/>
      <color rgb="00000000"/>
      <sz val="10"/>
    </font>
    <font>
      <name val="Arial"/>
      <b val="1"/>
      <color rgb="0027AE60"/>
      <sz val="9"/>
    </font>
    <font>
      <name val="Arial"/>
      <color rgb="00FFFFFF"/>
      <sz val="9"/>
    </font>
    <font>
      <name val="Arial"/>
      <b val="1"/>
      <color rgb="00F39C12"/>
      <sz val="9"/>
    </font>
    <font>
      <name val="Arial"/>
      <b val="1"/>
      <color rgb="00E67E22"/>
      <sz val="9"/>
    </font>
    <font>
      <name val="Arial"/>
      <b val="1"/>
      <color rgb="00196F3D"/>
      <sz val="9"/>
    </font>
    <font>
      <name val="Arial"/>
      <b val="1"/>
      <color rgb="0082C985"/>
      <sz val="9"/>
    </font>
    <font>
      <name val="Arial"/>
      <b val="1"/>
      <color rgb="008B0000"/>
      <sz val="9"/>
    </font>
    <font>
      <name val="Arial"/>
      <b val="1"/>
      <color rgb="00148F77"/>
      <sz val="9"/>
    </font>
    <font>
      <name val="Arial"/>
      <b val="1"/>
      <color rgb="006C3483"/>
      <sz val="9"/>
    </font>
    <font>
      <name val="Arial"/>
      <b val="1"/>
      <color rgb="001A5276"/>
      <sz val="9"/>
    </font>
    <font>
      <name val="Arial"/>
      <b val="1"/>
      <color rgb="00626567"/>
      <sz val="9"/>
    </font>
    <font>
      <name val="Arial"/>
      <b val="1"/>
      <sz val="9"/>
    </font>
    <font>
      <name val="Arial"/>
      <sz val="9"/>
    </font>
  </fonts>
  <fills count="69">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2F2F2"/>
      </patternFill>
    </fill>
    <fill>
      <patternFill patternType="solid">
        <fgColor rgb="FFFF0000"/>
        <bgColor indexed="64"/>
      </patternFill>
    </fill>
    <fill>
      <patternFill patternType="solid">
        <fgColor rgb="FF00B050"/>
        <bgColor indexed="64"/>
      </patternFill>
    </fill>
    <fill>
      <patternFill patternType="solid">
        <fgColor rgb="FF7030A0"/>
        <bgColor indexed="64"/>
      </patternFill>
    </fill>
    <fill>
      <patternFill patternType="solid">
        <fgColor rgb="FF7030A0"/>
      </patternFill>
    </fill>
    <fill>
      <patternFill patternType="solid">
        <fgColor rgb="FF1F3864"/>
      </patternFill>
    </fill>
    <fill>
      <patternFill patternType="solid">
        <fgColor rgb="FF2E75B6"/>
      </patternFill>
    </fill>
    <fill>
      <patternFill patternType="solid">
        <fgColor rgb="FF5BA3C9"/>
      </patternFill>
    </fill>
    <fill>
      <patternFill patternType="solid">
        <fgColor rgb="FFFFF2CC"/>
      </patternFill>
    </fill>
    <fill>
      <patternFill patternType="solid">
        <fgColor rgb="FFD9D9D9"/>
      </patternFill>
    </fill>
    <fill>
      <patternFill patternType="solid">
        <fgColor rgb="FFFFFFFF"/>
      </patternFill>
    </fill>
    <fill>
      <patternFill patternType="solid">
        <fgColor rgb="FFEFE6F7"/>
      </patternFill>
    </fill>
    <fill>
      <patternFill patternType="solid">
        <fgColor rgb="FFF3EDF9"/>
      </patternFill>
    </fill>
    <fill>
      <patternFill patternType="solid">
        <fgColor rgb="FFED7D31"/>
      </patternFill>
    </fill>
    <fill>
      <patternFill patternType="solid">
        <fgColor rgb="FFF4B183"/>
      </patternFill>
    </fill>
    <fill>
      <patternFill patternType="solid">
        <fgColor rgb="FF374151"/>
      </patternFill>
    </fill>
    <fill>
      <patternFill patternType="solid">
        <fgColor rgb="FFEFF3FB"/>
      </patternFill>
    </fill>
    <fill>
      <patternFill patternType="solid">
        <fgColor rgb="FFF3E6F7"/>
      </patternFill>
    </fill>
    <fill>
      <patternFill patternType="solid">
        <fgColor rgb="FFD9D2E9"/>
      </patternFill>
    </fill>
    <fill>
      <patternFill patternType="solid">
        <fgColor rgb="FFE2EFDA"/>
      </patternFill>
    </fill>
    <fill>
      <patternFill patternType="solid">
        <fgColor rgb="FFFCE4D6"/>
      </patternFill>
    </fill>
    <fill>
      <patternFill patternType="solid">
        <fgColor rgb="FFD6E4F0"/>
      </patternFill>
    </fill>
    <fill>
      <patternFill patternType="solid">
        <fgColor rgb="FFDEEAF1"/>
      </patternFill>
    </fill>
    <fill>
      <patternFill patternType="solid">
        <fgColor rgb="FFFAFAFA"/>
      </patternFill>
    </fill>
    <fill>
      <patternFill patternType="solid">
        <fgColor rgb="FFF5F5F5"/>
      </patternFill>
    </fill>
    <fill>
      <patternFill patternType="solid">
        <fgColor rgb="FFC9C9C9"/>
      </patternFill>
    </fill>
    <fill>
      <patternFill patternType="solid">
        <fgColor rgb="FFDDEBF7"/>
      </patternFill>
    </fill>
    <fill>
      <patternFill patternType="solid">
        <fgColor rgb="FFFEFEFE"/>
      </patternFill>
    </fill>
    <fill>
      <patternFill patternType="solid">
        <fgColor rgb="FF70AD47"/>
      </patternFill>
    </fill>
    <fill>
      <patternFill patternType="solid">
        <fgColor rgb="FFC00000"/>
      </patternFill>
    </fill>
    <fill>
      <patternFill patternType="solid">
        <fgColor rgb="FFF0F7FF"/>
      </patternFill>
    </fill>
    <fill>
      <patternFill patternType="solid">
        <fgColor rgb="FFF0F0F0"/>
      </patternFill>
    </fill>
    <fill>
      <patternFill patternType="solid">
        <fgColor rgb="FF375623"/>
      </patternFill>
    </fill>
    <fill>
      <patternFill patternType="solid">
        <fgColor rgb="001F3864"/>
      </patternFill>
    </fill>
    <fill>
      <patternFill patternType="solid">
        <fgColor rgb="002C3E50"/>
      </patternFill>
    </fill>
    <fill>
      <patternFill patternType="solid">
        <fgColor rgb="00FEF9E7"/>
      </patternFill>
    </fill>
    <fill>
      <patternFill patternType="solid">
        <fgColor rgb="00D6E4F7"/>
      </patternFill>
    </fill>
    <fill>
      <patternFill patternType="solid">
        <fgColor rgb="002E4A7A"/>
      </patternFill>
    </fill>
    <fill>
      <patternFill patternType="solid">
        <fgColor rgb="00EBF5FB"/>
      </patternFill>
    </fill>
    <fill>
      <patternFill patternType="solid">
        <fgColor rgb="00FEF5E7"/>
      </patternFill>
    </fill>
    <fill>
      <patternFill patternType="solid">
        <fgColor rgb="00B7950B"/>
      </patternFill>
    </fill>
    <fill>
      <patternFill patternType="solid">
        <fgColor rgb="00F8FBFF"/>
      </patternFill>
    </fill>
    <fill>
      <patternFill patternType="solid">
        <fgColor rgb="0027AE60"/>
      </patternFill>
    </fill>
    <fill>
      <patternFill patternType="solid">
        <fgColor rgb="00EAFAF1"/>
      </patternFill>
    </fill>
    <fill>
      <patternFill patternType="solid">
        <fgColor rgb="00F39C12"/>
      </patternFill>
    </fill>
    <fill>
      <patternFill patternType="solid">
        <fgColor rgb="00FDEBD0"/>
      </patternFill>
    </fill>
    <fill>
      <patternFill patternType="solid">
        <fgColor rgb="00E67E22"/>
      </patternFill>
    </fill>
    <fill>
      <patternFill patternType="solid">
        <fgColor rgb="00C0392B"/>
      </patternFill>
    </fill>
    <fill>
      <patternFill patternType="solid">
        <fgColor rgb="00FDEDEC"/>
      </patternFill>
    </fill>
    <fill>
      <patternFill patternType="solid">
        <fgColor rgb="00A9DFBF"/>
      </patternFill>
    </fill>
    <fill>
      <patternFill patternType="solid">
        <fgColor rgb="00196F3D"/>
      </patternFill>
    </fill>
    <fill>
      <patternFill patternType="solid">
        <fgColor rgb="0082C985"/>
      </patternFill>
    </fill>
    <fill>
      <patternFill patternType="solid">
        <fgColor rgb="00FADBD8"/>
      </patternFill>
    </fill>
    <fill>
      <patternFill patternType="solid">
        <fgColor rgb="008B0000"/>
      </patternFill>
    </fill>
    <fill>
      <patternFill patternType="solid">
        <fgColor rgb="00E8F8F5"/>
      </patternFill>
    </fill>
    <fill>
      <patternFill patternType="solid">
        <fgColor rgb="00148F77"/>
      </patternFill>
    </fill>
    <fill>
      <patternFill patternType="solid">
        <fgColor rgb="00F5EEF8"/>
      </patternFill>
    </fill>
    <fill>
      <patternFill patternType="solid">
        <fgColor rgb="006C3483"/>
      </patternFill>
    </fill>
    <fill>
      <patternFill patternType="solid">
        <fgColor rgb="00D5F5E3"/>
      </patternFill>
    </fill>
    <fill>
      <patternFill patternType="solid">
        <fgColor rgb="00A9CCE3"/>
      </patternFill>
    </fill>
    <fill>
      <patternFill patternType="solid">
        <fgColor rgb="001A5276"/>
      </patternFill>
    </fill>
    <fill>
      <patternFill patternType="solid">
        <fgColor rgb="00F2F3F4"/>
      </patternFill>
    </fill>
    <fill>
      <patternFill patternType="solid">
        <fgColor rgb="00626567"/>
      </patternFill>
    </fill>
    <fill>
      <patternFill patternType="solid">
        <fgColor rgb="00FFFFFF"/>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260">
    <xf numFmtId="0" fontId="0" fillId="0" borderId="0" pivotButton="0" quotePrefix="0" xfId="0"/>
    <xf numFmtId="0" fontId="1" fillId="6" borderId="0" applyAlignment="1" pivotButton="0" quotePrefix="0" xfId="0">
      <alignment horizontal="center"/>
    </xf>
    <xf numFmtId="0" fontId="1" fillId="7" borderId="0" applyAlignment="1" pivotButton="0" quotePrefix="0" xfId="0">
      <alignment horizontal="center"/>
    </xf>
    <xf numFmtId="0" fontId="1" fillId="7" borderId="0" pivotButton="0" quotePrefix="0" xfId="0"/>
    <xf numFmtId="0" fontId="3" fillId="0" borderId="0" pivotButton="0" quotePrefix="0" xfId="0"/>
    <xf numFmtId="0" fontId="4" fillId="9" borderId="0" applyAlignment="1" pivotButton="0" quotePrefix="0" xfId="0">
      <alignment horizontal="center"/>
    </xf>
    <xf numFmtId="0" fontId="8" fillId="14" borderId="0" applyAlignment="1" pivotButton="0" quotePrefix="0" xfId="0">
      <alignment horizontal="left" vertical="center"/>
    </xf>
    <xf numFmtId="0" fontId="6" fillId="10" borderId="0" applyAlignment="1" pivotButton="0" quotePrefix="0" xfId="0">
      <alignment horizontal="left" vertical="center"/>
    </xf>
    <xf numFmtId="0" fontId="6" fillId="10" borderId="0" applyAlignment="1" pivotButton="0" quotePrefix="0" xfId="0">
      <alignment horizontal="center" vertical="center"/>
    </xf>
    <xf numFmtId="0" fontId="6" fillId="11" borderId="0" applyAlignment="1" pivotButton="0" quotePrefix="0" xfId="0">
      <alignment horizontal="center" vertical="center"/>
    </xf>
    <xf numFmtId="0" fontId="8" fillId="15" borderId="0" applyAlignment="1" pivotButton="0" quotePrefix="0" xfId="0">
      <alignment horizontal="left" vertical="center"/>
    </xf>
    <xf numFmtId="1" fontId="8" fillId="15" borderId="0" applyAlignment="1" pivotButton="0" quotePrefix="0" xfId="0">
      <alignment horizontal="center" vertical="center"/>
    </xf>
    <xf numFmtId="164" fontId="8" fillId="15" borderId="0" applyAlignment="1" pivotButton="0" quotePrefix="0" xfId="0">
      <alignment horizontal="center" vertical="center"/>
    </xf>
    <xf numFmtId="2" fontId="8" fillId="15" borderId="0" applyAlignment="1" pivotButton="0" quotePrefix="0" xfId="0">
      <alignment horizontal="center" vertical="center"/>
    </xf>
    <xf numFmtId="0" fontId="8" fillId="5" borderId="0" applyAlignment="1" pivotButton="0" quotePrefix="0" xfId="0">
      <alignment horizontal="left" vertical="center"/>
    </xf>
    <xf numFmtId="0" fontId="8" fillId="5" borderId="0" applyAlignment="1" pivotButton="0" quotePrefix="0" xfId="0">
      <alignment horizontal="center" vertical="center"/>
    </xf>
    <xf numFmtId="0" fontId="8" fillId="16" borderId="0" applyAlignment="1" pivotButton="0" quotePrefix="0" xfId="0">
      <alignment horizontal="left" vertical="center"/>
    </xf>
    <xf numFmtId="2" fontId="8" fillId="16" borderId="0" applyAlignment="1" pivotButton="0" quotePrefix="0" xfId="0">
      <alignment horizontal="center" vertical="center"/>
    </xf>
    <xf numFmtId="164" fontId="8" fillId="16" borderId="0" applyAlignment="1" pivotButton="0" quotePrefix="0" xfId="0">
      <alignment horizontal="center" vertical="center"/>
    </xf>
    <xf numFmtId="0" fontId="8" fillId="17" borderId="0" applyAlignment="1" pivotButton="0" quotePrefix="0" xfId="0">
      <alignment horizontal="left" vertical="center"/>
    </xf>
    <xf numFmtId="2" fontId="8" fillId="17" borderId="0" applyAlignment="1" pivotButton="0" quotePrefix="0" xfId="0">
      <alignment horizontal="center" vertical="center"/>
    </xf>
    <xf numFmtId="1" fontId="8" fillId="16" borderId="0" applyAlignment="1" pivotButton="0" quotePrefix="0" xfId="0">
      <alignment horizontal="center" vertical="center"/>
    </xf>
    <xf numFmtId="0" fontId="9" fillId="16" borderId="0" applyAlignment="1" pivotButton="0" quotePrefix="0" xfId="0">
      <alignment horizontal="left" vertical="center" wrapText="1"/>
    </xf>
    <xf numFmtId="0" fontId="10" fillId="19" borderId="0" applyAlignment="1" pivotButton="0" quotePrefix="0" xfId="0">
      <alignment horizontal="left" vertical="center"/>
    </xf>
    <xf numFmtId="0" fontId="10" fillId="19" borderId="0" applyAlignment="1" pivotButton="0" quotePrefix="0" xfId="0">
      <alignment horizontal="center" vertical="center"/>
    </xf>
    <xf numFmtId="0" fontId="8" fillId="13" borderId="0" applyAlignment="1" pivotButton="0" quotePrefix="0" xfId="0">
      <alignment horizontal="left" vertical="center"/>
    </xf>
    <xf numFmtId="164" fontId="8" fillId="13" borderId="0" applyAlignment="1" pivotButton="0" quotePrefix="0" xfId="0">
      <alignment horizontal="center" vertical="center"/>
    </xf>
    <xf numFmtId="2" fontId="10" fillId="4" borderId="0" applyAlignment="1" pivotButton="0" quotePrefix="0" xfId="0">
      <alignment horizontal="center" vertical="center"/>
    </xf>
    <xf numFmtId="2" fontId="6" fillId="10" borderId="0" applyAlignment="1" pivotButton="0" quotePrefix="0" xfId="0">
      <alignment horizontal="center" vertical="center"/>
    </xf>
    <xf numFmtId="0" fontId="11" fillId="13" borderId="0" applyAlignment="1" pivotButton="0" quotePrefix="0" xfId="0">
      <alignment horizontal="center" vertical="center" wrapText="1"/>
    </xf>
    <xf numFmtId="0" fontId="6" fillId="20" borderId="0" applyAlignment="1" pivotButton="0" quotePrefix="0" xfId="0">
      <alignment horizontal="center" vertical="center"/>
    </xf>
    <xf numFmtId="0" fontId="6" fillId="12" borderId="0" applyAlignment="1" pivotButton="0" quotePrefix="0" xfId="0">
      <alignment horizontal="center" vertical="center"/>
    </xf>
    <xf numFmtId="1" fontId="8" fillId="0" borderId="0" applyAlignment="1" pivotButton="0" quotePrefix="0" xfId="0">
      <alignment horizontal="center" vertical="center"/>
    </xf>
    <xf numFmtId="2" fontId="8" fillId="0" borderId="0" applyAlignment="1" pivotButton="0" quotePrefix="0" xfId="0">
      <alignment horizontal="center" vertical="center"/>
    </xf>
    <xf numFmtId="164" fontId="8" fillId="0" borderId="0" applyAlignment="1" pivotButton="0" quotePrefix="0" xfId="0">
      <alignment horizontal="center" vertical="center"/>
    </xf>
    <xf numFmtId="0" fontId="8" fillId="4" borderId="0" applyAlignment="1" pivotButton="0" quotePrefix="0" xfId="0">
      <alignment horizontal="left" vertical="center"/>
    </xf>
    <xf numFmtId="0" fontId="7" fillId="13" borderId="0" applyAlignment="1" pivotButton="0" quotePrefix="0" xfId="0">
      <alignment horizontal="left" vertical="center"/>
    </xf>
    <xf numFmtId="0" fontId="8" fillId="23" borderId="0" applyAlignment="1" pivotButton="0" quotePrefix="0" xfId="0">
      <alignment horizontal="left" vertical="center"/>
    </xf>
    <xf numFmtId="2" fontId="8" fillId="23" borderId="0" applyAlignment="1" pivotButton="0" quotePrefix="0" xfId="0">
      <alignment horizontal="center" vertical="center"/>
    </xf>
    <xf numFmtId="1" fontId="10" fillId="24" borderId="0" applyAlignment="1" pivotButton="0" quotePrefix="0" xfId="0">
      <alignment horizontal="center" vertical="center"/>
    </xf>
    <xf numFmtId="0" fontId="10" fillId="25" borderId="0" applyAlignment="1" pivotButton="0" quotePrefix="0" xfId="0">
      <alignment horizontal="center" vertical="center"/>
    </xf>
    <xf numFmtId="0" fontId="6" fillId="20" borderId="0" applyAlignment="1" pivotButton="0" quotePrefix="0" xfId="0">
      <alignment horizontal="center" vertical="top"/>
    </xf>
    <xf numFmtId="0" fontId="22" fillId="15" borderId="0" applyAlignment="1" pivotButton="0" quotePrefix="0" xfId="0">
      <alignment horizontal="left" vertical="top" wrapText="1"/>
    </xf>
    <xf numFmtId="0" fontId="17" fillId="24" borderId="0" applyAlignment="1" pivotButton="0" quotePrefix="0" xfId="0">
      <alignment horizontal="left" vertical="top" wrapText="1"/>
    </xf>
    <xf numFmtId="0" fontId="18" fillId="15" borderId="0" applyAlignment="1" pivotButton="0" quotePrefix="0" xfId="0">
      <alignment horizontal="left" vertical="top" wrapText="1"/>
    </xf>
    <xf numFmtId="0" fontId="19" fillId="15" borderId="0" applyAlignment="1" pivotButton="0" quotePrefix="0" xfId="0">
      <alignment horizontal="left" vertical="top" wrapText="1"/>
    </xf>
    <xf numFmtId="0" fontId="20" fillId="27" borderId="0" applyAlignment="1" pivotButton="0" quotePrefix="0" xfId="0">
      <alignment horizontal="center" vertical="top" wrapText="1"/>
    </xf>
    <xf numFmtId="0" fontId="21" fillId="28" borderId="0" applyAlignment="1" pivotButton="0" quotePrefix="0" xfId="0">
      <alignment horizontal="left" vertical="top" wrapText="1"/>
    </xf>
    <xf numFmtId="0" fontId="22" fillId="29" borderId="0" applyAlignment="1" pivotButton="0" quotePrefix="0" xfId="0">
      <alignment horizontal="left" vertical="top" wrapText="1"/>
    </xf>
    <xf numFmtId="0" fontId="18" fillId="29" borderId="0" applyAlignment="1" pivotButton="0" quotePrefix="0" xfId="0">
      <alignment horizontal="left" vertical="top" wrapText="1"/>
    </xf>
    <xf numFmtId="0" fontId="19" fillId="29" borderId="0" applyAlignment="1" pivotButton="0" quotePrefix="0" xfId="0">
      <alignment horizontal="left" vertical="top" wrapText="1"/>
    </xf>
    <xf numFmtId="0" fontId="23" fillId="14" borderId="0" applyAlignment="1" pivotButton="0" quotePrefix="0" xfId="0">
      <alignment horizontal="center" vertical="top" wrapText="1"/>
    </xf>
    <xf numFmtId="0" fontId="24" fillId="25" borderId="0" applyAlignment="1" pivotButton="0" quotePrefix="0" xfId="0">
      <alignment horizontal="center" vertical="top" wrapText="1"/>
    </xf>
    <xf numFmtId="0" fontId="25" fillId="18" borderId="0" applyAlignment="1" pivotButton="0" quotePrefix="0" xfId="0">
      <alignment horizontal="center" vertical="top" wrapText="1"/>
    </xf>
    <xf numFmtId="0" fontId="8" fillId="30" borderId="0" applyAlignment="1" pivotButton="0" quotePrefix="0" xfId="0">
      <alignment horizontal="left" vertical="top" wrapText="1"/>
    </xf>
    <xf numFmtId="0" fontId="26" fillId="13" borderId="0" applyAlignment="1" pivotButton="0" quotePrefix="0" xfId="0">
      <alignment horizontal="center" vertical="top" wrapText="1"/>
    </xf>
    <xf numFmtId="0" fontId="16" fillId="31" borderId="0" applyAlignment="1" pivotButton="0" quotePrefix="0" xfId="0">
      <alignment horizontal="center" vertical="top" wrapText="1"/>
    </xf>
    <xf numFmtId="0" fontId="27" fillId="2" borderId="0" applyAlignment="1" pivotButton="0" quotePrefix="0" xfId="0">
      <alignment horizontal="center" vertical="top" wrapText="1"/>
    </xf>
    <xf numFmtId="0" fontId="17" fillId="24" borderId="0" applyAlignment="1" pivotButton="0" quotePrefix="0" xfId="0">
      <alignment horizontal="center" vertical="top" wrapText="1"/>
    </xf>
    <xf numFmtId="0" fontId="28" fillId="3" borderId="0" applyAlignment="1" pivotButton="0" quotePrefix="0" xfId="0">
      <alignment horizontal="center" vertical="top" wrapText="1"/>
    </xf>
    <xf numFmtId="0" fontId="29" fillId="5" borderId="0" applyAlignment="1" pivotButton="0" quotePrefix="0" xfId="0">
      <alignment horizontal="center" vertical="top" wrapText="1"/>
    </xf>
    <xf numFmtId="0" fontId="30" fillId="25" borderId="0" applyAlignment="1" pivotButton="0" quotePrefix="0" xfId="0">
      <alignment horizontal="center" vertical="top" wrapText="1"/>
    </xf>
    <xf numFmtId="0" fontId="22" fillId="16" borderId="0" applyAlignment="1" pivotButton="0" quotePrefix="0" xfId="0">
      <alignment horizontal="center" vertical="top" wrapText="1"/>
    </xf>
    <xf numFmtId="0" fontId="20" fillId="31" borderId="0" applyAlignment="1" pivotButton="0" quotePrefix="0" xfId="0">
      <alignment horizontal="center" vertical="top" wrapText="1"/>
    </xf>
    <xf numFmtId="0" fontId="16" fillId="32" borderId="0" applyAlignment="1" pivotButton="0" quotePrefix="0" xfId="0">
      <alignment horizontal="center" vertical="top" wrapText="1"/>
    </xf>
    <xf numFmtId="0" fontId="18" fillId="32" borderId="0" applyAlignment="1" pivotButton="0" quotePrefix="0" xfId="0">
      <alignment horizontal="left" vertical="top" wrapText="1"/>
    </xf>
    <xf numFmtId="0" fontId="19" fillId="32" borderId="0" applyAlignment="1" pivotButton="0" quotePrefix="0" xfId="0">
      <alignment horizontal="left" vertical="top" wrapText="1"/>
    </xf>
    <xf numFmtId="0" fontId="25" fillId="33" borderId="0" applyAlignment="1" pivotButton="0" quotePrefix="0" xfId="0">
      <alignment horizontal="center" vertical="top" wrapText="1"/>
    </xf>
    <xf numFmtId="0" fontId="16" fillId="29" borderId="0" applyAlignment="1" pivotButton="0" quotePrefix="0" xfId="0">
      <alignment horizontal="center" vertical="top" wrapText="1"/>
    </xf>
    <xf numFmtId="0" fontId="25" fillId="34" borderId="0" applyAlignment="1" pivotButton="0" quotePrefix="0" xfId="0">
      <alignment horizontal="center" vertical="top" wrapText="1"/>
    </xf>
    <xf numFmtId="0" fontId="8" fillId="30" borderId="0" applyAlignment="1" pivotButton="0" quotePrefix="0" xfId="0">
      <alignment horizontal="left" vertical="center" wrapText="1"/>
    </xf>
    <xf numFmtId="0" fontId="16" fillId="15" borderId="0" applyAlignment="1" pivotButton="0" quotePrefix="0" xfId="0">
      <alignment horizontal="left" vertical="center" wrapText="1"/>
    </xf>
    <xf numFmtId="0" fontId="19" fillId="27" borderId="0" applyAlignment="1" pivotButton="0" quotePrefix="0" xfId="0">
      <alignment horizontal="center" vertical="center" wrapText="1"/>
    </xf>
    <xf numFmtId="0" fontId="19" fillId="31" borderId="0" applyAlignment="1" pivotButton="0" quotePrefix="0" xfId="0">
      <alignment horizontal="center" vertical="center" wrapText="1"/>
    </xf>
    <xf numFmtId="0" fontId="18" fillId="15" borderId="0" applyAlignment="1" pivotButton="0" quotePrefix="0" xfId="0">
      <alignment horizontal="center" vertical="center" wrapText="1"/>
    </xf>
    <xf numFmtId="0" fontId="34" fillId="28" borderId="0" applyAlignment="1" pivotButton="0" quotePrefix="0" xfId="0">
      <alignment horizontal="left" vertical="center" wrapText="1"/>
    </xf>
    <xf numFmtId="0" fontId="16" fillId="5" borderId="0" applyAlignment="1" pivotButton="0" quotePrefix="0" xfId="0">
      <alignment horizontal="left" vertical="center" wrapText="1"/>
    </xf>
    <xf numFmtId="0" fontId="18" fillId="5" borderId="0" applyAlignment="1" pivotButton="0" quotePrefix="0" xfId="0">
      <alignment horizontal="center" vertical="center" wrapText="1"/>
    </xf>
    <xf numFmtId="0" fontId="12" fillId="15" borderId="0" applyAlignment="1" pivotButton="0" quotePrefix="0" xfId="0">
      <alignment horizontal="center" vertical="center" wrapText="1"/>
    </xf>
    <xf numFmtId="0" fontId="17" fillId="24" borderId="0" applyAlignment="1" pivotButton="0" quotePrefix="0" xfId="0">
      <alignment horizontal="center" vertical="center" wrapText="1"/>
    </xf>
    <xf numFmtId="0" fontId="12" fillId="35" borderId="0" applyAlignment="1" pivotButton="0" quotePrefix="0" xfId="0">
      <alignment horizontal="center" vertical="center" wrapText="1"/>
    </xf>
    <xf numFmtId="0" fontId="18" fillId="35" borderId="0" applyAlignment="1" pivotButton="0" quotePrefix="0" xfId="0">
      <alignment horizontal="center" vertical="center" wrapText="1"/>
    </xf>
    <xf numFmtId="0" fontId="26" fillId="13" borderId="0" applyAlignment="1" pivotButton="0" quotePrefix="0" xfId="0">
      <alignment horizontal="center" vertical="center" wrapText="1"/>
    </xf>
    <xf numFmtId="0" fontId="31" fillId="13" borderId="0" applyAlignment="1" pivotButton="0" quotePrefix="0" xfId="0">
      <alignment horizontal="left" vertical="center" wrapText="1"/>
    </xf>
    <xf numFmtId="0" fontId="16" fillId="5" borderId="0" applyAlignment="1" pivotButton="0" quotePrefix="0" xfId="0">
      <alignment horizontal="center" vertical="center" wrapText="1"/>
    </xf>
    <xf numFmtId="0" fontId="28" fillId="3" borderId="0" applyAlignment="1" pivotButton="0" quotePrefix="0" xfId="0">
      <alignment horizontal="center" vertical="center" wrapText="1"/>
    </xf>
    <xf numFmtId="0" fontId="24" fillId="25" borderId="0" applyAlignment="1" pivotButton="0" quotePrefix="0" xfId="0">
      <alignment horizontal="center" vertical="center" wrapText="1"/>
    </xf>
    <xf numFmtId="0" fontId="27" fillId="2" borderId="0" applyAlignment="1" pivotButton="0" quotePrefix="0" xfId="0">
      <alignment horizontal="center" vertical="center" wrapText="1"/>
    </xf>
    <xf numFmtId="0" fontId="16" fillId="15" borderId="0" applyAlignment="1" pivotButton="0" quotePrefix="0" xfId="0">
      <alignment horizontal="center" vertical="center" wrapText="1"/>
    </xf>
    <xf numFmtId="0" fontId="18" fillId="15" borderId="0" applyAlignment="1" pivotButton="0" quotePrefix="0" xfId="0">
      <alignment horizontal="left" vertical="center" wrapText="1"/>
    </xf>
    <xf numFmtId="0" fontId="13" fillId="16" borderId="0" applyAlignment="1" pivotButton="0" quotePrefix="0" xfId="0">
      <alignment horizontal="left" vertical="center" wrapText="1"/>
    </xf>
    <xf numFmtId="0" fontId="36" fillId="24" borderId="0" applyAlignment="1" pivotButton="0" quotePrefix="0" xfId="0">
      <alignment horizontal="left" vertical="center" wrapText="1"/>
    </xf>
    <xf numFmtId="0" fontId="37" fillId="25" borderId="0" applyAlignment="1" pivotButton="0" quotePrefix="0" xfId="0">
      <alignment horizontal="left" vertical="center" wrapText="1"/>
    </xf>
    <xf numFmtId="0" fontId="16" fillId="29" borderId="0" applyAlignment="1" pivotButton="0" quotePrefix="0" xfId="0">
      <alignment horizontal="center" vertical="center" wrapText="1"/>
    </xf>
    <xf numFmtId="0" fontId="18" fillId="29" borderId="0" applyAlignment="1" pivotButton="0" quotePrefix="0" xfId="0">
      <alignment horizontal="left" vertical="center" wrapText="1"/>
    </xf>
    <xf numFmtId="0" fontId="25" fillId="11" borderId="0" applyAlignment="1" pivotButton="0" quotePrefix="0" xfId="0">
      <alignment horizontal="center" vertical="center" wrapText="1"/>
    </xf>
    <xf numFmtId="0" fontId="20" fillId="27" borderId="0" applyAlignment="1" pivotButton="0" quotePrefix="0" xfId="0">
      <alignment horizontal="center" vertical="center" wrapText="1"/>
    </xf>
    <xf numFmtId="0" fontId="22" fillId="16" borderId="0" applyAlignment="1" pivotButton="0" quotePrefix="0" xfId="0">
      <alignment horizontal="left" vertical="center" wrapText="1"/>
    </xf>
    <xf numFmtId="0" fontId="39" fillId="36" borderId="0" applyAlignment="1" pivotButton="0" quotePrefix="0" xfId="0">
      <alignment horizontal="left" vertical="center" wrapText="1"/>
    </xf>
    <xf numFmtId="0" fontId="12" fillId="29" borderId="0" applyAlignment="1" pivotButton="0" quotePrefix="0" xfId="0">
      <alignment horizontal="center" vertical="center" wrapText="1"/>
    </xf>
    <xf numFmtId="0" fontId="13" fillId="16" borderId="0" applyAlignment="1" pivotButton="0" quotePrefix="0" xfId="0">
      <alignment horizontal="center" vertical="center" wrapText="1"/>
    </xf>
    <xf numFmtId="0" fontId="25" fillId="10" borderId="0" applyAlignment="1" pivotButton="0" quotePrefix="0" xfId="0">
      <alignment horizontal="left" vertical="center" wrapText="1"/>
    </xf>
    <xf numFmtId="0" fontId="1" fillId="7" borderId="0" applyAlignment="1" pivotButton="0" quotePrefix="0" xfId="0">
      <alignment horizontal="center"/>
    </xf>
    <xf numFmtId="0" fontId="0" fillId="0" borderId="0" pivotButton="0" quotePrefix="0" xfId="0"/>
    <xf numFmtId="0" fontId="1" fillId="6" borderId="0" applyAlignment="1" pivotButton="0" quotePrefix="0" xfId="0">
      <alignment horizontal="center"/>
    </xf>
    <xf numFmtId="0" fontId="2" fillId="7" borderId="0" applyAlignment="1" pivotButton="0" quotePrefix="0" xfId="0">
      <alignment horizontal="center"/>
    </xf>
    <xf numFmtId="0" fontId="1" fillId="8" borderId="0" applyAlignment="1" pivotButton="0" quotePrefix="0" xfId="0">
      <alignment horizontal="center"/>
    </xf>
    <xf numFmtId="0" fontId="6" fillId="11" borderId="0" applyAlignment="1" pivotButton="0" quotePrefix="0" xfId="0">
      <alignment horizontal="left" vertical="center"/>
    </xf>
    <xf numFmtId="0" fontId="6" fillId="10" borderId="0" applyAlignment="1" pivotButton="0" quotePrefix="0" xfId="0">
      <alignment horizontal="center" vertical="center"/>
    </xf>
    <xf numFmtId="0" fontId="5" fillId="10" borderId="0" applyAlignment="1" pivotButton="0" quotePrefix="0" xfId="0">
      <alignment horizontal="center" vertical="center"/>
    </xf>
    <xf numFmtId="0" fontId="11" fillId="13" borderId="0" applyAlignment="1" pivotButton="0" quotePrefix="0" xfId="0">
      <alignment horizontal="left" vertical="center"/>
    </xf>
    <xf numFmtId="0" fontId="6" fillId="9" borderId="0" applyAlignment="1" pivotButton="0" quotePrefix="0" xfId="0">
      <alignment horizontal="center" vertical="center"/>
    </xf>
    <xf numFmtId="0" fontId="7" fillId="13" borderId="0" applyAlignment="1" pivotButton="0" quotePrefix="0" xfId="0">
      <alignment horizontal="left" vertical="center" wrapText="1"/>
    </xf>
    <xf numFmtId="0" fontId="6" fillId="18" borderId="0" applyAlignment="1" pivotButton="0" quotePrefix="0" xfId="0">
      <alignment horizontal="center" vertical="center"/>
    </xf>
    <xf numFmtId="0" fontId="6" fillId="12" borderId="0" applyAlignment="1" pivotButton="0" quotePrefix="0" xfId="0">
      <alignment horizontal="left" vertical="center"/>
    </xf>
    <xf numFmtId="0" fontId="6" fillId="11" borderId="0" applyAlignment="1" pivotButton="0" quotePrefix="0" xfId="0">
      <alignment horizontal="center" vertical="center"/>
    </xf>
    <xf numFmtId="2" fontId="8" fillId="4" borderId="0" applyAlignment="1" pivotButton="0" quotePrefix="0" xfId="0">
      <alignment horizontal="center" vertical="center"/>
    </xf>
    <xf numFmtId="49" fontId="7" fillId="13" borderId="0" applyAlignment="1" pivotButton="0" quotePrefix="0" xfId="0">
      <alignment horizontal="center" vertical="center"/>
    </xf>
    <xf numFmtId="2" fontId="6" fillId="10" borderId="0" applyAlignment="1" pivotButton="0" quotePrefix="0" xfId="0">
      <alignment horizontal="center" vertical="center"/>
    </xf>
    <xf numFmtId="0" fontId="13" fillId="22" borderId="0" applyAlignment="1" pivotButton="0" quotePrefix="0" xfId="0">
      <alignment horizontal="left" vertical="center" wrapText="1"/>
    </xf>
    <xf numFmtId="0" fontId="6" fillId="20" borderId="0" applyAlignment="1" pivotButton="0" quotePrefix="0" xfId="0">
      <alignment horizontal="center" vertical="center"/>
    </xf>
    <xf numFmtId="0" fontId="12" fillId="21" borderId="0" applyAlignment="1" pivotButton="0" quotePrefix="0" xfId="0">
      <alignment horizontal="left" vertical="center" wrapText="1"/>
    </xf>
    <xf numFmtId="0" fontId="14" fillId="10" borderId="0" applyAlignment="1" pivotButton="0" quotePrefix="0" xfId="0">
      <alignment horizontal="center" vertical="top" wrapText="1"/>
    </xf>
    <xf numFmtId="0" fontId="31" fillId="13" borderId="0" applyAlignment="1" pivotButton="0" quotePrefix="0" xfId="0">
      <alignment horizontal="center" vertical="top" wrapText="1"/>
    </xf>
    <xf numFmtId="0" fontId="5" fillId="10" borderId="0" applyAlignment="1" pivotButton="0" quotePrefix="0" xfId="0">
      <alignment horizontal="center" vertical="top" wrapText="1"/>
    </xf>
    <xf numFmtId="0" fontId="5" fillId="9" borderId="0" applyAlignment="1" pivotButton="0" quotePrefix="0" xfId="0">
      <alignment horizontal="left" vertical="top" wrapText="1"/>
    </xf>
    <xf numFmtId="0" fontId="12" fillId="26" borderId="0" applyAlignment="1" pivotButton="0" quotePrefix="0" xfId="0">
      <alignment horizontal="center" vertical="top" wrapText="1"/>
    </xf>
    <xf numFmtId="0" fontId="15" fillId="16" borderId="0" applyAlignment="1" pivotButton="0" quotePrefix="0" xfId="0">
      <alignment horizontal="left" vertical="top" wrapText="1"/>
    </xf>
    <xf numFmtId="0" fontId="37" fillId="25" borderId="0" applyAlignment="1" pivotButton="0" quotePrefix="0" xfId="0">
      <alignment horizontal="left" vertical="center" wrapText="1"/>
    </xf>
    <xf numFmtId="0" fontId="41" fillId="24" borderId="0" applyAlignment="1" pivotButton="0" quotePrefix="0" xfId="0">
      <alignment horizontal="left" vertical="center" wrapText="1"/>
    </xf>
    <xf numFmtId="0" fontId="38" fillId="16" borderId="0" applyAlignment="1" pivotButton="0" quotePrefix="0" xfId="0">
      <alignment horizontal="left" vertical="center" wrapText="1"/>
    </xf>
    <xf numFmtId="0" fontId="12" fillId="15" borderId="0" applyAlignment="1" pivotButton="0" quotePrefix="0" xfId="0">
      <alignment horizontal="left" vertical="center" wrapText="1"/>
    </xf>
    <xf numFmtId="0" fontId="18" fillId="28" borderId="0" applyAlignment="1" pivotButton="0" quotePrefix="0" xfId="0">
      <alignment horizontal="left" vertical="center" wrapText="1"/>
    </xf>
    <xf numFmtId="0" fontId="19" fillId="15" borderId="0" applyAlignment="1" pivotButton="0" quotePrefix="0" xfId="0">
      <alignment horizontal="left" vertical="center" wrapText="1"/>
    </xf>
    <xf numFmtId="0" fontId="40" fillId="24" borderId="0" applyAlignment="1" pivotButton="0" quotePrefix="0" xfId="0">
      <alignment horizontal="left" vertical="center" wrapText="1"/>
    </xf>
    <xf numFmtId="0" fontId="32" fillId="10" borderId="0" applyAlignment="1" pivotButton="0" quotePrefix="0" xfId="0">
      <alignment horizontal="center" vertical="center" wrapText="1"/>
    </xf>
    <xf numFmtId="0" fontId="34" fillId="28" borderId="0" applyAlignment="1" pivotButton="0" quotePrefix="0" xfId="0">
      <alignment horizontal="left" vertical="center" wrapText="1"/>
    </xf>
    <xf numFmtId="0" fontId="5" fillId="10" borderId="0" applyAlignment="1" pivotButton="0" quotePrefix="0" xfId="0">
      <alignment horizontal="left" vertical="center" wrapText="1"/>
    </xf>
    <xf numFmtId="0" fontId="35" fillId="13" borderId="0" applyAlignment="1" pivotButton="0" quotePrefix="0" xfId="0">
      <alignment horizontal="left" vertical="center" wrapText="1"/>
    </xf>
    <xf numFmtId="0" fontId="12" fillId="29" borderId="0" applyAlignment="1" pivotButton="0" quotePrefix="0" xfId="0">
      <alignment horizontal="left" vertical="center" wrapText="1"/>
    </xf>
    <xf numFmtId="0" fontId="12" fillId="26" borderId="0" applyAlignment="1" pivotButton="0" quotePrefix="0" xfId="0">
      <alignment horizontal="left" vertical="center" wrapText="1"/>
    </xf>
    <xf numFmtId="0" fontId="33" fillId="15" borderId="0" applyAlignment="1" pivotButton="0" quotePrefix="0" xfId="0">
      <alignment horizontal="left" vertical="center" wrapText="1"/>
    </xf>
    <xf numFmtId="0" fontId="6" fillId="37" borderId="0" applyAlignment="1" pivotButton="0" quotePrefix="0" xfId="0">
      <alignment horizontal="center" vertical="center"/>
    </xf>
    <xf numFmtId="0" fontId="42" fillId="38" borderId="0" applyAlignment="1" pivotButton="0" quotePrefix="0" xfId="0">
      <alignment horizontal="center" vertical="center" wrapText="1"/>
    </xf>
    <xf numFmtId="0" fontId="43" fillId="39" borderId="0" applyAlignment="1" pivotButton="0" quotePrefix="0" xfId="0">
      <alignment horizontal="center" vertical="center" wrapText="1"/>
    </xf>
    <xf numFmtId="0" fontId="44" fillId="40" borderId="0" applyAlignment="1" pivotButton="0" quotePrefix="0" xfId="0">
      <alignment horizontal="left" vertical="center" wrapText="1" indent="1"/>
    </xf>
    <xf numFmtId="0" fontId="45" fillId="41" borderId="1" applyAlignment="1" pivotButton="0" quotePrefix="0" xfId="0">
      <alignment horizontal="center" vertical="center" wrapText="1"/>
    </xf>
    <xf numFmtId="0" fontId="46" fillId="42" borderId="0" applyAlignment="1" pivotButton="0" quotePrefix="0" xfId="0">
      <alignment horizontal="left" vertical="center" indent="1"/>
    </xf>
    <xf numFmtId="0" fontId="47" fillId="43" borderId="0" applyAlignment="1" pivotButton="0" quotePrefix="0" xfId="0">
      <alignment horizontal="left" vertical="center" wrapText="1" indent="2"/>
    </xf>
    <xf numFmtId="0" fontId="48" fillId="45" borderId="1" applyAlignment="1" pivotButton="0" quotePrefix="0" xfId="0">
      <alignment horizontal="center" vertical="center" wrapText="1"/>
    </xf>
    <xf numFmtId="0" fontId="49" fillId="44" borderId="1" applyAlignment="1" pivotButton="0" quotePrefix="0" xfId="0">
      <alignment horizontal="left" vertical="center" wrapText="1"/>
    </xf>
    <xf numFmtId="1" fontId="50" fillId="44" borderId="1" applyAlignment="1" pivotButton="0" quotePrefix="0" xfId="0">
      <alignment horizontal="center" vertical="center" wrapText="1"/>
    </xf>
    <xf numFmtId="0" fontId="51" fillId="44" borderId="1" applyAlignment="1" pivotButton="0" quotePrefix="0" xfId="0">
      <alignment horizontal="center" vertical="center" wrapText="1"/>
    </xf>
    <xf numFmtId="0" fontId="52" fillId="44" borderId="1" applyAlignment="1" pivotButton="0" quotePrefix="0" xfId="0">
      <alignment horizontal="left" vertical="center" wrapText="1"/>
    </xf>
    <xf numFmtId="0" fontId="53" fillId="44" borderId="1" applyAlignment="1" pivotButton="0" quotePrefix="0" xfId="0">
      <alignment horizontal="center" vertical="center" wrapText="1"/>
    </xf>
    <xf numFmtId="0" fontId="54" fillId="45" borderId="1" applyAlignment="1" pivotButton="0" quotePrefix="0" xfId="0">
      <alignment horizontal="center" vertical="center" wrapText="1"/>
    </xf>
    <xf numFmtId="0" fontId="55" fillId="47" borderId="1" applyAlignment="1" pivotButton="0" quotePrefix="0" xfId="0">
      <alignment horizontal="center" vertical="center" wrapText="1"/>
    </xf>
    <xf numFmtId="0" fontId="49" fillId="46" borderId="1" applyAlignment="1" pivotButton="0" quotePrefix="0" xfId="0">
      <alignment horizontal="left" vertical="center" wrapText="1"/>
    </xf>
    <xf numFmtId="1" fontId="50" fillId="46" borderId="1" applyAlignment="1" pivotButton="0" quotePrefix="0" xfId="0">
      <alignment horizontal="center" vertical="center" wrapText="1"/>
    </xf>
    <xf numFmtId="0" fontId="56" fillId="46" borderId="1" applyAlignment="1" pivotButton="0" quotePrefix="0" xfId="0">
      <alignment horizontal="center" vertical="center" wrapText="1"/>
    </xf>
    <xf numFmtId="0" fontId="57" fillId="46" borderId="1" applyAlignment="1" pivotButton="0" quotePrefix="0" xfId="0">
      <alignment horizontal="left" vertical="center" wrapText="1"/>
    </xf>
    <xf numFmtId="0" fontId="58" fillId="46" borderId="1" applyAlignment="1" pivotButton="0" quotePrefix="0" xfId="0">
      <alignment horizontal="center" vertical="center" wrapText="1"/>
    </xf>
    <xf numFmtId="0" fontId="59" fillId="47" borderId="1" applyAlignment="1" pivotButton="0" quotePrefix="0" xfId="0">
      <alignment horizontal="center" vertical="center" wrapText="1"/>
    </xf>
    <xf numFmtId="0" fontId="49" fillId="48" borderId="1" applyAlignment="1" pivotButton="0" quotePrefix="0" xfId="0">
      <alignment horizontal="left" vertical="center" wrapText="1"/>
    </xf>
    <xf numFmtId="1" fontId="50" fillId="48" borderId="1" applyAlignment="1" pivotButton="0" quotePrefix="0" xfId="0">
      <alignment horizontal="center" vertical="center" wrapText="1"/>
    </xf>
    <xf numFmtId="0" fontId="56" fillId="48" borderId="1" applyAlignment="1" pivotButton="0" quotePrefix="0" xfId="0">
      <alignment horizontal="center" vertical="center" wrapText="1"/>
    </xf>
    <xf numFmtId="0" fontId="57" fillId="48" borderId="1" applyAlignment="1" pivotButton="0" quotePrefix="0" xfId="0">
      <alignment horizontal="left" vertical="center" wrapText="1"/>
    </xf>
    <xf numFmtId="0" fontId="58" fillId="48" borderId="1" applyAlignment="1" pivotButton="0" quotePrefix="0" xfId="0">
      <alignment horizontal="center" vertical="center" wrapText="1"/>
    </xf>
    <xf numFmtId="0" fontId="48" fillId="49" borderId="1" applyAlignment="1" pivotButton="0" quotePrefix="0" xfId="0">
      <alignment horizontal="center" vertical="center" wrapText="1"/>
    </xf>
    <xf numFmtId="0" fontId="60" fillId="46" borderId="1" applyAlignment="1" pivotButton="0" quotePrefix="0" xfId="0">
      <alignment horizontal="center" vertical="center" wrapText="1"/>
    </xf>
    <xf numFmtId="0" fontId="54" fillId="49" borderId="1" applyAlignment="1" pivotButton="0" quotePrefix="0" xfId="0">
      <alignment horizontal="center" vertical="center" wrapText="1"/>
    </xf>
    <xf numFmtId="0" fontId="55" fillId="51" borderId="1" applyAlignment="1" pivotButton="0" quotePrefix="0" xfId="0">
      <alignment horizontal="center" vertical="center" wrapText="1"/>
    </xf>
    <xf numFmtId="0" fontId="49" fillId="50" borderId="1" applyAlignment="1" pivotButton="0" quotePrefix="0" xfId="0">
      <alignment horizontal="left" vertical="center" wrapText="1"/>
    </xf>
    <xf numFmtId="1" fontId="50" fillId="50" borderId="1" applyAlignment="1" pivotButton="0" quotePrefix="0" xfId="0">
      <alignment horizontal="center" vertical="center" wrapText="1"/>
    </xf>
    <xf numFmtId="0" fontId="56" fillId="50" borderId="1" applyAlignment="1" pivotButton="0" quotePrefix="0" xfId="0">
      <alignment horizontal="center" vertical="center" wrapText="1"/>
    </xf>
    <xf numFmtId="0" fontId="57" fillId="50" borderId="1" applyAlignment="1" pivotButton="0" quotePrefix="0" xfId="0">
      <alignment horizontal="left" vertical="center" wrapText="1"/>
    </xf>
    <xf numFmtId="0" fontId="61" fillId="50" borderId="1" applyAlignment="1" pivotButton="0" quotePrefix="0" xfId="0">
      <alignment horizontal="center" vertical="center" wrapText="1"/>
    </xf>
    <xf numFmtId="0" fontId="54" fillId="51" borderId="1" applyAlignment="1" pivotButton="0" quotePrefix="0" xfId="0">
      <alignment horizontal="center" vertical="center" wrapText="1"/>
    </xf>
    <xf numFmtId="0" fontId="55" fillId="52" borderId="1" applyAlignment="1" pivotButton="0" quotePrefix="0" xfId="0">
      <alignment horizontal="center" vertical="center" wrapText="1"/>
    </xf>
    <xf numFmtId="0" fontId="51" fillId="46" borderId="1" applyAlignment="1" pivotButton="0" quotePrefix="0" xfId="0">
      <alignment horizontal="center" vertical="center" wrapText="1"/>
    </xf>
    <xf numFmtId="0" fontId="59" fillId="52" borderId="1" applyAlignment="1" pivotButton="0" quotePrefix="0" xfId="0">
      <alignment horizontal="center" vertical="center" wrapText="1"/>
    </xf>
    <xf numFmtId="0" fontId="49" fillId="53" borderId="1" applyAlignment="1" pivotButton="0" quotePrefix="0" xfId="0">
      <alignment horizontal="left" vertical="center" wrapText="1"/>
    </xf>
    <xf numFmtId="1" fontId="50" fillId="53" borderId="1" applyAlignment="1" pivotButton="0" quotePrefix="0" xfId="0">
      <alignment horizontal="center" vertical="center" wrapText="1"/>
    </xf>
    <xf numFmtId="0" fontId="51" fillId="53" borderId="1" applyAlignment="1" pivotButton="0" quotePrefix="0" xfId="0">
      <alignment horizontal="center" vertical="center" wrapText="1"/>
    </xf>
    <xf numFmtId="0" fontId="52" fillId="53" borderId="1" applyAlignment="1" pivotButton="0" quotePrefix="0" xfId="0">
      <alignment horizontal="left" vertical="center" wrapText="1"/>
    </xf>
    <xf numFmtId="0" fontId="52" fillId="46" borderId="1" applyAlignment="1" pivotButton="0" quotePrefix="0" xfId="0">
      <alignment horizontal="left" vertical="center" wrapText="1"/>
    </xf>
    <xf numFmtId="0" fontId="53" fillId="46" borderId="1" applyAlignment="1" pivotButton="0" quotePrefix="0" xfId="0">
      <alignment horizontal="center" vertical="center" wrapText="1"/>
    </xf>
    <xf numFmtId="0" fontId="49" fillId="40" borderId="1" applyAlignment="1" pivotButton="0" quotePrefix="0" xfId="0">
      <alignment horizontal="left" vertical="center" wrapText="1"/>
    </xf>
    <xf numFmtId="1" fontId="50" fillId="40" borderId="1" applyAlignment="1" pivotButton="0" quotePrefix="0" xfId="0">
      <alignment horizontal="center" vertical="center" wrapText="1"/>
    </xf>
    <xf numFmtId="0" fontId="56" fillId="40" borderId="1" applyAlignment="1" pivotButton="0" quotePrefix="0" xfId="0">
      <alignment horizontal="center" vertical="center" wrapText="1"/>
    </xf>
    <xf numFmtId="0" fontId="57" fillId="40" borderId="1" applyAlignment="1" pivotButton="0" quotePrefix="0" xfId="0">
      <alignment horizontal="left" vertical="center" wrapText="1"/>
    </xf>
    <xf numFmtId="0" fontId="60" fillId="40" borderId="1" applyAlignment="1" pivotButton="0" quotePrefix="0" xfId="0">
      <alignment horizontal="center" vertical="center" wrapText="1"/>
    </xf>
    <xf numFmtId="0" fontId="55" fillId="55" borderId="1" applyAlignment="1" pivotButton="0" quotePrefix="0" xfId="0">
      <alignment horizontal="center" vertical="center" wrapText="1"/>
    </xf>
    <xf numFmtId="0" fontId="49" fillId="54" borderId="1" applyAlignment="1" pivotButton="0" quotePrefix="0" xfId="0">
      <alignment horizontal="left" vertical="center" wrapText="1"/>
    </xf>
    <xf numFmtId="1" fontId="50" fillId="54" borderId="1" applyAlignment="1" pivotButton="0" quotePrefix="0" xfId="0">
      <alignment horizontal="center" vertical="center" wrapText="1"/>
    </xf>
    <xf numFmtId="0" fontId="51" fillId="54" borderId="1" applyAlignment="1" pivotButton="0" quotePrefix="0" xfId="0">
      <alignment horizontal="center" vertical="center" wrapText="1"/>
    </xf>
    <xf numFmtId="0" fontId="52" fillId="54" borderId="1" applyAlignment="1" pivotButton="0" quotePrefix="0" xfId="0">
      <alignment horizontal="left" vertical="center" wrapText="1"/>
    </xf>
    <xf numFmtId="0" fontId="62" fillId="54" borderId="1" applyAlignment="1" pivotButton="0" quotePrefix="0" xfId="0">
      <alignment horizontal="center" vertical="center" wrapText="1"/>
    </xf>
    <xf numFmtId="0" fontId="59" fillId="55" borderId="1" applyAlignment="1" pivotButton="0" quotePrefix="0" xfId="0">
      <alignment horizontal="center" vertical="center" wrapText="1"/>
    </xf>
    <xf numFmtId="0" fontId="48" fillId="56" borderId="1" applyAlignment="1" pivotButton="0" quotePrefix="0" xfId="0">
      <alignment horizontal="center" vertical="center" wrapText="1"/>
    </xf>
    <xf numFmtId="0" fontId="63" fillId="46" borderId="1" applyAlignment="1" pivotButton="0" quotePrefix="0" xfId="0">
      <alignment horizontal="center" vertical="center" wrapText="1"/>
    </xf>
    <xf numFmtId="0" fontId="54" fillId="56" borderId="1" applyAlignment="1" pivotButton="0" quotePrefix="0" xfId="0">
      <alignment horizontal="center" vertical="center" wrapText="1"/>
    </xf>
    <xf numFmtId="0" fontId="61" fillId="46" borderId="1" applyAlignment="1" pivotButton="0" quotePrefix="0" xfId="0">
      <alignment horizontal="center" vertical="center" wrapText="1"/>
    </xf>
    <xf numFmtId="0" fontId="55" fillId="58" borderId="1" applyAlignment="1" pivotButton="0" quotePrefix="0" xfId="0">
      <alignment horizontal="center" vertical="center" wrapText="1"/>
    </xf>
    <xf numFmtId="0" fontId="49" fillId="57" borderId="1" applyAlignment="1" pivotButton="0" quotePrefix="0" xfId="0">
      <alignment horizontal="left" vertical="center" wrapText="1"/>
    </xf>
    <xf numFmtId="1" fontId="50" fillId="57" borderId="1" applyAlignment="1" pivotButton="0" quotePrefix="0" xfId="0">
      <alignment horizontal="center" vertical="center" wrapText="1"/>
    </xf>
    <xf numFmtId="0" fontId="51" fillId="57" borderId="1" applyAlignment="1" pivotButton="0" quotePrefix="0" xfId="0">
      <alignment horizontal="center" vertical="center" wrapText="1"/>
    </xf>
    <xf numFmtId="0" fontId="52" fillId="57" borderId="1" applyAlignment="1" pivotButton="0" quotePrefix="0" xfId="0">
      <alignment horizontal="left" vertical="center" wrapText="1"/>
    </xf>
    <xf numFmtId="0" fontId="64" fillId="57" borderId="1" applyAlignment="1" pivotButton="0" quotePrefix="0" xfId="0">
      <alignment horizontal="center" vertical="center" wrapText="1"/>
    </xf>
    <xf numFmtId="0" fontId="59" fillId="58" borderId="1" applyAlignment="1" pivotButton="0" quotePrefix="0" xfId="0">
      <alignment horizontal="center" vertical="center" wrapText="1"/>
    </xf>
    <xf numFmtId="0" fontId="55" fillId="60" borderId="1" applyAlignment="1" pivotButton="0" quotePrefix="0" xfId="0">
      <alignment horizontal="center" vertical="center" wrapText="1"/>
    </xf>
    <xf numFmtId="0" fontId="49" fillId="59" borderId="1" applyAlignment="1" pivotButton="0" quotePrefix="0" xfId="0">
      <alignment horizontal="left" vertical="center" wrapText="1"/>
    </xf>
    <xf numFmtId="1" fontId="50" fillId="59" borderId="1" applyAlignment="1" pivotButton="0" quotePrefix="0" xfId="0">
      <alignment horizontal="center" vertical="center" wrapText="1"/>
    </xf>
    <xf numFmtId="0" fontId="56" fillId="59" borderId="1" applyAlignment="1" pivotButton="0" quotePrefix="0" xfId="0">
      <alignment horizontal="center" vertical="center" wrapText="1"/>
    </xf>
    <xf numFmtId="0" fontId="57" fillId="59" borderId="1" applyAlignment="1" pivotButton="0" quotePrefix="0" xfId="0">
      <alignment horizontal="left" vertical="center" wrapText="1"/>
    </xf>
    <xf numFmtId="0" fontId="65" fillId="59" borderId="1" applyAlignment="1" pivotButton="0" quotePrefix="0" xfId="0">
      <alignment horizontal="center" vertical="center" wrapText="1"/>
    </xf>
    <xf numFmtId="0" fontId="59" fillId="60" borderId="1" applyAlignment="1" pivotButton="0" quotePrefix="0" xfId="0">
      <alignment horizontal="center" vertical="center" wrapText="1"/>
    </xf>
    <xf numFmtId="0" fontId="55" fillId="62" borderId="1" applyAlignment="1" pivotButton="0" quotePrefix="0" xfId="0">
      <alignment horizontal="center" vertical="center" wrapText="1"/>
    </xf>
    <xf numFmtId="0" fontId="49" fillId="61" borderId="1" applyAlignment="1" pivotButton="0" quotePrefix="0" xfId="0">
      <alignment horizontal="left" vertical="center" wrapText="1"/>
    </xf>
    <xf numFmtId="1" fontId="50" fillId="61" borderId="1" applyAlignment="1" pivotButton="0" quotePrefix="0" xfId="0">
      <alignment horizontal="center" vertical="center" wrapText="1"/>
    </xf>
    <xf numFmtId="0" fontId="51" fillId="61" borderId="1" applyAlignment="1" pivotButton="0" quotePrefix="0" xfId="0">
      <alignment horizontal="center" vertical="center" wrapText="1"/>
    </xf>
    <xf numFmtId="0" fontId="52" fillId="61" borderId="1" applyAlignment="1" pivotButton="0" quotePrefix="0" xfId="0">
      <alignment horizontal="left" vertical="center" wrapText="1"/>
    </xf>
    <xf numFmtId="0" fontId="66" fillId="61" borderId="1" applyAlignment="1" pivotButton="0" quotePrefix="0" xfId="0">
      <alignment horizontal="center" vertical="center" wrapText="1"/>
    </xf>
    <xf numFmtId="0" fontId="59" fillId="62" borderId="1" applyAlignment="1" pivotButton="0" quotePrefix="0" xfId="0">
      <alignment horizontal="center" vertical="center" wrapText="1"/>
    </xf>
    <xf numFmtId="0" fontId="56" fillId="54" borderId="1" applyAlignment="1" pivotButton="0" quotePrefix="0" xfId="0">
      <alignment horizontal="center" vertical="center" wrapText="1"/>
    </xf>
    <xf numFmtId="0" fontId="57" fillId="54" borderId="1" applyAlignment="1" pivotButton="0" quotePrefix="0" xfId="0">
      <alignment horizontal="left" vertical="center" wrapText="1"/>
    </xf>
    <xf numFmtId="0" fontId="65" fillId="46" borderId="1" applyAlignment="1" pivotButton="0" quotePrefix="0" xfId="0">
      <alignment horizontal="center" vertical="center" wrapText="1"/>
    </xf>
    <xf numFmtId="0" fontId="49" fillId="63" borderId="1" applyAlignment="1" pivotButton="0" quotePrefix="0" xfId="0">
      <alignment horizontal="left" vertical="center" wrapText="1"/>
    </xf>
    <xf numFmtId="1" fontId="50" fillId="63" borderId="1" applyAlignment="1" pivotButton="0" quotePrefix="0" xfId="0">
      <alignment horizontal="center" vertical="center" wrapText="1"/>
    </xf>
    <xf numFmtId="0" fontId="51" fillId="63" borderId="1" applyAlignment="1" pivotButton="0" quotePrefix="0" xfId="0">
      <alignment horizontal="center" vertical="center" wrapText="1"/>
    </xf>
    <xf numFmtId="0" fontId="52" fillId="63" borderId="1" applyAlignment="1" pivotButton="0" quotePrefix="0" xfId="0">
      <alignment horizontal="left" vertical="center" wrapText="1"/>
    </xf>
    <xf numFmtId="0" fontId="63" fillId="63" borderId="1" applyAlignment="1" pivotButton="0" quotePrefix="0" xfId="0">
      <alignment horizontal="center" vertical="center" wrapText="1"/>
    </xf>
    <xf numFmtId="0" fontId="55" fillId="65" borderId="1" applyAlignment="1" pivotButton="0" quotePrefix="0" xfId="0">
      <alignment horizontal="center" vertical="center" wrapText="1"/>
    </xf>
    <xf numFmtId="0" fontId="49" fillId="64" borderId="1" applyAlignment="1" pivotButton="0" quotePrefix="0" xfId="0">
      <alignment horizontal="left" vertical="center" wrapText="1"/>
    </xf>
    <xf numFmtId="1" fontId="50" fillId="64" borderId="1" applyAlignment="1" pivotButton="0" quotePrefix="0" xfId="0">
      <alignment horizontal="center" vertical="center" wrapText="1"/>
    </xf>
    <xf numFmtId="0" fontId="56" fillId="64" borderId="1" applyAlignment="1" pivotButton="0" quotePrefix="0" xfId="0">
      <alignment horizontal="center" vertical="center" wrapText="1"/>
    </xf>
    <xf numFmtId="0" fontId="57" fillId="64" borderId="1" applyAlignment="1" pivotButton="0" quotePrefix="0" xfId="0">
      <alignment horizontal="left" vertical="center" wrapText="1"/>
    </xf>
    <xf numFmtId="0" fontId="67" fillId="64" borderId="1" applyAlignment="1" pivotButton="0" quotePrefix="0" xfId="0">
      <alignment horizontal="center" vertical="center" wrapText="1"/>
    </xf>
    <xf numFmtId="0" fontId="59" fillId="65" borderId="1" applyAlignment="1" pivotButton="0" quotePrefix="0" xfId="0">
      <alignment horizontal="center" vertical="center" wrapText="1"/>
    </xf>
    <xf numFmtId="0" fontId="62" fillId="46" borderId="1" applyAlignment="1" pivotButton="0" quotePrefix="0" xfId="0">
      <alignment horizontal="center" vertical="center" wrapText="1"/>
    </xf>
    <xf numFmtId="0" fontId="56" fillId="63" borderId="1" applyAlignment="1" pivotButton="0" quotePrefix="0" xfId="0">
      <alignment horizontal="center" vertical="center" wrapText="1"/>
    </xf>
    <xf numFmtId="0" fontId="57" fillId="63" borderId="1" applyAlignment="1" pivotButton="0" quotePrefix="0" xfId="0">
      <alignment horizontal="left" vertical="center" wrapText="1"/>
    </xf>
    <xf numFmtId="0" fontId="56" fillId="57" borderId="1" applyAlignment="1" pivotButton="0" quotePrefix="0" xfId="0">
      <alignment horizontal="center" vertical="center" wrapText="1"/>
    </xf>
    <xf numFmtId="0" fontId="57" fillId="57" borderId="1" applyAlignment="1" pivotButton="0" quotePrefix="0" xfId="0">
      <alignment horizontal="left" vertical="center" wrapText="1"/>
    </xf>
    <xf numFmtId="0" fontId="51" fillId="64" borderId="1" applyAlignment="1" pivotButton="0" quotePrefix="0" xfId="0">
      <alignment horizontal="center" vertical="center" wrapText="1"/>
    </xf>
    <xf numFmtId="0" fontId="52" fillId="64" borderId="1" applyAlignment="1" pivotButton="0" quotePrefix="0" xfId="0">
      <alignment horizontal="left" vertical="center" wrapText="1"/>
    </xf>
    <xf numFmtId="0" fontId="64" fillId="46" borderId="1" applyAlignment="1" pivotButton="0" quotePrefix="0" xfId="0">
      <alignment horizontal="center" vertical="center" wrapText="1"/>
    </xf>
    <xf numFmtId="0" fontId="55" fillId="67" borderId="1" applyAlignment="1" pivotButton="0" quotePrefix="0" xfId="0">
      <alignment horizontal="center" vertical="center" wrapText="1"/>
    </xf>
    <xf numFmtId="0" fontId="49" fillId="66" borderId="1" applyAlignment="1" pivotButton="0" quotePrefix="0" xfId="0">
      <alignment horizontal="left" vertical="center" wrapText="1"/>
    </xf>
    <xf numFmtId="1" fontId="50" fillId="66" borderId="1" applyAlignment="1" pivotButton="0" quotePrefix="0" xfId="0">
      <alignment horizontal="center" vertical="center" wrapText="1"/>
    </xf>
    <xf numFmtId="0" fontId="51" fillId="66" borderId="1" applyAlignment="1" pivotButton="0" quotePrefix="0" xfId="0">
      <alignment horizontal="center" vertical="center" wrapText="1"/>
    </xf>
    <xf numFmtId="0" fontId="52" fillId="66" borderId="1" applyAlignment="1" pivotButton="0" quotePrefix="0" xfId="0">
      <alignment horizontal="left" vertical="center" wrapText="1"/>
    </xf>
    <xf numFmtId="0" fontId="68" fillId="66" borderId="1" applyAlignment="1" pivotButton="0" quotePrefix="0" xfId="0">
      <alignment horizontal="center" vertical="center" wrapText="1"/>
    </xf>
    <xf numFmtId="0" fontId="59" fillId="67" borderId="1" applyAlignment="1" pivotButton="0" quotePrefix="0" xfId="0">
      <alignment horizontal="center" vertical="center" wrapText="1"/>
    </xf>
    <xf numFmtId="0" fontId="69" fillId="68" borderId="1" applyAlignment="1" pivotButton="0" quotePrefix="0" xfId="0">
      <alignment horizontal="center" vertical="center" wrapText="1"/>
    </xf>
    <xf numFmtId="0" fontId="70" fillId="68" borderId="1" applyAlignment="1" pivotButton="0" quotePrefix="0" xfId="0">
      <alignment horizontal="center" vertical="center" wrapText="1"/>
    </xf>
    <xf numFmtId="0" fontId="70" fillId="68" borderId="1" applyAlignment="1" pivotButton="0" quotePrefix="0" xfId="0">
      <alignment horizontal="left" vertical="center" wrapText="1"/>
    </xf>
    <xf numFmtId="0" fontId="69" fillId="46" borderId="1" applyAlignment="1" pivotButton="0" quotePrefix="0" xfId="0">
      <alignment horizontal="center" vertical="center" wrapText="1"/>
    </xf>
    <xf numFmtId="0" fontId="70" fillId="46" borderId="1" applyAlignment="1" pivotButton="0" quotePrefix="0" xfId="0">
      <alignment horizontal="center" vertical="center" wrapText="1"/>
    </xf>
    <xf numFmtId="0" fontId="70" fillId="46" borderId="1" applyAlignment="1" pivotButton="0" quotePrefix="0" xfId="0">
      <alignment horizontal="lef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26"/>
  <sheetViews>
    <sheetView workbookViewId="0">
      <selection activeCell="A22" sqref="A22:A26"/>
    </sheetView>
  </sheetViews>
  <sheetFormatPr baseColWidth="8" defaultRowHeight="14.4"/>
  <sheetData>
    <row r="1">
      <c r="A1" t="inlineStr">
        <is>
          <t>Regression Centroids (Box B): 4</t>
        </is>
      </c>
    </row>
    <row r="2">
      <c r="A2" t="inlineStr">
        <is>
          <t>Excluded Recent Centroids (Box A): 2</t>
        </is>
      </c>
    </row>
    <row r="3">
      <c r="A3" t="inlineStr">
        <is>
          <t>Math Search Window (Bars): 3000</t>
        </is>
      </c>
    </row>
    <row r="4">
      <c r="A4" t="inlineStr">
        <is>
          <t>Visual EDT Window (Bars): 1496</t>
        </is>
      </c>
    </row>
    <row r="5">
      <c r="A5" t="inlineStr">
        <is>
          <t>Observation Window (Box B Bars): 1135</t>
        </is>
      </c>
    </row>
    <row r="6">
      <c r="A6" t="inlineStr">
        <is>
          <t>Total 171 Crossings (n): 107</t>
        </is>
      </c>
    </row>
    <row r="7">
      <c r="A7" t="inlineStr">
        <is>
          <t>Timeframe (Sec): 900</t>
        </is>
      </c>
    </row>
    <row r="8">
      <c r="A8" t="inlineStr">
        <is>
          <t>Raw Slope (b): -0.26760</t>
        </is>
      </c>
    </row>
    <row r="9">
      <c r="A9" t="inlineStr">
        <is>
          <t>Regression Angle: -29.73</t>
        </is>
      </c>
    </row>
    <row r="10">
      <c r="A10" t="inlineStr">
        <is>
          <t>Anchored Y-Int: 4417.30201</t>
        </is>
      </c>
    </row>
    <row r="12">
      <c r="A12" t="inlineStr">
        <is>
          <t>[MODEL A; CROSSINGS]</t>
        </is>
      </c>
    </row>
    <row r="13">
      <c r="A13" t="inlineStr">
        <is>
          <t>Sample (n): 107</t>
        </is>
      </c>
    </row>
    <row r="14">
      <c r="A14" t="inlineStr">
        <is>
          <t>R-Square: 0.8055</t>
        </is>
      </c>
    </row>
    <row r="15">
      <c r="A15" t="inlineStr">
        <is>
          <t>MSE: 1722.1930</t>
        </is>
      </c>
    </row>
    <row r="16">
      <c r="A16" t="inlineStr">
        <is>
          <t>Var Ratio: 1.95</t>
        </is>
      </c>
    </row>
    <row r="17">
      <c r="A17" t="inlineStr">
        <is>
          <t>Skewness: -0.21</t>
        </is>
      </c>
    </row>
    <row r="18">
      <c r="A18" t="inlineStr">
        <is>
          <t>Kurtosis: 2.21</t>
        </is>
      </c>
    </row>
    <row r="20">
      <c r="A20" t="inlineStr">
        <is>
          <t>[MODEL B; CLOSE PRICE]</t>
        </is>
      </c>
    </row>
    <row r="21">
      <c r="A21" t="inlineStr">
        <is>
          <t>Sample (n): 1135</t>
        </is>
      </c>
    </row>
    <row r="22">
      <c r="A22" t="inlineStr">
        <is>
          <t>R-Square: 0.7958</t>
        </is>
      </c>
    </row>
    <row r="23">
      <c r="A23" t="inlineStr">
        <is>
          <t>MSE: 1661.0493</t>
        </is>
      </c>
    </row>
    <row r="24">
      <c r="A24" t="inlineStr">
        <is>
          <t>Var Ratio: 2.30</t>
        </is>
      </c>
    </row>
    <row r="25">
      <c r="A25" t="inlineStr">
        <is>
          <t>Skewness: -0.22</t>
        </is>
      </c>
    </row>
    <row r="26">
      <c r="A26" t="inlineStr">
        <is>
          <t>Kurtosis: 2.33</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E1137"/>
  <sheetViews>
    <sheetView zoomScale="60" zoomScaleNormal="60" workbookViewId="0">
      <pane xSplit="4" ySplit="2" topLeftCell="W3" activePane="bottomRight" state="frozen"/>
      <selection pane="topRight" activeCell="E1" sqref="E1"/>
      <selection pane="bottomLeft" activeCell="A2" sqref="A2"/>
      <selection pane="bottomRight" activeCell="AW33" sqref="AW33"/>
    </sheetView>
  </sheetViews>
  <sheetFormatPr baseColWidth="8" defaultRowHeight="14.4"/>
  <cols>
    <col width="10.68359375" bestFit="1" customWidth="1" style="103" min="1" max="1"/>
    <col width="9.68359375" bestFit="1" customWidth="1" style="103" min="33" max="33"/>
    <col width="13.62890625" bestFit="1" customWidth="1" style="103" min="34" max="34"/>
    <col width="9.26171875" bestFit="1" customWidth="1" style="103" min="35" max="35"/>
    <col width="11.1015625" bestFit="1" customWidth="1" style="103" min="46" max="46"/>
    <col width="9.68359375" bestFit="1" customWidth="1" style="103" min="47" max="47"/>
    <col width="8.26171875" bestFit="1" customWidth="1" style="103" min="49" max="49"/>
    <col width="11.15625" bestFit="1" customWidth="1" style="103" min="50" max="50"/>
    <col width="11.1015625" bestFit="1" customWidth="1" style="103" min="52" max="52"/>
  </cols>
  <sheetData>
    <row r="1">
      <c r="A1" s="102" t="inlineStr">
        <is>
          <t>MQL DATA EXPORT</t>
        </is>
      </c>
      <c r="AE1" s="104" t="inlineStr">
        <is>
          <t>SW_Base_FL2 Sheet</t>
        </is>
      </c>
      <c r="AK1" s="105" t="inlineStr">
        <is>
          <t>JB_BaseFL2 Sheet</t>
        </is>
      </c>
      <c r="AS1" s="104" t="inlineStr">
        <is>
          <t>BP_BaseFL2 Sheet</t>
        </is>
      </c>
      <c r="AY1" s="102" t="inlineStr">
        <is>
          <t>White_BaseFL2</t>
        </is>
      </c>
    </row>
    <row r="2">
      <c r="A2" s="3" t="inlineStr">
        <is>
          <t>timestamp</t>
        </is>
      </c>
      <c r="B2" s="3" t="inlineStr">
        <is>
          <t>symbol</t>
        </is>
      </c>
      <c r="C2" s="3" t="inlineStr">
        <is>
          <t>timeframe</t>
        </is>
      </c>
      <c r="D2" s="3" t="inlineStr">
        <is>
          <t>close</t>
        </is>
      </c>
      <c r="E2" s="3" t="inlineStr">
        <is>
          <t>CEN_0</t>
        </is>
      </c>
      <c r="F2" s="3" t="inlineStr">
        <is>
          <t>CEN_1</t>
        </is>
      </c>
      <c r="G2" s="3" t="inlineStr">
        <is>
          <t>CEN_2</t>
        </is>
      </c>
      <c r="H2" s="3" t="inlineStr">
        <is>
          <t>CEN_3</t>
        </is>
      </c>
      <c r="I2" s="3" t="inlineStr">
        <is>
          <t>CEN_4</t>
        </is>
      </c>
      <c r="J2" s="3" t="inlineStr">
        <is>
          <t>CEN_5</t>
        </is>
      </c>
      <c r="K2" s="3" t="inlineStr">
        <is>
          <t>CEN_6</t>
        </is>
      </c>
      <c r="L2" s="3" t="inlineStr">
        <is>
          <t>CEN_7</t>
        </is>
      </c>
      <c r="M2" s="3" t="inlineStr">
        <is>
          <t>CEN_8</t>
        </is>
      </c>
      <c r="N2" s="3" t="inlineStr">
        <is>
          <t>CEN_9</t>
        </is>
      </c>
      <c r="O2" s="3" t="inlineStr">
        <is>
          <t>CEN_10</t>
        </is>
      </c>
      <c r="P2" s="3" t="inlineStr">
        <is>
          <t>CEN_11</t>
        </is>
      </c>
      <c r="Q2" s="3" t="inlineStr">
        <is>
          <t>Base_FL</t>
        </is>
      </c>
      <c r="R2" s="3" t="inlineStr">
        <is>
          <t>EDT_1</t>
        </is>
      </c>
      <c r="S2" s="3" t="inlineStr">
        <is>
          <t>EDT_2</t>
        </is>
      </c>
      <c r="T2" s="3" t="inlineStr">
        <is>
          <t>EDT_3</t>
        </is>
      </c>
      <c r="U2" s="3" t="inlineStr">
        <is>
          <t>EDT_4</t>
        </is>
      </c>
      <c r="V2" s="3" t="inlineStr">
        <is>
          <t>EDT_5</t>
        </is>
      </c>
      <c r="W2" s="3" t="inlineStr">
        <is>
          <t>EDT_6</t>
        </is>
      </c>
      <c r="X2" s="3" t="inlineStr">
        <is>
          <t>EDT_7</t>
        </is>
      </c>
      <c r="Y2" s="3" t="inlineStr">
        <is>
          <t>EDT_8</t>
        </is>
      </c>
      <c r="Z2" s="3" t="inlineStr">
        <is>
          <t>horiz_high_map</t>
        </is>
      </c>
      <c r="AA2" s="3" t="inlineStr">
        <is>
          <t>horiz_low_map</t>
        </is>
      </c>
      <c r="AB2" s="3" t="inlineStr">
        <is>
          <t>ssa</t>
        </is>
      </c>
      <c r="AC2" s="3" t="inlineStr">
        <is>
          <t>ema_ssa</t>
        </is>
      </c>
      <c r="AD2" s="3" t="inlineStr">
        <is>
          <t>crossing</t>
        </is>
      </c>
      <c r="AE2" s="104" t="inlineStr">
        <is>
          <t>i</t>
        </is>
      </c>
      <c r="AF2" s="104" t="inlineStr">
        <is>
          <t>Bar Index</t>
        </is>
      </c>
      <c r="AG2" s="104" t="inlineStr">
        <is>
          <t>SSA</t>
        </is>
      </c>
      <c r="AH2" s="104" t="inlineStr">
        <is>
          <t>Base_FL (MQL5)</t>
        </is>
      </c>
      <c r="AI2" s="104" t="inlineStr">
        <is>
          <t>Residual eᵢ</t>
        </is>
      </c>
      <c r="AJ2" s="104" t="inlineStr">
        <is>
          <t>eᵢ²</t>
        </is>
      </c>
      <c r="AK2" s="102" t="inlineStr">
        <is>
          <t>i</t>
        </is>
      </c>
      <c r="AL2" s="102" t="inlineStr">
        <is>
          <t>Bar Index</t>
        </is>
      </c>
      <c r="AM2" s="102" t="inlineStr">
        <is>
          <t>Close</t>
        </is>
      </c>
      <c r="AN2" s="102" t="inlineStr">
        <is>
          <t>Base_FL (MQL5)</t>
        </is>
      </c>
      <c r="AO2" s="102" t="inlineStr">
        <is>
          <t>eᵢ</t>
        </is>
      </c>
      <c r="AP2" s="102" t="inlineStr">
        <is>
          <t>eᵢ²</t>
        </is>
      </c>
      <c r="AQ2" s="102" t="inlineStr">
        <is>
          <t>(eᵢ/σ)³</t>
        </is>
      </c>
      <c r="AR2" s="102" t="inlineStr">
        <is>
          <t>(eᵢ/σ)⁴</t>
        </is>
      </c>
      <c r="AS2" s="104" t="inlineStr">
        <is>
          <t>i</t>
        </is>
      </c>
      <c r="AT2" s="104" t="inlineStr">
        <is>
          <t>Bar Index (X)</t>
        </is>
      </c>
      <c r="AU2" s="104" t="inlineStr">
        <is>
          <t>SSA</t>
        </is>
      </c>
      <c r="AV2" s="104" t="inlineStr">
        <is>
          <t>Base_FL (MQL5)</t>
        </is>
      </c>
      <c r="AW2" s="104" t="inlineStr">
        <is>
          <t>eᵢ</t>
        </is>
      </c>
      <c r="AX2" s="104" t="inlineStr">
        <is>
          <t>eᵢ² (dep.var.)</t>
        </is>
      </c>
      <c r="AY2" s="102" t="inlineStr">
        <is>
          <t>i</t>
        </is>
      </c>
      <c r="AZ2" s="102" t="inlineStr">
        <is>
          <t>Bar Index (X)</t>
        </is>
      </c>
      <c r="BA2" s="102" t="inlineStr">
        <is>
          <t>Close</t>
        </is>
      </c>
      <c r="BB2" s="102" t="inlineStr">
        <is>
          <t>Base_FL (MQL5)</t>
        </is>
      </c>
      <c r="BC2" s="102" t="inlineStr">
        <is>
          <t>eᵢ</t>
        </is>
      </c>
      <c r="BD2" s="102" t="inlineStr">
        <is>
          <t>eᵢ²</t>
        </is>
      </c>
      <c r="BE2" s="102" t="inlineStr">
        <is>
          <t>X²</t>
        </is>
      </c>
    </row>
    <row r="3">
      <c r="A3" t="n">
        <v>1776351602</v>
      </c>
      <c r="B3" t="inlineStr">
        <is>
          <t>XAUUSD</t>
        </is>
      </c>
      <c r="C3" t="inlineStr">
        <is>
          <t>M15</t>
        </is>
      </c>
      <c r="D3" t="n">
        <v>4806.71</v>
      </c>
      <c r="E3" t="n">
        <v>4518.59282</v>
      </c>
      <c r="F3" t="n">
        <v>4596.05595</v>
      </c>
      <c r="G3" t="n">
        <v>4755.40355</v>
      </c>
      <c r="H3" t="n">
        <v>4792.76972</v>
      </c>
      <c r="Q3" t="n">
        <v>4817.37013</v>
      </c>
      <c r="R3" t="n">
        <v>4846.73343</v>
      </c>
      <c r="S3" t="n">
        <v>4873.3222</v>
      </c>
      <c r="V3" t="n">
        <v>4782.43036</v>
      </c>
      <c r="W3" t="n">
        <v>4748.86536</v>
      </c>
      <c r="AB3" t="n">
        <v>4798.97491</v>
      </c>
      <c r="AC3" t="n">
        <v>4798.29464</v>
      </c>
      <c r="AD3" t="n">
        <v>1</v>
      </c>
      <c r="AE3" t="n">
        <v>1</v>
      </c>
      <c r="AF3" t="n">
        <v>0</v>
      </c>
      <c r="AG3" t="n">
        <v>4798.9749</v>
      </c>
      <c r="AH3" t="n">
        <v>4817.3701</v>
      </c>
      <c r="AI3" t="n">
        <v>-18.3952</v>
      </c>
      <c r="AJ3" t="n">
        <v>338.3841</v>
      </c>
      <c r="AK3" t="n">
        <v>1</v>
      </c>
      <c r="AL3" t="n">
        <v>0</v>
      </c>
      <c r="AM3" t="n">
        <v>4806.71</v>
      </c>
      <c r="AN3" t="n">
        <v>4817.3701</v>
      </c>
      <c r="AO3" t="n">
        <v>-10.6601</v>
      </c>
      <c r="AP3" t="n">
        <v>113.6384</v>
      </c>
      <c r="AQ3" t="n">
        <v>-0.027868</v>
      </c>
      <c r="AR3" t="n">
        <v>0.008449</v>
      </c>
      <c r="AS3" t="n">
        <v>1</v>
      </c>
      <c r="AT3" t="n">
        <v>0</v>
      </c>
      <c r="AU3" t="n">
        <v>4798.9749</v>
      </c>
      <c r="AV3" t="n">
        <v>4817.3701</v>
      </c>
      <c r="AW3" t="n">
        <v>-18.3952</v>
      </c>
      <c r="AX3" t="n">
        <v>338.3841</v>
      </c>
      <c r="AY3" t="n">
        <v>1</v>
      </c>
      <c r="AZ3" t="n">
        <v>0</v>
      </c>
      <c r="BA3" t="n">
        <v>4806.71</v>
      </c>
      <c r="BB3" t="n">
        <v>4817.3701</v>
      </c>
      <c r="BC3" t="n">
        <v>-10.6601</v>
      </c>
      <c r="BD3" t="n">
        <v>113.6384</v>
      </c>
      <c r="BE3" t="n">
        <v>0</v>
      </c>
    </row>
    <row r="4">
      <c r="A4" t="n">
        <v>1776352502</v>
      </c>
      <c r="B4" t="inlineStr">
        <is>
          <t>XAUUSD</t>
        </is>
      </c>
      <c r="C4" t="inlineStr">
        <is>
          <t>M15</t>
        </is>
      </c>
      <c r="D4" t="n">
        <v>4802.1</v>
      </c>
      <c r="E4" t="n">
        <v>4518.59282</v>
      </c>
      <c r="F4" t="n">
        <v>4596.05595</v>
      </c>
      <c r="G4" t="n">
        <v>4755.40355</v>
      </c>
      <c r="H4" t="n">
        <v>4792.76972</v>
      </c>
      <c r="Q4" t="n">
        <v>4817.10252</v>
      </c>
      <c r="R4" t="n">
        <v>4846.46582</v>
      </c>
      <c r="S4" t="n">
        <v>4873.05459</v>
      </c>
      <c r="V4" t="n">
        <v>4782.16275</v>
      </c>
      <c r="W4" t="n">
        <v>4748.59776</v>
      </c>
      <c r="AB4" t="n">
        <v>4800.8624</v>
      </c>
      <c r="AC4" t="n">
        <v>4799.57852</v>
      </c>
      <c r="AD4" t="n">
        <v>0</v>
      </c>
      <c r="AE4" t="n">
        <v>2</v>
      </c>
      <c r="AF4" t="n">
        <v>4</v>
      </c>
      <c r="AG4" t="n">
        <v>4801.7586</v>
      </c>
      <c r="AH4" t="n">
        <v>4816.2997</v>
      </c>
      <c r="AI4" t="n">
        <v>-14.5411</v>
      </c>
      <c r="AJ4" t="n">
        <v>211.4448</v>
      </c>
      <c r="AK4" t="n">
        <v>2</v>
      </c>
      <c r="AL4" t="n">
        <v>1</v>
      </c>
      <c r="AM4" t="n">
        <v>4802.1</v>
      </c>
      <c r="AN4" t="n">
        <v>4817.1025</v>
      </c>
      <c r="AO4" t="n">
        <v>-15.0025</v>
      </c>
      <c r="AP4" t="n">
        <v>225.0756</v>
      </c>
      <c r="AQ4" t="n">
        <v>-0.07768</v>
      </c>
      <c r="AR4" t="n">
        <v>0.033144</v>
      </c>
      <c r="AS4" t="n">
        <v>2</v>
      </c>
      <c r="AT4" t="n">
        <v>4</v>
      </c>
      <c r="AU4" t="n">
        <v>4801.7586</v>
      </c>
      <c r="AV4" t="n">
        <v>4816.2997</v>
      </c>
      <c r="AW4" t="n">
        <v>-14.5411</v>
      </c>
      <c r="AX4" t="n">
        <v>211.4448</v>
      </c>
      <c r="AY4" t="n">
        <v>2</v>
      </c>
      <c r="AZ4" t="n">
        <v>1</v>
      </c>
      <c r="BA4" t="n">
        <v>4802.1</v>
      </c>
      <c r="BB4" t="n">
        <v>4817.1025</v>
      </c>
      <c r="BC4" t="n">
        <v>-15.0025</v>
      </c>
      <c r="BD4" t="n">
        <v>225.0756</v>
      </c>
      <c r="BE4" t="n">
        <v>1</v>
      </c>
    </row>
    <row r="5">
      <c r="A5" t="n">
        <v>1776353402</v>
      </c>
      <c r="B5" t="inlineStr">
        <is>
          <t>XAUUSD</t>
        </is>
      </c>
      <c r="C5" t="inlineStr">
        <is>
          <t>M15</t>
        </is>
      </c>
      <c r="D5" t="n">
        <v>4802.98</v>
      </c>
      <c r="E5" t="n">
        <v>4518.59282</v>
      </c>
      <c r="F5" t="n">
        <v>4596.05595</v>
      </c>
      <c r="G5" t="n">
        <v>4755.40355</v>
      </c>
      <c r="H5" t="n">
        <v>4792.76972</v>
      </c>
      <c r="Q5" t="n">
        <v>4816.83492</v>
      </c>
      <c r="R5" t="n">
        <v>4846.19822</v>
      </c>
      <c r="S5" t="n">
        <v>4872.78699</v>
      </c>
      <c r="V5" t="n">
        <v>4781.89515</v>
      </c>
      <c r="W5" t="n">
        <v>4748.33015</v>
      </c>
      <c r="AB5" t="n">
        <v>4802.26499</v>
      </c>
      <c r="AC5" t="n">
        <v>4800.92176</v>
      </c>
      <c r="AD5" t="n">
        <v>0</v>
      </c>
      <c r="AE5" t="n">
        <v>3</v>
      </c>
      <c r="AF5" t="n">
        <v>13</v>
      </c>
      <c r="AG5" t="n">
        <v>4788.1799</v>
      </c>
      <c r="AH5" t="n">
        <v>4813.8913</v>
      </c>
      <c r="AI5" t="n">
        <v>-25.7114</v>
      </c>
      <c r="AJ5" t="n">
        <v>661.0761</v>
      </c>
      <c r="AK5" t="n">
        <v>3</v>
      </c>
      <c r="AL5" t="n">
        <v>2</v>
      </c>
      <c r="AM5" t="n">
        <v>4802.98</v>
      </c>
      <c r="AN5" t="n">
        <v>4816.8349</v>
      </c>
      <c r="AO5" t="n">
        <v>-13.8549</v>
      </c>
      <c r="AP5" t="n">
        <v>191.9588</v>
      </c>
      <c r="AQ5" t="n">
        <v>-0.061183</v>
      </c>
      <c r="AR5" t="n">
        <v>0.024109</v>
      </c>
      <c r="AS5" t="n">
        <v>3</v>
      </c>
      <c r="AT5" t="n">
        <v>13</v>
      </c>
      <c r="AU5" t="n">
        <v>4788.1799</v>
      </c>
      <c r="AV5" t="n">
        <v>4813.8913</v>
      </c>
      <c r="AW5" t="n">
        <v>-25.7114</v>
      </c>
      <c r="AX5" t="n">
        <v>661.0761</v>
      </c>
      <c r="AY5" t="n">
        <v>3</v>
      </c>
      <c r="AZ5" t="n">
        <v>2</v>
      </c>
      <c r="BA5" t="n">
        <v>4802.98</v>
      </c>
      <c r="BB5" t="n">
        <v>4816.8349</v>
      </c>
      <c r="BC5" t="n">
        <v>-13.8549</v>
      </c>
      <c r="BD5" t="n">
        <v>191.9588</v>
      </c>
      <c r="BE5" t="n">
        <v>4</v>
      </c>
    </row>
    <row r="6">
      <c r="A6" t="n">
        <v>1776354302</v>
      </c>
      <c r="B6" t="inlineStr">
        <is>
          <t>XAUUSD</t>
        </is>
      </c>
      <c r="C6" t="inlineStr">
        <is>
          <t>M15</t>
        </is>
      </c>
      <c r="D6" t="n">
        <v>4807.09</v>
      </c>
      <c r="E6" t="n">
        <v>4518.59282</v>
      </c>
      <c r="F6" t="n">
        <v>4596.05595</v>
      </c>
      <c r="G6" t="n">
        <v>4755.40355</v>
      </c>
      <c r="H6" t="n">
        <v>4792.76972</v>
      </c>
      <c r="Q6" t="n">
        <v>4816.56731</v>
      </c>
      <c r="R6" t="n">
        <v>4845.93061</v>
      </c>
      <c r="S6" t="n">
        <v>4872.51938</v>
      </c>
      <c r="V6" t="n">
        <v>4781.62754</v>
      </c>
      <c r="W6" t="n">
        <v>4748.06255</v>
      </c>
      <c r="AB6" t="n">
        <v>4802.68904</v>
      </c>
      <c r="AC6" t="n">
        <v>4801.8054</v>
      </c>
      <c r="AD6" t="n">
        <v>0</v>
      </c>
      <c r="AE6" t="n">
        <v>4</v>
      </c>
      <c r="AF6" t="n">
        <v>20</v>
      </c>
      <c r="AG6" t="n">
        <v>4791.7372</v>
      </c>
      <c r="AH6" t="n">
        <v>4812.018</v>
      </c>
      <c r="AI6" t="n">
        <v>-20.2809</v>
      </c>
      <c r="AJ6" t="n">
        <v>411.3137</v>
      </c>
      <c r="AK6" t="n">
        <v>4</v>
      </c>
      <c r="AL6" t="n">
        <v>3</v>
      </c>
      <c r="AM6" t="n">
        <v>4807.09</v>
      </c>
      <c r="AN6" t="n">
        <v>4816.5673</v>
      </c>
      <c r="AO6" t="n">
        <v>-9.4773</v>
      </c>
      <c r="AP6" t="n">
        <v>89.8194</v>
      </c>
      <c r="AQ6" t="n">
        <v>-0.019583</v>
      </c>
      <c r="AR6" t="n">
        <v>0.005278</v>
      </c>
      <c r="AS6" t="n">
        <v>4</v>
      </c>
      <c r="AT6" t="n">
        <v>20</v>
      </c>
      <c r="AU6" t="n">
        <v>4791.7372</v>
      </c>
      <c r="AV6" t="n">
        <v>4812.018</v>
      </c>
      <c r="AW6" t="n">
        <v>-20.2809</v>
      </c>
      <c r="AX6" t="n">
        <v>411.3137</v>
      </c>
      <c r="AY6" t="n">
        <v>4</v>
      </c>
      <c r="AZ6" t="n">
        <v>3</v>
      </c>
      <c r="BA6" t="n">
        <v>4807.09</v>
      </c>
      <c r="BB6" t="n">
        <v>4816.5673</v>
      </c>
      <c r="BC6" t="n">
        <v>-9.4773</v>
      </c>
      <c r="BD6" t="n">
        <v>89.8194</v>
      </c>
      <c r="BE6" t="n">
        <v>9</v>
      </c>
    </row>
    <row r="7">
      <c r="A7" t="n">
        <v>1776355202</v>
      </c>
      <c r="B7" t="inlineStr">
        <is>
          <t>XAUUSD</t>
        </is>
      </c>
      <c r="C7" t="inlineStr">
        <is>
          <t>M15</t>
        </is>
      </c>
      <c r="D7" t="n">
        <v>4805.02</v>
      </c>
      <c r="E7" t="n">
        <v>4518.59282</v>
      </c>
      <c r="F7" t="n">
        <v>4596.05595</v>
      </c>
      <c r="G7" t="n">
        <v>4755.40355</v>
      </c>
      <c r="H7" t="n">
        <v>4792.76972</v>
      </c>
      <c r="Q7" t="n">
        <v>4816.29971</v>
      </c>
      <c r="R7" t="n">
        <v>4845.66301</v>
      </c>
      <c r="S7" t="n">
        <v>4872.25178</v>
      </c>
      <c r="V7" t="n">
        <v>4781.35994</v>
      </c>
      <c r="W7" t="n">
        <v>4747.79494</v>
      </c>
      <c r="AB7" t="n">
        <v>4801.75857</v>
      </c>
      <c r="AC7" t="n">
        <v>4801.78198</v>
      </c>
      <c r="AD7" t="n">
        <v>1</v>
      </c>
      <c r="AE7" t="n">
        <v>5</v>
      </c>
      <c r="AF7" t="n">
        <v>24</v>
      </c>
      <c r="AG7" t="n">
        <v>4791.9693</v>
      </c>
      <c r="AH7" t="n">
        <v>4810.9476</v>
      </c>
      <c r="AI7" t="n">
        <v>-18.9783</v>
      </c>
      <c r="AJ7" t="n">
        <v>360.1766</v>
      </c>
      <c r="AK7" t="n">
        <v>5</v>
      </c>
      <c r="AL7" t="n">
        <v>4</v>
      </c>
      <c r="AM7" t="n">
        <v>4805.02</v>
      </c>
      <c r="AN7" t="n">
        <v>4816.2997</v>
      </c>
      <c r="AO7" t="n">
        <v>-11.2797</v>
      </c>
      <c r="AP7" t="n">
        <v>127.2319</v>
      </c>
      <c r="AQ7" t="n">
        <v>-0.033015</v>
      </c>
      <c r="AR7" t="n">
        <v>0.010591</v>
      </c>
      <c r="AS7" t="n">
        <v>5</v>
      </c>
      <c r="AT7" t="n">
        <v>24</v>
      </c>
      <c r="AU7" t="n">
        <v>4791.9693</v>
      </c>
      <c r="AV7" t="n">
        <v>4810.9476</v>
      </c>
      <c r="AW7" t="n">
        <v>-18.9783</v>
      </c>
      <c r="AX7" t="n">
        <v>360.1766</v>
      </c>
      <c r="AY7" t="n">
        <v>5</v>
      </c>
      <c r="AZ7" t="n">
        <v>4</v>
      </c>
      <c r="BA7" t="n">
        <v>4805.02</v>
      </c>
      <c r="BB7" t="n">
        <v>4816.2997</v>
      </c>
      <c r="BC7" t="n">
        <v>-11.2797</v>
      </c>
      <c r="BD7" t="n">
        <v>127.2319</v>
      </c>
      <c r="BE7" t="n">
        <v>16</v>
      </c>
    </row>
    <row r="8">
      <c r="A8" t="n">
        <v>1776356102</v>
      </c>
      <c r="B8" t="inlineStr">
        <is>
          <t>XAUUSD</t>
        </is>
      </c>
      <c r="C8" t="inlineStr">
        <is>
          <t>M15</t>
        </is>
      </c>
      <c r="D8" t="n">
        <v>4799.31</v>
      </c>
      <c r="E8" t="n">
        <v>4518.59282</v>
      </c>
      <c r="F8" t="n">
        <v>4596.05595</v>
      </c>
      <c r="G8" t="n">
        <v>4755.40355</v>
      </c>
      <c r="H8" t="n">
        <v>4792.76972</v>
      </c>
      <c r="Q8" t="n">
        <v>4816.03211</v>
      </c>
      <c r="R8" t="n">
        <v>4845.39541</v>
      </c>
      <c r="S8" t="n">
        <v>4871.98418</v>
      </c>
      <c r="V8" t="n">
        <v>4781.09234</v>
      </c>
      <c r="W8" t="n">
        <v>4747.52734</v>
      </c>
      <c r="AB8" t="n">
        <v>4799.54366</v>
      </c>
      <c r="AC8" t="n">
        <v>4800.66282</v>
      </c>
      <c r="AD8" t="n">
        <v>0</v>
      </c>
      <c r="AE8" t="n">
        <v>6</v>
      </c>
      <c r="AF8" t="n">
        <v>31</v>
      </c>
      <c r="AG8" t="n">
        <v>4794.635</v>
      </c>
      <c r="AH8" t="n">
        <v>4809.0744</v>
      </c>
      <c r="AI8" t="n">
        <v>-14.4394</v>
      </c>
      <c r="AJ8" t="n">
        <v>208.4963</v>
      </c>
      <c r="AK8" t="n">
        <v>6</v>
      </c>
      <c r="AL8" t="n">
        <v>5</v>
      </c>
      <c r="AM8" t="n">
        <v>4799.31</v>
      </c>
      <c r="AN8" t="n">
        <v>4816.0321</v>
      </c>
      <c r="AO8" t="n">
        <v>-16.7221</v>
      </c>
      <c r="AP8" t="n">
        <v>279.629</v>
      </c>
      <c r="AQ8" t="n">
        <v>-0.107569</v>
      </c>
      <c r="AR8" t="n">
        <v>0.051159</v>
      </c>
      <c r="AS8" t="n">
        <v>6</v>
      </c>
      <c r="AT8" t="n">
        <v>31</v>
      </c>
      <c r="AU8" t="n">
        <v>4794.635</v>
      </c>
      <c r="AV8" t="n">
        <v>4809.0744</v>
      </c>
      <c r="AW8" t="n">
        <v>-14.4394</v>
      </c>
      <c r="AX8" t="n">
        <v>208.4963</v>
      </c>
      <c r="AY8" t="n">
        <v>6</v>
      </c>
      <c r="AZ8" t="n">
        <v>5</v>
      </c>
      <c r="BA8" t="n">
        <v>4799.31</v>
      </c>
      <c r="BB8" t="n">
        <v>4816.0321</v>
      </c>
      <c r="BC8" t="n">
        <v>-16.7221</v>
      </c>
      <c r="BD8" t="n">
        <v>279.629</v>
      </c>
      <c r="BE8" t="n">
        <v>25</v>
      </c>
    </row>
    <row r="9">
      <c r="A9" t="n">
        <v>1776357002</v>
      </c>
      <c r="B9" t="inlineStr">
        <is>
          <t>XAUUSD</t>
        </is>
      </c>
      <c r="C9" t="inlineStr">
        <is>
          <t>M15</t>
        </is>
      </c>
      <c r="D9" t="n">
        <v>4790.11</v>
      </c>
      <c r="E9" t="n">
        <v>4518.59282</v>
      </c>
      <c r="F9" t="n">
        <v>4596.05595</v>
      </c>
      <c r="G9" t="n">
        <v>4755.40355</v>
      </c>
      <c r="H9" t="n">
        <v>4792.76972</v>
      </c>
      <c r="Q9" t="n">
        <v>4815.7645</v>
      </c>
      <c r="R9" t="n">
        <v>4845.1278</v>
      </c>
      <c r="S9" t="n">
        <v>4871.71657</v>
      </c>
      <c r="V9" t="n">
        <v>4780.82473</v>
      </c>
      <c r="W9" t="n">
        <v>4747.25974</v>
      </c>
      <c r="AB9" t="n">
        <v>4796.48611</v>
      </c>
      <c r="AC9" t="n">
        <v>4798.57446</v>
      </c>
      <c r="AD9" t="n">
        <v>0</v>
      </c>
      <c r="AE9" t="n">
        <v>7</v>
      </c>
      <c r="AF9" t="n">
        <v>39</v>
      </c>
      <c r="AG9" t="n">
        <v>4784.2445</v>
      </c>
      <c r="AH9" t="n">
        <v>4806.9336</v>
      </c>
      <c r="AI9" t="n">
        <v>-22.689</v>
      </c>
      <c r="AJ9" t="n">
        <v>514.7925</v>
      </c>
      <c r="AK9" t="n">
        <v>7</v>
      </c>
      <c r="AL9" t="n">
        <v>6</v>
      </c>
      <c r="AM9" t="n">
        <v>4790.11</v>
      </c>
      <c r="AN9" t="n">
        <v>4815.7645</v>
      </c>
      <c r="AO9" t="n">
        <v>-25.6545</v>
      </c>
      <c r="AP9" t="n">
        <v>658.1534</v>
      </c>
      <c r="AQ9" t="n">
        <v>-0.388424</v>
      </c>
      <c r="AR9" t="n">
        <v>0.283406</v>
      </c>
      <c r="AS9" t="n">
        <v>7</v>
      </c>
      <c r="AT9" t="n">
        <v>39</v>
      </c>
      <c r="AU9" t="n">
        <v>4784.2445</v>
      </c>
      <c r="AV9" t="n">
        <v>4806.9336</v>
      </c>
      <c r="AW9" t="n">
        <v>-22.689</v>
      </c>
      <c r="AX9" t="n">
        <v>514.7925</v>
      </c>
      <c r="AY9" t="n">
        <v>7</v>
      </c>
      <c r="AZ9" t="n">
        <v>6</v>
      </c>
      <c r="BA9" t="n">
        <v>4790.11</v>
      </c>
      <c r="BB9" t="n">
        <v>4815.7645</v>
      </c>
      <c r="BC9" t="n">
        <v>-25.6545</v>
      </c>
      <c r="BD9" t="n">
        <v>658.1534</v>
      </c>
      <c r="BE9" t="n">
        <v>36</v>
      </c>
    </row>
    <row r="10">
      <c r="A10" t="n">
        <v>1776357902</v>
      </c>
      <c r="B10" t="inlineStr">
        <is>
          <t>XAUUSD</t>
        </is>
      </c>
      <c r="C10" t="inlineStr">
        <is>
          <t>M15</t>
        </is>
      </c>
      <c r="D10" t="n">
        <v>4791.99</v>
      </c>
      <c r="E10" t="n">
        <v>4518.59282</v>
      </c>
      <c r="F10" t="n">
        <v>4596.05595</v>
      </c>
      <c r="G10" t="n">
        <v>4755.40355</v>
      </c>
      <c r="H10" t="n">
        <v>4792.76972</v>
      </c>
      <c r="Q10" t="n">
        <v>4815.4969</v>
      </c>
      <c r="R10" t="n">
        <v>4844.8602</v>
      </c>
      <c r="S10" t="n">
        <v>4871.44897</v>
      </c>
      <c r="V10" t="n">
        <v>4780.55713</v>
      </c>
      <c r="W10" t="n">
        <v>4746.99213</v>
      </c>
      <c r="AB10" t="n">
        <v>4793.29138</v>
      </c>
      <c r="AC10" t="n">
        <v>4795.93292</v>
      </c>
      <c r="AD10" t="n">
        <v>0</v>
      </c>
      <c r="AE10" t="n">
        <v>8</v>
      </c>
      <c r="AF10" t="n">
        <v>53</v>
      </c>
      <c r="AG10" t="n">
        <v>4799.4912</v>
      </c>
      <c r="AH10" t="n">
        <v>4803.1871</v>
      </c>
      <c r="AI10" t="n">
        <v>-3.696</v>
      </c>
      <c r="AJ10" t="n">
        <v>13.66</v>
      </c>
      <c r="AK10" t="n">
        <v>8</v>
      </c>
      <c r="AL10" t="n">
        <v>7</v>
      </c>
      <c r="AM10" t="n">
        <v>4791.99</v>
      </c>
      <c r="AN10" t="n">
        <v>4815.4969</v>
      </c>
      <c r="AO10" t="n">
        <v>-23.5069</v>
      </c>
      <c r="AP10" t="n">
        <v>552.5743</v>
      </c>
      <c r="AQ10" t="n">
        <v>-0.298814</v>
      </c>
      <c r="AR10" t="n">
        <v>0.199772</v>
      </c>
      <c r="AS10" t="n">
        <v>8</v>
      </c>
      <c r="AT10" t="n">
        <v>53</v>
      </c>
      <c r="AU10" t="n">
        <v>4799.4912</v>
      </c>
      <c r="AV10" t="n">
        <v>4803.1871</v>
      </c>
      <c r="AW10" t="n">
        <v>-3.696</v>
      </c>
      <c r="AX10" t="n">
        <v>13.66</v>
      </c>
      <c r="AY10" t="n">
        <v>8</v>
      </c>
      <c r="AZ10" t="n">
        <v>7</v>
      </c>
      <c r="BA10" t="n">
        <v>4791.99</v>
      </c>
      <c r="BB10" t="n">
        <v>4815.4969</v>
      </c>
      <c r="BC10" t="n">
        <v>-23.5069</v>
      </c>
      <c r="BD10" t="n">
        <v>552.5743</v>
      </c>
      <c r="BE10" t="n">
        <v>49</v>
      </c>
    </row>
    <row r="11">
      <c r="A11" t="n">
        <v>1776358802</v>
      </c>
      <c r="B11" t="inlineStr">
        <is>
          <t>XAUUSD</t>
        </is>
      </c>
      <c r="C11" t="inlineStr">
        <is>
          <t>M15</t>
        </is>
      </c>
      <c r="D11" t="n">
        <v>4791.41</v>
      </c>
      <c r="E11" t="n">
        <v>4518.59282</v>
      </c>
      <c r="F11" t="n">
        <v>4596.05595</v>
      </c>
      <c r="G11" t="n">
        <v>4755.40355</v>
      </c>
      <c r="H11" t="n">
        <v>4792.76972</v>
      </c>
      <c r="Q11" t="n">
        <v>4815.22929</v>
      </c>
      <c r="R11" t="n">
        <v>4844.59259</v>
      </c>
      <c r="S11" t="n">
        <v>4871.18136</v>
      </c>
      <c r="V11" t="n">
        <v>4780.28952</v>
      </c>
      <c r="W11" t="n">
        <v>4746.72453</v>
      </c>
      <c r="AB11" t="n">
        <v>4790.37153</v>
      </c>
      <c r="AC11" t="n">
        <v>4793.15223</v>
      </c>
      <c r="AD11" t="n">
        <v>0</v>
      </c>
      <c r="AE11" t="n">
        <v>9</v>
      </c>
      <c r="AF11" t="n">
        <v>62</v>
      </c>
      <c r="AG11" t="n">
        <v>4785.2155</v>
      </c>
      <c r="AH11" t="n">
        <v>4800.7787</v>
      </c>
      <c r="AI11" t="n">
        <v>-15.5631</v>
      </c>
      <c r="AJ11" t="n">
        <v>242.211</v>
      </c>
      <c r="AK11" t="n">
        <v>9</v>
      </c>
      <c r="AL11" t="n">
        <v>8</v>
      </c>
      <c r="AM11" t="n">
        <v>4791.41</v>
      </c>
      <c r="AN11" t="n">
        <v>4815.2293</v>
      </c>
      <c r="AO11" t="n">
        <v>-23.8193</v>
      </c>
      <c r="AP11" t="n">
        <v>567.3586</v>
      </c>
      <c r="AQ11" t="n">
        <v>-0.310887</v>
      </c>
      <c r="AR11" t="n">
        <v>0.210605</v>
      </c>
      <c r="AS11" t="n">
        <v>9</v>
      </c>
      <c r="AT11" t="n">
        <v>62</v>
      </c>
      <c r="AU11" t="n">
        <v>4785.2155</v>
      </c>
      <c r="AV11" t="n">
        <v>4800.7787</v>
      </c>
      <c r="AW11" t="n">
        <v>-15.5631</v>
      </c>
      <c r="AX11" t="n">
        <v>242.211</v>
      </c>
      <c r="AY11" t="n">
        <v>9</v>
      </c>
      <c r="AZ11" t="n">
        <v>8</v>
      </c>
      <c r="BA11" t="n">
        <v>4791.41</v>
      </c>
      <c r="BB11" t="n">
        <v>4815.2293</v>
      </c>
      <c r="BC11" t="n">
        <v>-23.8193</v>
      </c>
      <c r="BD11" t="n">
        <v>567.3586</v>
      </c>
      <c r="BE11" t="n">
        <v>64</v>
      </c>
    </row>
    <row r="12">
      <c r="A12" t="n">
        <v>1776359702</v>
      </c>
      <c r="B12" t="inlineStr">
        <is>
          <t>XAUUSD</t>
        </is>
      </c>
      <c r="C12" t="inlineStr">
        <is>
          <t>M15</t>
        </is>
      </c>
      <c r="D12" t="n">
        <v>4785.04</v>
      </c>
      <c r="E12" t="n">
        <v>4518.59282</v>
      </c>
      <c r="F12" t="n">
        <v>4596.05595</v>
      </c>
      <c r="G12" t="n">
        <v>4755.40355</v>
      </c>
      <c r="H12" t="n">
        <v>4792.76972</v>
      </c>
      <c r="Q12" t="n">
        <v>4814.96169</v>
      </c>
      <c r="R12" t="n">
        <v>4844.32499</v>
      </c>
      <c r="S12" t="n">
        <v>4870.91376</v>
      </c>
      <c r="V12" t="n">
        <v>4780.02192</v>
      </c>
      <c r="W12" t="n">
        <v>4746.45692</v>
      </c>
      <c r="AB12" t="n">
        <v>4788.08063</v>
      </c>
      <c r="AC12" t="n">
        <v>4790.61643</v>
      </c>
      <c r="AD12" t="n">
        <v>0</v>
      </c>
      <c r="AE12" t="n">
        <v>10</v>
      </c>
      <c r="AF12" t="n">
        <v>71</v>
      </c>
      <c r="AG12" t="n">
        <v>4792.9258</v>
      </c>
      <c r="AH12" t="n">
        <v>4798.3702</v>
      </c>
      <c r="AI12" t="n">
        <v>-5.4444</v>
      </c>
      <c r="AJ12" t="n">
        <v>29.6418</v>
      </c>
      <c r="AK12" t="n">
        <v>10</v>
      </c>
      <c r="AL12" t="n">
        <v>9</v>
      </c>
      <c r="AM12" t="n">
        <v>4785.04</v>
      </c>
      <c r="AN12" t="n">
        <v>4814.9617</v>
      </c>
      <c r="AO12" t="n">
        <v>-29.9217</v>
      </c>
      <c r="AP12" t="n">
        <v>895.3075</v>
      </c>
      <c r="AQ12" t="n">
        <v>-0.616274</v>
      </c>
      <c r="AR12" t="n">
        <v>0.524443</v>
      </c>
      <c r="AS12" t="n">
        <v>10</v>
      </c>
      <c r="AT12" t="n">
        <v>71</v>
      </c>
      <c r="AU12" t="n">
        <v>4792.9258</v>
      </c>
      <c r="AV12" t="n">
        <v>4798.3702</v>
      </c>
      <c r="AW12" t="n">
        <v>-5.4444</v>
      </c>
      <c r="AX12" t="n">
        <v>29.6418</v>
      </c>
      <c r="AY12" t="n">
        <v>10</v>
      </c>
      <c r="AZ12" t="n">
        <v>9</v>
      </c>
      <c r="BA12" t="n">
        <v>4785.04</v>
      </c>
      <c r="BB12" t="n">
        <v>4814.9617</v>
      </c>
      <c r="BC12" t="n">
        <v>-29.9217</v>
      </c>
      <c r="BD12" t="n">
        <v>895.3075</v>
      </c>
      <c r="BE12" t="n">
        <v>81</v>
      </c>
    </row>
    <row r="13">
      <c r="A13" t="n">
        <v>1776360602</v>
      </c>
      <c r="B13" t="inlineStr">
        <is>
          <t>XAUUSD</t>
        </is>
      </c>
      <c r="C13" t="inlineStr">
        <is>
          <t>M15</t>
        </is>
      </c>
      <c r="D13" t="n">
        <v>4787.16</v>
      </c>
      <c r="E13" t="n">
        <v>4518.59282</v>
      </c>
      <c r="F13" t="n">
        <v>4596.05595</v>
      </c>
      <c r="G13" t="n">
        <v>4755.40355</v>
      </c>
      <c r="H13" t="n">
        <v>4792.76972</v>
      </c>
      <c r="Q13" t="n">
        <v>4814.69409</v>
      </c>
      <c r="R13" t="n">
        <v>4844.05738</v>
      </c>
      <c r="S13" t="n">
        <v>4870.64616</v>
      </c>
      <c r="V13" t="n">
        <v>4779.75432</v>
      </c>
      <c r="W13" t="n">
        <v>4746.18932</v>
      </c>
      <c r="AB13" t="n">
        <v>4786.79662</v>
      </c>
      <c r="AC13" t="n">
        <v>4788.70652</v>
      </c>
      <c r="AD13" t="n">
        <v>0</v>
      </c>
      <c r="AE13" t="n">
        <v>11</v>
      </c>
      <c r="AF13" t="n">
        <v>77</v>
      </c>
      <c r="AG13" t="n">
        <v>4789.136</v>
      </c>
      <c r="AH13" t="n">
        <v>4796.7646</v>
      </c>
      <c r="AI13" t="n">
        <v>-7.6286</v>
      </c>
      <c r="AJ13" t="n">
        <v>58.196</v>
      </c>
      <c r="AK13" t="n">
        <v>11</v>
      </c>
      <c r="AL13" t="n">
        <v>10</v>
      </c>
      <c r="AM13" t="n">
        <v>4787.16</v>
      </c>
      <c r="AN13" t="n">
        <v>4814.6941</v>
      </c>
      <c r="AO13" t="n">
        <v>-27.5341</v>
      </c>
      <c r="AP13" t="n">
        <v>758.1261</v>
      </c>
      <c r="AQ13" t="n">
        <v>-0.480206</v>
      </c>
      <c r="AR13" t="n">
        <v>0.376043</v>
      </c>
      <c r="AS13" t="n">
        <v>11</v>
      </c>
      <c r="AT13" t="n">
        <v>77</v>
      </c>
      <c r="AU13" t="n">
        <v>4789.136</v>
      </c>
      <c r="AV13" t="n">
        <v>4796.7646</v>
      </c>
      <c r="AW13" t="n">
        <v>-7.6286</v>
      </c>
      <c r="AX13" t="n">
        <v>58.196</v>
      </c>
      <c r="AY13" t="n">
        <v>11</v>
      </c>
      <c r="AZ13" t="n">
        <v>10</v>
      </c>
      <c r="BA13" t="n">
        <v>4787.16</v>
      </c>
      <c r="BB13" t="n">
        <v>4814.6941</v>
      </c>
      <c r="BC13" t="n">
        <v>-27.5341</v>
      </c>
      <c r="BD13" t="n">
        <v>758.1261</v>
      </c>
      <c r="BE13" t="n">
        <v>100</v>
      </c>
    </row>
    <row r="14">
      <c r="A14" t="n">
        <v>1776361502</v>
      </c>
      <c r="B14" t="inlineStr">
        <is>
          <t>XAUUSD</t>
        </is>
      </c>
      <c r="C14" t="inlineStr">
        <is>
          <t>M15</t>
        </is>
      </c>
      <c r="D14" t="n">
        <v>4789.22</v>
      </c>
      <c r="E14" t="n">
        <v>4518.59282</v>
      </c>
      <c r="F14" t="n">
        <v>4596.05595</v>
      </c>
      <c r="G14" t="n">
        <v>4755.40355</v>
      </c>
      <c r="H14" t="n">
        <v>4792.76972</v>
      </c>
      <c r="Q14" t="n">
        <v>4814.42648</v>
      </c>
      <c r="R14" t="n">
        <v>4843.78978</v>
      </c>
      <c r="S14" t="n">
        <v>4870.37855</v>
      </c>
      <c r="V14" t="n">
        <v>4779.48671</v>
      </c>
      <c r="W14" t="n">
        <v>4745.92172</v>
      </c>
      <c r="AB14" t="n">
        <v>4786.51606</v>
      </c>
      <c r="AC14" t="n">
        <v>4787.61129</v>
      </c>
      <c r="AD14" t="n">
        <v>0</v>
      </c>
      <c r="AE14" t="n">
        <v>12</v>
      </c>
      <c r="AF14" t="n">
        <v>90</v>
      </c>
      <c r="AG14" t="n">
        <v>4872.1414</v>
      </c>
      <c r="AH14" t="n">
        <v>4793.2858</v>
      </c>
      <c r="AI14" t="n">
        <v>78.8557</v>
      </c>
      <c r="AJ14" t="n">
        <v>6218.2183</v>
      </c>
      <c r="AK14" t="n">
        <v>12</v>
      </c>
      <c r="AL14" t="n">
        <v>11</v>
      </c>
      <c r="AM14" t="n">
        <v>4789.22</v>
      </c>
      <c r="AN14" t="n">
        <v>4814.4265</v>
      </c>
      <c r="AO14" t="n">
        <v>-25.2065</v>
      </c>
      <c r="AP14" t="n">
        <v>635.3665999999999</v>
      </c>
      <c r="AQ14" t="n">
        <v>-0.368428</v>
      </c>
      <c r="AR14" t="n">
        <v>0.264121</v>
      </c>
      <c r="AS14" t="n">
        <v>12</v>
      </c>
      <c r="AT14" t="n">
        <v>90</v>
      </c>
      <c r="AU14" t="n">
        <v>4872.1414</v>
      </c>
      <c r="AV14" t="n">
        <v>4793.2858</v>
      </c>
      <c r="AW14" t="n">
        <v>78.8557</v>
      </c>
      <c r="AX14" t="n">
        <v>6218.2183</v>
      </c>
      <c r="AY14" t="n">
        <v>12</v>
      </c>
      <c r="AZ14" t="n">
        <v>11</v>
      </c>
      <c r="BA14" t="n">
        <v>4789.22</v>
      </c>
      <c r="BB14" t="n">
        <v>4814.4265</v>
      </c>
      <c r="BC14" t="n">
        <v>-25.2065</v>
      </c>
      <c r="BD14" t="n">
        <v>635.3665999999999</v>
      </c>
      <c r="BE14" t="n">
        <v>121</v>
      </c>
    </row>
    <row r="15">
      <c r="A15" t="n">
        <v>1776362402</v>
      </c>
      <c r="B15" t="inlineStr">
        <is>
          <t>XAUUSD</t>
        </is>
      </c>
      <c r="C15" t="inlineStr">
        <is>
          <t>M15</t>
        </is>
      </c>
      <c r="D15" t="n">
        <v>4790.1</v>
      </c>
      <c r="E15" t="n">
        <v>4518.59282</v>
      </c>
      <c r="F15" t="n">
        <v>4596.05595</v>
      </c>
      <c r="G15" t="n">
        <v>4755.40355</v>
      </c>
      <c r="H15" t="n">
        <v>4792.76972</v>
      </c>
      <c r="Q15" t="n">
        <v>4814.15888</v>
      </c>
      <c r="R15" t="n">
        <v>4843.52218</v>
      </c>
      <c r="S15" t="n">
        <v>4870.11095</v>
      </c>
      <c r="V15" t="n">
        <v>4779.21911</v>
      </c>
      <c r="W15" t="n">
        <v>4745.65411</v>
      </c>
      <c r="AB15" t="n">
        <v>4787.06761</v>
      </c>
      <c r="AC15" t="n">
        <v>4787.33945</v>
      </c>
      <c r="AD15" t="n">
        <v>0</v>
      </c>
      <c r="AE15" t="n">
        <v>13</v>
      </c>
      <c r="AF15" t="n">
        <v>96</v>
      </c>
      <c r="AG15" t="n">
        <v>4866.7911</v>
      </c>
      <c r="AH15" t="n">
        <v>4791.6801</v>
      </c>
      <c r="AI15" t="n">
        <v>75.111</v>
      </c>
      <c r="AJ15" t="n">
        <v>5641.6563</v>
      </c>
      <c r="AK15" t="n">
        <v>13</v>
      </c>
      <c r="AL15" t="n">
        <v>12</v>
      </c>
      <c r="AM15" t="n">
        <v>4790.1</v>
      </c>
      <c r="AN15" t="n">
        <v>4814.1589</v>
      </c>
      <c r="AO15" t="n">
        <v>-24.0589</v>
      </c>
      <c r="AP15" t="n">
        <v>578.8297</v>
      </c>
      <c r="AQ15" t="n">
        <v>-0.320363</v>
      </c>
      <c r="AR15" t="n">
        <v>0.219208</v>
      </c>
      <c r="AS15" t="n">
        <v>13</v>
      </c>
      <c r="AT15" t="n">
        <v>96</v>
      </c>
      <c r="AU15" t="n">
        <v>4866.7911</v>
      </c>
      <c r="AV15" t="n">
        <v>4791.6801</v>
      </c>
      <c r="AW15" t="n">
        <v>75.111</v>
      </c>
      <c r="AX15" t="n">
        <v>5641.6563</v>
      </c>
      <c r="AY15" t="n">
        <v>13</v>
      </c>
      <c r="AZ15" t="n">
        <v>12</v>
      </c>
      <c r="BA15" t="n">
        <v>4790.1</v>
      </c>
      <c r="BB15" t="n">
        <v>4814.1589</v>
      </c>
      <c r="BC15" t="n">
        <v>-24.0589</v>
      </c>
      <c r="BD15" t="n">
        <v>578.8297</v>
      </c>
      <c r="BE15" t="n">
        <v>144</v>
      </c>
    </row>
    <row r="16">
      <c r="A16" t="n">
        <v>1776363302</v>
      </c>
      <c r="B16" t="inlineStr">
        <is>
          <t>XAUUSD</t>
        </is>
      </c>
      <c r="C16" t="inlineStr">
        <is>
          <t>M15</t>
        </is>
      </c>
      <c r="D16" t="n">
        <v>4786.98</v>
      </c>
      <c r="E16" t="n">
        <v>4518.59282</v>
      </c>
      <c r="F16" t="n">
        <v>4596.05595</v>
      </c>
      <c r="G16" t="n">
        <v>4755.40355</v>
      </c>
      <c r="H16" t="n">
        <v>4792.76972</v>
      </c>
      <c r="Q16" t="n">
        <v>4813.89127</v>
      </c>
      <c r="R16" t="n">
        <v>4843.25457</v>
      </c>
      <c r="S16" t="n">
        <v>4869.84334</v>
      </c>
      <c r="V16" t="n">
        <v>4778.9515</v>
      </c>
      <c r="W16" t="n">
        <v>4745.38651</v>
      </c>
      <c r="AB16" t="n">
        <v>4788.17987</v>
      </c>
      <c r="AC16" t="n">
        <v>4787.75966</v>
      </c>
      <c r="AD16" t="n">
        <v>1</v>
      </c>
      <c r="AE16" t="n">
        <v>14</v>
      </c>
      <c r="AF16" t="n">
        <v>98</v>
      </c>
      <c r="AG16" t="n">
        <v>4866.6882</v>
      </c>
      <c r="AH16" t="n">
        <v>4791.1449</v>
      </c>
      <c r="AI16" t="n">
        <v>75.5433</v>
      </c>
      <c r="AJ16" t="n">
        <v>5706.7887</v>
      </c>
      <c r="AK16" t="n">
        <v>14</v>
      </c>
      <c r="AL16" t="n">
        <v>13</v>
      </c>
      <c r="AM16" t="n">
        <v>4786.98</v>
      </c>
      <c r="AN16" t="n">
        <v>4813.8913</v>
      </c>
      <c r="AO16" t="n">
        <v>-26.9113</v>
      </c>
      <c r="AP16" t="n">
        <v>724.2165</v>
      </c>
      <c r="AQ16" t="n">
        <v>-0.448351</v>
      </c>
      <c r="AR16" t="n">
        <v>0.343155</v>
      </c>
      <c r="AS16" t="n">
        <v>14</v>
      </c>
      <c r="AT16" t="n">
        <v>98</v>
      </c>
      <c r="AU16" t="n">
        <v>4866.6882</v>
      </c>
      <c r="AV16" t="n">
        <v>4791.1449</v>
      </c>
      <c r="AW16" t="n">
        <v>75.5433</v>
      </c>
      <c r="AX16" t="n">
        <v>5706.7887</v>
      </c>
      <c r="AY16" t="n">
        <v>14</v>
      </c>
      <c r="AZ16" t="n">
        <v>13</v>
      </c>
      <c r="BA16" t="n">
        <v>4786.98</v>
      </c>
      <c r="BB16" t="n">
        <v>4813.8913</v>
      </c>
      <c r="BC16" t="n">
        <v>-26.9113</v>
      </c>
      <c r="BD16" t="n">
        <v>724.2165</v>
      </c>
      <c r="BE16" t="n">
        <v>169</v>
      </c>
    </row>
    <row r="17">
      <c r="A17" t="n">
        <v>1776364202</v>
      </c>
      <c r="B17" t="inlineStr">
        <is>
          <t>XAUUSD</t>
        </is>
      </c>
      <c r="C17" t="inlineStr">
        <is>
          <t>M15</t>
        </is>
      </c>
      <c r="D17" t="n">
        <v>4790.43</v>
      </c>
      <c r="E17" t="n">
        <v>4518.59282</v>
      </c>
      <c r="F17" t="n">
        <v>4596.05595</v>
      </c>
      <c r="G17" t="n">
        <v>4755.40355</v>
      </c>
      <c r="H17" t="n">
        <v>4792.76972</v>
      </c>
      <c r="Q17" t="n">
        <v>4813.62367</v>
      </c>
      <c r="R17" t="n">
        <v>4842.98697</v>
      </c>
      <c r="S17" t="n">
        <v>4869.57574</v>
      </c>
      <c r="V17" t="n">
        <v>4778.6839</v>
      </c>
      <c r="W17" t="n">
        <v>4745.1189</v>
      </c>
      <c r="AB17" t="n">
        <v>4789.62866</v>
      </c>
      <c r="AC17" t="n">
        <v>4788.69416</v>
      </c>
      <c r="AD17" t="n">
        <v>0</v>
      </c>
      <c r="AE17" t="n">
        <v>15</v>
      </c>
      <c r="AF17" t="n">
        <v>106</v>
      </c>
      <c r="AG17" t="n">
        <v>4859.3727</v>
      </c>
      <c r="AH17" t="n">
        <v>4789.0041</v>
      </c>
      <c r="AI17" t="n">
        <v>70.3686</v>
      </c>
      <c r="AJ17" t="n">
        <v>4951.7441</v>
      </c>
      <c r="AK17" t="n">
        <v>15</v>
      </c>
      <c r="AL17" t="n">
        <v>14</v>
      </c>
      <c r="AM17" t="n">
        <v>4790.43</v>
      </c>
      <c r="AN17" t="n">
        <v>4813.6237</v>
      </c>
      <c r="AO17" t="n">
        <v>-23.1937</v>
      </c>
      <c r="AP17" t="n">
        <v>537.9463</v>
      </c>
      <c r="AQ17" t="n">
        <v>-0.287028</v>
      </c>
      <c r="AR17" t="n">
        <v>0.189335</v>
      </c>
      <c r="AS17" t="n">
        <v>15</v>
      </c>
      <c r="AT17" t="n">
        <v>106</v>
      </c>
      <c r="AU17" t="n">
        <v>4859.3727</v>
      </c>
      <c r="AV17" t="n">
        <v>4789.0041</v>
      </c>
      <c r="AW17" t="n">
        <v>70.3686</v>
      </c>
      <c r="AX17" t="n">
        <v>4951.7441</v>
      </c>
      <c r="AY17" t="n">
        <v>15</v>
      </c>
      <c r="AZ17" t="n">
        <v>14</v>
      </c>
      <c r="BA17" t="n">
        <v>4790.43</v>
      </c>
      <c r="BB17" t="n">
        <v>4813.6237</v>
      </c>
      <c r="BC17" t="n">
        <v>-23.1937</v>
      </c>
      <c r="BD17" t="n">
        <v>537.9463</v>
      </c>
      <c r="BE17" t="n">
        <v>196</v>
      </c>
    </row>
    <row r="18">
      <c r="A18" t="n">
        <v>1776365102</v>
      </c>
      <c r="B18" t="inlineStr">
        <is>
          <t>XAUUSD</t>
        </is>
      </c>
      <c r="C18" t="inlineStr">
        <is>
          <t>M15</t>
        </is>
      </c>
      <c r="D18" t="n">
        <v>4789.64</v>
      </c>
      <c r="E18" t="n">
        <v>4518.59282</v>
      </c>
      <c r="F18" t="n">
        <v>4596.05595</v>
      </c>
      <c r="G18" t="n">
        <v>4755.40355</v>
      </c>
      <c r="H18" t="n">
        <v>4792.76972</v>
      </c>
      <c r="Q18" t="n">
        <v>4813.35607</v>
      </c>
      <c r="R18" t="n">
        <v>4842.71936</v>
      </c>
      <c r="S18" t="n">
        <v>4869.30814</v>
      </c>
      <c r="V18" t="n">
        <v>4778.4163</v>
      </c>
      <c r="W18" t="n">
        <v>4744.8513</v>
      </c>
      <c r="AB18" t="n">
        <v>4790.99086</v>
      </c>
      <c r="AC18" t="n">
        <v>4789.84251</v>
      </c>
      <c r="AD18" t="n">
        <v>0</v>
      </c>
      <c r="AE18" t="n">
        <v>16</v>
      </c>
      <c r="AF18" t="n">
        <v>109</v>
      </c>
      <c r="AG18" t="n">
        <v>4859.671</v>
      </c>
      <c r="AH18" t="n">
        <v>4788.2013</v>
      </c>
      <c r="AI18" t="n">
        <v>71.46980000000001</v>
      </c>
      <c r="AJ18" t="n">
        <v>5107.9266</v>
      </c>
      <c r="AK18" t="n">
        <v>16</v>
      </c>
      <c r="AL18" t="n">
        <v>15</v>
      </c>
      <c r="AM18" t="n">
        <v>4789.64</v>
      </c>
      <c r="AN18" t="n">
        <v>4813.3561</v>
      </c>
      <c r="AO18" t="n">
        <v>-23.7161</v>
      </c>
      <c r="AP18" t="n">
        <v>562.452</v>
      </c>
      <c r="AQ18" t="n">
        <v>-0.306862</v>
      </c>
      <c r="AR18" t="n">
        <v>0.206978</v>
      </c>
      <c r="AS18" t="n">
        <v>16</v>
      </c>
      <c r="AT18" t="n">
        <v>109</v>
      </c>
      <c r="AU18" t="n">
        <v>4859.671</v>
      </c>
      <c r="AV18" t="n">
        <v>4788.2013</v>
      </c>
      <c r="AW18" t="n">
        <v>71.46980000000001</v>
      </c>
      <c r="AX18" t="n">
        <v>5107.9266</v>
      </c>
      <c r="AY18" t="n">
        <v>16</v>
      </c>
      <c r="AZ18" t="n">
        <v>15</v>
      </c>
      <c r="BA18" t="n">
        <v>4789.64</v>
      </c>
      <c r="BB18" t="n">
        <v>4813.3561</v>
      </c>
      <c r="BC18" t="n">
        <v>-23.7161</v>
      </c>
      <c r="BD18" t="n">
        <v>562.452</v>
      </c>
      <c r="BE18" t="n">
        <v>225</v>
      </c>
    </row>
    <row r="19">
      <c r="A19" t="n">
        <v>1776366002</v>
      </c>
      <c r="B19" t="inlineStr">
        <is>
          <t>XAUUSD</t>
        </is>
      </c>
      <c r="C19" t="inlineStr">
        <is>
          <t>M15</t>
        </is>
      </c>
      <c r="D19" t="n">
        <v>4790.03</v>
      </c>
      <c r="E19" t="n">
        <v>4518.59282</v>
      </c>
      <c r="F19" t="n">
        <v>4596.05595</v>
      </c>
      <c r="G19" t="n">
        <v>4755.40355</v>
      </c>
      <c r="H19" t="n">
        <v>4792.76972</v>
      </c>
      <c r="Q19" t="n">
        <v>4813.08846</v>
      </c>
      <c r="R19" t="n">
        <v>4842.45176</v>
      </c>
      <c r="S19" t="n">
        <v>4869.04053</v>
      </c>
      <c r="V19" t="n">
        <v>4778.14869</v>
      </c>
      <c r="W19" t="n">
        <v>4744.58369</v>
      </c>
      <c r="AB19" t="n">
        <v>4792.05313</v>
      </c>
      <c r="AC19" t="n">
        <v>4790.94782</v>
      </c>
      <c r="AD19" t="n">
        <v>0</v>
      </c>
      <c r="AE19" t="n">
        <v>17</v>
      </c>
      <c r="AF19" t="n">
        <v>125</v>
      </c>
      <c r="AG19" t="n">
        <v>4763.9122</v>
      </c>
      <c r="AH19" t="n">
        <v>4783.9196</v>
      </c>
      <c r="AI19" t="n">
        <v>-20.0074</v>
      </c>
      <c r="AJ19" t="n">
        <v>400.2973</v>
      </c>
      <c r="AK19" t="n">
        <v>17</v>
      </c>
      <c r="AL19" t="n">
        <v>16</v>
      </c>
      <c r="AM19" t="n">
        <v>4790.03</v>
      </c>
      <c r="AN19" t="n">
        <v>4813.0885</v>
      </c>
      <c r="AO19" t="n">
        <v>-23.0585</v>
      </c>
      <c r="AP19" t="n">
        <v>531.6926</v>
      </c>
      <c r="AQ19" t="n">
        <v>-0.282037</v>
      </c>
      <c r="AR19" t="n">
        <v>0.184959</v>
      </c>
      <c r="AS19" t="n">
        <v>17</v>
      </c>
      <c r="AT19" t="n">
        <v>125</v>
      </c>
      <c r="AU19" t="n">
        <v>4763.9122</v>
      </c>
      <c r="AV19" t="n">
        <v>4783.9196</v>
      </c>
      <c r="AW19" t="n">
        <v>-20.0074</v>
      </c>
      <c r="AX19" t="n">
        <v>400.2973</v>
      </c>
      <c r="AY19" t="n">
        <v>17</v>
      </c>
      <c r="AZ19" t="n">
        <v>16</v>
      </c>
      <c r="BA19" t="n">
        <v>4790.03</v>
      </c>
      <c r="BB19" t="n">
        <v>4813.0885</v>
      </c>
      <c r="BC19" t="n">
        <v>-23.0585</v>
      </c>
      <c r="BD19" t="n">
        <v>531.6926</v>
      </c>
      <c r="BE19" t="n">
        <v>256</v>
      </c>
    </row>
    <row r="20">
      <c r="A20" t="n">
        <v>1776366902</v>
      </c>
      <c r="B20" t="inlineStr">
        <is>
          <t>XAUUSD</t>
        </is>
      </c>
      <c r="C20" t="inlineStr">
        <is>
          <t>M15</t>
        </is>
      </c>
      <c r="D20" t="n">
        <v>4790.76</v>
      </c>
      <c r="E20" t="n">
        <v>4518.59282</v>
      </c>
      <c r="F20" t="n">
        <v>4596.05595</v>
      </c>
      <c r="G20" t="n">
        <v>4755.40355</v>
      </c>
      <c r="H20" t="n">
        <v>4792.76972</v>
      </c>
      <c r="Q20" t="n">
        <v>4812.82086</v>
      </c>
      <c r="R20" t="n">
        <v>4842.18416</v>
      </c>
      <c r="S20" t="n">
        <v>4868.77293</v>
      </c>
      <c r="V20" t="n">
        <v>4777.88109</v>
      </c>
      <c r="W20" t="n">
        <v>4744.31609</v>
      </c>
      <c r="AB20" t="n">
        <v>4792.66974</v>
      </c>
      <c r="AC20" t="n">
        <v>4791.80878</v>
      </c>
      <c r="AD20" t="n">
        <v>0</v>
      </c>
      <c r="AE20" t="n">
        <v>18</v>
      </c>
      <c r="AF20" t="n">
        <v>134</v>
      </c>
      <c r="AG20" t="n">
        <v>4800.2768</v>
      </c>
      <c r="AH20" t="n">
        <v>4781.5112</v>
      </c>
      <c r="AI20" t="n">
        <v>18.7656</v>
      </c>
      <c r="AJ20" t="n">
        <v>352.1474</v>
      </c>
      <c r="AK20" t="n">
        <v>18</v>
      </c>
      <c r="AL20" t="n">
        <v>17</v>
      </c>
      <c r="AM20" t="n">
        <v>4790.76</v>
      </c>
      <c r="AN20" t="n">
        <v>4812.8209</v>
      </c>
      <c r="AO20" t="n">
        <v>-22.0609</v>
      </c>
      <c r="AP20" t="n">
        <v>486.6815</v>
      </c>
      <c r="AQ20" t="n">
        <v>-0.246992</v>
      </c>
      <c r="AR20" t="n">
        <v>0.154969</v>
      </c>
      <c r="AS20" t="n">
        <v>18</v>
      </c>
      <c r="AT20" t="n">
        <v>134</v>
      </c>
      <c r="AU20" t="n">
        <v>4800.2768</v>
      </c>
      <c r="AV20" t="n">
        <v>4781.5112</v>
      </c>
      <c r="AW20" t="n">
        <v>18.7656</v>
      </c>
      <c r="AX20" t="n">
        <v>352.1474</v>
      </c>
      <c r="AY20" t="n">
        <v>18</v>
      </c>
      <c r="AZ20" t="n">
        <v>17</v>
      </c>
      <c r="BA20" t="n">
        <v>4790.76</v>
      </c>
      <c r="BB20" t="n">
        <v>4812.8209</v>
      </c>
      <c r="BC20" t="n">
        <v>-22.0609</v>
      </c>
      <c r="BD20" t="n">
        <v>486.6815</v>
      </c>
      <c r="BE20" t="n">
        <v>289</v>
      </c>
    </row>
    <row r="21">
      <c r="A21" t="n">
        <v>1776367802</v>
      </c>
      <c r="B21" t="inlineStr">
        <is>
          <t>XAUUSD</t>
        </is>
      </c>
      <c r="C21" t="inlineStr">
        <is>
          <t>M15</t>
        </is>
      </c>
      <c r="D21" t="n">
        <v>4797.59</v>
      </c>
      <c r="E21" t="n">
        <v>4518.59282</v>
      </c>
      <c r="F21" t="n">
        <v>4596.05595</v>
      </c>
      <c r="G21" t="n">
        <v>4755.40355</v>
      </c>
      <c r="H21" t="n">
        <v>4792.76972</v>
      </c>
      <c r="Q21" t="n">
        <v>4812.55325</v>
      </c>
      <c r="R21" t="n">
        <v>4841.91655</v>
      </c>
      <c r="S21" t="n">
        <v>4868.50532</v>
      </c>
      <c r="V21" t="n">
        <v>4777.61348</v>
      </c>
      <c r="W21" t="n">
        <v>4744.04849</v>
      </c>
      <c r="AB21" t="n">
        <v>4792.80391</v>
      </c>
      <c r="AC21" t="n">
        <v>4792.30634</v>
      </c>
      <c r="AD21" t="n">
        <v>0</v>
      </c>
      <c r="AE21" t="n">
        <v>19</v>
      </c>
      <c r="AF21" t="n">
        <v>148</v>
      </c>
      <c r="AG21" t="n">
        <v>4788.4819</v>
      </c>
      <c r="AH21" t="n">
        <v>4777.7647</v>
      </c>
      <c r="AI21" t="n">
        <v>10.7172</v>
      </c>
      <c r="AJ21" t="n">
        <v>114.8575</v>
      </c>
      <c r="AK21" t="n">
        <v>19</v>
      </c>
      <c r="AL21" t="n">
        <v>18</v>
      </c>
      <c r="AM21" t="n">
        <v>4797.59</v>
      </c>
      <c r="AN21" t="n">
        <v>4812.5532</v>
      </c>
      <c r="AO21" t="n">
        <v>-14.9632</v>
      </c>
      <c r="AP21" t="n">
        <v>223.8989</v>
      </c>
      <c r="AQ21" t="n">
        <v>-0.077071</v>
      </c>
      <c r="AR21" t="n">
        <v>0.032799</v>
      </c>
      <c r="AS21" t="n">
        <v>19</v>
      </c>
      <c r="AT21" t="n">
        <v>148</v>
      </c>
      <c r="AU21" t="n">
        <v>4788.4819</v>
      </c>
      <c r="AV21" t="n">
        <v>4777.7647</v>
      </c>
      <c r="AW21" t="n">
        <v>10.7172</v>
      </c>
      <c r="AX21" t="n">
        <v>114.8575</v>
      </c>
      <c r="AY21" t="n">
        <v>19</v>
      </c>
      <c r="AZ21" t="n">
        <v>18</v>
      </c>
      <c r="BA21" t="n">
        <v>4797.59</v>
      </c>
      <c r="BB21" t="n">
        <v>4812.5532</v>
      </c>
      <c r="BC21" t="n">
        <v>-14.9632</v>
      </c>
      <c r="BD21" t="n">
        <v>223.8989</v>
      </c>
      <c r="BE21" t="n">
        <v>324</v>
      </c>
    </row>
    <row r="22">
      <c r="A22" t="n">
        <v>1776368702</v>
      </c>
      <c r="B22" t="inlineStr">
        <is>
          <t>XAUUSD</t>
        </is>
      </c>
      <c r="C22" t="inlineStr">
        <is>
          <t>M15</t>
        </is>
      </c>
      <c r="D22" t="n">
        <v>4793.52</v>
      </c>
      <c r="E22" t="n">
        <v>4518.59282</v>
      </c>
      <c r="F22" t="n">
        <v>4596.05595</v>
      </c>
      <c r="G22" t="n">
        <v>4755.40355</v>
      </c>
      <c r="H22" t="n">
        <v>4792.76972</v>
      </c>
      <c r="Q22" t="n">
        <v>4812.28565</v>
      </c>
      <c r="R22" t="n">
        <v>4841.64895</v>
      </c>
      <c r="S22" t="n">
        <v>4868.23772</v>
      </c>
      <c r="V22" t="n">
        <v>4777.34588</v>
      </c>
      <c r="W22" t="n">
        <v>4743.78088</v>
      </c>
      <c r="AB22" t="n">
        <v>4792.38352</v>
      </c>
      <c r="AC22" t="n">
        <v>4792.34493</v>
      </c>
      <c r="AD22" t="n">
        <v>0</v>
      </c>
      <c r="AE22" t="n">
        <v>20</v>
      </c>
      <c r="AF22" t="n">
        <v>155</v>
      </c>
      <c r="AG22" t="n">
        <v>4794.2746</v>
      </c>
      <c r="AH22" t="n">
        <v>4775.8915</v>
      </c>
      <c r="AI22" t="n">
        <v>18.3831</v>
      </c>
      <c r="AJ22" t="n">
        <v>337.9391</v>
      </c>
      <c r="AK22" t="n">
        <v>20</v>
      </c>
      <c r="AL22" t="n">
        <v>19</v>
      </c>
      <c r="AM22" t="n">
        <v>4793.52</v>
      </c>
      <c r="AN22" t="n">
        <v>4812.2856</v>
      </c>
      <c r="AO22" t="n">
        <v>-18.7656</v>
      </c>
      <c r="AP22" t="n">
        <v>352.1496</v>
      </c>
      <c r="AQ22" t="n">
        <v>-0.152022</v>
      </c>
      <c r="AR22" t="n">
        <v>0.081135</v>
      </c>
      <c r="AS22" t="n">
        <v>20</v>
      </c>
      <c r="AT22" t="n">
        <v>155</v>
      </c>
      <c r="AU22" t="n">
        <v>4794.2746</v>
      </c>
      <c r="AV22" t="n">
        <v>4775.8915</v>
      </c>
      <c r="AW22" t="n">
        <v>18.3831</v>
      </c>
      <c r="AX22" t="n">
        <v>337.9391</v>
      </c>
      <c r="AY22" t="n">
        <v>20</v>
      </c>
      <c r="AZ22" t="n">
        <v>19</v>
      </c>
      <c r="BA22" t="n">
        <v>4793.52</v>
      </c>
      <c r="BB22" t="n">
        <v>4812.2856</v>
      </c>
      <c r="BC22" t="n">
        <v>-18.7656</v>
      </c>
      <c r="BD22" t="n">
        <v>352.1496</v>
      </c>
      <c r="BE22" t="n">
        <v>361</v>
      </c>
    </row>
    <row r="23">
      <c r="A23" t="n">
        <v>1776369602</v>
      </c>
      <c r="B23" t="inlineStr">
        <is>
          <t>XAUUSD</t>
        </is>
      </c>
      <c r="C23" t="inlineStr">
        <is>
          <t>M15</t>
        </is>
      </c>
      <c r="D23" t="n">
        <v>4790.59</v>
      </c>
      <c r="E23" t="n">
        <v>4518.59282</v>
      </c>
      <c r="F23" t="n">
        <v>4596.05595</v>
      </c>
      <c r="G23" t="n">
        <v>4755.40355</v>
      </c>
      <c r="H23" t="n">
        <v>4792.76972</v>
      </c>
      <c r="Q23" t="n">
        <v>4812.01804</v>
      </c>
      <c r="R23" t="n">
        <v>4841.38134</v>
      </c>
      <c r="S23" t="n">
        <v>4867.97011</v>
      </c>
      <c r="V23" t="n">
        <v>4777.07827</v>
      </c>
      <c r="W23" t="n">
        <v>4743.51328</v>
      </c>
      <c r="AB23" t="n">
        <v>4791.73717</v>
      </c>
      <c r="AC23" t="n">
        <v>4792.04105</v>
      </c>
      <c r="AD23" t="n">
        <v>1</v>
      </c>
      <c r="AE23" t="n">
        <v>21</v>
      </c>
      <c r="AF23" t="n">
        <v>160</v>
      </c>
      <c r="AG23" t="n">
        <v>4793.1611</v>
      </c>
      <c r="AH23" t="n">
        <v>4774.5535</v>
      </c>
      <c r="AI23" t="n">
        <v>18.6076</v>
      </c>
      <c r="AJ23" t="n">
        <v>346.2443</v>
      </c>
      <c r="AK23" t="n">
        <v>21</v>
      </c>
      <c r="AL23" t="n">
        <v>20</v>
      </c>
      <c r="AM23" t="n">
        <v>4790.59</v>
      </c>
      <c r="AN23" t="n">
        <v>4812.018</v>
      </c>
      <c r="AO23" t="n">
        <v>-21.428</v>
      </c>
      <c r="AP23" t="n">
        <v>459.1609</v>
      </c>
      <c r="AQ23" t="n">
        <v>-0.226341</v>
      </c>
      <c r="AR23" t="n">
        <v>0.137938</v>
      </c>
      <c r="AS23" t="n">
        <v>21</v>
      </c>
      <c r="AT23" t="n">
        <v>160</v>
      </c>
      <c r="AU23" t="n">
        <v>4793.1611</v>
      </c>
      <c r="AV23" t="n">
        <v>4774.5535</v>
      </c>
      <c r="AW23" t="n">
        <v>18.6076</v>
      </c>
      <c r="AX23" t="n">
        <v>346.2443</v>
      </c>
      <c r="AY23" t="n">
        <v>21</v>
      </c>
      <c r="AZ23" t="n">
        <v>20</v>
      </c>
      <c r="BA23" t="n">
        <v>4790.59</v>
      </c>
      <c r="BB23" t="n">
        <v>4812.018</v>
      </c>
      <c r="BC23" t="n">
        <v>-21.428</v>
      </c>
      <c r="BD23" t="n">
        <v>459.1609</v>
      </c>
      <c r="BE23" t="n">
        <v>400</v>
      </c>
    </row>
    <row r="24">
      <c r="A24" t="n">
        <v>1776370502</v>
      </c>
      <c r="B24" t="inlineStr">
        <is>
          <t>XAUUSD</t>
        </is>
      </c>
      <c r="C24" t="inlineStr">
        <is>
          <t>M15</t>
        </is>
      </c>
      <c r="D24" t="n">
        <v>4789.04</v>
      </c>
      <c r="E24" t="n">
        <v>4518.59282</v>
      </c>
      <c r="F24" t="n">
        <v>4596.05595</v>
      </c>
      <c r="G24" t="n">
        <v>4755.40355</v>
      </c>
      <c r="H24" t="n">
        <v>4792.76972</v>
      </c>
      <c r="Q24" t="n">
        <v>4811.75044</v>
      </c>
      <c r="R24" t="n">
        <v>4841.11374</v>
      </c>
      <c r="S24" t="n">
        <v>4867.70251</v>
      </c>
      <c r="V24" t="n">
        <v>4776.81067</v>
      </c>
      <c r="W24" t="n">
        <v>4743.24567</v>
      </c>
      <c r="AB24" t="n">
        <v>4791.18585</v>
      </c>
      <c r="AC24" t="n">
        <v>4791.61345</v>
      </c>
      <c r="AD24" t="n">
        <v>0</v>
      </c>
      <c r="AE24" t="n">
        <v>22</v>
      </c>
      <c r="AF24" t="n">
        <v>180</v>
      </c>
      <c r="AG24" t="n">
        <v>4818.5417</v>
      </c>
      <c r="AH24" t="n">
        <v>4769.2014</v>
      </c>
      <c r="AI24" t="n">
        <v>49.3403</v>
      </c>
      <c r="AJ24" t="n">
        <v>2434.4682</v>
      </c>
      <c r="AK24" t="n">
        <v>22</v>
      </c>
      <c r="AL24" t="n">
        <v>21</v>
      </c>
      <c r="AM24" t="n">
        <v>4789.04</v>
      </c>
      <c r="AN24" t="n">
        <v>4811.7504</v>
      </c>
      <c r="AO24" t="n">
        <v>-22.7104</v>
      </c>
      <c r="AP24" t="n">
        <v>515.7641</v>
      </c>
      <c r="AQ24" t="n">
        <v>-0.269459</v>
      </c>
      <c r="AR24" t="n">
        <v>0.174043</v>
      </c>
      <c r="AS24" t="n">
        <v>22</v>
      </c>
      <c r="AT24" t="n">
        <v>180</v>
      </c>
      <c r="AU24" t="n">
        <v>4818.5417</v>
      </c>
      <c r="AV24" t="n">
        <v>4769.2014</v>
      </c>
      <c r="AW24" t="n">
        <v>49.3403</v>
      </c>
      <c r="AX24" t="n">
        <v>2434.4682</v>
      </c>
      <c r="AY24" t="n">
        <v>22</v>
      </c>
      <c r="AZ24" t="n">
        <v>21</v>
      </c>
      <c r="BA24" t="n">
        <v>4789.04</v>
      </c>
      <c r="BB24" t="n">
        <v>4811.7504</v>
      </c>
      <c r="BC24" t="n">
        <v>-22.7104</v>
      </c>
      <c r="BD24" t="n">
        <v>515.7641</v>
      </c>
      <c r="BE24" t="n">
        <v>441</v>
      </c>
    </row>
    <row r="25">
      <c r="A25" t="n">
        <v>1776371402</v>
      </c>
      <c r="B25" t="inlineStr">
        <is>
          <t>XAUUSD</t>
        </is>
      </c>
      <c r="C25" t="inlineStr">
        <is>
          <t>M15</t>
        </is>
      </c>
      <c r="D25" t="n">
        <v>4788.68</v>
      </c>
      <c r="E25" t="n">
        <v>4518.59282</v>
      </c>
      <c r="F25" t="n">
        <v>4596.05595</v>
      </c>
      <c r="G25" t="n">
        <v>4755.40355</v>
      </c>
      <c r="H25" t="n">
        <v>4792.76972</v>
      </c>
      <c r="Q25" t="n">
        <v>4811.48284</v>
      </c>
      <c r="R25" t="n">
        <v>4840.84614</v>
      </c>
      <c r="S25" t="n">
        <v>4867.43491</v>
      </c>
      <c r="V25" t="n">
        <v>4776.54307</v>
      </c>
      <c r="W25" t="n">
        <v>4742.97807</v>
      </c>
      <c r="AB25" t="n">
        <v>4790.9851</v>
      </c>
      <c r="AC25" t="n">
        <v>4791.29927</v>
      </c>
      <c r="AD25" t="n">
        <v>0</v>
      </c>
      <c r="AE25" t="n">
        <v>23</v>
      </c>
      <c r="AF25" t="n">
        <v>190</v>
      </c>
      <c r="AG25" t="n">
        <v>4802.2072</v>
      </c>
      <c r="AH25" t="n">
        <v>4766.5253</v>
      </c>
      <c r="AI25" t="n">
        <v>35.6819</v>
      </c>
      <c r="AJ25" t="n">
        <v>1273.1966</v>
      </c>
      <c r="AK25" t="n">
        <v>23</v>
      </c>
      <c r="AL25" t="n">
        <v>22</v>
      </c>
      <c r="AM25" t="n">
        <v>4788.68</v>
      </c>
      <c r="AN25" t="n">
        <v>4811.4828</v>
      </c>
      <c r="AO25" t="n">
        <v>-22.8028</v>
      </c>
      <c r="AP25" t="n">
        <v>519.9695</v>
      </c>
      <c r="AQ25" t="n">
        <v>-0.272761</v>
      </c>
      <c r="AR25" t="n">
        <v>0.176893</v>
      </c>
      <c r="AS25" t="n">
        <v>23</v>
      </c>
      <c r="AT25" t="n">
        <v>190</v>
      </c>
      <c r="AU25" t="n">
        <v>4802.2072</v>
      </c>
      <c r="AV25" t="n">
        <v>4766.5253</v>
      </c>
      <c r="AW25" t="n">
        <v>35.6819</v>
      </c>
      <c r="AX25" t="n">
        <v>1273.1966</v>
      </c>
      <c r="AY25" t="n">
        <v>23</v>
      </c>
      <c r="AZ25" t="n">
        <v>22</v>
      </c>
      <c r="BA25" t="n">
        <v>4788.68</v>
      </c>
      <c r="BB25" t="n">
        <v>4811.4828</v>
      </c>
      <c r="BC25" t="n">
        <v>-22.8028</v>
      </c>
      <c r="BD25" t="n">
        <v>519.9695</v>
      </c>
      <c r="BE25" t="n">
        <v>484</v>
      </c>
    </row>
    <row r="26">
      <c r="A26" t="n">
        <v>1776372302</v>
      </c>
      <c r="B26" t="inlineStr">
        <is>
          <t>XAUUSD</t>
        </is>
      </c>
      <c r="C26" t="inlineStr">
        <is>
          <t>M15</t>
        </is>
      </c>
      <c r="D26" t="n">
        <v>4790.84</v>
      </c>
      <c r="E26" t="n">
        <v>4518.59282</v>
      </c>
      <c r="F26" t="n">
        <v>4596.05595</v>
      </c>
      <c r="G26" t="n">
        <v>4755.40355</v>
      </c>
      <c r="H26" t="n">
        <v>4792.76972</v>
      </c>
      <c r="Q26" t="n">
        <v>4811.21523</v>
      </c>
      <c r="R26" t="n">
        <v>4840.57853</v>
      </c>
      <c r="S26" t="n">
        <v>4867.1673</v>
      </c>
      <c r="V26" t="n">
        <v>4776.27546</v>
      </c>
      <c r="W26" t="n">
        <v>4742.71047</v>
      </c>
      <c r="AB26" t="n">
        <v>4791.2623</v>
      </c>
      <c r="AC26" t="n">
        <v>4791.28079</v>
      </c>
      <c r="AD26" t="n">
        <v>0</v>
      </c>
      <c r="AE26" t="n">
        <v>24</v>
      </c>
      <c r="AF26" t="n">
        <v>201</v>
      </c>
      <c r="AG26" t="n">
        <v>4814.364</v>
      </c>
      <c r="AH26" t="n">
        <v>4763.5817</v>
      </c>
      <c r="AI26" t="n">
        <v>50.7823</v>
      </c>
      <c r="AJ26" t="n">
        <v>2578.842</v>
      </c>
      <c r="AK26" t="n">
        <v>24</v>
      </c>
      <c r="AL26" t="n">
        <v>23</v>
      </c>
      <c r="AM26" t="n">
        <v>4790.84</v>
      </c>
      <c r="AN26" t="n">
        <v>4811.2152</v>
      </c>
      <c r="AO26" t="n">
        <v>-20.3752</v>
      </c>
      <c r="AP26" t="n">
        <v>415.15</v>
      </c>
      <c r="AQ26" t="n">
        <v>-0.194591</v>
      </c>
      <c r="AR26" t="n">
        <v>0.112762</v>
      </c>
      <c r="AS26" t="n">
        <v>24</v>
      </c>
      <c r="AT26" t="n">
        <v>201</v>
      </c>
      <c r="AU26" t="n">
        <v>4814.364</v>
      </c>
      <c r="AV26" t="n">
        <v>4763.5817</v>
      </c>
      <c r="AW26" t="n">
        <v>50.7823</v>
      </c>
      <c r="AX26" t="n">
        <v>2578.842</v>
      </c>
      <c r="AY26" t="n">
        <v>24</v>
      </c>
      <c r="AZ26" t="n">
        <v>23</v>
      </c>
      <c r="BA26" t="n">
        <v>4790.84</v>
      </c>
      <c r="BB26" t="n">
        <v>4811.2152</v>
      </c>
      <c r="BC26" t="n">
        <v>-20.3752</v>
      </c>
      <c r="BD26" t="n">
        <v>415.15</v>
      </c>
      <c r="BE26" t="n">
        <v>529</v>
      </c>
    </row>
    <row r="27">
      <c r="A27" t="n">
        <v>1776376802</v>
      </c>
      <c r="B27" t="inlineStr">
        <is>
          <t>XAUUSD</t>
        </is>
      </c>
      <c r="C27" t="inlineStr">
        <is>
          <t>M15</t>
        </is>
      </c>
      <c r="D27" t="n">
        <v>4795.24</v>
      </c>
      <c r="E27" t="n">
        <v>4518.59282</v>
      </c>
      <c r="F27" t="n">
        <v>4596.05595</v>
      </c>
      <c r="G27" t="n">
        <v>4755.40355</v>
      </c>
      <c r="H27" t="n">
        <v>4792.76972</v>
      </c>
      <c r="Q27" t="n">
        <v>4810.94763</v>
      </c>
      <c r="R27" t="n">
        <v>4840.31093</v>
      </c>
      <c r="S27" t="n">
        <v>4866.8997</v>
      </c>
      <c r="V27" t="n">
        <v>4776.00786</v>
      </c>
      <c r="W27" t="n">
        <v>4742.44286</v>
      </c>
      <c r="AB27" t="n">
        <v>4791.96931</v>
      </c>
      <c r="AC27" t="n">
        <v>4791.62505</v>
      </c>
      <c r="AD27" t="n">
        <v>1</v>
      </c>
      <c r="AE27" t="n">
        <v>25</v>
      </c>
      <c r="AF27" t="n">
        <v>203</v>
      </c>
      <c r="AG27" t="n">
        <v>4814.6371</v>
      </c>
      <c r="AH27" t="n">
        <v>4763.0465</v>
      </c>
      <c r="AI27" t="n">
        <v>51.5906</v>
      </c>
      <c r="AJ27" t="n">
        <v>2661.5869</v>
      </c>
      <c r="AK27" t="n">
        <v>25</v>
      </c>
      <c r="AL27" t="n">
        <v>24</v>
      </c>
      <c r="AM27" t="n">
        <v>4795.24</v>
      </c>
      <c r="AN27" t="n">
        <v>4810.9476</v>
      </c>
      <c r="AO27" t="n">
        <v>-15.7076</v>
      </c>
      <c r="AP27" t="n">
        <v>246.7296</v>
      </c>
      <c r="AQ27" t="n">
        <v>-0.089155</v>
      </c>
      <c r="AR27" t="n">
        <v>0.039829</v>
      </c>
      <c r="AS27" t="n">
        <v>25</v>
      </c>
      <c r="AT27" t="n">
        <v>203</v>
      </c>
      <c r="AU27" t="n">
        <v>4814.6371</v>
      </c>
      <c r="AV27" t="n">
        <v>4763.0465</v>
      </c>
      <c r="AW27" t="n">
        <v>51.5906</v>
      </c>
      <c r="AX27" t="n">
        <v>2661.5869</v>
      </c>
      <c r="AY27" t="n">
        <v>25</v>
      </c>
      <c r="AZ27" t="n">
        <v>24</v>
      </c>
      <c r="BA27" t="n">
        <v>4795.24</v>
      </c>
      <c r="BB27" t="n">
        <v>4810.9476</v>
      </c>
      <c r="BC27" t="n">
        <v>-15.7076</v>
      </c>
      <c r="BD27" t="n">
        <v>246.7296</v>
      </c>
      <c r="BE27" t="n">
        <v>576</v>
      </c>
    </row>
    <row r="28">
      <c r="A28" t="n">
        <v>1776377702</v>
      </c>
      <c r="B28" t="inlineStr">
        <is>
          <t>XAUUSD</t>
        </is>
      </c>
      <c r="C28" t="inlineStr">
        <is>
          <t>M15</t>
        </is>
      </c>
      <c r="D28" t="n">
        <v>4794</v>
      </c>
      <c r="E28" t="n">
        <v>4518.59282</v>
      </c>
      <c r="F28" t="n">
        <v>4596.05595</v>
      </c>
      <c r="G28" t="n">
        <v>4755.40355</v>
      </c>
      <c r="H28" t="n">
        <v>4792.76972</v>
      </c>
      <c r="Q28" t="n">
        <v>4810.68002</v>
      </c>
      <c r="R28" t="n">
        <v>4840.04332</v>
      </c>
      <c r="S28" t="n">
        <v>4866.63209</v>
      </c>
      <c r="V28" t="n">
        <v>4775.74025</v>
      </c>
      <c r="W28" t="n">
        <v>4742.17526</v>
      </c>
      <c r="AB28" t="n">
        <v>4792.9005</v>
      </c>
      <c r="AC28" t="n">
        <v>4792.26277</v>
      </c>
      <c r="AD28" t="n">
        <v>0</v>
      </c>
      <c r="AE28" t="n">
        <v>26</v>
      </c>
      <c r="AF28" t="n">
        <v>213</v>
      </c>
      <c r="AG28" t="n">
        <v>4827.0749</v>
      </c>
      <c r="AH28" t="n">
        <v>4760.3705</v>
      </c>
      <c r="AI28" t="n">
        <v>66.7045</v>
      </c>
      <c r="AJ28" t="n">
        <v>4449.4836</v>
      </c>
      <c r="AK28" t="n">
        <v>26</v>
      </c>
      <c r="AL28" t="n">
        <v>25</v>
      </c>
      <c r="AM28" t="n">
        <v>4794</v>
      </c>
      <c r="AN28" t="n">
        <v>4810.68</v>
      </c>
      <c r="AO28" t="n">
        <v>-16.68</v>
      </c>
      <c r="AP28" t="n">
        <v>278.2231</v>
      </c>
      <c r="AQ28" t="n">
        <v>-0.106759</v>
      </c>
      <c r="AR28" t="n">
        <v>0.050645</v>
      </c>
      <c r="AS28" t="n">
        <v>26</v>
      </c>
      <c r="AT28" t="n">
        <v>213</v>
      </c>
      <c r="AU28" t="n">
        <v>4827.0749</v>
      </c>
      <c r="AV28" t="n">
        <v>4760.3705</v>
      </c>
      <c r="AW28" t="n">
        <v>66.7045</v>
      </c>
      <c r="AX28" t="n">
        <v>4449.4836</v>
      </c>
      <c r="AY28" t="n">
        <v>26</v>
      </c>
      <c r="AZ28" t="n">
        <v>25</v>
      </c>
      <c r="BA28" t="n">
        <v>4794</v>
      </c>
      <c r="BB28" t="n">
        <v>4810.68</v>
      </c>
      <c r="BC28" t="n">
        <v>-16.68</v>
      </c>
      <c r="BD28" t="n">
        <v>278.2231</v>
      </c>
      <c r="BE28" t="n">
        <v>625</v>
      </c>
    </row>
    <row r="29">
      <c r="A29" t="n">
        <v>1776378602</v>
      </c>
      <c r="B29" t="inlineStr">
        <is>
          <t>XAUUSD</t>
        </is>
      </c>
      <c r="C29" t="inlineStr">
        <is>
          <t>M15</t>
        </is>
      </c>
      <c r="D29" t="n">
        <v>4795.5</v>
      </c>
      <c r="E29" t="n">
        <v>4518.59282</v>
      </c>
      <c r="F29" t="n">
        <v>4596.05595</v>
      </c>
      <c r="G29" t="n">
        <v>4755.40355</v>
      </c>
      <c r="H29" t="n">
        <v>4792.76972</v>
      </c>
      <c r="Q29" t="n">
        <v>4810.41242</v>
      </c>
      <c r="R29" t="n">
        <v>4839.77572</v>
      </c>
      <c r="S29" t="n">
        <v>4866.36449</v>
      </c>
      <c r="V29" t="n">
        <v>4775.47265</v>
      </c>
      <c r="W29" t="n">
        <v>4741.90765</v>
      </c>
      <c r="AB29" t="n">
        <v>4793.97036</v>
      </c>
      <c r="AC29" t="n">
        <v>4793.11657</v>
      </c>
      <c r="AD29" t="n">
        <v>0</v>
      </c>
      <c r="AE29" t="n">
        <v>27</v>
      </c>
      <c r="AF29" t="n">
        <v>245</v>
      </c>
      <c r="AG29" t="n">
        <v>4782.0763</v>
      </c>
      <c r="AH29" t="n">
        <v>4751.8071</v>
      </c>
      <c r="AI29" t="n">
        <v>30.2692</v>
      </c>
      <c r="AJ29" t="n">
        <v>916.2239</v>
      </c>
      <c r="AK29" t="n">
        <v>27</v>
      </c>
      <c r="AL29" t="n">
        <v>26</v>
      </c>
      <c r="AM29" t="n">
        <v>4795.5</v>
      </c>
      <c r="AN29" t="n">
        <v>4810.4124</v>
      </c>
      <c r="AO29" t="n">
        <v>-14.9124</v>
      </c>
      <c r="AP29" t="n">
        <v>222.3803</v>
      </c>
      <c r="AQ29" t="n">
        <v>-0.076289</v>
      </c>
      <c r="AR29" t="n">
        <v>0.032355</v>
      </c>
      <c r="AS29" t="n">
        <v>27</v>
      </c>
      <c r="AT29" t="n">
        <v>245</v>
      </c>
      <c r="AU29" t="n">
        <v>4782.0763</v>
      </c>
      <c r="AV29" t="n">
        <v>4751.8071</v>
      </c>
      <c r="AW29" t="n">
        <v>30.2692</v>
      </c>
      <c r="AX29" t="n">
        <v>916.2239</v>
      </c>
      <c r="AY29" t="n">
        <v>27</v>
      </c>
      <c r="AZ29" t="n">
        <v>26</v>
      </c>
      <c r="BA29" t="n">
        <v>4795.5</v>
      </c>
      <c r="BB29" t="n">
        <v>4810.4124</v>
      </c>
      <c r="BC29" t="n">
        <v>-14.9124</v>
      </c>
      <c r="BD29" t="n">
        <v>222.3803</v>
      </c>
      <c r="BE29" t="n">
        <v>676</v>
      </c>
    </row>
    <row r="30">
      <c r="A30" t="n">
        <v>1776379502</v>
      </c>
      <c r="B30" t="inlineStr">
        <is>
          <t>XAUUSD</t>
        </is>
      </c>
      <c r="C30" t="inlineStr">
        <is>
          <t>M15</t>
        </is>
      </c>
      <c r="D30" t="n">
        <v>4795.41</v>
      </c>
      <c r="E30" t="n">
        <v>4518.59282</v>
      </c>
      <c r="F30" t="n">
        <v>4596.05595</v>
      </c>
      <c r="G30" t="n">
        <v>4755.40355</v>
      </c>
      <c r="H30" t="n">
        <v>4792.76972</v>
      </c>
      <c r="Q30" t="n">
        <v>4810.14482</v>
      </c>
      <c r="R30" t="n">
        <v>4839.50812</v>
      </c>
      <c r="S30" t="n">
        <v>4866.09689</v>
      </c>
      <c r="V30" t="n">
        <v>4775.20505</v>
      </c>
      <c r="W30" t="n">
        <v>4741.64005</v>
      </c>
      <c r="AB30" t="n">
        <v>4794.94128</v>
      </c>
      <c r="AC30" t="n">
        <v>4794.02892</v>
      </c>
      <c r="AD30" t="n">
        <v>0</v>
      </c>
      <c r="AE30" t="n">
        <v>28</v>
      </c>
      <c r="AF30" t="n">
        <v>252</v>
      </c>
      <c r="AG30" t="n">
        <v>4785.1929</v>
      </c>
      <c r="AH30" t="n">
        <v>4749.9339</v>
      </c>
      <c r="AI30" t="n">
        <v>35.259</v>
      </c>
      <c r="AJ30" t="n">
        <v>1243.1943</v>
      </c>
      <c r="AK30" t="n">
        <v>28</v>
      </c>
      <c r="AL30" t="n">
        <v>27</v>
      </c>
      <c r="AM30" t="n">
        <v>4795.41</v>
      </c>
      <c r="AN30" t="n">
        <v>4810.1448</v>
      </c>
      <c r="AO30" t="n">
        <v>-14.7348</v>
      </c>
      <c r="AP30" t="n">
        <v>217.1149</v>
      </c>
      <c r="AQ30" t="n">
        <v>-0.07359499999999999</v>
      </c>
      <c r="AR30" t="n">
        <v>0.030841</v>
      </c>
      <c r="AS30" t="n">
        <v>28</v>
      </c>
      <c r="AT30" t="n">
        <v>252</v>
      </c>
      <c r="AU30" t="n">
        <v>4785.1929</v>
      </c>
      <c r="AV30" t="n">
        <v>4749.9339</v>
      </c>
      <c r="AW30" t="n">
        <v>35.259</v>
      </c>
      <c r="AX30" t="n">
        <v>1243.1943</v>
      </c>
      <c r="AY30" t="n">
        <v>28</v>
      </c>
      <c r="AZ30" t="n">
        <v>27</v>
      </c>
      <c r="BA30" t="n">
        <v>4795.41</v>
      </c>
      <c r="BB30" t="n">
        <v>4810.1448</v>
      </c>
      <c r="BC30" t="n">
        <v>-14.7348</v>
      </c>
      <c r="BD30" t="n">
        <v>217.1149</v>
      </c>
      <c r="BE30" t="n">
        <v>729</v>
      </c>
    </row>
    <row r="31">
      <c r="A31" t="n">
        <v>1776380402</v>
      </c>
      <c r="B31" t="inlineStr">
        <is>
          <t>XAUUSD</t>
        </is>
      </c>
      <c r="C31" t="inlineStr">
        <is>
          <t>M15</t>
        </is>
      </c>
      <c r="D31" t="n">
        <v>4793.16</v>
      </c>
      <c r="E31" t="n">
        <v>4518.59282</v>
      </c>
      <c r="F31" t="n">
        <v>4596.05595</v>
      </c>
      <c r="G31" t="n">
        <v>4755.40355</v>
      </c>
      <c r="H31" t="n">
        <v>4792.76972</v>
      </c>
      <c r="Q31" t="n">
        <v>4809.87721</v>
      </c>
      <c r="R31" t="n">
        <v>4839.24051</v>
      </c>
      <c r="S31" t="n">
        <v>4865.82928</v>
      </c>
      <c r="V31" t="n">
        <v>4774.93744</v>
      </c>
      <c r="W31" t="n">
        <v>4741.37245</v>
      </c>
      <c r="AB31" t="n">
        <v>4795.61882</v>
      </c>
      <c r="AC31" t="n">
        <v>4794.82387</v>
      </c>
      <c r="AD31" t="n">
        <v>0</v>
      </c>
      <c r="AE31" t="n">
        <v>29</v>
      </c>
      <c r="AF31" t="n">
        <v>257</v>
      </c>
      <c r="AG31" t="n">
        <v>4784.8373</v>
      </c>
      <c r="AH31" t="n">
        <v>4748.5959</v>
      </c>
      <c r="AI31" t="n">
        <v>36.2414</v>
      </c>
      <c r="AJ31" t="n">
        <v>1313.442</v>
      </c>
      <c r="AK31" t="n">
        <v>29</v>
      </c>
      <c r="AL31" t="n">
        <v>28</v>
      </c>
      <c r="AM31" t="n">
        <v>4793.16</v>
      </c>
      <c r="AN31" t="n">
        <v>4809.8772</v>
      </c>
      <c r="AO31" t="n">
        <v>-16.7172</v>
      </c>
      <c r="AP31" t="n">
        <v>279.4651</v>
      </c>
      <c r="AQ31" t="n">
        <v>-0.107475</v>
      </c>
      <c r="AR31" t="n">
        <v>0.051099</v>
      </c>
      <c r="AS31" t="n">
        <v>29</v>
      </c>
      <c r="AT31" t="n">
        <v>257</v>
      </c>
      <c r="AU31" t="n">
        <v>4784.8373</v>
      </c>
      <c r="AV31" t="n">
        <v>4748.5959</v>
      </c>
      <c r="AW31" t="n">
        <v>36.2414</v>
      </c>
      <c r="AX31" t="n">
        <v>1313.442</v>
      </c>
      <c r="AY31" t="n">
        <v>29</v>
      </c>
      <c r="AZ31" t="n">
        <v>28</v>
      </c>
      <c r="BA31" t="n">
        <v>4793.16</v>
      </c>
      <c r="BB31" t="n">
        <v>4809.8772</v>
      </c>
      <c r="BC31" t="n">
        <v>-16.7172</v>
      </c>
      <c r="BD31" t="n">
        <v>279.4651</v>
      </c>
      <c r="BE31" t="n">
        <v>784</v>
      </c>
    </row>
    <row r="32">
      <c r="A32" t="n">
        <v>1776381302</v>
      </c>
      <c r="B32" t="inlineStr">
        <is>
          <t>XAUUSD</t>
        </is>
      </c>
      <c r="C32" t="inlineStr">
        <is>
          <t>M15</t>
        </is>
      </c>
      <c r="D32" t="n">
        <v>4794.46</v>
      </c>
      <c r="E32" t="n">
        <v>4518.59282</v>
      </c>
      <c r="F32" t="n">
        <v>4596.05595</v>
      </c>
      <c r="G32" t="n">
        <v>4755.40355</v>
      </c>
      <c r="H32" t="n">
        <v>4792.76972</v>
      </c>
      <c r="Q32" t="n">
        <v>4809.60961</v>
      </c>
      <c r="R32" t="n">
        <v>4838.97291</v>
      </c>
      <c r="S32" t="n">
        <v>4865.56168</v>
      </c>
      <c r="V32" t="n">
        <v>4774.66984</v>
      </c>
      <c r="W32" t="n">
        <v>4741.10484</v>
      </c>
      <c r="AB32" t="n">
        <v>4795.90128</v>
      </c>
      <c r="AC32" t="n">
        <v>4795.36258</v>
      </c>
      <c r="AD32" t="n">
        <v>0</v>
      </c>
      <c r="AE32" t="n">
        <v>30</v>
      </c>
      <c r="AF32" t="n">
        <v>263</v>
      </c>
      <c r="AG32" t="n">
        <v>4787.2112</v>
      </c>
      <c r="AH32" t="n">
        <v>4746.9902</v>
      </c>
      <c r="AI32" t="n">
        <v>40.221</v>
      </c>
      <c r="AJ32" t="n">
        <v>1617.728</v>
      </c>
      <c r="AK32" t="n">
        <v>30</v>
      </c>
      <c r="AL32" t="n">
        <v>29</v>
      </c>
      <c r="AM32" t="n">
        <v>4794.46</v>
      </c>
      <c r="AN32" t="n">
        <v>4809.6096</v>
      </c>
      <c r="AO32" t="n">
        <v>-15.1496</v>
      </c>
      <c r="AP32" t="n">
        <v>229.5107</v>
      </c>
      <c r="AQ32" t="n">
        <v>-0.079987</v>
      </c>
      <c r="AR32" t="n">
        <v>0.034464</v>
      </c>
      <c r="AS32" t="n">
        <v>30</v>
      </c>
      <c r="AT32" t="n">
        <v>263</v>
      </c>
      <c r="AU32" t="n">
        <v>4787.2112</v>
      </c>
      <c r="AV32" t="n">
        <v>4746.9902</v>
      </c>
      <c r="AW32" t="n">
        <v>40.221</v>
      </c>
      <c r="AX32" t="n">
        <v>1617.728</v>
      </c>
      <c r="AY32" t="n">
        <v>30</v>
      </c>
      <c r="AZ32" t="n">
        <v>29</v>
      </c>
      <c r="BA32" t="n">
        <v>4794.46</v>
      </c>
      <c r="BB32" t="n">
        <v>4809.6096</v>
      </c>
      <c r="BC32" t="n">
        <v>-15.1496</v>
      </c>
      <c r="BD32" t="n">
        <v>229.5107</v>
      </c>
      <c r="BE32" t="n">
        <v>841</v>
      </c>
    </row>
    <row r="33">
      <c r="A33" t="n">
        <v>1776382202</v>
      </c>
      <c r="B33" t="inlineStr">
        <is>
          <t>XAUUSD</t>
        </is>
      </c>
      <c r="C33" t="inlineStr">
        <is>
          <t>M15</t>
        </is>
      </c>
      <c r="D33" t="n">
        <v>4795.82</v>
      </c>
      <c r="E33" t="n">
        <v>4518.59282</v>
      </c>
      <c r="F33" t="n">
        <v>4596.05595</v>
      </c>
      <c r="G33" t="n">
        <v>4755.40355</v>
      </c>
      <c r="H33" t="n">
        <v>4792.76972</v>
      </c>
      <c r="Q33" t="n">
        <v>4809.342</v>
      </c>
      <c r="R33" t="n">
        <v>4838.7053</v>
      </c>
      <c r="S33" t="n">
        <v>4865.29407</v>
      </c>
      <c r="V33" t="n">
        <v>4774.40223</v>
      </c>
      <c r="W33" t="n">
        <v>4740.83724</v>
      </c>
      <c r="AB33" t="n">
        <v>4795.61815</v>
      </c>
      <c r="AC33" t="n">
        <v>4795.49036</v>
      </c>
      <c r="AD33" t="n">
        <v>0</v>
      </c>
      <c r="AE33" t="n">
        <v>31</v>
      </c>
      <c r="AF33" t="n">
        <v>296</v>
      </c>
      <c r="AG33" t="n">
        <v>4697.7102</v>
      </c>
      <c r="AH33" t="n">
        <v>4738.1593</v>
      </c>
      <c r="AI33" t="n">
        <v>-40.4491</v>
      </c>
      <c r="AJ33" t="n">
        <v>1636.1289</v>
      </c>
      <c r="AK33" t="n">
        <v>31</v>
      </c>
      <c r="AL33" t="n">
        <v>30</v>
      </c>
      <c r="AM33" t="n">
        <v>4795.82</v>
      </c>
      <c r="AN33" t="n">
        <v>4809.342</v>
      </c>
      <c r="AO33" t="n">
        <v>-13.522</v>
      </c>
      <c r="AP33" t="n">
        <v>182.8445</v>
      </c>
      <c r="AQ33" t="n">
        <v>-0.056877</v>
      </c>
      <c r="AR33" t="n">
        <v>0.021873</v>
      </c>
      <c r="AS33" t="n">
        <v>31</v>
      </c>
      <c r="AT33" t="n">
        <v>296</v>
      </c>
      <c r="AU33" t="n">
        <v>4697.7102</v>
      </c>
      <c r="AV33" t="n">
        <v>4738.1593</v>
      </c>
      <c r="AW33" t="n">
        <v>-40.4491</v>
      </c>
      <c r="AX33" t="n">
        <v>1636.1289</v>
      </c>
      <c r="AY33" t="n">
        <v>31</v>
      </c>
      <c r="AZ33" t="n">
        <v>30</v>
      </c>
      <c r="BA33" t="n">
        <v>4795.82</v>
      </c>
      <c r="BB33" t="n">
        <v>4809.342</v>
      </c>
      <c r="BC33" t="n">
        <v>-13.522</v>
      </c>
      <c r="BD33" t="n">
        <v>182.8445</v>
      </c>
      <c r="BE33" t="n">
        <v>900</v>
      </c>
    </row>
    <row r="34">
      <c r="A34" t="n">
        <v>1776383102</v>
      </c>
      <c r="B34" t="inlineStr">
        <is>
          <t>XAUUSD</t>
        </is>
      </c>
      <c r="C34" t="inlineStr">
        <is>
          <t>M15</t>
        </is>
      </c>
      <c r="D34" t="n">
        <v>4792.13</v>
      </c>
      <c r="E34" t="n">
        <v>4518.59282</v>
      </c>
      <c r="F34" t="n">
        <v>4596.05595</v>
      </c>
      <c r="G34" t="n">
        <v>4755.40355</v>
      </c>
      <c r="H34" t="n">
        <v>4792.76972</v>
      </c>
      <c r="Q34" t="n">
        <v>4809.0744</v>
      </c>
      <c r="R34" t="n">
        <v>4838.4377</v>
      </c>
      <c r="S34" t="n">
        <v>4865.02647</v>
      </c>
      <c r="V34" t="n">
        <v>4774.13463</v>
      </c>
      <c r="W34" t="n">
        <v>4740.56963</v>
      </c>
      <c r="AB34" t="n">
        <v>4794.635</v>
      </c>
      <c r="AC34" t="n">
        <v>4795.06268</v>
      </c>
      <c r="AD34" t="n">
        <v>1</v>
      </c>
      <c r="AE34" t="n">
        <v>32</v>
      </c>
      <c r="AF34" t="n">
        <v>323</v>
      </c>
      <c r="AG34" t="n">
        <v>4757.8093</v>
      </c>
      <c r="AH34" t="n">
        <v>4730.934</v>
      </c>
      <c r="AI34" t="n">
        <v>26.8753</v>
      </c>
      <c r="AJ34" t="n">
        <v>722.2791</v>
      </c>
      <c r="AK34" t="n">
        <v>32</v>
      </c>
      <c r="AL34" t="n">
        <v>31</v>
      </c>
      <c r="AM34" t="n">
        <v>4792.13</v>
      </c>
      <c r="AN34" t="n">
        <v>4809.0744</v>
      </c>
      <c r="AO34" t="n">
        <v>-16.9444</v>
      </c>
      <c r="AP34" t="n">
        <v>287.1127</v>
      </c>
      <c r="AQ34" t="n">
        <v>-0.111917</v>
      </c>
      <c r="AR34" t="n">
        <v>0.053934</v>
      </c>
      <c r="AS34" t="n">
        <v>32</v>
      </c>
      <c r="AT34" t="n">
        <v>323</v>
      </c>
      <c r="AU34" t="n">
        <v>4757.8093</v>
      </c>
      <c r="AV34" t="n">
        <v>4730.934</v>
      </c>
      <c r="AW34" t="n">
        <v>26.8753</v>
      </c>
      <c r="AX34" t="n">
        <v>722.2791</v>
      </c>
      <c r="AY34" t="n">
        <v>32</v>
      </c>
      <c r="AZ34" t="n">
        <v>31</v>
      </c>
      <c r="BA34" t="n">
        <v>4792.13</v>
      </c>
      <c r="BB34" t="n">
        <v>4809.0744</v>
      </c>
      <c r="BC34" t="n">
        <v>-16.9444</v>
      </c>
      <c r="BD34" t="n">
        <v>287.1127</v>
      </c>
      <c r="BE34" t="n">
        <v>961</v>
      </c>
    </row>
    <row r="35">
      <c r="A35" t="n">
        <v>1776384002</v>
      </c>
      <c r="B35" t="inlineStr">
        <is>
          <t>XAUUSD</t>
        </is>
      </c>
      <c r="C35" t="inlineStr">
        <is>
          <t>M15</t>
        </is>
      </c>
      <c r="D35" t="n">
        <v>4790.4</v>
      </c>
      <c r="E35" t="n">
        <v>4518.59282</v>
      </c>
      <c r="F35" t="n">
        <v>4596.05595</v>
      </c>
      <c r="G35" t="n">
        <v>4755.40355</v>
      </c>
      <c r="H35" t="n">
        <v>4792.76972</v>
      </c>
      <c r="Q35" t="n">
        <v>4808.8068</v>
      </c>
      <c r="R35" t="n">
        <v>4838.17009</v>
      </c>
      <c r="S35" t="n">
        <v>4864.75887</v>
      </c>
      <c r="V35" t="n">
        <v>4773.86703</v>
      </c>
      <c r="W35" t="n">
        <v>4740.30203</v>
      </c>
      <c r="AB35" t="n">
        <v>4793.08901</v>
      </c>
      <c r="AC35" t="n">
        <v>4794.07584</v>
      </c>
      <c r="AD35" t="n">
        <v>0</v>
      </c>
      <c r="AE35" t="n">
        <v>33</v>
      </c>
      <c r="AF35" t="n">
        <v>327</v>
      </c>
      <c r="AG35" t="n">
        <v>4758.0106</v>
      </c>
      <c r="AH35" t="n">
        <v>4729.8636</v>
      </c>
      <c r="AI35" t="n">
        <v>28.147</v>
      </c>
      <c r="AJ35" t="n">
        <v>792.2547</v>
      </c>
      <c r="AK35" t="n">
        <v>33</v>
      </c>
      <c r="AL35" t="n">
        <v>32</v>
      </c>
      <c r="AM35" t="n">
        <v>4790.4</v>
      </c>
      <c r="AN35" t="n">
        <v>4808.8068</v>
      </c>
      <c r="AO35" t="n">
        <v>-18.4068</v>
      </c>
      <c r="AP35" t="n">
        <v>338.8103</v>
      </c>
      <c r="AQ35" t="n">
        <v>-0.143466</v>
      </c>
      <c r="AR35" t="n">
        <v>0.07510500000000001</v>
      </c>
      <c r="AS35" t="n">
        <v>33</v>
      </c>
      <c r="AT35" t="n">
        <v>327</v>
      </c>
      <c r="AU35" t="n">
        <v>4758.0106</v>
      </c>
      <c r="AV35" t="n">
        <v>4729.8636</v>
      </c>
      <c r="AW35" t="n">
        <v>28.147</v>
      </c>
      <c r="AX35" t="n">
        <v>792.2547</v>
      </c>
      <c r="AY35" t="n">
        <v>33</v>
      </c>
      <c r="AZ35" t="n">
        <v>32</v>
      </c>
      <c r="BA35" t="n">
        <v>4790.4</v>
      </c>
      <c r="BB35" t="n">
        <v>4808.8068</v>
      </c>
      <c r="BC35" t="n">
        <v>-18.4068</v>
      </c>
      <c r="BD35" t="n">
        <v>338.8103</v>
      </c>
      <c r="BE35" t="n">
        <v>1024</v>
      </c>
    </row>
    <row r="36">
      <c r="A36" t="n">
        <v>1776384902</v>
      </c>
      <c r="B36" t="inlineStr">
        <is>
          <t>XAUUSD</t>
        </is>
      </c>
      <c r="C36" t="inlineStr">
        <is>
          <t>M15</t>
        </is>
      </c>
      <c r="D36" t="n">
        <v>4792.86</v>
      </c>
      <c r="E36" t="n">
        <v>4518.59282</v>
      </c>
      <c r="F36" t="n">
        <v>4596.05595</v>
      </c>
      <c r="G36" t="n">
        <v>4755.40355</v>
      </c>
      <c r="H36" t="n">
        <v>4792.76972</v>
      </c>
      <c r="Q36" t="n">
        <v>4808.53919</v>
      </c>
      <c r="R36" t="n">
        <v>4837.90249</v>
      </c>
      <c r="S36" t="n">
        <v>4864.49126</v>
      </c>
      <c r="V36" t="n">
        <v>4773.59942</v>
      </c>
      <c r="W36" t="n">
        <v>4740.03443</v>
      </c>
      <c r="AB36" t="n">
        <v>4791.15936</v>
      </c>
      <c r="AC36" t="n">
        <v>4792.6176</v>
      </c>
      <c r="AD36" t="n">
        <v>0</v>
      </c>
      <c r="AE36" t="n">
        <v>34</v>
      </c>
      <c r="AF36" t="n">
        <v>335</v>
      </c>
      <c r="AG36" t="n">
        <v>4766.5311</v>
      </c>
      <c r="AH36" t="n">
        <v>4727.7228</v>
      </c>
      <c r="AI36" t="n">
        <v>38.8084</v>
      </c>
      <c r="AJ36" t="n">
        <v>1506.0888</v>
      </c>
      <c r="AK36" t="n">
        <v>34</v>
      </c>
      <c r="AL36" t="n">
        <v>33</v>
      </c>
      <c r="AM36" t="n">
        <v>4792.86</v>
      </c>
      <c r="AN36" t="n">
        <v>4808.5392</v>
      </c>
      <c r="AO36" t="n">
        <v>-15.6792</v>
      </c>
      <c r="AP36" t="n">
        <v>245.837</v>
      </c>
      <c r="AQ36" t="n">
        <v>-0.088672</v>
      </c>
      <c r="AR36" t="n">
        <v>0.039541</v>
      </c>
      <c r="AS36" t="n">
        <v>34</v>
      </c>
      <c r="AT36" t="n">
        <v>335</v>
      </c>
      <c r="AU36" t="n">
        <v>4766.5311</v>
      </c>
      <c r="AV36" t="n">
        <v>4727.7228</v>
      </c>
      <c r="AW36" t="n">
        <v>38.8084</v>
      </c>
      <c r="AX36" t="n">
        <v>1506.0888</v>
      </c>
      <c r="AY36" t="n">
        <v>34</v>
      </c>
      <c r="AZ36" t="n">
        <v>33</v>
      </c>
      <c r="BA36" t="n">
        <v>4792.86</v>
      </c>
      <c r="BB36" t="n">
        <v>4808.5392</v>
      </c>
      <c r="BC36" t="n">
        <v>-15.6792</v>
      </c>
      <c r="BD36" t="n">
        <v>245.837</v>
      </c>
      <c r="BE36" t="n">
        <v>1089</v>
      </c>
    </row>
    <row r="37">
      <c r="A37" t="n">
        <v>1776385802</v>
      </c>
      <c r="B37" t="inlineStr">
        <is>
          <t>XAUUSD</t>
        </is>
      </c>
      <c r="C37" t="inlineStr">
        <is>
          <t>M15</t>
        </is>
      </c>
      <c r="D37" t="n">
        <v>4798.4</v>
      </c>
      <c r="E37" t="n">
        <v>4518.59282</v>
      </c>
      <c r="F37" t="n">
        <v>4596.05595</v>
      </c>
      <c r="G37" t="n">
        <v>4755.40355</v>
      </c>
      <c r="H37" t="n">
        <v>4792.76972</v>
      </c>
      <c r="Q37" t="n">
        <v>4808.27159</v>
      </c>
      <c r="R37" t="n">
        <v>4837.63489</v>
      </c>
      <c r="S37" t="n">
        <v>4864.22366</v>
      </c>
      <c r="V37" t="n">
        <v>4773.33182</v>
      </c>
      <c r="W37" t="n">
        <v>4739.76682</v>
      </c>
      <c r="AB37" t="n">
        <v>4788.95945</v>
      </c>
      <c r="AC37" t="n">
        <v>4790.78852</v>
      </c>
      <c r="AD37" t="n">
        <v>0</v>
      </c>
      <c r="AE37" t="n">
        <v>35</v>
      </c>
      <c r="AF37" t="n">
        <v>349</v>
      </c>
      <c r="AG37" t="n">
        <v>4756.1254</v>
      </c>
      <c r="AH37" t="n">
        <v>4723.9763</v>
      </c>
      <c r="AI37" t="n">
        <v>32.1491</v>
      </c>
      <c r="AJ37" t="n">
        <v>1033.5666</v>
      </c>
      <c r="AK37" t="n">
        <v>35</v>
      </c>
      <c r="AL37" t="n">
        <v>34</v>
      </c>
      <c r="AM37" t="n">
        <v>4798.4</v>
      </c>
      <c r="AN37" t="n">
        <v>4808.2716</v>
      </c>
      <c r="AO37" t="n">
        <v>-9.871600000000001</v>
      </c>
      <c r="AP37" t="n">
        <v>97.4483</v>
      </c>
      <c r="AQ37" t="n">
        <v>-0.02213</v>
      </c>
      <c r="AR37" t="n">
        <v>0.006213</v>
      </c>
      <c r="AS37" t="n">
        <v>35</v>
      </c>
      <c r="AT37" t="n">
        <v>349</v>
      </c>
      <c r="AU37" t="n">
        <v>4756.1254</v>
      </c>
      <c r="AV37" t="n">
        <v>4723.9763</v>
      </c>
      <c r="AW37" t="n">
        <v>32.1491</v>
      </c>
      <c r="AX37" t="n">
        <v>1033.5666</v>
      </c>
      <c r="AY37" t="n">
        <v>35</v>
      </c>
      <c r="AZ37" t="n">
        <v>34</v>
      </c>
      <c r="BA37" t="n">
        <v>4798.4</v>
      </c>
      <c r="BB37" t="n">
        <v>4808.2716</v>
      </c>
      <c r="BC37" t="n">
        <v>-9.871600000000001</v>
      </c>
      <c r="BD37" t="n">
        <v>97.4483</v>
      </c>
      <c r="BE37" t="n">
        <v>1156</v>
      </c>
    </row>
    <row r="38">
      <c r="A38" t="n">
        <v>1776386702</v>
      </c>
      <c r="B38" t="inlineStr">
        <is>
          <t>XAUUSD</t>
        </is>
      </c>
      <c r="C38" t="inlineStr">
        <is>
          <t>M15</t>
        </is>
      </c>
      <c r="D38" t="n">
        <v>4794.9</v>
      </c>
      <c r="E38" t="n">
        <v>4518.59282</v>
      </c>
      <c r="F38" t="n">
        <v>4596.05595</v>
      </c>
      <c r="G38" t="n">
        <v>4755.40355</v>
      </c>
      <c r="H38" t="n">
        <v>4792.76972</v>
      </c>
      <c r="Q38" t="n">
        <v>4808.00398</v>
      </c>
      <c r="R38" t="n">
        <v>4837.36728</v>
      </c>
      <c r="S38" t="n">
        <v>4863.95605</v>
      </c>
      <c r="V38" t="n">
        <v>4773.06421</v>
      </c>
      <c r="W38" t="n">
        <v>4739.49922</v>
      </c>
      <c r="AB38" t="n">
        <v>4786.58535</v>
      </c>
      <c r="AC38" t="n">
        <v>4788.68694</v>
      </c>
      <c r="AD38" t="n">
        <v>0</v>
      </c>
      <c r="AE38" t="n">
        <v>36</v>
      </c>
      <c r="AF38" t="n">
        <v>351</v>
      </c>
      <c r="AG38" t="n">
        <v>4756.0877</v>
      </c>
      <c r="AH38" t="n">
        <v>4723.4411</v>
      </c>
      <c r="AI38" t="n">
        <v>32.6467</v>
      </c>
      <c r="AJ38" t="n">
        <v>1065.8044</v>
      </c>
      <c r="AK38" t="n">
        <v>36</v>
      </c>
      <c r="AL38" t="n">
        <v>35</v>
      </c>
      <c r="AM38" t="n">
        <v>4794.9</v>
      </c>
      <c r="AN38" t="n">
        <v>4808.004</v>
      </c>
      <c r="AO38" t="n">
        <v>-13.104</v>
      </c>
      <c r="AP38" t="n">
        <v>171.7143</v>
      </c>
      <c r="AQ38" t="n">
        <v>-0.051764</v>
      </c>
      <c r="AR38" t="n">
        <v>0.019292</v>
      </c>
      <c r="AS38" t="n">
        <v>36</v>
      </c>
      <c r="AT38" t="n">
        <v>351</v>
      </c>
      <c r="AU38" t="n">
        <v>4756.0877</v>
      </c>
      <c r="AV38" t="n">
        <v>4723.4411</v>
      </c>
      <c r="AW38" t="n">
        <v>32.6467</v>
      </c>
      <c r="AX38" t="n">
        <v>1065.8044</v>
      </c>
      <c r="AY38" t="n">
        <v>36</v>
      </c>
      <c r="AZ38" t="n">
        <v>35</v>
      </c>
      <c r="BA38" t="n">
        <v>4794.9</v>
      </c>
      <c r="BB38" t="n">
        <v>4808.004</v>
      </c>
      <c r="BC38" t="n">
        <v>-13.104</v>
      </c>
      <c r="BD38" t="n">
        <v>171.7143</v>
      </c>
      <c r="BE38" t="n">
        <v>1225</v>
      </c>
    </row>
    <row r="39">
      <c r="A39" t="n">
        <v>1776387602</v>
      </c>
      <c r="B39" t="inlineStr">
        <is>
          <t>XAUUSD</t>
        </is>
      </c>
      <c r="C39" t="inlineStr">
        <is>
          <t>M15</t>
        </is>
      </c>
      <c r="D39" t="n">
        <v>4779.32</v>
      </c>
      <c r="E39" t="n">
        <v>4518.59282</v>
      </c>
      <c r="F39" t="n">
        <v>4596.05595</v>
      </c>
      <c r="G39" t="n">
        <v>4755.40355</v>
      </c>
      <c r="H39" t="n">
        <v>4792.76972</v>
      </c>
      <c r="Q39" t="n">
        <v>4807.73638</v>
      </c>
      <c r="R39" t="n">
        <v>4837.09968</v>
      </c>
      <c r="S39" t="n">
        <v>4863.68845</v>
      </c>
      <c r="V39" t="n">
        <v>4772.79661</v>
      </c>
      <c r="W39" t="n">
        <v>4739.23161</v>
      </c>
      <c r="AB39" t="n">
        <v>4784.4296</v>
      </c>
      <c r="AC39" t="n">
        <v>4786.55827</v>
      </c>
      <c r="AD39" t="n">
        <v>0</v>
      </c>
      <c r="AE39" t="n">
        <v>37</v>
      </c>
      <c r="AF39" t="n">
        <v>361</v>
      </c>
      <c r="AG39" t="n">
        <v>4748.9847</v>
      </c>
      <c r="AH39" t="n">
        <v>4720.765</v>
      </c>
      <c r="AI39" t="n">
        <v>28.2197</v>
      </c>
      <c r="AJ39" t="n">
        <v>796.3486</v>
      </c>
      <c r="AK39" t="n">
        <v>37</v>
      </c>
      <c r="AL39" t="n">
        <v>36</v>
      </c>
      <c r="AM39" t="n">
        <v>4779.32</v>
      </c>
      <c r="AN39" t="n">
        <v>4807.7364</v>
      </c>
      <c r="AO39" t="n">
        <v>-28.4164</v>
      </c>
      <c r="AP39" t="n">
        <v>807.4906999999999</v>
      </c>
      <c r="AQ39" t="n">
        <v>-0.527864</v>
      </c>
      <c r="AR39" t="n">
        <v>0.426608</v>
      </c>
      <c r="AS39" t="n">
        <v>37</v>
      </c>
      <c r="AT39" t="n">
        <v>361</v>
      </c>
      <c r="AU39" t="n">
        <v>4748.9847</v>
      </c>
      <c r="AV39" t="n">
        <v>4720.765</v>
      </c>
      <c r="AW39" t="n">
        <v>28.2197</v>
      </c>
      <c r="AX39" t="n">
        <v>796.3486</v>
      </c>
      <c r="AY39" t="n">
        <v>37</v>
      </c>
      <c r="AZ39" t="n">
        <v>36</v>
      </c>
      <c r="BA39" t="n">
        <v>4779.32</v>
      </c>
      <c r="BB39" t="n">
        <v>4807.7364</v>
      </c>
      <c r="BC39" t="n">
        <v>-28.4164</v>
      </c>
      <c r="BD39" t="n">
        <v>807.4906999999999</v>
      </c>
      <c r="BE39" t="n">
        <v>1296</v>
      </c>
    </row>
    <row r="40">
      <c r="A40" t="n">
        <v>1776388502</v>
      </c>
      <c r="B40" t="inlineStr">
        <is>
          <t>XAUUSD</t>
        </is>
      </c>
      <c r="C40" t="inlineStr">
        <is>
          <t>M15</t>
        </is>
      </c>
      <c r="D40" t="n">
        <v>4769.01</v>
      </c>
      <c r="E40" t="n">
        <v>4518.59282</v>
      </c>
      <c r="F40" t="n">
        <v>4596.05595</v>
      </c>
      <c r="G40" t="n">
        <v>4755.40355</v>
      </c>
      <c r="H40" t="n">
        <v>4792.76972</v>
      </c>
      <c r="Q40" t="n">
        <v>4807.46878</v>
      </c>
      <c r="R40" t="n">
        <v>4836.83207</v>
      </c>
      <c r="S40" t="n">
        <v>4863.42085</v>
      </c>
      <c r="V40" t="n">
        <v>4772.52901</v>
      </c>
      <c r="W40" t="n">
        <v>4738.96401</v>
      </c>
      <c r="AB40" t="n">
        <v>4783.17604</v>
      </c>
      <c r="AC40" t="n">
        <v>4784.86715</v>
      </c>
      <c r="AD40" t="n">
        <v>0</v>
      </c>
      <c r="AE40" t="n">
        <v>38</v>
      </c>
      <c r="AF40" t="n">
        <v>363</v>
      </c>
      <c r="AG40" t="n">
        <v>4748.0625</v>
      </c>
      <c r="AH40" t="n">
        <v>4720.2298</v>
      </c>
      <c r="AI40" t="n">
        <v>27.8327</v>
      </c>
      <c r="AJ40" t="n">
        <v>774.6581</v>
      </c>
      <c r="AK40" t="n">
        <v>38</v>
      </c>
      <c r="AL40" t="n">
        <v>37</v>
      </c>
      <c r="AM40" t="n">
        <v>4769.01</v>
      </c>
      <c r="AN40" t="n">
        <v>4807.4688</v>
      </c>
      <c r="AO40" t="n">
        <v>-38.4588</v>
      </c>
      <c r="AP40" t="n">
        <v>1479.0778</v>
      </c>
      <c r="AQ40" t="n">
        <v>-1.308585</v>
      </c>
      <c r="AR40" t="n">
        <v>1.431318</v>
      </c>
      <c r="AS40" t="n">
        <v>38</v>
      </c>
      <c r="AT40" t="n">
        <v>363</v>
      </c>
      <c r="AU40" t="n">
        <v>4748.0625</v>
      </c>
      <c r="AV40" t="n">
        <v>4720.2298</v>
      </c>
      <c r="AW40" t="n">
        <v>27.8327</v>
      </c>
      <c r="AX40" t="n">
        <v>774.6581</v>
      </c>
      <c r="AY40" t="n">
        <v>38</v>
      </c>
      <c r="AZ40" t="n">
        <v>37</v>
      </c>
      <c r="BA40" t="n">
        <v>4769.01</v>
      </c>
      <c r="BB40" t="n">
        <v>4807.4688</v>
      </c>
      <c r="BC40" t="n">
        <v>-38.4588</v>
      </c>
      <c r="BD40" t="n">
        <v>1479.0778</v>
      </c>
      <c r="BE40" t="n">
        <v>1369</v>
      </c>
    </row>
    <row r="41">
      <c r="A41" t="n">
        <v>1776389402</v>
      </c>
      <c r="B41" t="inlineStr">
        <is>
          <t>XAUUSD</t>
        </is>
      </c>
      <c r="C41" t="inlineStr">
        <is>
          <t>M15</t>
        </is>
      </c>
      <c r="D41" t="n">
        <v>4777.87</v>
      </c>
      <c r="E41" t="n">
        <v>4518.59282</v>
      </c>
      <c r="F41" t="n">
        <v>4596.05595</v>
      </c>
      <c r="G41" t="n">
        <v>4755.40355</v>
      </c>
      <c r="H41" t="n">
        <v>4792.76972</v>
      </c>
      <c r="Q41" t="n">
        <v>4807.20117</v>
      </c>
      <c r="R41" t="n">
        <v>4836.56447</v>
      </c>
      <c r="S41" t="n">
        <v>4863.15324</v>
      </c>
      <c r="V41" t="n">
        <v>4772.2614</v>
      </c>
      <c r="W41" t="n">
        <v>4738.6964</v>
      </c>
      <c r="AA41" t="n">
        <v>4768.07</v>
      </c>
      <c r="AB41" t="n">
        <v>4783.2232</v>
      </c>
      <c r="AC41" t="n">
        <v>4784.04518</v>
      </c>
      <c r="AD41" t="n">
        <v>0</v>
      </c>
      <c r="AE41" t="n">
        <v>39</v>
      </c>
      <c r="AF41" t="n">
        <v>374</v>
      </c>
      <c r="AG41" t="n">
        <v>4729.4164</v>
      </c>
      <c r="AH41" t="n">
        <v>4717.2862</v>
      </c>
      <c r="AI41" t="n">
        <v>12.1302</v>
      </c>
      <c r="AJ41" t="n">
        <v>147.1415</v>
      </c>
      <c r="AK41" t="n">
        <v>39</v>
      </c>
      <c r="AL41" t="n">
        <v>38</v>
      </c>
      <c r="AM41" t="n">
        <v>4777.87</v>
      </c>
      <c r="AN41" t="n">
        <v>4807.2012</v>
      </c>
      <c r="AO41" t="n">
        <v>-29.3312</v>
      </c>
      <c r="AP41" t="n">
        <v>860.3175</v>
      </c>
      <c r="AQ41" t="n">
        <v>-0.580502</v>
      </c>
      <c r="AR41" t="n">
        <v>0.484252</v>
      </c>
      <c r="AS41" t="n">
        <v>39</v>
      </c>
      <c r="AT41" t="n">
        <v>374</v>
      </c>
      <c r="AU41" t="n">
        <v>4729.4164</v>
      </c>
      <c r="AV41" t="n">
        <v>4717.2862</v>
      </c>
      <c r="AW41" t="n">
        <v>12.1302</v>
      </c>
      <c r="AX41" t="n">
        <v>147.1415</v>
      </c>
      <c r="AY41" t="n">
        <v>39</v>
      </c>
      <c r="AZ41" t="n">
        <v>38</v>
      </c>
      <c r="BA41" t="n">
        <v>4777.87</v>
      </c>
      <c r="BB41" t="n">
        <v>4807.2012</v>
      </c>
      <c r="BC41" t="n">
        <v>-29.3312</v>
      </c>
      <c r="BD41" t="n">
        <v>860.3175</v>
      </c>
      <c r="BE41" t="n">
        <v>1444</v>
      </c>
    </row>
    <row r="42">
      <c r="A42" t="n">
        <v>1776390302</v>
      </c>
      <c r="B42" t="inlineStr">
        <is>
          <t>XAUUSD</t>
        </is>
      </c>
      <c r="C42" t="inlineStr">
        <is>
          <t>M15</t>
        </is>
      </c>
      <c r="D42" t="n">
        <v>4789.48</v>
      </c>
      <c r="E42" t="n">
        <v>4518.59282</v>
      </c>
      <c r="F42" t="n">
        <v>4596.05595</v>
      </c>
      <c r="G42" t="n">
        <v>4755.40355</v>
      </c>
      <c r="H42" t="n">
        <v>4792.76972</v>
      </c>
      <c r="Q42" t="n">
        <v>4806.93357</v>
      </c>
      <c r="R42" t="n">
        <v>4836.29687</v>
      </c>
      <c r="S42" t="n">
        <v>4862.88564</v>
      </c>
      <c r="V42" t="n">
        <v>4771.9938</v>
      </c>
      <c r="W42" t="n">
        <v>4738.4288</v>
      </c>
      <c r="AB42" t="n">
        <v>4784.24453</v>
      </c>
      <c r="AC42" t="n">
        <v>4784.14486</v>
      </c>
      <c r="AD42" t="n">
        <v>1</v>
      </c>
      <c r="AE42" t="n">
        <v>40</v>
      </c>
      <c r="AF42" t="n">
        <v>390</v>
      </c>
      <c r="AG42" t="n">
        <v>4739.1687</v>
      </c>
      <c r="AH42" t="n">
        <v>4713.0045</v>
      </c>
      <c r="AI42" t="n">
        <v>26.1642</v>
      </c>
      <c r="AJ42" t="n">
        <v>684.5643</v>
      </c>
      <c r="AK42" t="n">
        <v>40</v>
      </c>
      <c r="AL42" t="n">
        <v>39</v>
      </c>
      <c r="AM42" t="n">
        <v>4789.48</v>
      </c>
      <c r="AN42" t="n">
        <v>4806.9336</v>
      </c>
      <c r="AO42" t="n">
        <v>-17.4536</v>
      </c>
      <c r="AP42" t="n">
        <v>304.6271</v>
      </c>
      <c r="AQ42" t="n">
        <v>-0.122312</v>
      </c>
      <c r="AR42" t="n">
        <v>0.060714</v>
      </c>
      <c r="AS42" t="n">
        <v>40</v>
      </c>
      <c r="AT42" t="n">
        <v>390</v>
      </c>
      <c r="AU42" t="n">
        <v>4739.1687</v>
      </c>
      <c r="AV42" t="n">
        <v>4713.0045</v>
      </c>
      <c r="AW42" t="n">
        <v>26.1642</v>
      </c>
      <c r="AX42" t="n">
        <v>684.5643</v>
      </c>
      <c r="AY42" t="n">
        <v>40</v>
      </c>
      <c r="AZ42" t="n">
        <v>39</v>
      </c>
      <c r="BA42" t="n">
        <v>4789.48</v>
      </c>
      <c r="BB42" t="n">
        <v>4806.9336</v>
      </c>
      <c r="BC42" t="n">
        <v>-17.4536</v>
      </c>
      <c r="BD42" t="n">
        <v>304.6271</v>
      </c>
      <c r="BE42" t="n">
        <v>1521</v>
      </c>
    </row>
    <row r="43">
      <c r="A43" t="n">
        <v>1776391202</v>
      </c>
      <c r="B43" t="inlineStr">
        <is>
          <t>XAUUSD</t>
        </is>
      </c>
      <c r="C43" t="inlineStr">
        <is>
          <t>M15</t>
        </is>
      </c>
      <c r="D43" t="n">
        <v>4791.35</v>
      </c>
      <c r="E43" t="n">
        <v>4518.59282</v>
      </c>
      <c r="F43" t="n">
        <v>4596.05595</v>
      </c>
      <c r="G43" t="n">
        <v>4755.40355</v>
      </c>
      <c r="H43" t="n">
        <v>4792.76972</v>
      </c>
      <c r="Q43" t="n">
        <v>4806.66596</v>
      </c>
      <c r="R43" t="n">
        <v>4836.02926</v>
      </c>
      <c r="S43" t="n">
        <v>4862.61803</v>
      </c>
      <c r="V43" t="n">
        <v>4771.72619</v>
      </c>
      <c r="W43" t="n">
        <v>4738.1612</v>
      </c>
      <c r="AB43" t="n">
        <v>4785.69925</v>
      </c>
      <c r="AC43" t="n">
        <v>4784.92206</v>
      </c>
      <c r="AD43" t="n">
        <v>0</v>
      </c>
      <c r="AE43" t="n">
        <v>41</v>
      </c>
      <c r="AF43" t="n">
        <v>399</v>
      </c>
      <c r="AG43" t="n">
        <v>4725.8976</v>
      </c>
      <c r="AH43" t="n">
        <v>4710.5961</v>
      </c>
      <c r="AI43" t="n">
        <v>15.3015</v>
      </c>
      <c r="AJ43" t="n">
        <v>234.135</v>
      </c>
      <c r="AK43" t="n">
        <v>41</v>
      </c>
      <c r="AL43" t="n">
        <v>40</v>
      </c>
      <c r="AM43" t="n">
        <v>4791.35</v>
      </c>
      <c r="AN43" t="n">
        <v>4806.666</v>
      </c>
      <c r="AO43" t="n">
        <v>-15.316</v>
      </c>
      <c r="AP43" t="n">
        <v>234.5786</v>
      </c>
      <c r="AQ43" t="n">
        <v>-0.082651</v>
      </c>
      <c r="AR43" t="n">
        <v>0.036002</v>
      </c>
      <c r="AS43" t="n">
        <v>41</v>
      </c>
      <c r="AT43" t="n">
        <v>399</v>
      </c>
      <c r="AU43" t="n">
        <v>4725.8976</v>
      </c>
      <c r="AV43" t="n">
        <v>4710.5961</v>
      </c>
      <c r="AW43" t="n">
        <v>15.3015</v>
      </c>
      <c r="AX43" t="n">
        <v>234.135</v>
      </c>
      <c r="AY43" t="n">
        <v>41</v>
      </c>
      <c r="AZ43" t="n">
        <v>40</v>
      </c>
      <c r="BA43" t="n">
        <v>4791.35</v>
      </c>
      <c r="BB43" t="n">
        <v>4806.666</v>
      </c>
      <c r="BC43" t="n">
        <v>-15.316</v>
      </c>
      <c r="BD43" t="n">
        <v>234.5786</v>
      </c>
      <c r="BE43" t="n">
        <v>1600</v>
      </c>
    </row>
    <row r="44">
      <c r="A44" t="n">
        <v>1776392102</v>
      </c>
      <c r="B44" t="inlineStr">
        <is>
          <t>XAUUSD</t>
        </is>
      </c>
      <c r="C44" t="inlineStr">
        <is>
          <t>M15</t>
        </is>
      </c>
      <c r="D44" t="n">
        <v>4788.86</v>
      </c>
      <c r="E44" t="n">
        <v>4518.59282</v>
      </c>
      <c r="F44" t="n">
        <v>4596.05595</v>
      </c>
      <c r="G44" t="n">
        <v>4755.40355</v>
      </c>
      <c r="H44" t="n">
        <v>4792.76972</v>
      </c>
      <c r="Q44" t="n">
        <v>4806.39836</v>
      </c>
      <c r="R44" t="n">
        <v>4835.76166</v>
      </c>
      <c r="S44" t="n">
        <v>4862.35043</v>
      </c>
      <c r="V44" t="n">
        <v>4771.45859</v>
      </c>
      <c r="W44" t="n">
        <v>4737.89359</v>
      </c>
      <c r="AB44" t="n">
        <v>4787.28938</v>
      </c>
      <c r="AC44" t="n">
        <v>4786.10572</v>
      </c>
      <c r="AD44" t="n">
        <v>0</v>
      </c>
      <c r="AE44" t="n">
        <v>42</v>
      </c>
      <c r="AF44" t="n">
        <v>405</v>
      </c>
      <c r="AG44" t="n">
        <v>4733.9721</v>
      </c>
      <c r="AH44" t="n">
        <v>4708.9905</v>
      </c>
      <c r="AI44" t="n">
        <v>24.9816</v>
      </c>
      <c r="AJ44" t="n">
        <v>624.0823</v>
      </c>
      <c r="AK44" t="n">
        <v>42</v>
      </c>
      <c r="AL44" t="n">
        <v>41</v>
      </c>
      <c r="AM44" t="n">
        <v>4788.86</v>
      </c>
      <c r="AN44" t="n">
        <v>4806.3984</v>
      </c>
      <c r="AO44" t="n">
        <v>-17.5384</v>
      </c>
      <c r="AP44" t="n">
        <v>307.5941</v>
      </c>
      <c r="AQ44" t="n">
        <v>-0.124103</v>
      </c>
      <c r="AR44" t="n">
        <v>0.061903</v>
      </c>
      <c r="AS44" t="n">
        <v>42</v>
      </c>
      <c r="AT44" t="n">
        <v>405</v>
      </c>
      <c r="AU44" t="n">
        <v>4733.9721</v>
      </c>
      <c r="AV44" t="n">
        <v>4708.9905</v>
      </c>
      <c r="AW44" t="n">
        <v>24.9816</v>
      </c>
      <c r="AX44" t="n">
        <v>624.0823</v>
      </c>
      <c r="AY44" t="n">
        <v>42</v>
      </c>
      <c r="AZ44" t="n">
        <v>41</v>
      </c>
      <c r="BA44" t="n">
        <v>4788.86</v>
      </c>
      <c r="BB44" t="n">
        <v>4806.3984</v>
      </c>
      <c r="BC44" t="n">
        <v>-17.5384</v>
      </c>
      <c r="BD44" t="n">
        <v>307.5941</v>
      </c>
      <c r="BE44" t="n">
        <v>1681</v>
      </c>
    </row>
    <row r="45">
      <c r="A45" t="n">
        <v>1776393002</v>
      </c>
      <c r="B45" t="inlineStr">
        <is>
          <t>XAUUSD</t>
        </is>
      </c>
      <c r="C45" t="inlineStr">
        <is>
          <t>M15</t>
        </is>
      </c>
      <c r="D45" t="n">
        <v>4791.57</v>
      </c>
      <c r="E45" t="n">
        <v>4518.59282</v>
      </c>
      <c r="F45" t="n">
        <v>4596.05595</v>
      </c>
      <c r="G45" t="n">
        <v>4755.40355</v>
      </c>
      <c r="H45" t="n">
        <v>4792.76972</v>
      </c>
      <c r="Q45" t="n">
        <v>4806.13075</v>
      </c>
      <c r="R45" t="n">
        <v>4835.49405</v>
      </c>
      <c r="S45" t="n">
        <v>4862.08282</v>
      </c>
      <c r="V45" t="n">
        <v>4771.19098</v>
      </c>
      <c r="W45" t="n">
        <v>4737.62599</v>
      </c>
      <c r="AB45" t="n">
        <v>4788.90242</v>
      </c>
      <c r="AC45" t="n">
        <v>4787.50407</v>
      </c>
      <c r="AD45" t="n">
        <v>0</v>
      </c>
      <c r="AE45" t="n">
        <v>43</v>
      </c>
      <c r="AF45" t="n">
        <v>415</v>
      </c>
      <c r="AG45" t="n">
        <v>4703.263</v>
      </c>
      <c r="AH45" t="n">
        <v>4706.3144</v>
      </c>
      <c r="AI45" t="n">
        <v>-3.0514</v>
      </c>
      <c r="AJ45" t="n">
        <v>9.311299999999999</v>
      </c>
      <c r="AK45" t="n">
        <v>43</v>
      </c>
      <c r="AL45" t="n">
        <v>42</v>
      </c>
      <c r="AM45" t="n">
        <v>4791.57</v>
      </c>
      <c r="AN45" t="n">
        <v>4806.1308</v>
      </c>
      <c r="AO45" t="n">
        <v>-14.5608</v>
      </c>
      <c r="AP45" t="n">
        <v>212.0154</v>
      </c>
      <c r="AQ45" t="n">
        <v>-0.071018</v>
      </c>
      <c r="AR45" t="n">
        <v>0.02941</v>
      </c>
      <c r="AS45" t="n">
        <v>43</v>
      </c>
      <c r="AT45" t="n">
        <v>415</v>
      </c>
      <c r="AU45" t="n">
        <v>4703.263</v>
      </c>
      <c r="AV45" t="n">
        <v>4706.3144</v>
      </c>
      <c r="AW45" t="n">
        <v>-3.0514</v>
      </c>
      <c r="AX45" t="n">
        <v>9.311299999999999</v>
      </c>
      <c r="AY45" t="n">
        <v>43</v>
      </c>
      <c r="AZ45" t="n">
        <v>42</v>
      </c>
      <c r="BA45" t="n">
        <v>4791.57</v>
      </c>
      <c r="BB45" t="n">
        <v>4806.1308</v>
      </c>
      <c r="BC45" t="n">
        <v>-14.5608</v>
      </c>
      <c r="BD45" t="n">
        <v>212.0154</v>
      </c>
      <c r="BE45" t="n">
        <v>1764</v>
      </c>
    </row>
    <row r="46">
      <c r="A46" t="n">
        <v>1776393902</v>
      </c>
      <c r="B46" t="inlineStr">
        <is>
          <t>XAUUSD</t>
        </is>
      </c>
      <c r="C46" t="inlineStr">
        <is>
          <t>M15</t>
        </is>
      </c>
      <c r="D46" t="n">
        <v>4784.81</v>
      </c>
      <c r="E46" t="n">
        <v>4518.59282</v>
      </c>
      <c r="F46" t="n">
        <v>4596.05595</v>
      </c>
      <c r="G46" t="n">
        <v>4755.40355</v>
      </c>
      <c r="H46" t="n">
        <v>4792.76972</v>
      </c>
      <c r="Q46" t="n">
        <v>4805.86315</v>
      </c>
      <c r="R46" t="n">
        <v>4835.22645</v>
      </c>
      <c r="S46" t="n">
        <v>4861.81522</v>
      </c>
      <c r="V46" t="n">
        <v>4770.92338</v>
      </c>
      <c r="W46" t="n">
        <v>4737.35838</v>
      </c>
      <c r="AB46" t="n">
        <v>4790.37268</v>
      </c>
      <c r="AC46" t="n">
        <v>4788.93837</v>
      </c>
      <c r="AD46" t="n">
        <v>0</v>
      </c>
      <c r="AE46" t="n">
        <v>44</v>
      </c>
      <c r="AF46" t="n">
        <v>432</v>
      </c>
      <c r="AG46" t="n">
        <v>4713.1717</v>
      </c>
      <c r="AH46" t="n">
        <v>4701.7652</v>
      </c>
      <c r="AI46" t="n">
        <v>11.4066</v>
      </c>
      <c r="AJ46" t="n">
        <v>130.1096</v>
      </c>
      <c r="AK46" t="n">
        <v>44</v>
      </c>
      <c r="AL46" t="n">
        <v>43</v>
      </c>
      <c r="AM46" t="n">
        <v>4784.81</v>
      </c>
      <c r="AN46" t="n">
        <v>4805.8632</v>
      </c>
      <c r="AO46" t="n">
        <v>-21.0531</v>
      </c>
      <c r="AP46" t="n">
        <v>443.2351</v>
      </c>
      <c r="AQ46" t="n">
        <v>-0.214668</v>
      </c>
      <c r="AR46" t="n">
        <v>0.128535</v>
      </c>
      <c r="AS46" t="n">
        <v>44</v>
      </c>
      <c r="AT46" t="n">
        <v>432</v>
      </c>
      <c r="AU46" t="n">
        <v>4713.1717</v>
      </c>
      <c r="AV46" t="n">
        <v>4701.7652</v>
      </c>
      <c r="AW46" t="n">
        <v>11.4066</v>
      </c>
      <c r="AX46" t="n">
        <v>130.1096</v>
      </c>
      <c r="AY46" t="n">
        <v>44</v>
      </c>
      <c r="AZ46" t="n">
        <v>43</v>
      </c>
      <c r="BA46" t="n">
        <v>4784.81</v>
      </c>
      <c r="BB46" t="n">
        <v>4805.8632</v>
      </c>
      <c r="BC46" t="n">
        <v>-21.0531</v>
      </c>
      <c r="BD46" t="n">
        <v>443.2351</v>
      </c>
      <c r="BE46" t="n">
        <v>1849</v>
      </c>
    </row>
    <row r="47">
      <c r="A47" t="n">
        <v>1776394802</v>
      </c>
      <c r="B47" t="inlineStr">
        <is>
          <t>XAUUSD</t>
        </is>
      </c>
      <c r="C47" t="inlineStr">
        <is>
          <t>M15</t>
        </is>
      </c>
      <c r="D47" t="n">
        <v>4795.86</v>
      </c>
      <c r="E47" t="n">
        <v>4518.59282</v>
      </c>
      <c r="F47" t="n">
        <v>4596.05595</v>
      </c>
      <c r="G47" t="n">
        <v>4755.40355</v>
      </c>
      <c r="H47" t="n">
        <v>4792.76972</v>
      </c>
      <c r="Q47" t="n">
        <v>4805.59555</v>
      </c>
      <c r="R47" t="n">
        <v>4834.95885</v>
      </c>
      <c r="S47" t="n">
        <v>4861.54762</v>
      </c>
      <c r="V47" t="n">
        <v>4770.65578</v>
      </c>
      <c r="W47" t="n">
        <v>4737.09078</v>
      </c>
      <c r="AB47" t="n">
        <v>4791.89811</v>
      </c>
      <c r="AC47" t="n">
        <v>4790.41824</v>
      </c>
      <c r="AD47" t="n">
        <v>0</v>
      </c>
      <c r="AE47" t="n">
        <v>45</v>
      </c>
      <c r="AF47" t="n">
        <v>443</v>
      </c>
      <c r="AG47" t="n">
        <v>4693.4593</v>
      </c>
      <c r="AH47" t="n">
        <v>4698.8215</v>
      </c>
      <c r="AI47" t="n">
        <v>-5.3623</v>
      </c>
      <c r="AJ47" t="n">
        <v>28.7537</v>
      </c>
      <c r="AK47" t="n">
        <v>45</v>
      </c>
      <c r="AL47" t="n">
        <v>44</v>
      </c>
      <c r="AM47" t="n">
        <v>4795.86</v>
      </c>
      <c r="AN47" t="n">
        <v>4805.5956</v>
      </c>
      <c r="AO47" t="n">
        <v>-9.7356</v>
      </c>
      <c r="AP47" t="n">
        <v>94.7809</v>
      </c>
      <c r="AQ47" t="n">
        <v>-0.021227</v>
      </c>
      <c r="AR47" t="n">
        <v>0.005878</v>
      </c>
      <c r="AS47" t="n">
        <v>45</v>
      </c>
      <c r="AT47" t="n">
        <v>443</v>
      </c>
      <c r="AU47" t="n">
        <v>4693.4593</v>
      </c>
      <c r="AV47" t="n">
        <v>4698.8215</v>
      </c>
      <c r="AW47" t="n">
        <v>-5.3623</v>
      </c>
      <c r="AX47" t="n">
        <v>28.7537</v>
      </c>
      <c r="AY47" t="n">
        <v>45</v>
      </c>
      <c r="AZ47" t="n">
        <v>44</v>
      </c>
      <c r="BA47" t="n">
        <v>4795.86</v>
      </c>
      <c r="BB47" t="n">
        <v>4805.5956</v>
      </c>
      <c r="BC47" t="n">
        <v>-9.7356</v>
      </c>
      <c r="BD47" t="n">
        <v>94.7809</v>
      </c>
      <c r="BE47" t="n">
        <v>1936</v>
      </c>
    </row>
    <row r="48">
      <c r="A48" t="n">
        <v>1776395702</v>
      </c>
      <c r="B48" t="inlineStr">
        <is>
          <t>XAUUSD</t>
        </is>
      </c>
      <c r="C48" t="inlineStr">
        <is>
          <t>M15</t>
        </is>
      </c>
      <c r="D48" t="n">
        <v>4793.93</v>
      </c>
      <c r="E48" t="n">
        <v>4518.59282</v>
      </c>
      <c r="F48" t="n">
        <v>4596.05595</v>
      </c>
      <c r="G48" t="n">
        <v>4755.40355</v>
      </c>
      <c r="H48" t="n">
        <v>4792.76972</v>
      </c>
      <c r="Q48" t="n">
        <v>4805.32794</v>
      </c>
      <c r="R48" t="n">
        <v>4834.69124</v>
      </c>
      <c r="S48" t="n">
        <v>4861.28001</v>
      </c>
      <c r="V48" t="n">
        <v>4770.38817</v>
      </c>
      <c r="W48" t="n">
        <v>4736.82318</v>
      </c>
      <c r="AB48" t="n">
        <v>4793.24504</v>
      </c>
      <c r="AC48" t="n">
        <v>4791.83164</v>
      </c>
      <c r="AD48" t="n">
        <v>0</v>
      </c>
      <c r="AE48" t="n">
        <v>46</v>
      </c>
      <c r="AF48" t="n">
        <v>453</v>
      </c>
      <c r="AG48" t="n">
        <v>4732.4203</v>
      </c>
      <c r="AH48" t="n">
        <v>4696.1455</v>
      </c>
      <c r="AI48" t="n">
        <v>36.2748</v>
      </c>
      <c r="AJ48" t="n">
        <v>1315.8626</v>
      </c>
      <c r="AK48" t="n">
        <v>46</v>
      </c>
      <c r="AL48" t="n">
        <v>45</v>
      </c>
      <c r="AM48" t="n">
        <v>4793.93</v>
      </c>
      <c r="AN48" t="n">
        <v>4805.3279</v>
      </c>
      <c r="AO48" t="n">
        <v>-11.3979</v>
      </c>
      <c r="AP48" t="n">
        <v>129.913</v>
      </c>
      <c r="AQ48" t="n">
        <v>-0.034064</v>
      </c>
      <c r="AR48" t="n">
        <v>0.011042</v>
      </c>
      <c r="AS48" t="n">
        <v>46</v>
      </c>
      <c r="AT48" t="n">
        <v>453</v>
      </c>
      <c r="AU48" t="n">
        <v>4732.4203</v>
      </c>
      <c r="AV48" t="n">
        <v>4696.1455</v>
      </c>
      <c r="AW48" t="n">
        <v>36.2748</v>
      </c>
      <c r="AX48" t="n">
        <v>1315.8626</v>
      </c>
      <c r="AY48" t="n">
        <v>46</v>
      </c>
      <c r="AZ48" t="n">
        <v>45</v>
      </c>
      <c r="BA48" t="n">
        <v>4793.93</v>
      </c>
      <c r="BB48" t="n">
        <v>4805.3279</v>
      </c>
      <c r="BC48" t="n">
        <v>-11.3979</v>
      </c>
      <c r="BD48" t="n">
        <v>129.913</v>
      </c>
      <c r="BE48" t="n">
        <v>2025</v>
      </c>
    </row>
    <row r="49">
      <c r="A49" t="n">
        <v>1776396602</v>
      </c>
      <c r="B49" t="inlineStr">
        <is>
          <t>XAUUSD</t>
        </is>
      </c>
      <c r="C49" t="inlineStr">
        <is>
          <t>M15</t>
        </is>
      </c>
      <c r="D49" t="n">
        <v>4794.26</v>
      </c>
      <c r="E49" t="n">
        <v>4518.59282</v>
      </c>
      <c r="F49" t="n">
        <v>4596.05595</v>
      </c>
      <c r="G49" t="n">
        <v>4755.40355</v>
      </c>
      <c r="H49" t="n">
        <v>4792.76972</v>
      </c>
      <c r="Q49" t="n">
        <v>4805.06034</v>
      </c>
      <c r="R49" t="n">
        <v>4834.42364</v>
      </c>
      <c r="S49" t="n">
        <v>4861.01241</v>
      </c>
      <c r="V49" t="n">
        <v>4770.12057</v>
      </c>
      <c r="W49" t="n">
        <v>4736.55557</v>
      </c>
      <c r="AB49" t="n">
        <v>4794.5677</v>
      </c>
      <c r="AC49" t="n">
        <v>4793.19967</v>
      </c>
      <c r="AD49" t="n">
        <v>0</v>
      </c>
      <c r="AE49" t="n">
        <v>47</v>
      </c>
      <c r="AF49" t="n">
        <v>458</v>
      </c>
      <c r="AG49" t="n">
        <v>4728.4898</v>
      </c>
      <c r="AH49" t="n">
        <v>4694.8075</v>
      </c>
      <c r="AI49" t="n">
        <v>33.6823</v>
      </c>
      <c r="AJ49" t="n">
        <v>1134.4987</v>
      </c>
      <c r="AK49" t="n">
        <v>47</v>
      </c>
      <c r="AL49" t="n">
        <v>46</v>
      </c>
      <c r="AM49" t="n">
        <v>4794.26</v>
      </c>
      <c r="AN49" t="n">
        <v>4805.0603</v>
      </c>
      <c r="AO49" t="n">
        <v>-10.8003</v>
      </c>
      <c r="AP49" t="n">
        <v>116.6473</v>
      </c>
      <c r="AQ49" t="n">
        <v>-0.028982</v>
      </c>
      <c r="AR49" t="n">
        <v>0.008902</v>
      </c>
      <c r="AS49" t="n">
        <v>47</v>
      </c>
      <c r="AT49" t="n">
        <v>458</v>
      </c>
      <c r="AU49" t="n">
        <v>4728.4898</v>
      </c>
      <c r="AV49" t="n">
        <v>4694.8075</v>
      </c>
      <c r="AW49" t="n">
        <v>33.6823</v>
      </c>
      <c r="AX49" t="n">
        <v>1134.4987</v>
      </c>
      <c r="AY49" t="n">
        <v>47</v>
      </c>
      <c r="AZ49" t="n">
        <v>46</v>
      </c>
      <c r="BA49" t="n">
        <v>4794.26</v>
      </c>
      <c r="BB49" t="n">
        <v>4805.0603</v>
      </c>
      <c r="BC49" t="n">
        <v>-10.8003</v>
      </c>
      <c r="BD49" t="n">
        <v>116.6473</v>
      </c>
      <c r="BE49" t="n">
        <v>2116</v>
      </c>
    </row>
    <row r="50">
      <c r="A50" t="n">
        <v>1776397502</v>
      </c>
      <c r="B50" t="inlineStr">
        <is>
          <t>XAUUSD</t>
        </is>
      </c>
      <c r="C50" t="inlineStr">
        <is>
          <t>M15</t>
        </is>
      </c>
      <c r="D50" t="n">
        <v>4793.09</v>
      </c>
      <c r="E50" t="n">
        <v>4518.59282</v>
      </c>
      <c r="F50" t="n">
        <v>4596.05595</v>
      </c>
      <c r="G50" t="n">
        <v>4755.40355</v>
      </c>
      <c r="H50" t="n">
        <v>4792.76972</v>
      </c>
      <c r="Q50" t="n">
        <v>4804.79273</v>
      </c>
      <c r="R50" t="n">
        <v>4834.15603</v>
      </c>
      <c r="S50" t="n">
        <v>4860.7448</v>
      </c>
      <c r="V50" t="n">
        <v>4769.85296</v>
      </c>
      <c r="W50" t="n">
        <v>4736.28797</v>
      </c>
      <c r="AB50" t="n">
        <v>4795.95502</v>
      </c>
      <c r="AC50" t="n">
        <v>4794.57734</v>
      </c>
      <c r="AD50" t="n">
        <v>0</v>
      </c>
      <c r="AE50" t="n">
        <v>48</v>
      </c>
      <c r="AF50" t="n">
        <v>463</v>
      </c>
      <c r="AG50" t="n">
        <v>4729.1198</v>
      </c>
      <c r="AH50" t="n">
        <v>4693.4694</v>
      </c>
      <c r="AI50" t="n">
        <v>35.6504</v>
      </c>
      <c r="AJ50" t="n">
        <v>1270.9517</v>
      </c>
      <c r="AK50" t="n">
        <v>48</v>
      </c>
      <c r="AL50" t="n">
        <v>47</v>
      </c>
      <c r="AM50" t="n">
        <v>4793.09</v>
      </c>
      <c r="AN50" t="n">
        <v>4804.7927</v>
      </c>
      <c r="AO50" t="n">
        <v>-11.7027</v>
      </c>
      <c r="AP50" t="n">
        <v>136.9539</v>
      </c>
      <c r="AQ50" t="n">
        <v>-0.03687</v>
      </c>
      <c r="AR50" t="n">
        <v>0.012272</v>
      </c>
      <c r="AS50" t="n">
        <v>48</v>
      </c>
      <c r="AT50" t="n">
        <v>463</v>
      </c>
      <c r="AU50" t="n">
        <v>4729.1198</v>
      </c>
      <c r="AV50" t="n">
        <v>4693.4694</v>
      </c>
      <c r="AW50" t="n">
        <v>35.6504</v>
      </c>
      <c r="AX50" t="n">
        <v>1270.9517</v>
      </c>
      <c r="AY50" t="n">
        <v>48</v>
      </c>
      <c r="AZ50" t="n">
        <v>47</v>
      </c>
      <c r="BA50" t="n">
        <v>4793.09</v>
      </c>
      <c r="BB50" t="n">
        <v>4804.7927</v>
      </c>
      <c r="BC50" t="n">
        <v>-11.7027</v>
      </c>
      <c r="BD50" t="n">
        <v>136.9539</v>
      </c>
      <c r="BE50" t="n">
        <v>2209</v>
      </c>
    </row>
    <row r="51">
      <c r="A51" t="n">
        <v>1776398402</v>
      </c>
      <c r="B51" t="inlineStr">
        <is>
          <t>XAUUSD</t>
        </is>
      </c>
      <c r="C51" t="inlineStr">
        <is>
          <t>M15</t>
        </is>
      </c>
      <c r="D51" t="n">
        <v>4795.16</v>
      </c>
      <c r="E51" t="n">
        <v>4518.59282</v>
      </c>
      <c r="F51" t="n">
        <v>4596.05595</v>
      </c>
      <c r="G51" t="n">
        <v>4755.40355</v>
      </c>
      <c r="H51" t="n">
        <v>4792.76972</v>
      </c>
      <c r="Q51" t="n">
        <v>4804.52513</v>
      </c>
      <c r="R51" t="n">
        <v>4833.88843</v>
      </c>
      <c r="S51" t="n">
        <v>4860.4772</v>
      </c>
      <c r="V51" t="n">
        <v>4769.58536</v>
      </c>
      <c r="W51" t="n">
        <v>4736.02036</v>
      </c>
      <c r="AB51" t="n">
        <v>4797.45445</v>
      </c>
      <c r="AC51" t="n">
        <v>4796.0159</v>
      </c>
      <c r="AD51" t="n">
        <v>0</v>
      </c>
      <c r="AE51" t="n">
        <v>49</v>
      </c>
      <c r="AF51" t="n">
        <v>485</v>
      </c>
      <c r="AG51" t="n">
        <v>4692.6568</v>
      </c>
      <c r="AH51" t="n">
        <v>4687.5821</v>
      </c>
      <c r="AI51" t="n">
        <v>5.0747</v>
      </c>
      <c r="AJ51" t="n">
        <v>25.7523</v>
      </c>
      <c r="AK51" t="n">
        <v>49</v>
      </c>
      <c r="AL51" t="n">
        <v>48</v>
      </c>
      <c r="AM51" t="n">
        <v>4795.16</v>
      </c>
      <c r="AN51" t="n">
        <v>4804.5251</v>
      </c>
      <c r="AO51" t="n">
        <v>-9.3651</v>
      </c>
      <c r="AP51" t="n">
        <v>87.70569999999999</v>
      </c>
      <c r="AQ51" t="n">
        <v>-0.018895</v>
      </c>
      <c r="AR51" t="n">
        <v>0.005033</v>
      </c>
      <c r="AS51" t="n">
        <v>49</v>
      </c>
      <c r="AT51" t="n">
        <v>485</v>
      </c>
      <c r="AU51" t="n">
        <v>4692.6568</v>
      </c>
      <c r="AV51" t="n">
        <v>4687.5821</v>
      </c>
      <c r="AW51" t="n">
        <v>5.0747</v>
      </c>
      <c r="AX51" t="n">
        <v>25.7523</v>
      </c>
      <c r="AY51" t="n">
        <v>49</v>
      </c>
      <c r="AZ51" t="n">
        <v>48</v>
      </c>
      <c r="BA51" t="n">
        <v>4795.16</v>
      </c>
      <c r="BB51" t="n">
        <v>4804.5251</v>
      </c>
      <c r="BC51" t="n">
        <v>-9.3651</v>
      </c>
      <c r="BD51" t="n">
        <v>87.70569999999999</v>
      </c>
      <c r="BE51" t="n">
        <v>2304</v>
      </c>
    </row>
    <row r="52">
      <c r="A52" t="n">
        <v>1776399302</v>
      </c>
      <c r="B52" t="inlineStr">
        <is>
          <t>XAUUSD</t>
        </is>
      </c>
      <c r="C52" t="inlineStr">
        <is>
          <t>M15</t>
        </is>
      </c>
      <c r="D52" t="n">
        <v>4795.87</v>
      </c>
      <c r="E52" t="n">
        <v>4518.59282</v>
      </c>
      <c r="F52" t="n">
        <v>4596.05595</v>
      </c>
      <c r="G52" t="n">
        <v>4755.40355</v>
      </c>
      <c r="H52" t="n">
        <v>4792.76972</v>
      </c>
      <c r="Q52" t="n">
        <v>4804.25753</v>
      </c>
      <c r="R52" t="n">
        <v>4833.62083</v>
      </c>
      <c r="S52" t="n">
        <v>4860.2096</v>
      </c>
      <c r="V52" t="n">
        <v>4769.31776</v>
      </c>
      <c r="W52" t="n">
        <v>4735.75276</v>
      </c>
      <c r="AB52" t="n">
        <v>4798.91719</v>
      </c>
      <c r="AC52" t="n">
        <v>4797.46654</v>
      </c>
      <c r="AD52" t="n">
        <v>0</v>
      </c>
      <c r="AE52" t="n">
        <v>50</v>
      </c>
      <c r="AF52" t="n">
        <v>497</v>
      </c>
      <c r="AG52" t="n">
        <v>4701.3644</v>
      </c>
      <c r="AH52" t="n">
        <v>4684.3709</v>
      </c>
      <c r="AI52" t="n">
        <v>16.9935</v>
      </c>
      <c r="AJ52" t="n">
        <v>288.7794</v>
      </c>
      <c r="AK52" t="n">
        <v>50</v>
      </c>
      <c r="AL52" t="n">
        <v>49</v>
      </c>
      <c r="AM52" t="n">
        <v>4795.87</v>
      </c>
      <c r="AN52" t="n">
        <v>4804.2575</v>
      </c>
      <c r="AO52" t="n">
        <v>-8.387499999999999</v>
      </c>
      <c r="AP52" t="n">
        <v>70.3507</v>
      </c>
      <c r="AQ52" t="n">
        <v>-0.013574</v>
      </c>
      <c r="AR52" t="n">
        <v>0.003238</v>
      </c>
      <c r="AS52" t="n">
        <v>50</v>
      </c>
      <c r="AT52" t="n">
        <v>497</v>
      </c>
      <c r="AU52" t="n">
        <v>4701.3644</v>
      </c>
      <c r="AV52" t="n">
        <v>4684.3709</v>
      </c>
      <c r="AW52" t="n">
        <v>16.9935</v>
      </c>
      <c r="AX52" t="n">
        <v>288.7794</v>
      </c>
      <c r="AY52" t="n">
        <v>50</v>
      </c>
      <c r="AZ52" t="n">
        <v>49</v>
      </c>
      <c r="BA52" t="n">
        <v>4795.87</v>
      </c>
      <c r="BB52" t="n">
        <v>4804.2575</v>
      </c>
      <c r="BC52" t="n">
        <v>-8.387499999999999</v>
      </c>
      <c r="BD52" t="n">
        <v>70.3507</v>
      </c>
      <c r="BE52" t="n">
        <v>2401</v>
      </c>
    </row>
    <row r="53">
      <c r="A53" t="n">
        <v>1776400202</v>
      </c>
      <c r="B53" t="inlineStr">
        <is>
          <t>XAUUSD</t>
        </is>
      </c>
      <c r="C53" t="inlineStr">
        <is>
          <t>M15</t>
        </is>
      </c>
      <c r="D53" t="n">
        <v>4801.05</v>
      </c>
      <c r="E53" t="n">
        <v>4518.59282</v>
      </c>
      <c r="F53" t="n">
        <v>4596.05595</v>
      </c>
      <c r="G53" t="n">
        <v>4755.40355</v>
      </c>
      <c r="H53" t="n">
        <v>4792.76972</v>
      </c>
      <c r="Q53" t="n">
        <v>4803.98992</v>
      </c>
      <c r="R53" t="n">
        <v>4833.35322</v>
      </c>
      <c r="S53" t="n">
        <v>4859.94199</v>
      </c>
      <c r="V53" t="n">
        <v>4769.05015</v>
      </c>
      <c r="W53" t="n">
        <v>4735.48516</v>
      </c>
      <c r="AB53" t="n">
        <v>4800.16653</v>
      </c>
      <c r="AC53" t="n">
        <v>4798.81654</v>
      </c>
      <c r="AD53" t="n">
        <v>0</v>
      </c>
      <c r="AE53" t="n">
        <v>51</v>
      </c>
      <c r="AF53" t="n">
        <v>510</v>
      </c>
      <c r="AG53" t="n">
        <v>4671.0085</v>
      </c>
      <c r="AH53" t="n">
        <v>4680.892</v>
      </c>
      <c r="AI53" t="n">
        <v>-9.8835</v>
      </c>
      <c r="AJ53" t="n">
        <v>97.684</v>
      </c>
      <c r="AK53" t="n">
        <v>51</v>
      </c>
      <c r="AL53" t="n">
        <v>50</v>
      </c>
      <c r="AM53" t="n">
        <v>4801.05</v>
      </c>
      <c r="AN53" t="n">
        <v>4803.9899</v>
      </c>
      <c r="AO53" t="n">
        <v>-2.9399</v>
      </c>
      <c r="AP53" t="n">
        <v>8.6431</v>
      </c>
      <c r="AQ53" t="n">
        <v>-0.000585</v>
      </c>
      <c r="AR53" t="n">
        <v>4.9e-05</v>
      </c>
      <c r="AS53" t="n">
        <v>51</v>
      </c>
      <c r="AT53" t="n">
        <v>510</v>
      </c>
      <c r="AU53" t="n">
        <v>4671.0085</v>
      </c>
      <c r="AV53" t="n">
        <v>4680.892</v>
      </c>
      <c r="AW53" t="n">
        <v>-9.8835</v>
      </c>
      <c r="AX53" t="n">
        <v>97.684</v>
      </c>
      <c r="AY53" t="n">
        <v>51</v>
      </c>
      <c r="AZ53" t="n">
        <v>50</v>
      </c>
      <c r="BA53" t="n">
        <v>4801.05</v>
      </c>
      <c r="BB53" t="n">
        <v>4803.9899</v>
      </c>
      <c r="BC53" t="n">
        <v>-2.9399</v>
      </c>
      <c r="BD53" t="n">
        <v>8.6431</v>
      </c>
      <c r="BE53" t="n">
        <v>2500</v>
      </c>
    </row>
    <row r="54">
      <c r="A54" t="n">
        <v>1776401102</v>
      </c>
      <c r="B54" t="inlineStr">
        <is>
          <t>XAUUSD</t>
        </is>
      </c>
      <c r="C54" t="inlineStr">
        <is>
          <t>M15</t>
        </is>
      </c>
      <c r="D54" t="n">
        <v>4803.04</v>
      </c>
      <c r="E54" t="n">
        <v>4518.59282</v>
      </c>
      <c r="F54" t="n">
        <v>4596.05595</v>
      </c>
      <c r="G54" t="n">
        <v>4755.40355</v>
      </c>
      <c r="H54" t="n">
        <v>4792.76972</v>
      </c>
      <c r="Q54" t="n">
        <v>4803.72232</v>
      </c>
      <c r="R54" t="n">
        <v>4833.08562</v>
      </c>
      <c r="S54" t="n">
        <v>4859.67439</v>
      </c>
      <c r="V54" t="n">
        <v>4768.78255</v>
      </c>
      <c r="W54" t="n">
        <v>4735.21755</v>
      </c>
      <c r="AB54" t="n">
        <v>4800.84185</v>
      </c>
      <c r="AC54" t="n">
        <v>4799.82919</v>
      </c>
      <c r="AD54" t="n">
        <v>0</v>
      </c>
      <c r="AE54" t="n">
        <v>52</v>
      </c>
      <c r="AF54" t="n">
        <v>517</v>
      </c>
      <c r="AG54" t="n">
        <v>4677.5968</v>
      </c>
      <c r="AH54" t="n">
        <v>4679.0188</v>
      </c>
      <c r="AI54" t="n">
        <v>-1.422</v>
      </c>
      <c r="AJ54" t="n">
        <v>2.0221</v>
      </c>
      <c r="AK54" t="n">
        <v>52</v>
      </c>
      <c r="AL54" t="n">
        <v>51</v>
      </c>
      <c r="AM54" t="n">
        <v>4803.04</v>
      </c>
      <c r="AN54" t="n">
        <v>4803.7223</v>
      </c>
      <c r="AO54" t="n">
        <v>-0.6823</v>
      </c>
      <c r="AP54" t="n">
        <v>0.4656</v>
      </c>
      <c r="AQ54" t="n">
        <v>-7e-06</v>
      </c>
      <c r="AR54" t="n">
        <v>0</v>
      </c>
      <c r="AS54" t="n">
        <v>52</v>
      </c>
      <c r="AT54" t="n">
        <v>517</v>
      </c>
      <c r="AU54" t="n">
        <v>4677.5968</v>
      </c>
      <c r="AV54" t="n">
        <v>4679.0188</v>
      </c>
      <c r="AW54" t="n">
        <v>-1.422</v>
      </c>
      <c r="AX54" t="n">
        <v>2.0221</v>
      </c>
      <c r="AY54" t="n">
        <v>52</v>
      </c>
      <c r="AZ54" t="n">
        <v>51</v>
      </c>
      <c r="BA54" t="n">
        <v>4803.04</v>
      </c>
      <c r="BB54" t="n">
        <v>4803.7223</v>
      </c>
      <c r="BC54" t="n">
        <v>-0.6823</v>
      </c>
      <c r="BD54" t="n">
        <v>0.4656</v>
      </c>
      <c r="BE54" t="n">
        <v>2601</v>
      </c>
    </row>
    <row r="55">
      <c r="A55" t="n">
        <v>1776402002</v>
      </c>
      <c r="B55" t="inlineStr">
        <is>
          <t>XAUUSD</t>
        </is>
      </c>
      <c r="C55" t="inlineStr">
        <is>
          <t>M15</t>
        </is>
      </c>
      <c r="D55" t="n">
        <v>4804.78</v>
      </c>
      <c r="E55" t="n">
        <v>4518.59282</v>
      </c>
      <c r="F55" t="n">
        <v>4596.05595</v>
      </c>
      <c r="G55" t="n">
        <v>4755.40355</v>
      </c>
      <c r="H55" t="n">
        <v>4792.76972</v>
      </c>
      <c r="Q55" t="n">
        <v>4803.45471</v>
      </c>
      <c r="R55" t="n">
        <v>4832.81801</v>
      </c>
      <c r="S55" t="n">
        <v>4859.40678</v>
      </c>
      <c r="V55" t="n">
        <v>4768.51494</v>
      </c>
      <c r="W55" t="n">
        <v>4734.94995</v>
      </c>
      <c r="Z55" t="n">
        <v>4805.97</v>
      </c>
      <c r="AB55" t="n">
        <v>4800.67177</v>
      </c>
      <c r="AC55" t="n">
        <v>4800.25048</v>
      </c>
      <c r="AD55" t="n">
        <v>0</v>
      </c>
      <c r="AE55" t="n">
        <v>53</v>
      </c>
      <c r="AF55" t="n">
        <v>519</v>
      </c>
      <c r="AG55" t="n">
        <v>4677.6687</v>
      </c>
      <c r="AH55" t="n">
        <v>4678.4836</v>
      </c>
      <c r="AI55" t="n">
        <v>-0.8149</v>
      </c>
      <c r="AJ55" t="n">
        <v>0.664</v>
      </c>
      <c r="AK55" t="n">
        <v>53</v>
      </c>
      <c r="AL55" t="n">
        <v>52</v>
      </c>
      <c r="AM55" t="n">
        <v>4804.78</v>
      </c>
      <c r="AN55" t="n">
        <v>4803.4547</v>
      </c>
      <c r="AO55" t="n">
        <v>1.3253</v>
      </c>
      <c r="AP55" t="n">
        <v>1.7564</v>
      </c>
      <c r="AQ55" t="n">
        <v>5.4e-05</v>
      </c>
      <c r="AR55" t="n">
        <v>2e-06</v>
      </c>
      <c r="AS55" t="n">
        <v>53</v>
      </c>
      <c r="AT55" t="n">
        <v>519</v>
      </c>
      <c r="AU55" t="n">
        <v>4677.6687</v>
      </c>
      <c r="AV55" t="n">
        <v>4678.4836</v>
      </c>
      <c r="AW55" t="n">
        <v>-0.8149</v>
      </c>
      <c r="AX55" t="n">
        <v>0.664</v>
      </c>
      <c r="AY55" t="n">
        <v>53</v>
      </c>
      <c r="AZ55" t="n">
        <v>52</v>
      </c>
      <c r="BA55" t="n">
        <v>4804.78</v>
      </c>
      <c r="BB55" t="n">
        <v>4803.4547</v>
      </c>
      <c r="BC55" t="n">
        <v>1.3253</v>
      </c>
      <c r="BD55" t="n">
        <v>1.7564</v>
      </c>
      <c r="BE55" t="n">
        <v>2704</v>
      </c>
    </row>
    <row r="56">
      <c r="A56" t="n">
        <v>1776402902</v>
      </c>
      <c r="B56" t="inlineStr">
        <is>
          <t>XAUUSD</t>
        </is>
      </c>
      <c r="C56" t="inlineStr">
        <is>
          <t>M15</t>
        </is>
      </c>
      <c r="D56" t="n">
        <v>4803.25</v>
      </c>
      <c r="E56" t="n">
        <v>4518.59282</v>
      </c>
      <c r="F56" t="n">
        <v>4596.05595</v>
      </c>
      <c r="G56" t="n">
        <v>4755.40355</v>
      </c>
      <c r="H56" t="n">
        <v>4792.76972</v>
      </c>
      <c r="Q56" t="n">
        <v>4803.18711</v>
      </c>
      <c r="R56" t="n">
        <v>4832.55041</v>
      </c>
      <c r="S56" t="n">
        <v>4859.13918</v>
      </c>
      <c r="V56" t="n">
        <v>4768.24734</v>
      </c>
      <c r="W56" t="n">
        <v>4734.68234</v>
      </c>
      <c r="AB56" t="n">
        <v>4799.49116</v>
      </c>
      <c r="AC56" t="n">
        <v>4799.87082</v>
      </c>
      <c r="AD56" t="n">
        <v>1</v>
      </c>
      <c r="AE56" t="n">
        <v>54</v>
      </c>
      <c r="AF56" t="n">
        <v>528</v>
      </c>
      <c r="AG56" t="n">
        <v>4688.6921</v>
      </c>
      <c r="AH56" t="n">
        <v>4676.0752</v>
      </c>
      <c r="AI56" t="n">
        <v>12.617</v>
      </c>
      <c r="AJ56" t="n">
        <v>159.1882</v>
      </c>
      <c r="AK56" t="n">
        <v>54</v>
      </c>
      <c r="AL56" t="n">
        <v>53</v>
      </c>
      <c r="AM56" t="n">
        <v>4803.25</v>
      </c>
      <c r="AN56" t="n">
        <v>4803.1871</v>
      </c>
      <c r="AO56" t="n">
        <v>0.0629</v>
      </c>
      <c r="AP56" t="n">
        <v>0.004</v>
      </c>
      <c r="AQ56" t="n">
        <v>0</v>
      </c>
      <c r="AR56" t="n">
        <v>0</v>
      </c>
      <c r="AS56" t="n">
        <v>54</v>
      </c>
      <c r="AT56" t="n">
        <v>528</v>
      </c>
      <c r="AU56" t="n">
        <v>4688.6921</v>
      </c>
      <c r="AV56" t="n">
        <v>4676.0752</v>
      </c>
      <c r="AW56" t="n">
        <v>12.617</v>
      </c>
      <c r="AX56" t="n">
        <v>159.1882</v>
      </c>
      <c r="AY56" t="n">
        <v>54</v>
      </c>
      <c r="AZ56" t="n">
        <v>53</v>
      </c>
      <c r="BA56" t="n">
        <v>4803.25</v>
      </c>
      <c r="BB56" t="n">
        <v>4803.1871</v>
      </c>
      <c r="BC56" t="n">
        <v>0.0629</v>
      </c>
      <c r="BD56" t="n">
        <v>0.004</v>
      </c>
      <c r="BE56" t="n">
        <v>2809</v>
      </c>
    </row>
    <row r="57">
      <c r="A57" t="n">
        <v>1776403802</v>
      </c>
      <c r="B57" t="inlineStr">
        <is>
          <t>XAUUSD</t>
        </is>
      </c>
      <c r="C57" t="inlineStr">
        <is>
          <t>M15</t>
        </is>
      </c>
      <c r="D57" t="n">
        <v>4796.48</v>
      </c>
      <c r="E57" t="n">
        <v>4518.59282</v>
      </c>
      <c r="F57" t="n">
        <v>4596.05595</v>
      </c>
      <c r="G57" t="n">
        <v>4755.40355</v>
      </c>
      <c r="H57" t="n">
        <v>4792.76972</v>
      </c>
      <c r="Q57" t="n">
        <v>4802.91951</v>
      </c>
      <c r="R57" t="n">
        <v>4832.2828</v>
      </c>
      <c r="S57" t="n">
        <v>4858.87158</v>
      </c>
      <c r="V57" t="n">
        <v>4767.97974</v>
      </c>
      <c r="W57" t="n">
        <v>4734.41474</v>
      </c>
      <c r="AB57" t="n">
        <v>4797.33624</v>
      </c>
      <c r="AC57" t="n">
        <v>4798.60353</v>
      </c>
      <c r="AD57" t="n">
        <v>0</v>
      </c>
      <c r="AE57" t="n">
        <v>55</v>
      </c>
      <c r="AF57" t="n">
        <v>533</v>
      </c>
      <c r="AG57" t="n">
        <v>4682.0741</v>
      </c>
      <c r="AH57" t="n">
        <v>4674.7371</v>
      </c>
      <c r="AI57" t="n">
        <v>7.337</v>
      </c>
      <c r="AJ57" t="n">
        <v>53.8311</v>
      </c>
      <c r="AK57" t="n">
        <v>55</v>
      </c>
      <c r="AL57" t="n">
        <v>54</v>
      </c>
      <c r="AM57" t="n">
        <v>4796.48</v>
      </c>
      <c r="AN57" t="n">
        <v>4802.9195</v>
      </c>
      <c r="AO57" t="n">
        <v>-6.4395</v>
      </c>
      <c r="AP57" t="n">
        <v>41.4673</v>
      </c>
      <c r="AQ57" t="n">
        <v>-0.006143</v>
      </c>
      <c r="AR57" t="n">
        <v>0.001125</v>
      </c>
      <c r="AS57" t="n">
        <v>55</v>
      </c>
      <c r="AT57" t="n">
        <v>533</v>
      </c>
      <c r="AU57" t="n">
        <v>4682.0741</v>
      </c>
      <c r="AV57" t="n">
        <v>4674.7371</v>
      </c>
      <c r="AW57" t="n">
        <v>7.337</v>
      </c>
      <c r="AX57" t="n">
        <v>53.8311</v>
      </c>
      <c r="AY57" t="n">
        <v>55</v>
      </c>
      <c r="AZ57" t="n">
        <v>54</v>
      </c>
      <c r="BA57" t="n">
        <v>4796.48</v>
      </c>
      <c r="BB57" t="n">
        <v>4802.9195</v>
      </c>
      <c r="BC57" t="n">
        <v>-6.4395</v>
      </c>
      <c r="BD57" t="n">
        <v>41.4673</v>
      </c>
      <c r="BE57" t="n">
        <v>2916</v>
      </c>
    </row>
    <row r="58">
      <c r="A58" t="n">
        <v>1776404702</v>
      </c>
      <c r="B58" t="inlineStr">
        <is>
          <t>XAUUSD</t>
        </is>
      </c>
      <c r="C58" t="inlineStr">
        <is>
          <t>M15</t>
        </is>
      </c>
      <c r="D58" t="n">
        <v>4794.41</v>
      </c>
      <c r="E58" t="n">
        <v>4518.59282</v>
      </c>
      <c r="F58" t="n">
        <v>4596.05595</v>
      </c>
      <c r="G58" t="n">
        <v>4755.40355</v>
      </c>
      <c r="H58" t="n">
        <v>4792.76972</v>
      </c>
      <c r="Q58" t="n">
        <v>4802.6519</v>
      </c>
      <c r="R58" t="n">
        <v>4832.0152</v>
      </c>
      <c r="S58" t="n">
        <v>4858.60397</v>
      </c>
      <c r="V58" t="n">
        <v>4767.71213</v>
      </c>
      <c r="W58" t="n">
        <v>4734.14714</v>
      </c>
      <c r="AB58" t="n">
        <v>4794.52465</v>
      </c>
      <c r="AC58" t="n">
        <v>4796.56409</v>
      </c>
      <c r="AD58" t="n">
        <v>0</v>
      </c>
      <c r="AE58" t="n">
        <v>56</v>
      </c>
      <c r="AF58" t="n">
        <v>542</v>
      </c>
      <c r="AG58" t="n">
        <v>4703.9862</v>
      </c>
      <c r="AH58" t="n">
        <v>4672.3287</v>
      </c>
      <c r="AI58" t="n">
        <v>31.6575</v>
      </c>
      <c r="AJ58" t="n">
        <v>1002.1979</v>
      </c>
      <c r="AK58" t="n">
        <v>56</v>
      </c>
      <c r="AL58" t="n">
        <v>55</v>
      </c>
      <c r="AM58" t="n">
        <v>4794.41</v>
      </c>
      <c r="AN58" t="n">
        <v>4802.6519</v>
      </c>
      <c r="AO58" t="n">
        <v>-8.241899999999999</v>
      </c>
      <c r="AP58" t="n">
        <v>67.9289</v>
      </c>
      <c r="AQ58" t="n">
        <v>-0.012879</v>
      </c>
      <c r="AR58" t="n">
        <v>0.003019</v>
      </c>
      <c r="AS58" t="n">
        <v>56</v>
      </c>
      <c r="AT58" t="n">
        <v>542</v>
      </c>
      <c r="AU58" t="n">
        <v>4703.9862</v>
      </c>
      <c r="AV58" t="n">
        <v>4672.3287</v>
      </c>
      <c r="AW58" t="n">
        <v>31.6575</v>
      </c>
      <c r="AX58" t="n">
        <v>1002.1979</v>
      </c>
      <c r="AY58" t="n">
        <v>56</v>
      </c>
      <c r="AZ58" t="n">
        <v>55</v>
      </c>
      <c r="BA58" t="n">
        <v>4794.41</v>
      </c>
      <c r="BB58" t="n">
        <v>4802.6519</v>
      </c>
      <c r="BC58" t="n">
        <v>-8.241899999999999</v>
      </c>
      <c r="BD58" t="n">
        <v>67.9289</v>
      </c>
      <c r="BE58" t="n">
        <v>3025</v>
      </c>
    </row>
    <row r="59">
      <c r="A59" t="n">
        <v>1776405602</v>
      </c>
      <c r="B59" t="inlineStr">
        <is>
          <t>XAUUSD</t>
        </is>
      </c>
      <c r="C59" t="inlineStr">
        <is>
          <t>M15</t>
        </is>
      </c>
      <c r="D59" t="n">
        <v>4787.73</v>
      </c>
      <c r="E59" t="n">
        <v>4518.59282</v>
      </c>
      <c r="F59" t="n">
        <v>4596.05595</v>
      </c>
      <c r="G59" t="n">
        <v>4755.40355</v>
      </c>
      <c r="H59" t="n">
        <v>4792.76972</v>
      </c>
      <c r="Q59" t="n">
        <v>4802.3843</v>
      </c>
      <c r="R59" t="n">
        <v>4831.7476</v>
      </c>
      <c r="S59" t="n">
        <v>4858.33637</v>
      </c>
      <c r="V59" t="n">
        <v>4767.44453</v>
      </c>
      <c r="W59" t="n">
        <v>4733.87953</v>
      </c>
      <c r="AB59" t="n">
        <v>4791.4825</v>
      </c>
      <c r="AC59" t="n">
        <v>4794.0233</v>
      </c>
      <c r="AD59" t="n">
        <v>0</v>
      </c>
      <c r="AE59" t="n">
        <v>57</v>
      </c>
      <c r="AF59" t="n">
        <v>545</v>
      </c>
      <c r="AG59" t="n">
        <v>4705.476</v>
      </c>
      <c r="AH59" t="n">
        <v>4671.5259</v>
      </c>
      <c r="AI59" t="n">
        <v>33.9501</v>
      </c>
      <c r="AJ59" t="n">
        <v>1152.6093</v>
      </c>
      <c r="AK59" t="n">
        <v>57</v>
      </c>
      <c r="AL59" t="n">
        <v>56</v>
      </c>
      <c r="AM59" t="n">
        <v>4787.73</v>
      </c>
      <c r="AN59" t="n">
        <v>4802.3843</v>
      </c>
      <c r="AO59" t="n">
        <v>-14.6543</v>
      </c>
      <c r="AP59" t="n">
        <v>214.7485</v>
      </c>
      <c r="AQ59" t="n">
        <v>-0.072395</v>
      </c>
      <c r="AR59" t="n">
        <v>0.030173</v>
      </c>
      <c r="AS59" t="n">
        <v>57</v>
      </c>
      <c r="AT59" t="n">
        <v>545</v>
      </c>
      <c r="AU59" t="n">
        <v>4705.476</v>
      </c>
      <c r="AV59" t="n">
        <v>4671.5259</v>
      </c>
      <c r="AW59" t="n">
        <v>33.9501</v>
      </c>
      <c r="AX59" t="n">
        <v>1152.6093</v>
      </c>
      <c r="AY59" t="n">
        <v>57</v>
      </c>
      <c r="AZ59" t="n">
        <v>56</v>
      </c>
      <c r="BA59" t="n">
        <v>4787.73</v>
      </c>
      <c r="BB59" t="n">
        <v>4802.3843</v>
      </c>
      <c r="BC59" t="n">
        <v>-14.6543</v>
      </c>
      <c r="BD59" t="n">
        <v>214.7485</v>
      </c>
      <c r="BE59" t="n">
        <v>3136</v>
      </c>
    </row>
    <row r="60">
      <c r="A60" t="n">
        <v>1776406502</v>
      </c>
      <c r="B60" t="inlineStr">
        <is>
          <t>XAUUSD</t>
        </is>
      </c>
      <c r="C60" t="inlineStr">
        <is>
          <t>M15</t>
        </is>
      </c>
      <c r="D60" t="n">
        <v>4783.78</v>
      </c>
      <c r="E60" t="n">
        <v>4518.59282</v>
      </c>
      <c r="F60" t="n">
        <v>4596.05595</v>
      </c>
      <c r="G60" t="n">
        <v>4755.40355</v>
      </c>
      <c r="H60" t="n">
        <v>4792.76972</v>
      </c>
      <c r="Q60" t="n">
        <v>4802.11669</v>
      </c>
      <c r="R60" t="n">
        <v>4831.47999</v>
      </c>
      <c r="S60" t="n">
        <v>4858.06876</v>
      </c>
      <c r="V60" t="n">
        <v>4767.17692</v>
      </c>
      <c r="W60" t="n">
        <v>4733.61193</v>
      </c>
      <c r="AB60" t="n">
        <v>4788.69965</v>
      </c>
      <c r="AC60" t="n">
        <v>4791.36147</v>
      </c>
      <c r="AD60" t="n">
        <v>0</v>
      </c>
      <c r="AE60" t="n">
        <v>58</v>
      </c>
      <c r="AF60" t="n">
        <v>554</v>
      </c>
      <c r="AG60" t="n">
        <v>4725.9997</v>
      </c>
      <c r="AH60" t="n">
        <v>4669.1175</v>
      </c>
      <c r="AI60" t="n">
        <v>56.8823</v>
      </c>
      <c r="AJ60" t="n">
        <v>3235.5938</v>
      </c>
      <c r="AK60" t="n">
        <v>58</v>
      </c>
      <c r="AL60" t="n">
        <v>57</v>
      </c>
      <c r="AM60" t="n">
        <v>4783.78</v>
      </c>
      <c r="AN60" t="n">
        <v>4802.1167</v>
      </c>
      <c r="AO60" t="n">
        <v>-18.3367</v>
      </c>
      <c r="AP60" t="n">
        <v>336.2342</v>
      </c>
      <c r="AQ60" t="n">
        <v>-0.141833</v>
      </c>
      <c r="AR60" t="n">
        <v>0.073967</v>
      </c>
      <c r="AS60" t="n">
        <v>58</v>
      </c>
      <c r="AT60" t="n">
        <v>554</v>
      </c>
      <c r="AU60" t="n">
        <v>4725.9997</v>
      </c>
      <c r="AV60" t="n">
        <v>4669.1175</v>
      </c>
      <c r="AW60" t="n">
        <v>56.8823</v>
      </c>
      <c r="AX60" t="n">
        <v>3235.5938</v>
      </c>
      <c r="AY60" t="n">
        <v>58</v>
      </c>
      <c r="AZ60" t="n">
        <v>57</v>
      </c>
      <c r="BA60" t="n">
        <v>4783.78</v>
      </c>
      <c r="BB60" t="n">
        <v>4802.1167</v>
      </c>
      <c r="BC60" t="n">
        <v>-18.3367</v>
      </c>
      <c r="BD60" t="n">
        <v>336.2342</v>
      </c>
      <c r="BE60" t="n">
        <v>3249</v>
      </c>
    </row>
    <row r="61">
      <c r="A61" t="n">
        <v>1776407402</v>
      </c>
      <c r="B61" t="inlineStr">
        <is>
          <t>XAUUSD</t>
        </is>
      </c>
      <c r="C61" t="inlineStr">
        <is>
          <t>M15</t>
        </is>
      </c>
      <c r="D61" t="n">
        <v>4785.67</v>
      </c>
      <c r="E61" t="n">
        <v>4518.59282</v>
      </c>
      <c r="F61" t="n">
        <v>4596.05595</v>
      </c>
      <c r="G61" t="n">
        <v>4755.40355</v>
      </c>
      <c r="H61" t="n">
        <v>4792.76972</v>
      </c>
      <c r="Q61" t="n">
        <v>4801.84909</v>
      </c>
      <c r="R61" t="n">
        <v>4831.21239</v>
      </c>
      <c r="S61" t="n">
        <v>4857.80116</v>
      </c>
      <c r="V61" t="n">
        <v>4766.90932</v>
      </c>
      <c r="W61" t="n">
        <v>4733.34432</v>
      </c>
      <c r="AB61" t="n">
        <v>4786.53074</v>
      </c>
      <c r="AC61" t="n">
        <v>4788.94611</v>
      </c>
      <c r="AD61" t="n">
        <v>0</v>
      </c>
      <c r="AE61" t="n">
        <v>59</v>
      </c>
      <c r="AF61" t="n">
        <v>559</v>
      </c>
      <c r="AG61" t="n">
        <v>4723.6963</v>
      </c>
      <c r="AH61" t="n">
        <v>4667.7794</v>
      </c>
      <c r="AI61" t="n">
        <v>55.9168</v>
      </c>
      <c r="AJ61" t="n">
        <v>3126.6908</v>
      </c>
      <c r="AK61" t="n">
        <v>59</v>
      </c>
      <c r="AL61" t="n">
        <v>58</v>
      </c>
      <c r="AM61" t="n">
        <v>4785.67</v>
      </c>
      <c r="AN61" t="n">
        <v>4801.8491</v>
      </c>
      <c r="AO61" t="n">
        <v>-16.1791</v>
      </c>
      <c r="AP61" t="n">
        <v>261.763</v>
      </c>
      <c r="AQ61" t="n">
        <v>-0.097427</v>
      </c>
      <c r="AR61" t="n">
        <v>0.04483</v>
      </c>
      <c r="AS61" t="n">
        <v>59</v>
      </c>
      <c r="AT61" t="n">
        <v>559</v>
      </c>
      <c r="AU61" t="n">
        <v>4723.6963</v>
      </c>
      <c r="AV61" t="n">
        <v>4667.7794</v>
      </c>
      <c r="AW61" t="n">
        <v>55.9168</v>
      </c>
      <c r="AX61" t="n">
        <v>3126.6908</v>
      </c>
      <c r="AY61" t="n">
        <v>59</v>
      </c>
      <c r="AZ61" t="n">
        <v>58</v>
      </c>
      <c r="BA61" t="n">
        <v>4785.67</v>
      </c>
      <c r="BB61" t="n">
        <v>4801.8491</v>
      </c>
      <c r="BC61" t="n">
        <v>-16.1791</v>
      </c>
      <c r="BD61" t="n">
        <v>261.763</v>
      </c>
      <c r="BE61" t="n">
        <v>3364</v>
      </c>
    </row>
    <row r="62">
      <c r="A62" t="n">
        <v>1776408302</v>
      </c>
      <c r="B62" t="inlineStr">
        <is>
          <t>XAUUSD</t>
        </is>
      </c>
      <c r="C62" t="inlineStr">
        <is>
          <t>M15</t>
        </is>
      </c>
      <c r="D62" t="n">
        <v>4785.07</v>
      </c>
      <c r="E62" t="n">
        <v>4518.59282</v>
      </c>
      <c r="F62" t="n">
        <v>4596.05595</v>
      </c>
      <c r="G62" t="n">
        <v>4755.40355</v>
      </c>
      <c r="H62" t="n">
        <v>4792.76972</v>
      </c>
      <c r="Q62" t="n">
        <v>4801.58149</v>
      </c>
      <c r="R62" t="n">
        <v>4830.94478</v>
      </c>
      <c r="S62" t="n">
        <v>4857.53356</v>
      </c>
      <c r="V62" t="n">
        <v>4766.64172</v>
      </c>
      <c r="W62" t="n">
        <v>4733.07672</v>
      </c>
      <c r="AB62" t="n">
        <v>4785.1178</v>
      </c>
      <c r="AC62" t="n">
        <v>4787.03196</v>
      </c>
      <c r="AD62" t="n">
        <v>0</v>
      </c>
      <c r="AE62" t="n">
        <v>60</v>
      </c>
      <c r="AF62" t="n">
        <v>562</v>
      </c>
      <c r="AG62" t="n">
        <v>4723.8595</v>
      </c>
      <c r="AH62" t="n">
        <v>4666.9766</v>
      </c>
      <c r="AI62" t="n">
        <v>56.8829</v>
      </c>
      <c r="AJ62" t="n">
        <v>3235.6655</v>
      </c>
      <c r="AK62" t="n">
        <v>60</v>
      </c>
      <c r="AL62" t="n">
        <v>59</v>
      </c>
      <c r="AM62" t="n">
        <v>4785.07</v>
      </c>
      <c r="AN62" t="n">
        <v>4801.5815</v>
      </c>
      <c r="AO62" t="n">
        <v>-16.5115</v>
      </c>
      <c r="AP62" t="n">
        <v>272.6293</v>
      </c>
      <c r="AQ62" t="n">
        <v>-0.103556</v>
      </c>
      <c r="AR62" t="n">
        <v>0.048629</v>
      </c>
      <c r="AS62" t="n">
        <v>60</v>
      </c>
      <c r="AT62" t="n">
        <v>562</v>
      </c>
      <c r="AU62" t="n">
        <v>4723.8595</v>
      </c>
      <c r="AV62" t="n">
        <v>4666.9766</v>
      </c>
      <c r="AW62" t="n">
        <v>56.8829</v>
      </c>
      <c r="AX62" t="n">
        <v>3235.6655</v>
      </c>
      <c r="AY62" t="n">
        <v>60</v>
      </c>
      <c r="AZ62" t="n">
        <v>59</v>
      </c>
      <c r="BA62" t="n">
        <v>4785.07</v>
      </c>
      <c r="BB62" t="n">
        <v>4801.5815</v>
      </c>
      <c r="BC62" t="n">
        <v>-16.5115</v>
      </c>
      <c r="BD62" t="n">
        <v>272.6293</v>
      </c>
      <c r="BE62" t="n">
        <v>3481</v>
      </c>
    </row>
    <row r="63">
      <c r="A63" t="n">
        <v>1776409202</v>
      </c>
      <c r="B63" t="inlineStr">
        <is>
          <t>XAUUSD</t>
        </is>
      </c>
      <c r="C63" t="inlineStr">
        <is>
          <t>M15</t>
        </is>
      </c>
      <c r="D63" t="n">
        <v>4787.12</v>
      </c>
      <c r="E63" t="n">
        <v>4518.59282</v>
      </c>
      <c r="F63" t="n">
        <v>4596.05595</v>
      </c>
      <c r="G63" t="n">
        <v>4755.40355</v>
      </c>
      <c r="H63" t="n">
        <v>4792.76972</v>
      </c>
      <c r="Q63" t="n">
        <v>4801.31388</v>
      </c>
      <c r="R63" t="n">
        <v>4830.67718</v>
      </c>
      <c r="S63" t="n">
        <v>4857.26595</v>
      </c>
      <c r="V63" t="n">
        <v>4766.37411</v>
      </c>
      <c r="W63" t="n">
        <v>4732.80911</v>
      </c>
      <c r="AB63" t="n">
        <v>4784.51632</v>
      </c>
      <c r="AC63" t="n">
        <v>4785.77414</v>
      </c>
      <c r="AD63" t="n">
        <v>0</v>
      </c>
      <c r="AE63" t="n">
        <v>61</v>
      </c>
      <c r="AF63" t="n">
        <v>584</v>
      </c>
      <c r="AG63" t="n">
        <v>4680.7626</v>
      </c>
      <c r="AH63" t="n">
        <v>4661.0893</v>
      </c>
      <c r="AI63" t="n">
        <v>19.6733</v>
      </c>
      <c r="AJ63" t="n">
        <v>387.0379</v>
      </c>
      <c r="AK63" t="n">
        <v>61</v>
      </c>
      <c r="AL63" t="n">
        <v>60</v>
      </c>
      <c r="AM63" t="n">
        <v>4787.12</v>
      </c>
      <c r="AN63" t="n">
        <v>4801.3139</v>
      </c>
      <c r="AO63" t="n">
        <v>-14.1939</v>
      </c>
      <c r="AP63" t="n">
        <v>201.4662</v>
      </c>
      <c r="AQ63" t="n">
        <v>-0.065784</v>
      </c>
      <c r="AR63" t="n">
        <v>0.026556</v>
      </c>
      <c r="AS63" t="n">
        <v>61</v>
      </c>
      <c r="AT63" t="n">
        <v>584</v>
      </c>
      <c r="AU63" t="n">
        <v>4680.7626</v>
      </c>
      <c r="AV63" t="n">
        <v>4661.0893</v>
      </c>
      <c r="AW63" t="n">
        <v>19.6733</v>
      </c>
      <c r="AX63" t="n">
        <v>387.0379</v>
      </c>
      <c r="AY63" t="n">
        <v>61</v>
      </c>
      <c r="AZ63" t="n">
        <v>60</v>
      </c>
      <c r="BA63" t="n">
        <v>4787.12</v>
      </c>
      <c r="BB63" t="n">
        <v>4801.3139</v>
      </c>
      <c r="BC63" t="n">
        <v>-14.1939</v>
      </c>
      <c r="BD63" t="n">
        <v>201.4662</v>
      </c>
      <c r="BE63" t="n">
        <v>3600</v>
      </c>
    </row>
    <row r="64">
      <c r="A64" t="n">
        <v>1776410102</v>
      </c>
      <c r="B64" t="inlineStr">
        <is>
          <t>XAUUSD</t>
        </is>
      </c>
      <c r="C64" t="inlineStr">
        <is>
          <t>M15</t>
        </is>
      </c>
      <c r="D64" t="n">
        <v>4791.72</v>
      </c>
      <c r="E64" t="n">
        <v>4518.59282</v>
      </c>
      <c r="F64" t="n">
        <v>4596.05595</v>
      </c>
      <c r="G64" t="n">
        <v>4755.40355</v>
      </c>
      <c r="H64" t="n">
        <v>4792.76972</v>
      </c>
      <c r="Q64" t="n">
        <v>4801.04628</v>
      </c>
      <c r="R64" t="n">
        <v>4830.40958</v>
      </c>
      <c r="S64" t="n">
        <v>4856.99835</v>
      </c>
      <c r="V64" t="n">
        <v>4766.10651</v>
      </c>
      <c r="W64" t="n">
        <v>4732.54151</v>
      </c>
      <c r="AB64" t="n">
        <v>4784.61543</v>
      </c>
      <c r="AC64" t="n">
        <v>4785.19478</v>
      </c>
      <c r="AD64" t="n">
        <v>0</v>
      </c>
      <c r="AE64" t="n">
        <v>62</v>
      </c>
      <c r="AF64" t="n">
        <v>602</v>
      </c>
      <c r="AG64" t="n">
        <v>4725.1237</v>
      </c>
      <c r="AH64" t="n">
        <v>4656.2725</v>
      </c>
      <c r="AI64" t="n">
        <v>68.85129999999999</v>
      </c>
      <c r="AJ64" t="n">
        <v>4740.4974</v>
      </c>
      <c r="AK64" t="n">
        <v>62</v>
      </c>
      <c r="AL64" t="n">
        <v>61</v>
      </c>
      <c r="AM64" t="n">
        <v>4791.72</v>
      </c>
      <c r="AN64" t="n">
        <v>4801.0463</v>
      </c>
      <c r="AO64" t="n">
        <v>-9.3263</v>
      </c>
      <c r="AP64" t="n">
        <v>86.9795</v>
      </c>
      <c r="AQ64" t="n">
        <v>-0.018661</v>
      </c>
      <c r="AR64" t="n">
        <v>0.00495</v>
      </c>
      <c r="AS64" t="n">
        <v>62</v>
      </c>
      <c r="AT64" t="n">
        <v>602</v>
      </c>
      <c r="AU64" t="n">
        <v>4725.1237</v>
      </c>
      <c r="AV64" t="n">
        <v>4656.2725</v>
      </c>
      <c r="AW64" t="n">
        <v>68.85129999999999</v>
      </c>
      <c r="AX64" t="n">
        <v>4740.4974</v>
      </c>
      <c r="AY64" t="n">
        <v>62</v>
      </c>
      <c r="AZ64" t="n">
        <v>61</v>
      </c>
      <c r="BA64" t="n">
        <v>4791.72</v>
      </c>
      <c r="BB64" t="n">
        <v>4801.0463</v>
      </c>
      <c r="BC64" t="n">
        <v>-9.3263</v>
      </c>
      <c r="BD64" t="n">
        <v>86.9795</v>
      </c>
      <c r="BE64" t="n">
        <v>3721</v>
      </c>
    </row>
    <row r="65">
      <c r="A65" t="n">
        <v>1776411002</v>
      </c>
      <c r="B65" t="inlineStr">
        <is>
          <t>XAUUSD</t>
        </is>
      </c>
      <c r="C65" t="inlineStr">
        <is>
          <t>M15</t>
        </is>
      </c>
      <c r="D65" t="n">
        <v>4785.87</v>
      </c>
      <c r="E65" t="n">
        <v>4518.59282</v>
      </c>
      <c r="F65" t="n">
        <v>4596.05595</v>
      </c>
      <c r="G65" t="n">
        <v>4755.40355</v>
      </c>
      <c r="H65" t="n">
        <v>4792.76972</v>
      </c>
      <c r="Q65" t="n">
        <v>4800.77867</v>
      </c>
      <c r="R65" t="n">
        <v>4830.14197</v>
      </c>
      <c r="S65" t="n">
        <v>4856.73074</v>
      </c>
      <c r="V65" t="n">
        <v>4765.8389</v>
      </c>
      <c r="W65" t="n">
        <v>4732.27391</v>
      </c>
      <c r="AB65" t="n">
        <v>4785.21554</v>
      </c>
      <c r="AC65" t="n">
        <v>4785.20516</v>
      </c>
      <c r="AD65" t="n">
        <v>1</v>
      </c>
      <c r="AE65" t="n">
        <v>63</v>
      </c>
      <c r="AF65" t="n">
        <v>611</v>
      </c>
      <c r="AG65" t="n">
        <v>4713.8471</v>
      </c>
      <c r="AH65" t="n">
        <v>4653.864</v>
      </c>
      <c r="AI65" t="n">
        <v>59.983</v>
      </c>
      <c r="AJ65" t="n">
        <v>3597.9651</v>
      </c>
      <c r="AK65" t="n">
        <v>63</v>
      </c>
      <c r="AL65" t="n">
        <v>62</v>
      </c>
      <c r="AM65" t="n">
        <v>4785.87</v>
      </c>
      <c r="AN65" t="n">
        <v>4800.7787</v>
      </c>
      <c r="AO65" t="n">
        <v>-14.9087</v>
      </c>
      <c r="AP65" t="n">
        <v>222.2684</v>
      </c>
      <c r="AQ65" t="n">
        <v>-0.07623099999999999</v>
      </c>
      <c r="AR65" t="n">
        <v>0.032323</v>
      </c>
      <c r="AS65" t="n">
        <v>63</v>
      </c>
      <c r="AT65" t="n">
        <v>611</v>
      </c>
      <c r="AU65" t="n">
        <v>4713.8471</v>
      </c>
      <c r="AV65" t="n">
        <v>4653.864</v>
      </c>
      <c r="AW65" t="n">
        <v>59.983</v>
      </c>
      <c r="AX65" t="n">
        <v>3597.9651</v>
      </c>
      <c r="AY65" t="n">
        <v>63</v>
      </c>
      <c r="AZ65" t="n">
        <v>62</v>
      </c>
      <c r="BA65" t="n">
        <v>4785.87</v>
      </c>
      <c r="BB65" t="n">
        <v>4800.7787</v>
      </c>
      <c r="BC65" t="n">
        <v>-14.9087</v>
      </c>
      <c r="BD65" t="n">
        <v>222.2684</v>
      </c>
      <c r="BE65" t="n">
        <v>3844</v>
      </c>
    </row>
    <row r="66">
      <c r="A66" t="n">
        <v>1776411902</v>
      </c>
      <c r="B66" t="inlineStr">
        <is>
          <t>XAUUSD</t>
        </is>
      </c>
      <c r="C66" t="inlineStr">
        <is>
          <t>M15</t>
        </is>
      </c>
      <c r="D66" t="n">
        <v>4784.38</v>
      </c>
      <c r="E66" t="n">
        <v>4518.59282</v>
      </c>
      <c r="F66" t="n">
        <v>4596.05595</v>
      </c>
      <c r="G66" t="n">
        <v>4755.40355</v>
      </c>
      <c r="H66" t="n">
        <v>4792.76972</v>
      </c>
      <c r="Q66" t="n">
        <v>4800.51107</v>
      </c>
      <c r="R66" t="n">
        <v>4829.87437</v>
      </c>
      <c r="S66" t="n">
        <v>4856.46314</v>
      </c>
      <c r="V66" t="n">
        <v>4765.5713</v>
      </c>
      <c r="W66" t="n">
        <v>4732.0063</v>
      </c>
      <c r="AA66" t="n">
        <v>4778.83</v>
      </c>
      <c r="AB66" t="n">
        <v>4786.38043</v>
      </c>
      <c r="AC66" t="n">
        <v>4785.7928</v>
      </c>
      <c r="AD66" t="n">
        <v>0</v>
      </c>
      <c r="AE66" t="n">
        <v>64</v>
      </c>
      <c r="AF66" t="n">
        <v>615</v>
      </c>
      <c r="AG66" t="n">
        <v>4714.2374</v>
      </c>
      <c r="AH66" t="n">
        <v>4652.7936</v>
      </c>
      <c r="AI66" t="n">
        <v>61.4438</v>
      </c>
      <c r="AJ66" t="n">
        <v>3775.343</v>
      </c>
      <c r="AK66" t="n">
        <v>64</v>
      </c>
      <c r="AL66" t="n">
        <v>63</v>
      </c>
      <c r="AM66" t="n">
        <v>4784.38</v>
      </c>
      <c r="AN66" t="n">
        <v>4800.5111</v>
      </c>
      <c r="AO66" t="n">
        <v>-16.1311</v>
      </c>
      <c r="AP66" t="n">
        <v>260.2114</v>
      </c>
      <c r="AQ66" t="n">
        <v>-0.096562</v>
      </c>
      <c r="AR66" t="n">
        <v>0.0443</v>
      </c>
      <c r="AS66" t="n">
        <v>64</v>
      </c>
      <c r="AT66" t="n">
        <v>615</v>
      </c>
      <c r="AU66" t="n">
        <v>4714.2374</v>
      </c>
      <c r="AV66" t="n">
        <v>4652.7936</v>
      </c>
      <c r="AW66" t="n">
        <v>61.4438</v>
      </c>
      <c r="AX66" t="n">
        <v>3775.343</v>
      </c>
      <c r="AY66" t="n">
        <v>64</v>
      </c>
      <c r="AZ66" t="n">
        <v>63</v>
      </c>
      <c r="BA66" t="n">
        <v>4784.38</v>
      </c>
      <c r="BB66" t="n">
        <v>4800.5111</v>
      </c>
      <c r="BC66" t="n">
        <v>-16.1311</v>
      </c>
      <c r="BD66" t="n">
        <v>260.2114</v>
      </c>
      <c r="BE66" t="n">
        <v>3969</v>
      </c>
    </row>
    <row r="67">
      <c r="A67" t="n">
        <v>1776412802</v>
      </c>
      <c r="B67" t="inlineStr">
        <is>
          <t>XAUUSD</t>
        </is>
      </c>
      <c r="C67" t="inlineStr">
        <is>
          <t>M15</t>
        </is>
      </c>
      <c r="D67" t="n">
        <v>4783.7</v>
      </c>
      <c r="E67" t="n">
        <v>4518.59282</v>
      </c>
      <c r="F67" t="n">
        <v>4596.05595</v>
      </c>
      <c r="G67" t="n">
        <v>4755.40355</v>
      </c>
      <c r="H67" t="n">
        <v>4792.76972</v>
      </c>
      <c r="Q67" t="n">
        <v>4800.24347</v>
      </c>
      <c r="R67" t="n">
        <v>4829.60676</v>
      </c>
      <c r="S67" t="n">
        <v>4856.19553</v>
      </c>
      <c r="V67" t="n">
        <v>4765.30369</v>
      </c>
      <c r="W67" t="n">
        <v>4731.7387</v>
      </c>
      <c r="AB67" t="n">
        <v>4788.01037</v>
      </c>
      <c r="AC67" t="n">
        <v>4786.90158</v>
      </c>
      <c r="AD67" t="n">
        <v>0</v>
      </c>
      <c r="AE67" t="n">
        <v>65</v>
      </c>
      <c r="AF67" t="n">
        <v>624</v>
      </c>
      <c r="AG67" t="n">
        <v>4704.1656</v>
      </c>
      <c r="AH67" t="n">
        <v>4650.3852</v>
      </c>
      <c r="AI67" t="n">
        <v>53.7804</v>
      </c>
      <c r="AJ67" t="n">
        <v>2892.3347</v>
      </c>
      <c r="AK67" t="n">
        <v>65</v>
      </c>
      <c r="AL67" t="n">
        <v>64</v>
      </c>
      <c r="AM67" t="n">
        <v>4783.7</v>
      </c>
      <c r="AN67" t="n">
        <v>4800.2435</v>
      </c>
      <c r="AO67" t="n">
        <v>-16.5435</v>
      </c>
      <c r="AP67" t="n">
        <v>273.6864</v>
      </c>
      <c r="AQ67" t="n">
        <v>-0.104159</v>
      </c>
      <c r="AR67" t="n">
        <v>0.049007</v>
      </c>
      <c r="AS67" t="n">
        <v>65</v>
      </c>
      <c r="AT67" t="n">
        <v>624</v>
      </c>
      <c r="AU67" t="n">
        <v>4704.1656</v>
      </c>
      <c r="AV67" t="n">
        <v>4650.3852</v>
      </c>
      <c r="AW67" t="n">
        <v>53.7804</v>
      </c>
      <c r="AX67" t="n">
        <v>2892.3347</v>
      </c>
      <c r="AY67" t="n">
        <v>65</v>
      </c>
      <c r="AZ67" t="n">
        <v>64</v>
      </c>
      <c r="BA67" t="n">
        <v>4783.7</v>
      </c>
      <c r="BB67" t="n">
        <v>4800.2435</v>
      </c>
      <c r="BC67" t="n">
        <v>-16.5435</v>
      </c>
      <c r="BD67" t="n">
        <v>273.6864</v>
      </c>
      <c r="BE67" t="n">
        <v>4096</v>
      </c>
    </row>
    <row r="68">
      <c r="A68" t="n">
        <v>1776413702</v>
      </c>
      <c r="B68" t="inlineStr">
        <is>
          <t>XAUUSD</t>
        </is>
      </c>
      <c r="C68" t="inlineStr">
        <is>
          <t>M15</t>
        </is>
      </c>
      <c r="D68" t="n">
        <v>4784.58</v>
      </c>
      <c r="E68" t="n">
        <v>4518.59282</v>
      </c>
      <c r="F68" t="n">
        <v>4596.05595</v>
      </c>
      <c r="G68" t="n">
        <v>4755.40355</v>
      </c>
      <c r="H68" t="n">
        <v>4792.76972</v>
      </c>
      <c r="Q68" t="n">
        <v>4799.97586</v>
      </c>
      <c r="R68" t="n">
        <v>4829.33916</v>
      </c>
      <c r="S68" t="n">
        <v>4855.92793</v>
      </c>
      <c r="V68" t="n">
        <v>4765.03609</v>
      </c>
      <c r="W68" t="n">
        <v>4731.47109</v>
      </c>
      <c r="AB68" t="n">
        <v>4789.94651</v>
      </c>
      <c r="AC68" t="n">
        <v>4788.42405</v>
      </c>
      <c r="AD68" t="n">
        <v>0</v>
      </c>
      <c r="AE68" t="n">
        <v>66</v>
      </c>
      <c r="AF68" t="n">
        <v>630</v>
      </c>
      <c r="AG68" t="n">
        <v>4705.993</v>
      </c>
      <c r="AH68" t="n">
        <v>4648.7796</v>
      </c>
      <c r="AI68" t="n">
        <v>57.2135</v>
      </c>
      <c r="AJ68" t="n">
        <v>3273.3834</v>
      </c>
      <c r="AK68" t="n">
        <v>66</v>
      </c>
      <c r="AL68" t="n">
        <v>65</v>
      </c>
      <c r="AM68" t="n">
        <v>4784.58</v>
      </c>
      <c r="AN68" t="n">
        <v>4799.9759</v>
      </c>
      <c r="AO68" t="n">
        <v>-15.3959</v>
      </c>
      <c r="AP68" t="n">
        <v>237.0325</v>
      </c>
      <c r="AQ68" t="n">
        <v>-0.083951</v>
      </c>
      <c r="AR68" t="n">
        <v>0.03676</v>
      </c>
      <c r="AS68" t="n">
        <v>66</v>
      </c>
      <c r="AT68" t="n">
        <v>630</v>
      </c>
      <c r="AU68" t="n">
        <v>4705.993</v>
      </c>
      <c r="AV68" t="n">
        <v>4648.7796</v>
      </c>
      <c r="AW68" t="n">
        <v>57.2135</v>
      </c>
      <c r="AX68" t="n">
        <v>3273.3834</v>
      </c>
      <c r="AY68" t="n">
        <v>66</v>
      </c>
      <c r="AZ68" t="n">
        <v>65</v>
      </c>
      <c r="BA68" t="n">
        <v>4784.58</v>
      </c>
      <c r="BB68" t="n">
        <v>4799.9759</v>
      </c>
      <c r="BC68" t="n">
        <v>-15.3959</v>
      </c>
      <c r="BD68" t="n">
        <v>237.0325</v>
      </c>
      <c r="BE68" t="n">
        <v>4225</v>
      </c>
    </row>
    <row r="69">
      <c r="A69" t="n">
        <v>1776414602</v>
      </c>
      <c r="B69" t="inlineStr">
        <is>
          <t>XAUUSD</t>
        </is>
      </c>
      <c r="C69" t="inlineStr">
        <is>
          <t>M15</t>
        </is>
      </c>
      <c r="D69" t="n">
        <v>4797.03</v>
      </c>
      <c r="E69" t="n">
        <v>4518.59282</v>
      </c>
      <c r="F69" t="n">
        <v>4596.05595</v>
      </c>
      <c r="G69" t="n">
        <v>4755.40355</v>
      </c>
      <c r="H69" t="n">
        <v>4792.76972</v>
      </c>
      <c r="Q69" t="n">
        <v>4799.70826</v>
      </c>
      <c r="R69" t="n">
        <v>4829.07156</v>
      </c>
      <c r="S69" t="n">
        <v>4855.66033</v>
      </c>
      <c r="V69" t="n">
        <v>4764.76849</v>
      </c>
      <c r="W69" t="n">
        <v>4731.20349</v>
      </c>
      <c r="AB69" t="n">
        <v>4791.94102</v>
      </c>
      <c r="AC69" t="n">
        <v>4790.18253</v>
      </c>
      <c r="AD69" t="n">
        <v>0</v>
      </c>
      <c r="AE69" t="n">
        <v>67</v>
      </c>
      <c r="AF69" t="n">
        <v>650</v>
      </c>
      <c r="AG69" t="n">
        <v>4674.7766</v>
      </c>
      <c r="AH69" t="n">
        <v>4643.4275</v>
      </c>
      <c r="AI69" t="n">
        <v>31.3491</v>
      </c>
      <c r="AJ69" t="n">
        <v>982.7667</v>
      </c>
      <c r="AK69" t="n">
        <v>67</v>
      </c>
      <c r="AL69" t="n">
        <v>66</v>
      </c>
      <c r="AM69" t="n">
        <v>4797.03</v>
      </c>
      <c r="AN69" t="n">
        <v>4799.7083</v>
      </c>
      <c r="AO69" t="n">
        <v>-2.6783</v>
      </c>
      <c r="AP69" t="n">
        <v>7.1731</v>
      </c>
      <c r="AQ69" t="n">
        <v>-0.000442</v>
      </c>
      <c r="AR69" t="n">
        <v>3.4e-05</v>
      </c>
      <c r="AS69" t="n">
        <v>67</v>
      </c>
      <c r="AT69" t="n">
        <v>650</v>
      </c>
      <c r="AU69" t="n">
        <v>4674.7766</v>
      </c>
      <c r="AV69" t="n">
        <v>4643.4275</v>
      </c>
      <c r="AW69" t="n">
        <v>31.3491</v>
      </c>
      <c r="AX69" t="n">
        <v>982.7667</v>
      </c>
      <c r="AY69" t="n">
        <v>67</v>
      </c>
      <c r="AZ69" t="n">
        <v>66</v>
      </c>
      <c r="BA69" t="n">
        <v>4797.03</v>
      </c>
      <c r="BB69" t="n">
        <v>4799.7083</v>
      </c>
      <c r="BC69" t="n">
        <v>-2.6783</v>
      </c>
      <c r="BD69" t="n">
        <v>7.1731</v>
      </c>
      <c r="BE69" t="n">
        <v>4356</v>
      </c>
    </row>
    <row r="70">
      <c r="A70" t="n">
        <v>1776415502</v>
      </c>
      <c r="B70" t="inlineStr">
        <is>
          <t>XAUUSD</t>
        </is>
      </c>
      <c r="C70" t="inlineStr">
        <is>
          <t>M15</t>
        </is>
      </c>
      <c r="D70" t="n">
        <v>4796.09</v>
      </c>
      <c r="E70" t="n">
        <v>4518.59282</v>
      </c>
      <c r="F70" t="n">
        <v>4596.05595</v>
      </c>
      <c r="G70" t="n">
        <v>4755.40355</v>
      </c>
      <c r="H70" t="n">
        <v>4792.76972</v>
      </c>
      <c r="Q70" t="n">
        <v>4799.44065</v>
      </c>
      <c r="R70" t="n">
        <v>4828.80395</v>
      </c>
      <c r="S70" t="n">
        <v>4855.39272</v>
      </c>
      <c r="V70" t="n">
        <v>4764.50088</v>
      </c>
      <c r="W70" t="n">
        <v>4730.93589</v>
      </c>
      <c r="AB70" t="n">
        <v>4793.46194</v>
      </c>
      <c r="AC70" t="n">
        <v>4791.82224</v>
      </c>
      <c r="AD70" t="n">
        <v>0</v>
      </c>
      <c r="AE70" t="n">
        <v>68</v>
      </c>
      <c r="AF70" t="n">
        <v>659</v>
      </c>
      <c r="AG70" t="n">
        <v>4681.7926</v>
      </c>
      <c r="AH70" t="n">
        <v>4641.019</v>
      </c>
      <c r="AI70" t="n">
        <v>40.7735</v>
      </c>
      <c r="AJ70" t="n">
        <v>1662.4816</v>
      </c>
      <c r="AK70" t="n">
        <v>68</v>
      </c>
      <c r="AL70" t="n">
        <v>67</v>
      </c>
      <c r="AM70" t="n">
        <v>4796.09</v>
      </c>
      <c r="AN70" t="n">
        <v>4799.4406</v>
      </c>
      <c r="AO70" t="n">
        <v>-3.3506</v>
      </c>
      <c r="AP70" t="n">
        <v>11.2269</v>
      </c>
      <c r="AQ70" t="n">
        <v>-0.000865</v>
      </c>
      <c r="AR70" t="n">
        <v>8.2e-05</v>
      </c>
      <c r="AS70" t="n">
        <v>68</v>
      </c>
      <c r="AT70" t="n">
        <v>659</v>
      </c>
      <c r="AU70" t="n">
        <v>4681.7926</v>
      </c>
      <c r="AV70" t="n">
        <v>4641.019</v>
      </c>
      <c r="AW70" t="n">
        <v>40.7735</v>
      </c>
      <c r="AX70" t="n">
        <v>1662.4816</v>
      </c>
      <c r="AY70" t="n">
        <v>68</v>
      </c>
      <c r="AZ70" t="n">
        <v>67</v>
      </c>
      <c r="BA70" t="n">
        <v>4796.09</v>
      </c>
      <c r="BB70" t="n">
        <v>4799.4406</v>
      </c>
      <c r="BC70" t="n">
        <v>-3.3506</v>
      </c>
      <c r="BD70" t="n">
        <v>11.2269</v>
      </c>
      <c r="BE70" t="n">
        <v>4489</v>
      </c>
    </row>
    <row r="71">
      <c r="A71" t="n">
        <v>1776416402</v>
      </c>
      <c r="B71" t="inlineStr">
        <is>
          <t>XAUUSD</t>
        </is>
      </c>
      <c r="C71" t="inlineStr">
        <is>
          <t>M15</t>
        </is>
      </c>
      <c r="D71" t="n">
        <v>4793.1</v>
      </c>
      <c r="E71" t="n">
        <v>4518.59282</v>
      </c>
      <c r="F71" t="n">
        <v>4596.05595</v>
      </c>
      <c r="G71" t="n">
        <v>4755.40355</v>
      </c>
      <c r="H71" t="n">
        <v>4792.76972</v>
      </c>
      <c r="Q71" t="n">
        <v>4799.17305</v>
      </c>
      <c r="R71" t="n">
        <v>4828.53635</v>
      </c>
      <c r="S71" t="n">
        <v>4855.12512</v>
      </c>
      <c r="V71" t="n">
        <v>4764.23328</v>
      </c>
      <c r="W71" t="n">
        <v>4730.66828</v>
      </c>
      <c r="AB71" t="n">
        <v>4794.39592</v>
      </c>
      <c r="AC71" t="n">
        <v>4793.10908</v>
      </c>
      <c r="AD71" t="n">
        <v>0</v>
      </c>
      <c r="AE71" t="n">
        <v>69</v>
      </c>
      <c r="AF71" t="n">
        <v>664</v>
      </c>
      <c r="AG71" t="n">
        <v>4680.2319</v>
      </c>
      <c r="AH71" t="n">
        <v>4639.681</v>
      </c>
      <c r="AI71" t="n">
        <v>40.5509</v>
      </c>
      <c r="AJ71" t="n">
        <v>1644.3731</v>
      </c>
      <c r="AK71" t="n">
        <v>69</v>
      </c>
      <c r="AL71" t="n">
        <v>68</v>
      </c>
      <c r="AM71" t="n">
        <v>4793.1</v>
      </c>
      <c r="AN71" t="n">
        <v>4799.1731</v>
      </c>
      <c r="AO71" t="n">
        <v>-6.073</v>
      </c>
      <c r="AP71" t="n">
        <v>36.8819</v>
      </c>
      <c r="AQ71" t="n">
        <v>-0.005153</v>
      </c>
      <c r="AR71" t="n">
        <v>0.0008899999999999999</v>
      </c>
      <c r="AS71" t="n">
        <v>69</v>
      </c>
      <c r="AT71" t="n">
        <v>664</v>
      </c>
      <c r="AU71" t="n">
        <v>4680.2319</v>
      </c>
      <c r="AV71" t="n">
        <v>4639.681</v>
      </c>
      <c r="AW71" t="n">
        <v>40.5509</v>
      </c>
      <c r="AX71" t="n">
        <v>1644.3731</v>
      </c>
      <c r="AY71" t="n">
        <v>69</v>
      </c>
      <c r="AZ71" t="n">
        <v>68</v>
      </c>
      <c r="BA71" t="n">
        <v>4793.1</v>
      </c>
      <c r="BB71" t="n">
        <v>4799.1731</v>
      </c>
      <c r="BC71" t="n">
        <v>-6.073</v>
      </c>
      <c r="BD71" t="n">
        <v>36.8819</v>
      </c>
      <c r="BE71" t="n">
        <v>4624</v>
      </c>
    </row>
    <row r="72">
      <c r="A72" t="n">
        <v>1776417302</v>
      </c>
      <c r="B72" t="inlineStr">
        <is>
          <t>XAUUSD</t>
        </is>
      </c>
      <c r="C72" t="inlineStr">
        <is>
          <t>M15</t>
        </is>
      </c>
      <c r="D72" t="n">
        <v>4795.93</v>
      </c>
      <c r="E72" t="n">
        <v>4518.59282</v>
      </c>
      <c r="F72" t="n">
        <v>4596.05595</v>
      </c>
      <c r="G72" t="n">
        <v>4755.40355</v>
      </c>
      <c r="H72" t="n">
        <v>4792.76972</v>
      </c>
      <c r="Q72" t="n">
        <v>4798.90544</v>
      </c>
      <c r="R72" t="n">
        <v>4828.26874</v>
      </c>
      <c r="S72" t="n">
        <v>4854.85751</v>
      </c>
      <c r="V72" t="n">
        <v>4763.96567</v>
      </c>
      <c r="W72" t="n">
        <v>4730.40068</v>
      </c>
      <c r="AB72" t="n">
        <v>4794.68958</v>
      </c>
      <c r="AC72" t="n">
        <v>4793.89933</v>
      </c>
      <c r="AD72" t="n">
        <v>0</v>
      </c>
      <c r="AE72" t="n">
        <v>70</v>
      </c>
      <c r="AF72" t="n">
        <v>678</v>
      </c>
      <c r="AG72" t="n">
        <v>4693.6994</v>
      </c>
      <c r="AH72" t="n">
        <v>4635.9345</v>
      </c>
      <c r="AI72" t="n">
        <v>57.7648</v>
      </c>
      <c r="AJ72" t="n">
        <v>3336.7756</v>
      </c>
      <c r="AK72" t="n">
        <v>70</v>
      </c>
      <c r="AL72" t="n">
        <v>69</v>
      </c>
      <c r="AM72" t="n">
        <v>4795.93</v>
      </c>
      <c r="AN72" t="n">
        <v>4798.9054</v>
      </c>
      <c r="AO72" t="n">
        <v>-2.9754</v>
      </c>
      <c r="AP72" t="n">
        <v>8.853199999999999</v>
      </c>
      <c r="AQ72" t="n">
        <v>-0.000606</v>
      </c>
      <c r="AR72" t="n">
        <v>5.1e-05</v>
      </c>
      <c r="AS72" t="n">
        <v>70</v>
      </c>
      <c r="AT72" t="n">
        <v>678</v>
      </c>
      <c r="AU72" t="n">
        <v>4693.6994</v>
      </c>
      <c r="AV72" t="n">
        <v>4635.9345</v>
      </c>
      <c r="AW72" t="n">
        <v>57.7648</v>
      </c>
      <c r="AX72" t="n">
        <v>3336.7756</v>
      </c>
      <c r="AY72" t="n">
        <v>70</v>
      </c>
      <c r="AZ72" t="n">
        <v>69</v>
      </c>
      <c r="BA72" t="n">
        <v>4795.93</v>
      </c>
      <c r="BB72" t="n">
        <v>4798.9054</v>
      </c>
      <c r="BC72" t="n">
        <v>-2.9754</v>
      </c>
      <c r="BD72" t="n">
        <v>8.853199999999999</v>
      </c>
      <c r="BE72" t="n">
        <v>4761</v>
      </c>
    </row>
    <row r="73">
      <c r="A73" t="n">
        <v>1776418202</v>
      </c>
      <c r="B73" t="inlineStr">
        <is>
          <t>XAUUSD</t>
        </is>
      </c>
      <c r="C73" t="inlineStr">
        <is>
          <t>M15</t>
        </is>
      </c>
      <c r="D73" t="n">
        <v>4794.67</v>
      </c>
      <c r="E73" t="n">
        <v>4518.59282</v>
      </c>
      <c r="F73" t="n">
        <v>4596.05595</v>
      </c>
      <c r="G73" t="n">
        <v>4755.40355</v>
      </c>
      <c r="H73" t="n">
        <v>4792.76972</v>
      </c>
      <c r="Q73" t="n">
        <v>4798.63784</v>
      </c>
      <c r="R73" t="n">
        <v>4828.00114</v>
      </c>
      <c r="S73" t="n">
        <v>4854.58991</v>
      </c>
      <c r="V73" t="n">
        <v>4763.69807</v>
      </c>
      <c r="W73" t="n">
        <v>4730.13307</v>
      </c>
      <c r="AB73" t="n">
        <v>4794.17982</v>
      </c>
      <c r="AC73" t="n">
        <v>4794.03958</v>
      </c>
      <c r="AD73" t="n">
        <v>0</v>
      </c>
      <c r="AE73" t="n">
        <v>71</v>
      </c>
      <c r="AF73" t="n">
        <v>689</v>
      </c>
      <c r="AG73" t="n">
        <v>4672.4743</v>
      </c>
      <c r="AH73" t="n">
        <v>4632.9909</v>
      </c>
      <c r="AI73" t="n">
        <v>39.4834</v>
      </c>
      <c r="AJ73" t="n">
        <v>1558.9397</v>
      </c>
      <c r="AK73" t="n">
        <v>71</v>
      </c>
      <c r="AL73" t="n">
        <v>70</v>
      </c>
      <c r="AM73" t="n">
        <v>4794.67</v>
      </c>
      <c r="AN73" t="n">
        <v>4798.6378</v>
      </c>
      <c r="AO73" t="n">
        <v>-3.9678</v>
      </c>
      <c r="AP73" t="n">
        <v>15.7438</v>
      </c>
      <c r="AQ73" t="n">
        <v>-0.001437</v>
      </c>
      <c r="AR73" t="n">
        <v>0.000162</v>
      </c>
      <c r="AS73" t="n">
        <v>71</v>
      </c>
      <c r="AT73" t="n">
        <v>689</v>
      </c>
      <c r="AU73" t="n">
        <v>4672.4743</v>
      </c>
      <c r="AV73" t="n">
        <v>4632.9909</v>
      </c>
      <c r="AW73" t="n">
        <v>39.4834</v>
      </c>
      <c r="AX73" t="n">
        <v>1558.9397</v>
      </c>
      <c r="AY73" t="n">
        <v>71</v>
      </c>
      <c r="AZ73" t="n">
        <v>70</v>
      </c>
      <c r="BA73" t="n">
        <v>4794.67</v>
      </c>
      <c r="BB73" t="n">
        <v>4798.6378</v>
      </c>
      <c r="BC73" t="n">
        <v>-3.9678</v>
      </c>
      <c r="BD73" t="n">
        <v>15.7438</v>
      </c>
      <c r="BE73" t="n">
        <v>4900</v>
      </c>
    </row>
    <row r="74">
      <c r="A74" t="n">
        <v>1776419102</v>
      </c>
      <c r="B74" t="inlineStr">
        <is>
          <t>XAUUSD</t>
        </is>
      </c>
      <c r="C74" t="inlineStr">
        <is>
          <t>M15</t>
        </is>
      </c>
      <c r="D74" t="n">
        <v>4790.39</v>
      </c>
      <c r="E74" t="n">
        <v>4518.59282</v>
      </c>
      <c r="F74" t="n">
        <v>4596.05595</v>
      </c>
      <c r="G74" t="n">
        <v>4755.40355</v>
      </c>
      <c r="H74" t="n">
        <v>4792.76972</v>
      </c>
      <c r="Q74" t="n">
        <v>4798.37024</v>
      </c>
      <c r="R74" t="n">
        <v>4827.73354</v>
      </c>
      <c r="S74" t="n">
        <v>4854.32231</v>
      </c>
      <c r="V74" t="n">
        <v>4763.43047</v>
      </c>
      <c r="W74" t="n">
        <v>4729.86547</v>
      </c>
      <c r="AB74" t="n">
        <v>4792.92581</v>
      </c>
      <c r="AC74" t="n">
        <v>4793.48269</v>
      </c>
      <c r="AD74" t="n">
        <v>1</v>
      </c>
      <c r="AE74" t="n">
        <v>72</v>
      </c>
      <c r="AF74" t="n">
        <v>692</v>
      </c>
      <c r="AG74" t="n">
        <v>4672.133</v>
      </c>
      <c r="AH74" t="n">
        <v>4632.1881</v>
      </c>
      <c r="AI74" t="n">
        <v>39.9449</v>
      </c>
      <c r="AJ74" t="n">
        <v>1595.5934</v>
      </c>
      <c r="AK74" t="n">
        <v>72</v>
      </c>
      <c r="AL74" t="n">
        <v>71</v>
      </c>
      <c r="AM74" t="n">
        <v>4790.39</v>
      </c>
      <c r="AN74" t="n">
        <v>4798.3702</v>
      </c>
      <c r="AO74" t="n">
        <v>-7.9802</v>
      </c>
      <c r="AP74" t="n">
        <v>63.6842</v>
      </c>
      <c r="AQ74" t="n">
        <v>-0.011691</v>
      </c>
      <c r="AR74" t="n">
        <v>0.002653</v>
      </c>
      <c r="AS74" t="n">
        <v>72</v>
      </c>
      <c r="AT74" t="n">
        <v>692</v>
      </c>
      <c r="AU74" t="n">
        <v>4672.133</v>
      </c>
      <c r="AV74" t="n">
        <v>4632.1881</v>
      </c>
      <c r="AW74" t="n">
        <v>39.9449</v>
      </c>
      <c r="AX74" t="n">
        <v>1595.5934</v>
      </c>
      <c r="AY74" t="n">
        <v>72</v>
      </c>
      <c r="AZ74" t="n">
        <v>71</v>
      </c>
      <c r="BA74" t="n">
        <v>4790.39</v>
      </c>
      <c r="BB74" t="n">
        <v>4798.3702</v>
      </c>
      <c r="BC74" t="n">
        <v>-7.9802</v>
      </c>
      <c r="BD74" t="n">
        <v>63.6842</v>
      </c>
      <c r="BE74" t="n">
        <v>5041</v>
      </c>
    </row>
    <row r="75">
      <c r="A75" t="n">
        <v>1776420002</v>
      </c>
      <c r="B75" t="inlineStr">
        <is>
          <t>XAUUSD</t>
        </is>
      </c>
      <c r="C75" t="inlineStr">
        <is>
          <t>M15</t>
        </is>
      </c>
      <c r="D75" t="n">
        <v>4791.33</v>
      </c>
      <c r="E75" t="n">
        <v>4518.59282</v>
      </c>
      <c r="F75" t="n">
        <v>4596.05595</v>
      </c>
      <c r="G75" t="n">
        <v>4755.40355</v>
      </c>
      <c r="H75" t="n">
        <v>4792.76972</v>
      </c>
      <c r="Q75" t="n">
        <v>4798.10263</v>
      </c>
      <c r="R75" t="n">
        <v>4827.46593</v>
      </c>
      <c r="S75" t="n">
        <v>4854.0547</v>
      </c>
      <c r="V75" t="n">
        <v>4763.16286</v>
      </c>
      <c r="W75" t="n">
        <v>4729.59787</v>
      </c>
      <c r="AB75" t="n">
        <v>4791.19144</v>
      </c>
      <c r="AC75" t="n">
        <v>4792.33706</v>
      </c>
      <c r="AD75" t="n">
        <v>0</v>
      </c>
      <c r="AE75" t="n">
        <v>73</v>
      </c>
      <c r="AF75" t="n">
        <v>727</v>
      </c>
      <c r="AG75" t="n">
        <v>4582.2172</v>
      </c>
      <c r="AH75" t="n">
        <v>4622.8219</v>
      </c>
      <c r="AI75" t="n">
        <v>-40.6047</v>
      </c>
      <c r="AJ75" t="n">
        <v>1648.7433</v>
      </c>
      <c r="AK75" t="n">
        <v>73</v>
      </c>
      <c r="AL75" t="n">
        <v>72</v>
      </c>
      <c r="AM75" t="n">
        <v>4791.33</v>
      </c>
      <c r="AN75" t="n">
        <v>4798.1026</v>
      </c>
      <c r="AO75" t="n">
        <v>-6.7726</v>
      </c>
      <c r="AP75" t="n">
        <v>45.8685</v>
      </c>
      <c r="AQ75" t="n">
        <v>-0.007146</v>
      </c>
      <c r="AR75" t="n">
        <v>0.001377</v>
      </c>
      <c r="AS75" t="n">
        <v>73</v>
      </c>
      <c r="AT75" t="n">
        <v>727</v>
      </c>
      <c r="AU75" t="n">
        <v>4582.2172</v>
      </c>
      <c r="AV75" t="n">
        <v>4622.8219</v>
      </c>
      <c r="AW75" t="n">
        <v>-40.6047</v>
      </c>
      <c r="AX75" t="n">
        <v>1648.7433</v>
      </c>
      <c r="AY75" t="n">
        <v>73</v>
      </c>
      <c r="AZ75" t="n">
        <v>72</v>
      </c>
      <c r="BA75" t="n">
        <v>4791.33</v>
      </c>
      <c r="BB75" t="n">
        <v>4798.1026</v>
      </c>
      <c r="BC75" t="n">
        <v>-6.7726</v>
      </c>
      <c r="BD75" t="n">
        <v>45.8685</v>
      </c>
      <c r="BE75" t="n">
        <v>5184</v>
      </c>
    </row>
    <row r="76">
      <c r="A76" t="n">
        <v>1776420902</v>
      </c>
      <c r="B76" t="inlineStr">
        <is>
          <t>XAUUSD</t>
        </is>
      </c>
      <c r="C76" t="inlineStr">
        <is>
          <t>M15</t>
        </is>
      </c>
      <c r="D76" t="n">
        <v>4789.59</v>
      </c>
      <c r="E76" t="n">
        <v>4518.59282</v>
      </c>
      <c r="F76" t="n">
        <v>4596.05595</v>
      </c>
      <c r="G76" t="n">
        <v>4755.40355</v>
      </c>
      <c r="H76" t="n">
        <v>4792.76972</v>
      </c>
      <c r="Q76" t="n">
        <v>4797.83503</v>
      </c>
      <c r="R76" t="n">
        <v>4827.19833</v>
      </c>
      <c r="S76" t="n">
        <v>4853.7871</v>
      </c>
      <c r="V76" t="n">
        <v>4762.89526</v>
      </c>
      <c r="W76" t="n">
        <v>4729.33026</v>
      </c>
      <c r="AB76" t="n">
        <v>4789.21106</v>
      </c>
      <c r="AC76" t="n">
        <v>4790.77406</v>
      </c>
      <c r="AD76" t="n">
        <v>0</v>
      </c>
      <c r="AE76" t="n">
        <v>74</v>
      </c>
      <c r="AF76" t="n">
        <v>729</v>
      </c>
      <c r="AG76" t="n">
        <v>4581.4012</v>
      </c>
      <c r="AH76" t="n">
        <v>4622.2868</v>
      </c>
      <c r="AI76" t="n">
        <v>-40.8855</v>
      </c>
      <c r="AJ76" t="n">
        <v>1671.6241</v>
      </c>
      <c r="AK76" t="n">
        <v>74</v>
      </c>
      <c r="AL76" t="n">
        <v>73</v>
      </c>
      <c r="AM76" t="n">
        <v>4789.59</v>
      </c>
      <c r="AN76" t="n">
        <v>4797.835</v>
      </c>
      <c r="AO76" t="n">
        <v>-8.244999999999999</v>
      </c>
      <c r="AP76" t="n">
        <v>67.98050000000001</v>
      </c>
      <c r="AQ76" t="n">
        <v>-0.012894</v>
      </c>
      <c r="AR76" t="n">
        <v>0.003024</v>
      </c>
      <c r="AS76" t="n">
        <v>74</v>
      </c>
      <c r="AT76" t="n">
        <v>729</v>
      </c>
      <c r="AU76" t="n">
        <v>4581.4012</v>
      </c>
      <c r="AV76" t="n">
        <v>4622.2868</v>
      </c>
      <c r="AW76" t="n">
        <v>-40.8855</v>
      </c>
      <c r="AX76" t="n">
        <v>1671.6241</v>
      </c>
      <c r="AY76" t="n">
        <v>74</v>
      </c>
      <c r="AZ76" t="n">
        <v>73</v>
      </c>
      <c r="BA76" t="n">
        <v>4789.59</v>
      </c>
      <c r="BB76" t="n">
        <v>4797.835</v>
      </c>
      <c r="BC76" t="n">
        <v>-8.244999999999999</v>
      </c>
      <c r="BD76" t="n">
        <v>67.98050000000001</v>
      </c>
      <c r="BE76" t="n">
        <v>5329</v>
      </c>
    </row>
    <row r="77">
      <c r="A77" t="n">
        <v>1776421802</v>
      </c>
      <c r="B77" t="inlineStr">
        <is>
          <t>XAUUSD</t>
        </is>
      </c>
      <c r="C77" t="inlineStr">
        <is>
          <t>M15</t>
        </is>
      </c>
      <c r="D77" t="n">
        <v>4784.95</v>
      </c>
      <c r="E77" t="n">
        <v>4518.59282</v>
      </c>
      <c r="F77" t="n">
        <v>4596.05595</v>
      </c>
      <c r="G77" t="n">
        <v>4755.40355</v>
      </c>
      <c r="H77" t="n">
        <v>4792.76972</v>
      </c>
      <c r="Q77" t="n">
        <v>4797.56742</v>
      </c>
      <c r="R77" t="n">
        <v>4826.93072</v>
      </c>
      <c r="S77" t="n">
        <v>4853.51949</v>
      </c>
      <c r="V77" t="n">
        <v>4762.62765</v>
      </c>
      <c r="W77" t="n">
        <v>4729.06266</v>
      </c>
      <c r="AB77" t="n">
        <v>4787.42769</v>
      </c>
      <c r="AC77" t="n">
        <v>4789.10088</v>
      </c>
      <c r="AD77" t="n">
        <v>0</v>
      </c>
      <c r="AE77" t="n">
        <v>75</v>
      </c>
      <c r="AF77" t="n">
        <v>736</v>
      </c>
      <c r="AG77" t="n">
        <v>4572.3875</v>
      </c>
      <c r="AH77" t="n">
        <v>4620.4135</v>
      </c>
      <c r="AI77" t="n">
        <v>-48.026</v>
      </c>
      <c r="AJ77" t="n">
        <v>2306.4996</v>
      </c>
      <c r="AK77" t="n">
        <v>75</v>
      </c>
      <c r="AL77" t="n">
        <v>74</v>
      </c>
      <c r="AM77" t="n">
        <v>4784.95</v>
      </c>
      <c r="AN77" t="n">
        <v>4797.5674</v>
      </c>
      <c r="AO77" t="n">
        <v>-12.6174</v>
      </c>
      <c r="AP77" t="n">
        <v>159.1993</v>
      </c>
      <c r="AQ77" t="n">
        <v>-0.046209</v>
      </c>
      <c r="AR77" t="n">
        <v>0.016582</v>
      </c>
      <c r="AS77" t="n">
        <v>75</v>
      </c>
      <c r="AT77" t="n">
        <v>736</v>
      </c>
      <c r="AU77" t="n">
        <v>4572.3875</v>
      </c>
      <c r="AV77" t="n">
        <v>4620.4135</v>
      </c>
      <c r="AW77" t="n">
        <v>-48.026</v>
      </c>
      <c r="AX77" t="n">
        <v>2306.4996</v>
      </c>
      <c r="AY77" t="n">
        <v>75</v>
      </c>
      <c r="AZ77" t="n">
        <v>74</v>
      </c>
      <c r="BA77" t="n">
        <v>4784.95</v>
      </c>
      <c r="BB77" t="n">
        <v>4797.5674</v>
      </c>
      <c r="BC77" t="n">
        <v>-12.6174</v>
      </c>
      <c r="BD77" t="n">
        <v>159.1993</v>
      </c>
      <c r="BE77" t="n">
        <v>5476</v>
      </c>
    </row>
    <row r="78">
      <c r="A78" t="n">
        <v>1776422702</v>
      </c>
      <c r="B78" t="inlineStr">
        <is>
          <t>XAUUSD</t>
        </is>
      </c>
      <c r="C78" t="inlineStr">
        <is>
          <t>M15</t>
        </is>
      </c>
      <c r="D78" t="n">
        <v>4787.41</v>
      </c>
      <c r="E78" t="n">
        <v>4518.59282</v>
      </c>
      <c r="F78" t="n">
        <v>4596.05595</v>
      </c>
      <c r="G78" t="n">
        <v>4755.40355</v>
      </c>
      <c r="H78" t="n">
        <v>4792.76972</v>
      </c>
      <c r="Q78" t="n">
        <v>4797.29982</v>
      </c>
      <c r="R78" t="n">
        <v>4826.66312</v>
      </c>
      <c r="S78" t="n">
        <v>4853.25189</v>
      </c>
      <c r="V78" t="n">
        <v>4762.36005</v>
      </c>
      <c r="W78" t="n">
        <v>4728.79505</v>
      </c>
      <c r="AB78" t="n">
        <v>4786.46729</v>
      </c>
      <c r="AC78" t="n">
        <v>4787.78408</v>
      </c>
      <c r="AD78" t="n">
        <v>0</v>
      </c>
      <c r="AE78" t="n">
        <v>76</v>
      </c>
      <c r="AF78" t="n">
        <v>755</v>
      </c>
      <c r="AG78" t="n">
        <v>4596.5934</v>
      </c>
      <c r="AH78" t="n">
        <v>4615.329</v>
      </c>
      <c r="AI78" t="n">
        <v>-18.7356</v>
      </c>
      <c r="AJ78" t="n">
        <v>351.0246</v>
      </c>
      <c r="AK78" t="n">
        <v>76</v>
      </c>
      <c r="AL78" t="n">
        <v>75</v>
      </c>
      <c r="AM78" t="n">
        <v>4787.41</v>
      </c>
      <c r="AN78" t="n">
        <v>4797.2998</v>
      </c>
      <c r="AO78" t="n">
        <v>-9.889799999999999</v>
      </c>
      <c r="AP78" t="n">
        <v>97.8085</v>
      </c>
      <c r="AQ78" t="n">
        <v>-0.022253</v>
      </c>
      <c r="AR78" t="n">
        <v>0.006259</v>
      </c>
      <c r="AS78" t="n">
        <v>76</v>
      </c>
      <c r="AT78" t="n">
        <v>755</v>
      </c>
      <c r="AU78" t="n">
        <v>4596.5934</v>
      </c>
      <c r="AV78" t="n">
        <v>4615.329</v>
      </c>
      <c r="AW78" t="n">
        <v>-18.7356</v>
      </c>
      <c r="AX78" t="n">
        <v>351.0246</v>
      </c>
      <c r="AY78" t="n">
        <v>76</v>
      </c>
      <c r="AZ78" t="n">
        <v>75</v>
      </c>
      <c r="BA78" t="n">
        <v>4787.41</v>
      </c>
      <c r="BB78" t="n">
        <v>4797.2998</v>
      </c>
      <c r="BC78" t="n">
        <v>-9.889799999999999</v>
      </c>
      <c r="BD78" t="n">
        <v>97.8085</v>
      </c>
      <c r="BE78" t="n">
        <v>5625</v>
      </c>
    </row>
    <row r="79">
      <c r="A79" t="n">
        <v>1776423602</v>
      </c>
      <c r="B79" t="inlineStr">
        <is>
          <t>XAUUSD</t>
        </is>
      </c>
      <c r="C79" t="inlineStr">
        <is>
          <t>M15</t>
        </is>
      </c>
      <c r="D79" t="n">
        <v>4786.45</v>
      </c>
      <c r="E79" t="n">
        <v>4518.59282</v>
      </c>
      <c r="F79" t="n">
        <v>4596.05595</v>
      </c>
      <c r="G79" t="n">
        <v>4755.40355</v>
      </c>
      <c r="H79" t="n">
        <v>4792.76972</v>
      </c>
      <c r="Q79" t="n">
        <v>4797.03222</v>
      </c>
      <c r="R79" t="n">
        <v>4826.39551</v>
      </c>
      <c r="S79" t="n">
        <v>4852.98429</v>
      </c>
      <c r="V79" t="n">
        <v>4762.09245</v>
      </c>
      <c r="W79" t="n">
        <v>4728.52745</v>
      </c>
      <c r="AB79" t="n">
        <v>4786.84013</v>
      </c>
      <c r="AC79" t="n">
        <v>4787.3121</v>
      </c>
      <c r="AD79" t="n">
        <v>0</v>
      </c>
      <c r="AE79" t="n">
        <v>77</v>
      </c>
      <c r="AF79" t="n">
        <v>764</v>
      </c>
      <c r="AG79" t="n">
        <v>4594.1765</v>
      </c>
      <c r="AH79" t="n">
        <v>4612.9206</v>
      </c>
      <c r="AI79" t="n">
        <v>-18.7441</v>
      </c>
      <c r="AJ79" t="n">
        <v>351.3402</v>
      </c>
      <c r="AK79" t="n">
        <v>77</v>
      </c>
      <c r="AL79" t="n">
        <v>76</v>
      </c>
      <c r="AM79" t="n">
        <v>4786.45</v>
      </c>
      <c r="AN79" t="n">
        <v>4797.0322</v>
      </c>
      <c r="AO79" t="n">
        <v>-10.5822</v>
      </c>
      <c r="AP79" t="n">
        <v>111.9834</v>
      </c>
      <c r="AQ79" t="n">
        <v>-0.027261</v>
      </c>
      <c r="AR79" t="n">
        <v>0.008205</v>
      </c>
      <c r="AS79" t="n">
        <v>77</v>
      </c>
      <c r="AT79" t="n">
        <v>764</v>
      </c>
      <c r="AU79" t="n">
        <v>4594.1765</v>
      </c>
      <c r="AV79" t="n">
        <v>4612.9206</v>
      </c>
      <c r="AW79" t="n">
        <v>-18.7441</v>
      </c>
      <c r="AX79" t="n">
        <v>351.3402</v>
      </c>
      <c r="AY79" t="n">
        <v>77</v>
      </c>
      <c r="AZ79" t="n">
        <v>76</v>
      </c>
      <c r="BA79" t="n">
        <v>4786.45</v>
      </c>
      <c r="BB79" t="n">
        <v>4797.0322</v>
      </c>
      <c r="BC79" t="n">
        <v>-10.5822</v>
      </c>
      <c r="BD79" t="n">
        <v>111.9834</v>
      </c>
      <c r="BE79" t="n">
        <v>5776</v>
      </c>
    </row>
    <row r="80">
      <c r="A80" t="n">
        <v>1776424502</v>
      </c>
      <c r="B80" t="inlineStr">
        <is>
          <t>XAUUSD</t>
        </is>
      </c>
      <c r="C80" t="inlineStr">
        <is>
          <t>M15</t>
        </is>
      </c>
      <c r="D80" t="n">
        <v>4793.07</v>
      </c>
      <c r="E80" t="n">
        <v>4518.59282</v>
      </c>
      <c r="F80" t="n">
        <v>4596.05595</v>
      </c>
      <c r="G80" t="n">
        <v>4755.40355</v>
      </c>
      <c r="H80" t="n">
        <v>4792.76972</v>
      </c>
      <c r="Q80" t="n">
        <v>4796.76461</v>
      </c>
      <c r="R80" t="n">
        <v>4826.12791</v>
      </c>
      <c r="S80" t="n">
        <v>4852.71668</v>
      </c>
      <c r="V80" t="n">
        <v>4761.82484</v>
      </c>
      <c r="W80" t="n">
        <v>4728.25985</v>
      </c>
      <c r="AB80" t="n">
        <v>4789.13598</v>
      </c>
      <c r="AC80" t="n">
        <v>4788.22404</v>
      </c>
      <c r="AD80" t="n">
        <v>1</v>
      </c>
      <c r="AE80" t="n">
        <v>78</v>
      </c>
      <c r="AF80" t="n">
        <v>770</v>
      </c>
      <c r="AG80" t="n">
        <v>4596.4324</v>
      </c>
      <c r="AH80" t="n">
        <v>4611.315</v>
      </c>
      <c r="AI80" t="n">
        <v>-14.8826</v>
      </c>
      <c r="AJ80" t="n">
        <v>221.4909</v>
      </c>
      <c r="AK80" t="n">
        <v>78</v>
      </c>
      <c r="AL80" t="n">
        <v>77</v>
      </c>
      <c r="AM80" t="n">
        <v>4793.07</v>
      </c>
      <c r="AN80" t="n">
        <v>4796.7646</v>
      </c>
      <c r="AO80" t="n">
        <v>-3.6946</v>
      </c>
      <c r="AP80" t="n">
        <v>13.6501</v>
      </c>
      <c r="AQ80" t="n">
        <v>-0.00116</v>
      </c>
      <c r="AR80" t="n">
        <v>0.000122</v>
      </c>
      <c r="AS80" t="n">
        <v>78</v>
      </c>
      <c r="AT80" t="n">
        <v>770</v>
      </c>
      <c r="AU80" t="n">
        <v>4596.4324</v>
      </c>
      <c r="AV80" t="n">
        <v>4611.315</v>
      </c>
      <c r="AW80" t="n">
        <v>-14.8826</v>
      </c>
      <c r="AX80" t="n">
        <v>221.4909</v>
      </c>
      <c r="AY80" t="n">
        <v>78</v>
      </c>
      <c r="AZ80" t="n">
        <v>77</v>
      </c>
      <c r="BA80" t="n">
        <v>4793.07</v>
      </c>
      <c r="BB80" t="n">
        <v>4796.7646</v>
      </c>
      <c r="BC80" t="n">
        <v>-3.6946</v>
      </c>
      <c r="BD80" t="n">
        <v>13.6501</v>
      </c>
      <c r="BE80" t="n">
        <v>5929</v>
      </c>
    </row>
    <row r="81">
      <c r="A81" t="n">
        <v>1776425402</v>
      </c>
      <c r="B81" t="inlineStr">
        <is>
          <t>XAUUSD</t>
        </is>
      </c>
      <c r="C81" t="inlineStr">
        <is>
          <t>M15</t>
        </is>
      </c>
      <c r="D81" t="n">
        <v>4798.64</v>
      </c>
      <c r="E81" t="n">
        <v>4518.59282</v>
      </c>
      <c r="F81" t="n">
        <v>4596.05595</v>
      </c>
      <c r="G81" t="n">
        <v>4755.40355</v>
      </c>
      <c r="H81" t="n">
        <v>4792.76972</v>
      </c>
      <c r="Q81" t="n">
        <v>4796.49701</v>
      </c>
      <c r="R81" t="n">
        <v>4825.86031</v>
      </c>
      <c r="S81" t="n">
        <v>4852.44908</v>
      </c>
      <c r="V81" t="n">
        <v>4761.55724</v>
      </c>
      <c r="W81" t="n">
        <v>4727.99224</v>
      </c>
      <c r="AB81" t="n">
        <v>4793.64663</v>
      </c>
      <c r="AC81" t="n">
        <v>4790.93534</v>
      </c>
      <c r="AD81" t="n">
        <v>0</v>
      </c>
      <c r="AE81" t="n">
        <v>79</v>
      </c>
      <c r="AF81" t="n">
        <v>776</v>
      </c>
      <c r="AG81" t="n">
        <v>4592.2323</v>
      </c>
      <c r="AH81" t="n">
        <v>4609.7094</v>
      </c>
      <c r="AI81" t="n">
        <v>-17.4771</v>
      </c>
      <c r="AJ81" t="n">
        <v>305.4483</v>
      </c>
      <c r="AK81" t="n">
        <v>79</v>
      </c>
      <c r="AL81" t="n">
        <v>78</v>
      </c>
      <c r="AM81" t="n">
        <v>4798.64</v>
      </c>
      <c r="AN81" t="n">
        <v>4796.497</v>
      </c>
      <c r="AO81" t="n">
        <v>2.143</v>
      </c>
      <c r="AP81" t="n">
        <v>4.5924</v>
      </c>
      <c r="AQ81" t="n">
        <v>0.000226</v>
      </c>
      <c r="AR81" t="n">
        <v>1.4e-05</v>
      </c>
      <c r="AS81" t="n">
        <v>79</v>
      </c>
      <c r="AT81" t="n">
        <v>776</v>
      </c>
      <c r="AU81" t="n">
        <v>4592.2323</v>
      </c>
      <c r="AV81" t="n">
        <v>4609.7094</v>
      </c>
      <c r="AW81" t="n">
        <v>-17.4771</v>
      </c>
      <c r="AX81" t="n">
        <v>305.4483</v>
      </c>
      <c r="AY81" t="n">
        <v>79</v>
      </c>
      <c r="AZ81" t="n">
        <v>78</v>
      </c>
      <c r="BA81" t="n">
        <v>4798.64</v>
      </c>
      <c r="BB81" t="n">
        <v>4796.497</v>
      </c>
      <c r="BC81" t="n">
        <v>2.143</v>
      </c>
      <c r="BD81" t="n">
        <v>4.5924</v>
      </c>
      <c r="BE81" t="n">
        <v>6084</v>
      </c>
    </row>
    <row r="82">
      <c r="A82" t="n">
        <v>1776426302</v>
      </c>
      <c r="B82" t="inlineStr">
        <is>
          <t>XAUUSD</t>
        </is>
      </c>
      <c r="C82" t="inlineStr">
        <is>
          <t>M15</t>
        </is>
      </c>
      <c r="D82" t="n">
        <v>4799.19</v>
      </c>
      <c r="E82" t="n">
        <v>4518.59282</v>
      </c>
      <c r="F82" t="n">
        <v>4596.05595</v>
      </c>
      <c r="G82" t="n">
        <v>4755.40355</v>
      </c>
      <c r="H82" t="n">
        <v>4792.76972</v>
      </c>
      <c r="Q82" t="n">
        <v>4796.2294</v>
      </c>
      <c r="R82" t="n">
        <v>4825.5927</v>
      </c>
      <c r="S82" t="n">
        <v>4852.18147</v>
      </c>
      <c r="V82" t="n">
        <v>4761.28963</v>
      </c>
      <c r="W82" t="n">
        <v>4727.72464</v>
      </c>
      <c r="AB82" t="n">
        <v>4800.49579</v>
      </c>
      <c r="AC82" t="n">
        <v>4795.71557</v>
      </c>
      <c r="AD82" t="n">
        <v>0</v>
      </c>
      <c r="AE82" t="n">
        <v>80</v>
      </c>
      <c r="AF82" t="n">
        <v>788</v>
      </c>
      <c r="AG82" t="n">
        <v>4600.8452</v>
      </c>
      <c r="AH82" t="n">
        <v>4606.4981</v>
      </c>
      <c r="AI82" t="n">
        <v>-5.6529</v>
      </c>
      <c r="AJ82" t="n">
        <v>31.9557</v>
      </c>
      <c r="AK82" t="n">
        <v>80</v>
      </c>
      <c r="AL82" t="n">
        <v>79</v>
      </c>
      <c r="AM82" t="n">
        <v>4799.19</v>
      </c>
      <c r="AN82" t="n">
        <v>4796.2294</v>
      </c>
      <c r="AO82" t="n">
        <v>2.9606</v>
      </c>
      <c r="AP82" t="n">
        <v>8.7652</v>
      </c>
      <c r="AQ82" t="n">
        <v>0.000597</v>
      </c>
      <c r="AR82" t="n">
        <v>5e-05</v>
      </c>
      <c r="AS82" t="n">
        <v>80</v>
      </c>
      <c r="AT82" t="n">
        <v>788</v>
      </c>
      <c r="AU82" t="n">
        <v>4600.8452</v>
      </c>
      <c r="AV82" t="n">
        <v>4606.4981</v>
      </c>
      <c r="AW82" t="n">
        <v>-5.6529</v>
      </c>
      <c r="AX82" t="n">
        <v>31.9557</v>
      </c>
      <c r="AY82" t="n">
        <v>80</v>
      </c>
      <c r="AZ82" t="n">
        <v>79</v>
      </c>
      <c r="BA82" t="n">
        <v>4799.19</v>
      </c>
      <c r="BB82" t="n">
        <v>4796.2294</v>
      </c>
      <c r="BC82" t="n">
        <v>2.9606</v>
      </c>
      <c r="BD82" t="n">
        <v>8.7652</v>
      </c>
      <c r="BE82" t="n">
        <v>6241</v>
      </c>
    </row>
    <row r="83">
      <c r="A83" t="n">
        <v>1776427202</v>
      </c>
      <c r="B83" t="inlineStr">
        <is>
          <t>XAUUSD</t>
        </is>
      </c>
      <c r="C83" t="inlineStr">
        <is>
          <t>M15</t>
        </is>
      </c>
      <c r="D83" t="n">
        <v>4803.86</v>
      </c>
      <c r="E83" t="n">
        <v>4518.59282</v>
      </c>
      <c r="F83" t="n">
        <v>4596.05595</v>
      </c>
      <c r="G83" t="n">
        <v>4755.40355</v>
      </c>
      <c r="H83" t="n">
        <v>4792.76972</v>
      </c>
      <c r="Q83" t="n">
        <v>4795.9618</v>
      </c>
      <c r="R83" t="n">
        <v>4825.3251</v>
      </c>
      <c r="S83" t="n">
        <v>4851.91387</v>
      </c>
      <c r="V83" t="n">
        <v>4761.02203</v>
      </c>
      <c r="W83" t="n">
        <v>4727.45703</v>
      </c>
      <c r="AB83" t="n">
        <v>4809.6919</v>
      </c>
      <c r="AC83" t="n">
        <v>4802.70373</v>
      </c>
      <c r="AD83" t="n">
        <v>0</v>
      </c>
      <c r="AE83" t="n">
        <v>81</v>
      </c>
      <c r="AF83" t="n">
        <v>809</v>
      </c>
      <c r="AG83" t="n">
        <v>4565.6079</v>
      </c>
      <c r="AH83" t="n">
        <v>4600.8784</v>
      </c>
      <c r="AI83" t="n">
        <v>-35.2705</v>
      </c>
      <c r="AJ83" t="n">
        <v>1244.0103</v>
      </c>
      <c r="AK83" t="n">
        <v>81</v>
      </c>
      <c r="AL83" t="n">
        <v>80</v>
      </c>
      <c r="AM83" t="n">
        <v>4803.86</v>
      </c>
      <c r="AN83" t="n">
        <v>4795.9618</v>
      </c>
      <c r="AO83" t="n">
        <v>7.8982</v>
      </c>
      <c r="AP83" t="n">
        <v>62.3816</v>
      </c>
      <c r="AQ83" t="n">
        <v>0.011334</v>
      </c>
      <c r="AR83" t="n">
        <v>0.002546</v>
      </c>
      <c r="AS83" t="n">
        <v>81</v>
      </c>
      <c r="AT83" t="n">
        <v>809</v>
      </c>
      <c r="AU83" t="n">
        <v>4565.6079</v>
      </c>
      <c r="AV83" t="n">
        <v>4600.8784</v>
      </c>
      <c r="AW83" t="n">
        <v>-35.2705</v>
      </c>
      <c r="AX83" t="n">
        <v>1244.0103</v>
      </c>
      <c r="AY83" t="n">
        <v>81</v>
      </c>
      <c r="AZ83" t="n">
        <v>80</v>
      </c>
      <c r="BA83" t="n">
        <v>4803.86</v>
      </c>
      <c r="BB83" t="n">
        <v>4795.9618</v>
      </c>
      <c r="BC83" t="n">
        <v>7.8982</v>
      </c>
      <c r="BD83" t="n">
        <v>62.3816</v>
      </c>
      <c r="BE83" t="n">
        <v>6400</v>
      </c>
    </row>
    <row r="84">
      <c r="A84" t="n">
        <v>1776428102</v>
      </c>
      <c r="B84" t="inlineStr">
        <is>
          <t>XAUUSD</t>
        </is>
      </c>
      <c r="C84" t="inlineStr">
        <is>
          <t>M15</t>
        </is>
      </c>
      <c r="D84" t="n">
        <v>4816.87</v>
      </c>
      <c r="E84" t="n">
        <v>4518.59282</v>
      </c>
      <c r="F84" t="n">
        <v>4596.05595</v>
      </c>
      <c r="G84" t="n">
        <v>4755.40355</v>
      </c>
      <c r="H84" t="n">
        <v>4792.76972</v>
      </c>
      <c r="Q84" t="n">
        <v>4795.6942</v>
      </c>
      <c r="R84" t="n">
        <v>4825.05749</v>
      </c>
      <c r="S84" t="n">
        <v>4851.64627</v>
      </c>
      <c r="V84" t="n">
        <v>4760.75443</v>
      </c>
      <c r="W84" t="n">
        <v>4727.18943</v>
      </c>
      <c r="AB84" t="n">
        <v>4820.81248</v>
      </c>
      <c r="AC84" t="n">
        <v>4811.75811</v>
      </c>
      <c r="AD84" t="n">
        <v>0</v>
      </c>
      <c r="AE84" t="n">
        <v>82</v>
      </c>
      <c r="AF84" t="n">
        <v>815</v>
      </c>
      <c r="AG84" t="n">
        <v>4566.1015</v>
      </c>
      <c r="AH84" t="n">
        <v>4599.2728</v>
      </c>
      <c r="AI84" t="n">
        <v>-33.1713</v>
      </c>
      <c r="AJ84" t="n">
        <v>1100.3378</v>
      </c>
      <c r="AK84" t="n">
        <v>82</v>
      </c>
      <c r="AL84" t="n">
        <v>81</v>
      </c>
      <c r="AM84" t="n">
        <v>4816.87</v>
      </c>
      <c r="AN84" t="n">
        <v>4795.6942</v>
      </c>
      <c r="AO84" t="n">
        <v>21.1758</v>
      </c>
      <c r="AP84" t="n">
        <v>448.4145</v>
      </c>
      <c r="AQ84" t="n">
        <v>0.218441</v>
      </c>
      <c r="AR84" t="n">
        <v>0.131557</v>
      </c>
      <c r="AS84" t="n">
        <v>82</v>
      </c>
      <c r="AT84" t="n">
        <v>815</v>
      </c>
      <c r="AU84" t="n">
        <v>4566.1015</v>
      </c>
      <c r="AV84" t="n">
        <v>4599.2728</v>
      </c>
      <c r="AW84" t="n">
        <v>-33.1713</v>
      </c>
      <c r="AX84" t="n">
        <v>1100.3378</v>
      </c>
      <c r="AY84" t="n">
        <v>82</v>
      </c>
      <c r="AZ84" t="n">
        <v>81</v>
      </c>
      <c r="BA84" t="n">
        <v>4816.87</v>
      </c>
      <c r="BB84" t="n">
        <v>4795.6942</v>
      </c>
      <c r="BC84" t="n">
        <v>21.1758</v>
      </c>
      <c r="BD84" t="n">
        <v>448.4145</v>
      </c>
      <c r="BE84" t="n">
        <v>6561</v>
      </c>
    </row>
    <row r="85">
      <c r="A85" t="n">
        <v>1776429002</v>
      </c>
      <c r="B85" t="inlineStr">
        <is>
          <t>XAUUSD</t>
        </is>
      </c>
      <c r="C85" t="inlineStr">
        <is>
          <t>M15</t>
        </is>
      </c>
      <c r="D85" t="n">
        <v>4823.45</v>
      </c>
      <c r="E85" t="n">
        <v>4518.59282</v>
      </c>
      <c r="F85" t="n">
        <v>4596.05595</v>
      </c>
      <c r="G85" t="n">
        <v>4755.40355</v>
      </c>
      <c r="H85" t="n">
        <v>4792.76972</v>
      </c>
      <c r="Q85" t="n">
        <v>4795.42659</v>
      </c>
      <c r="R85" t="n">
        <v>4824.78989</v>
      </c>
      <c r="S85" t="n">
        <v>4851.37866</v>
      </c>
      <c r="V85" t="n">
        <v>4760.48682</v>
      </c>
      <c r="W85" t="n">
        <v>4726.92182</v>
      </c>
      <c r="AB85" t="n">
        <v>4832.94049</v>
      </c>
      <c r="AC85" t="n">
        <v>4822.3493</v>
      </c>
      <c r="AD85" t="n">
        <v>0</v>
      </c>
      <c r="AE85" t="n">
        <v>83</v>
      </c>
      <c r="AF85" t="n">
        <v>826</v>
      </c>
      <c r="AG85" t="n">
        <v>4532.0678</v>
      </c>
      <c r="AH85" t="n">
        <v>4596.3291</v>
      </c>
      <c r="AI85" t="n">
        <v>-64.26139999999999</v>
      </c>
      <c r="AJ85" t="n">
        <v>4129.5262</v>
      </c>
      <c r="AK85" t="n">
        <v>83</v>
      </c>
      <c r="AL85" t="n">
        <v>82</v>
      </c>
      <c r="AM85" t="n">
        <v>4823.45</v>
      </c>
      <c r="AN85" t="n">
        <v>4795.4266</v>
      </c>
      <c r="AO85" t="n">
        <v>28.0234</v>
      </c>
      <c r="AP85" t="n">
        <v>785.3115</v>
      </c>
      <c r="AQ85" t="n">
        <v>0.506266</v>
      </c>
      <c r="AR85" t="n">
        <v>0.403495</v>
      </c>
      <c r="AS85" t="n">
        <v>83</v>
      </c>
      <c r="AT85" t="n">
        <v>826</v>
      </c>
      <c r="AU85" t="n">
        <v>4532.0678</v>
      </c>
      <c r="AV85" t="n">
        <v>4596.3291</v>
      </c>
      <c r="AW85" t="n">
        <v>-64.26139999999999</v>
      </c>
      <c r="AX85" t="n">
        <v>4129.5262</v>
      </c>
      <c r="AY85" t="n">
        <v>83</v>
      </c>
      <c r="AZ85" t="n">
        <v>82</v>
      </c>
      <c r="BA85" t="n">
        <v>4823.45</v>
      </c>
      <c r="BB85" t="n">
        <v>4795.4266</v>
      </c>
      <c r="BC85" t="n">
        <v>28.0234</v>
      </c>
      <c r="BD85" t="n">
        <v>785.3115</v>
      </c>
      <c r="BE85" t="n">
        <v>6724</v>
      </c>
    </row>
    <row r="86">
      <c r="A86" t="n">
        <v>1776429902</v>
      </c>
      <c r="B86" t="inlineStr">
        <is>
          <t>XAUUSD</t>
        </is>
      </c>
      <c r="C86" t="inlineStr">
        <is>
          <t>M15</t>
        </is>
      </c>
      <c r="D86" t="n">
        <v>4846.75</v>
      </c>
      <c r="E86" t="n">
        <v>4518.59282</v>
      </c>
      <c r="F86" t="n">
        <v>4596.05595</v>
      </c>
      <c r="G86" t="n">
        <v>4755.40355</v>
      </c>
      <c r="H86" t="n">
        <v>4792.76972</v>
      </c>
      <c r="Q86" t="n">
        <v>4795.15899</v>
      </c>
      <c r="R86" t="n">
        <v>4824.52229</v>
      </c>
      <c r="S86" t="n">
        <v>4851.11106</v>
      </c>
      <c r="V86" t="n">
        <v>4760.21922</v>
      </c>
      <c r="W86" t="n">
        <v>4726.65422</v>
      </c>
      <c r="AB86" t="n">
        <v>4845.15343</v>
      </c>
      <c r="AC86" t="n">
        <v>4833.75136</v>
      </c>
      <c r="AD86" t="n">
        <v>0</v>
      </c>
      <c r="AE86" t="n">
        <v>84</v>
      </c>
      <c r="AF86" t="n">
        <v>835</v>
      </c>
      <c r="AG86" t="n">
        <v>4551.6611</v>
      </c>
      <c r="AH86" t="n">
        <v>4593.9207</v>
      </c>
      <c r="AI86" t="n">
        <v>-42.2596</v>
      </c>
      <c r="AJ86" t="n">
        <v>1785.8746</v>
      </c>
      <c r="AK86" t="n">
        <v>84</v>
      </c>
      <c r="AL86" t="n">
        <v>83</v>
      </c>
      <c r="AM86" t="n">
        <v>4846.75</v>
      </c>
      <c r="AN86" t="n">
        <v>4795.159</v>
      </c>
      <c r="AO86" t="n">
        <v>51.591</v>
      </c>
      <c r="AP86" t="n">
        <v>2661.6323</v>
      </c>
      <c r="AQ86" t="n">
        <v>3.158913</v>
      </c>
      <c r="AR86" t="n">
        <v>4.635005</v>
      </c>
      <c r="AS86" t="n">
        <v>84</v>
      </c>
      <c r="AT86" t="n">
        <v>835</v>
      </c>
      <c r="AU86" t="n">
        <v>4551.6611</v>
      </c>
      <c r="AV86" t="n">
        <v>4593.9207</v>
      </c>
      <c r="AW86" t="n">
        <v>-42.2596</v>
      </c>
      <c r="AX86" t="n">
        <v>1785.8746</v>
      </c>
      <c r="AY86" t="n">
        <v>84</v>
      </c>
      <c r="AZ86" t="n">
        <v>83</v>
      </c>
      <c r="BA86" t="n">
        <v>4846.75</v>
      </c>
      <c r="BB86" t="n">
        <v>4795.159</v>
      </c>
      <c r="BC86" t="n">
        <v>51.591</v>
      </c>
      <c r="BD86" t="n">
        <v>2661.6323</v>
      </c>
      <c r="BE86" t="n">
        <v>6889</v>
      </c>
    </row>
    <row r="87">
      <c r="A87" t="n">
        <v>1776430802</v>
      </c>
      <c r="B87" t="inlineStr">
        <is>
          <t>XAUUSD</t>
        </is>
      </c>
      <c r="C87" t="inlineStr">
        <is>
          <t>M15</t>
        </is>
      </c>
      <c r="D87" t="n">
        <v>4883.6</v>
      </c>
      <c r="E87" t="n">
        <v>4518.59282</v>
      </c>
      <c r="F87" t="n">
        <v>4596.05595</v>
      </c>
      <c r="G87" t="n">
        <v>4755.40355</v>
      </c>
      <c r="H87" t="n">
        <v>4792.76972</v>
      </c>
      <c r="Q87" t="n">
        <v>4794.89138</v>
      </c>
      <c r="R87" t="n">
        <v>4824.25468</v>
      </c>
      <c r="S87" t="n">
        <v>4850.84345</v>
      </c>
      <c r="V87" t="n">
        <v>4759.95161</v>
      </c>
      <c r="W87" t="n">
        <v>4726.38662</v>
      </c>
      <c r="Z87" t="n">
        <v>4889.21</v>
      </c>
      <c r="AB87" t="n">
        <v>4856.03101</v>
      </c>
      <c r="AC87" t="n">
        <v>4844.89119</v>
      </c>
      <c r="AD87" t="n">
        <v>0</v>
      </c>
      <c r="AE87" t="n">
        <v>85</v>
      </c>
      <c r="AF87" t="n">
        <v>843</v>
      </c>
      <c r="AG87" t="n">
        <v>4535.9611</v>
      </c>
      <c r="AH87" t="n">
        <v>4591.7799</v>
      </c>
      <c r="AI87" t="n">
        <v>-55.8188</v>
      </c>
      <c r="AJ87" t="n">
        <v>3115.7329</v>
      </c>
      <c r="AK87" t="n">
        <v>85</v>
      </c>
      <c r="AL87" t="n">
        <v>84</v>
      </c>
      <c r="AM87" t="n">
        <v>4883.6</v>
      </c>
      <c r="AN87" t="n">
        <v>4794.8914</v>
      </c>
      <c r="AO87" t="n">
        <v>88.7086</v>
      </c>
      <c r="AP87" t="n">
        <v>7869.2193</v>
      </c>
      <c r="AQ87" t="n">
        <v>16.058799</v>
      </c>
      <c r="AR87" t="n">
        <v>40.515146</v>
      </c>
      <c r="AS87" t="n">
        <v>85</v>
      </c>
      <c r="AT87" t="n">
        <v>843</v>
      </c>
      <c r="AU87" t="n">
        <v>4535.9611</v>
      </c>
      <c r="AV87" t="n">
        <v>4591.7799</v>
      </c>
      <c r="AW87" t="n">
        <v>-55.8188</v>
      </c>
      <c r="AX87" t="n">
        <v>3115.7329</v>
      </c>
      <c r="AY87" t="n">
        <v>85</v>
      </c>
      <c r="AZ87" t="n">
        <v>84</v>
      </c>
      <c r="BA87" t="n">
        <v>4883.6</v>
      </c>
      <c r="BB87" t="n">
        <v>4794.8914</v>
      </c>
      <c r="BC87" t="n">
        <v>88.7086</v>
      </c>
      <c r="BD87" t="n">
        <v>7869.2193</v>
      </c>
      <c r="BE87" t="n">
        <v>7056</v>
      </c>
    </row>
    <row r="88">
      <c r="A88" t="n">
        <v>1776431702</v>
      </c>
      <c r="B88" t="inlineStr">
        <is>
          <t>XAUUSD</t>
        </is>
      </c>
      <c r="C88" t="inlineStr">
        <is>
          <t>M15</t>
        </is>
      </c>
      <c r="D88" t="n">
        <v>4851.59</v>
      </c>
      <c r="E88" t="n">
        <v>4518.59282</v>
      </c>
      <c r="F88" t="n">
        <v>4596.05595</v>
      </c>
      <c r="G88" t="n">
        <v>4755.40355</v>
      </c>
      <c r="H88" t="n">
        <v>4792.76972</v>
      </c>
      <c r="Q88" t="n">
        <v>4794.62378</v>
      </c>
      <c r="R88" t="n">
        <v>4823.98708</v>
      </c>
      <c r="S88" t="n">
        <v>4850.57585</v>
      </c>
      <c r="V88" t="n">
        <v>4759.68401</v>
      </c>
      <c r="W88" t="n">
        <v>4726.11901</v>
      </c>
      <c r="AB88" t="n">
        <v>4864.02056</v>
      </c>
      <c r="AC88" t="n">
        <v>4854.45587</v>
      </c>
      <c r="AD88" t="n">
        <v>0</v>
      </c>
      <c r="AE88" t="n">
        <v>86</v>
      </c>
      <c r="AF88" t="n">
        <v>869</v>
      </c>
      <c r="AG88" t="n">
        <v>4573.7037</v>
      </c>
      <c r="AH88" t="n">
        <v>4584.8222</v>
      </c>
      <c r="AI88" t="n">
        <v>-11.1184</v>
      </c>
      <c r="AJ88" t="n">
        <v>123.6199</v>
      </c>
      <c r="AK88" t="n">
        <v>86</v>
      </c>
      <c r="AL88" t="n">
        <v>85</v>
      </c>
      <c r="AM88" t="n">
        <v>4851.59</v>
      </c>
      <c r="AN88" t="n">
        <v>4794.6238</v>
      </c>
      <c r="AO88" t="n">
        <v>56.9662</v>
      </c>
      <c r="AP88" t="n">
        <v>3245.1502</v>
      </c>
      <c r="AQ88" t="n">
        <v>4.25273</v>
      </c>
      <c r="AR88" t="n">
        <v>6.890071</v>
      </c>
      <c r="AS88" t="n">
        <v>86</v>
      </c>
      <c r="AT88" t="n">
        <v>869</v>
      </c>
      <c r="AU88" t="n">
        <v>4573.7037</v>
      </c>
      <c r="AV88" t="n">
        <v>4584.8222</v>
      </c>
      <c r="AW88" t="n">
        <v>-11.1184</v>
      </c>
      <c r="AX88" t="n">
        <v>123.6199</v>
      </c>
      <c r="AY88" t="n">
        <v>86</v>
      </c>
      <c r="AZ88" t="n">
        <v>85</v>
      </c>
      <c r="BA88" t="n">
        <v>4851.59</v>
      </c>
      <c r="BB88" t="n">
        <v>4794.6238</v>
      </c>
      <c r="BC88" t="n">
        <v>56.9662</v>
      </c>
      <c r="BD88" t="n">
        <v>3245.1502</v>
      </c>
      <c r="BE88" t="n">
        <v>7225</v>
      </c>
    </row>
    <row r="89">
      <c r="A89" t="n">
        <v>1776432602</v>
      </c>
      <c r="B89" t="inlineStr">
        <is>
          <t>XAUUSD</t>
        </is>
      </c>
      <c r="C89" t="inlineStr">
        <is>
          <t>M15</t>
        </is>
      </c>
      <c r="D89" t="n">
        <v>4864.42</v>
      </c>
      <c r="E89" t="n">
        <v>4518.59282</v>
      </c>
      <c r="F89" t="n">
        <v>4596.05595</v>
      </c>
      <c r="G89" t="n">
        <v>4755.40355</v>
      </c>
      <c r="H89" t="n">
        <v>4792.76972</v>
      </c>
      <c r="Q89" t="n">
        <v>4794.35618</v>
      </c>
      <c r="R89" t="n">
        <v>4823.71947</v>
      </c>
      <c r="S89" t="n">
        <v>4850.30824</v>
      </c>
      <c r="V89" t="n">
        <v>4759.4164</v>
      </c>
      <c r="W89" t="n">
        <v>4725.85141</v>
      </c>
      <c r="AB89" t="n">
        <v>4869.80746</v>
      </c>
      <c r="AC89" t="n">
        <v>4862.13167</v>
      </c>
      <c r="AD89" t="n">
        <v>0</v>
      </c>
      <c r="AE89" t="n">
        <v>87</v>
      </c>
      <c r="AF89" t="n">
        <v>880</v>
      </c>
      <c r="AG89" t="n">
        <v>4551.2341</v>
      </c>
      <c r="AH89" t="n">
        <v>4581.8785</v>
      </c>
      <c r="AI89" t="n">
        <v>-30.6444</v>
      </c>
      <c r="AJ89" t="n">
        <v>939.0805</v>
      </c>
      <c r="AK89" t="n">
        <v>87</v>
      </c>
      <c r="AL89" t="n">
        <v>86</v>
      </c>
      <c r="AM89" t="n">
        <v>4864.42</v>
      </c>
      <c r="AN89" t="n">
        <v>4794.3562</v>
      </c>
      <c r="AO89" t="n">
        <v>70.0638</v>
      </c>
      <c r="AP89" t="n">
        <v>4908.9389</v>
      </c>
      <c r="AQ89" t="n">
        <v>7.912196</v>
      </c>
      <c r="AR89" t="n">
        <v>15.766285</v>
      </c>
      <c r="AS89" t="n">
        <v>87</v>
      </c>
      <c r="AT89" t="n">
        <v>880</v>
      </c>
      <c r="AU89" t="n">
        <v>4551.2341</v>
      </c>
      <c r="AV89" t="n">
        <v>4581.8785</v>
      </c>
      <c r="AW89" t="n">
        <v>-30.6444</v>
      </c>
      <c r="AX89" t="n">
        <v>939.0805</v>
      </c>
      <c r="AY89" t="n">
        <v>87</v>
      </c>
      <c r="AZ89" t="n">
        <v>86</v>
      </c>
      <c r="BA89" t="n">
        <v>4864.42</v>
      </c>
      <c r="BB89" t="n">
        <v>4794.3562</v>
      </c>
      <c r="BC89" t="n">
        <v>70.0638</v>
      </c>
      <c r="BD89" t="n">
        <v>4908.9389</v>
      </c>
      <c r="BE89" t="n">
        <v>7396</v>
      </c>
    </row>
    <row r="90">
      <c r="A90" t="n">
        <v>1776433502</v>
      </c>
      <c r="B90" t="inlineStr">
        <is>
          <t>XAUUSD</t>
        </is>
      </c>
      <c r="C90" t="inlineStr">
        <is>
          <t>M15</t>
        </is>
      </c>
      <c r="D90" t="n">
        <v>4880.26</v>
      </c>
      <c r="E90" t="n">
        <v>4518.59282</v>
      </c>
      <c r="F90" t="n">
        <v>4596.05595</v>
      </c>
      <c r="G90" t="n">
        <v>4755.40355</v>
      </c>
      <c r="H90" t="n">
        <v>4792.76972</v>
      </c>
      <c r="Q90" t="n">
        <v>4794.08857</v>
      </c>
      <c r="R90" t="n">
        <v>4823.45187</v>
      </c>
      <c r="S90" t="n">
        <v>4850.04064</v>
      </c>
      <c r="V90" t="n">
        <v>4759.1488</v>
      </c>
      <c r="W90" t="n">
        <v>4725.5838</v>
      </c>
      <c r="AB90" t="n">
        <v>4873.23271</v>
      </c>
      <c r="AC90" t="n">
        <v>4867.68219</v>
      </c>
      <c r="AD90" t="n">
        <v>0</v>
      </c>
      <c r="AE90" t="n">
        <v>88</v>
      </c>
      <c r="AF90" t="n">
        <v>906</v>
      </c>
      <c r="AG90" t="n">
        <v>4635.2304</v>
      </c>
      <c r="AH90" t="n">
        <v>4574.9208</v>
      </c>
      <c r="AI90" t="n">
        <v>60.3096</v>
      </c>
      <c r="AJ90" t="n">
        <v>3637.2442</v>
      </c>
      <c r="AK90" t="n">
        <v>88</v>
      </c>
      <c r="AL90" t="n">
        <v>87</v>
      </c>
      <c r="AM90" t="n">
        <v>4880.26</v>
      </c>
      <c r="AN90" t="n">
        <v>4794.0886</v>
      </c>
      <c r="AO90" t="n">
        <v>86.17140000000001</v>
      </c>
      <c r="AP90" t="n">
        <v>7425.5153</v>
      </c>
      <c r="AQ90" t="n">
        <v>14.719921</v>
      </c>
      <c r="AR90" t="n">
        <v>36.075081</v>
      </c>
      <c r="AS90" t="n">
        <v>88</v>
      </c>
      <c r="AT90" t="n">
        <v>906</v>
      </c>
      <c r="AU90" t="n">
        <v>4635.2304</v>
      </c>
      <c r="AV90" t="n">
        <v>4574.9208</v>
      </c>
      <c r="AW90" t="n">
        <v>60.3096</v>
      </c>
      <c r="AX90" t="n">
        <v>3637.2442</v>
      </c>
      <c r="AY90" t="n">
        <v>88</v>
      </c>
      <c r="AZ90" t="n">
        <v>87</v>
      </c>
      <c r="BA90" t="n">
        <v>4880.26</v>
      </c>
      <c r="BB90" t="n">
        <v>4794.0886</v>
      </c>
      <c r="BC90" t="n">
        <v>86.17140000000001</v>
      </c>
      <c r="BD90" t="n">
        <v>7425.5153</v>
      </c>
      <c r="BE90" t="n">
        <v>7569</v>
      </c>
    </row>
    <row r="91">
      <c r="A91" t="n">
        <v>1776434402</v>
      </c>
      <c r="B91" t="inlineStr">
        <is>
          <t>XAUUSD</t>
        </is>
      </c>
      <c r="C91" t="inlineStr">
        <is>
          <t>M15</t>
        </is>
      </c>
      <c r="D91" t="n">
        <v>4867.03</v>
      </c>
      <c r="E91" t="n">
        <v>4518.59282</v>
      </c>
      <c r="F91" t="n">
        <v>4596.05595</v>
      </c>
      <c r="G91" t="n">
        <v>4755.40355</v>
      </c>
      <c r="H91" t="n">
        <v>4792.76972</v>
      </c>
      <c r="Q91" t="n">
        <v>4793.82097</v>
      </c>
      <c r="R91" t="n">
        <v>4823.18427</v>
      </c>
      <c r="S91" t="n">
        <v>4849.77304</v>
      </c>
      <c r="V91" t="n">
        <v>4758.8812</v>
      </c>
      <c r="W91" t="n">
        <v>4725.3162</v>
      </c>
      <c r="AB91" t="n">
        <v>4874.22342</v>
      </c>
      <c r="AC91" t="n">
        <v>4870.95281</v>
      </c>
      <c r="AD91" t="n">
        <v>0</v>
      </c>
      <c r="AE91" t="n">
        <v>89</v>
      </c>
      <c r="AF91" t="n">
        <v>928</v>
      </c>
      <c r="AG91" t="n">
        <v>4612.4703</v>
      </c>
      <c r="AH91" t="n">
        <v>4569.0335</v>
      </c>
      <c r="AI91" t="n">
        <v>43.4367</v>
      </c>
      <c r="AJ91" t="n">
        <v>1886.7495</v>
      </c>
      <c r="AK91" t="n">
        <v>89</v>
      </c>
      <c r="AL91" t="n">
        <v>88</v>
      </c>
      <c r="AM91" t="n">
        <v>4867.03</v>
      </c>
      <c r="AN91" t="n">
        <v>4793.821</v>
      </c>
      <c r="AO91" t="n">
        <v>73.209</v>
      </c>
      <c r="AP91" t="n">
        <v>5359.5621</v>
      </c>
      <c r="AQ91" t="n">
        <v>9.026294999999999</v>
      </c>
      <c r="AR91" t="n">
        <v>18.793719</v>
      </c>
      <c r="AS91" t="n">
        <v>89</v>
      </c>
      <c r="AT91" t="n">
        <v>928</v>
      </c>
      <c r="AU91" t="n">
        <v>4612.4703</v>
      </c>
      <c r="AV91" t="n">
        <v>4569.0335</v>
      </c>
      <c r="AW91" t="n">
        <v>43.4367</v>
      </c>
      <c r="AX91" t="n">
        <v>1886.7495</v>
      </c>
      <c r="AY91" t="n">
        <v>89</v>
      </c>
      <c r="AZ91" t="n">
        <v>88</v>
      </c>
      <c r="BA91" t="n">
        <v>4867.03</v>
      </c>
      <c r="BB91" t="n">
        <v>4793.821</v>
      </c>
      <c r="BC91" t="n">
        <v>73.209</v>
      </c>
      <c r="BD91" t="n">
        <v>5359.5621</v>
      </c>
      <c r="BE91" t="n">
        <v>7744</v>
      </c>
    </row>
    <row r="92">
      <c r="A92" t="n">
        <v>1776435302</v>
      </c>
      <c r="B92" t="inlineStr">
        <is>
          <t>XAUUSD</t>
        </is>
      </c>
      <c r="C92" t="inlineStr">
        <is>
          <t>M15</t>
        </is>
      </c>
      <c r="D92" t="n">
        <v>4871.43</v>
      </c>
      <c r="E92" t="n">
        <v>4518.59282</v>
      </c>
      <c r="F92" t="n">
        <v>4596.05595</v>
      </c>
      <c r="G92" t="n">
        <v>4755.40355</v>
      </c>
      <c r="H92" t="n">
        <v>4792.76972</v>
      </c>
      <c r="Q92" t="n">
        <v>4793.55336</v>
      </c>
      <c r="R92" t="n">
        <v>4822.91666</v>
      </c>
      <c r="S92" t="n">
        <v>4849.50543</v>
      </c>
      <c r="V92" t="n">
        <v>4758.61359</v>
      </c>
      <c r="W92" t="n">
        <v>4725.0486</v>
      </c>
      <c r="AB92" t="n">
        <v>4873.6899</v>
      </c>
      <c r="AC92" t="n">
        <v>4872.32135</v>
      </c>
      <c r="AD92" t="n">
        <v>0</v>
      </c>
      <c r="AE92" t="n">
        <v>90</v>
      </c>
      <c r="AF92" t="n">
        <v>936</v>
      </c>
      <c r="AG92" t="n">
        <v>4621.3179</v>
      </c>
      <c r="AH92" t="n">
        <v>4566.8927</v>
      </c>
      <c r="AI92" t="n">
        <v>54.4252</v>
      </c>
      <c r="AJ92" t="n">
        <v>2962.1024</v>
      </c>
      <c r="AK92" t="n">
        <v>90</v>
      </c>
      <c r="AL92" t="n">
        <v>89</v>
      </c>
      <c r="AM92" t="n">
        <v>4871.43</v>
      </c>
      <c r="AN92" t="n">
        <v>4793.5534</v>
      </c>
      <c r="AO92" t="n">
        <v>77.8766</v>
      </c>
      <c r="AP92" t="n">
        <v>6064.7711</v>
      </c>
      <c r="AQ92" t="n">
        <v>10.865187</v>
      </c>
      <c r="AR92" t="n">
        <v>24.064838</v>
      </c>
      <c r="AS92" t="n">
        <v>90</v>
      </c>
      <c r="AT92" t="n">
        <v>936</v>
      </c>
      <c r="AU92" t="n">
        <v>4621.3179</v>
      </c>
      <c r="AV92" t="n">
        <v>4566.8927</v>
      </c>
      <c r="AW92" t="n">
        <v>54.4252</v>
      </c>
      <c r="AX92" t="n">
        <v>2962.1024</v>
      </c>
      <c r="AY92" t="n">
        <v>90</v>
      </c>
      <c r="AZ92" t="n">
        <v>89</v>
      </c>
      <c r="BA92" t="n">
        <v>4871.43</v>
      </c>
      <c r="BB92" t="n">
        <v>4793.5534</v>
      </c>
      <c r="BC92" t="n">
        <v>77.8766</v>
      </c>
      <c r="BD92" t="n">
        <v>6064.7711</v>
      </c>
      <c r="BE92" t="n">
        <v>7921</v>
      </c>
    </row>
    <row r="93">
      <c r="A93" t="n">
        <v>1776436202</v>
      </c>
      <c r="B93" t="inlineStr">
        <is>
          <t>XAUUSD</t>
        </is>
      </c>
      <c r="C93" t="inlineStr">
        <is>
          <t>M15</t>
        </is>
      </c>
      <c r="D93" t="n">
        <v>4877.31</v>
      </c>
      <c r="E93" t="n">
        <v>4518.59282</v>
      </c>
      <c r="F93" t="n">
        <v>4596.05595</v>
      </c>
      <c r="G93" t="n">
        <v>4755.40355</v>
      </c>
      <c r="H93" t="n">
        <v>4792.76972</v>
      </c>
      <c r="Q93" t="n">
        <v>4793.28576</v>
      </c>
      <c r="R93" t="n">
        <v>4822.64906</v>
      </c>
      <c r="S93" t="n">
        <v>4849.23783</v>
      </c>
      <c r="V93" t="n">
        <v>4758.34599</v>
      </c>
      <c r="W93" t="n">
        <v>4724.78099</v>
      </c>
      <c r="AB93" t="n">
        <v>4872.14144</v>
      </c>
      <c r="AC93" t="n">
        <v>4872.2314</v>
      </c>
      <c r="AD93" t="n">
        <v>1</v>
      </c>
      <c r="AE93" t="n">
        <v>91</v>
      </c>
      <c r="AF93" t="n">
        <v>941</v>
      </c>
      <c r="AG93" t="n">
        <v>4618.4207</v>
      </c>
      <c r="AH93" t="n">
        <v>4565.5547</v>
      </c>
      <c r="AI93" t="n">
        <v>52.866</v>
      </c>
      <c r="AJ93" t="n">
        <v>2794.8118</v>
      </c>
      <c r="AK93" t="n">
        <v>91</v>
      </c>
      <c r="AL93" t="n">
        <v>90</v>
      </c>
      <c r="AM93" t="n">
        <v>4877.31</v>
      </c>
      <c r="AN93" t="n">
        <v>4793.2858</v>
      </c>
      <c r="AO93" t="n">
        <v>84.02419999999999</v>
      </c>
      <c r="AP93" t="n">
        <v>7060.0729</v>
      </c>
      <c r="AQ93" t="n">
        <v>13.646754</v>
      </c>
      <c r="AR93" t="n">
        <v>32.611628</v>
      </c>
      <c r="AS93" t="n">
        <v>91</v>
      </c>
      <c r="AT93" t="n">
        <v>941</v>
      </c>
      <c r="AU93" t="n">
        <v>4618.4207</v>
      </c>
      <c r="AV93" t="n">
        <v>4565.5547</v>
      </c>
      <c r="AW93" t="n">
        <v>52.866</v>
      </c>
      <c r="AX93" t="n">
        <v>2794.8118</v>
      </c>
      <c r="AY93" t="n">
        <v>91</v>
      </c>
      <c r="AZ93" t="n">
        <v>90</v>
      </c>
      <c r="BA93" t="n">
        <v>4877.31</v>
      </c>
      <c r="BB93" t="n">
        <v>4793.2858</v>
      </c>
      <c r="BC93" t="n">
        <v>84.02419999999999</v>
      </c>
      <c r="BD93" t="n">
        <v>7060.0729</v>
      </c>
      <c r="BE93" t="n">
        <v>8100</v>
      </c>
    </row>
    <row r="94">
      <c r="A94" t="n">
        <v>1776437102</v>
      </c>
      <c r="B94" t="inlineStr">
        <is>
          <t>XAUUSD</t>
        </is>
      </c>
      <c r="C94" t="inlineStr">
        <is>
          <t>M15</t>
        </is>
      </c>
      <c r="D94" t="n">
        <v>4873.15</v>
      </c>
      <c r="E94" t="n">
        <v>4518.59282</v>
      </c>
      <c r="F94" t="n">
        <v>4596.05595</v>
      </c>
      <c r="G94" t="n">
        <v>4755.40355</v>
      </c>
      <c r="H94" t="n">
        <v>4792.76972</v>
      </c>
      <c r="Q94" t="n">
        <v>4793.01815</v>
      </c>
      <c r="R94" t="n">
        <v>4822.38145</v>
      </c>
      <c r="S94" t="n">
        <v>4848.97022</v>
      </c>
      <c r="V94" t="n">
        <v>4758.07838</v>
      </c>
      <c r="W94" t="n">
        <v>4724.51339</v>
      </c>
      <c r="AB94" t="n">
        <v>4870.03546</v>
      </c>
      <c r="AC94" t="n">
        <v>4871.13343</v>
      </c>
      <c r="AD94" t="n">
        <v>0</v>
      </c>
      <c r="AE94" t="n">
        <v>92</v>
      </c>
      <c r="AF94" t="n">
        <v>949</v>
      </c>
      <c r="AG94" t="n">
        <v>4631.1862</v>
      </c>
      <c r="AH94" t="n">
        <v>4563.4138</v>
      </c>
      <c r="AI94" t="n">
        <v>67.7724</v>
      </c>
      <c r="AJ94" t="n">
        <v>4593.0955</v>
      </c>
      <c r="AK94" t="n">
        <v>92</v>
      </c>
      <c r="AL94" t="n">
        <v>91</v>
      </c>
      <c r="AM94" t="n">
        <v>4873.15</v>
      </c>
      <c r="AN94" t="n">
        <v>4793.0181</v>
      </c>
      <c r="AO94" t="n">
        <v>80.1318</v>
      </c>
      <c r="AP94" t="n">
        <v>6421.1134</v>
      </c>
      <c r="AQ94" t="n">
        <v>11.836712</v>
      </c>
      <c r="AR94" t="n">
        <v>26.975828</v>
      </c>
      <c r="AS94" t="n">
        <v>92</v>
      </c>
      <c r="AT94" t="n">
        <v>949</v>
      </c>
      <c r="AU94" t="n">
        <v>4631.1862</v>
      </c>
      <c r="AV94" t="n">
        <v>4563.4138</v>
      </c>
      <c r="AW94" t="n">
        <v>67.7724</v>
      </c>
      <c r="AX94" t="n">
        <v>4593.0955</v>
      </c>
      <c r="AY94" t="n">
        <v>92</v>
      </c>
      <c r="AZ94" t="n">
        <v>91</v>
      </c>
      <c r="BA94" t="n">
        <v>4873.15</v>
      </c>
      <c r="BB94" t="n">
        <v>4793.0181</v>
      </c>
      <c r="BC94" t="n">
        <v>80.1318</v>
      </c>
      <c r="BD94" t="n">
        <v>6421.1134</v>
      </c>
      <c r="BE94" t="n">
        <v>8281</v>
      </c>
    </row>
    <row r="95">
      <c r="A95" t="n">
        <v>1776438002</v>
      </c>
      <c r="B95" t="inlineStr">
        <is>
          <t>XAUUSD</t>
        </is>
      </c>
      <c r="C95" t="inlineStr">
        <is>
          <t>M15</t>
        </is>
      </c>
      <c r="D95" t="n">
        <v>4867.01</v>
      </c>
      <c r="E95" t="n">
        <v>4518.59282</v>
      </c>
      <c r="F95" t="n">
        <v>4596.05595</v>
      </c>
      <c r="G95" t="n">
        <v>4755.40355</v>
      </c>
      <c r="H95" t="n">
        <v>4792.76972</v>
      </c>
      <c r="Q95" t="n">
        <v>4792.75055</v>
      </c>
      <c r="R95" t="n">
        <v>4822.11385</v>
      </c>
      <c r="S95" t="n">
        <v>4848.70262</v>
      </c>
      <c r="V95" t="n">
        <v>4757.81078</v>
      </c>
      <c r="W95" t="n">
        <v>4724.24578</v>
      </c>
      <c r="AB95" t="n">
        <v>4868.01273</v>
      </c>
      <c r="AC95" t="n">
        <v>4869.57308</v>
      </c>
      <c r="AD95" t="n">
        <v>0</v>
      </c>
      <c r="AE95" t="n">
        <v>93</v>
      </c>
      <c r="AF95" t="n">
        <v>958</v>
      </c>
      <c r="AG95" t="n">
        <v>4621.1766</v>
      </c>
      <c r="AH95" t="n">
        <v>4561.0054</v>
      </c>
      <c r="AI95" t="n">
        <v>60.1712</v>
      </c>
      <c r="AJ95" t="n">
        <v>3620.5769</v>
      </c>
      <c r="AK95" t="n">
        <v>93</v>
      </c>
      <c r="AL95" t="n">
        <v>92</v>
      </c>
      <c r="AM95" t="n">
        <v>4867.01</v>
      </c>
      <c r="AN95" t="n">
        <v>4792.7505</v>
      </c>
      <c r="AO95" t="n">
        <v>74.2595</v>
      </c>
      <c r="AP95" t="n">
        <v>5514.4659</v>
      </c>
      <c r="AQ95" t="n">
        <v>9.420431000000001</v>
      </c>
      <c r="AR95" t="n">
        <v>19.895783</v>
      </c>
      <c r="AS95" t="n">
        <v>93</v>
      </c>
      <c r="AT95" t="n">
        <v>958</v>
      </c>
      <c r="AU95" t="n">
        <v>4621.1766</v>
      </c>
      <c r="AV95" t="n">
        <v>4561.0054</v>
      </c>
      <c r="AW95" t="n">
        <v>60.1712</v>
      </c>
      <c r="AX95" t="n">
        <v>3620.5769</v>
      </c>
      <c r="AY95" t="n">
        <v>93</v>
      </c>
      <c r="AZ95" t="n">
        <v>92</v>
      </c>
      <c r="BA95" t="n">
        <v>4867.01</v>
      </c>
      <c r="BB95" t="n">
        <v>4792.7505</v>
      </c>
      <c r="BC95" t="n">
        <v>74.2595</v>
      </c>
      <c r="BD95" t="n">
        <v>5514.4659</v>
      </c>
      <c r="BE95" t="n">
        <v>8464</v>
      </c>
    </row>
    <row r="96">
      <c r="A96" t="n">
        <v>1776438902</v>
      </c>
      <c r="B96" t="inlineStr">
        <is>
          <t>XAUUSD</t>
        </is>
      </c>
      <c r="C96" t="inlineStr">
        <is>
          <t>M15</t>
        </is>
      </c>
      <c r="D96" t="n">
        <v>4865.86</v>
      </c>
      <c r="E96" t="n">
        <v>4518.59282</v>
      </c>
      <c r="F96" t="n">
        <v>4596.05595</v>
      </c>
      <c r="G96" t="n">
        <v>4755.40355</v>
      </c>
      <c r="H96" t="n">
        <v>4792.76972</v>
      </c>
      <c r="Q96" t="n">
        <v>4792.48295</v>
      </c>
      <c r="R96" t="n">
        <v>4821.84625</v>
      </c>
      <c r="S96" t="n">
        <v>4848.43502</v>
      </c>
      <c r="V96" t="n">
        <v>4757.54318</v>
      </c>
      <c r="W96" t="n">
        <v>4723.97818</v>
      </c>
      <c r="AB96" t="n">
        <v>4866.63487</v>
      </c>
      <c r="AC96" t="n">
        <v>4868.10398</v>
      </c>
      <c r="AD96" t="n">
        <v>0</v>
      </c>
      <c r="AE96" t="n">
        <v>94</v>
      </c>
      <c r="AF96" t="n">
        <v>965</v>
      </c>
      <c r="AG96" t="n">
        <v>4624.7019</v>
      </c>
      <c r="AH96" t="n">
        <v>4559.1322</v>
      </c>
      <c r="AI96" t="n">
        <v>65.5697</v>
      </c>
      <c r="AJ96" t="n">
        <v>4299.3842</v>
      </c>
      <c r="AK96" t="n">
        <v>94</v>
      </c>
      <c r="AL96" t="n">
        <v>93</v>
      </c>
      <c r="AM96" t="n">
        <v>4865.86</v>
      </c>
      <c r="AN96" t="n">
        <v>4792.4829</v>
      </c>
      <c r="AO96" t="n">
        <v>73.3771</v>
      </c>
      <c r="AP96" t="n">
        <v>5384.1915</v>
      </c>
      <c r="AQ96" t="n">
        <v>9.088585999999999</v>
      </c>
      <c r="AR96" t="n">
        <v>18.966845</v>
      </c>
      <c r="AS96" t="n">
        <v>94</v>
      </c>
      <c r="AT96" t="n">
        <v>965</v>
      </c>
      <c r="AU96" t="n">
        <v>4624.7019</v>
      </c>
      <c r="AV96" t="n">
        <v>4559.1322</v>
      </c>
      <c r="AW96" t="n">
        <v>65.5697</v>
      </c>
      <c r="AX96" t="n">
        <v>4299.3842</v>
      </c>
      <c r="AY96" t="n">
        <v>94</v>
      </c>
      <c r="AZ96" t="n">
        <v>93</v>
      </c>
      <c r="BA96" t="n">
        <v>4865.86</v>
      </c>
      <c r="BB96" t="n">
        <v>4792.4829</v>
      </c>
      <c r="BC96" t="n">
        <v>73.3771</v>
      </c>
      <c r="BD96" t="n">
        <v>5384.1915</v>
      </c>
      <c r="BE96" t="n">
        <v>8649</v>
      </c>
    </row>
    <row r="97">
      <c r="A97" t="n">
        <v>1776439802</v>
      </c>
      <c r="B97" t="inlineStr">
        <is>
          <t>XAUUSD</t>
        </is>
      </c>
      <c r="C97" t="inlineStr">
        <is>
          <t>M15</t>
        </is>
      </c>
      <c r="D97" t="n">
        <v>4858.58</v>
      </c>
      <c r="E97" t="n">
        <v>4518.59282</v>
      </c>
      <c r="F97" t="n">
        <v>4596.05595</v>
      </c>
      <c r="G97" t="n">
        <v>4755.40355</v>
      </c>
      <c r="H97" t="n">
        <v>4792.76972</v>
      </c>
      <c r="Q97" t="n">
        <v>4792.21534</v>
      </c>
      <c r="R97" t="n">
        <v>4821.57864</v>
      </c>
      <c r="S97" t="n">
        <v>4848.16741</v>
      </c>
      <c r="V97" t="n">
        <v>4757.27557</v>
      </c>
      <c r="W97" t="n">
        <v>4723.71058</v>
      </c>
      <c r="AB97" t="n">
        <v>4866.04238</v>
      </c>
      <c r="AC97" t="n">
        <v>4867.07318</v>
      </c>
      <c r="AD97" t="n">
        <v>0</v>
      </c>
      <c r="AE97" t="n">
        <v>95</v>
      </c>
      <c r="AF97" t="n">
        <v>992</v>
      </c>
      <c r="AG97" t="n">
        <v>4566.9336</v>
      </c>
      <c r="AH97" t="n">
        <v>4551.9069</v>
      </c>
      <c r="AI97" t="n">
        <v>15.0268</v>
      </c>
      <c r="AJ97" t="n">
        <v>225.8035</v>
      </c>
      <c r="AK97" t="n">
        <v>95</v>
      </c>
      <c r="AL97" t="n">
        <v>94</v>
      </c>
      <c r="AM97" t="n">
        <v>4858.58</v>
      </c>
      <c r="AN97" t="n">
        <v>4792.2153</v>
      </c>
      <c r="AO97" t="n">
        <v>66.3647</v>
      </c>
      <c r="AP97" t="n">
        <v>4404.2681</v>
      </c>
      <c r="AQ97" t="n">
        <v>6.723977</v>
      </c>
      <c r="AR97" t="n">
        <v>12.691168</v>
      </c>
      <c r="AS97" t="n">
        <v>95</v>
      </c>
      <c r="AT97" t="n">
        <v>992</v>
      </c>
      <c r="AU97" t="n">
        <v>4566.9336</v>
      </c>
      <c r="AV97" t="n">
        <v>4551.9069</v>
      </c>
      <c r="AW97" t="n">
        <v>15.0268</v>
      </c>
      <c r="AX97" t="n">
        <v>225.8035</v>
      </c>
      <c r="AY97" t="n">
        <v>95</v>
      </c>
      <c r="AZ97" t="n">
        <v>94</v>
      </c>
      <c r="BA97" t="n">
        <v>4858.58</v>
      </c>
      <c r="BB97" t="n">
        <v>4792.2153</v>
      </c>
      <c r="BC97" t="n">
        <v>66.3647</v>
      </c>
      <c r="BD97" t="n">
        <v>4404.2681</v>
      </c>
      <c r="BE97" t="n">
        <v>8836</v>
      </c>
    </row>
    <row r="98">
      <c r="A98" t="n">
        <v>1776440702</v>
      </c>
      <c r="B98" t="inlineStr">
        <is>
          <t>XAUUSD</t>
        </is>
      </c>
      <c r="C98" t="inlineStr">
        <is>
          <t>M15</t>
        </is>
      </c>
      <c r="D98" t="n">
        <v>4867.57</v>
      </c>
      <c r="E98" t="n">
        <v>4518.59282</v>
      </c>
      <c r="F98" t="n">
        <v>4596.05595</v>
      </c>
      <c r="G98" t="n">
        <v>4755.40355</v>
      </c>
      <c r="H98" t="n">
        <v>4792.76972</v>
      </c>
      <c r="Q98" t="n">
        <v>4791.94774</v>
      </c>
      <c r="R98" t="n">
        <v>4821.31104</v>
      </c>
      <c r="S98" t="n">
        <v>4847.89981</v>
      </c>
      <c r="V98" t="n">
        <v>4757.00797</v>
      </c>
      <c r="W98" t="n">
        <v>4723.44297</v>
      </c>
      <c r="AB98" t="n">
        <v>4866.29834</v>
      </c>
      <c r="AC98" t="n">
        <v>4866.68576</v>
      </c>
      <c r="AD98" t="n">
        <v>0</v>
      </c>
      <c r="AE98" t="n">
        <v>96</v>
      </c>
      <c r="AF98" t="n">
        <v>1016</v>
      </c>
      <c r="AG98" t="n">
        <v>4640.4135</v>
      </c>
      <c r="AH98" t="n">
        <v>4545.4844</v>
      </c>
      <c r="AI98" t="n">
        <v>94.92910000000001</v>
      </c>
      <c r="AJ98" t="n">
        <v>9011.5321</v>
      </c>
      <c r="AK98" t="n">
        <v>96</v>
      </c>
      <c r="AL98" t="n">
        <v>95</v>
      </c>
      <c r="AM98" t="n">
        <v>4867.57</v>
      </c>
      <c r="AN98" t="n">
        <v>4791.9477</v>
      </c>
      <c r="AO98" t="n">
        <v>75.6223</v>
      </c>
      <c r="AP98" t="n">
        <v>5718.7262</v>
      </c>
      <c r="AQ98" t="n">
        <v>9.948658999999999</v>
      </c>
      <c r="AR98" t="n">
        <v>21.396992</v>
      </c>
      <c r="AS98" t="n">
        <v>96</v>
      </c>
      <c r="AT98" t="n">
        <v>1016</v>
      </c>
      <c r="AU98" t="n">
        <v>4640.4135</v>
      </c>
      <c r="AV98" t="n">
        <v>4545.4844</v>
      </c>
      <c r="AW98" t="n">
        <v>94.92910000000001</v>
      </c>
      <c r="AX98" t="n">
        <v>9011.5321</v>
      </c>
      <c r="AY98" t="n">
        <v>96</v>
      </c>
      <c r="AZ98" t="n">
        <v>95</v>
      </c>
      <c r="BA98" t="n">
        <v>4867.57</v>
      </c>
      <c r="BB98" t="n">
        <v>4791.9477</v>
      </c>
      <c r="BC98" t="n">
        <v>75.6223</v>
      </c>
      <c r="BD98" t="n">
        <v>5718.7262</v>
      </c>
      <c r="BE98" t="n">
        <v>9025</v>
      </c>
    </row>
    <row r="99">
      <c r="A99" t="n">
        <v>1776441602</v>
      </c>
      <c r="B99" t="inlineStr">
        <is>
          <t>XAUUSD</t>
        </is>
      </c>
      <c r="C99" t="inlineStr">
        <is>
          <t>M15</t>
        </is>
      </c>
      <c r="D99" t="n">
        <v>4871.66</v>
      </c>
      <c r="E99" t="n">
        <v>4518.59282</v>
      </c>
      <c r="F99" t="n">
        <v>4596.05595</v>
      </c>
      <c r="G99" t="n">
        <v>4755.40355</v>
      </c>
      <c r="H99" t="n">
        <v>4792.76972</v>
      </c>
      <c r="Q99" t="n">
        <v>4791.68013</v>
      </c>
      <c r="R99" t="n">
        <v>4821.04343</v>
      </c>
      <c r="S99" t="n">
        <v>4847.6322</v>
      </c>
      <c r="V99" t="n">
        <v>4756.74036</v>
      </c>
      <c r="W99" t="n">
        <v>4723.17537</v>
      </c>
      <c r="AB99" t="n">
        <v>4866.79109</v>
      </c>
      <c r="AC99" t="n">
        <v>4866.73842</v>
      </c>
      <c r="AD99" t="n">
        <v>1</v>
      </c>
      <c r="AE99" t="n">
        <v>97</v>
      </c>
      <c r="AF99" t="n">
        <v>1034</v>
      </c>
      <c r="AG99" t="n">
        <v>4615.1934</v>
      </c>
      <c r="AH99" t="n">
        <v>4540.6675</v>
      </c>
      <c r="AI99" t="n">
        <v>74.52589999999999</v>
      </c>
      <c r="AJ99" t="n">
        <v>5554.1142</v>
      </c>
      <c r="AK99" t="n">
        <v>97</v>
      </c>
      <c r="AL99" t="n">
        <v>96</v>
      </c>
      <c r="AM99" t="n">
        <v>4871.66</v>
      </c>
      <c r="AN99" t="n">
        <v>4791.6801</v>
      </c>
      <c r="AO99" t="n">
        <v>79.9799</v>
      </c>
      <c r="AP99" t="n">
        <v>6396.7796</v>
      </c>
      <c r="AQ99" t="n">
        <v>11.769491</v>
      </c>
      <c r="AR99" t="n">
        <v>26.771758</v>
      </c>
      <c r="AS99" t="n">
        <v>97</v>
      </c>
      <c r="AT99" t="n">
        <v>1034</v>
      </c>
      <c r="AU99" t="n">
        <v>4615.1934</v>
      </c>
      <c r="AV99" t="n">
        <v>4540.6675</v>
      </c>
      <c r="AW99" t="n">
        <v>74.52589999999999</v>
      </c>
      <c r="AX99" t="n">
        <v>5554.1142</v>
      </c>
      <c r="AY99" t="n">
        <v>97</v>
      </c>
      <c r="AZ99" t="n">
        <v>96</v>
      </c>
      <c r="BA99" t="n">
        <v>4871.66</v>
      </c>
      <c r="BB99" t="n">
        <v>4791.6801</v>
      </c>
      <c r="BC99" t="n">
        <v>79.9799</v>
      </c>
      <c r="BD99" t="n">
        <v>6396.7796</v>
      </c>
      <c r="BE99" t="n">
        <v>9216</v>
      </c>
    </row>
    <row r="100">
      <c r="A100" t="n">
        <v>1776442502</v>
      </c>
      <c r="B100" t="inlineStr">
        <is>
          <t>XAUUSD</t>
        </is>
      </c>
      <c r="C100" t="inlineStr">
        <is>
          <t>M15</t>
        </is>
      </c>
      <c r="D100" t="n">
        <v>4867.71</v>
      </c>
      <c r="E100" t="n">
        <v>4518.59282</v>
      </c>
      <c r="F100" t="n">
        <v>4596.05595</v>
      </c>
      <c r="G100" t="n">
        <v>4755.40355</v>
      </c>
      <c r="H100" t="n">
        <v>4792.76972</v>
      </c>
      <c r="Q100" t="n">
        <v>4791.41253</v>
      </c>
      <c r="R100" t="n">
        <v>4820.77583</v>
      </c>
      <c r="S100" t="n">
        <v>4847.3646</v>
      </c>
      <c r="V100" t="n">
        <v>4756.47276</v>
      </c>
      <c r="W100" t="n">
        <v>4722.90776</v>
      </c>
      <c r="AB100" t="n">
        <v>4866.99342</v>
      </c>
      <c r="AC100" t="n">
        <v>4866.86592</v>
      </c>
      <c r="AD100" t="n">
        <v>0</v>
      </c>
      <c r="AE100" t="n">
        <v>98</v>
      </c>
      <c r="AF100" t="n">
        <v>1040</v>
      </c>
      <c r="AG100" t="n">
        <v>4619.5298</v>
      </c>
      <c r="AH100" t="n">
        <v>4539.0619</v>
      </c>
      <c r="AI100" t="n">
        <v>80.468</v>
      </c>
      <c r="AJ100" t="n">
        <v>6475.0926</v>
      </c>
      <c r="AK100" t="n">
        <v>98</v>
      </c>
      <c r="AL100" t="n">
        <v>97</v>
      </c>
      <c r="AM100" t="n">
        <v>4867.71</v>
      </c>
      <c r="AN100" t="n">
        <v>4791.4125</v>
      </c>
      <c r="AO100" t="n">
        <v>76.2975</v>
      </c>
      <c r="AP100" t="n">
        <v>5821.3039</v>
      </c>
      <c r="AQ100" t="n">
        <v>10.217532</v>
      </c>
      <c r="AR100" t="n">
        <v>22.171479</v>
      </c>
      <c r="AS100" t="n">
        <v>98</v>
      </c>
      <c r="AT100" t="n">
        <v>1040</v>
      </c>
      <c r="AU100" t="n">
        <v>4619.5298</v>
      </c>
      <c r="AV100" t="n">
        <v>4539.0619</v>
      </c>
      <c r="AW100" t="n">
        <v>80.468</v>
      </c>
      <c r="AX100" t="n">
        <v>6475.0926</v>
      </c>
      <c r="AY100" t="n">
        <v>98</v>
      </c>
      <c r="AZ100" t="n">
        <v>97</v>
      </c>
      <c r="BA100" t="n">
        <v>4867.71</v>
      </c>
      <c r="BB100" t="n">
        <v>4791.4125</v>
      </c>
      <c r="BC100" t="n">
        <v>76.2975</v>
      </c>
      <c r="BD100" t="n">
        <v>5821.3039</v>
      </c>
      <c r="BE100" t="n">
        <v>9409</v>
      </c>
    </row>
    <row r="101">
      <c r="A101" t="n">
        <v>1776443402</v>
      </c>
      <c r="B101" t="inlineStr">
        <is>
          <t>XAUUSD</t>
        </is>
      </c>
      <c r="C101" t="inlineStr">
        <is>
          <t>M15</t>
        </is>
      </c>
      <c r="D101" t="n">
        <v>4868.37</v>
      </c>
      <c r="E101" t="n">
        <v>4518.59282</v>
      </c>
      <c r="F101" t="n">
        <v>4596.05595</v>
      </c>
      <c r="G101" t="n">
        <v>4755.40355</v>
      </c>
      <c r="H101" t="n">
        <v>4792.76972</v>
      </c>
      <c r="Q101" t="n">
        <v>4791.14493</v>
      </c>
      <c r="R101" t="n">
        <v>4820.50822</v>
      </c>
      <c r="S101" t="n">
        <v>4847.097</v>
      </c>
      <c r="V101" t="n">
        <v>4756.20516</v>
      </c>
      <c r="W101" t="n">
        <v>4722.64016</v>
      </c>
      <c r="AB101" t="n">
        <v>4866.68822</v>
      </c>
      <c r="AC101" t="n">
        <v>4866.77707</v>
      </c>
      <c r="AD101" t="n">
        <v>1</v>
      </c>
      <c r="AE101" t="n">
        <v>99</v>
      </c>
      <c r="AF101" t="n">
        <v>1053</v>
      </c>
      <c r="AG101" t="n">
        <v>4603.4631</v>
      </c>
      <c r="AH101" t="n">
        <v>4535.583</v>
      </c>
      <c r="AI101" t="n">
        <v>67.8801</v>
      </c>
      <c r="AJ101" t="n">
        <v>4607.7093</v>
      </c>
      <c r="AK101" t="n">
        <v>99</v>
      </c>
      <c r="AL101" t="n">
        <v>98</v>
      </c>
      <c r="AM101" t="n">
        <v>4868.37</v>
      </c>
      <c r="AN101" t="n">
        <v>4791.1449</v>
      </c>
      <c r="AO101" t="n">
        <v>77.2251</v>
      </c>
      <c r="AP101" t="n">
        <v>5963.7114</v>
      </c>
      <c r="AQ101" t="n">
        <v>10.594745</v>
      </c>
      <c r="AR101" t="n">
        <v>23.269516</v>
      </c>
      <c r="AS101" t="n">
        <v>99</v>
      </c>
      <c r="AT101" t="n">
        <v>1053</v>
      </c>
      <c r="AU101" t="n">
        <v>4603.4631</v>
      </c>
      <c r="AV101" t="n">
        <v>4535.583</v>
      </c>
      <c r="AW101" t="n">
        <v>67.8801</v>
      </c>
      <c r="AX101" t="n">
        <v>4607.7093</v>
      </c>
      <c r="AY101" t="n">
        <v>99</v>
      </c>
      <c r="AZ101" t="n">
        <v>98</v>
      </c>
      <c r="BA101" t="n">
        <v>4868.37</v>
      </c>
      <c r="BB101" t="n">
        <v>4791.1449</v>
      </c>
      <c r="BC101" t="n">
        <v>77.2251</v>
      </c>
      <c r="BD101" t="n">
        <v>5963.7114</v>
      </c>
      <c r="BE101" t="n">
        <v>9604</v>
      </c>
    </row>
    <row r="102">
      <c r="A102" t="n">
        <v>1776444302</v>
      </c>
      <c r="B102" t="inlineStr">
        <is>
          <t>XAUUSD</t>
        </is>
      </c>
      <c r="C102" t="inlineStr">
        <is>
          <t>M15</t>
        </is>
      </c>
      <c r="D102" t="n">
        <v>4867.12</v>
      </c>
      <c r="E102" t="n">
        <v>4518.59282</v>
      </c>
      <c r="F102" t="n">
        <v>4596.05595</v>
      </c>
      <c r="G102" t="n">
        <v>4755.40355</v>
      </c>
      <c r="H102" t="n">
        <v>4792.76972</v>
      </c>
      <c r="Q102" t="n">
        <v>4790.87732</v>
      </c>
      <c r="R102" t="n">
        <v>4820.24062</v>
      </c>
      <c r="S102" t="n">
        <v>4846.82939</v>
      </c>
      <c r="V102" t="n">
        <v>4755.93755</v>
      </c>
      <c r="W102" t="n">
        <v>4722.37256</v>
      </c>
      <c r="AB102" t="n">
        <v>4865.68712</v>
      </c>
      <c r="AC102" t="n">
        <v>4866.23209</v>
      </c>
      <c r="AD102" t="n">
        <v>0</v>
      </c>
      <c r="AE102" t="n">
        <v>100</v>
      </c>
      <c r="AF102" t="n">
        <v>1061</v>
      </c>
      <c r="AG102" t="n">
        <v>4609.1787</v>
      </c>
      <c r="AH102" t="n">
        <v>4533.4422</v>
      </c>
      <c r="AI102" t="n">
        <v>75.73650000000001</v>
      </c>
      <c r="AJ102" t="n">
        <v>5736.0174</v>
      </c>
      <c r="AK102" t="n">
        <v>100</v>
      </c>
      <c r="AL102" t="n">
        <v>99</v>
      </c>
      <c r="AM102" t="n">
        <v>4867.12</v>
      </c>
      <c r="AN102" t="n">
        <v>4790.8773</v>
      </c>
      <c r="AO102" t="n">
        <v>76.2427</v>
      </c>
      <c r="AP102" t="n">
        <v>5812.9463</v>
      </c>
      <c r="AQ102" t="n">
        <v>10.195536</v>
      </c>
      <c r="AR102" t="n">
        <v>22.107861</v>
      </c>
      <c r="AS102" t="n">
        <v>100</v>
      </c>
      <c r="AT102" t="n">
        <v>1061</v>
      </c>
      <c r="AU102" t="n">
        <v>4609.1787</v>
      </c>
      <c r="AV102" t="n">
        <v>4533.4422</v>
      </c>
      <c r="AW102" t="n">
        <v>75.73650000000001</v>
      </c>
      <c r="AX102" t="n">
        <v>5736.0174</v>
      </c>
      <c r="AY102" t="n">
        <v>100</v>
      </c>
      <c r="AZ102" t="n">
        <v>99</v>
      </c>
      <c r="BA102" t="n">
        <v>4867.12</v>
      </c>
      <c r="BB102" t="n">
        <v>4790.8773</v>
      </c>
      <c r="BC102" t="n">
        <v>76.2427</v>
      </c>
      <c r="BD102" t="n">
        <v>5812.9463</v>
      </c>
      <c r="BE102" t="n">
        <v>9801</v>
      </c>
    </row>
    <row r="103">
      <c r="A103" t="n">
        <v>1776445202</v>
      </c>
      <c r="B103" t="inlineStr">
        <is>
          <t>XAUUSD</t>
        </is>
      </c>
      <c r="C103" t="inlineStr">
        <is>
          <t>M15</t>
        </is>
      </c>
      <c r="D103" t="n">
        <v>4862.89</v>
      </c>
      <c r="E103" t="n">
        <v>4518.59282</v>
      </c>
      <c r="F103" t="n">
        <v>4596.05595</v>
      </c>
      <c r="G103" t="n">
        <v>4755.40355</v>
      </c>
      <c r="H103" t="n">
        <v>4792.76972</v>
      </c>
      <c r="Q103" t="n">
        <v>4790.60972</v>
      </c>
      <c r="R103" t="n">
        <v>4819.97302</v>
      </c>
      <c r="S103" t="n">
        <v>4846.56179</v>
      </c>
      <c r="V103" t="n">
        <v>4755.66995</v>
      </c>
      <c r="W103" t="n">
        <v>4722.10495</v>
      </c>
      <c r="AB103" t="n">
        <v>4864.07221</v>
      </c>
      <c r="AC103" t="n">
        <v>4865.15215</v>
      </c>
      <c r="AD103" t="n">
        <v>0</v>
      </c>
      <c r="AE103" t="n">
        <v>101</v>
      </c>
      <c r="AF103" t="n">
        <v>1089</v>
      </c>
      <c r="AG103" t="n">
        <v>4559.2624</v>
      </c>
      <c r="AH103" t="n">
        <v>4525.9493</v>
      </c>
      <c r="AI103" t="n">
        <v>33.3131</v>
      </c>
      <c r="AJ103" t="n">
        <v>1109.7626</v>
      </c>
      <c r="AK103" t="n">
        <v>101</v>
      </c>
      <c r="AL103" t="n">
        <v>100</v>
      </c>
      <c r="AM103" t="n">
        <v>4862.89</v>
      </c>
      <c r="AN103" t="n">
        <v>4790.6097</v>
      </c>
      <c r="AO103" t="n">
        <v>72.2803</v>
      </c>
      <c r="AP103" t="n">
        <v>5224.4389</v>
      </c>
      <c r="AQ103" t="n">
        <v>8.687105000000001</v>
      </c>
      <c r="AR103" t="n">
        <v>17.858025</v>
      </c>
      <c r="AS103" t="n">
        <v>101</v>
      </c>
      <c r="AT103" t="n">
        <v>1089</v>
      </c>
      <c r="AU103" t="n">
        <v>4559.2624</v>
      </c>
      <c r="AV103" t="n">
        <v>4525.9493</v>
      </c>
      <c r="AW103" t="n">
        <v>33.3131</v>
      </c>
      <c r="AX103" t="n">
        <v>1109.7626</v>
      </c>
      <c r="AY103" t="n">
        <v>101</v>
      </c>
      <c r="AZ103" t="n">
        <v>100</v>
      </c>
      <c r="BA103" t="n">
        <v>4862.89</v>
      </c>
      <c r="BB103" t="n">
        <v>4790.6097</v>
      </c>
      <c r="BC103" t="n">
        <v>72.2803</v>
      </c>
      <c r="BD103" t="n">
        <v>5224.4389</v>
      </c>
      <c r="BE103" t="n">
        <v>10000</v>
      </c>
    </row>
    <row r="104">
      <c r="A104" t="n">
        <v>1776446102</v>
      </c>
      <c r="B104" t="inlineStr">
        <is>
          <t>XAUUSD</t>
        </is>
      </c>
      <c r="C104" t="inlineStr">
        <is>
          <t>M15</t>
        </is>
      </c>
      <c r="D104" t="n">
        <v>4858.63</v>
      </c>
      <c r="E104" t="n">
        <v>4518.59282</v>
      </c>
      <c r="F104" t="n">
        <v>4596.05595</v>
      </c>
      <c r="G104" t="n">
        <v>4755.40355</v>
      </c>
      <c r="H104" t="n">
        <v>4792.76972</v>
      </c>
      <c r="Q104" t="n">
        <v>4790.34211</v>
      </c>
      <c r="R104" t="n">
        <v>4819.70541</v>
      </c>
      <c r="S104" t="n">
        <v>4846.29418</v>
      </c>
      <c r="V104" t="n">
        <v>4755.40234</v>
      </c>
      <c r="W104" t="n">
        <v>4721.83735</v>
      </c>
      <c r="AB104" t="n">
        <v>4862.19924</v>
      </c>
      <c r="AC104" t="n">
        <v>4863.67569</v>
      </c>
      <c r="AD104" t="n">
        <v>0</v>
      </c>
      <c r="AE104" t="n">
        <v>102</v>
      </c>
      <c r="AF104" t="n">
        <v>1101</v>
      </c>
      <c r="AG104" t="n">
        <v>4566.5537</v>
      </c>
      <c r="AH104" t="n">
        <v>4522.738</v>
      </c>
      <c r="AI104" t="n">
        <v>43.8157</v>
      </c>
      <c r="AJ104" t="n">
        <v>1919.8156</v>
      </c>
      <c r="AK104" t="n">
        <v>102</v>
      </c>
      <c r="AL104" t="n">
        <v>101</v>
      </c>
      <c r="AM104" t="n">
        <v>4858.63</v>
      </c>
      <c r="AN104" t="n">
        <v>4790.3421</v>
      </c>
      <c r="AO104" t="n">
        <v>68.28789999999999</v>
      </c>
      <c r="AP104" t="n">
        <v>4663.2359</v>
      </c>
      <c r="AQ104" t="n">
        <v>7.325658</v>
      </c>
      <c r="AR104" t="n">
        <v>14.22751</v>
      </c>
      <c r="AS104" t="n">
        <v>102</v>
      </c>
      <c r="AT104" t="n">
        <v>1101</v>
      </c>
      <c r="AU104" t="n">
        <v>4566.5537</v>
      </c>
      <c r="AV104" t="n">
        <v>4522.738</v>
      </c>
      <c r="AW104" t="n">
        <v>43.8157</v>
      </c>
      <c r="AX104" t="n">
        <v>1919.8156</v>
      </c>
      <c r="AY104" t="n">
        <v>102</v>
      </c>
      <c r="AZ104" t="n">
        <v>101</v>
      </c>
      <c r="BA104" t="n">
        <v>4858.63</v>
      </c>
      <c r="BB104" t="n">
        <v>4790.3421</v>
      </c>
      <c r="BC104" t="n">
        <v>68.28789999999999</v>
      </c>
      <c r="BD104" t="n">
        <v>4663.2359</v>
      </c>
      <c r="BE104" t="n">
        <v>10201</v>
      </c>
    </row>
    <row r="105">
      <c r="A105" t="n">
        <v>1776447002</v>
      </c>
      <c r="B105" t="inlineStr">
        <is>
          <t>XAUUSD</t>
        </is>
      </c>
      <c r="C105" t="inlineStr">
        <is>
          <t>M15</t>
        </is>
      </c>
      <c r="D105" t="n">
        <v>4855.01</v>
      </c>
      <c r="E105" t="n">
        <v>4518.59282</v>
      </c>
      <c r="F105" t="n">
        <v>4596.05595</v>
      </c>
      <c r="G105" t="n">
        <v>4755.40355</v>
      </c>
      <c r="H105" t="n">
        <v>4792.76972</v>
      </c>
      <c r="Q105" t="n">
        <v>4790.07451</v>
      </c>
      <c r="R105" t="n">
        <v>4819.43781</v>
      </c>
      <c r="S105" t="n">
        <v>4846.02658</v>
      </c>
      <c r="V105" t="n">
        <v>4755.13474</v>
      </c>
      <c r="W105" t="n">
        <v>4721.56974</v>
      </c>
      <c r="AB105" t="n">
        <v>4860.5184</v>
      </c>
      <c r="AC105" t="n">
        <v>4862.09705</v>
      </c>
      <c r="AD105" t="n">
        <v>0</v>
      </c>
      <c r="AE105" t="n">
        <v>103</v>
      </c>
      <c r="AF105" t="n">
        <v>1112</v>
      </c>
      <c r="AG105" t="n">
        <v>4516.7968</v>
      </c>
      <c r="AH105" t="n">
        <v>4519.7944</v>
      </c>
      <c r="AI105" t="n">
        <v>-2.9976</v>
      </c>
      <c r="AJ105" t="n">
        <v>8.9855</v>
      </c>
      <c r="AK105" t="n">
        <v>103</v>
      </c>
      <c r="AL105" t="n">
        <v>102</v>
      </c>
      <c r="AM105" t="n">
        <v>4855.01</v>
      </c>
      <c r="AN105" t="n">
        <v>4790.0745</v>
      </c>
      <c r="AO105" t="n">
        <v>64.9355</v>
      </c>
      <c r="AP105" t="n">
        <v>4216.6179</v>
      </c>
      <c r="AQ105" t="n">
        <v>6.29886</v>
      </c>
      <c r="AR105" t="n">
        <v>11.632756</v>
      </c>
      <c r="AS105" t="n">
        <v>103</v>
      </c>
      <c r="AT105" t="n">
        <v>1112</v>
      </c>
      <c r="AU105" t="n">
        <v>4516.7968</v>
      </c>
      <c r="AV105" t="n">
        <v>4519.7944</v>
      </c>
      <c r="AW105" t="n">
        <v>-2.9976</v>
      </c>
      <c r="AX105" t="n">
        <v>8.9855</v>
      </c>
      <c r="AY105" t="n">
        <v>103</v>
      </c>
      <c r="AZ105" t="n">
        <v>102</v>
      </c>
      <c r="BA105" t="n">
        <v>4855.01</v>
      </c>
      <c r="BB105" t="n">
        <v>4790.0745</v>
      </c>
      <c r="BC105" t="n">
        <v>64.9355</v>
      </c>
      <c r="BD105" t="n">
        <v>4216.6179</v>
      </c>
      <c r="BE105" t="n">
        <v>10404</v>
      </c>
    </row>
    <row r="106">
      <c r="A106" t="n">
        <v>1776447902</v>
      </c>
      <c r="B106" t="inlineStr">
        <is>
          <t>XAUUSD</t>
        </is>
      </c>
      <c r="C106" t="inlineStr">
        <is>
          <t>M15</t>
        </is>
      </c>
      <c r="D106" t="n">
        <v>4862.6</v>
      </c>
      <c r="E106" t="n">
        <v>4518.59282</v>
      </c>
      <c r="F106" t="n">
        <v>4596.05595</v>
      </c>
      <c r="G106" t="n">
        <v>4755.40355</v>
      </c>
      <c r="H106" t="n">
        <v>4792.76972</v>
      </c>
      <c r="Q106" t="n">
        <v>4789.80691</v>
      </c>
      <c r="R106" t="n">
        <v>4819.1702</v>
      </c>
      <c r="S106" t="n">
        <v>4845.75898</v>
      </c>
      <c r="V106" t="n">
        <v>4754.86714</v>
      </c>
      <c r="W106" t="n">
        <v>4721.30214</v>
      </c>
      <c r="AB106" t="n">
        <v>4859.42543</v>
      </c>
      <c r="AC106" t="n">
        <v>4860.76124</v>
      </c>
      <c r="AD106" t="n">
        <v>0</v>
      </c>
      <c r="AE106" t="n">
        <v>104</v>
      </c>
      <c r="AF106" t="n">
        <v>1117</v>
      </c>
      <c r="AG106" t="n">
        <v>4519.7938</v>
      </c>
      <c r="AH106" t="n">
        <v>4518.4564</v>
      </c>
      <c r="AI106" t="n">
        <v>1.3374</v>
      </c>
      <c r="AJ106" t="n">
        <v>1.7888</v>
      </c>
      <c r="AK106" t="n">
        <v>104</v>
      </c>
      <c r="AL106" t="n">
        <v>103</v>
      </c>
      <c r="AM106" t="n">
        <v>4862.6</v>
      </c>
      <c r="AN106" t="n">
        <v>4789.8069</v>
      </c>
      <c r="AO106" t="n">
        <v>72.7931</v>
      </c>
      <c r="AP106" t="n">
        <v>5298.834</v>
      </c>
      <c r="AQ106" t="n">
        <v>8.873317999999999</v>
      </c>
      <c r="AR106" t="n">
        <v>18.370236</v>
      </c>
      <c r="AS106" t="n">
        <v>104</v>
      </c>
      <c r="AT106" t="n">
        <v>1117</v>
      </c>
      <c r="AU106" t="n">
        <v>4519.7938</v>
      </c>
      <c r="AV106" t="n">
        <v>4518.4564</v>
      </c>
      <c r="AW106" t="n">
        <v>1.3374</v>
      </c>
      <c r="AX106" t="n">
        <v>1.7888</v>
      </c>
      <c r="AY106" t="n">
        <v>104</v>
      </c>
      <c r="AZ106" t="n">
        <v>103</v>
      </c>
      <c r="BA106" t="n">
        <v>4862.6</v>
      </c>
      <c r="BB106" t="n">
        <v>4789.8069</v>
      </c>
      <c r="BC106" t="n">
        <v>72.7931</v>
      </c>
      <c r="BD106" t="n">
        <v>5298.834</v>
      </c>
      <c r="BE106" t="n">
        <v>10609</v>
      </c>
    </row>
    <row r="107">
      <c r="A107" t="n">
        <v>1776448802</v>
      </c>
      <c r="B107" t="inlineStr">
        <is>
          <t>XAUUSD</t>
        </is>
      </c>
      <c r="C107" t="inlineStr">
        <is>
          <t>M15</t>
        </is>
      </c>
      <c r="D107" t="n">
        <v>4861.17</v>
      </c>
      <c r="E107" t="n">
        <v>4518.59282</v>
      </c>
      <c r="F107" t="n">
        <v>4596.05595</v>
      </c>
      <c r="G107" t="n">
        <v>4755.40355</v>
      </c>
      <c r="H107" t="n">
        <v>4792.76972</v>
      </c>
      <c r="Q107" t="n">
        <v>4789.5393</v>
      </c>
      <c r="R107" t="n">
        <v>4818.9026</v>
      </c>
      <c r="S107" t="n">
        <v>4845.49137</v>
      </c>
      <c r="V107" t="n">
        <v>4754.59953</v>
      </c>
      <c r="W107" t="n">
        <v>4721.03454</v>
      </c>
      <c r="AB107" t="n">
        <v>4858.87394</v>
      </c>
      <c r="AC107" t="n">
        <v>4859.81759</v>
      </c>
      <c r="AD107" t="n">
        <v>0</v>
      </c>
      <c r="AE107" t="n">
        <v>105</v>
      </c>
      <c r="AF107" t="n">
        <v>1123</v>
      </c>
      <c r="AG107" t="n">
        <v>4517.1665</v>
      </c>
      <c r="AH107" t="n">
        <v>4516.8507</v>
      </c>
      <c r="AI107" t="n">
        <v>0.3158</v>
      </c>
      <c r="AJ107" t="n">
        <v>0.0997</v>
      </c>
      <c r="AK107" t="n">
        <v>105</v>
      </c>
      <c r="AL107" t="n">
        <v>104</v>
      </c>
      <c r="AM107" t="n">
        <v>4861.17</v>
      </c>
      <c r="AN107" t="n">
        <v>4789.5393</v>
      </c>
      <c r="AO107" t="n">
        <v>71.6307</v>
      </c>
      <c r="AP107" t="n">
        <v>5130.9572</v>
      </c>
      <c r="AQ107" t="n">
        <v>8.454991</v>
      </c>
      <c r="AR107" t="n">
        <v>17.224669</v>
      </c>
      <c r="AS107" t="n">
        <v>105</v>
      </c>
      <c r="AT107" t="n">
        <v>1123</v>
      </c>
      <c r="AU107" t="n">
        <v>4517.1665</v>
      </c>
      <c r="AV107" t="n">
        <v>4516.8507</v>
      </c>
      <c r="AW107" t="n">
        <v>0.3158</v>
      </c>
      <c r="AX107" t="n">
        <v>0.0997</v>
      </c>
      <c r="AY107" t="n">
        <v>105</v>
      </c>
      <c r="AZ107" t="n">
        <v>104</v>
      </c>
      <c r="BA107" t="n">
        <v>4861.17</v>
      </c>
      <c r="BB107" t="n">
        <v>4789.5393</v>
      </c>
      <c r="BC107" t="n">
        <v>71.6307</v>
      </c>
      <c r="BD107" t="n">
        <v>5130.9572</v>
      </c>
      <c r="BE107" t="n">
        <v>10816</v>
      </c>
    </row>
    <row r="108">
      <c r="A108" t="n">
        <v>1776449702</v>
      </c>
      <c r="B108" t="inlineStr">
        <is>
          <t>XAUUSD</t>
        </is>
      </c>
      <c r="C108" t="inlineStr">
        <is>
          <t>M15</t>
        </is>
      </c>
      <c r="D108" t="n">
        <v>4860.87</v>
      </c>
      <c r="E108" t="n">
        <v>4518.59282</v>
      </c>
      <c r="F108" t="n">
        <v>4596.05595</v>
      </c>
      <c r="G108" t="n">
        <v>4755.40355</v>
      </c>
      <c r="H108" t="n">
        <v>4792.76972</v>
      </c>
      <c r="Q108" t="n">
        <v>4789.2717</v>
      </c>
      <c r="R108" t="n">
        <v>4818.635</v>
      </c>
      <c r="S108" t="n">
        <v>4845.22377</v>
      </c>
      <c r="V108" t="n">
        <v>4754.33193</v>
      </c>
      <c r="W108" t="n">
        <v>4720.76693</v>
      </c>
      <c r="AB108" t="n">
        <v>4858.91318</v>
      </c>
      <c r="AC108" t="n">
        <v>4859.36538</v>
      </c>
      <c r="AD108" t="n">
        <v>0</v>
      </c>
      <c r="AE108" t="n">
        <v>106</v>
      </c>
      <c r="AF108" t="n">
        <v>1130</v>
      </c>
      <c r="AG108" t="n">
        <v>4519.7573</v>
      </c>
      <c r="AH108" t="n">
        <v>4514.9775</v>
      </c>
      <c r="AI108" t="n">
        <v>4.7798</v>
      </c>
      <c r="AJ108" t="n">
        <v>22.8464</v>
      </c>
      <c r="AK108" t="n">
        <v>106</v>
      </c>
      <c r="AL108" t="n">
        <v>105</v>
      </c>
      <c r="AM108" t="n">
        <v>4860.87</v>
      </c>
      <c r="AN108" t="n">
        <v>4789.2717</v>
      </c>
      <c r="AO108" t="n">
        <v>71.59829999999999</v>
      </c>
      <c r="AP108" t="n">
        <v>5126.3166</v>
      </c>
      <c r="AQ108" t="n">
        <v>8.443524</v>
      </c>
      <c r="AR108" t="n">
        <v>17.193526</v>
      </c>
      <c r="AS108" t="n">
        <v>106</v>
      </c>
      <c r="AT108" t="n">
        <v>1130</v>
      </c>
      <c r="AU108" t="n">
        <v>4519.7573</v>
      </c>
      <c r="AV108" t="n">
        <v>4514.9775</v>
      </c>
      <c r="AW108" t="n">
        <v>4.7798</v>
      </c>
      <c r="AX108" t="n">
        <v>22.8464</v>
      </c>
      <c r="AY108" t="n">
        <v>106</v>
      </c>
      <c r="AZ108" t="n">
        <v>105</v>
      </c>
      <c r="BA108" t="n">
        <v>4860.87</v>
      </c>
      <c r="BB108" t="n">
        <v>4789.2717</v>
      </c>
      <c r="BC108" t="n">
        <v>71.59829999999999</v>
      </c>
      <c r="BD108" t="n">
        <v>5126.3166</v>
      </c>
      <c r="BE108" t="n">
        <v>11025</v>
      </c>
    </row>
    <row r="109">
      <c r="A109" t="n">
        <v>1776450602</v>
      </c>
      <c r="B109" t="inlineStr">
        <is>
          <t>XAUUSD</t>
        </is>
      </c>
      <c r="C109" t="inlineStr">
        <is>
          <t>M15</t>
        </is>
      </c>
      <c r="D109" t="n">
        <v>4862.4</v>
      </c>
      <c r="E109" t="n">
        <v>4518.59282</v>
      </c>
      <c r="F109" t="n">
        <v>4596.05595</v>
      </c>
      <c r="G109" t="n">
        <v>4755.40355</v>
      </c>
      <c r="H109" t="n">
        <v>4792.76972</v>
      </c>
      <c r="Q109" t="n">
        <v>4789.00409</v>
      </c>
      <c r="R109" t="n">
        <v>4818.36739</v>
      </c>
      <c r="S109" t="n">
        <v>4844.95616</v>
      </c>
      <c r="V109" t="n">
        <v>4754.06432</v>
      </c>
      <c r="W109" t="n">
        <v>4720.49933</v>
      </c>
      <c r="AB109" t="n">
        <v>4859.37272</v>
      </c>
      <c r="AC109" t="n">
        <v>4859.36905</v>
      </c>
      <c r="AD109" t="n">
        <v>1</v>
      </c>
      <c r="AE109" t="n">
        <v>107</v>
      </c>
      <c r="AF109" t="n">
        <v>1134</v>
      </c>
      <c r="AG109" t="n">
        <v>4519.4497</v>
      </c>
      <c r="AH109" t="n">
        <v>4513.9071</v>
      </c>
      <c r="AI109" t="n">
        <v>5.5426</v>
      </c>
      <c r="AJ109" t="n">
        <v>30.7201</v>
      </c>
      <c r="AK109" t="n">
        <v>107</v>
      </c>
      <c r="AL109" t="n">
        <v>106</v>
      </c>
      <c r="AM109" t="n">
        <v>4862.4</v>
      </c>
      <c r="AN109" t="n">
        <v>4789.0041</v>
      </c>
      <c r="AO109" t="n">
        <v>73.3959</v>
      </c>
      <c r="AP109" t="n">
        <v>5386.9596</v>
      </c>
      <c r="AQ109" t="n">
        <v>9.095596</v>
      </c>
      <c r="AR109" t="n">
        <v>18.986353</v>
      </c>
      <c r="AS109" t="n">
        <v>107</v>
      </c>
      <c r="AT109" t="n">
        <v>1134</v>
      </c>
      <c r="AU109" t="n">
        <v>4519.4497</v>
      </c>
      <c r="AV109" t="n">
        <v>4513.9071</v>
      </c>
      <c r="AW109" t="n">
        <v>5.5426</v>
      </c>
      <c r="AX109" t="n">
        <v>30.7201</v>
      </c>
      <c r="AY109" t="n">
        <v>107</v>
      </c>
      <c r="AZ109" t="n">
        <v>106</v>
      </c>
      <c r="BA109" t="n">
        <v>4862.4</v>
      </c>
      <c r="BB109" t="n">
        <v>4789.0041</v>
      </c>
      <c r="BC109" t="n">
        <v>73.3959</v>
      </c>
      <c r="BD109" t="n">
        <v>5386.9596</v>
      </c>
      <c r="BE109" t="n">
        <v>11236</v>
      </c>
    </row>
    <row r="110">
      <c r="A110" t="n">
        <v>1776451502</v>
      </c>
      <c r="B110" t="inlineStr">
        <is>
          <t>XAUUSD</t>
        </is>
      </c>
      <c r="C110" t="inlineStr">
        <is>
          <t>M15</t>
        </is>
      </c>
      <c r="D110" t="n">
        <v>4858.16</v>
      </c>
      <c r="E110" t="n">
        <v>4518.59282</v>
      </c>
      <c r="F110" t="n">
        <v>4596.05595</v>
      </c>
      <c r="G110" t="n">
        <v>4755.40355</v>
      </c>
      <c r="H110" t="n">
        <v>4792.76972</v>
      </c>
      <c r="Q110" t="n">
        <v>4788.73649</v>
      </c>
      <c r="R110" t="n">
        <v>4818.09979</v>
      </c>
      <c r="S110" t="n">
        <v>4844.68856</v>
      </c>
      <c r="V110" t="n">
        <v>4753.79672</v>
      </c>
      <c r="W110" t="n">
        <v>4720.23172</v>
      </c>
      <c r="AB110" t="n">
        <v>4859.89857</v>
      </c>
      <c r="AC110" t="n">
        <v>4859.63381</v>
      </c>
      <c r="AD110" t="n">
        <v>0</v>
      </c>
      <c r="AK110" t="n">
        <v>108</v>
      </c>
      <c r="AL110" t="n">
        <v>107</v>
      </c>
      <c r="AM110" t="n">
        <v>4858.16</v>
      </c>
      <c r="AN110" t="n">
        <v>4788.7365</v>
      </c>
      <c r="AO110" t="n">
        <v>69.4235</v>
      </c>
      <c r="AP110" t="n">
        <v>4819.6237</v>
      </c>
      <c r="AQ110" t="n">
        <v>7.697245</v>
      </c>
      <c r="AR110" t="n">
        <v>15.197788</v>
      </c>
      <c r="AY110" t="n">
        <v>108</v>
      </c>
      <c r="AZ110" t="n">
        <v>107</v>
      </c>
      <c r="BA110" t="n">
        <v>4858.16</v>
      </c>
      <c r="BB110" t="n">
        <v>4788.7365</v>
      </c>
      <c r="BC110" t="n">
        <v>69.4235</v>
      </c>
      <c r="BD110" t="n">
        <v>4819.6237</v>
      </c>
      <c r="BE110" t="n">
        <v>11449</v>
      </c>
    </row>
    <row r="111">
      <c r="A111" t="n">
        <v>1776452402</v>
      </c>
      <c r="B111" t="inlineStr">
        <is>
          <t>XAUUSD</t>
        </is>
      </c>
      <c r="C111" t="inlineStr">
        <is>
          <t>M15</t>
        </is>
      </c>
      <c r="D111" t="n">
        <v>4856.59</v>
      </c>
      <c r="E111" t="n">
        <v>4518.59282</v>
      </c>
      <c r="F111" t="n">
        <v>4596.05595</v>
      </c>
      <c r="G111" t="n">
        <v>4755.40355</v>
      </c>
      <c r="H111" t="n">
        <v>4792.76972</v>
      </c>
      <c r="Q111" t="n">
        <v>4788.46889</v>
      </c>
      <c r="R111" t="n">
        <v>4817.83218</v>
      </c>
      <c r="S111" t="n">
        <v>4844.42095</v>
      </c>
      <c r="V111" t="n">
        <v>4753.52911</v>
      </c>
      <c r="W111" t="n">
        <v>4719.96412</v>
      </c>
      <c r="AB111" t="n">
        <v>4860.15411</v>
      </c>
      <c r="AC111" t="n">
        <v>4859.89396</v>
      </c>
      <c r="AD111" t="n">
        <v>0</v>
      </c>
      <c r="AK111" t="n">
        <v>109</v>
      </c>
      <c r="AL111" t="n">
        <v>108</v>
      </c>
      <c r="AM111" t="n">
        <v>4856.59</v>
      </c>
      <c r="AN111" t="n">
        <v>4788.4689</v>
      </c>
      <c r="AO111" t="n">
        <v>68.1211</v>
      </c>
      <c r="AP111" t="n">
        <v>4640.4856</v>
      </c>
      <c r="AQ111" t="n">
        <v>7.272115</v>
      </c>
      <c r="AR111" t="n">
        <v>14.089026</v>
      </c>
      <c r="AY111" t="n">
        <v>109</v>
      </c>
      <c r="AZ111" t="n">
        <v>108</v>
      </c>
      <c r="BA111" t="n">
        <v>4856.59</v>
      </c>
      <c r="BB111" t="n">
        <v>4788.4689</v>
      </c>
      <c r="BC111" t="n">
        <v>68.1211</v>
      </c>
      <c r="BD111" t="n">
        <v>4640.4856</v>
      </c>
      <c r="BE111" t="n">
        <v>11664</v>
      </c>
    </row>
    <row r="112">
      <c r="A112" t="n">
        <v>1776453302</v>
      </c>
      <c r="B112" t="inlineStr">
        <is>
          <t>XAUUSD</t>
        </is>
      </c>
      <c r="C112" t="inlineStr">
        <is>
          <t>M15</t>
        </is>
      </c>
      <c r="D112" t="n">
        <v>4856.91</v>
      </c>
      <c r="E112" t="n">
        <v>4518.59282</v>
      </c>
      <c r="F112" t="n">
        <v>4596.05595</v>
      </c>
      <c r="G112" t="n">
        <v>4755.40355</v>
      </c>
      <c r="H112" t="n">
        <v>4792.76972</v>
      </c>
      <c r="Q112" t="n">
        <v>4788.20128</v>
      </c>
      <c r="R112" t="n">
        <v>4817.56458</v>
      </c>
      <c r="S112" t="n">
        <v>4844.15335</v>
      </c>
      <c r="V112" t="n">
        <v>4753.26151</v>
      </c>
      <c r="W112" t="n">
        <v>4719.69651</v>
      </c>
      <c r="AB112" t="n">
        <v>4859.67104</v>
      </c>
      <c r="AC112" t="n">
        <v>4859.7825</v>
      </c>
      <c r="AD112" t="n">
        <v>1</v>
      </c>
      <c r="AK112" t="n">
        <v>110</v>
      </c>
      <c r="AL112" t="n">
        <v>109</v>
      </c>
      <c r="AM112" t="n">
        <v>4856.91</v>
      </c>
      <c r="AN112" t="n">
        <v>4788.2013</v>
      </c>
      <c r="AO112" t="n">
        <v>68.70869999999999</v>
      </c>
      <c r="AP112" t="n">
        <v>4720.8882</v>
      </c>
      <c r="AQ112" t="n">
        <v>7.46193</v>
      </c>
      <c r="AR112" t="n">
        <v>14.581478</v>
      </c>
      <c r="AY112" t="n">
        <v>110</v>
      </c>
      <c r="AZ112" t="n">
        <v>109</v>
      </c>
      <c r="BA112" t="n">
        <v>4856.91</v>
      </c>
      <c r="BB112" t="n">
        <v>4788.2013</v>
      </c>
      <c r="BC112" t="n">
        <v>68.70869999999999</v>
      </c>
      <c r="BD112" t="n">
        <v>4720.8882</v>
      </c>
      <c r="BE112" t="n">
        <v>11881</v>
      </c>
    </row>
    <row r="113">
      <c r="A113" t="n">
        <v>1776454202</v>
      </c>
      <c r="B113" t="inlineStr">
        <is>
          <t>XAUUSD</t>
        </is>
      </c>
      <c r="C113" t="inlineStr">
        <is>
          <t>M15</t>
        </is>
      </c>
      <c r="D113" t="n">
        <v>4860.34</v>
      </c>
      <c r="E113" t="n">
        <v>4518.59282</v>
      </c>
      <c r="F113" t="n">
        <v>4596.05595</v>
      </c>
      <c r="G113" t="n">
        <v>4755.40355</v>
      </c>
      <c r="H113" t="n">
        <v>4792.76972</v>
      </c>
      <c r="Q113" t="n">
        <v>4787.93368</v>
      </c>
      <c r="R113" t="n">
        <v>4817.29698</v>
      </c>
      <c r="S113" t="n">
        <v>4843.88575</v>
      </c>
      <c r="V113" t="n">
        <v>4752.99391</v>
      </c>
      <c r="W113" t="n">
        <v>4719.42891</v>
      </c>
      <c r="AB113" t="n">
        <v>4857.9269</v>
      </c>
      <c r="AC113" t="n">
        <v>4858.8547</v>
      </c>
      <c r="AD113" t="n">
        <v>0</v>
      </c>
      <c r="AK113" t="n">
        <v>111</v>
      </c>
      <c r="AL113" t="n">
        <v>110</v>
      </c>
      <c r="AM113" t="n">
        <v>4860.34</v>
      </c>
      <c r="AN113" t="n">
        <v>4787.9337</v>
      </c>
      <c r="AO113" t="n">
        <v>72.4063</v>
      </c>
      <c r="AP113" t="n">
        <v>5242.6752</v>
      </c>
      <c r="AQ113" t="n">
        <v>8.732628999999999</v>
      </c>
      <c r="AR113" t="n">
        <v>17.982912</v>
      </c>
      <c r="AY113" t="n">
        <v>111</v>
      </c>
      <c r="AZ113" t="n">
        <v>110</v>
      </c>
      <c r="BA113" t="n">
        <v>4860.34</v>
      </c>
      <c r="BB113" t="n">
        <v>4787.9337</v>
      </c>
      <c r="BC113" t="n">
        <v>72.4063</v>
      </c>
      <c r="BD113" t="n">
        <v>5242.6752</v>
      </c>
      <c r="BE113" t="n">
        <v>12100</v>
      </c>
    </row>
    <row r="114">
      <c r="A114" t="n">
        <v>1776455102</v>
      </c>
      <c r="B114" t="inlineStr">
        <is>
          <t>XAUUSD</t>
        </is>
      </c>
      <c r="C114" t="inlineStr">
        <is>
          <t>M15</t>
        </is>
      </c>
      <c r="D114" t="n">
        <v>4854.73</v>
      </c>
      <c r="E114" t="n">
        <v>4518.59282</v>
      </c>
      <c r="F114" t="n">
        <v>4596.05595</v>
      </c>
      <c r="G114" t="n">
        <v>4755.40355</v>
      </c>
      <c r="H114" t="n">
        <v>4792.76972</v>
      </c>
      <c r="Q114" t="n">
        <v>4787.66607</v>
      </c>
      <c r="R114" t="n">
        <v>4817.02937</v>
      </c>
      <c r="S114" t="n">
        <v>4843.61814</v>
      </c>
      <c r="V114" t="n">
        <v>4752.7263</v>
      </c>
      <c r="W114" t="n">
        <v>4719.16131</v>
      </c>
      <c r="AB114" t="n">
        <v>4854.35758</v>
      </c>
      <c r="AC114" t="n">
        <v>4856.60614</v>
      </c>
      <c r="AD114" t="n">
        <v>0</v>
      </c>
      <c r="AK114" t="n">
        <v>112</v>
      </c>
      <c r="AL114" t="n">
        <v>111</v>
      </c>
      <c r="AM114" t="n">
        <v>4854.73</v>
      </c>
      <c r="AN114" t="n">
        <v>4787.6661</v>
      </c>
      <c r="AO114" t="n">
        <v>67.0639</v>
      </c>
      <c r="AP114" t="n">
        <v>4497.5707</v>
      </c>
      <c r="AQ114" t="n">
        <v>6.938771</v>
      </c>
      <c r="AR114" t="n">
        <v>13.234578</v>
      </c>
      <c r="AY114" t="n">
        <v>112</v>
      </c>
      <c r="AZ114" t="n">
        <v>111</v>
      </c>
      <c r="BA114" t="n">
        <v>4854.73</v>
      </c>
      <c r="BB114" t="n">
        <v>4787.6661</v>
      </c>
      <c r="BC114" t="n">
        <v>67.0639</v>
      </c>
      <c r="BD114" t="n">
        <v>4497.5707</v>
      </c>
      <c r="BE114" t="n">
        <v>12321</v>
      </c>
    </row>
    <row r="115">
      <c r="A115" t="n">
        <v>1776456002</v>
      </c>
      <c r="B115" t="inlineStr">
        <is>
          <t>XAUUSD</t>
        </is>
      </c>
      <c r="C115" t="inlineStr">
        <is>
          <t>M15</t>
        </is>
      </c>
      <c r="D115" t="n">
        <v>4845.91</v>
      </c>
      <c r="E115" t="n">
        <v>4518.59282</v>
      </c>
      <c r="F115" t="n">
        <v>4596.05595</v>
      </c>
      <c r="G115" t="n">
        <v>4755.40355</v>
      </c>
      <c r="H115" t="n">
        <v>4792.76972</v>
      </c>
      <c r="Q115" t="n">
        <v>4787.39847</v>
      </c>
      <c r="R115" t="n">
        <v>4816.76177</v>
      </c>
      <c r="S115" t="n">
        <v>4843.35054</v>
      </c>
      <c r="V115" t="n">
        <v>4752.4587</v>
      </c>
      <c r="W115" t="n">
        <v>4718.8937</v>
      </c>
      <c r="AB115" t="n">
        <v>4848.75129</v>
      </c>
      <c r="AC115" t="n">
        <v>4852.67872</v>
      </c>
      <c r="AD115" t="n">
        <v>0</v>
      </c>
      <c r="AK115" t="n">
        <v>113</v>
      </c>
      <c r="AL115" t="n">
        <v>112</v>
      </c>
      <c r="AM115" t="n">
        <v>4845.91</v>
      </c>
      <c r="AN115" t="n">
        <v>4787.3985</v>
      </c>
      <c r="AO115" t="n">
        <v>58.5115</v>
      </c>
      <c r="AP115" t="n">
        <v>3423.5991</v>
      </c>
      <c r="AQ115" t="n">
        <v>4.608292</v>
      </c>
      <c r="AR115" t="n">
        <v>7.668668</v>
      </c>
      <c r="AY115" t="n">
        <v>113</v>
      </c>
      <c r="AZ115" t="n">
        <v>112</v>
      </c>
      <c r="BA115" t="n">
        <v>4845.91</v>
      </c>
      <c r="BB115" t="n">
        <v>4787.3985</v>
      </c>
      <c r="BC115" t="n">
        <v>58.5115</v>
      </c>
      <c r="BD115" t="n">
        <v>3423.5991</v>
      </c>
      <c r="BE115" t="n">
        <v>12544</v>
      </c>
    </row>
    <row r="116">
      <c r="A116" t="n">
        <v>1776456902</v>
      </c>
      <c r="B116" t="inlineStr">
        <is>
          <t>XAUUSD</t>
        </is>
      </c>
      <c r="C116" t="inlineStr">
        <is>
          <t>M15</t>
        </is>
      </c>
      <c r="D116" t="n">
        <v>4845.96</v>
      </c>
      <c r="E116" t="n">
        <v>4518.59282</v>
      </c>
      <c r="F116" t="n">
        <v>4596.05595</v>
      </c>
      <c r="G116" t="n">
        <v>4755.40355</v>
      </c>
      <c r="H116" t="n">
        <v>4792.76972</v>
      </c>
      <c r="Q116" t="n">
        <v>4787.13086</v>
      </c>
      <c r="R116" t="n">
        <v>4816.49416</v>
      </c>
      <c r="S116" t="n">
        <v>4843.08293</v>
      </c>
      <c r="V116" t="n">
        <v>4752.19109</v>
      </c>
      <c r="W116" t="n">
        <v>4718.6261</v>
      </c>
      <c r="AB116" t="n">
        <v>4841.15421</v>
      </c>
      <c r="AC116" t="n">
        <v>4846.91646</v>
      </c>
      <c r="AD116" t="n">
        <v>0</v>
      </c>
      <c r="AK116" t="n">
        <v>114</v>
      </c>
      <c r="AL116" t="n">
        <v>113</v>
      </c>
      <c r="AM116" t="n">
        <v>4845.96</v>
      </c>
      <c r="AN116" t="n">
        <v>4787.1309</v>
      </c>
      <c r="AO116" t="n">
        <v>58.8291</v>
      </c>
      <c r="AP116" t="n">
        <v>3460.8677</v>
      </c>
      <c r="AQ116" t="n">
        <v>4.683743</v>
      </c>
      <c r="AR116" t="n">
        <v>7.836536</v>
      </c>
      <c r="AY116" t="n">
        <v>114</v>
      </c>
      <c r="AZ116" t="n">
        <v>113</v>
      </c>
      <c r="BA116" t="n">
        <v>4845.96</v>
      </c>
      <c r="BB116" t="n">
        <v>4787.1309</v>
      </c>
      <c r="BC116" t="n">
        <v>58.8291</v>
      </c>
      <c r="BD116" t="n">
        <v>3460.8677</v>
      </c>
      <c r="BE116" t="n">
        <v>12769</v>
      </c>
    </row>
    <row r="117">
      <c r="A117" t="n">
        <v>1776457802</v>
      </c>
      <c r="B117" t="inlineStr">
        <is>
          <t>XAUUSD</t>
        </is>
      </c>
      <c r="C117" t="inlineStr">
        <is>
          <t>M15</t>
        </is>
      </c>
      <c r="D117" t="n">
        <v>4835.81</v>
      </c>
      <c r="E117" t="n">
        <v>4518.59282</v>
      </c>
      <c r="F117" t="n">
        <v>4596.05595</v>
      </c>
      <c r="G117" t="n">
        <v>4755.40355</v>
      </c>
      <c r="H117" t="n">
        <v>4792.76972</v>
      </c>
      <c r="Q117" t="n">
        <v>4786.86326</v>
      </c>
      <c r="R117" t="n">
        <v>4816.22656</v>
      </c>
      <c r="S117" t="n">
        <v>4842.81533</v>
      </c>
      <c r="V117" t="n">
        <v>4751.92349</v>
      </c>
      <c r="W117" t="n">
        <v>4718.35849</v>
      </c>
      <c r="AB117" t="n">
        <v>4831.47546</v>
      </c>
      <c r="AC117" t="n">
        <v>4839.19596</v>
      </c>
      <c r="AD117" t="n">
        <v>0</v>
      </c>
      <c r="AK117" t="n">
        <v>115</v>
      </c>
      <c r="AL117" t="n">
        <v>114</v>
      </c>
      <c r="AM117" t="n">
        <v>4835.81</v>
      </c>
      <c r="AN117" t="n">
        <v>4786.8633</v>
      </c>
      <c r="AO117" t="n">
        <v>48.9467</v>
      </c>
      <c r="AP117" t="n">
        <v>2395.7834</v>
      </c>
      <c r="AQ117" t="n">
        <v>2.697658</v>
      </c>
      <c r="AR117" t="n">
        <v>3.755339</v>
      </c>
      <c r="AY117" t="n">
        <v>115</v>
      </c>
      <c r="AZ117" t="n">
        <v>114</v>
      </c>
      <c r="BA117" t="n">
        <v>4835.81</v>
      </c>
      <c r="BB117" t="n">
        <v>4786.8633</v>
      </c>
      <c r="BC117" t="n">
        <v>48.9467</v>
      </c>
      <c r="BD117" t="n">
        <v>2395.7834</v>
      </c>
      <c r="BE117" t="n">
        <v>12996</v>
      </c>
    </row>
    <row r="118">
      <c r="A118" t="n">
        <v>1776458702</v>
      </c>
      <c r="B118" t="inlineStr">
        <is>
          <t>XAUUSD</t>
        </is>
      </c>
      <c r="C118" t="inlineStr">
        <is>
          <t>M15</t>
        </is>
      </c>
      <c r="D118" t="n">
        <v>4833.02</v>
      </c>
      <c r="E118" t="n">
        <v>4518.59282</v>
      </c>
      <c r="F118" t="n">
        <v>4596.05595</v>
      </c>
      <c r="G118" t="n">
        <v>4755.40355</v>
      </c>
      <c r="H118" t="n">
        <v>4792.76972</v>
      </c>
      <c r="Q118" t="n">
        <v>4786.59566</v>
      </c>
      <c r="R118" t="n">
        <v>4815.95896</v>
      </c>
      <c r="S118" t="n">
        <v>4842.54773</v>
      </c>
      <c r="V118" t="n">
        <v>4751.65589</v>
      </c>
      <c r="W118" t="n">
        <v>4718.09089</v>
      </c>
      <c r="AB118" t="n">
        <v>4820.06582</v>
      </c>
      <c r="AC118" t="n">
        <v>4829.63089</v>
      </c>
      <c r="AD118" t="n">
        <v>0</v>
      </c>
      <c r="AK118" t="n">
        <v>116</v>
      </c>
      <c r="AL118" t="n">
        <v>115</v>
      </c>
      <c r="AM118" t="n">
        <v>4833.02</v>
      </c>
      <c r="AN118" t="n">
        <v>4786.5957</v>
      </c>
      <c r="AO118" t="n">
        <v>46.4243</v>
      </c>
      <c r="AP118" t="n">
        <v>2155.2193</v>
      </c>
      <c r="AQ118" t="n">
        <v>2.301722</v>
      </c>
      <c r="AR118" t="n">
        <v>3.039045</v>
      </c>
      <c r="AY118" t="n">
        <v>116</v>
      </c>
      <c r="AZ118" t="n">
        <v>115</v>
      </c>
      <c r="BA118" t="n">
        <v>4833.02</v>
      </c>
      <c r="BB118" t="n">
        <v>4786.5957</v>
      </c>
      <c r="BC118" t="n">
        <v>46.4243</v>
      </c>
      <c r="BD118" t="n">
        <v>2155.2193</v>
      </c>
      <c r="BE118" t="n">
        <v>13225</v>
      </c>
    </row>
    <row r="119">
      <c r="A119" t="n">
        <v>1776636002</v>
      </c>
      <c r="B119" t="inlineStr">
        <is>
          <t>XAUUSD</t>
        </is>
      </c>
      <c r="C119" t="inlineStr">
        <is>
          <t>M15</t>
        </is>
      </c>
      <c r="D119" t="n">
        <v>4790.21</v>
      </c>
      <c r="E119" t="n">
        <v>4518.59282</v>
      </c>
      <c r="F119" t="n">
        <v>4596.05595</v>
      </c>
      <c r="G119" t="n">
        <v>4755.40355</v>
      </c>
      <c r="H119" t="n">
        <v>4792.76972</v>
      </c>
      <c r="Q119" t="n">
        <v>4786.32805</v>
      </c>
      <c r="R119" t="n">
        <v>4815.69135</v>
      </c>
      <c r="S119" t="n">
        <v>4842.28012</v>
      </c>
      <c r="V119" t="n">
        <v>4751.38828</v>
      </c>
      <c r="W119" t="n">
        <v>4717.82329</v>
      </c>
      <c r="AB119" t="n">
        <v>4807.39385</v>
      </c>
      <c r="AC119" t="n">
        <v>4818.51237</v>
      </c>
      <c r="AD119" t="n">
        <v>0</v>
      </c>
      <c r="AK119" t="n">
        <v>117</v>
      </c>
      <c r="AL119" t="n">
        <v>116</v>
      </c>
      <c r="AM119" t="n">
        <v>4790.21</v>
      </c>
      <c r="AN119" t="n">
        <v>4786.3281</v>
      </c>
      <c r="AO119" t="n">
        <v>3.8819</v>
      </c>
      <c r="AP119" t="n">
        <v>15.0695</v>
      </c>
      <c r="AQ119" t="n">
        <v>0.001346</v>
      </c>
      <c r="AR119" t="n">
        <v>0.000149</v>
      </c>
      <c r="AY119" t="n">
        <v>117</v>
      </c>
      <c r="AZ119" t="n">
        <v>116</v>
      </c>
      <c r="BA119" t="n">
        <v>4790.21</v>
      </c>
      <c r="BB119" t="n">
        <v>4786.3281</v>
      </c>
      <c r="BC119" t="n">
        <v>3.8819</v>
      </c>
      <c r="BD119" t="n">
        <v>15.0695</v>
      </c>
      <c r="BE119" t="n">
        <v>13456</v>
      </c>
    </row>
    <row r="120">
      <c r="A120" t="n">
        <v>1776636902</v>
      </c>
      <c r="B120" t="inlineStr">
        <is>
          <t>XAUUSD</t>
        </is>
      </c>
      <c r="C120" t="inlineStr">
        <is>
          <t>M15</t>
        </is>
      </c>
      <c r="D120" t="n">
        <v>4784.84</v>
      </c>
      <c r="E120" t="n">
        <v>4518.59282</v>
      </c>
      <c r="F120" t="n">
        <v>4596.05595</v>
      </c>
      <c r="G120" t="n">
        <v>4755.40355</v>
      </c>
      <c r="H120" t="n">
        <v>4792.76972</v>
      </c>
      <c r="Q120" t="n">
        <v>4786.06045</v>
      </c>
      <c r="R120" t="n">
        <v>4815.42375</v>
      </c>
      <c r="S120" t="n">
        <v>4842.01252</v>
      </c>
      <c r="V120" t="n">
        <v>4751.12068</v>
      </c>
      <c r="W120" t="n">
        <v>4717.55568</v>
      </c>
      <c r="AB120" t="n">
        <v>4795.08615</v>
      </c>
      <c r="AC120" t="n">
        <v>4806.79926</v>
      </c>
      <c r="AD120" t="n">
        <v>0</v>
      </c>
      <c r="AK120" t="n">
        <v>118</v>
      </c>
      <c r="AL120" t="n">
        <v>117</v>
      </c>
      <c r="AM120" t="n">
        <v>4784.84</v>
      </c>
      <c r="AN120" t="n">
        <v>4786.0604</v>
      </c>
      <c r="AO120" t="n">
        <v>-1.2204</v>
      </c>
      <c r="AP120" t="n">
        <v>1.4895</v>
      </c>
      <c r="AQ120" t="n">
        <v>-4.2e-05</v>
      </c>
      <c r="AR120" t="n">
        <v>1e-06</v>
      </c>
      <c r="AY120" t="n">
        <v>118</v>
      </c>
      <c r="AZ120" t="n">
        <v>117</v>
      </c>
      <c r="BA120" t="n">
        <v>4784.84</v>
      </c>
      <c r="BB120" t="n">
        <v>4786.0604</v>
      </c>
      <c r="BC120" t="n">
        <v>-1.2204</v>
      </c>
      <c r="BD120" t="n">
        <v>1.4895</v>
      </c>
      <c r="BE120" t="n">
        <v>13689</v>
      </c>
    </row>
    <row r="121">
      <c r="A121" t="n">
        <v>1776637802</v>
      </c>
      <c r="B121" t="inlineStr">
        <is>
          <t>XAUUSD</t>
        </is>
      </c>
      <c r="C121" t="inlineStr">
        <is>
          <t>M15</t>
        </is>
      </c>
      <c r="D121" t="n">
        <v>4780.29</v>
      </c>
      <c r="E121" t="n">
        <v>4518.59282</v>
      </c>
      <c r="F121" t="n">
        <v>4596.05595</v>
      </c>
      <c r="G121" t="n">
        <v>4755.40355</v>
      </c>
      <c r="H121" t="n">
        <v>4792.76972</v>
      </c>
      <c r="Q121" t="n">
        <v>4785.79284</v>
      </c>
      <c r="R121" t="n">
        <v>4815.15614</v>
      </c>
      <c r="S121" t="n">
        <v>4841.74491</v>
      </c>
      <c r="V121" t="n">
        <v>4750.85307</v>
      </c>
      <c r="W121" t="n">
        <v>4717.28808</v>
      </c>
      <c r="AB121" t="n">
        <v>4783.68017</v>
      </c>
      <c r="AC121" t="n">
        <v>4795.23972</v>
      </c>
      <c r="AD121" t="n">
        <v>0</v>
      </c>
      <c r="AK121" t="n">
        <v>119</v>
      </c>
      <c r="AL121" t="n">
        <v>118</v>
      </c>
      <c r="AM121" t="n">
        <v>4780.29</v>
      </c>
      <c r="AN121" t="n">
        <v>4785.7928</v>
      </c>
      <c r="AO121" t="n">
        <v>-5.5028</v>
      </c>
      <c r="AP121" t="n">
        <v>30.2812</v>
      </c>
      <c r="AQ121" t="n">
        <v>-0.003833</v>
      </c>
      <c r="AR121" t="n">
        <v>0.0005999999999999999</v>
      </c>
      <c r="AY121" t="n">
        <v>119</v>
      </c>
      <c r="AZ121" t="n">
        <v>118</v>
      </c>
      <c r="BA121" t="n">
        <v>4780.29</v>
      </c>
      <c r="BB121" t="n">
        <v>4785.7928</v>
      </c>
      <c r="BC121" t="n">
        <v>-5.5028</v>
      </c>
      <c r="BD121" t="n">
        <v>30.2812</v>
      </c>
      <c r="BE121" t="n">
        <v>13924</v>
      </c>
    </row>
    <row r="122">
      <c r="A122" t="n">
        <v>1776638702</v>
      </c>
      <c r="B122" t="inlineStr">
        <is>
          <t>XAUUSD</t>
        </is>
      </c>
      <c r="C122" t="inlineStr">
        <is>
          <t>M15</t>
        </is>
      </c>
      <c r="D122" t="n">
        <v>4779.23</v>
      </c>
      <c r="E122" t="n">
        <v>4518.59282</v>
      </c>
      <c r="F122" t="n">
        <v>4596.05595</v>
      </c>
      <c r="G122" t="n">
        <v>4755.40355</v>
      </c>
      <c r="H122" t="n">
        <v>4792.76972</v>
      </c>
      <c r="Q122" t="n">
        <v>4785.52524</v>
      </c>
      <c r="R122" t="n">
        <v>4814.88854</v>
      </c>
      <c r="S122" t="n">
        <v>4841.47731</v>
      </c>
      <c r="V122" t="n">
        <v>4750.58547</v>
      </c>
      <c r="W122" t="n">
        <v>4717.02047</v>
      </c>
      <c r="AB122" t="n">
        <v>4773.6806</v>
      </c>
      <c r="AC122" t="n">
        <v>4784.46016</v>
      </c>
      <c r="AD122" t="n">
        <v>0</v>
      </c>
      <c r="AK122" t="n">
        <v>120</v>
      </c>
      <c r="AL122" t="n">
        <v>119</v>
      </c>
      <c r="AM122" t="n">
        <v>4779.23</v>
      </c>
      <c r="AN122" t="n">
        <v>4785.5252</v>
      </c>
      <c r="AO122" t="n">
        <v>-6.2952</v>
      </c>
      <c r="AP122" t="n">
        <v>39.63</v>
      </c>
      <c r="AQ122" t="n">
        <v>-0.005739</v>
      </c>
      <c r="AR122" t="n">
        <v>0.001028</v>
      </c>
      <c r="AY122" t="n">
        <v>120</v>
      </c>
      <c r="AZ122" t="n">
        <v>119</v>
      </c>
      <c r="BA122" t="n">
        <v>4779.23</v>
      </c>
      <c r="BB122" t="n">
        <v>4785.5252</v>
      </c>
      <c r="BC122" t="n">
        <v>-6.2952</v>
      </c>
      <c r="BD122" t="n">
        <v>39.63</v>
      </c>
      <c r="BE122" t="n">
        <v>14161</v>
      </c>
    </row>
    <row r="123">
      <c r="A123" t="n">
        <v>1776639602</v>
      </c>
      <c r="B123" t="inlineStr">
        <is>
          <t>XAUUSD</t>
        </is>
      </c>
      <c r="C123" t="inlineStr">
        <is>
          <t>M15</t>
        </is>
      </c>
      <c r="D123" t="n">
        <v>4772.65</v>
      </c>
      <c r="E123" t="n">
        <v>4518.59282</v>
      </c>
      <c r="F123" t="n">
        <v>4596.05595</v>
      </c>
      <c r="G123" t="n">
        <v>4755.40355</v>
      </c>
      <c r="H123" t="n">
        <v>4792.76972</v>
      </c>
      <c r="Q123" t="n">
        <v>4785.25764</v>
      </c>
      <c r="R123" t="n">
        <v>4814.62093</v>
      </c>
      <c r="S123" t="n">
        <v>4841.20971</v>
      </c>
      <c r="V123" t="n">
        <v>4750.31787</v>
      </c>
      <c r="W123" t="n">
        <v>4716.75287</v>
      </c>
      <c r="AB123" t="n">
        <v>4765.42377</v>
      </c>
      <c r="AC123" t="n">
        <v>4774.94196</v>
      </c>
      <c r="AD123" t="n">
        <v>0</v>
      </c>
      <c r="AK123" t="n">
        <v>121</v>
      </c>
      <c r="AL123" t="n">
        <v>120</v>
      </c>
      <c r="AM123" t="n">
        <v>4772.65</v>
      </c>
      <c r="AN123" t="n">
        <v>4785.2576</v>
      </c>
      <c r="AO123" t="n">
        <v>-12.6076</v>
      </c>
      <c r="AP123" t="n">
        <v>158.9526</v>
      </c>
      <c r="AQ123" t="n">
        <v>-0.046102</v>
      </c>
      <c r="AR123" t="n">
        <v>0.016531</v>
      </c>
      <c r="AY123" t="n">
        <v>121</v>
      </c>
      <c r="AZ123" t="n">
        <v>120</v>
      </c>
      <c r="BA123" t="n">
        <v>4772.65</v>
      </c>
      <c r="BB123" t="n">
        <v>4785.2576</v>
      </c>
      <c r="BC123" t="n">
        <v>-12.6076</v>
      </c>
      <c r="BD123" t="n">
        <v>158.9526</v>
      </c>
      <c r="BE123" t="n">
        <v>14400</v>
      </c>
    </row>
    <row r="124">
      <c r="A124" t="n">
        <v>1776640502</v>
      </c>
      <c r="B124" t="inlineStr">
        <is>
          <t>XAUUSD</t>
        </is>
      </c>
      <c r="C124" t="inlineStr">
        <is>
          <t>M15</t>
        </is>
      </c>
      <c r="D124" t="n">
        <v>4769.43</v>
      </c>
      <c r="E124" t="n">
        <v>4518.59282</v>
      </c>
      <c r="F124" t="n">
        <v>4596.05595</v>
      </c>
      <c r="G124" t="n">
        <v>4755.40355</v>
      </c>
      <c r="H124" t="n">
        <v>4792.76972</v>
      </c>
      <c r="Q124" t="n">
        <v>4784.99003</v>
      </c>
      <c r="R124" t="n">
        <v>4814.35333</v>
      </c>
      <c r="S124" t="n">
        <v>4840.9421</v>
      </c>
      <c r="V124" t="n">
        <v>4750.05026</v>
      </c>
      <c r="W124" t="n">
        <v>4716.48527</v>
      </c>
      <c r="AB124" t="n">
        <v>4759.3575</v>
      </c>
      <c r="AC124" t="n">
        <v>4767.14973</v>
      </c>
      <c r="AD124" t="n">
        <v>0</v>
      </c>
      <c r="AK124" t="n">
        <v>122</v>
      </c>
      <c r="AL124" t="n">
        <v>121</v>
      </c>
      <c r="AM124" t="n">
        <v>4769.43</v>
      </c>
      <c r="AN124" t="n">
        <v>4784.99</v>
      </c>
      <c r="AO124" t="n">
        <v>-15.56</v>
      </c>
      <c r="AP124" t="n">
        <v>242.1145</v>
      </c>
      <c r="AQ124" t="n">
        <v>-0.08666600000000001</v>
      </c>
      <c r="AR124" t="n">
        <v>0.038353</v>
      </c>
      <c r="AY124" t="n">
        <v>122</v>
      </c>
      <c r="AZ124" t="n">
        <v>121</v>
      </c>
      <c r="BA124" t="n">
        <v>4769.43</v>
      </c>
      <c r="BB124" t="n">
        <v>4784.99</v>
      </c>
      <c r="BC124" t="n">
        <v>-15.56</v>
      </c>
      <c r="BD124" t="n">
        <v>242.1145</v>
      </c>
      <c r="BE124" t="n">
        <v>14641</v>
      </c>
    </row>
    <row r="125">
      <c r="A125" t="n">
        <v>1776641402</v>
      </c>
      <c r="B125" t="inlineStr">
        <is>
          <t>XAUUSD</t>
        </is>
      </c>
      <c r="C125" t="inlineStr">
        <is>
          <t>M15</t>
        </is>
      </c>
      <c r="D125" t="n">
        <v>4752.06</v>
      </c>
      <c r="E125" t="n">
        <v>4518.59282</v>
      </c>
      <c r="F125" t="n">
        <v>4596.05595</v>
      </c>
      <c r="G125" t="n">
        <v>4755.40355</v>
      </c>
      <c r="H125" t="n">
        <v>4792.76972</v>
      </c>
      <c r="Q125" t="n">
        <v>4784.72243</v>
      </c>
      <c r="R125" t="n">
        <v>4814.08573</v>
      </c>
      <c r="S125" t="n">
        <v>4840.6745</v>
      </c>
      <c r="V125" t="n">
        <v>4749.78266</v>
      </c>
      <c r="W125" t="n">
        <v>4716.21766</v>
      </c>
      <c r="AB125" t="n">
        <v>4755.83216</v>
      </c>
      <c r="AC125" t="n">
        <v>4761.49094</v>
      </c>
      <c r="AD125" t="n">
        <v>0</v>
      </c>
      <c r="AK125" t="n">
        <v>123</v>
      </c>
      <c r="AL125" t="n">
        <v>122</v>
      </c>
      <c r="AM125" t="n">
        <v>4752.06</v>
      </c>
      <c r="AN125" t="n">
        <v>4784.7224</v>
      </c>
      <c r="AO125" t="n">
        <v>-32.6624</v>
      </c>
      <c r="AP125" t="n">
        <v>1066.8343</v>
      </c>
      <c r="AQ125" t="n">
        <v>-0.801606</v>
      </c>
      <c r="AR125" t="n">
        <v>0.7446430000000001</v>
      </c>
      <c r="AY125" t="n">
        <v>123</v>
      </c>
      <c r="AZ125" t="n">
        <v>122</v>
      </c>
      <c r="BA125" t="n">
        <v>4752.06</v>
      </c>
      <c r="BB125" t="n">
        <v>4784.7224</v>
      </c>
      <c r="BC125" t="n">
        <v>-32.6624</v>
      </c>
      <c r="BD125" t="n">
        <v>1066.8343</v>
      </c>
      <c r="BE125" t="n">
        <v>14884</v>
      </c>
    </row>
    <row r="126">
      <c r="A126" t="n">
        <v>1776642302</v>
      </c>
      <c r="B126" t="inlineStr">
        <is>
          <t>XAUUSD</t>
        </is>
      </c>
      <c r="C126" t="inlineStr">
        <is>
          <t>M15</t>
        </is>
      </c>
      <c r="D126" t="n">
        <v>4755.07</v>
      </c>
      <c r="E126" t="n">
        <v>4518.59282</v>
      </c>
      <c r="F126" t="n">
        <v>4596.05595</v>
      </c>
      <c r="G126" t="n">
        <v>4755.40355</v>
      </c>
      <c r="H126" t="n">
        <v>4792.76972</v>
      </c>
      <c r="Q126" t="n">
        <v>4784.45482</v>
      </c>
      <c r="R126" t="n">
        <v>4813.81812</v>
      </c>
      <c r="S126" t="n">
        <v>4840.40689</v>
      </c>
      <c r="V126" t="n">
        <v>4749.51505</v>
      </c>
      <c r="W126" t="n">
        <v>4715.95006</v>
      </c>
      <c r="AA126" t="n">
        <v>4736.96</v>
      </c>
      <c r="AB126" t="n">
        <v>4755.50535</v>
      </c>
      <c r="AC126" t="n">
        <v>4758.49815</v>
      </c>
      <c r="AD126" t="n">
        <v>0</v>
      </c>
      <c r="AK126" t="n">
        <v>124</v>
      </c>
      <c r="AL126" t="n">
        <v>123</v>
      </c>
      <c r="AM126" t="n">
        <v>4755.07</v>
      </c>
      <c r="AN126" t="n">
        <v>4784.4548</v>
      </c>
      <c r="AO126" t="n">
        <v>-29.3848</v>
      </c>
      <c r="AP126" t="n">
        <v>863.4675999999999</v>
      </c>
      <c r="AQ126" t="n">
        <v>-0.583693</v>
      </c>
      <c r="AR126" t="n">
        <v>0.487805</v>
      </c>
      <c r="AY126" t="n">
        <v>124</v>
      </c>
      <c r="AZ126" t="n">
        <v>123</v>
      </c>
      <c r="BA126" t="n">
        <v>4755.07</v>
      </c>
      <c r="BB126" t="n">
        <v>4784.4548</v>
      </c>
      <c r="BC126" t="n">
        <v>-29.3848</v>
      </c>
      <c r="BD126" t="n">
        <v>863.4675999999999</v>
      </c>
      <c r="BE126" t="n">
        <v>15129</v>
      </c>
    </row>
    <row r="127">
      <c r="A127" t="n">
        <v>1776643202</v>
      </c>
      <c r="B127" t="inlineStr">
        <is>
          <t>XAUUSD</t>
        </is>
      </c>
      <c r="C127" t="inlineStr">
        <is>
          <t>M15</t>
        </is>
      </c>
      <c r="D127" t="n">
        <v>4752.17</v>
      </c>
      <c r="E127" t="n">
        <v>4518.59282</v>
      </c>
      <c r="F127" t="n">
        <v>4596.05595</v>
      </c>
      <c r="G127" t="n">
        <v>4755.40355</v>
      </c>
      <c r="H127" t="n">
        <v>4792.76972</v>
      </c>
      <c r="Q127" t="n">
        <v>4784.18722</v>
      </c>
      <c r="R127" t="n">
        <v>4813.55052</v>
      </c>
      <c r="S127" t="n">
        <v>4840.13929</v>
      </c>
      <c r="V127" t="n">
        <v>4749.24745</v>
      </c>
      <c r="W127" t="n">
        <v>4715.68245</v>
      </c>
      <c r="AB127" t="n">
        <v>4758.26888</v>
      </c>
      <c r="AC127" t="n">
        <v>4758.38351</v>
      </c>
      <c r="AD127" t="n">
        <v>0</v>
      </c>
      <c r="AK127" t="n">
        <v>125</v>
      </c>
      <c r="AL127" t="n">
        <v>124</v>
      </c>
      <c r="AM127" t="n">
        <v>4752.17</v>
      </c>
      <c r="AN127" t="n">
        <v>4784.1872</v>
      </c>
      <c r="AO127" t="n">
        <v>-32.0172</v>
      </c>
      <c r="AP127" t="n">
        <v>1025.1024</v>
      </c>
      <c r="AQ127" t="n">
        <v>-0.755034</v>
      </c>
      <c r="AR127" t="n">
        <v>0.6875250000000001</v>
      </c>
      <c r="AY127" t="n">
        <v>125</v>
      </c>
      <c r="AZ127" t="n">
        <v>124</v>
      </c>
      <c r="BA127" t="n">
        <v>4752.17</v>
      </c>
      <c r="BB127" t="n">
        <v>4784.1872</v>
      </c>
      <c r="BC127" t="n">
        <v>-32.0172</v>
      </c>
      <c r="BD127" t="n">
        <v>1025.1024</v>
      </c>
      <c r="BE127" t="n">
        <v>15376</v>
      </c>
    </row>
    <row r="128">
      <c r="A128" t="n">
        <v>1776644102</v>
      </c>
      <c r="B128" t="inlineStr">
        <is>
          <t>XAUUSD</t>
        </is>
      </c>
      <c r="C128" t="inlineStr">
        <is>
          <t>M15</t>
        </is>
      </c>
      <c r="D128" t="n">
        <v>4765.66</v>
      </c>
      <c r="E128" t="n">
        <v>4518.59282</v>
      </c>
      <c r="F128" t="n">
        <v>4596.05595</v>
      </c>
      <c r="G128" t="n">
        <v>4755.40355</v>
      </c>
      <c r="H128" t="n">
        <v>4792.76972</v>
      </c>
      <c r="Q128" t="n">
        <v>4783.91962</v>
      </c>
      <c r="R128" t="n">
        <v>4813.28291</v>
      </c>
      <c r="S128" t="n">
        <v>4839.87169</v>
      </c>
      <c r="V128" t="n">
        <v>4748.97985</v>
      </c>
      <c r="W128" t="n">
        <v>4715.41485</v>
      </c>
      <c r="AB128" t="n">
        <v>4763.91219</v>
      </c>
      <c r="AC128" t="n">
        <v>4761.14785</v>
      </c>
      <c r="AD128" t="n">
        <v>1</v>
      </c>
      <c r="AK128" t="n">
        <v>126</v>
      </c>
      <c r="AL128" t="n">
        <v>125</v>
      </c>
      <c r="AM128" t="n">
        <v>4765.66</v>
      </c>
      <c r="AN128" t="n">
        <v>4783.9196</v>
      </c>
      <c r="AO128" t="n">
        <v>-18.2596</v>
      </c>
      <c r="AP128" t="n">
        <v>333.4137</v>
      </c>
      <c r="AQ128" t="n">
        <v>-0.140052</v>
      </c>
      <c r="AR128" t="n">
        <v>0.072731</v>
      </c>
      <c r="AY128" t="n">
        <v>126</v>
      </c>
      <c r="AZ128" t="n">
        <v>125</v>
      </c>
      <c r="BA128" t="n">
        <v>4765.66</v>
      </c>
      <c r="BB128" t="n">
        <v>4783.9196</v>
      </c>
      <c r="BC128" t="n">
        <v>-18.2596</v>
      </c>
      <c r="BD128" t="n">
        <v>333.4137</v>
      </c>
      <c r="BE128" t="n">
        <v>15625</v>
      </c>
    </row>
    <row r="129">
      <c r="A129" t="n">
        <v>1776645002</v>
      </c>
      <c r="B129" t="inlineStr">
        <is>
          <t>XAUUSD</t>
        </is>
      </c>
      <c r="C129" t="inlineStr">
        <is>
          <t>M15</t>
        </is>
      </c>
      <c r="D129" t="n">
        <v>4764.3</v>
      </c>
      <c r="E129" t="n">
        <v>4518.59282</v>
      </c>
      <c r="F129" t="n">
        <v>4596.05595</v>
      </c>
      <c r="G129" t="n">
        <v>4755.40355</v>
      </c>
      <c r="H129" t="n">
        <v>4792.76972</v>
      </c>
      <c r="Q129" t="n">
        <v>4783.65201</v>
      </c>
      <c r="R129" t="n">
        <v>4813.01531</v>
      </c>
      <c r="S129" t="n">
        <v>4839.60408</v>
      </c>
      <c r="V129" t="n">
        <v>4748.71224</v>
      </c>
      <c r="W129" t="n">
        <v>4715.14725</v>
      </c>
      <c r="AB129" t="n">
        <v>4771.48109</v>
      </c>
      <c r="AC129" t="n">
        <v>4766.31447</v>
      </c>
      <c r="AD129" t="n">
        <v>0</v>
      </c>
      <c r="AK129" t="n">
        <v>127</v>
      </c>
      <c r="AL129" t="n">
        <v>126</v>
      </c>
      <c r="AM129" t="n">
        <v>4764.3</v>
      </c>
      <c r="AN129" t="n">
        <v>4783.652</v>
      </c>
      <c r="AO129" t="n">
        <v>-19.352</v>
      </c>
      <c r="AP129" t="n">
        <v>374.5003</v>
      </c>
      <c r="AQ129" t="n">
        <v>-0.166722</v>
      </c>
      <c r="AR129" t="n">
        <v>0.091761</v>
      </c>
      <c r="AY129" t="n">
        <v>127</v>
      </c>
      <c r="AZ129" t="n">
        <v>126</v>
      </c>
      <c r="BA129" t="n">
        <v>4764.3</v>
      </c>
      <c r="BB129" t="n">
        <v>4783.652</v>
      </c>
      <c r="BC129" t="n">
        <v>-19.352</v>
      </c>
      <c r="BD129" t="n">
        <v>374.5003</v>
      </c>
      <c r="BE129" t="n">
        <v>15876</v>
      </c>
    </row>
    <row r="130">
      <c r="A130" t="n">
        <v>1776645902</v>
      </c>
      <c r="B130" t="inlineStr">
        <is>
          <t>XAUUSD</t>
        </is>
      </c>
      <c r="C130" t="inlineStr">
        <is>
          <t>M15</t>
        </is>
      </c>
      <c r="D130" t="n">
        <v>4772.93</v>
      </c>
      <c r="E130" t="n">
        <v>4518.59282</v>
      </c>
      <c r="F130" t="n">
        <v>4596.05595</v>
      </c>
      <c r="G130" t="n">
        <v>4755.40355</v>
      </c>
      <c r="H130" t="n">
        <v>4792.76972</v>
      </c>
      <c r="Q130" t="n">
        <v>4783.38441</v>
      </c>
      <c r="R130" t="n">
        <v>4812.74771</v>
      </c>
      <c r="S130" t="n">
        <v>4839.33648</v>
      </c>
      <c r="V130" t="n">
        <v>4748.44464</v>
      </c>
      <c r="W130" t="n">
        <v>4714.87964</v>
      </c>
      <c r="AB130" t="n">
        <v>4780.20504</v>
      </c>
      <c r="AC130" t="n">
        <v>4773.25976</v>
      </c>
      <c r="AD130" t="n">
        <v>0</v>
      </c>
      <c r="AK130" t="n">
        <v>128</v>
      </c>
      <c r="AL130" t="n">
        <v>127</v>
      </c>
      <c r="AM130" t="n">
        <v>4772.93</v>
      </c>
      <c r="AN130" t="n">
        <v>4783.3844</v>
      </c>
      <c r="AO130" t="n">
        <v>-10.4544</v>
      </c>
      <c r="AP130" t="n">
        <v>109.2947</v>
      </c>
      <c r="AQ130" t="n">
        <v>-0.026285</v>
      </c>
      <c r="AR130" t="n">
        <v>0.007815000000000001</v>
      </c>
      <c r="AY130" t="n">
        <v>128</v>
      </c>
      <c r="AZ130" t="n">
        <v>127</v>
      </c>
      <c r="BA130" t="n">
        <v>4772.93</v>
      </c>
      <c r="BB130" t="n">
        <v>4783.3844</v>
      </c>
      <c r="BC130" t="n">
        <v>-10.4544</v>
      </c>
      <c r="BD130" t="n">
        <v>109.2947</v>
      </c>
      <c r="BE130" t="n">
        <v>16129</v>
      </c>
    </row>
    <row r="131">
      <c r="A131" t="n">
        <v>1776646802</v>
      </c>
      <c r="B131" t="inlineStr">
        <is>
          <t>XAUUSD</t>
        </is>
      </c>
      <c r="C131" t="inlineStr">
        <is>
          <t>M15</t>
        </is>
      </c>
      <c r="D131" t="n">
        <v>4793.92</v>
      </c>
      <c r="E131" t="n">
        <v>4518.59282</v>
      </c>
      <c r="F131" t="n">
        <v>4596.05595</v>
      </c>
      <c r="G131" t="n">
        <v>4755.40355</v>
      </c>
      <c r="H131" t="n">
        <v>4792.76972</v>
      </c>
      <c r="Q131" t="n">
        <v>4783.1168</v>
      </c>
      <c r="R131" t="n">
        <v>4812.4801</v>
      </c>
      <c r="S131" t="n">
        <v>4839.06887</v>
      </c>
      <c r="V131" t="n">
        <v>4748.17703</v>
      </c>
      <c r="W131" t="n">
        <v>4714.61204</v>
      </c>
      <c r="AB131" t="n">
        <v>4788.94333</v>
      </c>
      <c r="AC131" t="n">
        <v>4781.10154</v>
      </c>
      <c r="AD131" t="n">
        <v>0</v>
      </c>
      <c r="AK131" t="n">
        <v>129</v>
      </c>
      <c r="AL131" t="n">
        <v>128</v>
      </c>
      <c r="AM131" t="n">
        <v>4793.92</v>
      </c>
      <c r="AN131" t="n">
        <v>4783.1168</v>
      </c>
      <c r="AO131" t="n">
        <v>10.8032</v>
      </c>
      <c r="AP131" t="n">
        <v>116.7091</v>
      </c>
      <c r="AQ131" t="n">
        <v>0.029005</v>
      </c>
      <c r="AR131" t="n">
        <v>0.008912</v>
      </c>
      <c r="AY131" t="n">
        <v>129</v>
      </c>
      <c r="AZ131" t="n">
        <v>128</v>
      </c>
      <c r="BA131" t="n">
        <v>4793.92</v>
      </c>
      <c r="BB131" t="n">
        <v>4783.1168</v>
      </c>
      <c r="BC131" t="n">
        <v>10.8032</v>
      </c>
      <c r="BD131" t="n">
        <v>116.7091</v>
      </c>
      <c r="BE131" t="n">
        <v>16384</v>
      </c>
    </row>
    <row r="132">
      <c r="A132" t="n">
        <v>1776647702</v>
      </c>
      <c r="B132" t="inlineStr">
        <is>
          <t>XAUUSD</t>
        </is>
      </c>
      <c r="C132" t="inlineStr">
        <is>
          <t>M15</t>
        </is>
      </c>
      <c r="D132" t="n">
        <v>4802.69</v>
      </c>
      <c r="E132" t="n">
        <v>4518.59282</v>
      </c>
      <c r="F132" t="n">
        <v>4596.05595</v>
      </c>
      <c r="G132" t="n">
        <v>4755.40355</v>
      </c>
      <c r="H132" t="n">
        <v>4792.76972</v>
      </c>
      <c r="Q132" t="n">
        <v>4782.8492</v>
      </c>
      <c r="R132" t="n">
        <v>4812.2125</v>
      </c>
      <c r="S132" t="n">
        <v>4838.80127</v>
      </c>
      <c r="V132" t="n">
        <v>4747.90943</v>
      </c>
      <c r="W132" t="n">
        <v>4714.34443</v>
      </c>
      <c r="AB132" t="n">
        <v>4796.27257</v>
      </c>
      <c r="AC132" t="n">
        <v>4788.68706</v>
      </c>
      <c r="AD132" t="n">
        <v>0</v>
      </c>
      <c r="AK132" t="n">
        <v>130</v>
      </c>
      <c r="AL132" t="n">
        <v>129</v>
      </c>
      <c r="AM132" t="n">
        <v>4802.69</v>
      </c>
      <c r="AN132" t="n">
        <v>4782.8492</v>
      </c>
      <c r="AO132" t="n">
        <v>19.8408</v>
      </c>
      <c r="AP132" t="n">
        <v>393.6573</v>
      </c>
      <c r="AQ132" t="n">
        <v>0.179677</v>
      </c>
      <c r="AR132" t="n">
        <v>0.101389</v>
      </c>
      <c r="AY132" t="n">
        <v>130</v>
      </c>
      <c r="AZ132" t="n">
        <v>129</v>
      </c>
      <c r="BA132" t="n">
        <v>4802.69</v>
      </c>
      <c r="BB132" t="n">
        <v>4782.8492</v>
      </c>
      <c r="BC132" t="n">
        <v>19.8408</v>
      </c>
      <c r="BD132" t="n">
        <v>393.6573</v>
      </c>
      <c r="BE132" t="n">
        <v>16641</v>
      </c>
    </row>
    <row r="133">
      <c r="A133" t="n">
        <v>1776648602</v>
      </c>
      <c r="B133" t="inlineStr">
        <is>
          <t>XAUUSD</t>
        </is>
      </c>
      <c r="C133" t="inlineStr">
        <is>
          <t>M15</t>
        </is>
      </c>
      <c r="D133" t="n">
        <v>4807.2</v>
      </c>
      <c r="E133" t="n">
        <v>4518.59282</v>
      </c>
      <c r="F133" t="n">
        <v>4596.05595</v>
      </c>
      <c r="G133" t="n">
        <v>4755.40355</v>
      </c>
      <c r="H133" t="n">
        <v>4792.76972</v>
      </c>
      <c r="Q133" t="n">
        <v>4782.5816</v>
      </c>
      <c r="R133" t="n">
        <v>4811.94489</v>
      </c>
      <c r="S133" t="n">
        <v>4838.53366</v>
      </c>
      <c r="V133" t="n">
        <v>4747.64182</v>
      </c>
      <c r="W133" t="n">
        <v>4714.07683</v>
      </c>
      <c r="AB133" t="n">
        <v>4801.36294</v>
      </c>
      <c r="AC133" t="n">
        <v>4795.025</v>
      </c>
      <c r="AD133" t="n">
        <v>0</v>
      </c>
      <c r="AK133" t="n">
        <v>131</v>
      </c>
      <c r="AL133" t="n">
        <v>130</v>
      </c>
      <c r="AM133" t="n">
        <v>4807.2</v>
      </c>
      <c r="AN133" t="n">
        <v>4782.5816</v>
      </c>
      <c r="AO133" t="n">
        <v>24.6184</v>
      </c>
      <c r="AP133" t="n">
        <v>606.0656</v>
      </c>
      <c r="AQ133" t="n">
        <v>0.343238</v>
      </c>
      <c r="AR133" t="n">
        <v>0.240322</v>
      </c>
      <c r="AY133" t="n">
        <v>131</v>
      </c>
      <c r="AZ133" t="n">
        <v>130</v>
      </c>
      <c r="BA133" t="n">
        <v>4807.2</v>
      </c>
      <c r="BB133" t="n">
        <v>4782.5816</v>
      </c>
      <c r="BC133" t="n">
        <v>24.6184</v>
      </c>
      <c r="BD133" t="n">
        <v>606.0656</v>
      </c>
      <c r="BE133" t="n">
        <v>16900</v>
      </c>
    </row>
    <row r="134">
      <c r="A134" t="n">
        <v>1776649502</v>
      </c>
      <c r="B134" t="inlineStr">
        <is>
          <t>XAUUSD</t>
        </is>
      </c>
      <c r="C134" t="inlineStr">
        <is>
          <t>M15</t>
        </is>
      </c>
      <c r="D134" t="n">
        <v>4807.6</v>
      </c>
      <c r="E134" t="n">
        <v>4518.59282</v>
      </c>
      <c r="F134" t="n">
        <v>4596.05595</v>
      </c>
      <c r="G134" t="n">
        <v>4755.40355</v>
      </c>
      <c r="H134" t="n">
        <v>4792.76972</v>
      </c>
      <c r="Q134" t="n">
        <v>4782.31399</v>
      </c>
      <c r="R134" t="n">
        <v>4811.67729</v>
      </c>
      <c r="S134" t="n">
        <v>4838.26606</v>
      </c>
      <c r="V134" t="n">
        <v>4747.37422</v>
      </c>
      <c r="W134" t="n">
        <v>4713.80922</v>
      </c>
      <c r="AB134" t="n">
        <v>4803.90859</v>
      </c>
      <c r="AC134" t="n">
        <v>4799.4668</v>
      </c>
      <c r="AD134" t="n">
        <v>0</v>
      </c>
      <c r="AK134" t="n">
        <v>132</v>
      </c>
      <c r="AL134" t="n">
        <v>131</v>
      </c>
      <c r="AM134" t="n">
        <v>4807.6</v>
      </c>
      <c r="AN134" t="n">
        <v>4782.314</v>
      </c>
      <c r="AO134" t="n">
        <v>25.286</v>
      </c>
      <c r="AP134" t="n">
        <v>639.3823</v>
      </c>
      <c r="AQ134" t="n">
        <v>0.371926</v>
      </c>
      <c r="AR134" t="n">
        <v>0.26747</v>
      </c>
      <c r="AY134" t="n">
        <v>132</v>
      </c>
      <c r="AZ134" t="n">
        <v>131</v>
      </c>
      <c r="BA134" t="n">
        <v>4807.6</v>
      </c>
      <c r="BB134" t="n">
        <v>4782.314</v>
      </c>
      <c r="BC134" t="n">
        <v>25.286</v>
      </c>
      <c r="BD134" t="n">
        <v>639.3823</v>
      </c>
      <c r="BE134" t="n">
        <v>17161</v>
      </c>
    </row>
    <row r="135">
      <c r="A135" t="n">
        <v>1776650402</v>
      </c>
      <c r="B135" t="inlineStr">
        <is>
          <t>XAUUSD</t>
        </is>
      </c>
      <c r="C135" t="inlineStr">
        <is>
          <t>M15</t>
        </is>
      </c>
      <c r="D135" t="n">
        <v>4800.99</v>
      </c>
      <c r="E135" t="n">
        <v>4518.59282</v>
      </c>
      <c r="F135" t="n">
        <v>4596.05595</v>
      </c>
      <c r="G135" t="n">
        <v>4755.40355</v>
      </c>
      <c r="H135" t="n">
        <v>4792.76972</v>
      </c>
      <c r="Q135" t="n">
        <v>4782.04639</v>
      </c>
      <c r="R135" t="n">
        <v>4811.40969</v>
      </c>
      <c r="S135" t="n">
        <v>4837.99846</v>
      </c>
      <c r="V135" t="n">
        <v>4747.10662</v>
      </c>
      <c r="W135" t="n">
        <v>4713.54162</v>
      </c>
      <c r="AB135" t="n">
        <v>4804.12047</v>
      </c>
      <c r="AC135" t="n">
        <v>4801.79363</v>
      </c>
      <c r="AD135" t="n">
        <v>0</v>
      </c>
      <c r="AK135" t="n">
        <v>133</v>
      </c>
      <c r="AL135" t="n">
        <v>132</v>
      </c>
      <c r="AM135" t="n">
        <v>4800.99</v>
      </c>
      <c r="AN135" t="n">
        <v>4782.0464</v>
      </c>
      <c r="AO135" t="n">
        <v>18.9436</v>
      </c>
      <c r="AP135" t="n">
        <v>358.8604</v>
      </c>
      <c r="AQ135" t="n">
        <v>0.156388</v>
      </c>
      <c r="AR135" t="n">
        <v>0.084257</v>
      </c>
      <c r="AY135" t="n">
        <v>133</v>
      </c>
      <c r="AZ135" t="n">
        <v>132</v>
      </c>
      <c r="BA135" t="n">
        <v>4800.99</v>
      </c>
      <c r="BB135" t="n">
        <v>4782.0464</v>
      </c>
      <c r="BC135" t="n">
        <v>18.9436</v>
      </c>
      <c r="BD135" t="n">
        <v>358.8604</v>
      </c>
      <c r="BE135" t="n">
        <v>17424</v>
      </c>
    </row>
    <row r="136">
      <c r="A136" t="n">
        <v>1776651302</v>
      </c>
      <c r="B136" t="inlineStr">
        <is>
          <t>XAUUSD</t>
        </is>
      </c>
      <c r="C136" t="inlineStr">
        <is>
          <t>M15</t>
        </is>
      </c>
      <c r="D136" t="n">
        <v>4800.46</v>
      </c>
      <c r="E136" t="n">
        <v>4518.59282</v>
      </c>
      <c r="F136" t="n">
        <v>4596.05595</v>
      </c>
      <c r="G136" t="n">
        <v>4755.40355</v>
      </c>
      <c r="H136" t="n">
        <v>4792.76972</v>
      </c>
      <c r="Q136" t="n">
        <v>4781.77878</v>
      </c>
      <c r="R136" t="n">
        <v>4811.14208</v>
      </c>
      <c r="S136" t="n">
        <v>4837.73085</v>
      </c>
      <c r="V136" t="n">
        <v>4746.83901</v>
      </c>
      <c r="W136" t="n">
        <v>4713.27402</v>
      </c>
      <c r="AB136" t="n">
        <v>4802.69386</v>
      </c>
      <c r="AC136" t="n">
        <v>4802.24375</v>
      </c>
      <c r="AD136" t="n">
        <v>0</v>
      </c>
      <c r="AK136" t="n">
        <v>134</v>
      </c>
      <c r="AL136" t="n">
        <v>133</v>
      </c>
      <c r="AM136" t="n">
        <v>4800.46</v>
      </c>
      <c r="AN136" t="n">
        <v>4781.7788</v>
      </c>
      <c r="AO136" t="n">
        <v>18.6812</v>
      </c>
      <c r="AP136" t="n">
        <v>348.988</v>
      </c>
      <c r="AQ136" t="n">
        <v>0.149979</v>
      </c>
      <c r="AR136" t="n">
        <v>0.07968500000000001</v>
      </c>
      <c r="AY136" t="n">
        <v>134</v>
      </c>
      <c r="AZ136" t="n">
        <v>133</v>
      </c>
      <c r="BA136" t="n">
        <v>4800.46</v>
      </c>
      <c r="BB136" t="n">
        <v>4781.7788</v>
      </c>
      <c r="BC136" t="n">
        <v>18.6812</v>
      </c>
      <c r="BD136" t="n">
        <v>348.988</v>
      </c>
      <c r="BE136" t="n">
        <v>17689</v>
      </c>
    </row>
    <row r="137">
      <c r="A137" t="n">
        <v>1776652202</v>
      </c>
      <c r="B137" t="inlineStr">
        <is>
          <t>XAUUSD</t>
        </is>
      </c>
      <c r="C137" t="inlineStr">
        <is>
          <t>M15</t>
        </is>
      </c>
      <c r="D137" t="n">
        <v>4796.33</v>
      </c>
      <c r="E137" t="n">
        <v>4518.59282</v>
      </c>
      <c r="F137" t="n">
        <v>4596.05595</v>
      </c>
      <c r="G137" t="n">
        <v>4755.40355</v>
      </c>
      <c r="H137" t="n">
        <v>4792.76972</v>
      </c>
      <c r="Q137" t="n">
        <v>4781.51118</v>
      </c>
      <c r="R137" t="n">
        <v>4810.87448</v>
      </c>
      <c r="S137" t="n">
        <v>4837.46325</v>
      </c>
      <c r="V137" t="n">
        <v>4746.57141</v>
      </c>
      <c r="W137" t="n">
        <v>4713.00641</v>
      </c>
      <c r="AB137" t="n">
        <v>4800.27677</v>
      </c>
      <c r="AC137" t="n">
        <v>4801.26026</v>
      </c>
      <c r="AD137" t="n">
        <v>1</v>
      </c>
      <c r="AK137" t="n">
        <v>135</v>
      </c>
      <c r="AL137" t="n">
        <v>134</v>
      </c>
      <c r="AM137" t="n">
        <v>4796.33</v>
      </c>
      <c r="AN137" t="n">
        <v>4781.5112</v>
      </c>
      <c r="AO137" t="n">
        <v>14.8188</v>
      </c>
      <c r="AP137" t="n">
        <v>219.5974</v>
      </c>
      <c r="AQ137" t="n">
        <v>0.074861</v>
      </c>
      <c r="AR137" t="n">
        <v>0.031551</v>
      </c>
      <c r="AY137" t="n">
        <v>135</v>
      </c>
      <c r="AZ137" t="n">
        <v>134</v>
      </c>
      <c r="BA137" t="n">
        <v>4796.33</v>
      </c>
      <c r="BB137" t="n">
        <v>4781.5112</v>
      </c>
      <c r="BC137" t="n">
        <v>14.8188</v>
      </c>
      <c r="BD137" t="n">
        <v>219.5974</v>
      </c>
      <c r="BE137" t="n">
        <v>17956</v>
      </c>
    </row>
    <row r="138">
      <c r="A138" t="n">
        <v>1776653102</v>
      </c>
      <c r="B138" t="inlineStr">
        <is>
          <t>XAUUSD</t>
        </is>
      </c>
      <c r="C138" t="inlineStr">
        <is>
          <t>M15</t>
        </is>
      </c>
      <c r="D138" t="n">
        <v>4797.41</v>
      </c>
      <c r="E138" t="n">
        <v>4518.59282</v>
      </c>
      <c r="F138" t="n">
        <v>4596.05595</v>
      </c>
      <c r="G138" t="n">
        <v>4755.40355</v>
      </c>
      <c r="H138" t="n">
        <v>4792.76972</v>
      </c>
      <c r="Q138" t="n">
        <v>4781.24357</v>
      </c>
      <c r="R138" t="n">
        <v>4810.60687</v>
      </c>
      <c r="S138" t="n">
        <v>4837.19564</v>
      </c>
      <c r="V138" t="n">
        <v>4746.3038</v>
      </c>
      <c r="W138" t="n">
        <v>4712.73881</v>
      </c>
      <c r="AB138" t="n">
        <v>4797.60853</v>
      </c>
      <c r="AC138" t="n">
        <v>4799.43439</v>
      </c>
      <c r="AD138" t="n">
        <v>0</v>
      </c>
      <c r="AK138" t="n">
        <v>136</v>
      </c>
      <c r="AL138" t="n">
        <v>135</v>
      </c>
      <c r="AM138" t="n">
        <v>4797.41</v>
      </c>
      <c r="AN138" t="n">
        <v>4781.2436</v>
      </c>
      <c r="AO138" t="n">
        <v>16.1664</v>
      </c>
      <c r="AP138" t="n">
        <v>261.3535</v>
      </c>
      <c r="AQ138" t="n">
        <v>0.09719800000000001</v>
      </c>
      <c r="AR138" t="n">
        <v>0.04469</v>
      </c>
      <c r="AY138" t="n">
        <v>136</v>
      </c>
      <c r="AZ138" t="n">
        <v>135</v>
      </c>
      <c r="BA138" t="n">
        <v>4797.41</v>
      </c>
      <c r="BB138" t="n">
        <v>4781.2436</v>
      </c>
      <c r="BC138" t="n">
        <v>16.1664</v>
      </c>
      <c r="BD138" t="n">
        <v>261.3535</v>
      </c>
      <c r="BE138" t="n">
        <v>18225</v>
      </c>
    </row>
    <row r="139">
      <c r="A139" t="n">
        <v>1776654002</v>
      </c>
      <c r="B139" t="inlineStr">
        <is>
          <t>XAUUSD</t>
        </is>
      </c>
      <c r="C139" t="inlineStr">
        <is>
          <t>M15</t>
        </is>
      </c>
      <c r="D139" t="n">
        <v>4791.47</v>
      </c>
      <c r="E139" t="n">
        <v>4518.59282</v>
      </c>
      <c r="F139" t="n">
        <v>4596.05595</v>
      </c>
      <c r="G139" t="n">
        <v>4755.40355</v>
      </c>
      <c r="H139" t="n">
        <v>4792.76972</v>
      </c>
      <c r="Q139" t="n">
        <v>4780.97597</v>
      </c>
      <c r="R139" t="n">
        <v>4810.33927</v>
      </c>
      <c r="S139" t="n">
        <v>4836.92804</v>
      </c>
      <c r="V139" t="n">
        <v>4746.0362</v>
      </c>
      <c r="W139" t="n">
        <v>4712.4712</v>
      </c>
      <c r="AB139" t="n">
        <v>4795.15064</v>
      </c>
      <c r="AC139" t="n">
        <v>4797.29252</v>
      </c>
      <c r="AD139" t="n">
        <v>0</v>
      </c>
      <c r="AK139" t="n">
        <v>137</v>
      </c>
      <c r="AL139" t="n">
        <v>136</v>
      </c>
      <c r="AM139" t="n">
        <v>4791.47</v>
      </c>
      <c r="AN139" t="n">
        <v>4780.976</v>
      </c>
      <c r="AO139" t="n">
        <v>10.494</v>
      </c>
      <c r="AP139" t="n">
        <v>110.1247</v>
      </c>
      <c r="AQ139" t="n">
        <v>0.026585</v>
      </c>
      <c r="AR139" t="n">
        <v>0.007934999999999999</v>
      </c>
      <c r="AY139" t="n">
        <v>137</v>
      </c>
      <c r="AZ139" t="n">
        <v>136</v>
      </c>
      <c r="BA139" t="n">
        <v>4791.47</v>
      </c>
      <c r="BB139" t="n">
        <v>4780.976</v>
      </c>
      <c r="BC139" t="n">
        <v>10.494</v>
      </c>
      <c r="BD139" t="n">
        <v>110.1247</v>
      </c>
      <c r="BE139" t="n">
        <v>18496</v>
      </c>
    </row>
    <row r="140">
      <c r="A140" t="n">
        <v>1776654902</v>
      </c>
      <c r="B140" t="inlineStr">
        <is>
          <t>XAUUSD</t>
        </is>
      </c>
      <c r="C140" t="inlineStr">
        <is>
          <t>M15</t>
        </is>
      </c>
      <c r="D140" t="n">
        <v>4795.1</v>
      </c>
      <c r="E140" t="n">
        <v>4518.59282</v>
      </c>
      <c r="F140" t="n">
        <v>4596.05595</v>
      </c>
      <c r="G140" t="n">
        <v>4755.40355</v>
      </c>
      <c r="H140" t="n">
        <v>4792.76972</v>
      </c>
      <c r="Q140" t="n">
        <v>4780.70837</v>
      </c>
      <c r="R140" t="n">
        <v>4810.07167</v>
      </c>
      <c r="S140" t="n">
        <v>4836.66044</v>
      </c>
      <c r="V140" t="n">
        <v>4745.7686</v>
      </c>
      <c r="W140" t="n">
        <v>4712.2036</v>
      </c>
      <c r="AB140" t="n">
        <v>4793.34583</v>
      </c>
      <c r="AC140" t="n">
        <v>4795.31917</v>
      </c>
      <c r="AD140" t="n">
        <v>0</v>
      </c>
      <c r="AK140" t="n">
        <v>138</v>
      </c>
      <c r="AL140" t="n">
        <v>137</v>
      </c>
      <c r="AM140" t="n">
        <v>4795.1</v>
      </c>
      <c r="AN140" t="n">
        <v>4780.7084</v>
      </c>
      <c r="AO140" t="n">
        <v>14.3916</v>
      </c>
      <c r="AP140" t="n">
        <v>207.119</v>
      </c>
      <c r="AQ140" t="n">
        <v>0.06857199999999999</v>
      </c>
      <c r="AR140" t="n">
        <v>0.028067</v>
      </c>
      <c r="AY140" t="n">
        <v>138</v>
      </c>
      <c r="AZ140" t="n">
        <v>137</v>
      </c>
      <c r="BA140" t="n">
        <v>4795.1</v>
      </c>
      <c r="BB140" t="n">
        <v>4780.7084</v>
      </c>
      <c r="BC140" t="n">
        <v>14.3916</v>
      </c>
      <c r="BD140" t="n">
        <v>207.119</v>
      </c>
      <c r="BE140" t="n">
        <v>18769</v>
      </c>
    </row>
    <row r="141">
      <c r="A141" t="n">
        <v>1776655802</v>
      </c>
      <c r="B141" t="inlineStr">
        <is>
          <t>XAUUSD</t>
        </is>
      </c>
      <c r="C141" t="inlineStr">
        <is>
          <t>M15</t>
        </is>
      </c>
      <c r="D141" t="n">
        <v>4793.76</v>
      </c>
      <c r="E141" t="n">
        <v>4518.59282</v>
      </c>
      <c r="F141" t="n">
        <v>4596.05595</v>
      </c>
      <c r="G141" t="n">
        <v>4755.40355</v>
      </c>
      <c r="H141" t="n">
        <v>4792.76972</v>
      </c>
      <c r="Q141" t="n">
        <v>4780.44076</v>
      </c>
      <c r="R141" t="n">
        <v>4809.80406</v>
      </c>
      <c r="S141" t="n">
        <v>4836.39283</v>
      </c>
      <c r="V141" t="n">
        <v>4745.50099</v>
      </c>
      <c r="W141" t="n">
        <v>4711.936</v>
      </c>
      <c r="AB141" t="n">
        <v>4792.13821</v>
      </c>
      <c r="AC141" t="n">
        <v>4793.72869</v>
      </c>
      <c r="AD141" t="n">
        <v>0</v>
      </c>
      <c r="AK141" t="n">
        <v>139</v>
      </c>
      <c r="AL141" t="n">
        <v>138</v>
      </c>
      <c r="AM141" t="n">
        <v>4793.76</v>
      </c>
      <c r="AN141" t="n">
        <v>4780.4408</v>
      </c>
      <c r="AO141" t="n">
        <v>13.3192</v>
      </c>
      <c r="AP141" t="n">
        <v>177.4022</v>
      </c>
      <c r="AQ141" t="n">
        <v>0.054357</v>
      </c>
      <c r="AR141" t="n">
        <v>0.020591</v>
      </c>
      <c r="AY141" t="n">
        <v>139</v>
      </c>
      <c r="AZ141" t="n">
        <v>138</v>
      </c>
      <c r="BA141" t="n">
        <v>4793.76</v>
      </c>
      <c r="BB141" t="n">
        <v>4780.4408</v>
      </c>
      <c r="BC141" t="n">
        <v>13.3192</v>
      </c>
      <c r="BD141" t="n">
        <v>177.4022</v>
      </c>
      <c r="BE141" t="n">
        <v>19044</v>
      </c>
    </row>
    <row r="142">
      <c r="A142" t="n">
        <v>1776656702</v>
      </c>
      <c r="B142" t="inlineStr">
        <is>
          <t>XAUUSD</t>
        </is>
      </c>
      <c r="C142" t="inlineStr">
        <is>
          <t>M15</t>
        </is>
      </c>
      <c r="D142" t="n">
        <v>4790.91</v>
      </c>
      <c r="E142" t="n">
        <v>4518.59282</v>
      </c>
      <c r="F142" t="n">
        <v>4596.05595</v>
      </c>
      <c r="G142" t="n">
        <v>4755.40355</v>
      </c>
      <c r="H142" t="n">
        <v>4792.76972</v>
      </c>
      <c r="Q142" t="n">
        <v>4780.17316</v>
      </c>
      <c r="R142" t="n">
        <v>4809.53646</v>
      </c>
      <c r="S142" t="n">
        <v>4836.12523</v>
      </c>
      <c r="V142" t="n">
        <v>4745.23339</v>
      </c>
      <c r="W142" t="n">
        <v>4711.66839</v>
      </c>
      <c r="AB142" t="n">
        <v>4791.42163</v>
      </c>
      <c r="AC142" t="n">
        <v>4792.57516</v>
      </c>
      <c r="AD142" t="n">
        <v>0</v>
      </c>
      <c r="AK142" t="n">
        <v>140</v>
      </c>
      <c r="AL142" t="n">
        <v>139</v>
      </c>
      <c r="AM142" t="n">
        <v>4790.91</v>
      </c>
      <c r="AN142" t="n">
        <v>4780.1732</v>
      </c>
      <c r="AO142" t="n">
        <v>10.7368</v>
      </c>
      <c r="AP142" t="n">
        <v>115.2797</v>
      </c>
      <c r="AQ142" t="n">
        <v>0.028474</v>
      </c>
      <c r="AR142" t="n">
        <v>0.008695</v>
      </c>
      <c r="AY142" t="n">
        <v>140</v>
      </c>
      <c r="AZ142" t="n">
        <v>139</v>
      </c>
      <c r="BA142" t="n">
        <v>4790.91</v>
      </c>
      <c r="BB142" t="n">
        <v>4780.1732</v>
      </c>
      <c r="BC142" t="n">
        <v>10.7368</v>
      </c>
      <c r="BD142" t="n">
        <v>115.2797</v>
      </c>
      <c r="BE142" t="n">
        <v>19321</v>
      </c>
    </row>
    <row r="143">
      <c r="A143" t="n">
        <v>1776657602</v>
      </c>
      <c r="B143" t="inlineStr">
        <is>
          <t>XAUUSD</t>
        </is>
      </c>
      <c r="C143" t="inlineStr">
        <is>
          <t>M15</t>
        </is>
      </c>
      <c r="D143" t="n">
        <v>4793.12</v>
      </c>
      <c r="E143" t="n">
        <v>4518.59282</v>
      </c>
      <c r="F143" t="n">
        <v>4596.05595</v>
      </c>
      <c r="G143" t="n">
        <v>4755.40355</v>
      </c>
      <c r="H143" t="n">
        <v>4792.76972</v>
      </c>
      <c r="Q143" t="n">
        <v>4779.90555</v>
      </c>
      <c r="R143" t="n">
        <v>4809.26885</v>
      </c>
      <c r="S143" t="n">
        <v>4835.85762</v>
      </c>
      <c r="V143" t="n">
        <v>4744.96578</v>
      </c>
      <c r="W143" t="n">
        <v>4711.40079</v>
      </c>
      <c r="AB143" t="n">
        <v>4791.00434</v>
      </c>
      <c r="AC143" t="n">
        <v>4791.78975</v>
      </c>
      <c r="AD143" t="n">
        <v>0</v>
      </c>
      <c r="AK143" t="n">
        <v>141</v>
      </c>
      <c r="AL143" t="n">
        <v>140</v>
      </c>
      <c r="AM143" t="n">
        <v>4793.12</v>
      </c>
      <c r="AN143" t="n">
        <v>4779.9056</v>
      </c>
      <c r="AO143" t="n">
        <v>13.2144</v>
      </c>
      <c r="AP143" t="n">
        <v>174.6217</v>
      </c>
      <c r="AQ143" t="n">
        <v>0.053084</v>
      </c>
      <c r="AR143" t="n">
        <v>0.01995</v>
      </c>
      <c r="AY143" t="n">
        <v>141</v>
      </c>
      <c r="AZ143" t="n">
        <v>140</v>
      </c>
      <c r="BA143" t="n">
        <v>4793.12</v>
      </c>
      <c r="BB143" t="n">
        <v>4779.9056</v>
      </c>
      <c r="BC143" t="n">
        <v>13.2144</v>
      </c>
      <c r="BD143" t="n">
        <v>174.6217</v>
      </c>
      <c r="BE143" t="n">
        <v>19600</v>
      </c>
    </row>
    <row r="144">
      <c r="A144" t="n">
        <v>1776658502</v>
      </c>
      <c r="B144" t="inlineStr">
        <is>
          <t>XAUUSD</t>
        </is>
      </c>
      <c r="C144" t="inlineStr">
        <is>
          <t>M15</t>
        </is>
      </c>
      <c r="D144" t="n">
        <v>4794.79</v>
      </c>
      <c r="E144" t="n">
        <v>4518.59282</v>
      </c>
      <c r="F144" t="n">
        <v>4596.05595</v>
      </c>
      <c r="G144" t="n">
        <v>4755.40355</v>
      </c>
      <c r="H144" t="n">
        <v>4792.76972</v>
      </c>
      <c r="Q144" t="n">
        <v>4779.63795</v>
      </c>
      <c r="R144" t="n">
        <v>4809.00125</v>
      </c>
      <c r="S144" t="n">
        <v>4835.59002</v>
      </c>
      <c r="V144" t="n">
        <v>4744.69818</v>
      </c>
      <c r="W144" t="n">
        <v>4711.13318</v>
      </c>
      <c r="AB144" t="n">
        <v>4790.52726</v>
      </c>
      <c r="AC144" t="n">
        <v>4791.15851</v>
      </c>
      <c r="AD144" t="n">
        <v>0</v>
      </c>
      <c r="AK144" t="n">
        <v>142</v>
      </c>
      <c r="AL144" t="n">
        <v>141</v>
      </c>
      <c r="AM144" t="n">
        <v>4794.79</v>
      </c>
      <c r="AN144" t="n">
        <v>4779.638</v>
      </c>
      <c r="AO144" t="n">
        <v>15.152</v>
      </c>
      <c r="AP144" t="n">
        <v>229.5846</v>
      </c>
      <c r="AQ144" t="n">
        <v>0.080026</v>
      </c>
      <c r="AR144" t="n">
        <v>0.034486</v>
      </c>
      <c r="AY144" t="n">
        <v>142</v>
      </c>
      <c r="AZ144" t="n">
        <v>141</v>
      </c>
      <c r="BA144" t="n">
        <v>4794.79</v>
      </c>
      <c r="BB144" t="n">
        <v>4779.638</v>
      </c>
      <c r="BC144" t="n">
        <v>15.152</v>
      </c>
      <c r="BD144" t="n">
        <v>229.5846</v>
      </c>
      <c r="BE144" t="n">
        <v>19881</v>
      </c>
    </row>
    <row r="145">
      <c r="A145" t="n">
        <v>1776659402</v>
      </c>
      <c r="B145" t="inlineStr">
        <is>
          <t>XAUUSD</t>
        </is>
      </c>
      <c r="C145" t="inlineStr">
        <is>
          <t>M15</t>
        </is>
      </c>
      <c r="D145" t="n">
        <v>4787.34</v>
      </c>
      <c r="E145" t="n">
        <v>4518.59282</v>
      </c>
      <c r="F145" t="n">
        <v>4596.05595</v>
      </c>
      <c r="G145" t="n">
        <v>4755.40355</v>
      </c>
      <c r="H145" t="n">
        <v>4792.76972</v>
      </c>
      <c r="Q145" t="n">
        <v>4779.37035</v>
      </c>
      <c r="R145" t="n">
        <v>4808.73364</v>
      </c>
      <c r="S145" t="n">
        <v>4835.32242</v>
      </c>
      <c r="V145" t="n">
        <v>4744.43058</v>
      </c>
      <c r="W145" t="n">
        <v>4710.86558</v>
      </c>
      <c r="AB145" t="n">
        <v>4789.74327</v>
      </c>
      <c r="AC145" t="n">
        <v>4790.45089</v>
      </c>
      <c r="AD145" t="n">
        <v>0</v>
      </c>
      <c r="AK145" t="n">
        <v>143</v>
      </c>
      <c r="AL145" t="n">
        <v>142</v>
      </c>
      <c r="AM145" t="n">
        <v>4787.34</v>
      </c>
      <c r="AN145" t="n">
        <v>4779.3704</v>
      </c>
      <c r="AO145" t="n">
        <v>7.9697</v>
      </c>
      <c r="AP145" t="n">
        <v>63.5153</v>
      </c>
      <c r="AQ145" t="n">
        <v>0.011645</v>
      </c>
      <c r="AR145" t="n">
        <v>0.002639</v>
      </c>
      <c r="AY145" t="n">
        <v>143</v>
      </c>
      <c r="AZ145" t="n">
        <v>142</v>
      </c>
      <c r="BA145" t="n">
        <v>4787.34</v>
      </c>
      <c r="BB145" t="n">
        <v>4779.3704</v>
      </c>
      <c r="BC145" t="n">
        <v>7.9697</v>
      </c>
      <c r="BD145" t="n">
        <v>63.5153</v>
      </c>
      <c r="BE145" t="n">
        <v>20164</v>
      </c>
    </row>
    <row r="146">
      <c r="A146" t="n">
        <v>1776660302</v>
      </c>
      <c r="B146" t="inlineStr">
        <is>
          <t>XAUUSD</t>
        </is>
      </c>
      <c r="C146" t="inlineStr">
        <is>
          <t>M15</t>
        </is>
      </c>
      <c r="D146" t="n">
        <v>4789.02</v>
      </c>
      <c r="E146" t="n">
        <v>4518.59282</v>
      </c>
      <c r="F146" t="n">
        <v>4596.05595</v>
      </c>
      <c r="G146" t="n">
        <v>4755.40355</v>
      </c>
      <c r="H146" t="n">
        <v>4792.76972</v>
      </c>
      <c r="Q146" t="n">
        <v>4779.10274</v>
      </c>
      <c r="R146" t="n">
        <v>4808.46604</v>
      </c>
      <c r="S146" t="n">
        <v>4835.05481</v>
      </c>
      <c r="V146" t="n">
        <v>4744.16297</v>
      </c>
      <c r="W146" t="n">
        <v>4710.59798</v>
      </c>
      <c r="AB146" t="n">
        <v>4788.84509</v>
      </c>
      <c r="AC146" t="n">
        <v>4789.64799</v>
      </c>
      <c r="AD146" t="n">
        <v>0</v>
      </c>
      <c r="AK146" t="n">
        <v>144</v>
      </c>
      <c r="AL146" t="n">
        <v>143</v>
      </c>
      <c r="AM146" t="n">
        <v>4789.02</v>
      </c>
      <c r="AN146" t="n">
        <v>4779.1027</v>
      </c>
      <c r="AO146" t="n">
        <v>9.917299999999999</v>
      </c>
      <c r="AP146" t="n">
        <v>98.352</v>
      </c>
      <c r="AQ146" t="n">
        <v>0.022438</v>
      </c>
      <c r="AR146" t="n">
        <v>0.006329</v>
      </c>
      <c r="AY146" t="n">
        <v>144</v>
      </c>
      <c r="AZ146" t="n">
        <v>143</v>
      </c>
      <c r="BA146" t="n">
        <v>4789.02</v>
      </c>
      <c r="BB146" t="n">
        <v>4779.1027</v>
      </c>
      <c r="BC146" t="n">
        <v>9.917299999999999</v>
      </c>
      <c r="BD146" t="n">
        <v>98.352</v>
      </c>
      <c r="BE146" t="n">
        <v>20449</v>
      </c>
    </row>
    <row r="147">
      <c r="A147" t="n">
        <v>1776661202</v>
      </c>
      <c r="B147" t="inlineStr">
        <is>
          <t>XAUUSD</t>
        </is>
      </c>
      <c r="C147" t="inlineStr">
        <is>
          <t>M15</t>
        </is>
      </c>
      <c r="D147" t="n">
        <v>4786.62</v>
      </c>
      <c r="E147" t="n">
        <v>4518.59282</v>
      </c>
      <c r="F147" t="n">
        <v>4596.05595</v>
      </c>
      <c r="G147" t="n">
        <v>4755.40355</v>
      </c>
      <c r="H147" t="n">
        <v>4792.76972</v>
      </c>
      <c r="Q147" t="n">
        <v>4778.83514</v>
      </c>
      <c r="R147" t="n">
        <v>4808.19844</v>
      </c>
      <c r="S147" t="n">
        <v>4834.78721</v>
      </c>
      <c r="V147" t="n">
        <v>4743.89537</v>
      </c>
      <c r="W147" t="n">
        <v>4710.33037</v>
      </c>
      <c r="AB147" t="n">
        <v>4787.90806</v>
      </c>
      <c r="AC147" t="n">
        <v>4788.77802</v>
      </c>
      <c r="AD147" t="n">
        <v>0</v>
      </c>
      <c r="AK147" t="n">
        <v>145</v>
      </c>
      <c r="AL147" t="n">
        <v>144</v>
      </c>
      <c r="AM147" t="n">
        <v>4786.62</v>
      </c>
      <c r="AN147" t="n">
        <v>4778.8351</v>
      </c>
      <c r="AO147" t="n">
        <v>7.7849</v>
      </c>
      <c r="AP147" t="n">
        <v>60.604</v>
      </c>
      <c r="AQ147" t="n">
        <v>0.010853</v>
      </c>
      <c r="AR147" t="n">
        <v>0.002403</v>
      </c>
      <c r="AY147" t="n">
        <v>145</v>
      </c>
      <c r="AZ147" t="n">
        <v>144</v>
      </c>
      <c r="BA147" t="n">
        <v>4786.62</v>
      </c>
      <c r="BB147" t="n">
        <v>4778.8351</v>
      </c>
      <c r="BC147" t="n">
        <v>7.7849</v>
      </c>
      <c r="BD147" t="n">
        <v>60.604</v>
      </c>
      <c r="BE147" t="n">
        <v>20736</v>
      </c>
    </row>
    <row r="148">
      <c r="A148" t="n">
        <v>1776662102</v>
      </c>
      <c r="B148" t="inlineStr">
        <is>
          <t>XAUUSD</t>
        </is>
      </c>
      <c r="C148" t="inlineStr">
        <is>
          <t>M15</t>
        </is>
      </c>
      <c r="D148" t="n">
        <v>4788.05</v>
      </c>
      <c r="E148" t="n">
        <v>4518.59282</v>
      </c>
      <c r="F148" t="n">
        <v>4596.05595</v>
      </c>
      <c r="G148" t="n">
        <v>4755.40355</v>
      </c>
      <c r="H148" t="n">
        <v>4792.76972</v>
      </c>
      <c r="Q148" t="n">
        <v>4778.56753</v>
      </c>
      <c r="R148" t="n">
        <v>4807.93083</v>
      </c>
      <c r="S148" t="n">
        <v>4834.5196</v>
      </c>
      <c r="V148" t="n">
        <v>4743.62776</v>
      </c>
      <c r="W148" t="n">
        <v>4710.06277</v>
      </c>
      <c r="AB148" t="n">
        <v>4787.20744</v>
      </c>
      <c r="AC148" t="n">
        <v>4787.99273</v>
      </c>
      <c r="AD148" t="n">
        <v>0</v>
      </c>
      <c r="AK148" t="n">
        <v>146</v>
      </c>
      <c r="AL148" t="n">
        <v>145</v>
      </c>
      <c r="AM148" t="n">
        <v>4788.05</v>
      </c>
      <c r="AN148" t="n">
        <v>4778.5675</v>
      </c>
      <c r="AO148" t="n">
        <v>9.4825</v>
      </c>
      <c r="AP148" t="n">
        <v>89.91719999999999</v>
      </c>
      <c r="AQ148" t="n">
        <v>0.019615</v>
      </c>
      <c r="AR148" t="n">
        <v>0.00529</v>
      </c>
      <c r="AY148" t="n">
        <v>146</v>
      </c>
      <c r="AZ148" t="n">
        <v>145</v>
      </c>
      <c r="BA148" t="n">
        <v>4788.05</v>
      </c>
      <c r="BB148" t="n">
        <v>4778.5675</v>
      </c>
      <c r="BC148" t="n">
        <v>9.4825</v>
      </c>
      <c r="BD148" t="n">
        <v>89.91719999999999</v>
      </c>
      <c r="BE148" t="n">
        <v>21025</v>
      </c>
    </row>
    <row r="149">
      <c r="A149" t="n">
        <v>1776663002</v>
      </c>
      <c r="B149" t="inlineStr">
        <is>
          <t>XAUUSD</t>
        </is>
      </c>
      <c r="C149" t="inlineStr">
        <is>
          <t>M15</t>
        </is>
      </c>
      <c r="D149" t="n">
        <v>4780.97</v>
      </c>
      <c r="E149" t="n">
        <v>4518.59282</v>
      </c>
      <c r="F149" t="n">
        <v>4596.05595</v>
      </c>
      <c r="G149" t="n">
        <v>4755.40355</v>
      </c>
      <c r="H149" t="n">
        <v>4792.76972</v>
      </c>
      <c r="Q149" t="n">
        <v>4778.29993</v>
      </c>
      <c r="R149" t="n">
        <v>4807.66323</v>
      </c>
      <c r="S149" t="n">
        <v>4834.252</v>
      </c>
      <c r="V149" t="n">
        <v>4743.36016</v>
      </c>
      <c r="W149" t="n">
        <v>4709.79516</v>
      </c>
      <c r="AA149" t="n">
        <v>4779.8</v>
      </c>
      <c r="AB149" t="n">
        <v>4786.92061</v>
      </c>
      <c r="AC149" t="n">
        <v>4787.45667</v>
      </c>
      <c r="AD149" t="n">
        <v>0</v>
      </c>
      <c r="AK149" t="n">
        <v>147</v>
      </c>
      <c r="AL149" t="n">
        <v>146</v>
      </c>
      <c r="AM149" t="n">
        <v>4780.97</v>
      </c>
      <c r="AN149" t="n">
        <v>4778.2999</v>
      </c>
      <c r="AO149" t="n">
        <v>2.6701</v>
      </c>
      <c r="AP149" t="n">
        <v>7.1293</v>
      </c>
      <c r="AQ149" t="n">
        <v>0.000438</v>
      </c>
      <c r="AR149" t="n">
        <v>3.3e-05</v>
      </c>
      <c r="AY149" t="n">
        <v>147</v>
      </c>
      <c r="AZ149" t="n">
        <v>146</v>
      </c>
      <c r="BA149" t="n">
        <v>4780.97</v>
      </c>
      <c r="BB149" t="n">
        <v>4778.2999</v>
      </c>
      <c r="BC149" t="n">
        <v>2.6701</v>
      </c>
      <c r="BD149" t="n">
        <v>7.1293</v>
      </c>
      <c r="BE149" t="n">
        <v>21316</v>
      </c>
    </row>
    <row r="150">
      <c r="A150" t="n">
        <v>1776663902</v>
      </c>
      <c r="B150" t="inlineStr">
        <is>
          <t>XAUUSD</t>
        </is>
      </c>
      <c r="C150" t="inlineStr">
        <is>
          <t>M15</t>
        </is>
      </c>
      <c r="D150" t="n">
        <v>4790.87</v>
      </c>
      <c r="E150" t="n">
        <v>4518.59282</v>
      </c>
      <c r="F150" t="n">
        <v>4596.05595</v>
      </c>
      <c r="G150" t="n">
        <v>4755.40355</v>
      </c>
      <c r="H150" t="n">
        <v>4792.76972</v>
      </c>
      <c r="Q150" t="n">
        <v>4778.03233</v>
      </c>
      <c r="R150" t="n">
        <v>4807.39562</v>
      </c>
      <c r="S150" t="n">
        <v>4833.9844</v>
      </c>
      <c r="V150" t="n">
        <v>4743.09256</v>
      </c>
      <c r="W150" t="n">
        <v>4709.52756</v>
      </c>
      <c r="AB150" t="n">
        <v>4787.43444</v>
      </c>
      <c r="AC150" t="n">
        <v>4787.44556</v>
      </c>
      <c r="AD150" t="n">
        <v>0</v>
      </c>
      <c r="AK150" t="n">
        <v>148</v>
      </c>
      <c r="AL150" t="n">
        <v>147</v>
      </c>
      <c r="AM150" t="n">
        <v>4790.87</v>
      </c>
      <c r="AN150" t="n">
        <v>4778.0323</v>
      </c>
      <c r="AO150" t="n">
        <v>12.8377</v>
      </c>
      <c r="AP150" t="n">
        <v>164.8058</v>
      </c>
      <c r="AQ150" t="n">
        <v>0.048671</v>
      </c>
      <c r="AR150" t="n">
        <v>0.01777</v>
      </c>
      <c r="AY150" t="n">
        <v>148</v>
      </c>
      <c r="AZ150" t="n">
        <v>147</v>
      </c>
      <c r="BA150" t="n">
        <v>4790.87</v>
      </c>
      <c r="BB150" t="n">
        <v>4778.0323</v>
      </c>
      <c r="BC150" t="n">
        <v>12.8377</v>
      </c>
      <c r="BD150" t="n">
        <v>164.8058</v>
      </c>
      <c r="BE150" t="n">
        <v>21609</v>
      </c>
    </row>
    <row r="151">
      <c r="A151" t="n">
        <v>1776664802</v>
      </c>
      <c r="B151" t="inlineStr">
        <is>
          <t>XAUUSD</t>
        </is>
      </c>
      <c r="C151" t="inlineStr">
        <is>
          <t>M15</t>
        </is>
      </c>
      <c r="D151" t="n">
        <v>4790.56</v>
      </c>
      <c r="E151" t="n">
        <v>4518.59282</v>
      </c>
      <c r="F151" t="n">
        <v>4596.05595</v>
      </c>
      <c r="G151" t="n">
        <v>4755.40355</v>
      </c>
      <c r="H151" t="n">
        <v>4792.76972</v>
      </c>
      <c r="Q151" t="n">
        <v>4777.76472</v>
      </c>
      <c r="R151" t="n">
        <v>4807.12802</v>
      </c>
      <c r="S151" t="n">
        <v>4833.71679</v>
      </c>
      <c r="V151" t="n">
        <v>4742.82495</v>
      </c>
      <c r="W151" t="n">
        <v>4709.25996</v>
      </c>
      <c r="AB151" t="n">
        <v>4788.48188</v>
      </c>
      <c r="AC151" t="n">
        <v>4787.96372</v>
      </c>
      <c r="AD151" t="n">
        <v>1</v>
      </c>
      <c r="AK151" t="n">
        <v>149</v>
      </c>
      <c r="AL151" t="n">
        <v>148</v>
      </c>
      <c r="AM151" t="n">
        <v>4790.56</v>
      </c>
      <c r="AN151" t="n">
        <v>4777.7647</v>
      </c>
      <c r="AO151" t="n">
        <v>12.7953</v>
      </c>
      <c r="AP151" t="n">
        <v>163.7192</v>
      </c>
      <c r="AQ151" t="n">
        <v>0.048191</v>
      </c>
      <c r="AR151" t="n">
        <v>0.017537</v>
      </c>
      <c r="AY151" t="n">
        <v>149</v>
      </c>
      <c r="AZ151" t="n">
        <v>148</v>
      </c>
      <c r="BA151" t="n">
        <v>4790.56</v>
      </c>
      <c r="BB151" t="n">
        <v>4777.7647</v>
      </c>
      <c r="BC151" t="n">
        <v>12.7953</v>
      </c>
      <c r="BD151" t="n">
        <v>163.7192</v>
      </c>
      <c r="BE151" t="n">
        <v>21904</v>
      </c>
    </row>
    <row r="152">
      <c r="A152" t="n">
        <v>1776665702</v>
      </c>
      <c r="B152" t="inlineStr">
        <is>
          <t>XAUUSD</t>
        </is>
      </c>
      <c r="C152" t="inlineStr">
        <is>
          <t>M15</t>
        </is>
      </c>
      <c r="D152" t="n">
        <v>4786.12</v>
      </c>
      <c r="E152" t="n">
        <v>4518.59282</v>
      </c>
      <c r="F152" t="n">
        <v>4596.05595</v>
      </c>
      <c r="G152" t="n">
        <v>4755.40355</v>
      </c>
      <c r="H152" t="n">
        <v>4792.76972</v>
      </c>
      <c r="Q152" t="n">
        <v>4777.49712</v>
      </c>
      <c r="R152" t="n">
        <v>4806.86042</v>
      </c>
      <c r="S152" t="n">
        <v>4833.44919</v>
      </c>
      <c r="V152" t="n">
        <v>4742.55735</v>
      </c>
      <c r="W152" t="n">
        <v>4708.99235</v>
      </c>
      <c r="AB152" t="n">
        <v>4789.95339</v>
      </c>
      <c r="AC152" t="n">
        <v>4788.95855</v>
      </c>
      <c r="AD152" t="n">
        <v>0</v>
      </c>
      <c r="AK152" t="n">
        <v>150</v>
      </c>
      <c r="AL152" t="n">
        <v>149</v>
      </c>
      <c r="AM152" t="n">
        <v>4786.12</v>
      </c>
      <c r="AN152" t="n">
        <v>4777.4971</v>
      </c>
      <c r="AO152" t="n">
        <v>8.6229</v>
      </c>
      <c r="AP152" t="n">
        <v>74.3541</v>
      </c>
      <c r="AQ152" t="n">
        <v>0.014749</v>
      </c>
      <c r="AR152" t="n">
        <v>0.003617</v>
      </c>
      <c r="AY152" t="n">
        <v>150</v>
      </c>
      <c r="AZ152" t="n">
        <v>149</v>
      </c>
      <c r="BA152" t="n">
        <v>4786.12</v>
      </c>
      <c r="BB152" t="n">
        <v>4777.4971</v>
      </c>
      <c r="BC152" t="n">
        <v>8.6229</v>
      </c>
      <c r="BD152" t="n">
        <v>74.3541</v>
      </c>
      <c r="BE152" t="n">
        <v>22201</v>
      </c>
    </row>
    <row r="153">
      <c r="A153" t="n">
        <v>1776666602</v>
      </c>
      <c r="B153" t="inlineStr">
        <is>
          <t>XAUUSD</t>
        </is>
      </c>
      <c r="C153" t="inlineStr">
        <is>
          <t>M15</t>
        </is>
      </c>
      <c r="D153" t="n">
        <v>4790.24</v>
      </c>
      <c r="E153" t="n">
        <v>4518.59282</v>
      </c>
      <c r="F153" t="n">
        <v>4596.05595</v>
      </c>
      <c r="G153" t="n">
        <v>4755.40355</v>
      </c>
      <c r="H153" t="n">
        <v>4792.76972</v>
      </c>
      <c r="Q153" t="n">
        <v>4777.22951</v>
      </c>
      <c r="R153" t="n">
        <v>4806.59281</v>
      </c>
      <c r="S153" t="n">
        <v>4833.18158</v>
      </c>
      <c r="V153" t="n">
        <v>4742.28974</v>
      </c>
      <c r="W153" t="n">
        <v>4708.72475</v>
      </c>
      <c r="AB153" t="n">
        <v>4791.73886</v>
      </c>
      <c r="AC153" t="n">
        <v>4790.34871</v>
      </c>
      <c r="AD153" t="n">
        <v>0</v>
      </c>
      <c r="AK153" t="n">
        <v>151</v>
      </c>
      <c r="AL153" t="n">
        <v>150</v>
      </c>
      <c r="AM153" t="n">
        <v>4790.24</v>
      </c>
      <c r="AN153" t="n">
        <v>4777.2295</v>
      </c>
      <c r="AO153" t="n">
        <v>13.0105</v>
      </c>
      <c r="AP153" t="n">
        <v>169.2729</v>
      </c>
      <c r="AQ153" t="n">
        <v>0.050664</v>
      </c>
      <c r="AR153" t="n">
        <v>0.018747</v>
      </c>
      <c r="AY153" t="n">
        <v>151</v>
      </c>
      <c r="AZ153" t="n">
        <v>150</v>
      </c>
      <c r="BA153" t="n">
        <v>4790.24</v>
      </c>
      <c r="BB153" t="n">
        <v>4777.2295</v>
      </c>
      <c r="BC153" t="n">
        <v>13.0105</v>
      </c>
      <c r="BD153" t="n">
        <v>169.2729</v>
      </c>
      <c r="BE153" t="n">
        <v>22500</v>
      </c>
    </row>
    <row r="154">
      <c r="A154" t="n">
        <v>1776667502</v>
      </c>
      <c r="B154" t="inlineStr">
        <is>
          <t>XAUUSD</t>
        </is>
      </c>
      <c r="C154" t="inlineStr">
        <is>
          <t>M15</t>
        </is>
      </c>
      <c r="D154" t="n">
        <v>4795.46</v>
      </c>
      <c r="E154" t="n">
        <v>4518.59282</v>
      </c>
      <c r="F154" t="n">
        <v>4596.05595</v>
      </c>
      <c r="G154" t="n">
        <v>4755.40355</v>
      </c>
      <c r="H154" t="n">
        <v>4792.76972</v>
      </c>
      <c r="Q154" t="n">
        <v>4776.96191</v>
      </c>
      <c r="R154" t="n">
        <v>4806.32521</v>
      </c>
      <c r="S154" t="n">
        <v>4832.91398</v>
      </c>
      <c r="V154" t="n">
        <v>4742.02214</v>
      </c>
      <c r="W154" t="n">
        <v>4708.45714</v>
      </c>
      <c r="AB154" t="n">
        <v>4793.43341</v>
      </c>
      <c r="AC154" t="n">
        <v>4791.89106</v>
      </c>
      <c r="AD154" t="n">
        <v>0</v>
      </c>
      <c r="AK154" t="n">
        <v>152</v>
      </c>
      <c r="AL154" t="n">
        <v>151</v>
      </c>
      <c r="AM154" t="n">
        <v>4795.46</v>
      </c>
      <c r="AN154" t="n">
        <v>4776.9619</v>
      </c>
      <c r="AO154" t="n">
        <v>18.4981</v>
      </c>
      <c r="AP154" t="n">
        <v>342.1793</v>
      </c>
      <c r="AQ154" t="n">
        <v>0.145612</v>
      </c>
      <c r="AR154" t="n">
        <v>0.07660599999999999</v>
      </c>
      <c r="AY154" t="n">
        <v>152</v>
      </c>
      <c r="AZ154" t="n">
        <v>151</v>
      </c>
      <c r="BA154" t="n">
        <v>4795.46</v>
      </c>
      <c r="BB154" t="n">
        <v>4776.9619</v>
      </c>
      <c r="BC154" t="n">
        <v>18.4981</v>
      </c>
      <c r="BD154" t="n">
        <v>342.1793</v>
      </c>
      <c r="BE154" t="n">
        <v>22801</v>
      </c>
    </row>
    <row r="155">
      <c r="A155" t="n">
        <v>1776668402</v>
      </c>
      <c r="B155" t="inlineStr">
        <is>
          <t>XAUUSD</t>
        </is>
      </c>
      <c r="C155" t="inlineStr">
        <is>
          <t>M15</t>
        </is>
      </c>
      <c r="D155" t="n">
        <v>4797.47</v>
      </c>
      <c r="E155" t="n">
        <v>4518.59282</v>
      </c>
      <c r="F155" t="n">
        <v>4596.05595</v>
      </c>
      <c r="G155" t="n">
        <v>4755.40355</v>
      </c>
      <c r="H155" t="n">
        <v>4792.76972</v>
      </c>
      <c r="Q155" t="n">
        <v>4776.69431</v>
      </c>
      <c r="R155" t="n">
        <v>4806.0576</v>
      </c>
      <c r="S155" t="n">
        <v>4832.64637</v>
      </c>
      <c r="V155" t="n">
        <v>4741.75454</v>
      </c>
      <c r="W155" t="n">
        <v>4708.18954</v>
      </c>
      <c r="AB155" t="n">
        <v>4794.61082</v>
      </c>
      <c r="AC155" t="n">
        <v>4793.25094</v>
      </c>
      <c r="AD155" t="n">
        <v>0</v>
      </c>
      <c r="AK155" t="n">
        <v>153</v>
      </c>
      <c r="AL155" t="n">
        <v>152</v>
      </c>
      <c r="AM155" t="n">
        <v>4797.47</v>
      </c>
      <c r="AN155" t="n">
        <v>4776.6943</v>
      </c>
      <c r="AO155" t="n">
        <v>20.7757</v>
      </c>
      <c r="AP155" t="n">
        <v>431.6293</v>
      </c>
      <c r="AQ155" t="n">
        <v>0.206292</v>
      </c>
      <c r="AR155" t="n">
        <v>0.121892</v>
      </c>
      <c r="AY155" t="n">
        <v>153</v>
      </c>
      <c r="AZ155" t="n">
        <v>152</v>
      </c>
      <c r="BA155" t="n">
        <v>4797.47</v>
      </c>
      <c r="BB155" t="n">
        <v>4776.6943</v>
      </c>
      <c r="BC155" t="n">
        <v>20.7757</v>
      </c>
      <c r="BD155" t="n">
        <v>431.6293</v>
      </c>
      <c r="BE155" t="n">
        <v>23104</v>
      </c>
    </row>
    <row r="156">
      <c r="A156" t="n">
        <v>1776669302</v>
      </c>
      <c r="B156" t="inlineStr">
        <is>
          <t>XAUUSD</t>
        </is>
      </c>
      <c r="C156" t="inlineStr">
        <is>
          <t>M15</t>
        </is>
      </c>
      <c r="D156" t="n">
        <v>4797.92</v>
      </c>
      <c r="E156" t="n">
        <v>4518.59282</v>
      </c>
      <c r="F156" t="n">
        <v>4596.05595</v>
      </c>
      <c r="G156" t="n">
        <v>4755.40355</v>
      </c>
      <c r="H156" t="n">
        <v>4792.76972</v>
      </c>
      <c r="Q156" t="n">
        <v>4776.4267</v>
      </c>
      <c r="R156" t="n">
        <v>4805.79</v>
      </c>
      <c r="S156" t="n">
        <v>4832.37877</v>
      </c>
      <c r="V156" t="n">
        <v>4741.48693</v>
      </c>
      <c r="W156" t="n">
        <v>4707.92193</v>
      </c>
      <c r="Z156" t="n">
        <v>4805.79</v>
      </c>
      <c r="AB156" t="n">
        <v>4795.1086</v>
      </c>
      <c r="AC156" t="n">
        <v>4794.17977</v>
      </c>
      <c r="AD156" t="n">
        <v>0</v>
      </c>
      <c r="AK156" t="n">
        <v>154</v>
      </c>
      <c r="AL156" t="n">
        <v>153</v>
      </c>
      <c r="AM156" t="n">
        <v>4797.92</v>
      </c>
      <c r="AN156" t="n">
        <v>4776.4267</v>
      </c>
      <c r="AO156" t="n">
        <v>21.4933</v>
      </c>
      <c r="AP156" t="n">
        <v>461.9619</v>
      </c>
      <c r="AQ156" t="n">
        <v>0.228415</v>
      </c>
      <c r="AR156" t="n">
        <v>0.139626</v>
      </c>
      <c r="AY156" t="n">
        <v>154</v>
      </c>
      <c r="AZ156" t="n">
        <v>153</v>
      </c>
      <c r="BA156" t="n">
        <v>4797.92</v>
      </c>
      <c r="BB156" t="n">
        <v>4776.4267</v>
      </c>
      <c r="BC156" t="n">
        <v>21.4933</v>
      </c>
      <c r="BD156" t="n">
        <v>461.9619</v>
      </c>
      <c r="BE156" t="n">
        <v>23409</v>
      </c>
    </row>
    <row r="157">
      <c r="A157" t="n">
        <v>1776670202</v>
      </c>
      <c r="B157" t="inlineStr">
        <is>
          <t>XAUUSD</t>
        </is>
      </c>
      <c r="C157" t="inlineStr">
        <is>
          <t>M15</t>
        </is>
      </c>
      <c r="D157" t="n">
        <v>4797.69</v>
      </c>
      <c r="E157" t="n">
        <v>4518.59282</v>
      </c>
      <c r="F157" t="n">
        <v>4596.05595</v>
      </c>
      <c r="G157" t="n">
        <v>4755.40355</v>
      </c>
      <c r="H157" t="n">
        <v>4792.76972</v>
      </c>
      <c r="Q157" t="n">
        <v>4776.1591</v>
      </c>
      <c r="R157" t="n">
        <v>4805.5224</v>
      </c>
      <c r="S157" t="n">
        <v>4832.11117</v>
      </c>
      <c r="V157" t="n">
        <v>4741.21933</v>
      </c>
      <c r="W157" t="n">
        <v>4707.65433</v>
      </c>
      <c r="AB157" t="n">
        <v>4794.93535</v>
      </c>
      <c r="AC157" t="n">
        <v>4794.55756</v>
      </c>
      <c r="AD157" t="n">
        <v>0</v>
      </c>
      <c r="AK157" t="n">
        <v>155</v>
      </c>
      <c r="AL157" t="n">
        <v>154</v>
      </c>
      <c r="AM157" t="n">
        <v>4797.69</v>
      </c>
      <c r="AN157" t="n">
        <v>4776.1591</v>
      </c>
      <c r="AO157" t="n">
        <v>21.5309</v>
      </c>
      <c r="AP157" t="n">
        <v>463.5797</v>
      </c>
      <c r="AQ157" t="n">
        <v>0.229616</v>
      </c>
      <c r="AR157" t="n">
        <v>0.140606</v>
      </c>
      <c r="AY157" t="n">
        <v>155</v>
      </c>
      <c r="AZ157" t="n">
        <v>154</v>
      </c>
      <c r="BA157" t="n">
        <v>4797.69</v>
      </c>
      <c r="BB157" t="n">
        <v>4776.1591</v>
      </c>
      <c r="BC157" t="n">
        <v>21.5309</v>
      </c>
      <c r="BD157" t="n">
        <v>463.5797</v>
      </c>
      <c r="BE157" t="n">
        <v>23716</v>
      </c>
    </row>
    <row r="158">
      <c r="A158" t="n">
        <v>1776671102</v>
      </c>
      <c r="B158" t="inlineStr">
        <is>
          <t>XAUUSD</t>
        </is>
      </c>
      <c r="C158" t="inlineStr">
        <is>
          <t>M15</t>
        </is>
      </c>
      <c r="D158" t="n">
        <v>4789.7</v>
      </c>
      <c r="E158" t="n">
        <v>4518.59282</v>
      </c>
      <c r="F158" t="n">
        <v>4596.05595</v>
      </c>
      <c r="G158" t="n">
        <v>4755.40355</v>
      </c>
      <c r="H158" t="n">
        <v>4792.76972</v>
      </c>
      <c r="Q158" t="n">
        <v>4775.89149</v>
      </c>
      <c r="R158" t="n">
        <v>4805.25479</v>
      </c>
      <c r="S158" t="n">
        <v>4831.84356</v>
      </c>
      <c r="V158" t="n">
        <v>4740.95172</v>
      </c>
      <c r="W158" t="n">
        <v>4707.38673</v>
      </c>
      <c r="AB158" t="n">
        <v>4794.27461</v>
      </c>
      <c r="AC158" t="n">
        <v>4794.41608</v>
      </c>
      <c r="AD158" t="n">
        <v>1</v>
      </c>
      <c r="AK158" t="n">
        <v>156</v>
      </c>
      <c r="AL158" t="n">
        <v>155</v>
      </c>
      <c r="AM158" t="n">
        <v>4789.7</v>
      </c>
      <c r="AN158" t="n">
        <v>4775.8915</v>
      </c>
      <c r="AO158" t="n">
        <v>13.8085</v>
      </c>
      <c r="AP158" t="n">
        <v>190.6749</v>
      </c>
      <c r="AQ158" t="n">
        <v>0.06057</v>
      </c>
      <c r="AR158" t="n">
        <v>0.023787</v>
      </c>
      <c r="AY158" t="n">
        <v>156</v>
      </c>
      <c r="AZ158" t="n">
        <v>155</v>
      </c>
      <c r="BA158" t="n">
        <v>4789.7</v>
      </c>
      <c r="BB158" t="n">
        <v>4775.8915</v>
      </c>
      <c r="BC158" t="n">
        <v>13.8085</v>
      </c>
      <c r="BD158" t="n">
        <v>190.6749</v>
      </c>
      <c r="BE158" t="n">
        <v>24025</v>
      </c>
    </row>
    <row r="159">
      <c r="A159" t="n">
        <v>1776672002</v>
      </c>
      <c r="B159" t="inlineStr">
        <is>
          <t>XAUUSD</t>
        </is>
      </c>
      <c r="C159" t="inlineStr">
        <is>
          <t>M15</t>
        </is>
      </c>
      <c r="D159" t="n">
        <v>4789.48</v>
      </c>
      <c r="E159" t="n">
        <v>4518.59282</v>
      </c>
      <c r="F159" t="n">
        <v>4596.05595</v>
      </c>
      <c r="G159" t="n">
        <v>4755.40355</v>
      </c>
      <c r="H159" t="n">
        <v>4792.76972</v>
      </c>
      <c r="Q159" t="n">
        <v>4775.62389</v>
      </c>
      <c r="R159" t="n">
        <v>4804.98719</v>
      </c>
      <c r="S159" t="n">
        <v>4831.57596</v>
      </c>
      <c r="V159" t="n">
        <v>4740.68412</v>
      </c>
      <c r="W159" t="n">
        <v>4707.11912</v>
      </c>
      <c r="AB159" t="n">
        <v>4793.55397</v>
      </c>
      <c r="AC159" t="n">
        <v>4793.98503</v>
      </c>
      <c r="AD159" t="n">
        <v>0</v>
      </c>
      <c r="AK159" t="n">
        <v>157</v>
      </c>
      <c r="AL159" t="n">
        <v>156</v>
      </c>
      <c r="AM159" t="n">
        <v>4789.48</v>
      </c>
      <c r="AN159" t="n">
        <v>4775.6239</v>
      </c>
      <c r="AO159" t="n">
        <v>13.8561</v>
      </c>
      <c r="AP159" t="n">
        <v>191.9918</v>
      </c>
      <c r="AQ159" t="n">
        <v>0.061198</v>
      </c>
      <c r="AR159" t="n">
        <v>0.024117</v>
      </c>
      <c r="AY159" t="n">
        <v>157</v>
      </c>
      <c r="AZ159" t="n">
        <v>156</v>
      </c>
      <c r="BA159" t="n">
        <v>4789.48</v>
      </c>
      <c r="BB159" t="n">
        <v>4775.6239</v>
      </c>
      <c r="BC159" t="n">
        <v>13.8561</v>
      </c>
      <c r="BD159" t="n">
        <v>191.9918</v>
      </c>
      <c r="BE159" t="n">
        <v>24336</v>
      </c>
    </row>
    <row r="160">
      <c r="A160" t="n">
        <v>1776672902</v>
      </c>
      <c r="B160" t="inlineStr">
        <is>
          <t>XAUUSD</t>
        </is>
      </c>
      <c r="C160" t="inlineStr">
        <is>
          <t>M15</t>
        </is>
      </c>
      <c r="D160" t="n">
        <v>4792.11</v>
      </c>
      <c r="E160" t="n">
        <v>4518.59282</v>
      </c>
      <c r="F160" t="n">
        <v>4596.05595</v>
      </c>
      <c r="G160" t="n">
        <v>4755.40355</v>
      </c>
      <c r="H160" t="n">
        <v>4792.76972</v>
      </c>
      <c r="Q160" t="n">
        <v>4775.35628</v>
      </c>
      <c r="R160" t="n">
        <v>4804.71958</v>
      </c>
      <c r="S160" t="n">
        <v>4831.30835</v>
      </c>
      <c r="V160" t="n">
        <v>4740.41651</v>
      </c>
      <c r="W160" t="n">
        <v>4706.85152</v>
      </c>
      <c r="AB160" t="n">
        <v>4793.04286</v>
      </c>
      <c r="AC160" t="n">
        <v>4793.51395</v>
      </c>
      <c r="AD160" t="n">
        <v>0</v>
      </c>
      <c r="AK160" t="n">
        <v>158</v>
      </c>
      <c r="AL160" t="n">
        <v>157</v>
      </c>
      <c r="AM160" t="n">
        <v>4792.11</v>
      </c>
      <c r="AN160" t="n">
        <v>4775.3563</v>
      </c>
      <c r="AO160" t="n">
        <v>16.7537</v>
      </c>
      <c r="AP160" t="n">
        <v>280.6871</v>
      </c>
      <c r="AQ160" t="n">
        <v>0.108181</v>
      </c>
      <c r="AR160" t="n">
        <v>0.051546</v>
      </c>
      <c r="AY160" t="n">
        <v>158</v>
      </c>
      <c r="AZ160" t="n">
        <v>157</v>
      </c>
      <c r="BA160" t="n">
        <v>4792.11</v>
      </c>
      <c r="BB160" t="n">
        <v>4775.3563</v>
      </c>
      <c r="BC160" t="n">
        <v>16.7537</v>
      </c>
      <c r="BD160" t="n">
        <v>280.6871</v>
      </c>
      <c r="BE160" t="n">
        <v>24649</v>
      </c>
    </row>
    <row r="161">
      <c r="A161" t="n">
        <v>1776673802</v>
      </c>
      <c r="B161" t="inlineStr">
        <is>
          <t>XAUUSD</t>
        </is>
      </c>
      <c r="C161" t="inlineStr">
        <is>
          <t>M15</t>
        </is>
      </c>
      <c r="D161" t="n">
        <v>4792.48</v>
      </c>
      <c r="E161" t="n">
        <v>4518.59282</v>
      </c>
      <c r="F161" t="n">
        <v>4596.05595</v>
      </c>
      <c r="G161" t="n">
        <v>4755.40355</v>
      </c>
      <c r="H161" t="n">
        <v>4792.76972</v>
      </c>
      <c r="Q161" t="n">
        <v>4775.08868</v>
      </c>
      <c r="R161" t="n">
        <v>4804.45198</v>
      </c>
      <c r="S161" t="n">
        <v>4831.04075</v>
      </c>
      <c r="V161" t="n">
        <v>4740.14891</v>
      </c>
      <c r="W161" t="n">
        <v>4706.58391</v>
      </c>
      <c r="AB161" t="n">
        <v>4792.82566</v>
      </c>
      <c r="AC161" t="n">
        <v>4793.1698</v>
      </c>
      <c r="AD161" t="n">
        <v>0</v>
      </c>
      <c r="AK161" t="n">
        <v>159</v>
      </c>
      <c r="AL161" t="n">
        <v>158</v>
      </c>
      <c r="AM161" t="n">
        <v>4792.48</v>
      </c>
      <c r="AN161" t="n">
        <v>4775.0887</v>
      </c>
      <c r="AO161" t="n">
        <v>17.3913</v>
      </c>
      <c r="AP161" t="n">
        <v>302.458</v>
      </c>
      <c r="AQ161" t="n">
        <v>0.121008</v>
      </c>
      <c r="AR161" t="n">
        <v>0.059853</v>
      </c>
      <c r="AY161" t="n">
        <v>159</v>
      </c>
      <c r="AZ161" t="n">
        <v>158</v>
      </c>
      <c r="BA161" t="n">
        <v>4792.48</v>
      </c>
      <c r="BB161" t="n">
        <v>4775.0887</v>
      </c>
      <c r="BC161" t="n">
        <v>17.3913</v>
      </c>
      <c r="BD161" t="n">
        <v>302.458</v>
      </c>
      <c r="BE161" t="n">
        <v>24964</v>
      </c>
    </row>
    <row r="162">
      <c r="A162" t="n">
        <v>1776674702</v>
      </c>
      <c r="B162" t="inlineStr">
        <is>
          <t>XAUUSD</t>
        </is>
      </c>
      <c r="C162" t="inlineStr">
        <is>
          <t>M15</t>
        </is>
      </c>
      <c r="D162" t="n">
        <v>4796.19</v>
      </c>
      <c r="E162" t="n">
        <v>4518.59282</v>
      </c>
      <c r="F162" t="n">
        <v>4596.05595</v>
      </c>
      <c r="G162" t="n">
        <v>4755.40355</v>
      </c>
      <c r="H162" t="n">
        <v>4792.76972</v>
      </c>
      <c r="Q162" t="n">
        <v>4774.82108</v>
      </c>
      <c r="R162" t="n">
        <v>4804.18438</v>
      </c>
      <c r="S162" t="n">
        <v>4830.77315</v>
      </c>
      <c r="V162" t="n">
        <v>4739.88131</v>
      </c>
      <c r="W162" t="n">
        <v>4706.31631</v>
      </c>
      <c r="AB162" t="n">
        <v>4792.91799</v>
      </c>
      <c r="AC162" t="n">
        <v>4793.0439</v>
      </c>
      <c r="AD162" t="n">
        <v>0</v>
      </c>
      <c r="AK162" t="n">
        <v>160</v>
      </c>
      <c r="AL162" t="n">
        <v>159</v>
      </c>
      <c r="AM162" t="n">
        <v>4796.19</v>
      </c>
      <c r="AN162" t="n">
        <v>4774.8211</v>
      </c>
      <c r="AO162" t="n">
        <v>21.3689</v>
      </c>
      <c r="AP162" t="n">
        <v>456.6307</v>
      </c>
      <c r="AQ162" t="n">
        <v>0.224473</v>
      </c>
      <c r="AR162" t="n">
        <v>0.136422</v>
      </c>
      <c r="AY162" t="n">
        <v>160</v>
      </c>
      <c r="AZ162" t="n">
        <v>159</v>
      </c>
      <c r="BA162" t="n">
        <v>4796.19</v>
      </c>
      <c r="BB162" t="n">
        <v>4774.8211</v>
      </c>
      <c r="BC162" t="n">
        <v>21.3689</v>
      </c>
      <c r="BD162" t="n">
        <v>456.6307</v>
      </c>
      <c r="BE162" t="n">
        <v>25281</v>
      </c>
    </row>
    <row r="163">
      <c r="A163" t="n">
        <v>1776675602</v>
      </c>
      <c r="B163" t="inlineStr">
        <is>
          <t>XAUUSD</t>
        </is>
      </c>
      <c r="C163" t="inlineStr">
        <is>
          <t>M15</t>
        </is>
      </c>
      <c r="D163" t="n">
        <v>4796.07</v>
      </c>
      <c r="E163" t="n">
        <v>4518.59282</v>
      </c>
      <c r="F163" t="n">
        <v>4596.05595</v>
      </c>
      <c r="G163" t="n">
        <v>4755.40355</v>
      </c>
      <c r="H163" t="n">
        <v>4792.76972</v>
      </c>
      <c r="Q163" t="n">
        <v>4774.55347</v>
      </c>
      <c r="R163" t="n">
        <v>4803.91677</v>
      </c>
      <c r="S163" t="n">
        <v>4830.50554</v>
      </c>
      <c r="V163" t="n">
        <v>4739.6137</v>
      </c>
      <c r="W163" t="n">
        <v>4706.04871</v>
      </c>
      <c r="AB163" t="n">
        <v>4793.16111</v>
      </c>
      <c r="AC163" t="n">
        <v>4793.1025</v>
      </c>
      <c r="AD163" t="n">
        <v>1</v>
      </c>
      <c r="AK163" t="n">
        <v>161</v>
      </c>
      <c r="AL163" t="n">
        <v>160</v>
      </c>
      <c r="AM163" t="n">
        <v>4796.07</v>
      </c>
      <c r="AN163" t="n">
        <v>4774.5535</v>
      </c>
      <c r="AO163" t="n">
        <v>21.5165</v>
      </c>
      <c r="AP163" t="n">
        <v>462.9611</v>
      </c>
      <c r="AQ163" t="n">
        <v>0.229157</v>
      </c>
      <c r="AR163" t="n">
        <v>0.140231</v>
      </c>
      <c r="AY163" t="n">
        <v>161</v>
      </c>
      <c r="AZ163" t="n">
        <v>160</v>
      </c>
      <c r="BA163" t="n">
        <v>4796.07</v>
      </c>
      <c r="BB163" t="n">
        <v>4774.5535</v>
      </c>
      <c r="BC163" t="n">
        <v>21.5165</v>
      </c>
      <c r="BD163" t="n">
        <v>462.9611</v>
      </c>
      <c r="BE163" t="n">
        <v>25600</v>
      </c>
    </row>
    <row r="164">
      <c r="A164" t="n">
        <v>1776676502</v>
      </c>
      <c r="B164" t="inlineStr">
        <is>
          <t>XAUUSD</t>
        </is>
      </c>
      <c r="C164" t="inlineStr">
        <is>
          <t>M15</t>
        </is>
      </c>
      <c r="D164" t="n">
        <v>4792.33</v>
      </c>
      <c r="E164" t="n">
        <v>4518.59282</v>
      </c>
      <c r="F164" t="n">
        <v>4596.05595</v>
      </c>
      <c r="G164" t="n">
        <v>4755.40355</v>
      </c>
      <c r="H164" t="n">
        <v>4792.76972</v>
      </c>
      <c r="Q164" t="n">
        <v>4774.28587</v>
      </c>
      <c r="R164" t="n">
        <v>4803.64917</v>
      </c>
      <c r="S164" t="n">
        <v>4830.23794</v>
      </c>
      <c r="V164" t="n">
        <v>4739.3461</v>
      </c>
      <c r="W164" t="n">
        <v>4705.7811</v>
      </c>
      <c r="AB164" t="n">
        <v>4793.45986</v>
      </c>
      <c r="AC164" t="n">
        <v>4793.28118</v>
      </c>
      <c r="AD164" t="n">
        <v>0</v>
      </c>
      <c r="AK164" t="n">
        <v>162</v>
      </c>
      <c r="AL164" t="n">
        <v>161</v>
      </c>
      <c r="AM164" t="n">
        <v>4792.33</v>
      </c>
      <c r="AN164" t="n">
        <v>4774.2859</v>
      </c>
      <c r="AO164" t="n">
        <v>18.0441</v>
      </c>
      <c r="AP164" t="n">
        <v>325.5906</v>
      </c>
      <c r="AQ164" t="n">
        <v>0.135152</v>
      </c>
      <c r="AR164" t="n">
        <v>0.069358</v>
      </c>
      <c r="AY164" t="n">
        <v>162</v>
      </c>
      <c r="AZ164" t="n">
        <v>161</v>
      </c>
      <c r="BA164" t="n">
        <v>4792.33</v>
      </c>
      <c r="BB164" t="n">
        <v>4774.2859</v>
      </c>
      <c r="BC164" t="n">
        <v>18.0441</v>
      </c>
      <c r="BD164" t="n">
        <v>325.5906</v>
      </c>
      <c r="BE164" t="n">
        <v>25921</v>
      </c>
    </row>
    <row r="165">
      <c r="A165" t="n">
        <v>1776677402</v>
      </c>
      <c r="B165" t="inlineStr">
        <is>
          <t>XAUUSD</t>
        </is>
      </c>
      <c r="C165" t="inlineStr">
        <is>
          <t>M15</t>
        </is>
      </c>
      <c r="D165" t="n">
        <v>4791.96</v>
      </c>
      <c r="E165" t="n">
        <v>4518.59282</v>
      </c>
      <c r="F165" t="n">
        <v>4596.05595</v>
      </c>
      <c r="G165" t="n">
        <v>4755.40355</v>
      </c>
      <c r="H165" t="n">
        <v>4792.76972</v>
      </c>
      <c r="Q165" t="n">
        <v>4774.01826</v>
      </c>
      <c r="R165" t="n">
        <v>4803.38156</v>
      </c>
      <c r="S165" t="n">
        <v>4829.97033</v>
      </c>
      <c r="V165" t="n">
        <v>4739.07849</v>
      </c>
      <c r="W165" t="n">
        <v>4705.5135</v>
      </c>
      <c r="AB165" t="n">
        <v>4793.8042</v>
      </c>
      <c r="AC165" t="n">
        <v>4793.54269</v>
      </c>
      <c r="AD165" t="n">
        <v>0</v>
      </c>
      <c r="AK165" t="n">
        <v>163</v>
      </c>
      <c r="AL165" t="n">
        <v>162</v>
      </c>
      <c r="AM165" t="n">
        <v>4791.96</v>
      </c>
      <c r="AN165" t="n">
        <v>4774.0183</v>
      </c>
      <c r="AO165" t="n">
        <v>17.9417</v>
      </c>
      <c r="AP165" t="n">
        <v>321.906</v>
      </c>
      <c r="AQ165" t="n">
        <v>0.132865</v>
      </c>
      <c r="AR165" t="n">
        <v>0.067797</v>
      </c>
      <c r="AY165" t="n">
        <v>163</v>
      </c>
      <c r="AZ165" t="n">
        <v>162</v>
      </c>
      <c r="BA165" t="n">
        <v>4791.96</v>
      </c>
      <c r="BB165" t="n">
        <v>4774.0183</v>
      </c>
      <c r="BC165" t="n">
        <v>17.9417</v>
      </c>
      <c r="BD165" t="n">
        <v>321.906</v>
      </c>
      <c r="BE165" t="n">
        <v>26244</v>
      </c>
    </row>
    <row r="166">
      <c r="A166" t="n">
        <v>1776678302</v>
      </c>
      <c r="B166" t="inlineStr">
        <is>
          <t>XAUUSD</t>
        </is>
      </c>
      <c r="C166" t="inlineStr">
        <is>
          <t>M15</t>
        </is>
      </c>
      <c r="D166" t="n">
        <v>4791.6</v>
      </c>
      <c r="E166" t="n">
        <v>4518.59282</v>
      </c>
      <c r="F166" t="n">
        <v>4596.05595</v>
      </c>
      <c r="G166" t="n">
        <v>4755.40355</v>
      </c>
      <c r="H166" t="n">
        <v>4792.76972</v>
      </c>
      <c r="Q166" t="n">
        <v>4773.75066</v>
      </c>
      <c r="R166" t="n">
        <v>4803.11396</v>
      </c>
      <c r="S166" t="n">
        <v>4829.70273</v>
      </c>
      <c r="V166" t="n">
        <v>4738.81089</v>
      </c>
      <c r="W166" t="n">
        <v>4705.24589</v>
      </c>
      <c r="AB166" t="n">
        <v>4794.11574</v>
      </c>
      <c r="AC166" t="n">
        <v>4793.82922</v>
      </c>
      <c r="AD166" t="n">
        <v>0</v>
      </c>
      <c r="AK166" t="n">
        <v>164</v>
      </c>
      <c r="AL166" t="n">
        <v>163</v>
      </c>
      <c r="AM166" t="n">
        <v>4791.6</v>
      </c>
      <c r="AN166" t="n">
        <v>4773.7507</v>
      </c>
      <c r="AO166" t="n">
        <v>17.8493</v>
      </c>
      <c r="AP166" t="n">
        <v>318.5989</v>
      </c>
      <c r="AQ166" t="n">
        <v>0.130822</v>
      </c>
      <c r="AR166" t="n">
        <v>0.066411</v>
      </c>
      <c r="AY166" t="n">
        <v>164</v>
      </c>
      <c r="AZ166" t="n">
        <v>163</v>
      </c>
      <c r="BA166" t="n">
        <v>4791.6</v>
      </c>
      <c r="BB166" t="n">
        <v>4773.7507</v>
      </c>
      <c r="BC166" t="n">
        <v>17.8493</v>
      </c>
      <c r="BD166" t="n">
        <v>318.5989</v>
      </c>
      <c r="BE166" t="n">
        <v>26569</v>
      </c>
    </row>
    <row r="167">
      <c r="A167" t="n">
        <v>1776679202</v>
      </c>
      <c r="B167" t="inlineStr">
        <is>
          <t>XAUUSD</t>
        </is>
      </c>
      <c r="C167" t="inlineStr">
        <is>
          <t>M15</t>
        </is>
      </c>
      <c r="D167" t="n">
        <v>4795.76</v>
      </c>
      <c r="E167" t="n">
        <v>4518.59282</v>
      </c>
      <c r="F167" t="n">
        <v>4596.05595</v>
      </c>
      <c r="G167" t="n">
        <v>4755.40355</v>
      </c>
      <c r="H167" t="n">
        <v>4792.76972</v>
      </c>
      <c r="Q167" t="n">
        <v>4773.48306</v>
      </c>
      <c r="R167" t="n">
        <v>4802.84636</v>
      </c>
      <c r="S167" t="n">
        <v>4829.43513</v>
      </c>
      <c r="V167" t="n">
        <v>4738.54329</v>
      </c>
      <c r="W167" t="n">
        <v>4704.97829</v>
      </c>
      <c r="AB167" t="n">
        <v>4794.34499</v>
      </c>
      <c r="AC167" t="n">
        <v>4794.08711</v>
      </c>
      <c r="AD167" t="n">
        <v>0</v>
      </c>
      <c r="AK167" t="n">
        <v>165</v>
      </c>
      <c r="AL167" t="n">
        <v>164</v>
      </c>
      <c r="AM167" t="n">
        <v>4795.76</v>
      </c>
      <c r="AN167" t="n">
        <v>4773.4831</v>
      </c>
      <c r="AO167" t="n">
        <v>22.2769</v>
      </c>
      <c r="AP167" t="n">
        <v>496.2621</v>
      </c>
      <c r="AQ167" t="n">
        <v>0.254321</v>
      </c>
      <c r="AR167" t="n">
        <v>0.16113</v>
      </c>
      <c r="AY167" t="n">
        <v>165</v>
      </c>
      <c r="AZ167" t="n">
        <v>164</v>
      </c>
      <c r="BA167" t="n">
        <v>4795.76</v>
      </c>
      <c r="BB167" t="n">
        <v>4773.4831</v>
      </c>
      <c r="BC167" t="n">
        <v>22.2769</v>
      </c>
      <c r="BD167" t="n">
        <v>496.2621</v>
      </c>
      <c r="BE167" t="n">
        <v>26896</v>
      </c>
    </row>
    <row r="168">
      <c r="A168" t="n">
        <v>1776680102</v>
      </c>
      <c r="B168" t="inlineStr">
        <is>
          <t>XAUUSD</t>
        </is>
      </c>
      <c r="C168" t="inlineStr">
        <is>
          <t>M15</t>
        </is>
      </c>
      <c r="D168" t="n">
        <v>4798.24</v>
      </c>
      <c r="E168" t="n">
        <v>4518.59282</v>
      </c>
      <c r="F168" t="n">
        <v>4596.05595</v>
      </c>
      <c r="G168" t="n">
        <v>4755.40355</v>
      </c>
      <c r="H168" t="n">
        <v>4792.76972</v>
      </c>
      <c r="Q168" t="n">
        <v>4773.21545</v>
      </c>
      <c r="R168" t="n">
        <v>4802.57875</v>
      </c>
      <c r="S168" t="n">
        <v>4829.16752</v>
      </c>
      <c r="V168" t="n">
        <v>4738.27568</v>
      </c>
      <c r="W168" t="n">
        <v>4704.71069</v>
      </c>
      <c r="AB168" t="n">
        <v>4794.39122</v>
      </c>
      <c r="AC168" t="n">
        <v>4794.23917</v>
      </c>
      <c r="AD168" t="n">
        <v>0</v>
      </c>
      <c r="AK168" t="n">
        <v>166</v>
      </c>
      <c r="AL168" t="n">
        <v>165</v>
      </c>
      <c r="AM168" t="n">
        <v>4798.24</v>
      </c>
      <c r="AN168" t="n">
        <v>4773.2154</v>
      </c>
      <c r="AO168" t="n">
        <v>25.0246</v>
      </c>
      <c r="AP168" t="n">
        <v>626.2281</v>
      </c>
      <c r="AQ168" t="n">
        <v>0.360508</v>
      </c>
      <c r="AR168" t="n">
        <v>0.256578</v>
      </c>
      <c r="AY168" t="n">
        <v>166</v>
      </c>
      <c r="AZ168" t="n">
        <v>165</v>
      </c>
      <c r="BA168" t="n">
        <v>4798.24</v>
      </c>
      <c r="BB168" t="n">
        <v>4773.2154</v>
      </c>
      <c r="BC168" t="n">
        <v>25.0246</v>
      </c>
      <c r="BD168" t="n">
        <v>626.2281</v>
      </c>
      <c r="BE168" t="n">
        <v>27225</v>
      </c>
    </row>
    <row r="169">
      <c r="A169" t="n">
        <v>1776681002</v>
      </c>
      <c r="B169" t="inlineStr">
        <is>
          <t>XAUUSD</t>
        </is>
      </c>
      <c r="C169" t="inlineStr">
        <is>
          <t>M15</t>
        </is>
      </c>
      <c r="D169" t="n">
        <v>4795.08</v>
      </c>
      <c r="E169" t="n">
        <v>4518.59282</v>
      </c>
      <c r="F169" t="n">
        <v>4596.05595</v>
      </c>
      <c r="G169" t="n">
        <v>4755.40355</v>
      </c>
      <c r="H169" t="n">
        <v>4792.76972</v>
      </c>
      <c r="Q169" t="n">
        <v>4772.94785</v>
      </c>
      <c r="R169" t="n">
        <v>4802.31115</v>
      </c>
      <c r="S169" t="n">
        <v>4828.89992</v>
      </c>
      <c r="V169" t="n">
        <v>4738.00808</v>
      </c>
      <c r="W169" t="n">
        <v>4704.44308</v>
      </c>
      <c r="AB169" t="n">
        <v>4794.27887</v>
      </c>
      <c r="AC169" t="n">
        <v>4794.25902</v>
      </c>
      <c r="AD169" t="n">
        <v>0</v>
      </c>
      <c r="AK169" t="n">
        <v>167</v>
      </c>
      <c r="AL169" t="n">
        <v>166</v>
      </c>
      <c r="AM169" t="n">
        <v>4795.08</v>
      </c>
      <c r="AN169" t="n">
        <v>4772.9478</v>
      </c>
      <c r="AO169" t="n">
        <v>22.1322</v>
      </c>
      <c r="AP169" t="n">
        <v>489.8321</v>
      </c>
      <c r="AQ169" t="n">
        <v>0.249394</v>
      </c>
      <c r="AR169" t="n">
        <v>0.156982</v>
      </c>
      <c r="AY169" t="n">
        <v>167</v>
      </c>
      <c r="AZ169" t="n">
        <v>166</v>
      </c>
      <c r="BA169" t="n">
        <v>4795.08</v>
      </c>
      <c r="BB169" t="n">
        <v>4772.9478</v>
      </c>
      <c r="BC169" t="n">
        <v>22.1322</v>
      </c>
      <c r="BD169" t="n">
        <v>489.8321</v>
      </c>
      <c r="BE169" t="n">
        <v>27556</v>
      </c>
    </row>
    <row r="170">
      <c r="A170" t="n">
        <v>1776681902</v>
      </c>
      <c r="B170" t="inlineStr">
        <is>
          <t>XAUUSD</t>
        </is>
      </c>
      <c r="C170" t="inlineStr">
        <is>
          <t>M15</t>
        </is>
      </c>
      <c r="D170" t="n">
        <v>4795.91</v>
      </c>
      <c r="E170" t="n">
        <v>4518.59282</v>
      </c>
      <c r="F170" t="n">
        <v>4596.05595</v>
      </c>
      <c r="G170" t="n">
        <v>4755.40355</v>
      </c>
      <c r="H170" t="n">
        <v>4792.76972</v>
      </c>
      <c r="Q170" t="n">
        <v>4772.68024</v>
      </c>
      <c r="R170" t="n">
        <v>4802.04354</v>
      </c>
      <c r="S170" t="n">
        <v>4828.63231</v>
      </c>
      <c r="V170" t="n">
        <v>4737.74047</v>
      </c>
      <c r="W170" t="n">
        <v>4704.17548</v>
      </c>
      <c r="AB170" t="n">
        <v>4794.26873</v>
      </c>
      <c r="AC170" t="n">
        <v>4794.26387</v>
      </c>
      <c r="AD170" t="n">
        <v>0</v>
      </c>
      <c r="AK170" t="n">
        <v>168</v>
      </c>
      <c r="AL170" t="n">
        <v>167</v>
      </c>
      <c r="AM170" t="n">
        <v>4795.91</v>
      </c>
      <c r="AN170" t="n">
        <v>4772.6802</v>
      </c>
      <c r="AO170" t="n">
        <v>23.2298</v>
      </c>
      <c r="AP170" t="n">
        <v>539.6217</v>
      </c>
      <c r="AQ170" t="n">
        <v>0.28837</v>
      </c>
      <c r="AR170" t="n">
        <v>0.190517</v>
      </c>
      <c r="AY170" t="n">
        <v>168</v>
      </c>
      <c r="AZ170" t="n">
        <v>167</v>
      </c>
      <c r="BA170" t="n">
        <v>4795.91</v>
      </c>
      <c r="BB170" t="n">
        <v>4772.6802</v>
      </c>
      <c r="BC170" t="n">
        <v>23.2298</v>
      </c>
      <c r="BD170" t="n">
        <v>539.6217</v>
      </c>
      <c r="BE170" t="n">
        <v>27889</v>
      </c>
    </row>
    <row r="171">
      <c r="A171" t="n">
        <v>1776682802</v>
      </c>
      <c r="B171" t="inlineStr">
        <is>
          <t>XAUUSD</t>
        </is>
      </c>
      <c r="C171" t="inlineStr">
        <is>
          <t>M15</t>
        </is>
      </c>
      <c r="D171" t="n">
        <v>4789.77</v>
      </c>
      <c r="E171" t="n">
        <v>4518.59282</v>
      </c>
      <c r="F171" t="n">
        <v>4596.05595</v>
      </c>
      <c r="G171" t="n">
        <v>4755.40355</v>
      </c>
      <c r="H171" t="n">
        <v>4792.76972</v>
      </c>
      <c r="Q171" t="n">
        <v>4772.41264</v>
      </c>
      <c r="R171" t="n">
        <v>4801.77594</v>
      </c>
      <c r="S171" t="n">
        <v>4828.36471</v>
      </c>
      <c r="V171" t="n">
        <v>4737.47287</v>
      </c>
      <c r="W171" t="n">
        <v>4703.90787</v>
      </c>
      <c r="AB171" t="n">
        <v>4794.56929</v>
      </c>
      <c r="AC171" t="n">
        <v>4794.41658</v>
      </c>
      <c r="AD171" t="n">
        <v>0</v>
      </c>
      <c r="AK171" t="n">
        <v>169</v>
      </c>
      <c r="AL171" t="n">
        <v>168</v>
      </c>
      <c r="AM171" t="n">
        <v>4789.77</v>
      </c>
      <c r="AN171" t="n">
        <v>4772.4126</v>
      </c>
      <c r="AO171" t="n">
        <v>17.3574</v>
      </c>
      <c r="AP171" t="n">
        <v>301.2779</v>
      </c>
      <c r="AQ171" t="n">
        <v>0.1203</v>
      </c>
      <c r="AR171" t="n">
        <v>0.059387</v>
      </c>
      <c r="AY171" t="n">
        <v>169</v>
      </c>
      <c r="AZ171" t="n">
        <v>168</v>
      </c>
      <c r="BA171" t="n">
        <v>4789.77</v>
      </c>
      <c r="BB171" t="n">
        <v>4772.4126</v>
      </c>
      <c r="BC171" t="n">
        <v>17.3574</v>
      </c>
      <c r="BD171" t="n">
        <v>301.2779</v>
      </c>
      <c r="BE171" t="n">
        <v>28224</v>
      </c>
    </row>
    <row r="172">
      <c r="A172" t="n">
        <v>1776683702</v>
      </c>
      <c r="B172" t="inlineStr">
        <is>
          <t>XAUUSD</t>
        </is>
      </c>
      <c r="C172" t="inlineStr">
        <is>
          <t>M15</t>
        </is>
      </c>
      <c r="D172" t="n">
        <v>4788.34</v>
      </c>
      <c r="E172" t="n">
        <v>4518.59282</v>
      </c>
      <c r="F172" t="n">
        <v>4596.05595</v>
      </c>
      <c r="G172" t="n">
        <v>4755.40355</v>
      </c>
      <c r="H172" t="n">
        <v>4792.76972</v>
      </c>
      <c r="Q172" t="n">
        <v>4772.14504</v>
      </c>
      <c r="R172" t="n">
        <v>4801.50833</v>
      </c>
      <c r="S172" t="n">
        <v>4828.09711</v>
      </c>
      <c r="V172" t="n">
        <v>4737.20527</v>
      </c>
      <c r="W172" t="n">
        <v>4703.64027</v>
      </c>
      <c r="AB172" t="n">
        <v>4795.57866</v>
      </c>
      <c r="AC172" t="n">
        <v>4794.99762</v>
      </c>
      <c r="AD172" t="n">
        <v>0</v>
      </c>
      <c r="AK172" t="n">
        <v>170</v>
      </c>
      <c r="AL172" t="n">
        <v>169</v>
      </c>
      <c r="AM172" t="n">
        <v>4788.34</v>
      </c>
      <c r="AN172" t="n">
        <v>4772.145</v>
      </c>
      <c r="AO172" t="n">
        <v>16.195</v>
      </c>
      <c r="AP172" t="n">
        <v>262.2767</v>
      </c>
      <c r="AQ172" t="n">
        <v>0.097714</v>
      </c>
      <c r="AR172" t="n">
        <v>0.045006</v>
      </c>
      <c r="AY172" t="n">
        <v>170</v>
      </c>
      <c r="AZ172" t="n">
        <v>169</v>
      </c>
      <c r="BA172" t="n">
        <v>4788.34</v>
      </c>
      <c r="BB172" t="n">
        <v>4772.145</v>
      </c>
      <c r="BC172" t="n">
        <v>16.195</v>
      </c>
      <c r="BD172" t="n">
        <v>262.2767</v>
      </c>
      <c r="BE172" t="n">
        <v>28561</v>
      </c>
    </row>
    <row r="173">
      <c r="A173" t="n">
        <v>1776684602</v>
      </c>
      <c r="B173" t="inlineStr">
        <is>
          <t>XAUUSD</t>
        </is>
      </c>
      <c r="C173" t="inlineStr">
        <is>
          <t>M15</t>
        </is>
      </c>
      <c r="D173" t="n">
        <v>4794.36</v>
      </c>
      <c r="E173" t="n">
        <v>4518.59282</v>
      </c>
      <c r="F173" t="n">
        <v>4596.05595</v>
      </c>
      <c r="G173" t="n">
        <v>4755.40355</v>
      </c>
      <c r="H173" t="n">
        <v>4792.76972</v>
      </c>
      <c r="Q173" t="n">
        <v>4771.87743</v>
      </c>
      <c r="R173" t="n">
        <v>4801.24073</v>
      </c>
      <c r="S173" t="n">
        <v>4827.8295</v>
      </c>
      <c r="V173" t="n">
        <v>4736.93766</v>
      </c>
      <c r="W173" t="n">
        <v>4703.37267</v>
      </c>
      <c r="AB173" t="n">
        <v>4797.4928</v>
      </c>
      <c r="AC173" t="n">
        <v>4796.24521</v>
      </c>
      <c r="AD173" t="n">
        <v>0</v>
      </c>
      <c r="AK173" t="n">
        <v>171</v>
      </c>
      <c r="AL173" t="n">
        <v>170</v>
      </c>
      <c r="AM173" t="n">
        <v>4794.36</v>
      </c>
      <c r="AN173" t="n">
        <v>4771.8774</v>
      </c>
      <c r="AO173" t="n">
        <v>22.4826</v>
      </c>
      <c r="AP173" t="n">
        <v>505.466</v>
      </c>
      <c r="AQ173" t="n">
        <v>0.261429</v>
      </c>
      <c r="AR173" t="n">
        <v>0.167162</v>
      </c>
      <c r="AY173" t="n">
        <v>171</v>
      </c>
      <c r="AZ173" t="n">
        <v>170</v>
      </c>
      <c r="BA173" t="n">
        <v>4794.36</v>
      </c>
      <c r="BB173" t="n">
        <v>4771.8774</v>
      </c>
      <c r="BC173" t="n">
        <v>22.4826</v>
      </c>
      <c r="BD173" t="n">
        <v>505.466</v>
      </c>
      <c r="BE173" t="n">
        <v>28900</v>
      </c>
    </row>
    <row r="174">
      <c r="A174" t="n">
        <v>1776685502</v>
      </c>
      <c r="B174" t="inlineStr">
        <is>
          <t>XAUUSD</t>
        </is>
      </c>
      <c r="C174" t="inlineStr">
        <is>
          <t>M15</t>
        </is>
      </c>
      <c r="D174" t="n">
        <v>4810.44</v>
      </c>
      <c r="E174" t="n">
        <v>4518.59282</v>
      </c>
      <c r="F174" t="n">
        <v>4596.05595</v>
      </c>
      <c r="G174" t="n">
        <v>4755.40355</v>
      </c>
      <c r="H174" t="n">
        <v>4792.76972</v>
      </c>
      <c r="Q174" t="n">
        <v>4771.60983</v>
      </c>
      <c r="R174" t="n">
        <v>4800.97313</v>
      </c>
      <c r="S174" t="n">
        <v>4827.5619</v>
      </c>
      <c r="V174" t="n">
        <v>4736.67006</v>
      </c>
      <c r="W174" t="n">
        <v>4703.10506</v>
      </c>
      <c r="AB174" t="n">
        <v>4800.16394</v>
      </c>
      <c r="AC174" t="n">
        <v>4798.20457</v>
      </c>
      <c r="AD174" t="n">
        <v>0</v>
      </c>
      <c r="AK174" t="n">
        <v>172</v>
      </c>
      <c r="AL174" t="n">
        <v>171</v>
      </c>
      <c r="AM174" t="n">
        <v>4810.44</v>
      </c>
      <c r="AN174" t="n">
        <v>4771.6098</v>
      </c>
      <c r="AO174" t="n">
        <v>38.8302</v>
      </c>
      <c r="AP174" t="n">
        <v>1507.7821</v>
      </c>
      <c r="AQ174" t="n">
        <v>1.346863</v>
      </c>
      <c r="AR174" t="n">
        <v>1.487412</v>
      </c>
      <c r="AY174" t="n">
        <v>172</v>
      </c>
      <c r="AZ174" t="n">
        <v>171</v>
      </c>
      <c r="BA174" t="n">
        <v>4810.44</v>
      </c>
      <c r="BB174" t="n">
        <v>4771.6098</v>
      </c>
      <c r="BC174" t="n">
        <v>38.8302</v>
      </c>
      <c r="BD174" t="n">
        <v>1507.7821</v>
      </c>
      <c r="BE174" t="n">
        <v>29241</v>
      </c>
    </row>
    <row r="175">
      <c r="A175" t="n">
        <v>1776686402</v>
      </c>
      <c r="B175" t="inlineStr">
        <is>
          <t>XAUUSD</t>
        </is>
      </c>
      <c r="C175" t="inlineStr">
        <is>
          <t>M15</t>
        </is>
      </c>
      <c r="D175" t="n">
        <v>4811.06</v>
      </c>
      <c r="E175" t="n">
        <v>4518.59282</v>
      </c>
      <c r="F175" t="n">
        <v>4596.05595</v>
      </c>
      <c r="G175" t="n">
        <v>4755.40355</v>
      </c>
      <c r="H175" t="n">
        <v>4792.76972</v>
      </c>
      <c r="Q175" t="n">
        <v>4771.34222</v>
      </c>
      <c r="R175" t="n">
        <v>4800.70552</v>
      </c>
      <c r="S175" t="n">
        <v>4827.29429</v>
      </c>
      <c r="V175" t="n">
        <v>4736.40245</v>
      </c>
      <c r="W175" t="n">
        <v>4702.83746</v>
      </c>
      <c r="AB175" t="n">
        <v>4803.09739</v>
      </c>
      <c r="AC175" t="n">
        <v>4800.65098</v>
      </c>
      <c r="AD175" t="n">
        <v>0</v>
      </c>
      <c r="AK175" t="n">
        <v>173</v>
      </c>
      <c r="AL175" t="n">
        <v>172</v>
      </c>
      <c r="AM175" t="n">
        <v>4811.06</v>
      </c>
      <c r="AN175" t="n">
        <v>4771.3422</v>
      </c>
      <c r="AO175" t="n">
        <v>39.7178</v>
      </c>
      <c r="AP175" t="n">
        <v>1577.502</v>
      </c>
      <c r="AQ175" t="n">
        <v>1.441353</v>
      </c>
      <c r="AR175" t="n">
        <v>1.628148</v>
      </c>
      <c r="AY175" t="n">
        <v>173</v>
      </c>
      <c r="AZ175" t="n">
        <v>172</v>
      </c>
      <c r="BA175" t="n">
        <v>4811.06</v>
      </c>
      <c r="BB175" t="n">
        <v>4771.3422</v>
      </c>
      <c r="BC175" t="n">
        <v>39.7178</v>
      </c>
      <c r="BD175" t="n">
        <v>1577.502</v>
      </c>
      <c r="BE175" t="n">
        <v>29584</v>
      </c>
    </row>
    <row r="176">
      <c r="A176" t="n">
        <v>1776687302</v>
      </c>
      <c r="B176" t="inlineStr">
        <is>
          <t>XAUUSD</t>
        </is>
      </c>
      <c r="C176" t="inlineStr">
        <is>
          <t>M15</t>
        </is>
      </c>
      <c r="D176" t="n">
        <v>4805.51</v>
      </c>
      <c r="E176" t="n">
        <v>4518.59282</v>
      </c>
      <c r="F176" t="n">
        <v>4596.05595</v>
      </c>
      <c r="G176" t="n">
        <v>4755.40355</v>
      </c>
      <c r="H176" t="n">
        <v>4792.76972</v>
      </c>
      <c r="Q176" t="n">
        <v>4771.07462</v>
      </c>
      <c r="R176" t="n">
        <v>4800.43792</v>
      </c>
      <c r="S176" t="n">
        <v>4827.02669</v>
      </c>
      <c r="V176" t="n">
        <v>4736.13485</v>
      </c>
      <c r="W176" t="n">
        <v>4702.56985</v>
      </c>
      <c r="AB176" t="n">
        <v>4806.21525</v>
      </c>
      <c r="AC176" t="n">
        <v>4803.43311</v>
      </c>
      <c r="AD176" t="n">
        <v>0</v>
      </c>
      <c r="AK176" t="n">
        <v>174</v>
      </c>
      <c r="AL176" t="n">
        <v>173</v>
      </c>
      <c r="AM176" t="n">
        <v>4805.51</v>
      </c>
      <c r="AN176" t="n">
        <v>4771.0746</v>
      </c>
      <c r="AO176" t="n">
        <v>34.4354</v>
      </c>
      <c r="AP176" t="n">
        <v>1185.7954</v>
      </c>
      <c r="AQ176" t="n">
        <v>0.939356</v>
      </c>
      <c r="AR176" t="n">
        <v>0.91997</v>
      </c>
      <c r="AY176" t="n">
        <v>174</v>
      </c>
      <c r="AZ176" t="n">
        <v>173</v>
      </c>
      <c r="BA176" t="n">
        <v>4805.51</v>
      </c>
      <c r="BB176" t="n">
        <v>4771.0746</v>
      </c>
      <c r="BC176" t="n">
        <v>34.4354</v>
      </c>
      <c r="BD176" t="n">
        <v>1185.7954</v>
      </c>
      <c r="BE176" t="n">
        <v>29929</v>
      </c>
    </row>
    <row r="177">
      <c r="A177" t="n">
        <v>1776688202</v>
      </c>
      <c r="B177" t="inlineStr">
        <is>
          <t>XAUUSD</t>
        </is>
      </c>
      <c r="C177" t="inlineStr">
        <is>
          <t>M15</t>
        </is>
      </c>
      <c r="D177" t="n">
        <v>4806.11</v>
      </c>
      <c r="E177" t="n">
        <v>4518.59282</v>
      </c>
      <c r="F177" t="n">
        <v>4596.05595</v>
      </c>
      <c r="G177" t="n">
        <v>4755.40355</v>
      </c>
      <c r="H177" t="n">
        <v>4792.76972</v>
      </c>
      <c r="Q177" t="n">
        <v>4770.80702</v>
      </c>
      <c r="R177" t="n">
        <v>4800.17031</v>
      </c>
      <c r="S177" t="n">
        <v>4826.75908</v>
      </c>
      <c r="V177" t="n">
        <v>4735.86725</v>
      </c>
      <c r="W177" t="n">
        <v>4702.30225</v>
      </c>
      <c r="AB177" t="n">
        <v>4809.55679</v>
      </c>
      <c r="AC177" t="n">
        <v>4806.49495</v>
      </c>
      <c r="AD177" t="n">
        <v>0</v>
      </c>
      <c r="AK177" t="n">
        <v>175</v>
      </c>
      <c r="AL177" t="n">
        <v>174</v>
      </c>
      <c r="AM177" t="n">
        <v>4806.11</v>
      </c>
      <c r="AN177" t="n">
        <v>4770.807</v>
      </c>
      <c r="AO177" t="n">
        <v>35.303</v>
      </c>
      <c r="AP177" t="n">
        <v>1246.3004</v>
      </c>
      <c r="AQ177" t="n">
        <v>1.012161</v>
      </c>
      <c r="AR177" t="n">
        <v>1.016248</v>
      </c>
      <c r="AY177" t="n">
        <v>175</v>
      </c>
      <c r="AZ177" t="n">
        <v>174</v>
      </c>
      <c r="BA177" t="n">
        <v>4806.11</v>
      </c>
      <c r="BB177" t="n">
        <v>4770.807</v>
      </c>
      <c r="BC177" t="n">
        <v>35.303</v>
      </c>
      <c r="BD177" t="n">
        <v>1246.3004</v>
      </c>
      <c r="BE177" t="n">
        <v>30276</v>
      </c>
    </row>
    <row r="178">
      <c r="A178" t="n">
        <v>1776689102</v>
      </c>
      <c r="B178" t="inlineStr">
        <is>
          <t>XAUUSD</t>
        </is>
      </c>
      <c r="C178" t="inlineStr">
        <is>
          <t>M15</t>
        </is>
      </c>
      <c r="D178" t="n">
        <v>4803.49</v>
      </c>
      <c r="E178" t="n">
        <v>4518.59282</v>
      </c>
      <c r="F178" t="n">
        <v>4596.05595</v>
      </c>
      <c r="G178" t="n">
        <v>4755.40355</v>
      </c>
      <c r="H178" t="n">
        <v>4792.76972</v>
      </c>
      <c r="Q178" t="n">
        <v>4770.53941</v>
      </c>
      <c r="R178" t="n">
        <v>4799.90271</v>
      </c>
      <c r="S178" t="n">
        <v>4826.49148</v>
      </c>
      <c r="V178" t="n">
        <v>4735.59964</v>
      </c>
      <c r="W178" t="n">
        <v>4702.03464</v>
      </c>
      <c r="AB178" t="n">
        <v>4812.94601</v>
      </c>
      <c r="AC178" t="n">
        <v>4809.72048</v>
      </c>
      <c r="AD178" t="n">
        <v>0</v>
      </c>
      <c r="AK178" t="n">
        <v>176</v>
      </c>
      <c r="AL178" t="n">
        <v>175</v>
      </c>
      <c r="AM178" t="n">
        <v>4803.49</v>
      </c>
      <c r="AN178" t="n">
        <v>4770.5394</v>
      </c>
      <c r="AO178" t="n">
        <v>32.9506</v>
      </c>
      <c r="AP178" t="n">
        <v>1085.7414</v>
      </c>
      <c r="AQ178" t="n">
        <v>0.82301</v>
      </c>
      <c r="AR178" t="n">
        <v>0.771271</v>
      </c>
      <c r="AY178" t="n">
        <v>176</v>
      </c>
      <c r="AZ178" t="n">
        <v>175</v>
      </c>
      <c r="BA178" t="n">
        <v>4803.49</v>
      </c>
      <c r="BB178" t="n">
        <v>4770.5394</v>
      </c>
      <c r="BC178" t="n">
        <v>32.9506</v>
      </c>
      <c r="BD178" t="n">
        <v>1085.7414</v>
      </c>
      <c r="BE178" t="n">
        <v>30625</v>
      </c>
    </row>
    <row r="179">
      <c r="A179" t="n">
        <v>1776690002</v>
      </c>
      <c r="B179" t="inlineStr">
        <is>
          <t>XAUUSD</t>
        </is>
      </c>
      <c r="C179" t="inlineStr">
        <is>
          <t>M15</t>
        </is>
      </c>
      <c r="D179" t="n">
        <v>4815.51</v>
      </c>
      <c r="E179" t="n">
        <v>4518.59282</v>
      </c>
      <c r="F179" t="n">
        <v>4596.05595</v>
      </c>
      <c r="G179" t="n">
        <v>4755.40355</v>
      </c>
      <c r="H179" t="n">
        <v>4792.76972</v>
      </c>
      <c r="Q179" t="n">
        <v>4770.27181</v>
      </c>
      <c r="R179" t="n">
        <v>4799.63511</v>
      </c>
      <c r="S179" t="n">
        <v>4826.22388</v>
      </c>
      <c r="V179" t="n">
        <v>4735.33204</v>
      </c>
      <c r="W179" t="n">
        <v>4701.76704</v>
      </c>
      <c r="AB179" t="n">
        <v>4816.20475</v>
      </c>
      <c r="AC179" t="n">
        <v>4812.96261</v>
      </c>
      <c r="AD179" t="n">
        <v>0</v>
      </c>
      <c r="AK179" t="n">
        <v>177</v>
      </c>
      <c r="AL179" t="n">
        <v>176</v>
      </c>
      <c r="AM179" t="n">
        <v>4815.51</v>
      </c>
      <c r="AN179" t="n">
        <v>4770.2718</v>
      </c>
      <c r="AO179" t="n">
        <v>45.2382</v>
      </c>
      <c r="AP179" t="n">
        <v>2046.4938</v>
      </c>
      <c r="AQ179" t="n">
        <v>2.129763</v>
      </c>
      <c r="AR179" t="n">
        <v>2.740154</v>
      </c>
      <c r="AY179" t="n">
        <v>177</v>
      </c>
      <c r="AZ179" t="n">
        <v>176</v>
      </c>
      <c r="BA179" t="n">
        <v>4815.51</v>
      </c>
      <c r="BB179" t="n">
        <v>4770.2718</v>
      </c>
      <c r="BC179" t="n">
        <v>45.2382</v>
      </c>
      <c r="BD179" t="n">
        <v>2046.4938</v>
      </c>
      <c r="BE179" t="n">
        <v>30976</v>
      </c>
    </row>
    <row r="180">
      <c r="A180" t="n">
        <v>1776690902</v>
      </c>
      <c r="B180" t="inlineStr">
        <is>
          <t>XAUUSD</t>
        </is>
      </c>
      <c r="C180" t="inlineStr">
        <is>
          <t>M15</t>
        </is>
      </c>
      <c r="D180" t="n">
        <v>4824.19</v>
      </c>
      <c r="E180" t="n">
        <v>4518.59282</v>
      </c>
      <c r="F180" t="n">
        <v>4596.05595</v>
      </c>
      <c r="G180" t="n">
        <v>4755.40355</v>
      </c>
      <c r="H180" t="n">
        <v>4792.76972</v>
      </c>
      <c r="Q180" t="n">
        <v>4770.0042</v>
      </c>
      <c r="R180" t="n">
        <v>4799.3675</v>
      </c>
      <c r="S180" t="n">
        <v>4825.95627</v>
      </c>
      <c r="V180" t="n">
        <v>4735.06443</v>
      </c>
      <c r="W180" t="n">
        <v>4701.49944</v>
      </c>
      <c r="AB180" t="n">
        <v>4818.71924</v>
      </c>
      <c r="AC180" t="n">
        <v>4815.84093</v>
      </c>
      <c r="AD180" t="n">
        <v>0</v>
      </c>
      <c r="AK180" t="n">
        <v>178</v>
      </c>
      <c r="AL180" t="n">
        <v>177</v>
      </c>
      <c r="AM180" t="n">
        <v>4824.19</v>
      </c>
      <c r="AN180" t="n">
        <v>4770.0042</v>
      </c>
      <c r="AO180" t="n">
        <v>54.1858</v>
      </c>
      <c r="AP180" t="n">
        <v>2936.1009</v>
      </c>
      <c r="AQ180" t="n">
        <v>3.659924</v>
      </c>
      <c r="AR180" t="n">
        <v>5.64022</v>
      </c>
      <c r="AY180" t="n">
        <v>178</v>
      </c>
      <c r="AZ180" t="n">
        <v>177</v>
      </c>
      <c r="BA180" t="n">
        <v>4824.19</v>
      </c>
      <c r="BB180" t="n">
        <v>4770.0042</v>
      </c>
      <c r="BC180" t="n">
        <v>54.1858</v>
      </c>
      <c r="BD180" t="n">
        <v>2936.1009</v>
      </c>
      <c r="BE180" t="n">
        <v>31329</v>
      </c>
    </row>
    <row r="181">
      <c r="A181" t="n">
        <v>1776691802</v>
      </c>
      <c r="B181" t="inlineStr">
        <is>
          <t>XAUUSD</t>
        </is>
      </c>
      <c r="C181" t="inlineStr">
        <is>
          <t>M15</t>
        </is>
      </c>
      <c r="D181" t="n">
        <v>4822.18</v>
      </c>
      <c r="E181" t="n">
        <v>4518.59282</v>
      </c>
      <c r="F181" t="n">
        <v>4596.05595</v>
      </c>
      <c r="G181" t="n">
        <v>4755.40355</v>
      </c>
      <c r="H181" t="n">
        <v>4792.76972</v>
      </c>
      <c r="Q181" t="n">
        <v>4769.7366</v>
      </c>
      <c r="R181" t="n">
        <v>4799.0999</v>
      </c>
      <c r="S181" t="n">
        <v>4825.68867</v>
      </c>
      <c r="V181" t="n">
        <v>4734.79683</v>
      </c>
      <c r="W181" t="n">
        <v>4701.23183</v>
      </c>
      <c r="AB181" t="n">
        <v>4819.96905</v>
      </c>
      <c r="AC181" t="n">
        <v>4817.90499</v>
      </c>
      <c r="AD181" t="n">
        <v>0</v>
      </c>
      <c r="AK181" t="n">
        <v>179</v>
      </c>
      <c r="AL181" t="n">
        <v>178</v>
      </c>
      <c r="AM181" t="n">
        <v>4822.18</v>
      </c>
      <c r="AN181" t="n">
        <v>4769.7366</v>
      </c>
      <c r="AO181" t="n">
        <v>52.4434</v>
      </c>
      <c r="AP181" t="n">
        <v>2750.3102</v>
      </c>
      <c r="AQ181" t="n">
        <v>3.31809</v>
      </c>
      <c r="AR181" t="n">
        <v>4.949</v>
      </c>
      <c r="AY181" t="n">
        <v>179</v>
      </c>
      <c r="AZ181" t="n">
        <v>178</v>
      </c>
      <c r="BA181" t="n">
        <v>4822.18</v>
      </c>
      <c r="BB181" t="n">
        <v>4769.7366</v>
      </c>
      <c r="BC181" t="n">
        <v>52.4434</v>
      </c>
      <c r="BD181" t="n">
        <v>2750.3102</v>
      </c>
      <c r="BE181" t="n">
        <v>31684</v>
      </c>
    </row>
    <row r="182">
      <c r="A182" t="n">
        <v>1776692702</v>
      </c>
      <c r="B182" t="inlineStr">
        <is>
          <t>XAUUSD</t>
        </is>
      </c>
      <c r="C182" t="inlineStr">
        <is>
          <t>M15</t>
        </is>
      </c>
      <c r="D182" t="n">
        <v>4817.9</v>
      </c>
      <c r="E182" t="n">
        <v>4518.59282</v>
      </c>
      <c r="F182" t="n">
        <v>4596.05595</v>
      </c>
      <c r="G182" t="n">
        <v>4755.40355</v>
      </c>
      <c r="H182" t="n">
        <v>4792.76972</v>
      </c>
      <c r="Q182" t="n">
        <v>4769.46899</v>
      </c>
      <c r="R182" t="n">
        <v>4798.83229</v>
      </c>
      <c r="S182" t="n">
        <v>4825.42106</v>
      </c>
      <c r="V182" t="n">
        <v>4734.52922</v>
      </c>
      <c r="W182" t="n">
        <v>4700.96423</v>
      </c>
      <c r="AB182" t="n">
        <v>4819.8619</v>
      </c>
      <c r="AC182" t="n">
        <v>4818.88344</v>
      </c>
      <c r="AD182" t="n">
        <v>0</v>
      </c>
      <c r="AK182" t="n">
        <v>180</v>
      </c>
      <c r="AL182" t="n">
        <v>179</v>
      </c>
      <c r="AM182" t="n">
        <v>4817.9</v>
      </c>
      <c r="AN182" t="n">
        <v>4769.469</v>
      </c>
      <c r="AO182" t="n">
        <v>48.431</v>
      </c>
      <c r="AP182" t="n">
        <v>2345.5627</v>
      </c>
      <c r="AQ182" t="n">
        <v>2.613281</v>
      </c>
      <c r="AR182" t="n">
        <v>3.59955</v>
      </c>
      <c r="AY182" t="n">
        <v>180</v>
      </c>
      <c r="AZ182" t="n">
        <v>179</v>
      </c>
      <c r="BA182" t="n">
        <v>4817.9</v>
      </c>
      <c r="BB182" t="n">
        <v>4769.469</v>
      </c>
      <c r="BC182" t="n">
        <v>48.431</v>
      </c>
      <c r="BD182" t="n">
        <v>2345.5627</v>
      </c>
      <c r="BE182" t="n">
        <v>32041</v>
      </c>
    </row>
    <row r="183">
      <c r="A183" t="n">
        <v>1776693602</v>
      </c>
      <c r="B183" t="inlineStr">
        <is>
          <t>XAUUSD</t>
        </is>
      </c>
      <c r="C183" t="inlineStr">
        <is>
          <t>M15</t>
        </is>
      </c>
      <c r="D183" t="n">
        <v>4816.39</v>
      </c>
      <c r="E183" t="n">
        <v>4518.59282</v>
      </c>
      <c r="F183" t="n">
        <v>4596.05595</v>
      </c>
      <c r="G183" t="n">
        <v>4755.40355</v>
      </c>
      <c r="H183" t="n">
        <v>4792.76972</v>
      </c>
      <c r="Q183" t="n">
        <v>4769.20139</v>
      </c>
      <c r="R183" t="n">
        <v>4798.56469</v>
      </c>
      <c r="S183" t="n">
        <v>4825.15346</v>
      </c>
      <c r="V183" t="n">
        <v>4734.26162</v>
      </c>
      <c r="W183" t="n">
        <v>4700.69662</v>
      </c>
      <c r="AB183" t="n">
        <v>4818.54172</v>
      </c>
      <c r="AC183" t="n">
        <v>4818.71258</v>
      </c>
      <c r="AD183" t="n">
        <v>1</v>
      </c>
      <c r="AK183" t="n">
        <v>181</v>
      </c>
      <c r="AL183" t="n">
        <v>180</v>
      </c>
      <c r="AM183" t="n">
        <v>4816.39</v>
      </c>
      <c r="AN183" t="n">
        <v>4769.2014</v>
      </c>
      <c r="AO183" t="n">
        <v>47.1886</v>
      </c>
      <c r="AP183" t="n">
        <v>2226.7649</v>
      </c>
      <c r="AQ183" t="n">
        <v>2.417281</v>
      </c>
      <c r="AR183" t="n">
        <v>3.244164</v>
      </c>
      <c r="AY183" t="n">
        <v>181</v>
      </c>
      <c r="AZ183" t="n">
        <v>180</v>
      </c>
      <c r="BA183" t="n">
        <v>4816.39</v>
      </c>
      <c r="BB183" t="n">
        <v>4769.2014</v>
      </c>
      <c r="BC183" t="n">
        <v>47.1886</v>
      </c>
      <c r="BD183" t="n">
        <v>2226.7649</v>
      </c>
      <c r="BE183" t="n">
        <v>32400</v>
      </c>
    </row>
    <row r="184">
      <c r="A184" t="n">
        <v>1776694502</v>
      </c>
      <c r="B184" t="inlineStr">
        <is>
          <t>XAUUSD</t>
        </is>
      </c>
      <c r="C184" t="inlineStr">
        <is>
          <t>M15</t>
        </is>
      </c>
      <c r="D184" t="n">
        <v>4823.4</v>
      </c>
      <c r="E184" t="n">
        <v>4518.59282</v>
      </c>
      <c r="F184" t="n">
        <v>4596.05595</v>
      </c>
      <c r="G184" t="n">
        <v>4755.40355</v>
      </c>
      <c r="H184" t="n">
        <v>4792.76972</v>
      </c>
      <c r="Q184" t="n">
        <v>4768.93379</v>
      </c>
      <c r="R184" t="n">
        <v>4798.29709</v>
      </c>
      <c r="S184" t="n">
        <v>4824.88586</v>
      </c>
      <c r="V184" t="n">
        <v>4733.99402</v>
      </c>
      <c r="W184" t="n">
        <v>4700.42902</v>
      </c>
      <c r="AB184" t="n">
        <v>4816.18321</v>
      </c>
      <c r="AC184" t="n">
        <v>4817.44789</v>
      </c>
      <c r="AD184" t="n">
        <v>0</v>
      </c>
      <c r="AK184" t="n">
        <v>182</v>
      </c>
      <c r="AL184" t="n">
        <v>181</v>
      </c>
      <c r="AM184" t="n">
        <v>4823.4</v>
      </c>
      <c r="AN184" t="n">
        <v>4768.9338</v>
      </c>
      <c r="AO184" t="n">
        <v>54.4662</v>
      </c>
      <c r="AP184" t="n">
        <v>2966.568</v>
      </c>
      <c r="AQ184" t="n">
        <v>3.717038</v>
      </c>
      <c r="AR184" t="n">
        <v>5.757882</v>
      </c>
      <c r="AY184" t="n">
        <v>182</v>
      </c>
      <c r="AZ184" t="n">
        <v>181</v>
      </c>
      <c r="BA184" t="n">
        <v>4823.4</v>
      </c>
      <c r="BB184" t="n">
        <v>4768.9338</v>
      </c>
      <c r="BC184" t="n">
        <v>54.4662</v>
      </c>
      <c r="BD184" t="n">
        <v>2966.568</v>
      </c>
      <c r="BE184" t="n">
        <v>32761</v>
      </c>
    </row>
    <row r="185">
      <c r="A185" t="n">
        <v>1776695402</v>
      </c>
      <c r="B185" t="inlineStr">
        <is>
          <t>XAUUSD</t>
        </is>
      </c>
      <c r="C185" t="inlineStr">
        <is>
          <t>M15</t>
        </is>
      </c>
      <c r="D185" t="n">
        <v>4814.18</v>
      </c>
      <c r="E185" t="n">
        <v>4518.59282</v>
      </c>
      <c r="F185" t="n">
        <v>4596.05595</v>
      </c>
      <c r="G185" t="n">
        <v>4755.40355</v>
      </c>
      <c r="H185" t="n">
        <v>4792.76972</v>
      </c>
      <c r="Q185" t="n">
        <v>4768.66618</v>
      </c>
      <c r="R185" t="n">
        <v>4798.02948</v>
      </c>
      <c r="S185" t="n">
        <v>4824.61825</v>
      </c>
      <c r="V185" t="n">
        <v>4733.72641</v>
      </c>
      <c r="W185" t="n">
        <v>4700.16142</v>
      </c>
      <c r="Z185" t="n">
        <v>4827.74</v>
      </c>
      <c r="AB185" t="n">
        <v>4812.84391</v>
      </c>
      <c r="AC185" t="n">
        <v>4815.1459</v>
      </c>
      <c r="AD185" t="n">
        <v>0</v>
      </c>
      <c r="AK185" t="n">
        <v>183</v>
      </c>
      <c r="AL185" t="n">
        <v>182</v>
      </c>
      <c r="AM185" t="n">
        <v>4814.18</v>
      </c>
      <c r="AN185" t="n">
        <v>4768.6662</v>
      </c>
      <c r="AO185" t="n">
        <v>45.5138</v>
      </c>
      <c r="AP185" t="n">
        <v>2071.5078</v>
      </c>
      <c r="AQ185" t="n">
        <v>2.16893</v>
      </c>
      <c r="AR185" t="n">
        <v>2.807548</v>
      </c>
      <c r="AY185" t="n">
        <v>183</v>
      </c>
      <c r="AZ185" t="n">
        <v>182</v>
      </c>
      <c r="BA185" t="n">
        <v>4814.18</v>
      </c>
      <c r="BB185" t="n">
        <v>4768.6662</v>
      </c>
      <c r="BC185" t="n">
        <v>45.5138</v>
      </c>
      <c r="BD185" t="n">
        <v>2071.5078</v>
      </c>
      <c r="BE185" t="n">
        <v>33124</v>
      </c>
    </row>
    <row r="186">
      <c r="A186" t="n">
        <v>1776696302</v>
      </c>
      <c r="B186" t="inlineStr">
        <is>
          <t>XAUUSD</t>
        </is>
      </c>
      <c r="C186" t="inlineStr">
        <is>
          <t>M15</t>
        </is>
      </c>
      <c r="D186" t="n">
        <v>4805.31</v>
      </c>
      <c r="E186" t="n">
        <v>4518.59282</v>
      </c>
      <c r="F186" t="n">
        <v>4596.05595</v>
      </c>
      <c r="G186" t="n">
        <v>4755.40355</v>
      </c>
      <c r="H186" t="n">
        <v>4792.76972</v>
      </c>
      <c r="Q186" t="n">
        <v>4768.39858</v>
      </c>
      <c r="R186" t="n">
        <v>4797.76188</v>
      </c>
      <c r="S186" t="n">
        <v>4824.35065</v>
      </c>
      <c r="V186" t="n">
        <v>4733.45881</v>
      </c>
      <c r="W186" t="n">
        <v>4699.89381</v>
      </c>
      <c r="AB186" t="n">
        <v>4809.12279</v>
      </c>
      <c r="AC186" t="n">
        <v>4812.13435</v>
      </c>
      <c r="AD186" t="n">
        <v>0</v>
      </c>
      <c r="AK186" t="n">
        <v>184</v>
      </c>
      <c r="AL186" t="n">
        <v>183</v>
      </c>
      <c r="AM186" t="n">
        <v>4805.31</v>
      </c>
      <c r="AN186" t="n">
        <v>4768.3986</v>
      </c>
      <c r="AO186" t="n">
        <v>36.9114</v>
      </c>
      <c r="AP186" t="n">
        <v>1362.4529</v>
      </c>
      <c r="AQ186" t="n">
        <v>1.156905</v>
      </c>
      <c r="AR186" t="n">
        <v>1.214499</v>
      </c>
      <c r="AY186" t="n">
        <v>184</v>
      </c>
      <c r="AZ186" t="n">
        <v>183</v>
      </c>
      <c r="BA186" t="n">
        <v>4805.31</v>
      </c>
      <c r="BB186" t="n">
        <v>4768.3986</v>
      </c>
      <c r="BC186" t="n">
        <v>36.9114</v>
      </c>
      <c r="BD186" t="n">
        <v>1362.4529</v>
      </c>
      <c r="BE186" t="n">
        <v>33489</v>
      </c>
    </row>
    <row r="187">
      <c r="A187" t="n">
        <v>1776697202</v>
      </c>
      <c r="B187" t="inlineStr">
        <is>
          <t>XAUUSD</t>
        </is>
      </c>
      <c r="C187" t="inlineStr">
        <is>
          <t>M15</t>
        </is>
      </c>
      <c r="D187" t="n">
        <v>4798.2</v>
      </c>
      <c r="E187" t="n">
        <v>4518.59282</v>
      </c>
      <c r="F187" t="n">
        <v>4596.05595</v>
      </c>
      <c r="G187" t="n">
        <v>4755.40355</v>
      </c>
      <c r="H187" t="n">
        <v>4792.76972</v>
      </c>
      <c r="Q187" t="n">
        <v>4768.13097</v>
      </c>
      <c r="R187" t="n">
        <v>4797.49427</v>
      </c>
      <c r="S187" t="n">
        <v>4824.08304</v>
      </c>
      <c r="V187" t="n">
        <v>4733.1912</v>
      </c>
      <c r="W187" t="n">
        <v>4699.62621</v>
      </c>
      <c r="AB187" t="n">
        <v>4805.63643</v>
      </c>
      <c r="AC187" t="n">
        <v>4808.88539</v>
      </c>
      <c r="AD187" t="n">
        <v>0</v>
      </c>
      <c r="AK187" t="n">
        <v>185</v>
      </c>
      <c r="AL187" t="n">
        <v>184</v>
      </c>
      <c r="AM187" t="n">
        <v>4798.2</v>
      </c>
      <c r="AN187" t="n">
        <v>4768.131</v>
      </c>
      <c r="AO187" t="n">
        <v>30.069</v>
      </c>
      <c r="AP187" t="n">
        <v>904.1466</v>
      </c>
      <c r="AQ187" t="n">
        <v>0.625423</v>
      </c>
      <c r="AR187" t="n">
        <v>0.53485</v>
      </c>
      <c r="AY187" t="n">
        <v>185</v>
      </c>
      <c r="AZ187" t="n">
        <v>184</v>
      </c>
      <c r="BA187" t="n">
        <v>4798.2</v>
      </c>
      <c r="BB187" t="n">
        <v>4768.131</v>
      </c>
      <c r="BC187" t="n">
        <v>30.069</v>
      </c>
      <c r="BD187" t="n">
        <v>904.1466</v>
      </c>
      <c r="BE187" t="n">
        <v>33856</v>
      </c>
    </row>
    <row r="188">
      <c r="A188" t="n">
        <v>1776698102</v>
      </c>
      <c r="B188" t="inlineStr">
        <is>
          <t>XAUUSD</t>
        </is>
      </c>
      <c r="C188" t="inlineStr">
        <is>
          <t>M15</t>
        </is>
      </c>
      <c r="D188" t="n">
        <v>4808.64</v>
      </c>
      <c r="E188" t="n">
        <v>4518.59282</v>
      </c>
      <c r="F188" t="n">
        <v>4596.05595</v>
      </c>
      <c r="G188" t="n">
        <v>4755.40355</v>
      </c>
      <c r="H188" t="n">
        <v>4792.76972</v>
      </c>
      <c r="Q188" t="n">
        <v>4767.86337</v>
      </c>
      <c r="R188" t="n">
        <v>4797.22667</v>
      </c>
      <c r="S188" t="n">
        <v>4823.81544</v>
      </c>
      <c r="V188" t="n">
        <v>4732.9236</v>
      </c>
      <c r="W188" t="n">
        <v>4699.3586</v>
      </c>
      <c r="AB188" t="n">
        <v>4802.89189</v>
      </c>
      <c r="AC188" t="n">
        <v>4805.88864</v>
      </c>
      <c r="AD188" t="n">
        <v>0</v>
      </c>
      <c r="AK188" t="n">
        <v>186</v>
      </c>
      <c r="AL188" t="n">
        <v>185</v>
      </c>
      <c r="AM188" t="n">
        <v>4808.64</v>
      </c>
      <c r="AN188" t="n">
        <v>4767.8634</v>
      </c>
      <c r="AO188" t="n">
        <v>40.7766</v>
      </c>
      <c r="AP188" t="n">
        <v>1662.7336</v>
      </c>
      <c r="AQ188" t="n">
        <v>1.559731</v>
      </c>
      <c r="AR188" t="n">
        <v>1.808837</v>
      </c>
      <c r="AY188" t="n">
        <v>186</v>
      </c>
      <c r="AZ188" t="n">
        <v>185</v>
      </c>
      <c r="BA188" t="n">
        <v>4808.64</v>
      </c>
      <c r="BB188" t="n">
        <v>4767.8634</v>
      </c>
      <c r="BC188" t="n">
        <v>40.7766</v>
      </c>
      <c r="BD188" t="n">
        <v>1662.7336</v>
      </c>
      <c r="BE188" t="n">
        <v>34225</v>
      </c>
    </row>
    <row r="189">
      <c r="A189" t="n">
        <v>1776699002</v>
      </c>
      <c r="B189" t="inlineStr">
        <is>
          <t>XAUUSD</t>
        </is>
      </c>
      <c r="C189" t="inlineStr">
        <is>
          <t>M15</t>
        </is>
      </c>
      <c r="D189" t="n">
        <v>4800.36</v>
      </c>
      <c r="E189" t="n">
        <v>4518.59282</v>
      </c>
      <c r="F189" t="n">
        <v>4596.05595</v>
      </c>
      <c r="G189" t="n">
        <v>4755.40355</v>
      </c>
      <c r="H189" t="n">
        <v>4792.76972</v>
      </c>
      <c r="Q189" t="n">
        <v>4767.59577</v>
      </c>
      <c r="R189" t="n">
        <v>4796.95907</v>
      </c>
      <c r="S189" t="n">
        <v>4823.54784</v>
      </c>
      <c r="V189" t="n">
        <v>4732.656</v>
      </c>
      <c r="W189" t="n">
        <v>4699.091</v>
      </c>
      <c r="AB189" t="n">
        <v>4800.82181</v>
      </c>
      <c r="AC189" t="n">
        <v>4803.35522</v>
      </c>
      <c r="AD189" t="n">
        <v>0</v>
      </c>
      <c r="AK189" t="n">
        <v>187</v>
      </c>
      <c r="AL189" t="n">
        <v>186</v>
      </c>
      <c r="AM189" t="n">
        <v>4800.36</v>
      </c>
      <c r="AN189" t="n">
        <v>4767.5958</v>
      </c>
      <c r="AO189" t="n">
        <v>32.7642</v>
      </c>
      <c r="AP189" t="n">
        <v>1073.4948</v>
      </c>
      <c r="AQ189" t="n">
        <v>0.809125</v>
      </c>
      <c r="AR189" t="n">
        <v>0.75397</v>
      </c>
      <c r="AY189" t="n">
        <v>187</v>
      </c>
      <c r="AZ189" t="n">
        <v>186</v>
      </c>
      <c r="BA189" t="n">
        <v>4800.36</v>
      </c>
      <c r="BB189" t="n">
        <v>4767.5958</v>
      </c>
      <c r="BC189" t="n">
        <v>32.7642</v>
      </c>
      <c r="BD189" t="n">
        <v>1073.4948</v>
      </c>
      <c r="BE189" t="n">
        <v>34596</v>
      </c>
    </row>
    <row r="190">
      <c r="A190" t="n">
        <v>1776699902</v>
      </c>
      <c r="B190" t="inlineStr">
        <is>
          <t>XAUUSD</t>
        </is>
      </c>
      <c r="C190" t="inlineStr">
        <is>
          <t>M15</t>
        </is>
      </c>
      <c r="D190" t="n">
        <v>4799.8</v>
      </c>
      <c r="E190" t="n">
        <v>4518.59282</v>
      </c>
      <c r="F190" t="n">
        <v>4596.05595</v>
      </c>
      <c r="G190" t="n">
        <v>4755.40355</v>
      </c>
      <c r="H190" t="n">
        <v>4792.76972</v>
      </c>
      <c r="Q190" t="n">
        <v>4767.32816</v>
      </c>
      <c r="R190" t="n">
        <v>4796.69146</v>
      </c>
      <c r="S190" t="n">
        <v>4823.28023</v>
      </c>
      <c r="V190" t="n">
        <v>4732.38839</v>
      </c>
      <c r="W190" t="n">
        <v>4698.8234</v>
      </c>
      <c r="AB190" t="n">
        <v>4799.74563</v>
      </c>
      <c r="AC190" t="n">
        <v>4801.55043</v>
      </c>
      <c r="AD190" t="n">
        <v>0</v>
      </c>
      <c r="AK190" t="n">
        <v>188</v>
      </c>
      <c r="AL190" t="n">
        <v>187</v>
      </c>
      <c r="AM190" t="n">
        <v>4799.8</v>
      </c>
      <c r="AN190" t="n">
        <v>4767.3282</v>
      </c>
      <c r="AO190" t="n">
        <v>32.4718</v>
      </c>
      <c r="AP190" t="n">
        <v>1054.4204</v>
      </c>
      <c r="AQ190" t="n">
        <v>0.787655</v>
      </c>
      <c r="AR190" t="n">
        <v>0.727414</v>
      </c>
      <c r="AY190" t="n">
        <v>188</v>
      </c>
      <c r="AZ190" t="n">
        <v>187</v>
      </c>
      <c r="BA190" t="n">
        <v>4799.8</v>
      </c>
      <c r="BB190" t="n">
        <v>4767.3282</v>
      </c>
      <c r="BC190" t="n">
        <v>32.4718</v>
      </c>
      <c r="BD190" t="n">
        <v>1054.4204</v>
      </c>
      <c r="BE190" t="n">
        <v>34969</v>
      </c>
    </row>
    <row r="191">
      <c r="A191" t="n">
        <v>1776700802</v>
      </c>
      <c r="B191" t="inlineStr">
        <is>
          <t>XAUUSD</t>
        </is>
      </c>
      <c r="C191" t="inlineStr">
        <is>
          <t>M15</t>
        </is>
      </c>
      <c r="D191" t="n">
        <v>4798.42</v>
      </c>
      <c r="E191" t="n">
        <v>4518.59282</v>
      </c>
      <c r="F191" t="n">
        <v>4596.05595</v>
      </c>
      <c r="G191" t="n">
        <v>4755.40355</v>
      </c>
      <c r="H191" t="n">
        <v>4792.76972</v>
      </c>
      <c r="Q191" t="n">
        <v>4767.06056</v>
      </c>
      <c r="R191" t="n">
        <v>4796.42386</v>
      </c>
      <c r="S191" t="n">
        <v>4823.01263</v>
      </c>
      <c r="V191" t="n">
        <v>4732.12079</v>
      </c>
      <c r="W191" t="n">
        <v>4698.55579</v>
      </c>
      <c r="AB191" t="n">
        <v>4799.69274</v>
      </c>
      <c r="AC191" t="n">
        <v>4800.62158</v>
      </c>
      <c r="AD191" t="n">
        <v>0</v>
      </c>
      <c r="AK191" t="n">
        <v>189</v>
      </c>
      <c r="AL191" t="n">
        <v>188</v>
      </c>
      <c r="AM191" t="n">
        <v>4798.42</v>
      </c>
      <c r="AN191" t="n">
        <v>4767.0606</v>
      </c>
      <c r="AO191" t="n">
        <v>31.3594</v>
      </c>
      <c r="AP191" t="n">
        <v>983.4145</v>
      </c>
      <c r="AQ191" t="n">
        <v>0.709448</v>
      </c>
      <c r="AR191" t="n">
        <v>0.6327430000000001</v>
      </c>
      <c r="AY191" t="n">
        <v>189</v>
      </c>
      <c r="AZ191" t="n">
        <v>188</v>
      </c>
      <c r="BA191" t="n">
        <v>4798.42</v>
      </c>
      <c r="BB191" t="n">
        <v>4767.0606</v>
      </c>
      <c r="BC191" t="n">
        <v>31.3594</v>
      </c>
      <c r="BD191" t="n">
        <v>983.4145</v>
      </c>
      <c r="BE191" t="n">
        <v>35344</v>
      </c>
    </row>
    <row r="192">
      <c r="A192" t="n">
        <v>1776701702</v>
      </c>
      <c r="B192" t="inlineStr">
        <is>
          <t>XAUUSD</t>
        </is>
      </c>
      <c r="C192" t="inlineStr">
        <is>
          <t>M15</t>
        </is>
      </c>
      <c r="D192" t="n">
        <v>4801.22</v>
      </c>
      <c r="E192" t="n">
        <v>4518.59282</v>
      </c>
      <c r="F192" t="n">
        <v>4596.05595</v>
      </c>
      <c r="G192" t="n">
        <v>4755.40355</v>
      </c>
      <c r="H192" t="n">
        <v>4792.76972</v>
      </c>
      <c r="Q192" t="n">
        <v>4766.79295</v>
      </c>
      <c r="R192" t="n">
        <v>4796.15625</v>
      </c>
      <c r="S192" t="n">
        <v>4822.74502</v>
      </c>
      <c r="V192" t="n">
        <v>4731.85318</v>
      </c>
      <c r="W192" t="n">
        <v>4698.28819</v>
      </c>
      <c r="AB192" t="n">
        <v>4800.59872</v>
      </c>
      <c r="AC192" t="n">
        <v>4800.61015</v>
      </c>
      <c r="AD192" t="n">
        <v>0</v>
      </c>
      <c r="AK192" t="n">
        <v>190</v>
      </c>
      <c r="AL192" t="n">
        <v>189</v>
      </c>
      <c r="AM192" t="n">
        <v>4801.22</v>
      </c>
      <c r="AN192" t="n">
        <v>4766.793</v>
      </c>
      <c r="AO192" t="n">
        <v>34.4271</v>
      </c>
      <c r="AP192" t="n">
        <v>1185.2218</v>
      </c>
      <c r="AQ192" t="n">
        <v>0.938674</v>
      </c>
      <c r="AR192" t="n">
        <v>0.91908</v>
      </c>
      <c r="AY192" t="n">
        <v>190</v>
      </c>
      <c r="AZ192" t="n">
        <v>189</v>
      </c>
      <c r="BA192" t="n">
        <v>4801.22</v>
      </c>
      <c r="BB192" t="n">
        <v>4766.793</v>
      </c>
      <c r="BC192" t="n">
        <v>34.4271</v>
      </c>
      <c r="BD192" t="n">
        <v>1185.2218</v>
      </c>
      <c r="BE192" t="n">
        <v>35721</v>
      </c>
    </row>
    <row r="193">
      <c r="A193" t="n">
        <v>1776702602</v>
      </c>
      <c r="B193" t="inlineStr">
        <is>
          <t>XAUUSD</t>
        </is>
      </c>
      <c r="C193" t="inlineStr">
        <is>
          <t>M15</t>
        </is>
      </c>
      <c r="D193" t="n">
        <v>4801.79</v>
      </c>
      <c r="E193" t="n">
        <v>4518.59282</v>
      </c>
      <c r="F193" t="n">
        <v>4596.05595</v>
      </c>
      <c r="G193" t="n">
        <v>4755.40355</v>
      </c>
      <c r="H193" t="n">
        <v>4792.76972</v>
      </c>
      <c r="Q193" t="n">
        <v>4766.52535</v>
      </c>
      <c r="R193" t="n">
        <v>4795.88865</v>
      </c>
      <c r="S193" t="n">
        <v>4822.47742</v>
      </c>
      <c r="V193" t="n">
        <v>4731.58558</v>
      </c>
      <c r="W193" t="n">
        <v>4698.02058</v>
      </c>
      <c r="AB193" t="n">
        <v>4802.20723</v>
      </c>
      <c r="AC193" t="n">
        <v>4801.40869</v>
      </c>
      <c r="AD193" t="n">
        <v>1</v>
      </c>
      <c r="AK193" t="n">
        <v>191</v>
      </c>
      <c r="AL193" t="n">
        <v>190</v>
      </c>
      <c r="AM193" t="n">
        <v>4801.79</v>
      </c>
      <c r="AN193" t="n">
        <v>4766.5253</v>
      </c>
      <c r="AO193" t="n">
        <v>35.2647</v>
      </c>
      <c r="AP193" t="n">
        <v>1243.5955</v>
      </c>
      <c r="AQ193" t="n">
        <v>1.008868</v>
      </c>
      <c r="AR193" t="n">
        <v>1.011841</v>
      </c>
      <c r="AY193" t="n">
        <v>191</v>
      </c>
      <c r="AZ193" t="n">
        <v>190</v>
      </c>
      <c r="BA193" t="n">
        <v>4801.79</v>
      </c>
      <c r="BB193" t="n">
        <v>4766.5253</v>
      </c>
      <c r="BC193" t="n">
        <v>35.2647</v>
      </c>
      <c r="BD193" t="n">
        <v>1243.5955</v>
      </c>
      <c r="BE193" t="n">
        <v>36100</v>
      </c>
    </row>
    <row r="194">
      <c r="A194" t="n">
        <v>1776703502</v>
      </c>
      <c r="B194" t="inlineStr">
        <is>
          <t>XAUUSD</t>
        </is>
      </c>
      <c r="C194" t="inlineStr">
        <is>
          <t>M15</t>
        </is>
      </c>
      <c r="D194" t="n">
        <v>4805.59</v>
      </c>
      <c r="E194" t="n">
        <v>4518.59282</v>
      </c>
      <c r="F194" t="n">
        <v>4596.05595</v>
      </c>
      <c r="G194" t="n">
        <v>4755.40355</v>
      </c>
      <c r="H194" t="n">
        <v>4792.76972</v>
      </c>
      <c r="Q194" t="n">
        <v>4766.25775</v>
      </c>
      <c r="R194" t="n">
        <v>4795.62104</v>
      </c>
      <c r="S194" t="n">
        <v>4822.20982</v>
      </c>
      <c r="V194" t="n">
        <v>4731.31798</v>
      </c>
      <c r="W194" t="n">
        <v>4697.75298</v>
      </c>
      <c r="AB194" t="n">
        <v>4804.30842</v>
      </c>
      <c r="AC194" t="n">
        <v>4802.85855</v>
      </c>
      <c r="AD194" t="n">
        <v>0</v>
      </c>
      <c r="AK194" t="n">
        <v>192</v>
      </c>
      <c r="AL194" t="n">
        <v>191</v>
      </c>
      <c r="AM194" t="n">
        <v>4805.59</v>
      </c>
      <c r="AN194" t="n">
        <v>4766.2577</v>
      </c>
      <c r="AO194" t="n">
        <v>39.3323</v>
      </c>
      <c r="AP194" t="n">
        <v>1547.0259</v>
      </c>
      <c r="AQ194" t="n">
        <v>1.399787</v>
      </c>
      <c r="AR194" t="n">
        <v>1.565847</v>
      </c>
      <c r="AY194" t="n">
        <v>192</v>
      </c>
      <c r="AZ194" t="n">
        <v>191</v>
      </c>
      <c r="BA194" t="n">
        <v>4805.59</v>
      </c>
      <c r="BB194" t="n">
        <v>4766.2577</v>
      </c>
      <c r="BC194" t="n">
        <v>39.3323</v>
      </c>
      <c r="BD194" t="n">
        <v>1547.0259</v>
      </c>
      <c r="BE194" t="n">
        <v>36481</v>
      </c>
    </row>
    <row r="195">
      <c r="A195" t="n">
        <v>1776704402</v>
      </c>
      <c r="B195" t="inlineStr">
        <is>
          <t>XAUUSD</t>
        </is>
      </c>
      <c r="C195" t="inlineStr">
        <is>
          <t>M15</t>
        </is>
      </c>
      <c r="D195" t="n">
        <v>4808.86</v>
      </c>
      <c r="E195" t="n">
        <v>4518.59282</v>
      </c>
      <c r="F195" t="n">
        <v>4596.05595</v>
      </c>
      <c r="G195" t="n">
        <v>4755.40355</v>
      </c>
      <c r="H195" t="n">
        <v>4792.76972</v>
      </c>
      <c r="Q195" t="n">
        <v>4765.99014</v>
      </c>
      <c r="R195" t="n">
        <v>4795.35344</v>
      </c>
      <c r="S195" t="n">
        <v>4821.94221</v>
      </c>
      <c r="V195" t="n">
        <v>4731.05037</v>
      </c>
      <c r="W195" t="n">
        <v>4697.48538</v>
      </c>
      <c r="AB195" t="n">
        <v>4806.58606</v>
      </c>
      <c r="AC195" t="n">
        <v>4804.72231</v>
      </c>
      <c r="AD195" t="n">
        <v>0</v>
      </c>
      <c r="AK195" t="n">
        <v>193</v>
      </c>
      <c r="AL195" t="n">
        <v>192</v>
      </c>
      <c r="AM195" t="n">
        <v>4808.86</v>
      </c>
      <c r="AN195" t="n">
        <v>4765.9901</v>
      </c>
      <c r="AO195" t="n">
        <v>42.8699</v>
      </c>
      <c r="AP195" t="n">
        <v>1837.8249</v>
      </c>
      <c r="AQ195" t="n">
        <v>1.812474</v>
      </c>
      <c r="AR195" t="n">
        <v>2.209848</v>
      </c>
      <c r="AY195" t="n">
        <v>193</v>
      </c>
      <c r="AZ195" t="n">
        <v>192</v>
      </c>
      <c r="BA195" t="n">
        <v>4808.86</v>
      </c>
      <c r="BB195" t="n">
        <v>4765.9901</v>
      </c>
      <c r="BC195" t="n">
        <v>42.8699</v>
      </c>
      <c r="BD195" t="n">
        <v>1837.8249</v>
      </c>
      <c r="BE195" t="n">
        <v>36864</v>
      </c>
    </row>
    <row r="196">
      <c r="A196" t="n">
        <v>1776705302</v>
      </c>
      <c r="B196" t="inlineStr">
        <is>
          <t>XAUUSD</t>
        </is>
      </c>
      <c r="C196" t="inlineStr">
        <is>
          <t>M15</t>
        </is>
      </c>
      <c r="D196" t="n">
        <v>4810.07</v>
      </c>
      <c r="E196" t="n">
        <v>4518.59282</v>
      </c>
      <c r="F196" t="n">
        <v>4596.05595</v>
      </c>
      <c r="G196" t="n">
        <v>4755.40355</v>
      </c>
      <c r="H196" t="n">
        <v>4792.76972</v>
      </c>
      <c r="Q196" t="n">
        <v>4765.72254</v>
      </c>
      <c r="R196" t="n">
        <v>4795.08584</v>
      </c>
      <c r="S196" t="n">
        <v>4821.67461</v>
      </c>
      <c r="V196" t="n">
        <v>4730.78277</v>
      </c>
      <c r="W196" t="n">
        <v>4697.21777</v>
      </c>
      <c r="AB196" t="n">
        <v>4808.77747</v>
      </c>
      <c r="AC196" t="n">
        <v>4806.74989</v>
      </c>
      <c r="AD196" t="n">
        <v>0</v>
      </c>
      <c r="AK196" t="n">
        <v>194</v>
      </c>
      <c r="AL196" t="n">
        <v>193</v>
      </c>
      <c r="AM196" t="n">
        <v>4810.07</v>
      </c>
      <c r="AN196" t="n">
        <v>4765.7225</v>
      </c>
      <c r="AO196" t="n">
        <v>44.3475</v>
      </c>
      <c r="AP196" t="n">
        <v>1966.6972</v>
      </c>
      <c r="AQ196" t="n">
        <v>2.00642</v>
      </c>
      <c r="AR196" t="n">
        <v>2.530633</v>
      </c>
      <c r="AY196" t="n">
        <v>194</v>
      </c>
      <c r="AZ196" t="n">
        <v>193</v>
      </c>
      <c r="BA196" t="n">
        <v>4810.07</v>
      </c>
      <c r="BB196" t="n">
        <v>4765.7225</v>
      </c>
      <c r="BC196" t="n">
        <v>44.3475</v>
      </c>
      <c r="BD196" t="n">
        <v>1966.6972</v>
      </c>
      <c r="BE196" t="n">
        <v>37249</v>
      </c>
    </row>
    <row r="197">
      <c r="A197" t="n">
        <v>1776706202</v>
      </c>
      <c r="B197" t="inlineStr">
        <is>
          <t>XAUUSD</t>
        </is>
      </c>
      <c r="C197" t="inlineStr">
        <is>
          <t>M15</t>
        </is>
      </c>
      <c r="D197" t="n">
        <v>4809.55</v>
      </c>
      <c r="E197" t="n">
        <v>4518.59282</v>
      </c>
      <c r="F197" t="n">
        <v>4596.05595</v>
      </c>
      <c r="G197" t="n">
        <v>4755.40355</v>
      </c>
      <c r="H197" t="n">
        <v>4792.76972</v>
      </c>
      <c r="Q197" t="n">
        <v>4765.45493</v>
      </c>
      <c r="R197" t="n">
        <v>4794.81823</v>
      </c>
      <c r="S197" t="n">
        <v>4821.407</v>
      </c>
      <c r="V197" t="n">
        <v>4730.51516</v>
      </c>
      <c r="W197" t="n">
        <v>4696.95017</v>
      </c>
      <c r="AB197" t="n">
        <v>4810.72121</v>
      </c>
      <c r="AC197" t="n">
        <v>4808.73555</v>
      </c>
      <c r="AD197" t="n">
        <v>0</v>
      </c>
      <c r="AK197" t="n">
        <v>195</v>
      </c>
      <c r="AL197" t="n">
        <v>194</v>
      </c>
      <c r="AM197" t="n">
        <v>4809.55</v>
      </c>
      <c r="AN197" t="n">
        <v>4765.4549</v>
      </c>
      <c r="AO197" t="n">
        <v>44.0951</v>
      </c>
      <c r="AP197" t="n">
        <v>1944.3752</v>
      </c>
      <c r="AQ197" t="n">
        <v>1.972358</v>
      </c>
      <c r="AR197" t="n">
        <v>2.473513</v>
      </c>
      <c r="AY197" t="n">
        <v>195</v>
      </c>
      <c r="AZ197" t="n">
        <v>194</v>
      </c>
      <c r="BA197" t="n">
        <v>4809.55</v>
      </c>
      <c r="BB197" t="n">
        <v>4765.4549</v>
      </c>
      <c r="BC197" t="n">
        <v>44.0951</v>
      </c>
      <c r="BD197" t="n">
        <v>1944.3752</v>
      </c>
      <c r="BE197" t="n">
        <v>37636</v>
      </c>
    </row>
    <row r="198">
      <c r="A198" t="n">
        <v>1776707102</v>
      </c>
      <c r="B198" t="inlineStr">
        <is>
          <t>XAUUSD</t>
        </is>
      </c>
      <c r="C198" t="inlineStr">
        <is>
          <t>M15</t>
        </is>
      </c>
      <c r="D198" t="n">
        <v>4806.62</v>
      </c>
      <c r="E198" t="n">
        <v>4518.59282</v>
      </c>
      <c r="F198" t="n">
        <v>4596.05595</v>
      </c>
      <c r="G198" t="n">
        <v>4755.40355</v>
      </c>
      <c r="H198" t="n">
        <v>4792.76972</v>
      </c>
      <c r="Q198" t="n">
        <v>4765.18733</v>
      </c>
      <c r="R198" t="n">
        <v>4794.55063</v>
      </c>
      <c r="S198" t="n">
        <v>4821.1394</v>
      </c>
      <c r="V198" t="n">
        <v>4730.24756</v>
      </c>
      <c r="W198" t="n">
        <v>4696.68256</v>
      </c>
      <c r="AB198" t="n">
        <v>4812.33905</v>
      </c>
      <c r="AC198" t="n">
        <v>4810.5373</v>
      </c>
      <c r="AD198" t="n">
        <v>0</v>
      </c>
      <c r="AK198" t="n">
        <v>196</v>
      </c>
      <c r="AL198" t="n">
        <v>195</v>
      </c>
      <c r="AM198" t="n">
        <v>4806.62</v>
      </c>
      <c r="AN198" t="n">
        <v>4765.1873</v>
      </c>
      <c r="AO198" t="n">
        <v>41.4327</v>
      </c>
      <c r="AP198" t="n">
        <v>1716.6661</v>
      </c>
      <c r="AQ198" t="n">
        <v>1.63623</v>
      </c>
      <c r="AR198" t="n">
        <v>1.928083</v>
      </c>
      <c r="AY198" t="n">
        <v>196</v>
      </c>
      <c r="AZ198" t="n">
        <v>195</v>
      </c>
      <c r="BA198" t="n">
        <v>4806.62</v>
      </c>
      <c r="BB198" t="n">
        <v>4765.1873</v>
      </c>
      <c r="BC198" t="n">
        <v>41.4327</v>
      </c>
      <c r="BD198" t="n">
        <v>1716.6661</v>
      </c>
      <c r="BE198" t="n">
        <v>38025</v>
      </c>
    </row>
    <row r="199">
      <c r="A199" t="n">
        <v>1776708002</v>
      </c>
      <c r="B199" t="inlineStr">
        <is>
          <t>XAUUSD</t>
        </is>
      </c>
      <c r="C199" t="inlineStr">
        <is>
          <t>M15</t>
        </is>
      </c>
      <c r="D199" t="n">
        <v>4815.51</v>
      </c>
      <c r="E199" t="n">
        <v>4518.59282</v>
      </c>
      <c r="F199" t="n">
        <v>4596.05595</v>
      </c>
      <c r="G199" t="n">
        <v>4755.40355</v>
      </c>
      <c r="H199" t="n">
        <v>4792.76972</v>
      </c>
      <c r="Q199" t="n">
        <v>4764.91973</v>
      </c>
      <c r="R199" t="n">
        <v>4794.28302</v>
      </c>
      <c r="S199" t="n">
        <v>4820.8718</v>
      </c>
      <c r="V199" t="n">
        <v>4729.97996</v>
      </c>
      <c r="W199" t="n">
        <v>4696.41496</v>
      </c>
      <c r="AB199" t="n">
        <v>4813.65439</v>
      </c>
      <c r="AC199" t="n">
        <v>4812.09584</v>
      </c>
      <c r="AD199" t="n">
        <v>0</v>
      </c>
      <c r="AK199" t="n">
        <v>197</v>
      </c>
      <c r="AL199" t="n">
        <v>196</v>
      </c>
      <c r="AM199" t="n">
        <v>4815.51</v>
      </c>
      <c r="AN199" t="n">
        <v>4764.9197</v>
      </c>
      <c r="AO199" t="n">
        <v>50.5903</v>
      </c>
      <c r="AP199" t="n">
        <v>2559.3754</v>
      </c>
      <c r="AQ199" t="n">
        <v>2.97863</v>
      </c>
      <c r="AR199" t="n">
        <v>4.285703</v>
      </c>
      <c r="AY199" t="n">
        <v>197</v>
      </c>
      <c r="AZ199" t="n">
        <v>196</v>
      </c>
      <c r="BA199" t="n">
        <v>4815.51</v>
      </c>
      <c r="BB199" t="n">
        <v>4764.9197</v>
      </c>
      <c r="BC199" t="n">
        <v>50.5903</v>
      </c>
      <c r="BD199" t="n">
        <v>2559.3754</v>
      </c>
      <c r="BE199" t="n">
        <v>38416</v>
      </c>
    </row>
    <row r="200">
      <c r="A200" t="n">
        <v>1776708902</v>
      </c>
      <c r="B200" t="inlineStr">
        <is>
          <t>XAUUSD</t>
        </is>
      </c>
      <c r="C200" t="inlineStr">
        <is>
          <t>M15</t>
        </is>
      </c>
      <c r="D200" t="n">
        <v>4813.5</v>
      </c>
      <c r="E200" t="n">
        <v>4518.59282</v>
      </c>
      <c r="F200" t="n">
        <v>4596.05595</v>
      </c>
      <c r="G200" t="n">
        <v>4755.40355</v>
      </c>
      <c r="H200" t="n">
        <v>4792.76972</v>
      </c>
      <c r="Q200" t="n">
        <v>4764.65212</v>
      </c>
      <c r="R200" t="n">
        <v>4794.01542</v>
      </c>
      <c r="S200" t="n">
        <v>4820.60419</v>
      </c>
      <c r="V200" t="n">
        <v>4729.71235</v>
      </c>
      <c r="W200" t="n">
        <v>4696.14735</v>
      </c>
      <c r="AB200" t="n">
        <v>4814.42225</v>
      </c>
      <c r="AC200" t="n">
        <v>4813.25905</v>
      </c>
      <c r="AD200" t="n">
        <v>0</v>
      </c>
      <c r="AK200" t="n">
        <v>198</v>
      </c>
      <c r="AL200" t="n">
        <v>197</v>
      </c>
      <c r="AM200" t="n">
        <v>4813.5</v>
      </c>
      <c r="AN200" t="n">
        <v>4764.6521</v>
      </c>
      <c r="AO200" t="n">
        <v>48.8479</v>
      </c>
      <c r="AP200" t="n">
        <v>2386.1154</v>
      </c>
      <c r="AQ200" t="n">
        <v>2.681345</v>
      </c>
      <c r="AR200" t="n">
        <v>3.725092</v>
      </c>
      <c r="AY200" t="n">
        <v>198</v>
      </c>
      <c r="AZ200" t="n">
        <v>197</v>
      </c>
      <c r="BA200" t="n">
        <v>4813.5</v>
      </c>
      <c r="BB200" t="n">
        <v>4764.6521</v>
      </c>
      <c r="BC200" t="n">
        <v>48.8479</v>
      </c>
      <c r="BD200" t="n">
        <v>2386.1154</v>
      </c>
      <c r="BE200" t="n">
        <v>38809</v>
      </c>
    </row>
    <row r="201">
      <c r="A201" t="n">
        <v>1776709802</v>
      </c>
      <c r="B201" t="inlineStr">
        <is>
          <t>XAUUSD</t>
        </is>
      </c>
      <c r="C201" t="inlineStr">
        <is>
          <t>M15</t>
        </is>
      </c>
      <c r="D201" t="n">
        <v>4814.44</v>
      </c>
      <c r="E201" t="n">
        <v>4518.59282</v>
      </c>
      <c r="F201" t="n">
        <v>4596.05595</v>
      </c>
      <c r="G201" t="n">
        <v>4755.40355</v>
      </c>
      <c r="H201" t="n">
        <v>4792.76972</v>
      </c>
      <c r="Q201" t="n">
        <v>4764.38452</v>
      </c>
      <c r="R201" t="n">
        <v>4793.74782</v>
      </c>
      <c r="S201" t="n">
        <v>4820.33659</v>
      </c>
      <c r="V201" t="n">
        <v>4729.44475</v>
      </c>
      <c r="W201" t="n">
        <v>4695.87975</v>
      </c>
      <c r="AB201" t="n">
        <v>4814.75207</v>
      </c>
      <c r="AC201" t="n">
        <v>4814.00556</v>
      </c>
      <c r="AD201" t="n">
        <v>0</v>
      </c>
      <c r="AK201" t="n">
        <v>199</v>
      </c>
      <c r="AL201" t="n">
        <v>198</v>
      </c>
      <c r="AM201" t="n">
        <v>4814.44</v>
      </c>
      <c r="AN201" t="n">
        <v>4764.3845</v>
      </c>
      <c r="AO201" t="n">
        <v>50.0555</v>
      </c>
      <c r="AP201" t="n">
        <v>2505.5511</v>
      </c>
      <c r="AQ201" t="n">
        <v>2.885164</v>
      </c>
      <c r="AR201" t="n">
        <v>4.10734</v>
      </c>
      <c r="AY201" t="n">
        <v>199</v>
      </c>
      <c r="AZ201" t="n">
        <v>198</v>
      </c>
      <c r="BA201" t="n">
        <v>4814.44</v>
      </c>
      <c r="BB201" t="n">
        <v>4764.3845</v>
      </c>
      <c r="BC201" t="n">
        <v>50.0555</v>
      </c>
      <c r="BD201" t="n">
        <v>2505.5511</v>
      </c>
      <c r="BE201" t="n">
        <v>39204</v>
      </c>
    </row>
    <row r="202">
      <c r="A202" t="n">
        <v>1776710702</v>
      </c>
      <c r="B202" t="inlineStr">
        <is>
          <t>XAUUSD</t>
        </is>
      </c>
      <c r="C202" t="inlineStr">
        <is>
          <t>M15</t>
        </is>
      </c>
      <c r="D202" t="n">
        <v>4814.05</v>
      </c>
      <c r="E202" t="n">
        <v>4518.59282</v>
      </c>
      <c r="F202" t="n">
        <v>4596.05595</v>
      </c>
      <c r="G202" t="n">
        <v>4755.40355</v>
      </c>
      <c r="H202" t="n">
        <v>4792.76972</v>
      </c>
      <c r="Q202" t="n">
        <v>4764.11691</v>
      </c>
      <c r="R202" t="n">
        <v>4793.48021</v>
      </c>
      <c r="S202" t="n">
        <v>4820.06898</v>
      </c>
      <c r="V202" t="n">
        <v>4729.17714</v>
      </c>
      <c r="W202" t="n">
        <v>4695.61215</v>
      </c>
      <c r="AB202" t="n">
        <v>4814.76</v>
      </c>
      <c r="AC202" t="n">
        <v>4814.38278</v>
      </c>
      <c r="AD202" t="n">
        <v>0</v>
      </c>
      <c r="AK202" t="n">
        <v>200</v>
      </c>
      <c r="AL202" t="n">
        <v>199</v>
      </c>
      <c r="AM202" t="n">
        <v>4814.05</v>
      </c>
      <c r="AN202" t="n">
        <v>4764.1169</v>
      </c>
      <c r="AO202" t="n">
        <v>49.9331</v>
      </c>
      <c r="AP202" t="n">
        <v>2493.3135</v>
      </c>
      <c r="AQ202" t="n">
        <v>2.864052</v>
      </c>
      <c r="AR202" t="n">
        <v>4.067316</v>
      </c>
      <c r="AY202" t="n">
        <v>200</v>
      </c>
      <c r="AZ202" t="n">
        <v>199</v>
      </c>
      <c r="BA202" t="n">
        <v>4814.05</v>
      </c>
      <c r="BB202" t="n">
        <v>4764.1169</v>
      </c>
      <c r="BC202" t="n">
        <v>49.9331</v>
      </c>
      <c r="BD202" t="n">
        <v>2493.3135</v>
      </c>
      <c r="BE202" t="n">
        <v>39601</v>
      </c>
    </row>
    <row r="203">
      <c r="A203" t="n">
        <v>1776711602</v>
      </c>
      <c r="B203" t="inlineStr">
        <is>
          <t>XAUUSD</t>
        </is>
      </c>
      <c r="C203" t="inlineStr">
        <is>
          <t>M15</t>
        </is>
      </c>
      <c r="D203" t="n">
        <v>4820.26</v>
      </c>
      <c r="E203" t="n">
        <v>4518.59282</v>
      </c>
      <c r="F203" t="n">
        <v>4596.05595</v>
      </c>
      <c r="G203" t="n">
        <v>4755.40355</v>
      </c>
      <c r="H203" t="n">
        <v>4792.76972</v>
      </c>
      <c r="Q203" t="n">
        <v>4763.84931</v>
      </c>
      <c r="R203" t="n">
        <v>4793.21261</v>
      </c>
      <c r="S203" t="n">
        <v>4819.80138</v>
      </c>
      <c r="V203" t="n">
        <v>4728.90954</v>
      </c>
      <c r="W203" t="n">
        <v>4695.34454</v>
      </c>
      <c r="AB203" t="n">
        <v>4814.62487</v>
      </c>
      <c r="AC203" t="n">
        <v>4814.50382</v>
      </c>
      <c r="AD203" t="n">
        <v>0</v>
      </c>
      <c r="AK203" t="n">
        <v>201</v>
      </c>
      <c r="AL203" t="n">
        <v>200</v>
      </c>
      <c r="AM203" t="n">
        <v>4820.26</v>
      </c>
      <c r="AN203" t="n">
        <v>4763.8493</v>
      </c>
      <c r="AO203" t="n">
        <v>56.4107</v>
      </c>
      <c r="AP203" t="n">
        <v>3182.1659</v>
      </c>
      <c r="AQ203" t="n">
        <v>4.129522</v>
      </c>
      <c r="AR203" t="n">
        <v>6.625212</v>
      </c>
      <c r="AY203" t="n">
        <v>201</v>
      </c>
      <c r="AZ203" t="n">
        <v>200</v>
      </c>
      <c r="BA203" t="n">
        <v>4820.26</v>
      </c>
      <c r="BB203" t="n">
        <v>4763.8493</v>
      </c>
      <c r="BC203" t="n">
        <v>56.4107</v>
      </c>
      <c r="BD203" t="n">
        <v>3182.1659</v>
      </c>
      <c r="BE203" t="n">
        <v>40000</v>
      </c>
    </row>
    <row r="204">
      <c r="A204" t="n">
        <v>1776712502</v>
      </c>
      <c r="B204" t="inlineStr">
        <is>
          <t>XAUUSD</t>
        </is>
      </c>
      <c r="C204" t="inlineStr">
        <is>
          <t>M15</t>
        </is>
      </c>
      <c r="D204" t="n">
        <v>4817.26</v>
      </c>
      <c r="E204" t="n">
        <v>4518.59282</v>
      </c>
      <c r="F204" t="n">
        <v>4596.05595</v>
      </c>
      <c r="G204" t="n">
        <v>4755.40355</v>
      </c>
      <c r="H204" t="n">
        <v>4792.76972</v>
      </c>
      <c r="Q204" t="n">
        <v>4763.5817</v>
      </c>
      <c r="R204" t="n">
        <v>4792.945</v>
      </c>
      <c r="S204" t="n">
        <v>4819.53377</v>
      </c>
      <c r="V204" t="n">
        <v>4728.64193</v>
      </c>
      <c r="W204" t="n">
        <v>4695.07694</v>
      </c>
      <c r="AB204" t="n">
        <v>4814.364</v>
      </c>
      <c r="AC204" t="n">
        <v>4814.43391</v>
      </c>
      <c r="AD204" t="n">
        <v>1</v>
      </c>
      <c r="AK204" t="n">
        <v>202</v>
      </c>
      <c r="AL204" t="n">
        <v>201</v>
      </c>
      <c r="AM204" t="n">
        <v>4817.26</v>
      </c>
      <c r="AN204" t="n">
        <v>4763.5817</v>
      </c>
      <c r="AO204" t="n">
        <v>53.6783</v>
      </c>
      <c r="AP204" t="n">
        <v>2881.3599</v>
      </c>
      <c r="AQ204" t="n">
        <v>3.558048</v>
      </c>
      <c r="AR204" t="n">
        <v>5.431867</v>
      </c>
      <c r="AY204" t="n">
        <v>202</v>
      </c>
      <c r="AZ204" t="n">
        <v>201</v>
      </c>
      <c r="BA204" t="n">
        <v>4817.26</v>
      </c>
      <c r="BB204" t="n">
        <v>4763.5817</v>
      </c>
      <c r="BC204" t="n">
        <v>53.6783</v>
      </c>
      <c r="BD204" t="n">
        <v>2881.3599</v>
      </c>
      <c r="BE204" t="n">
        <v>40401</v>
      </c>
    </row>
    <row r="205">
      <c r="A205" t="n">
        <v>1776713402</v>
      </c>
      <c r="B205" t="inlineStr">
        <is>
          <t>XAUUSD</t>
        </is>
      </c>
      <c r="C205" t="inlineStr">
        <is>
          <t>M15</t>
        </is>
      </c>
      <c r="D205" t="n">
        <v>4811.66</v>
      </c>
      <c r="E205" t="n">
        <v>4518.59282</v>
      </c>
      <c r="F205" t="n">
        <v>4596.05595</v>
      </c>
      <c r="G205" t="n">
        <v>4755.40355</v>
      </c>
      <c r="H205" t="n">
        <v>4792.76972</v>
      </c>
      <c r="Q205" t="n">
        <v>4763.3141</v>
      </c>
      <c r="R205" t="n">
        <v>4792.6774</v>
      </c>
      <c r="S205" t="n">
        <v>4819.26617</v>
      </c>
      <c r="V205" t="n">
        <v>4728.37433</v>
      </c>
      <c r="W205" t="n">
        <v>4694.80933</v>
      </c>
      <c r="AB205" t="n">
        <v>4814.24508</v>
      </c>
      <c r="AC205" t="n">
        <v>4814.3395</v>
      </c>
      <c r="AD205" t="n">
        <v>0</v>
      </c>
      <c r="AK205" t="n">
        <v>203</v>
      </c>
      <c r="AL205" t="n">
        <v>202</v>
      </c>
      <c r="AM205" t="n">
        <v>4811.66</v>
      </c>
      <c r="AN205" t="n">
        <v>4763.3141</v>
      </c>
      <c r="AO205" t="n">
        <v>48.3459</v>
      </c>
      <c r="AP205" t="n">
        <v>2337.326</v>
      </c>
      <c r="AQ205" t="n">
        <v>2.599528</v>
      </c>
      <c r="AR205" t="n">
        <v>3.574314</v>
      </c>
      <c r="AY205" t="n">
        <v>203</v>
      </c>
      <c r="AZ205" t="n">
        <v>202</v>
      </c>
      <c r="BA205" t="n">
        <v>4811.66</v>
      </c>
      <c r="BB205" t="n">
        <v>4763.3141</v>
      </c>
      <c r="BC205" t="n">
        <v>48.3459</v>
      </c>
      <c r="BD205" t="n">
        <v>2337.326</v>
      </c>
      <c r="BE205" t="n">
        <v>40804</v>
      </c>
    </row>
    <row r="206">
      <c r="A206" t="n">
        <v>1776714302</v>
      </c>
      <c r="B206" t="inlineStr">
        <is>
          <t>XAUUSD</t>
        </is>
      </c>
      <c r="C206" t="inlineStr">
        <is>
          <t>M15</t>
        </is>
      </c>
      <c r="D206" t="n">
        <v>4814.24</v>
      </c>
      <c r="E206" t="n">
        <v>4518.59282</v>
      </c>
      <c r="F206" t="n">
        <v>4596.05595</v>
      </c>
      <c r="G206" t="n">
        <v>4755.40355</v>
      </c>
      <c r="H206" t="n">
        <v>4792.76972</v>
      </c>
      <c r="Q206" t="n">
        <v>4763.0465</v>
      </c>
      <c r="R206" t="n">
        <v>4792.4098</v>
      </c>
      <c r="S206" t="n">
        <v>4818.99857</v>
      </c>
      <c r="V206" t="n">
        <v>4728.10673</v>
      </c>
      <c r="W206" t="n">
        <v>4694.54173</v>
      </c>
      <c r="AB206" t="n">
        <v>4814.63707</v>
      </c>
      <c r="AC206" t="n">
        <v>4814.48828</v>
      </c>
      <c r="AD206" t="n">
        <v>1</v>
      </c>
      <c r="AK206" t="n">
        <v>204</v>
      </c>
      <c r="AL206" t="n">
        <v>203</v>
      </c>
      <c r="AM206" t="n">
        <v>4814.24</v>
      </c>
      <c r="AN206" t="n">
        <v>4763.0465</v>
      </c>
      <c r="AO206" t="n">
        <v>51.1935</v>
      </c>
      <c r="AP206" t="n">
        <v>2620.7744</v>
      </c>
      <c r="AQ206" t="n">
        <v>3.086456</v>
      </c>
      <c r="AR206" t="n">
        <v>4.493797</v>
      </c>
      <c r="AY206" t="n">
        <v>204</v>
      </c>
      <c r="AZ206" t="n">
        <v>203</v>
      </c>
      <c r="BA206" t="n">
        <v>4814.24</v>
      </c>
      <c r="BB206" t="n">
        <v>4763.0465</v>
      </c>
      <c r="BC206" t="n">
        <v>51.1935</v>
      </c>
      <c r="BD206" t="n">
        <v>2620.7744</v>
      </c>
      <c r="BE206" t="n">
        <v>41209</v>
      </c>
    </row>
    <row r="207">
      <c r="A207" t="n">
        <v>1776715202</v>
      </c>
      <c r="B207" t="inlineStr">
        <is>
          <t>XAUUSD</t>
        </is>
      </c>
      <c r="C207" t="inlineStr">
        <is>
          <t>M15</t>
        </is>
      </c>
      <c r="D207" t="n">
        <v>4813.42</v>
      </c>
      <c r="E207" t="n">
        <v>4518.59282</v>
      </c>
      <c r="F207" t="n">
        <v>4596.05595</v>
      </c>
      <c r="G207" t="n">
        <v>4755.40355</v>
      </c>
      <c r="H207" t="n">
        <v>4792.76972</v>
      </c>
      <c r="Q207" t="n">
        <v>4762.77889</v>
      </c>
      <c r="R207" t="n">
        <v>4792.14219</v>
      </c>
      <c r="S207" t="n">
        <v>4818.73096</v>
      </c>
      <c r="V207" t="n">
        <v>4727.83912</v>
      </c>
      <c r="W207" t="n">
        <v>4694.27413</v>
      </c>
      <c r="AB207" t="n">
        <v>4815.63318</v>
      </c>
      <c r="AC207" t="n">
        <v>4815.06073</v>
      </c>
      <c r="AD207" t="n">
        <v>0</v>
      </c>
      <c r="AK207" t="n">
        <v>205</v>
      </c>
      <c r="AL207" t="n">
        <v>204</v>
      </c>
      <c r="AM207" t="n">
        <v>4813.42</v>
      </c>
      <c r="AN207" t="n">
        <v>4762.7789</v>
      </c>
      <c r="AO207" t="n">
        <v>50.6411</v>
      </c>
      <c r="AP207" t="n">
        <v>2564.522</v>
      </c>
      <c r="AQ207" t="n">
        <v>2.987619</v>
      </c>
      <c r="AR207" t="n">
        <v>4.302957</v>
      </c>
      <c r="AY207" t="n">
        <v>205</v>
      </c>
      <c r="AZ207" t="n">
        <v>204</v>
      </c>
      <c r="BA207" t="n">
        <v>4813.42</v>
      </c>
      <c r="BB207" t="n">
        <v>4762.7789</v>
      </c>
      <c r="BC207" t="n">
        <v>50.6411</v>
      </c>
      <c r="BD207" t="n">
        <v>2564.522</v>
      </c>
      <c r="BE207" t="n">
        <v>41616</v>
      </c>
    </row>
    <row r="208">
      <c r="A208" t="n">
        <v>1776716102</v>
      </c>
      <c r="B208" t="inlineStr">
        <is>
          <t>XAUUSD</t>
        </is>
      </c>
      <c r="C208" t="inlineStr">
        <is>
          <t>M15</t>
        </is>
      </c>
      <c r="D208" t="n">
        <v>4815.85</v>
      </c>
      <c r="E208" t="n">
        <v>4518.59282</v>
      </c>
      <c r="F208" t="n">
        <v>4596.05595</v>
      </c>
      <c r="G208" t="n">
        <v>4755.40355</v>
      </c>
      <c r="H208" t="n">
        <v>4792.76972</v>
      </c>
      <c r="Q208" t="n">
        <v>4762.51129</v>
      </c>
      <c r="R208" t="n">
        <v>4791.87459</v>
      </c>
      <c r="S208" t="n">
        <v>4818.46336</v>
      </c>
      <c r="V208" t="n">
        <v>4727.57152</v>
      </c>
      <c r="W208" t="n">
        <v>4694.00652</v>
      </c>
      <c r="AB208" t="n">
        <v>4817.30574</v>
      </c>
      <c r="AC208" t="n">
        <v>4816.18323</v>
      </c>
      <c r="AD208" t="n">
        <v>0</v>
      </c>
      <c r="AK208" t="n">
        <v>206</v>
      </c>
      <c r="AL208" t="n">
        <v>205</v>
      </c>
      <c r="AM208" t="n">
        <v>4815.85</v>
      </c>
      <c r="AN208" t="n">
        <v>4762.5113</v>
      </c>
      <c r="AO208" t="n">
        <v>53.3387</v>
      </c>
      <c r="AP208" t="n">
        <v>2845.018</v>
      </c>
      <c r="AQ208" t="n">
        <v>3.490946</v>
      </c>
      <c r="AR208" t="n">
        <v>5.295709</v>
      </c>
      <c r="AY208" t="n">
        <v>206</v>
      </c>
      <c r="AZ208" t="n">
        <v>205</v>
      </c>
      <c r="BA208" t="n">
        <v>4815.85</v>
      </c>
      <c r="BB208" t="n">
        <v>4762.5113</v>
      </c>
      <c r="BC208" t="n">
        <v>53.3387</v>
      </c>
      <c r="BD208" t="n">
        <v>2845.018</v>
      </c>
      <c r="BE208" t="n">
        <v>42025</v>
      </c>
    </row>
    <row r="209">
      <c r="A209" t="n">
        <v>1776717002</v>
      </c>
      <c r="B209" t="inlineStr">
        <is>
          <t>XAUUSD</t>
        </is>
      </c>
      <c r="C209" t="inlineStr">
        <is>
          <t>M15</t>
        </is>
      </c>
      <c r="D209" t="n">
        <v>4816.71</v>
      </c>
      <c r="E209" t="n">
        <v>4518.59282</v>
      </c>
      <c r="F209" t="n">
        <v>4596.05595</v>
      </c>
      <c r="G209" t="n">
        <v>4755.40355</v>
      </c>
      <c r="H209" t="n">
        <v>4792.76972</v>
      </c>
      <c r="Q209" t="n">
        <v>4762.24368</v>
      </c>
      <c r="R209" t="n">
        <v>4791.60698</v>
      </c>
      <c r="S209" t="n">
        <v>4818.19575</v>
      </c>
      <c r="V209" t="n">
        <v>4727.30391</v>
      </c>
      <c r="W209" t="n">
        <v>4693.73892</v>
      </c>
      <c r="AB209" t="n">
        <v>4819.52338</v>
      </c>
      <c r="AC209" t="n">
        <v>4817.85331</v>
      </c>
      <c r="AD209" t="n">
        <v>0</v>
      </c>
      <c r="AK209" t="n">
        <v>207</v>
      </c>
      <c r="AL209" t="n">
        <v>206</v>
      </c>
      <c r="AM209" t="n">
        <v>4816.71</v>
      </c>
      <c r="AN209" t="n">
        <v>4762.2437</v>
      </c>
      <c r="AO209" t="n">
        <v>54.4663</v>
      </c>
      <c r="AP209" t="n">
        <v>2966.58</v>
      </c>
      <c r="AQ209" t="n">
        <v>3.717061</v>
      </c>
      <c r="AR209" t="n">
        <v>5.757928</v>
      </c>
      <c r="AY209" t="n">
        <v>207</v>
      </c>
      <c r="AZ209" t="n">
        <v>206</v>
      </c>
      <c r="BA209" t="n">
        <v>4816.71</v>
      </c>
      <c r="BB209" t="n">
        <v>4762.2437</v>
      </c>
      <c r="BC209" t="n">
        <v>54.4663</v>
      </c>
      <c r="BD209" t="n">
        <v>2966.58</v>
      </c>
      <c r="BE209" t="n">
        <v>42436</v>
      </c>
    </row>
    <row r="210">
      <c r="A210" t="n">
        <v>1776717902</v>
      </c>
      <c r="B210" t="inlineStr">
        <is>
          <t>XAUUSD</t>
        </is>
      </c>
      <c r="C210" t="inlineStr">
        <is>
          <t>M15</t>
        </is>
      </c>
      <c r="D210" t="n">
        <v>4820.81</v>
      </c>
      <c r="E210" t="n">
        <v>4518.59282</v>
      </c>
      <c r="F210" t="n">
        <v>4596.05595</v>
      </c>
      <c r="G210" t="n">
        <v>4755.40355</v>
      </c>
      <c r="H210" t="n">
        <v>4792.76972</v>
      </c>
      <c r="Q210" t="n">
        <v>4761.97608</v>
      </c>
      <c r="R210" t="n">
        <v>4791.33938</v>
      </c>
      <c r="S210" t="n">
        <v>4817.92815</v>
      </c>
      <c r="V210" t="n">
        <v>4727.03631</v>
      </c>
      <c r="W210" t="n">
        <v>4693.47131</v>
      </c>
      <c r="AB210" t="n">
        <v>4822.05342</v>
      </c>
      <c r="AC210" t="n">
        <v>4819.95336</v>
      </c>
      <c r="AD210" t="n">
        <v>0</v>
      </c>
      <c r="AK210" t="n">
        <v>208</v>
      </c>
      <c r="AL210" t="n">
        <v>207</v>
      </c>
      <c r="AM210" t="n">
        <v>4820.81</v>
      </c>
      <c r="AN210" t="n">
        <v>4761.9761</v>
      </c>
      <c r="AO210" t="n">
        <v>58.8339</v>
      </c>
      <c r="AP210" t="n">
        <v>3461.4301</v>
      </c>
      <c r="AQ210" t="n">
        <v>4.684885</v>
      </c>
      <c r="AR210" t="n">
        <v>7.839083</v>
      </c>
      <c r="AY210" t="n">
        <v>208</v>
      </c>
      <c r="AZ210" t="n">
        <v>207</v>
      </c>
      <c r="BA210" t="n">
        <v>4820.81</v>
      </c>
      <c r="BB210" t="n">
        <v>4761.9761</v>
      </c>
      <c r="BC210" t="n">
        <v>58.8339</v>
      </c>
      <c r="BD210" t="n">
        <v>3461.4301</v>
      </c>
      <c r="BE210" t="n">
        <v>42849</v>
      </c>
    </row>
    <row r="211">
      <c r="A211" t="n">
        <v>1776722402</v>
      </c>
      <c r="B211" t="inlineStr">
        <is>
          <t>XAUUSD</t>
        </is>
      </c>
      <c r="C211" t="inlineStr">
        <is>
          <t>M15</t>
        </is>
      </c>
      <c r="D211" t="n">
        <v>4829.14</v>
      </c>
      <c r="E211" t="n">
        <v>4518.59282</v>
      </c>
      <c r="F211" t="n">
        <v>4596.05595</v>
      </c>
      <c r="G211" t="n">
        <v>4755.40355</v>
      </c>
      <c r="H211" t="n">
        <v>4792.76972</v>
      </c>
      <c r="Q211" t="n">
        <v>4761.70848</v>
      </c>
      <c r="R211" t="n">
        <v>4791.07178</v>
      </c>
      <c r="S211" t="n">
        <v>4817.66055</v>
      </c>
      <c r="V211" t="n">
        <v>4726.76871</v>
      </c>
      <c r="W211" t="n">
        <v>4693.20371</v>
      </c>
      <c r="AB211" t="n">
        <v>4824.51022</v>
      </c>
      <c r="AC211" t="n">
        <v>4822.23179</v>
      </c>
      <c r="AD211" t="n">
        <v>0</v>
      </c>
      <c r="AK211" t="n">
        <v>209</v>
      </c>
      <c r="AL211" t="n">
        <v>208</v>
      </c>
      <c r="AM211" t="n">
        <v>4829.14</v>
      </c>
      <c r="AN211" t="n">
        <v>4761.7085</v>
      </c>
      <c r="AO211" t="n">
        <v>67.4315</v>
      </c>
      <c r="AP211" t="n">
        <v>4547.0099</v>
      </c>
      <c r="AQ211" t="n">
        <v>7.053496</v>
      </c>
      <c r="AR211" t="n">
        <v>13.527138</v>
      </c>
      <c r="AY211" t="n">
        <v>209</v>
      </c>
      <c r="AZ211" t="n">
        <v>208</v>
      </c>
      <c r="BA211" t="n">
        <v>4829.14</v>
      </c>
      <c r="BB211" t="n">
        <v>4761.7085</v>
      </c>
      <c r="BC211" t="n">
        <v>67.4315</v>
      </c>
      <c r="BD211" t="n">
        <v>4547.0099</v>
      </c>
      <c r="BE211" t="n">
        <v>43264</v>
      </c>
    </row>
    <row r="212">
      <c r="A212" t="n">
        <v>1776723302</v>
      </c>
      <c r="B212" t="inlineStr">
        <is>
          <t>XAUUSD</t>
        </is>
      </c>
      <c r="C212" t="inlineStr">
        <is>
          <t>M15</t>
        </is>
      </c>
      <c r="D212" t="n">
        <v>4828.53</v>
      </c>
      <c r="E212" t="n">
        <v>4518.59282</v>
      </c>
      <c r="F212" t="n">
        <v>4596.05595</v>
      </c>
      <c r="G212" t="n">
        <v>4755.40355</v>
      </c>
      <c r="H212" t="n">
        <v>4792.76972</v>
      </c>
      <c r="Q212" t="n">
        <v>4761.44087</v>
      </c>
      <c r="R212" t="n">
        <v>4790.80417</v>
      </c>
      <c r="S212" t="n">
        <v>4817.39294</v>
      </c>
      <c r="V212" t="n">
        <v>4726.5011</v>
      </c>
      <c r="W212" t="n">
        <v>4692.93611</v>
      </c>
      <c r="Z212" t="n">
        <v>4833.25</v>
      </c>
      <c r="AB212" t="n">
        <v>4826.40474</v>
      </c>
      <c r="AC212" t="n">
        <v>4824.31827</v>
      </c>
      <c r="AD212" t="n">
        <v>0</v>
      </c>
      <c r="AK212" t="n">
        <v>210</v>
      </c>
      <c r="AL212" t="n">
        <v>209</v>
      </c>
      <c r="AM212" t="n">
        <v>4828.53</v>
      </c>
      <c r="AN212" t="n">
        <v>4761.4409</v>
      </c>
      <c r="AO212" t="n">
        <v>67.0891</v>
      </c>
      <c r="AP212" t="n">
        <v>4500.9514</v>
      </c>
      <c r="AQ212" t="n">
        <v>6.946596</v>
      </c>
      <c r="AR212" t="n">
        <v>13.254482</v>
      </c>
      <c r="AY212" t="n">
        <v>210</v>
      </c>
      <c r="AZ212" t="n">
        <v>209</v>
      </c>
      <c r="BA212" t="n">
        <v>4828.53</v>
      </c>
      <c r="BB212" t="n">
        <v>4761.4409</v>
      </c>
      <c r="BC212" t="n">
        <v>67.0891</v>
      </c>
      <c r="BD212" t="n">
        <v>4500.9514</v>
      </c>
      <c r="BE212" t="n">
        <v>43681</v>
      </c>
    </row>
    <row r="213">
      <c r="A213" t="n">
        <v>1776724202</v>
      </c>
      <c r="B213" t="inlineStr">
        <is>
          <t>XAUUSD</t>
        </is>
      </c>
      <c r="C213" t="inlineStr">
        <is>
          <t>M15</t>
        </is>
      </c>
      <c r="D213" t="n">
        <v>4830.44</v>
      </c>
      <c r="E213" t="n">
        <v>4518.59282</v>
      </c>
      <c r="F213" t="n">
        <v>4596.05595</v>
      </c>
      <c r="G213" t="n">
        <v>4755.40355</v>
      </c>
      <c r="H213" t="n">
        <v>4792.76972</v>
      </c>
      <c r="Q213" t="n">
        <v>4761.17327</v>
      </c>
      <c r="R213" t="n">
        <v>4790.53657</v>
      </c>
      <c r="S213" t="n">
        <v>4817.12534</v>
      </c>
      <c r="V213" t="n">
        <v>4726.2335</v>
      </c>
      <c r="W213" t="n">
        <v>4692.6685</v>
      </c>
      <c r="AB213" t="n">
        <v>4827.61595</v>
      </c>
      <c r="AC213" t="n">
        <v>4825.96711</v>
      </c>
      <c r="AD213" t="n">
        <v>0</v>
      </c>
      <c r="AK213" t="n">
        <v>211</v>
      </c>
      <c r="AL213" t="n">
        <v>210</v>
      </c>
      <c r="AM213" t="n">
        <v>4830.44</v>
      </c>
      <c r="AN213" t="n">
        <v>4761.1733</v>
      </c>
      <c r="AO213" t="n">
        <v>69.2667</v>
      </c>
      <c r="AP213" t="n">
        <v>4797.8799</v>
      </c>
      <c r="AQ213" t="n">
        <v>7.645214</v>
      </c>
      <c r="AR213" t="n">
        <v>15.060967</v>
      </c>
      <c r="AY213" t="n">
        <v>211</v>
      </c>
      <c r="AZ213" t="n">
        <v>210</v>
      </c>
      <c r="BA213" t="n">
        <v>4830.44</v>
      </c>
      <c r="BB213" t="n">
        <v>4761.1733</v>
      </c>
      <c r="BC213" t="n">
        <v>69.2667</v>
      </c>
      <c r="BD213" t="n">
        <v>4797.8799</v>
      </c>
      <c r="BE213" t="n">
        <v>44100</v>
      </c>
    </row>
    <row r="214">
      <c r="A214" t="n">
        <v>1776725102</v>
      </c>
      <c r="B214" t="inlineStr">
        <is>
          <t>XAUUSD</t>
        </is>
      </c>
      <c r="C214" t="inlineStr">
        <is>
          <t>M15</t>
        </is>
      </c>
      <c r="D214" t="n">
        <v>4827.62</v>
      </c>
      <c r="E214" t="n">
        <v>4518.59282</v>
      </c>
      <c r="F214" t="n">
        <v>4596.05595</v>
      </c>
      <c r="G214" t="n">
        <v>4755.40355</v>
      </c>
      <c r="H214" t="n">
        <v>4792.76972</v>
      </c>
      <c r="Q214" t="n">
        <v>4760.90566</v>
      </c>
      <c r="R214" t="n">
        <v>4790.26896</v>
      </c>
      <c r="S214" t="n">
        <v>4816.85773</v>
      </c>
      <c r="V214" t="n">
        <v>4725.96589</v>
      </c>
      <c r="W214" t="n">
        <v>4692.4009</v>
      </c>
      <c r="AB214" t="n">
        <v>4828.03821</v>
      </c>
      <c r="AC214" t="n">
        <v>4827.00266</v>
      </c>
      <c r="AD214" t="n">
        <v>0</v>
      </c>
      <c r="AK214" t="n">
        <v>212</v>
      </c>
      <c r="AL214" t="n">
        <v>211</v>
      </c>
      <c r="AM214" t="n">
        <v>4827.62</v>
      </c>
      <c r="AN214" t="n">
        <v>4760.9057</v>
      </c>
      <c r="AO214" t="n">
        <v>66.71429999999999</v>
      </c>
      <c r="AP214" t="n">
        <v>4450.8032</v>
      </c>
      <c r="AQ214" t="n">
        <v>6.830825</v>
      </c>
      <c r="AR214" t="n">
        <v>12.960773</v>
      </c>
      <c r="AY214" t="n">
        <v>212</v>
      </c>
      <c r="AZ214" t="n">
        <v>211</v>
      </c>
      <c r="BA214" t="n">
        <v>4827.62</v>
      </c>
      <c r="BB214" t="n">
        <v>4760.9057</v>
      </c>
      <c r="BC214" t="n">
        <v>66.71429999999999</v>
      </c>
      <c r="BD214" t="n">
        <v>4450.8032</v>
      </c>
      <c r="BE214" t="n">
        <v>44521</v>
      </c>
    </row>
    <row r="215">
      <c r="A215" t="n">
        <v>1776726002</v>
      </c>
      <c r="B215" t="inlineStr">
        <is>
          <t>XAUUSD</t>
        </is>
      </c>
      <c r="C215" t="inlineStr">
        <is>
          <t>M15</t>
        </is>
      </c>
      <c r="D215" t="n">
        <v>4825.77</v>
      </c>
      <c r="E215" t="n">
        <v>4518.59282</v>
      </c>
      <c r="F215" t="n">
        <v>4596.05595</v>
      </c>
      <c r="G215" t="n">
        <v>4755.40355</v>
      </c>
      <c r="H215" t="n">
        <v>4792.76972</v>
      </c>
      <c r="Q215" t="n">
        <v>4760.63806</v>
      </c>
      <c r="R215" t="n">
        <v>4790.00136</v>
      </c>
      <c r="S215" t="n">
        <v>4816.59013</v>
      </c>
      <c r="V215" t="n">
        <v>4725.69829</v>
      </c>
      <c r="W215" t="n">
        <v>4692.13329</v>
      </c>
      <c r="AB215" t="n">
        <v>4827.79621</v>
      </c>
      <c r="AC215" t="n">
        <v>4827.39944</v>
      </c>
      <c r="AD215" t="n">
        <v>0</v>
      </c>
      <c r="AK215" t="n">
        <v>213</v>
      </c>
      <c r="AL215" t="n">
        <v>212</v>
      </c>
      <c r="AM215" t="n">
        <v>4825.77</v>
      </c>
      <c r="AN215" t="n">
        <v>4760.6381</v>
      </c>
      <c r="AO215" t="n">
        <v>65.1319</v>
      </c>
      <c r="AP215" t="n">
        <v>4242.1696</v>
      </c>
      <c r="AQ215" t="n">
        <v>6.356201</v>
      </c>
      <c r="AR215" t="n">
        <v>11.774166</v>
      </c>
      <c r="AY215" t="n">
        <v>213</v>
      </c>
      <c r="AZ215" t="n">
        <v>212</v>
      </c>
      <c r="BA215" t="n">
        <v>4825.77</v>
      </c>
      <c r="BB215" t="n">
        <v>4760.6381</v>
      </c>
      <c r="BC215" t="n">
        <v>65.1319</v>
      </c>
      <c r="BD215" t="n">
        <v>4242.1696</v>
      </c>
      <c r="BE215" t="n">
        <v>44944</v>
      </c>
    </row>
    <row r="216">
      <c r="A216" t="n">
        <v>1776726902</v>
      </c>
      <c r="B216" t="inlineStr">
        <is>
          <t>XAUUSD</t>
        </is>
      </c>
      <c r="C216" t="inlineStr">
        <is>
          <t>M15</t>
        </is>
      </c>
      <c r="D216" t="n">
        <v>4825.84</v>
      </c>
      <c r="E216" t="n">
        <v>4518.59282</v>
      </c>
      <c r="F216" t="n">
        <v>4596.05595</v>
      </c>
      <c r="G216" t="n">
        <v>4755.40355</v>
      </c>
      <c r="H216" t="n">
        <v>4792.76972</v>
      </c>
      <c r="Q216" t="n">
        <v>4760.37046</v>
      </c>
      <c r="R216" t="n">
        <v>4789.73375</v>
      </c>
      <c r="S216" t="n">
        <v>4816.32253</v>
      </c>
      <c r="V216" t="n">
        <v>4725.43069</v>
      </c>
      <c r="W216" t="n">
        <v>4691.86569</v>
      </c>
      <c r="AB216" t="n">
        <v>4827.07491</v>
      </c>
      <c r="AC216" t="n">
        <v>4827.23717</v>
      </c>
      <c r="AD216" t="n">
        <v>1</v>
      </c>
      <c r="AK216" t="n">
        <v>214</v>
      </c>
      <c r="AL216" t="n">
        <v>213</v>
      </c>
      <c r="AM216" t="n">
        <v>4825.84</v>
      </c>
      <c r="AN216" t="n">
        <v>4760.3705</v>
      </c>
      <c r="AO216" t="n">
        <v>65.4695</v>
      </c>
      <c r="AP216" t="n">
        <v>4286.2607</v>
      </c>
      <c r="AQ216" t="n">
        <v>6.455553</v>
      </c>
      <c r="AR216" t="n">
        <v>12.020188</v>
      </c>
      <c r="AY216" t="n">
        <v>214</v>
      </c>
      <c r="AZ216" t="n">
        <v>213</v>
      </c>
      <c r="BA216" t="n">
        <v>4825.84</v>
      </c>
      <c r="BB216" t="n">
        <v>4760.3705</v>
      </c>
      <c r="BC216" t="n">
        <v>65.4695</v>
      </c>
      <c r="BD216" t="n">
        <v>4286.2607</v>
      </c>
      <c r="BE216" t="n">
        <v>45369</v>
      </c>
    </row>
    <row r="217">
      <c r="A217" t="n">
        <v>1776727802</v>
      </c>
      <c r="B217" t="inlineStr">
        <is>
          <t>XAUUSD</t>
        </is>
      </c>
      <c r="C217" t="inlineStr">
        <is>
          <t>M15</t>
        </is>
      </c>
      <c r="D217" t="n">
        <v>4824.16</v>
      </c>
      <c r="E217" t="n">
        <v>4518.59282</v>
      </c>
      <c r="F217" t="n">
        <v>4596.05595</v>
      </c>
      <c r="G217" t="n">
        <v>4755.40355</v>
      </c>
      <c r="H217" t="n">
        <v>4792.76972</v>
      </c>
      <c r="Q217" t="n">
        <v>4760.10285</v>
      </c>
      <c r="R217" t="n">
        <v>4789.46615</v>
      </c>
      <c r="S217" t="n">
        <v>4816.05492</v>
      </c>
      <c r="V217" t="n">
        <v>4725.16308</v>
      </c>
      <c r="W217" t="n">
        <v>4691.59809</v>
      </c>
      <c r="AB217" t="n">
        <v>4826.0394</v>
      </c>
      <c r="AC217" t="n">
        <v>4826.63829</v>
      </c>
      <c r="AD217" t="n">
        <v>0</v>
      </c>
      <c r="AK217" t="n">
        <v>215</v>
      </c>
      <c r="AL217" t="n">
        <v>214</v>
      </c>
      <c r="AM217" t="n">
        <v>4824.16</v>
      </c>
      <c r="AN217" t="n">
        <v>4760.1029</v>
      </c>
      <c r="AO217" t="n">
        <v>64.05710000000001</v>
      </c>
      <c r="AP217" t="n">
        <v>4103.3185</v>
      </c>
      <c r="AQ217" t="n">
        <v>6.0467</v>
      </c>
      <c r="AR217" t="n">
        <v>11.016016</v>
      </c>
      <c r="AY217" t="n">
        <v>215</v>
      </c>
      <c r="AZ217" t="n">
        <v>214</v>
      </c>
      <c r="BA217" t="n">
        <v>4824.16</v>
      </c>
      <c r="BB217" t="n">
        <v>4760.1029</v>
      </c>
      <c r="BC217" t="n">
        <v>64.05710000000001</v>
      </c>
      <c r="BD217" t="n">
        <v>4103.3185</v>
      </c>
      <c r="BE217" t="n">
        <v>45796</v>
      </c>
    </row>
    <row r="218">
      <c r="A218" t="n">
        <v>1776728702</v>
      </c>
      <c r="B218" t="inlineStr">
        <is>
          <t>XAUUSD</t>
        </is>
      </c>
      <c r="C218" t="inlineStr">
        <is>
          <t>M15</t>
        </is>
      </c>
      <c r="D218" t="n">
        <v>4821.76</v>
      </c>
      <c r="E218" t="n">
        <v>4518.59282</v>
      </c>
      <c r="F218" t="n">
        <v>4596.05595</v>
      </c>
      <c r="G218" t="n">
        <v>4755.40355</v>
      </c>
      <c r="H218" t="n">
        <v>4792.76972</v>
      </c>
      <c r="Q218" t="n">
        <v>4759.83525</v>
      </c>
      <c r="R218" t="n">
        <v>4789.19855</v>
      </c>
      <c r="S218" t="n">
        <v>4815.78732</v>
      </c>
      <c r="V218" t="n">
        <v>4724.89548</v>
      </c>
      <c r="W218" t="n">
        <v>4691.33048</v>
      </c>
      <c r="AB218" t="n">
        <v>4824.8706</v>
      </c>
      <c r="AC218" t="n">
        <v>4825.75444</v>
      </c>
      <c r="AD218" t="n">
        <v>0</v>
      </c>
      <c r="AK218" t="n">
        <v>216</v>
      </c>
      <c r="AL218" t="n">
        <v>215</v>
      </c>
      <c r="AM218" t="n">
        <v>4821.76</v>
      </c>
      <c r="AN218" t="n">
        <v>4759.8353</v>
      </c>
      <c r="AO218" t="n">
        <v>61.9248</v>
      </c>
      <c r="AP218" t="n">
        <v>3834.6747</v>
      </c>
      <c r="AQ218" t="n">
        <v>5.462713</v>
      </c>
      <c r="AR218" t="n">
        <v>9.620799</v>
      </c>
      <c r="AY218" t="n">
        <v>216</v>
      </c>
      <c r="AZ218" t="n">
        <v>215</v>
      </c>
      <c r="BA218" t="n">
        <v>4821.76</v>
      </c>
      <c r="BB218" t="n">
        <v>4759.8353</v>
      </c>
      <c r="BC218" t="n">
        <v>61.9248</v>
      </c>
      <c r="BD218" t="n">
        <v>3834.6747</v>
      </c>
      <c r="BE218" t="n">
        <v>46225</v>
      </c>
    </row>
    <row r="219">
      <c r="A219" t="n">
        <v>1776729602</v>
      </c>
      <c r="B219" t="inlineStr">
        <is>
          <t>XAUUSD</t>
        </is>
      </c>
      <c r="C219" t="inlineStr">
        <is>
          <t>M15</t>
        </is>
      </c>
      <c r="D219" t="n">
        <v>4828.53</v>
      </c>
      <c r="E219" t="n">
        <v>4518.59282</v>
      </c>
      <c r="F219" t="n">
        <v>4596.05595</v>
      </c>
      <c r="G219" t="n">
        <v>4755.40355</v>
      </c>
      <c r="H219" t="n">
        <v>4792.76972</v>
      </c>
      <c r="Q219" t="n">
        <v>4759.56764</v>
      </c>
      <c r="R219" t="n">
        <v>4788.93094</v>
      </c>
      <c r="S219" t="n">
        <v>4815.51971</v>
      </c>
      <c r="V219" t="n">
        <v>4724.62787</v>
      </c>
      <c r="W219" t="n">
        <v>4691.06288</v>
      </c>
      <c r="AB219" t="n">
        <v>4823.68968</v>
      </c>
      <c r="AC219" t="n">
        <v>4824.72206</v>
      </c>
      <c r="AD219" t="n">
        <v>0</v>
      </c>
      <c r="AK219" t="n">
        <v>217</v>
      </c>
      <c r="AL219" t="n">
        <v>216</v>
      </c>
      <c r="AM219" t="n">
        <v>4828.53</v>
      </c>
      <c r="AN219" t="n">
        <v>4759.5676</v>
      </c>
      <c r="AO219" t="n">
        <v>68.9624</v>
      </c>
      <c r="AP219" t="n">
        <v>4755.8071</v>
      </c>
      <c r="AQ219" t="n">
        <v>7.544873</v>
      </c>
      <c r="AR219" t="n">
        <v>14.797985</v>
      </c>
      <c r="AY219" t="n">
        <v>217</v>
      </c>
      <c r="AZ219" t="n">
        <v>216</v>
      </c>
      <c r="BA219" t="n">
        <v>4828.53</v>
      </c>
      <c r="BB219" t="n">
        <v>4759.5676</v>
      </c>
      <c r="BC219" t="n">
        <v>68.9624</v>
      </c>
      <c r="BD219" t="n">
        <v>4755.8071</v>
      </c>
      <c r="BE219" t="n">
        <v>46656</v>
      </c>
    </row>
    <row r="220">
      <c r="A220" t="n">
        <v>1776730502</v>
      </c>
      <c r="B220" t="inlineStr">
        <is>
          <t>XAUUSD</t>
        </is>
      </c>
      <c r="C220" t="inlineStr">
        <is>
          <t>M15</t>
        </is>
      </c>
      <c r="D220" t="n">
        <v>4819.92</v>
      </c>
      <c r="E220" t="n">
        <v>4518.59282</v>
      </c>
      <c r="F220" t="n">
        <v>4596.05595</v>
      </c>
      <c r="G220" t="n">
        <v>4755.40355</v>
      </c>
      <c r="H220" t="n">
        <v>4792.76972</v>
      </c>
      <c r="Q220" t="n">
        <v>4759.30004</v>
      </c>
      <c r="R220" t="n">
        <v>4788.66334</v>
      </c>
      <c r="S220" t="n">
        <v>4815.25211</v>
      </c>
      <c r="V220" t="n">
        <v>4724.36027</v>
      </c>
      <c r="W220" t="n">
        <v>4690.79527</v>
      </c>
      <c r="AB220" t="n">
        <v>4822.33583</v>
      </c>
      <c r="AC220" t="n">
        <v>4823.52895</v>
      </c>
      <c r="AD220" t="n">
        <v>0</v>
      </c>
      <c r="AK220" t="n">
        <v>218</v>
      </c>
      <c r="AL220" t="n">
        <v>217</v>
      </c>
      <c r="AM220" t="n">
        <v>4819.92</v>
      </c>
      <c r="AN220" t="n">
        <v>4759.3</v>
      </c>
      <c r="AO220" t="n">
        <v>60.62</v>
      </c>
      <c r="AP220" t="n">
        <v>3674.7796</v>
      </c>
      <c r="AQ220" t="n">
        <v>5.12463</v>
      </c>
      <c r="AR220" t="n">
        <v>8.835205999999999</v>
      </c>
      <c r="AY220" t="n">
        <v>218</v>
      </c>
      <c r="AZ220" t="n">
        <v>217</v>
      </c>
      <c r="BA220" t="n">
        <v>4819.92</v>
      </c>
      <c r="BB220" t="n">
        <v>4759.3</v>
      </c>
      <c r="BC220" t="n">
        <v>60.62</v>
      </c>
      <c r="BD220" t="n">
        <v>3674.7796</v>
      </c>
      <c r="BE220" t="n">
        <v>47089</v>
      </c>
    </row>
    <row r="221">
      <c r="A221" t="n">
        <v>1776731402</v>
      </c>
      <c r="B221" t="inlineStr">
        <is>
          <t>XAUUSD</t>
        </is>
      </c>
      <c r="C221" t="inlineStr">
        <is>
          <t>M15</t>
        </is>
      </c>
      <c r="D221" t="n">
        <v>4822.66</v>
      </c>
      <c r="E221" t="n">
        <v>4518.59282</v>
      </c>
      <c r="F221" t="n">
        <v>4596.05595</v>
      </c>
      <c r="G221" t="n">
        <v>4755.40355</v>
      </c>
      <c r="H221" t="n">
        <v>4792.76972</v>
      </c>
      <c r="Q221" t="n">
        <v>4759.03244</v>
      </c>
      <c r="R221" t="n">
        <v>4788.39573</v>
      </c>
      <c r="S221" t="n">
        <v>4814.98451</v>
      </c>
      <c r="V221" t="n">
        <v>4724.09267</v>
      </c>
      <c r="W221" t="n">
        <v>4690.52767</v>
      </c>
      <c r="AB221" t="n">
        <v>4821.02227</v>
      </c>
      <c r="AC221" t="n">
        <v>4822.27561</v>
      </c>
      <c r="AD221" t="n">
        <v>0</v>
      </c>
      <c r="AK221" t="n">
        <v>219</v>
      </c>
      <c r="AL221" t="n">
        <v>218</v>
      </c>
      <c r="AM221" t="n">
        <v>4822.66</v>
      </c>
      <c r="AN221" t="n">
        <v>4759.0324</v>
      </c>
      <c r="AO221" t="n">
        <v>63.6276</v>
      </c>
      <c r="AP221" t="n">
        <v>4048.4664</v>
      </c>
      <c r="AQ221" t="n">
        <v>5.92586</v>
      </c>
      <c r="AR221" t="n">
        <v>10.723466</v>
      </c>
      <c r="AY221" t="n">
        <v>219</v>
      </c>
      <c r="AZ221" t="n">
        <v>218</v>
      </c>
      <c r="BA221" t="n">
        <v>4822.66</v>
      </c>
      <c r="BB221" t="n">
        <v>4759.0324</v>
      </c>
      <c r="BC221" t="n">
        <v>63.6276</v>
      </c>
      <c r="BD221" t="n">
        <v>4048.4664</v>
      </c>
      <c r="BE221" t="n">
        <v>47524</v>
      </c>
    </row>
    <row r="222">
      <c r="A222" t="n">
        <v>1776732302</v>
      </c>
      <c r="B222" t="inlineStr">
        <is>
          <t>XAUUSD</t>
        </is>
      </c>
      <c r="C222" t="inlineStr">
        <is>
          <t>M15</t>
        </is>
      </c>
      <c r="D222" t="n">
        <v>4823.76</v>
      </c>
      <c r="E222" t="n">
        <v>4518.59282</v>
      </c>
      <c r="F222" t="n">
        <v>4596.05595</v>
      </c>
      <c r="G222" t="n">
        <v>4755.40355</v>
      </c>
      <c r="H222" t="n">
        <v>4792.76972</v>
      </c>
      <c r="Q222" t="n">
        <v>4758.76483</v>
      </c>
      <c r="R222" t="n">
        <v>4788.12813</v>
      </c>
      <c r="S222" t="n">
        <v>4814.7169</v>
      </c>
      <c r="V222" t="n">
        <v>4723.82506</v>
      </c>
      <c r="W222" t="n">
        <v>4690.26006</v>
      </c>
      <c r="AB222" t="n">
        <v>4819.62179</v>
      </c>
      <c r="AC222" t="n">
        <v>4820.9487</v>
      </c>
      <c r="AD222" t="n">
        <v>0</v>
      </c>
      <c r="AK222" t="n">
        <v>220</v>
      </c>
      <c r="AL222" t="n">
        <v>219</v>
      </c>
      <c r="AM222" t="n">
        <v>4823.76</v>
      </c>
      <c r="AN222" t="n">
        <v>4758.7648</v>
      </c>
      <c r="AO222" t="n">
        <v>64.9952</v>
      </c>
      <c r="AP222" t="n">
        <v>4224.3721</v>
      </c>
      <c r="AQ222" t="n">
        <v>6.316243</v>
      </c>
      <c r="AR222" t="n">
        <v>11.67558</v>
      </c>
      <c r="AY222" t="n">
        <v>220</v>
      </c>
      <c r="AZ222" t="n">
        <v>219</v>
      </c>
      <c r="BA222" t="n">
        <v>4823.76</v>
      </c>
      <c r="BB222" t="n">
        <v>4758.7648</v>
      </c>
      <c r="BC222" t="n">
        <v>64.9952</v>
      </c>
      <c r="BD222" t="n">
        <v>4224.3721</v>
      </c>
      <c r="BE222" t="n">
        <v>47961</v>
      </c>
    </row>
    <row r="223">
      <c r="A223" t="n">
        <v>1776733202</v>
      </c>
      <c r="B223" t="inlineStr">
        <is>
          <t>XAUUSD</t>
        </is>
      </c>
      <c r="C223" t="inlineStr">
        <is>
          <t>M15</t>
        </is>
      </c>
      <c r="D223" t="n">
        <v>4814.78</v>
      </c>
      <c r="E223" t="n">
        <v>4518.59282</v>
      </c>
      <c r="F223" t="n">
        <v>4596.05595</v>
      </c>
      <c r="G223" t="n">
        <v>4755.40355</v>
      </c>
      <c r="H223" t="n">
        <v>4792.76972</v>
      </c>
      <c r="Q223" t="n">
        <v>4758.49723</v>
      </c>
      <c r="R223" t="n">
        <v>4787.86053</v>
      </c>
      <c r="S223" t="n">
        <v>4814.4493</v>
      </c>
      <c r="V223" t="n">
        <v>4723.55746</v>
      </c>
      <c r="W223" t="n">
        <v>4689.99246</v>
      </c>
      <c r="AB223" t="n">
        <v>4817.98753</v>
      </c>
      <c r="AC223" t="n">
        <v>4819.46811</v>
      </c>
      <c r="AD223" t="n">
        <v>0</v>
      </c>
      <c r="AK223" t="n">
        <v>221</v>
      </c>
      <c r="AL223" t="n">
        <v>220</v>
      </c>
      <c r="AM223" t="n">
        <v>4814.78</v>
      </c>
      <c r="AN223" t="n">
        <v>4758.4972</v>
      </c>
      <c r="AO223" t="n">
        <v>56.2828</v>
      </c>
      <c r="AP223" t="n">
        <v>3167.7502</v>
      </c>
      <c r="AQ223" t="n">
        <v>4.101493</v>
      </c>
      <c r="AR223" t="n">
        <v>6.565321</v>
      </c>
      <c r="AY223" t="n">
        <v>221</v>
      </c>
      <c r="AZ223" t="n">
        <v>220</v>
      </c>
      <c r="BA223" t="n">
        <v>4814.78</v>
      </c>
      <c r="BB223" t="n">
        <v>4758.4972</v>
      </c>
      <c r="BC223" t="n">
        <v>56.2828</v>
      </c>
      <c r="BD223" t="n">
        <v>3167.7502</v>
      </c>
      <c r="BE223" t="n">
        <v>48400</v>
      </c>
    </row>
    <row r="224">
      <c r="A224" t="n">
        <v>1776734102</v>
      </c>
      <c r="B224" t="inlineStr">
        <is>
          <t>XAUUSD</t>
        </is>
      </c>
      <c r="C224" t="inlineStr">
        <is>
          <t>M15</t>
        </is>
      </c>
      <c r="D224" t="n">
        <v>4818.7</v>
      </c>
      <c r="E224" t="n">
        <v>4518.59282</v>
      </c>
      <c r="F224" t="n">
        <v>4596.05595</v>
      </c>
      <c r="G224" t="n">
        <v>4755.40355</v>
      </c>
      <c r="H224" t="n">
        <v>4792.76972</v>
      </c>
      <c r="Q224" t="n">
        <v>4758.22962</v>
      </c>
      <c r="R224" t="n">
        <v>4787.59292</v>
      </c>
      <c r="S224" t="n">
        <v>4814.18169</v>
      </c>
      <c r="V224" t="n">
        <v>4723.28985</v>
      </c>
      <c r="W224" t="n">
        <v>4689.72486</v>
      </c>
      <c r="AB224" t="n">
        <v>4816.27363</v>
      </c>
      <c r="AC224" t="n">
        <v>4817.87087</v>
      </c>
      <c r="AD224" t="n">
        <v>0</v>
      </c>
      <c r="AK224" t="n">
        <v>222</v>
      </c>
      <c r="AL224" t="n">
        <v>221</v>
      </c>
      <c r="AM224" t="n">
        <v>4818.7</v>
      </c>
      <c r="AN224" t="n">
        <v>4758.2296</v>
      </c>
      <c r="AO224" t="n">
        <v>60.4704</v>
      </c>
      <c r="AP224" t="n">
        <v>3656.6669</v>
      </c>
      <c r="AQ224" t="n">
        <v>5.086788</v>
      </c>
      <c r="AR224" t="n">
        <v>8.748324999999999</v>
      </c>
      <c r="AY224" t="n">
        <v>222</v>
      </c>
      <c r="AZ224" t="n">
        <v>221</v>
      </c>
      <c r="BA224" t="n">
        <v>4818.7</v>
      </c>
      <c r="BB224" t="n">
        <v>4758.2296</v>
      </c>
      <c r="BC224" t="n">
        <v>60.4704</v>
      </c>
      <c r="BD224" t="n">
        <v>3656.6669</v>
      </c>
      <c r="BE224" t="n">
        <v>48841</v>
      </c>
    </row>
    <row r="225">
      <c r="A225" t="n">
        <v>1776735002</v>
      </c>
      <c r="B225" t="inlineStr">
        <is>
          <t>XAUUSD</t>
        </is>
      </c>
      <c r="C225" t="inlineStr">
        <is>
          <t>M15</t>
        </is>
      </c>
      <c r="D225" t="n">
        <v>4813.59</v>
      </c>
      <c r="E225" t="n">
        <v>4518.59282</v>
      </c>
      <c r="F225" t="n">
        <v>4596.05595</v>
      </c>
      <c r="G225" t="n">
        <v>4755.40355</v>
      </c>
      <c r="H225" t="n">
        <v>4792.76972</v>
      </c>
      <c r="Q225" t="n">
        <v>4757.96202</v>
      </c>
      <c r="R225" t="n">
        <v>4787.32532</v>
      </c>
      <c r="S225" t="n">
        <v>4813.91409</v>
      </c>
      <c r="V225" t="n">
        <v>4723.02225</v>
      </c>
      <c r="W225" t="n">
        <v>4689.45725</v>
      </c>
      <c r="AB225" t="n">
        <v>4814.30994</v>
      </c>
      <c r="AC225" t="n">
        <v>4816.0904</v>
      </c>
      <c r="AD225" t="n">
        <v>0</v>
      </c>
      <c r="AK225" t="n">
        <v>223</v>
      </c>
      <c r="AL225" t="n">
        <v>222</v>
      </c>
      <c r="AM225" t="n">
        <v>4813.59</v>
      </c>
      <c r="AN225" t="n">
        <v>4757.962</v>
      </c>
      <c r="AO225" t="n">
        <v>55.628</v>
      </c>
      <c r="AP225" t="n">
        <v>3094.4722</v>
      </c>
      <c r="AQ225" t="n">
        <v>3.960002</v>
      </c>
      <c r="AR225" t="n">
        <v>6.265089</v>
      </c>
      <c r="AY225" t="n">
        <v>223</v>
      </c>
      <c r="AZ225" t="n">
        <v>222</v>
      </c>
      <c r="BA225" t="n">
        <v>4813.59</v>
      </c>
      <c r="BB225" t="n">
        <v>4757.962</v>
      </c>
      <c r="BC225" t="n">
        <v>55.628</v>
      </c>
      <c r="BD225" t="n">
        <v>3094.4722</v>
      </c>
      <c r="BE225" t="n">
        <v>49284</v>
      </c>
    </row>
    <row r="226">
      <c r="A226" t="n">
        <v>1776735902</v>
      </c>
      <c r="B226" t="inlineStr">
        <is>
          <t>XAUUSD</t>
        </is>
      </c>
      <c r="C226" t="inlineStr">
        <is>
          <t>M15</t>
        </is>
      </c>
      <c r="D226" t="n">
        <v>4810.06</v>
      </c>
      <c r="E226" t="n">
        <v>4518.59282</v>
      </c>
      <c r="F226" t="n">
        <v>4596.05595</v>
      </c>
      <c r="G226" t="n">
        <v>4755.40355</v>
      </c>
      <c r="H226" t="n">
        <v>4792.76972</v>
      </c>
      <c r="Q226" t="n">
        <v>4757.69441</v>
      </c>
      <c r="R226" t="n">
        <v>4787.05771</v>
      </c>
      <c r="S226" t="n">
        <v>4813.64648</v>
      </c>
      <c r="V226" t="n">
        <v>4722.75464</v>
      </c>
      <c r="W226" t="n">
        <v>4689.18965</v>
      </c>
      <c r="AB226" t="n">
        <v>4812.19078</v>
      </c>
      <c r="AC226" t="n">
        <v>4814.14059</v>
      </c>
      <c r="AD226" t="n">
        <v>0</v>
      </c>
      <c r="AK226" t="n">
        <v>224</v>
      </c>
      <c r="AL226" t="n">
        <v>223</v>
      </c>
      <c r="AM226" t="n">
        <v>4810.06</v>
      </c>
      <c r="AN226" t="n">
        <v>4757.6944</v>
      </c>
      <c r="AO226" t="n">
        <v>52.3656</v>
      </c>
      <c r="AP226" t="n">
        <v>2742.155</v>
      </c>
      <c r="AQ226" t="n">
        <v>3.303342</v>
      </c>
      <c r="AR226" t="n">
        <v>4.919694</v>
      </c>
      <c r="AY226" t="n">
        <v>224</v>
      </c>
      <c r="AZ226" t="n">
        <v>223</v>
      </c>
      <c r="BA226" t="n">
        <v>4810.06</v>
      </c>
      <c r="BB226" t="n">
        <v>4757.6944</v>
      </c>
      <c r="BC226" t="n">
        <v>52.3656</v>
      </c>
      <c r="BD226" t="n">
        <v>2742.155</v>
      </c>
      <c r="BE226" t="n">
        <v>49729</v>
      </c>
    </row>
    <row r="227">
      <c r="A227" t="n">
        <v>1776736802</v>
      </c>
      <c r="B227" t="inlineStr">
        <is>
          <t>XAUUSD</t>
        </is>
      </c>
      <c r="C227" t="inlineStr">
        <is>
          <t>M15</t>
        </is>
      </c>
      <c r="D227" t="n">
        <v>4807.3</v>
      </c>
      <c r="E227" t="n">
        <v>4518.59282</v>
      </c>
      <c r="F227" t="n">
        <v>4596.05595</v>
      </c>
      <c r="G227" t="n">
        <v>4755.40355</v>
      </c>
      <c r="H227" t="n">
        <v>4792.76972</v>
      </c>
      <c r="Q227" t="n">
        <v>4757.42681</v>
      </c>
      <c r="R227" t="n">
        <v>4786.79011</v>
      </c>
      <c r="S227" t="n">
        <v>4813.37888</v>
      </c>
      <c r="V227" t="n">
        <v>4722.48704</v>
      </c>
      <c r="W227" t="n">
        <v>4688.92204</v>
      </c>
      <c r="AB227" t="n">
        <v>4809.99548</v>
      </c>
      <c r="AC227" t="n">
        <v>4812.06803</v>
      </c>
      <c r="AD227" t="n">
        <v>0</v>
      </c>
      <c r="AK227" t="n">
        <v>225</v>
      </c>
      <c r="AL227" t="n">
        <v>224</v>
      </c>
      <c r="AM227" t="n">
        <v>4807.3</v>
      </c>
      <c r="AN227" t="n">
        <v>4757.4268</v>
      </c>
      <c r="AO227" t="n">
        <v>49.8732</v>
      </c>
      <c r="AP227" t="n">
        <v>2487.3351</v>
      </c>
      <c r="AQ227" t="n">
        <v>2.853757</v>
      </c>
      <c r="AR227" t="n">
        <v>4.047834</v>
      </c>
      <c r="AY227" t="n">
        <v>225</v>
      </c>
      <c r="AZ227" t="n">
        <v>224</v>
      </c>
      <c r="BA227" t="n">
        <v>4807.3</v>
      </c>
      <c r="BB227" t="n">
        <v>4757.4268</v>
      </c>
      <c r="BC227" t="n">
        <v>49.8732</v>
      </c>
      <c r="BD227" t="n">
        <v>2487.3351</v>
      </c>
      <c r="BE227" t="n">
        <v>50176</v>
      </c>
    </row>
    <row r="228">
      <c r="A228" t="n">
        <v>1776737702</v>
      </c>
      <c r="B228" t="inlineStr">
        <is>
          <t>XAUUSD</t>
        </is>
      </c>
      <c r="C228" t="inlineStr">
        <is>
          <t>M15</t>
        </is>
      </c>
      <c r="D228" t="n">
        <v>4807.73</v>
      </c>
      <c r="E228" t="n">
        <v>4518.59282</v>
      </c>
      <c r="F228" t="n">
        <v>4596.05595</v>
      </c>
      <c r="G228" t="n">
        <v>4755.40355</v>
      </c>
      <c r="H228" t="n">
        <v>4792.76972</v>
      </c>
      <c r="Q228" t="n">
        <v>4757.15921</v>
      </c>
      <c r="R228" t="n">
        <v>4786.52251</v>
      </c>
      <c r="S228" t="n">
        <v>4813.11128</v>
      </c>
      <c r="V228" t="n">
        <v>4722.21944</v>
      </c>
      <c r="W228" t="n">
        <v>4688.65444</v>
      </c>
      <c r="AB228" t="n">
        <v>4807.7812</v>
      </c>
      <c r="AC228" t="n">
        <v>4809.92462</v>
      </c>
      <c r="AD228" t="n">
        <v>0</v>
      </c>
      <c r="AK228" t="n">
        <v>226</v>
      </c>
      <c r="AL228" t="n">
        <v>225</v>
      </c>
      <c r="AM228" t="n">
        <v>4807.73</v>
      </c>
      <c r="AN228" t="n">
        <v>4757.1592</v>
      </c>
      <c r="AO228" t="n">
        <v>50.5708</v>
      </c>
      <c r="AP228" t="n">
        <v>2557.4048</v>
      </c>
      <c r="AQ228" t="n">
        <v>2.975191</v>
      </c>
      <c r="AR228" t="n">
        <v>4.279106</v>
      </c>
      <c r="AY228" t="n">
        <v>226</v>
      </c>
      <c r="AZ228" t="n">
        <v>225</v>
      </c>
      <c r="BA228" t="n">
        <v>4807.73</v>
      </c>
      <c r="BB228" t="n">
        <v>4757.1592</v>
      </c>
      <c r="BC228" t="n">
        <v>50.5708</v>
      </c>
      <c r="BD228" t="n">
        <v>2557.4048</v>
      </c>
      <c r="BE228" t="n">
        <v>50625</v>
      </c>
    </row>
    <row r="229">
      <c r="A229" t="n">
        <v>1776738602</v>
      </c>
      <c r="B229" t="inlineStr">
        <is>
          <t>XAUUSD</t>
        </is>
      </c>
      <c r="C229" t="inlineStr">
        <is>
          <t>M15</t>
        </is>
      </c>
      <c r="D229" t="n">
        <v>4806.61</v>
      </c>
      <c r="E229" t="n">
        <v>4518.59282</v>
      </c>
      <c r="F229" t="n">
        <v>4596.05595</v>
      </c>
      <c r="G229" t="n">
        <v>4755.40355</v>
      </c>
      <c r="H229" t="n">
        <v>4792.76972</v>
      </c>
      <c r="Q229" t="n">
        <v>4756.8916</v>
      </c>
      <c r="R229" t="n">
        <v>4786.2549</v>
      </c>
      <c r="S229" t="n">
        <v>4812.84367</v>
      </c>
      <c r="V229" t="n">
        <v>4721.95183</v>
      </c>
      <c r="W229" t="n">
        <v>4688.38684</v>
      </c>
      <c r="AB229" t="n">
        <v>4805.54048</v>
      </c>
      <c r="AC229" t="n">
        <v>4807.73255</v>
      </c>
      <c r="AD229" t="n">
        <v>0</v>
      </c>
      <c r="AK229" t="n">
        <v>227</v>
      </c>
      <c r="AL229" t="n">
        <v>226</v>
      </c>
      <c r="AM229" t="n">
        <v>4806.61</v>
      </c>
      <c r="AN229" t="n">
        <v>4756.8916</v>
      </c>
      <c r="AO229" t="n">
        <v>49.7184</v>
      </c>
      <c r="AP229" t="n">
        <v>2471.9193</v>
      </c>
      <c r="AQ229" t="n">
        <v>2.827268</v>
      </c>
      <c r="AR229" t="n">
        <v>3.997815</v>
      </c>
      <c r="AY229" t="n">
        <v>227</v>
      </c>
      <c r="AZ229" t="n">
        <v>226</v>
      </c>
      <c r="BA229" t="n">
        <v>4806.61</v>
      </c>
      <c r="BB229" t="n">
        <v>4756.8916</v>
      </c>
      <c r="BC229" t="n">
        <v>49.7184</v>
      </c>
      <c r="BD229" t="n">
        <v>2471.9193</v>
      </c>
      <c r="BE229" t="n">
        <v>51076</v>
      </c>
    </row>
    <row r="230">
      <c r="A230" t="n">
        <v>1776739502</v>
      </c>
      <c r="B230" t="inlineStr">
        <is>
          <t>XAUUSD</t>
        </is>
      </c>
      <c r="C230" t="inlineStr">
        <is>
          <t>M15</t>
        </is>
      </c>
      <c r="D230" t="n">
        <v>4806.9</v>
      </c>
      <c r="E230" t="n">
        <v>4518.59282</v>
      </c>
      <c r="F230" t="n">
        <v>4596.05595</v>
      </c>
      <c r="G230" t="n">
        <v>4755.40355</v>
      </c>
      <c r="H230" t="n">
        <v>4792.76972</v>
      </c>
      <c r="Q230" t="n">
        <v>4756.624</v>
      </c>
      <c r="R230" t="n">
        <v>4785.9873</v>
      </c>
      <c r="S230" t="n">
        <v>4812.57607</v>
      </c>
      <c r="V230" t="n">
        <v>4721.68423</v>
      </c>
      <c r="W230" t="n">
        <v>4688.11923</v>
      </c>
      <c r="AB230" t="n">
        <v>4803.28927</v>
      </c>
      <c r="AC230" t="n">
        <v>4805.51091</v>
      </c>
      <c r="AD230" t="n">
        <v>0</v>
      </c>
      <c r="AK230" t="n">
        <v>228</v>
      </c>
      <c r="AL230" t="n">
        <v>227</v>
      </c>
      <c r="AM230" t="n">
        <v>4806.9</v>
      </c>
      <c r="AN230" t="n">
        <v>4756.624</v>
      </c>
      <c r="AO230" t="n">
        <v>50.276</v>
      </c>
      <c r="AP230" t="n">
        <v>2527.6762</v>
      </c>
      <c r="AQ230" t="n">
        <v>2.923464</v>
      </c>
      <c r="AR230" t="n">
        <v>4.180199</v>
      </c>
      <c r="AY230" t="n">
        <v>228</v>
      </c>
      <c r="AZ230" t="n">
        <v>227</v>
      </c>
      <c r="BA230" t="n">
        <v>4806.9</v>
      </c>
      <c r="BB230" t="n">
        <v>4756.624</v>
      </c>
      <c r="BC230" t="n">
        <v>50.276</v>
      </c>
      <c r="BD230" t="n">
        <v>2527.6762</v>
      </c>
      <c r="BE230" t="n">
        <v>51529</v>
      </c>
    </row>
    <row r="231">
      <c r="A231" t="n">
        <v>1776740402</v>
      </c>
      <c r="B231" t="inlineStr">
        <is>
          <t>XAUUSD</t>
        </is>
      </c>
      <c r="C231" t="inlineStr">
        <is>
          <t>M15</t>
        </is>
      </c>
      <c r="D231" t="n">
        <v>4800.74</v>
      </c>
      <c r="E231" t="n">
        <v>4518.59282</v>
      </c>
      <c r="F231" t="n">
        <v>4596.05595</v>
      </c>
      <c r="G231" t="n">
        <v>4755.40355</v>
      </c>
      <c r="H231" t="n">
        <v>4792.76972</v>
      </c>
      <c r="Q231" t="n">
        <v>4756.35639</v>
      </c>
      <c r="R231" t="n">
        <v>4785.71969</v>
      </c>
      <c r="S231" t="n">
        <v>4812.30846</v>
      </c>
      <c r="V231" t="n">
        <v>4721.41662</v>
      </c>
      <c r="W231" t="n">
        <v>4687.85163</v>
      </c>
      <c r="AB231" t="n">
        <v>4801.03397</v>
      </c>
      <c r="AC231" t="n">
        <v>4803.27244</v>
      </c>
      <c r="AD231" t="n">
        <v>0</v>
      </c>
      <c r="AK231" t="n">
        <v>229</v>
      </c>
      <c r="AL231" t="n">
        <v>228</v>
      </c>
      <c r="AM231" t="n">
        <v>4800.74</v>
      </c>
      <c r="AN231" t="n">
        <v>4756.3564</v>
      </c>
      <c r="AO231" t="n">
        <v>44.3836</v>
      </c>
      <c r="AP231" t="n">
        <v>1969.9048</v>
      </c>
      <c r="AQ231" t="n">
        <v>2.011331</v>
      </c>
      <c r="AR231" t="n">
        <v>2.538894</v>
      </c>
      <c r="AY231" t="n">
        <v>229</v>
      </c>
      <c r="AZ231" t="n">
        <v>228</v>
      </c>
      <c r="BA231" t="n">
        <v>4800.74</v>
      </c>
      <c r="BB231" t="n">
        <v>4756.3564</v>
      </c>
      <c r="BC231" t="n">
        <v>44.3836</v>
      </c>
      <c r="BD231" t="n">
        <v>1969.9048</v>
      </c>
      <c r="BE231" t="n">
        <v>51984</v>
      </c>
    </row>
    <row r="232">
      <c r="A232" t="n">
        <v>1776741302</v>
      </c>
      <c r="B232" t="inlineStr">
        <is>
          <t>XAUUSD</t>
        </is>
      </c>
      <c r="C232" t="inlineStr">
        <is>
          <t>M15</t>
        </is>
      </c>
      <c r="D232" t="n">
        <v>4798.75</v>
      </c>
      <c r="E232" t="n">
        <v>4518.59282</v>
      </c>
      <c r="F232" t="n">
        <v>4596.05595</v>
      </c>
      <c r="G232" t="n">
        <v>4755.40355</v>
      </c>
      <c r="H232" t="n">
        <v>4792.76972</v>
      </c>
      <c r="Q232" t="n">
        <v>4756.08879</v>
      </c>
      <c r="R232" t="n">
        <v>4785.45209</v>
      </c>
      <c r="S232" t="n">
        <v>4812.04086</v>
      </c>
      <c r="V232" t="n">
        <v>4721.14902</v>
      </c>
      <c r="W232" t="n">
        <v>4687.58402</v>
      </c>
      <c r="AB232" t="n">
        <v>4798.959</v>
      </c>
      <c r="AC232" t="n">
        <v>4801.11572</v>
      </c>
      <c r="AD232" t="n">
        <v>0</v>
      </c>
      <c r="AK232" t="n">
        <v>230</v>
      </c>
      <c r="AL232" t="n">
        <v>229</v>
      </c>
      <c r="AM232" t="n">
        <v>4798.75</v>
      </c>
      <c r="AN232" t="n">
        <v>4756.0888</v>
      </c>
      <c r="AO232" t="n">
        <v>42.6612</v>
      </c>
      <c r="AP232" t="n">
        <v>1819.9788</v>
      </c>
      <c r="AQ232" t="n">
        <v>1.786138</v>
      </c>
      <c r="AR232" t="n">
        <v>2.167139</v>
      </c>
      <c r="AY232" t="n">
        <v>230</v>
      </c>
      <c r="AZ232" t="n">
        <v>229</v>
      </c>
      <c r="BA232" t="n">
        <v>4798.75</v>
      </c>
      <c r="BB232" t="n">
        <v>4756.0888</v>
      </c>
      <c r="BC232" t="n">
        <v>42.6612</v>
      </c>
      <c r="BD232" t="n">
        <v>1819.9788</v>
      </c>
      <c r="BE232" t="n">
        <v>52441</v>
      </c>
    </row>
    <row r="233">
      <c r="A233" t="n">
        <v>1776742202</v>
      </c>
      <c r="B233" t="inlineStr">
        <is>
          <t>XAUUSD</t>
        </is>
      </c>
      <c r="C233" t="inlineStr">
        <is>
          <t>M15</t>
        </is>
      </c>
      <c r="D233" t="n">
        <v>4795.2</v>
      </c>
      <c r="E233" t="n">
        <v>4518.59282</v>
      </c>
      <c r="F233" t="n">
        <v>4596.05595</v>
      </c>
      <c r="G233" t="n">
        <v>4755.40355</v>
      </c>
      <c r="H233" t="n">
        <v>4792.76972</v>
      </c>
      <c r="Q233" t="n">
        <v>4755.82119</v>
      </c>
      <c r="R233" t="n">
        <v>4785.18449</v>
      </c>
      <c r="S233" t="n">
        <v>4811.77326</v>
      </c>
      <c r="V233" t="n">
        <v>4720.88142</v>
      </c>
      <c r="W233" t="n">
        <v>4687.31642</v>
      </c>
      <c r="AB233" t="n">
        <v>4797.12518</v>
      </c>
      <c r="AC233" t="n">
        <v>4799.12045</v>
      </c>
      <c r="AD233" t="n">
        <v>0</v>
      </c>
      <c r="AK233" t="n">
        <v>231</v>
      </c>
      <c r="AL233" t="n">
        <v>230</v>
      </c>
      <c r="AM233" t="n">
        <v>4795.2</v>
      </c>
      <c r="AN233" t="n">
        <v>4755.8212</v>
      </c>
      <c r="AO233" t="n">
        <v>39.3788</v>
      </c>
      <c r="AP233" t="n">
        <v>1550.6907</v>
      </c>
      <c r="AQ233" t="n">
        <v>1.404764</v>
      </c>
      <c r="AR233" t="n">
        <v>1.573274</v>
      </c>
      <c r="AY233" t="n">
        <v>231</v>
      </c>
      <c r="AZ233" t="n">
        <v>230</v>
      </c>
      <c r="BA233" t="n">
        <v>4795.2</v>
      </c>
      <c r="BB233" t="n">
        <v>4755.8212</v>
      </c>
      <c r="BC233" t="n">
        <v>39.3788</v>
      </c>
      <c r="BD233" t="n">
        <v>1550.6907</v>
      </c>
      <c r="BE233" t="n">
        <v>52900</v>
      </c>
    </row>
    <row r="234">
      <c r="A234" t="n">
        <v>1776743102</v>
      </c>
      <c r="B234" t="inlineStr">
        <is>
          <t>XAUUSD</t>
        </is>
      </c>
      <c r="C234" t="inlineStr">
        <is>
          <t>M15</t>
        </is>
      </c>
      <c r="D234" t="n">
        <v>4797.36</v>
      </c>
      <c r="E234" t="n">
        <v>4518.59282</v>
      </c>
      <c r="F234" t="n">
        <v>4596.05595</v>
      </c>
      <c r="G234" t="n">
        <v>4755.40355</v>
      </c>
      <c r="H234" t="n">
        <v>4792.76972</v>
      </c>
      <c r="Q234" t="n">
        <v>4755.55358</v>
      </c>
      <c r="R234" t="n">
        <v>4784.91688</v>
      </c>
      <c r="S234" t="n">
        <v>4811.50565</v>
      </c>
      <c r="V234" t="n">
        <v>4720.61381</v>
      </c>
      <c r="W234" t="n">
        <v>4687.04882</v>
      </c>
      <c r="AB234" t="n">
        <v>4795.60858</v>
      </c>
      <c r="AC234" t="n">
        <v>4797.36451</v>
      </c>
      <c r="AD234" t="n">
        <v>0</v>
      </c>
      <c r="AK234" t="n">
        <v>232</v>
      </c>
      <c r="AL234" t="n">
        <v>231</v>
      </c>
      <c r="AM234" t="n">
        <v>4797.36</v>
      </c>
      <c r="AN234" t="n">
        <v>4755.5536</v>
      </c>
      <c r="AO234" t="n">
        <v>41.8064</v>
      </c>
      <c r="AP234" t="n">
        <v>1747.7768</v>
      </c>
      <c r="AQ234" t="n">
        <v>1.68091</v>
      </c>
      <c r="AR234" t="n">
        <v>1.998601</v>
      </c>
      <c r="AY234" t="n">
        <v>232</v>
      </c>
      <c r="AZ234" t="n">
        <v>231</v>
      </c>
      <c r="BA234" t="n">
        <v>4797.36</v>
      </c>
      <c r="BB234" t="n">
        <v>4755.5536</v>
      </c>
      <c r="BC234" t="n">
        <v>41.8064</v>
      </c>
      <c r="BD234" t="n">
        <v>1747.7768</v>
      </c>
      <c r="BE234" t="n">
        <v>53361</v>
      </c>
    </row>
    <row r="235">
      <c r="A235" t="n">
        <v>1776744002</v>
      </c>
      <c r="B235" t="inlineStr">
        <is>
          <t>XAUUSD</t>
        </is>
      </c>
      <c r="C235" t="inlineStr">
        <is>
          <t>M15</t>
        </is>
      </c>
      <c r="D235" t="n">
        <v>4794.24</v>
      </c>
      <c r="E235" t="n">
        <v>4518.59282</v>
      </c>
      <c r="F235" t="n">
        <v>4596.05595</v>
      </c>
      <c r="G235" t="n">
        <v>4755.40355</v>
      </c>
      <c r="H235" t="n">
        <v>4792.76972</v>
      </c>
      <c r="Q235" t="n">
        <v>4755.28598</v>
      </c>
      <c r="R235" t="n">
        <v>4784.64928</v>
      </c>
      <c r="S235" t="n">
        <v>4811.23805</v>
      </c>
      <c r="V235" t="n">
        <v>4720.34621</v>
      </c>
      <c r="W235" t="n">
        <v>4686.78121</v>
      </c>
      <c r="AB235" t="n">
        <v>4794.28785</v>
      </c>
      <c r="AC235" t="n">
        <v>4795.82618</v>
      </c>
      <c r="AD235" t="n">
        <v>0</v>
      </c>
      <c r="AK235" t="n">
        <v>233</v>
      </c>
      <c r="AL235" t="n">
        <v>232</v>
      </c>
      <c r="AM235" t="n">
        <v>4794.24</v>
      </c>
      <c r="AN235" t="n">
        <v>4755.286</v>
      </c>
      <c r="AO235" t="n">
        <v>38.954</v>
      </c>
      <c r="AP235" t="n">
        <v>1517.4157</v>
      </c>
      <c r="AQ235" t="n">
        <v>1.359792</v>
      </c>
      <c r="AR235" t="n">
        <v>1.50648</v>
      </c>
      <c r="AY235" t="n">
        <v>233</v>
      </c>
      <c r="AZ235" t="n">
        <v>232</v>
      </c>
      <c r="BA235" t="n">
        <v>4794.24</v>
      </c>
      <c r="BB235" t="n">
        <v>4755.286</v>
      </c>
      <c r="BC235" t="n">
        <v>38.954</v>
      </c>
      <c r="BD235" t="n">
        <v>1517.4157</v>
      </c>
      <c r="BE235" t="n">
        <v>53824</v>
      </c>
    </row>
    <row r="236">
      <c r="A236" t="n">
        <v>1776744902</v>
      </c>
      <c r="B236" t="inlineStr">
        <is>
          <t>XAUUSD</t>
        </is>
      </c>
      <c r="C236" t="inlineStr">
        <is>
          <t>M15</t>
        </is>
      </c>
      <c r="D236" t="n">
        <v>4792.33</v>
      </c>
      <c r="E236" t="n">
        <v>4518.59282</v>
      </c>
      <c r="F236" t="n">
        <v>4596.05595</v>
      </c>
      <c r="G236" t="n">
        <v>4755.40355</v>
      </c>
      <c r="H236" t="n">
        <v>4792.76972</v>
      </c>
      <c r="Q236" t="n">
        <v>4755.01837</v>
      </c>
      <c r="R236" t="n">
        <v>4784.38167</v>
      </c>
      <c r="S236" t="n">
        <v>4810.97044</v>
      </c>
      <c r="V236" t="n">
        <v>4720.0786</v>
      </c>
      <c r="W236" t="n">
        <v>4686.51361</v>
      </c>
      <c r="AB236" t="n">
        <v>4793.15131</v>
      </c>
      <c r="AC236" t="n">
        <v>4794.48874</v>
      </c>
      <c r="AD236" t="n">
        <v>0</v>
      </c>
      <c r="AK236" t="n">
        <v>234</v>
      </c>
      <c r="AL236" t="n">
        <v>233</v>
      </c>
      <c r="AM236" t="n">
        <v>4792.33</v>
      </c>
      <c r="AN236" t="n">
        <v>4755.0184</v>
      </c>
      <c r="AO236" t="n">
        <v>37.3116</v>
      </c>
      <c r="AP236" t="n">
        <v>1392.1577</v>
      </c>
      <c r="AQ236" t="n">
        <v>1.194946</v>
      </c>
      <c r="AR236" t="n">
        <v>1.268034</v>
      </c>
      <c r="AY236" t="n">
        <v>234</v>
      </c>
      <c r="AZ236" t="n">
        <v>233</v>
      </c>
      <c r="BA236" t="n">
        <v>4792.33</v>
      </c>
      <c r="BB236" t="n">
        <v>4755.0184</v>
      </c>
      <c r="BC236" t="n">
        <v>37.3116</v>
      </c>
      <c r="BD236" t="n">
        <v>1392.1577</v>
      </c>
      <c r="BE236" t="n">
        <v>54289</v>
      </c>
    </row>
    <row r="237">
      <c r="A237" t="n">
        <v>1776745802</v>
      </c>
      <c r="B237" t="inlineStr">
        <is>
          <t>XAUUSD</t>
        </is>
      </c>
      <c r="C237" t="inlineStr">
        <is>
          <t>M15</t>
        </is>
      </c>
      <c r="D237" t="n">
        <v>4791.74</v>
      </c>
      <c r="E237" t="n">
        <v>4518.59282</v>
      </c>
      <c r="F237" t="n">
        <v>4596.05595</v>
      </c>
      <c r="G237" t="n">
        <v>4755.40355</v>
      </c>
      <c r="H237" t="n">
        <v>4792.76972</v>
      </c>
      <c r="Q237" t="n">
        <v>4754.75077</v>
      </c>
      <c r="R237" t="n">
        <v>4784.11407</v>
      </c>
      <c r="S237" t="n">
        <v>4810.70284</v>
      </c>
      <c r="V237" t="n">
        <v>4719.811</v>
      </c>
      <c r="W237" t="n">
        <v>4686.246</v>
      </c>
      <c r="AB237" t="n">
        <v>4792.13856</v>
      </c>
      <c r="AC237" t="n">
        <v>4793.31365</v>
      </c>
      <c r="AD237" t="n">
        <v>0</v>
      </c>
      <c r="AK237" t="n">
        <v>235</v>
      </c>
      <c r="AL237" t="n">
        <v>234</v>
      </c>
      <c r="AM237" t="n">
        <v>4791.74</v>
      </c>
      <c r="AN237" t="n">
        <v>4754.7508</v>
      </c>
      <c r="AO237" t="n">
        <v>36.9892</v>
      </c>
      <c r="AP237" t="n">
        <v>1368.2031</v>
      </c>
      <c r="AQ237" t="n">
        <v>1.164237</v>
      </c>
      <c r="AR237" t="n">
        <v>1.224772</v>
      </c>
      <c r="AY237" t="n">
        <v>235</v>
      </c>
      <c r="AZ237" t="n">
        <v>234</v>
      </c>
      <c r="BA237" t="n">
        <v>4791.74</v>
      </c>
      <c r="BB237" t="n">
        <v>4754.7508</v>
      </c>
      <c r="BC237" t="n">
        <v>36.9892</v>
      </c>
      <c r="BD237" t="n">
        <v>1368.2031</v>
      </c>
      <c r="BE237" t="n">
        <v>54756</v>
      </c>
    </row>
    <row r="238">
      <c r="A238" t="n">
        <v>1776746702</v>
      </c>
      <c r="B238" t="inlineStr">
        <is>
          <t>XAUUSD</t>
        </is>
      </c>
      <c r="C238" t="inlineStr">
        <is>
          <t>M15</t>
        </is>
      </c>
      <c r="D238" t="n">
        <v>4789.16</v>
      </c>
      <c r="E238" t="n">
        <v>4518.59282</v>
      </c>
      <c r="F238" t="n">
        <v>4596.05595</v>
      </c>
      <c r="G238" t="n">
        <v>4755.40355</v>
      </c>
      <c r="H238" t="n">
        <v>4792.76972</v>
      </c>
      <c r="Q238" t="n">
        <v>4754.48317</v>
      </c>
      <c r="R238" t="n">
        <v>4783.84646</v>
      </c>
      <c r="S238" t="n">
        <v>4810.43524</v>
      </c>
      <c r="V238" t="n">
        <v>4719.5434</v>
      </c>
      <c r="W238" t="n">
        <v>4685.9784</v>
      </c>
      <c r="AB238" t="n">
        <v>4791.15407</v>
      </c>
      <c r="AC238" t="n">
        <v>4792.23386</v>
      </c>
      <c r="AD238" t="n">
        <v>0</v>
      </c>
      <c r="AK238" t="n">
        <v>236</v>
      </c>
      <c r="AL238" t="n">
        <v>235</v>
      </c>
      <c r="AM238" t="n">
        <v>4789.16</v>
      </c>
      <c r="AN238" t="n">
        <v>4754.4832</v>
      </c>
      <c r="AO238" t="n">
        <v>34.6768</v>
      </c>
      <c r="AP238" t="n">
        <v>1202.4825</v>
      </c>
      <c r="AQ238" t="n">
        <v>0.9592540000000001</v>
      </c>
      <c r="AR238" t="n">
        <v>0.946045</v>
      </c>
      <c r="AY238" t="n">
        <v>236</v>
      </c>
      <c r="AZ238" t="n">
        <v>235</v>
      </c>
      <c r="BA238" t="n">
        <v>4789.16</v>
      </c>
      <c r="BB238" t="n">
        <v>4754.4832</v>
      </c>
      <c r="BC238" t="n">
        <v>34.6768</v>
      </c>
      <c r="BD238" t="n">
        <v>1202.4825</v>
      </c>
      <c r="BE238" t="n">
        <v>55225</v>
      </c>
    </row>
    <row r="239">
      <c r="A239" t="n">
        <v>1776747602</v>
      </c>
      <c r="B239" t="inlineStr">
        <is>
          <t>XAUUSD</t>
        </is>
      </c>
      <c r="C239" t="inlineStr">
        <is>
          <t>M15</t>
        </is>
      </c>
      <c r="D239" t="n">
        <v>4789.51</v>
      </c>
      <c r="E239" t="n">
        <v>4518.59282</v>
      </c>
      <c r="F239" t="n">
        <v>4596.05595</v>
      </c>
      <c r="G239" t="n">
        <v>4755.40355</v>
      </c>
      <c r="H239" t="n">
        <v>4792.76972</v>
      </c>
      <c r="Q239" t="n">
        <v>4754.21556</v>
      </c>
      <c r="R239" t="n">
        <v>4783.57886</v>
      </c>
      <c r="S239" t="n">
        <v>4810.16763</v>
      </c>
      <c r="V239" t="n">
        <v>4719.27579</v>
      </c>
      <c r="W239" t="n">
        <v>4685.7108</v>
      </c>
      <c r="AB239" t="n">
        <v>4790.15661</v>
      </c>
      <c r="AC239" t="n">
        <v>4791.19524</v>
      </c>
      <c r="AD239" t="n">
        <v>0</v>
      </c>
      <c r="AK239" t="n">
        <v>237</v>
      </c>
      <c r="AL239" t="n">
        <v>236</v>
      </c>
      <c r="AM239" t="n">
        <v>4789.51</v>
      </c>
      <c r="AN239" t="n">
        <v>4754.2156</v>
      </c>
      <c r="AO239" t="n">
        <v>35.2944</v>
      </c>
      <c r="AP239" t="n">
        <v>1245.6975</v>
      </c>
      <c r="AQ239" t="n">
        <v>1.011427</v>
      </c>
      <c r="AR239" t="n">
        <v>1.015265</v>
      </c>
      <c r="AY239" t="n">
        <v>237</v>
      </c>
      <c r="AZ239" t="n">
        <v>236</v>
      </c>
      <c r="BA239" t="n">
        <v>4789.51</v>
      </c>
      <c r="BB239" t="n">
        <v>4754.2156</v>
      </c>
      <c r="BC239" t="n">
        <v>35.2944</v>
      </c>
      <c r="BD239" t="n">
        <v>1245.6975</v>
      </c>
      <c r="BE239" t="n">
        <v>55696</v>
      </c>
    </row>
    <row r="240">
      <c r="A240" t="n">
        <v>1776748502</v>
      </c>
      <c r="B240" t="inlineStr">
        <is>
          <t>XAUUSD</t>
        </is>
      </c>
      <c r="C240" t="inlineStr">
        <is>
          <t>M15</t>
        </is>
      </c>
      <c r="D240" t="n">
        <v>4787.58</v>
      </c>
      <c r="E240" t="n">
        <v>4518.59282</v>
      </c>
      <c r="F240" t="n">
        <v>4596.05595</v>
      </c>
      <c r="G240" t="n">
        <v>4755.40355</v>
      </c>
      <c r="H240" t="n">
        <v>4792.76972</v>
      </c>
      <c r="Q240" t="n">
        <v>4753.94796</v>
      </c>
      <c r="R240" t="n">
        <v>4783.31126</v>
      </c>
      <c r="S240" t="n">
        <v>4809.90003</v>
      </c>
      <c r="V240" t="n">
        <v>4719.00819</v>
      </c>
      <c r="W240" t="n">
        <v>4685.44319</v>
      </c>
      <c r="AB240" t="n">
        <v>4789.02178</v>
      </c>
      <c r="AC240" t="n">
        <v>4790.10851</v>
      </c>
      <c r="AD240" t="n">
        <v>0</v>
      </c>
      <c r="AK240" t="n">
        <v>238</v>
      </c>
      <c r="AL240" t="n">
        <v>237</v>
      </c>
      <c r="AM240" t="n">
        <v>4787.58</v>
      </c>
      <c r="AN240" t="n">
        <v>4753.948</v>
      </c>
      <c r="AO240" t="n">
        <v>33.632</v>
      </c>
      <c r="AP240" t="n">
        <v>1131.1141</v>
      </c>
      <c r="AQ240" t="n">
        <v>0.875135</v>
      </c>
      <c r="AR240" t="n">
        <v>0.83708</v>
      </c>
      <c r="AY240" t="n">
        <v>238</v>
      </c>
      <c r="AZ240" t="n">
        <v>237</v>
      </c>
      <c r="BA240" t="n">
        <v>4787.58</v>
      </c>
      <c r="BB240" t="n">
        <v>4753.948</v>
      </c>
      <c r="BC240" t="n">
        <v>33.632</v>
      </c>
      <c r="BD240" t="n">
        <v>1131.1141</v>
      </c>
      <c r="BE240" t="n">
        <v>56169</v>
      </c>
    </row>
    <row r="241">
      <c r="A241" t="n">
        <v>1776749402</v>
      </c>
      <c r="B241" t="inlineStr">
        <is>
          <t>XAUUSD</t>
        </is>
      </c>
      <c r="C241" t="inlineStr">
        <is>
          <t>M15</t>
        </is>
      </c>
      <c r="D241" t="n">
        <v>4796.37</v>
      </c>
      <c r="E241" t="n">
        <v>4518.59282</v>
      </c>
      <c r="F241" t="n">
        <v>4596.05595</v>
      </c>
      <c r="G241" t="n">
        <v>4755.40355</v>
      </c>
      <c r="H241" t="n">
        <v>4792.76972</v>
      </c>
      <c r="Q241" t="n">
        <v>4753.68035</v>
      </c>
      <c r="R241" t="n">
        <v>4783.04365</v>
      </c>
      <c r="S241" t="n">
        <v>4809.63242</v>
      </c>
      <c r="V241" t="n">
        <v>4718.74058</v>
      </c>
      <c r="W241" t="n">
        <v>4685.17559</v>
      </c>
      <c r="AB241" t="n">
        <v>4787.71372</v>
      </c>
      <c r="AC241" t="n">
        <v>4788.91112</v>
      </c>
      <c r="AD241" t="n">
        <v>0</v>
      </c>
      <c r="AK241" t="n">
        <v>239</v>
      </c>
      <c r="AL241" t="n">
        <v>238</v>
      </c>
      <c r="AM241" t="n">
        <v>4796.37</v>
      </c>
      <c r="AN241" t="n">
        <v>4753.6803</v>
      </c>
      <c r="AO241" t="n">
        <v>42.6897</v>
      </c>
      <c r="AP241" t="n">
        <v>1822.4062</v>
      </c>
      <c r="AQ241" t="n">
        <v>1.789713</v>
      </c>
      <c r="AR241" t="n">
        <v>2.172924</v>
      </c>
      <c r="AY241" t="n">
        <v>239</v>
      </c>
      <c r="AZ241" t="n">
        <v>238</v>
      </c>
      <c r="BA241" t="n">
        <v>4796.37</v>
      </c>
      <c r="BB241" t="n">
        <v>4753.6803</v>
      </c>
      <c r="BC241" t="n">
        <v>42.6897</v>
      </c>
      <c r="BD241" t="n">
        <v>1822.4062</v>
      </c>
      <c r="BE241" t="n">
        <v>56644</v>
      </c>
    </row>
    <row r="242">
      <c r="A242" t="n">
        <v>1776750302</v>
      </c>
      <c r="B242" t="inlineStr">
        <is>
          <t>XAUUSD</t>
        </is>
      </c>
      <c r="C242" t="inlineStr">
        <is>
          <t>M15</t>
        </is>
      </c>
      <c r="D242" t="n">
        <v>4784.33</v>
      </c>
      <c r="E242" t="n">
        <v>4518.59282</v>
      </c>
      <c r="F242" t="n">
        <v>4596.05595</v>
      </c>
      <c r="G242" t="n">
        <v>4755.40355</v>
      </c>
      <c r="H242" t="n">
        <v>4792.76972</v>
      </c>
      <c r="Q242" t="n">
        <v>4753.41275</v>
      </c>
      <c r="R242" t="n">
        <v>4782.77605</v>
      </c>
      <c r="S242" t="n">
        <v>4809.36482</v>
      </c>
      <c r="V242" t="n">
        <v>4718.47298</v>
      </c>
      <c r="W242" t="n">
        <v>4684.90798</v>
      </c>
      <c r="AB242" t="n">
        <v>4785.99147</v>
      </c>
      <c r="AC242" t="n">
        <v>4787.45129</v>
      </c>
      <c r="AD242" t="n">
        <v>0</v>
      </c>
      <c r="AK242" t="n">
        <v>240</v>
      </c>
      <c r="AL242" t="n">
        <v>239</v>
      </c>
      <c r="AM242" t="n">
        <v>4784.33</v>
      </c>
      <c r="AN242" t="n">
        <v>4753.4128</v>
      </c>
      <c r="AO242" t="n">
        <v>30.9172</v>
      </c>
      <c r="AP242" t="n">
        <v>955.8763</v>
      </c>
      <c r="AQ242" t="n">
        <v>0.679858</v>
      </c>
      <c r="AR242" t="n">
        <v>0.5978019999999999</v>
      </c>
      <c r="AY242" t="n">
        <v>240</v>
      </c>
      <c r="AZ242" t="n">
        <v>239</v>
      </c>
      <c r="BA242" t="n">
        <v>4784.33</v>
      </c>
      <c r="BB242" t="n">
        <v>4753.4128</v>
      </c>
      <c r="BC242" t="n">
        <v>30.9172</v>
      </c>
      <c r="BD242" t="n">
        <v>955.8763</v>
      </c>
      <c r="BE242" t="n">
        <v>57121</v>
      </c>
    </row>
    <row r="243">
      <c r="A243" t="n">
        <v>1776751202</v>
      </c>
      <c r="B243" t="inlineStr">
        <is>
          <t>XAUUSD</t>
        </is>
      </c>
      <c r="C243" t="inlineStr">
        <is>
          <t>M15</t>
        </is>
      </c>
      <c r="D243" t="n">
        <v>4785.01</v>
      </c>
      <c r="E243" t="n">
        <v>4518.59282</v>
      </c>
      <c r="F243" t="n">
        <v>4596.05595</v>
      </c>
      <c r="G243" t="n">
        <v>4755.40355</v>
      </c>
      <c r="H243" t="n">
        <v>4792.76972</v>
      </c>
      <c r="Q243" t="n">
        <v>4753.14515</v>
      </c>
      <c r="R243" t="n">
        <v>4782.50844</v>
      </c>
      <c r="S243" t="n">
        <v>4809.09722</v>
      </c>
      <c r="V243" t="n">
        <v>4718.20538</v>
      </c>
      <c r="W243" t="n">
        <v>4684.64038</v>
      </c>
      <c r="AB243" t="n">
        <v>4784.26119</v>
      </c>
      <c r="AC243" t="n">
        <v>4785.85624</v>
      </c>
      <c r="AD243" t="n">
        <v>0</v>
      </c>
      <c r="AK243" t="n">
        <v>241</v>
      </c>
      <c r="AL243" t="n">
        <v>240</v>
      </c>
      <c r="AM243" t="n">
        <v>4785.01</v>
      </c>
      <c r="AN243" t="n">
        <v>4753.1452</v>
      </c>
      <c r="AO243" t="n">
        <v>31.8648</v>
      </c>
      <c r="AP243" t="n">
        <v>1015.3687</v>
      </c>
      <c r="AQ243" t="n">
        <v>0.744305</v>
      </c>
      <c r="AR243" t="n">
        <v>0.674531</v>
      </c>
      <c r="AY243" t="n">
        <v>241</v>
      </c>
      <c r="AZ243" t="n">
        <v>240</v>
      </c>
      <c r="BA243" t="n">
        <v>4785.01</v>
      </c>
      <c r="BB243" t="n">
        <v>4753.1452</v>
      </c>
      <c r="BC243" t="n">
        <v>31.8648</v>
      </c>
      <c r="BD243" t="n">
        <v>1015.3687</v>
      </c>
      <c r="BE243" t="n">
        <v>57600</v>
      </c>
    </row>
    <row r="244">
      <c r="A244" t="n">
        <v>1776752102</v>
      </c>
      <c r="B244" t="inlineStr">
        <is>
          <t>XAUUSD</t>
        </is>
      </c>
      <c r="C244" t="inlineStr">
        <is>
          <t>M15</t>
        </is>
      </c>
      <c r="D244" t="n">
        <v>4778.93</v>
      </c>
      <c r="E244" t="n">
        <v>4518.59282</v>
      </c>
      <c r="F244" t="n">
        <v>4596.05595</v>
      </c>
      <c r="G244" t="n">
        <v>4755.40355</v>
      </c>
      <c r="H244" t="n">
        <v>4792.76972</v>
      </c>
      <c r="Q244" t="n">
        <v>4752.87754</v>
      </c>
      <c r="R244" t="n">
        <v>4782.24084</v>
      </c>
      <c r="S244" t="n">
        <v>4808.82961</v>
      </c>
      <c r="V244" t="n">
        <v>4717.93777</v>
      </c>
      <c r="W244" t="n">
        <v>4684.37277</v>
      </c>
      <c r="AB244" t="n">
        <v>4782.64916</v>
      </c>
      <c r="AC244" t="n">
        <v>4784.2527</v>
      </c>
      <c r="AD244" t="n">
        <v>0</v>
      </c>
      <c r="AK244" t="n">
        <v>242</v>
      </c>
      <c r="AL244" t="n">
        <v>241</v>
      </c>
      <c r="AM244" t="n">
        <v>4778.93</v>
      </c>
      <c r="AN244" t="n">
        <v>4752.8775</v>
      </c>
      <c r="AO244" t="n">
        <v>26.0525</v>
      </c>
      <c r="AP244" t="n">
        <v>678.7307</v>
      </c>
      <c r="AQ244" t="n">
        <v>0.406782</v>
      </c>
      <c r="AR244" t="n">
        <v>0.301404</v>
      </c>
      <c r="AY244" t="n">
        <v>242</v>
      </c>
      <c r="AZ244" t="n">
        <v>241</v>
      </c>
      <c r="BA244" t="n">
        <v>4778.93</v>
      </c>
      <c r="BB244" t="n">
        <v>4752.8775</v>
      </c>
      <c r="BC244" t="n">
        <v>26.0525</v>
      </c>
      <c r="BD244" t="n">
        <v>678.7307</v>
      </c>
      <c r="BE244" t="n">
        <v>58081</v>
      </c>
    </row>
    <row r="245">
      <c r="A245" t="n">
        <v>1776753002</v>
      </c>
      <c r="B245" t="inlineStr">
        <is>
          <t>XAUUSD</t>
        </is>
      </c>
      <c r="C245" t="inlineStr">
        <is>
          <t>M15</t>
        </is>
      </c>
      <c r="D245" t="n">
        <v>4780.6</v>
      </c>
      <c r="E245" t="n">
        <v>4518.59282</v>
      </c>
      <c r="F245" t="n">
        <v>4596.05595</v>
      </c>
      <c r="G245" t="n">
        <v>4755.40355</v>
      </c>
      <c r="H245" t="n">
        <v>4792.76972</v>
      </c>
      <c r="Q245" t="n">
        <v>4752.60994</v>
      </c>
      <c r="R245" t="n">
        <v>4781.97324</v>
      </c>
      <c r="S245" t="n">
        <v>4808.56201</v>
      </c>
      <c r="V245" t="n">
        <v>4717.67017</v>
      </c>
      <c r="W245" t="n">
        <v>4684.10517</v>
      </c>
      <c r="AB245" t="n">
        <v>4781.54014</v>
      </c>
      <c r="AC245" t="n">
        <v>4782.89642</v>
      </c>
      <c r="AD245" t="n">
        <v>0</v>
      </c>
      <c r="AK245" t="n">
        <v>243</v>
      </c>
      <c r="AL245" t="n">
        <v>242</v>
      </c>
      <c r="AM245" t="n">
        <v>4780.6</v>
      </c>
      <c r="AN245" t="n">
        <v>4752.6099</v>
      </c>
      <c r="AO245" t="n">
        <v>27.9901</v>
      </c>
      <c r="AP245" t="n">
        <v>783.4435</v>
      </c>
      <c r="AQ245" t="n">
        <v>0.50446</v>
      </c>
      <c r="AR245" t="n">
        <v>0.401578</v>
      </c>
      <c r="AY245" t="n">
        <v>243</v>
      </c>
      <c r="AZ245" t="n">
        <v>242</v>
      </c>
      <c r="BA245" t="n">
        <v>4780.6</v>
      </c>
      <c r="BB245" t="n">
        <v>4752.6099</v>
      </c>
      <c r="BC245" t="n">
        <v>27.9901</v>
      </c>
      <c r="BD245" t="n">
        <v>783.4435</v>
      </c>
      <c r="BE245" t="n">
        <v>58564</v>
      </c>
    </row>
    <row r="246">
      <c r="A246" t="n">
        <v>1776753902</v>
      </c>
      <c r="B246" t="inlineStr">
        <is>
          <t>XAUUSD</t>
        </is>
      </c>
      <c r="C246" t="inlineStr">
        <is>
          <t>M15</t>
        </is>
      </c>
      <c r="D246" t="n">
        <v>4778.73</v>
      </c>
      <c r="E246" t="n">
        <v>4518.59282</v>
      </c>
      <c r="F246" t="n">
        <v>4596.05595</v>
      </c>
      <c r="G246" t="n">
        <v>4755.40355</v>
      </c>
      <c r="H246" t="n">
        <v>4792.76972</v>
      </c>
      <c r="Q246" t="n">
        <v>4752.34233</v>
      </c>
      <c r="R246" t="n">
        <v>4781.70563</v>
      </c>
      <c r="S246" t="n">
        <v>4808.2944</v>
      </c>
      <c r="V246" t="n">
        <v>4717.40256</v>
      </c>
      <c r="W246" t="n">
        <v>4683.83757</v>
      </c>
      <c r="AB246" t="n">
        <v>4781.04479</v>
      </c>
      <c r="AC246" t="n">
        <v>4781.97061</v>
      </c>
      <c r="AD246" t="n">
        <v>0</v>
      </c>
      <c r="AK246" t="n">
        <v>244</v>
      </c>
      <c r="AL246" t="n">
        <v>243</v>
      </c>
      <c r="AM246" t="n">
        <v>4778.73</v>
      </c>
      <c r="AN246" t="n">
        <v>4752.3423</v>
      </c>
      <c r="AO246" t="n">
        <v>26.3877</v>
      </c>
      <c r="AP246" t="n">
        <v>696.3090999999999</v>
      </c>
      <c r="AQ246" t="n">
        <v>0.422687</v>
      </c>
      <c r="AR246" t="n">
        <v>0.317218</v>
      </c>
      <c r="AY246" t="n">
        <v>244</v>
      </c>
      <c r="AZ246" t="n">
        <v>243</v>
      </c>
      <c r="BA246" t="n">
        <v>4778.73</v>
      </c>
      <c r="BB246" t="n">
        <v>4752.3423</v>
      </c>
      <c r="BC246" t="n">
        <v>26.3877</v>
      </c>
      <c r="BD246" t="n">
        <v>696.3090999999999</v>
      </c>
      <c r="BE246" t="n">
        <v>59049</v>
      </c>
    </row>
    <row r="247">
      <c r="A247" t="n">
        <v>1776754802</v>
      </c>
      <c r="B247" t="inlineStr">
        <is>
          <t>XAUUSD</t>
        </is>
      </c>
      <c r="C247" t="inlineStr">
        <is>
          <t>M15</t>
        </is>
      </c>
      <c r="D247" t="n">
        <v>4782.82</v>
      </c>
      <c r="E247" t="n">
        <v>4518.59282</v>
      </c>
      <c r="F247" t="n">
        <v>4596.05595</v>
      </c>
      <c r="G247" t="n">
        <v>4755.40355</v>
      </c>
      <c r="H247" t="n">
        <v>4792.76972</v>
      </c>
      <c r="Q247" t="n">
        <v>4752.07473</v>
      </c>
      <c r="R247" t="n">
        <v>4781.43803</v>
      </c>
      <c r="S247" t="n">
        <v>4808.0268</v>
      </c>
      <c r="V247" t="n">
        <v>4717.13496</v>
      </c>
      <c r="W247" t="n">
        <v>4683.56996</v>
      </c>
      <c r="AA247" t="n">
        <v>4772.78</v>
      </c>
      <c r="AB247" t="n">
        <v>4781.27052</v>
      </c>
      <c r="AC247" t="n">
        <v>4781.62056</v>
      </c>
      <c r="AD247" t="n">
        <v>0</v>
      </c>
      <c r="AK247" t="n">
        <v>245</v>
      </c>
      <c r="AL247" t="n">
        <v>244</v>
      </c>
      <c r="AM247" t="n">
        <v>4782.82</v>
      </c>
      <c r="AN247" t="n">
        <v>4752.0747</v>
      </c>
      <c r="AO247" t="n">
        <v>30.7453</v>
      </c>
      <c r="AP247" t="n">
        <v>945.2716</v>
      </c>
      <c r="AQ247" t="n">
        <v>0.6685759999999999</v>
      </c>
      <c r="AR247" t="n">
        <v>0.584612</v>
      </c>
      <c r="AY247" t="n">
        <v>245</v>
      </c>
      <c r="AZ247" t="n">
        <v>244</v>
      </c>
      <c r="BA247" t="n">
        <v>4782.82</v>
      </c>
      <c r="BB247" t="n">
        <v>4752.0747</v>
      </c>
      <c r="BC247" t="n">
        <v>30.7453</v>
      </c>
      <c r="BD247" t="n">
        <v>945.2716</v>
      </c>
      <c r="BE247" t="n">
        <v>59536</v>
      </c>
    </row>
    <row r="248">
      <c r="A248" t="n">
        <v>1776755702</v>
      </c>
      <c r="B248" t="inlineStr">
        <is>
          <t>XAUUSD</t>
        </is>
      </c>
      <c r="C248" t="inlineStr">
        <is>
          <t>M15</t>
        </is>
      </c>
      <c r="D248" t="n">
        <v>4783.35</v>
      </c>
      <c r="E248" t="n">
        <v>4518.59282</v>
      </c>
      <c r="F248" t="n">
        <v>4596.05595</v>
      </c>
      <c r="G248" t="n">
        <v>4755.40355</v>
      </c>
      <c r="H248" t="n">
        <v>4792.76972</v>
      </c>
      <c r="Q248" t="n">
        <v>4751.80712</v>
      </c>
      <c r="R248" t="n">
        <v>4781.17042</v>
      </c>
      <c r="S248" t="n">
        <v>4807.75919</v>
      </c>
      <c r="V248" t="n">
        <v>4716.86735</v>
      </c>
      <c r="W248" t="n">
        <v>4683.30236</v>
      </c>
      <c r="AB248" t="n">
        <v>4782.07631</v>
      </c>
      <c r="AC248" t="n">
        <v>4781.84844</v>
      </c>
      <c r="AD248" t="n">
        <v>1</v>
      </c>
      <c r="AK248" t="n">
        <v>246</v>
      </c>
      <c r="AL248" t="n">
        <v>245</v>
      </c>
      <c r="AM248" t="n">
        <v>4783.35</v>
      </c>
      <c r="AN248" t="n">
        <v>4751.8071</v>
      </c>
      <c r="AO248" t="n">
        <v>31.5429</v>
      </c>
      <c r="AP248" t="n">
        <v>994.9533</v>
      </c>
      <c r="AQ248" t="n">
        <v>0.721971</v>
      </c>
      <c r="AR248" t="n">
        <v>0.647679</v>
      </c>
      <c r="AY248" t="n">
        <v>246</v>
      </c>
      <c r="AZ248" t="n">
        <v>245</v>
      </c>
      <c r="BA248" t="n">
        <v>4783.35</v>
      </c>
      <c r="BB248" t="n">
        <v>4751.8071</v>
      </c>
      <c r="BC248" t="n">
        <v>31.5429</v>
      </c>
      <c r="BD248" t="n">
        <v>994.9533</v>
      </c>
      <c r="BE248" t="n">
        <v>60025</v>
      </c>
    </row>
    <row r="249">
      <c r="A249" t="n">
        <v>1776756602</v>
      </c>
      <c r="B249" t="inlineStr">
        <is>
          <t>XAUUSD</t>
        </is>
      </c>
      <c r="C249" t="inlineStr">
        <is>
          <t>M15</t>
        </is>
      </c>
      <c r="D249" t="n">
        <v>4786.75</v>
      </c>
      <c r="E249" t="n">
        <v>4518.59282</v>
      </c>
      <c r="F249" t="n">
        <v>4596.05595</v>
      </c>
      <c r="G249" t="n">
        <v>4755.40355</v>
      </c>
      <c r="H249" t="n">
        <v>4792.76972</v>
      </c>
      <c r="Q249" t="n">
        <v>4751.53952</v>
      </c>
      <c r="R249" t="n">
        <v>4780.90282</v>
      </c>
      <c r="S249" t="n">
        <v>4807.49159</v>
      </c>
      <c r="V249" t="n">
        <v>4716.59975</v>
      </c>
      <c r="W249" t="n">
        <v>4683.03475</v>
      </c>
      <c r="AB249" t="n">
        <v>4783.25381</v>
      </c>
      <c r="AC249" t="n">
        <v>4782.55112</v>
      </c>
      <c r="AD249" t="n">
        <v>0</v>
      </c>
      <c r="AK249" t="n">
        <v>247</v>
      </c>
      <c r="AL249" t="n">
        <v>246</v>
      </c>
      <c r="AM249" t="n">
        <v>4786.75</v>
      </c>
      <c r="AN249" t="n">
        <v>4751.5395</v>
      </c>
      <c r="AO249" t="n">
        <v>35.2105</v>
      </c>
      <c r="AP249" t="n">
        <v>1239.7779</v>
      </c>
      <c r="AQ249" t="n">
        <v>1.004226</v>
      </c>
      <c r="AR249" t="n">
        <v>1.005639</v>
      </c>
      <c r="AY249" t="n">
        <v>247</v>
      </c>
      <c r="AZ249" t="n">
        <v>246</v>
      </c>
      <c r="BA249" t="n">
        <v>4786.75</v>
      </c>
      <c r="BB249" t="n">
        <v>4751.5395</v>
      </c>
      <c r="BC249" t="n">
        <v>35.2105</v>
      </c>
      <c r="BD249" t="n">
        <v>1239.7779</v>
      </c>
      <c r="BE249" t="n">
        <v>60516</v>
      </c>
    </row>
    <row r="250">
      <c r="A250" t="n">
        <v>1776757502</v>
      </c>
      <c r="B250" t="inlineStr">
        <is>
          <t>XAUUSD</t>
        </is>
      </c>
      <c r="C250" t="inlineStr">
        <is>
          <t>M15</t>
        </is>
      </c>
      <c r="D250" t="n">
        <v>4785.87</v>
      </c>
      <c r="E250" t="n">
        <v>4518.59282</v>
      </c>
      <c r="F250" t="n">
        <v>4596.05595</v>
      </c>
      <c r="G250" t="n">
        <v>4755.40355</v>
      </c>
      <c r="H250" t="n">
        <v>4792.76972</v>
      </c>
      <c r="Q250" t="n">
        <v>4751.27192</v>
      </c>
      <c r="R250" t="n">
        <v>4780.63522</v>
      </c>
      <c r="S250" t="n">
        <v>4807.22399</v>
      </c>
      <c r="V250" t="n">
        <v>4716.33215</v>
      </c>
      <c r="W250" t="n">
        <v>4682.76715</v>
      </c>
      <c r="AB250" t="n">
        <v>4784.41239</v>
      </c>
      <c r="AC250" t="n">
        <v>4783.48176</v>
      </c>
      <c r="AD250" t="n">
        <v>0</v>
      </c>
      <c r="AK250" t="n">
        <v>248</v>
      </c>
      <c r="AL250" t="n">
        <v>247</v>
      </c>
      <c r="AM250" t="n">
        <v>4785.87</v>
      </c>
      <c r="AN250" t="n">
        <v>4751.2719</v>
      </c>
      <c r="AO250" t="n">
        <v>34.5981</v>
      </c>
      <c r="AP250" t="n">
        <v>1197.0271</v>
      </c>
      <c r="AQ250" t="n">
        <v>0.952734</v>
      </c>
      <c r="AR250" t="n">
        <v>0.93748</v>
      </c>
      <c r="AY250" t="n">
        <v>248</v>
      </c>
      <c r="AZ250" t="n">
        <v>247</v>
      </c>
      <c r="BA250" t="n">
        <v>4785.87</v>
      </c>
      <c r="BB250" t="n">
        <v>4751.2719</v>
      </c>
      <c r="BC250" t="n">
        <v>34.5981</v>
      </c>
      <c r="BD250" t="n">
        <v>1197.0271</v>
      </c>
      <c r="BE250" t="n">
        <v>61009</v>
      </c>
    </row>
    <row r="251">
      <c r="A251" t="n">
        <v>1776758402</v>
      </c>
      <c r="B251" t="inlineStr">
        <is>
          <t>XAUUSD</t>
        </is>
      </c>
      <c r="C251" t="inlineStr">
        <is>
          <t>M15</t>
        </is>
      </c>
      <c r="D251" t="n">
        <v>4776.03</v>
      </c>
      <c r="E251" t="n">
        <v>4518.59282</v>
      </c>
      <c r="F251" t="n">
        <v>4596.05595</v>
      </c>
      <c r="G251" t="n">
        <v>4755.40355</v>
      </c>
      <c r="H251" t="n">
        <v>4792.76972</v>
      </c>
      <c r="Q251" t="n">
        <v>4751.00431</v>
      </c>
      <c r="R251" t="n">
        <v>4780.36761</v>
      </c>
      <c r="S251" t="n">
        <v>4806.95638</v>
      </c>
      <c r="V251" t="n">
        <v>4716.06454</v>
      </c>
      <c r="W251" t="n">
        <v>4682.49955</v>
      </c>
      <c r="AB251" t="n">
        <v>4785.34761</v>
      </c>
      <c r="AC251" t="n">
        <v>4784.41468</v>
      </c>
      <c r="AD251" t="n">
        <v>0</v>
      </c>
      <c r="AK251" t="n">
        <v>249</v>
      </c>
      <c r="AL251" t="n">
        <v>248</v>
      </c>
      <c r="AM251" t="n">
        <v>4776.03</v>
      </c>
      <c r="AN251" t="n">
        <v>4751.0043</v>
      </c>
      <c r="AO251" t="n">
        <v>25.0257</v>
      </c>
      <c r="AP251" t="n">
        <v>626.2852</v>
      </c>
      <c r="AQ251" t="n">
        <v>0.360557</v>
      </c>
      <c r="AR251" t="n">
        <v>0.256625</v>
      </c>
      <c r="AY251" t="n">
        <v>249</v>
      </c>
      <c r="AZ251" t="n">
        <v>248</v>
      </c>
      <c r="BA251" t="n">
        <v>4776.03</v>
      </c>
      <c r="BB251" t="n">
        <v>4751.0043</v>
      </c>
      <c r="BC251" t="n">
        <v>25.0257</v>
      </c>
      <c r="BD251" t="n">
        <v>626.2852</v>
      </c>
      <c r="BE251" t="n">
        <v>61504</v>
      </c>
    </row>
    <row r="252">
      <c r="A252" t="n">
        <v>1776759302</v>
      </c>
      <c r="B252" t="inlineStr">
        <is>
          <t>XAUUSD</t>
        </is>
      </c>
      <c r="C252" t="inlineStr">
        <is>
          <t>M15</t>
        </is>
      </c>
      <c r="D252" t="n">
        <v>4787.2</v>
      </c>
      <c r="E252" t="n">
        <v>4518.59282</v>
      </c>
      <c r="F252" t="n">
        <v>4596.05595</v>
      </c>
      <c r="G252" t="n">
        <v>4755.40355</v>
      </c>
      <c r="H252" t="n">
        <v>4792.76972</v>
      </c>
      <c r="Q252" t="n">
        <v>4750.73671</v>
      </c>
      <c r="R252" t="n">
        <v>4780.10001</v>
      </c>
      <c r="S252" t="n">
        <v>4806.68878</v>
      </c>
      <c r="V252" t="n">
        <v>4715.79694</v>
      </c>
      <c r="W252" t="n">
        <v>4682.23194</v>
      </c>
      <c r="AB252" t="n">
        <v>4786.12541</v>
      </c>
      <c r="AC252" t="n">
        <v>4785.27005</v>
      </c>
      <c r="AD252" t="n">
        <v>0</v>
      </c>
      <c r="AK252" t="n">
        <v>250</v>
      </c>
      <c r="AL252" t="n">
        <v>249</v>
      </c>
      <c r="AM252" t="n">
        <v>4787.2</v>
      </c>
      <c r="AN252" t="n">
        <v>4750.7367</v>
      </c>
      <c r="AO252" t="n">
        <v>36.4633</v>
      </c>
      <c r="AP252" t="n">
        <v>1329.5715</v>
      </c>
      <c r="AQ252" t="n">
        <v>1.115278</v>
      </c>
      <c r="AR252" t="n">
        <v>1.156585</v>
      </c>
      <c r="AY252" t="n">
        <v>250</v>
      </c>
      <c r="AZ252" t="n">
        <v>249</v>
      </c>
      <c r="BA252" t="n">
        <v>4787.2</v>
      </c>
      <c r="BB252" t="n">
        <v>4750.7367</v>
      </c>
      <c r="BC252" t="n">
        <v>36.4633</v>
      </c>
      <c r="BD252" t="n">
        <v>1329.5715</v>
      </c>
      <c r="BE252" t="n">
        <v>62001</v>
      </c>
    </row>
    <row r="253">
      <c r="A253" t="n">
        <v>1776760202</v>
      </c>
      <c r="B253" t="inlineStr">
        <is>
          <t>XAUUSD</t>
        </is>
      </c>
      <c r="C253" t="inlineStr">
        <is>
          <t>M15</t>
        </is>
      </c>
      <c r="D253" t="n">
        <v>4791.78</v>
      </c>
      <c r="E253" t="n">
        <v>4518.59282</v>
      </c>
      <c r="F253" t="n">
        <v>4596.05595</v>
      </c>
      <c r="G253" t="n">
        <v>4755.40355</v>
      </c>
      <c r="H253" t="n">
        <v>4792.76972</v>
      </c>
      <c r="Q253" t="n">
        <v>4750.4691</v>
      </c>
      <c r="R253" t="n">
        <v>4779.8324</v>
      </c>
      <c r="S253" t="n">
        <v>4806.42117</v>
      </c>
      <c r="V253" t="n">
        <v>4715.52933</v>
      </c>
      <c r="W253" t="n">
        <v>4681.96434</v>
      </c>
      <c r="AB253" t="n">
        <v>4786.33799</v>
      </c>
      <c r="AC253" t="n">
        <v>4785.80402</v>
      </c>
      <c r="AD253" t="n">
        <v>0</v>
      </c>
      <c r="AK253" t="n">
        <v>251</v>
      </c>
      <c r="AL253" t="n">
        <v>250</v>
      </c>
      <c r="AM253" t="n">
        <v>4791.78</v>
      </c>
      <c r="AN253" t="n">
        <v>4750.4691</v>
      </c>
      <c r="AO253" t="n">
        <v>41.3109</v>
      </c>
      <c r="AP253" t="n">
        <v>1706.5905</v>
      </c>
      <c r="AQ253" t="n">
        <v>1.621846</v>
      </c>
      <c r="AR253" t="n">
        <v>1.905517</v>
      </c>
      <c r="AY253" t="n">
        <v>251</v>
      </c>
      <c r="AZ253" t="n">
        <v>250</v>
      </c>
      <c r="BA253" t="n">
        <v>4791.78</v>
      </c>
      <c r="BB253" t="n">
        <v>4750.4691</v>
      </c>
      <c r="BC253" t="n">
        <v>41.3109</v>
      </c>
      <c r="BD253" t="n">
        <v>1706.5905</v>
      </c>
      <c r="BE253" t="n">
        <v>62500</v>
      </c>
    </row>
    <row r="254">
      <c r="A254" t="n">
        <v>1776761102</v>
      </c>
      <c r="B254" t="inlineStr">
        <is>
          <t>XAUUSD</t>
        </is>
      </c>
      <c r="C254" t="inlineStr">
        <is>
          <t>M15</t>
        </is>
      </c>
      <c r="D254" t="n">
        <v>4786.04</v>
      </c>
      <c r="E254" t="n">
        <v>4518.59282</v>
      </c>
      <c r="F254" t="n">
        <v>4596.05595</v>
      </c>
      <c r="G254" t="n">
        <v>4755.40355</v>
      </c>
      <c r="H254" t="n">
        <v>4792.76972</v>
      </c>
      <c r="Q254" t="n">
        <v>4750.2015</v>
      </c>
      <c r="R254" t="n">
        <v>4779.5648</v>
      </c>
      <c r="S254" t="n">
        <v>4806.15357</v>
      </c>
      <c r="V254" t="n">
        <v>4715.26173</v>
      </c>
      <c r="W254" t="n">
        <v>4681.69673</v>
      </c>
      <c r="AB254" t="n">
        <v>4785.91941</v>
      </c>
      <c r="AC254" t="n">
        <v>4785.86171</v>
      </c>
      <c r="AD254" t="n">
        <v>0</v>
      </c>
      <c r="AK254" t="n">
        <v>252</v>
      </c>
      <c r="AL254" t="n">
        <v>251</v>
      </c>
      <c r="AM254" t="n">
        <v>4786.04</v>
      </c>
      <c r="AN254" t="n">
        <v>4750.2015</v>
      </c>
      <c r="AO254" t="n">
        <v>35.8385</v>
      </c>
      <c r="AP254" t="n">
        <v>1284.3981</v>
      </c>
      <c r="AQ254" t="n">
        <v>1.058925</v>
      </c>
      <c r="AR254" t="n">
        <v>1.079328</v>
      </c>
      <c r="AY254" t="n">
        <v>252</v>
      </c>
      <c r="AZ254" t="n">
        <v>251</v>
      </c>
      <c r="BA254" t="n">
        <v>4786.04</v>
      </c>
      <c r="BB254" t="n">
        <v>4750.2015</v>
      </c>
      <c r="BC254" t="n">
        <v>35.8385</v>
      </c>
      <c r="BD254" t="n">
        <v>1284.3981</v>
      </c>
      <c r="BE254" t="n">
        <v>63001</v>
      </c>
    </row>
    <row r="255">
      <c r="A255" t="n">
        <v>1776762002</v>
      </c>
      <c r="B255" t="inlineStr">
        <is>
          <t>XAUUSD</t>
        </is>
      </c>
      <c r="C255" t="inlineStr">
        <is>
          <t>M15</t>
        </is>
      </c>
      <c r="D255" t="n">
        <v>4784.2</v>
      </c>
      <c r="E255" t="n">
        <v>4518.59282</v>
      </c>
      <c r="F255" t="n">
        <v>4596.05595</v>
      </c>
      <c r="G255" t="n">
        <v>4755.40355</v>
      </c>
      <c r="H255" t="n">
        <v>4792.76972</v>
      </c>
      <c r="Q255" t="n">
        <v>4749.9339</v>
      </c>
      <c r="R255" t="n">
        <v>4779.2972</v>
      </c>
      <c r="S255" t="n">
        <v>4805.88597</v>
      </c>
      <c r="V255" t="n">
        <v>4714.99413</v>
      </c>
      <c r="W255" t="n">
        <v>4681.42913</v>
      </c>
      <c r="AB255" t="n">
        <v>4785.19286</v>
      </c>
      <c r="AC255" t="n">
        <v>4785.52728</v>
      </c>
      <c r="AD255" t="n">
        <v>1</v>
      </c>
      <c r="AK255" t="n">
        <v>253</v>
      </c>
      <c r="AL255" t="n">
        <v>252</v>
      </c>
      <c r="AM255" t="n">
        <v>4784.2</v>
      </c>
      <c r="AN255" t="n">
        <v>4749.9339</v>
      </c>
      <c r="AO255" t="n">
        <v>34.2661</v>
      </c>
      <c r="AP255" t="n">
        <v>1174.1656</v>
      </c>
      <c r="AQ255" t="n">
        <v>0.925571</v>
      </c>
      <c r="AR255" t="n">
        <v>0.902013</v>
      </c>
      <c r="AY255" t="n">
        <v>253</v>
      </c>
      <c r="AZ255" t="n">
        <v>252</v>
      </c>
      <c r="BA255" t="n">
        <v>4784.2</v>
      </c>
      <c r="BB255" t="n">
        <v>4749.9339</v>
      </c>
      <c r="BC255" t="n">
        <v>34.2661</v>
      </c>
      <c r="BD255" t="n">
        <v>1174.1656</v>
      </c>
      <c r="BE255" t="n">
        <v>63504</v>
      </c>
    </row>
    <row r="256">
      <c r="A256" t="n">
        <v>1776762902</v>
      </c>
      <c r="B256" t="inlineStr">
        <is>
          <t>XAUUSD</t>
        </is>
      </c>
      <c r="C256" t="inlineStr">
        <is>
          <t>M15</t>
        </is>
      </c>
      <c r="D256" t="n">
        <v>4782.14</v>
      </c>
      <c r="E256" t="n">
        <v>4518.59282</v>
      </c>
      <c r="F256" t="n">
        <v>4596.05595</v>
      </c>
      <c r="G256" t="n">
        <v>4755.40355</v>
      </c>
      <c r="H256" t="n">
        <v>4792.76972</v>
      </c>
      <c r="Q256" t="n">
        <v>4749.66629</v>
      </c>
      <c r="R256" t="n">
        <v>4779.02959</v>
      </c>
      <c r="S256" t="n">
        <v>4805.61836</v>
      </c>
      <c r="V256" t="n">
        <v>4714.72652</v>
      </c>
      <c r="W256" t="n">
        <v>4681.16153</v>
      </c>
      <c r="AB256" t="n">
        <v>4784.44546</v>
      </c>
      <c r="AC256" t="n">
        <v>4784.98637</v>
      </c>
      <c r="AD256" t="n">
        <v>0</v>
      </c>
      <c r="AK256" t="n">
        <v>254</v>
      </c>
      <c r="AL256" t="n">
        <v>253</v>
      </c>
      <c r="AM256" t="n">
        <v>4782.14</v>
      </c>
      <c r="AN256" t="n">
        <v>4749.6663</v>
      </c>
      <c r="AO256" t="n">
        <v>32.4737</v>
      </c>
      <c r="AP256" t="n">
        <v>1054.5418</v>
      </c>
      <c r="AQ256" t="n">
        <v>0.787792</v>
      </c>
      <c r="AR256" t="n">
        <v>0.727582</v>
      </c>
      <c r="AY256" t="n">
        <v>254</v>
      </c>
      <c r="AZ256" t="n">
        <v>253</v>
      </c>
      <c r="BA256" t="n">
        <v>4782.14</v>
      </c>
      <c r="BB256" t="n">
        <v>4749.6663</v>
      </c>
      <c r="BC256" t="n">
        <v>32.4737</v>
      </c>
      <c r="BD256" t="n">
        <v>1054.5418</v>
      </c>
      <c r="BE256" t="n">
        <v>64009</v>
      </c>
    </row>
    <row r="257">
      <c r="A257" t="n">
        <v>1776763802</v>
      </c>
      <c r="B257" t="inlineStr">
        <is>
          <t>XAUUSD</t>
        </is>
      </c>
      <c r="C257" t="inlineStr">
        <is>
          <t>M15</t>
        </is>
      </c>
      <c r="D257" t="n">
        <v>4787.2</v>
      </c>
      <c r="E257" t="n">
        <v>4518.59282</v>
      </c>
      <c r="F257" t="n">
        <v>4596.05595</v>
      </c>
      <c r="G257" t="n">
        <v>4755.40355</v>
      </c>
      <c r="H257" t="n">
        <v>4792.76972</v>
      </c>
      <c r="Q257" t="n">
        <v>4749.39869</v>
      </c>
      <c r="R257" t="n">
        <v>4778.76199</v>
      </c>
      <c r="S257" t="n">
        <v>4805.35076</v>
      </c>
      <c r="V257" t="n">
        <v>4714.45892</v>
      </c>
      <c r="W257" t="n">
        <v>4680.89392</v>
      </c>
      <c r="AB257" t="n">
        <v>4783.97823</v>
      </c>
      <c r="AC257" t="n">
        <v>4784.4823</v>
      </c>
      <c r="AD257" t="n">
        <v>0</v>
      </c>
      <c r="AK257" t="n">
        <v>255</v>
      </c>
      <c r="AL257" t="n">
        <v>254</v>
      </c>
      <c r="AM257" t="n">
        <v>4787.2</v>
      </c>
      <c r="AN257" t="n">
        <v>4749.3987</v>
      </c>
      <c r="AO257" t="n">
        <v>37.8013</v>
      </c>
      <c r="AP257" t="n">
        <v>1428.939</v>
      </c>
      <c r="AQ257" t="n">
        <v>1.242614</v>
      </c>
      <c r="AR257" t="n">
        <v>1.335923</v>
      </c>
      <c r="AY257" t="n">
        <v>255</v>
      </c>
      <c r="AZ257" t="n">
        <v>254</v>
      </c>
      <c r="BA257" t="n">
        <v>4787.2</v>
      </c>
      <c r="BB257" t="n">
        <v>4749.3987</v>
      </c>
      <c r="BC257" t="n">
        <v>37.8013</v>
      </c>
      <c r="BD257" t="n">
        <v>1428.939</v>
      </c>
      <c r="BE257" t="n">
        <v>64516</v>
      </c>
    </row>
    <row r="258">
      <c r="A258" t="n">
        <v>1776764702</v>
      </c>
      <c r="B258" t="inlineStr">
        <is>
          <t>XAUUSD</t>
        </is>
      </c>
      <c r="C258" t="inlineStr">
        <is>
          <t>M15</t>
        </is>
      </c>
      <c r="D258" t="n">
        <v>4783.8</v>
      </c>
      <c r="E258" t="n">
        <v>4518.59282</v>
      </c>
      <c r="F258" t="n">
        <v>4596.05595</v>
      </c>
      <c r="G258" t="n">
        <v>4755.40355</v>
      </c>
      <c r="H258" t="n">
        <v>4792.76972</v>
      </c>
      <c r="Q258" t="n">
        <v>4749.13108</v>
      </c>
      <c r="R258" t="n">
        <v>4778.49438</v>
      </c>
      <c r="S258" t="n">
        <v>4805.08315</v>
      </c>
      <c r="V258" t="n">
        <v>4714.19131</v>
      </c>
      <c r="W258" t="n">
        <v>4680.62632</v>
      </c>
      <c r="AB258" t="n">
        <v>4783.81954</v>
      </c>
      <c r="AC258" t="n">
        <v>4784.15092</v>
      </c>
      <c r="AD258" t="n">
        <v>0</v>
      </c>
      <c r="AK258" t="n">
        <v>256</v>
      </c>
      <c r="AL258" t="n">
        <v>255</v>
      </c>
      <c r="AM258" t="n">
        <v>4783.8</v>
      </c>
      <c r="AN258" t="n">
        <v>4749.1311</v>
      </c>
      <c r="AO258" t="n">
        <v>34.6689</v>
      </c>
      <c r="AP258" t="n">
        <v>1201.934</v>
      </c>
      <c r="AQ258" t="n">
        <v>0.958598</v>
      </c>
      <c r="AR258" t="n">
        <v>0.945182</v>
      </c>
      <c r="AY258" t="n">
        <v>256</v>
      </c>
      <c r="AZ258" t="n">
        <v>255</v>
      </c>
      <c r="BA258" t="n">
        <v>4783.8</v>
      </c>
      <c r="BB258" t="n">
        <v>4749.1311</v>
      </c>
      <c r="BC258" t="n">
        <v>34.6689</v>
      </c>
      <c r="BD258" t="n">
        <v>1201.934</v>
      </c>
      <c r="BE258" t="n">
        <v>65025</v>
      </c>
    </row>
    <row r="259">
      <c r="A259" t="n">
        <v>1776765602</v>
      </c>
      <c r="B259" t="inlineStr">
        <is>
          <t>XAUUSD</t>
        </is>
      </c>
      <c r="C259" t="inlineStr">
        <is>
          <t>M15</t>
        </is>
      </c>
      <c r="D259" t="n">
        <v>4783.02</v>
      </c>
      <c r="E259" t="n">
        <v>4518.59282</v>
      </c>
      <c r="F259" t="n">
        <v>4596.05595</v>
      </c>
      <c r="G259" t="n">
        <v>4755.40355</v>
      </c>
      <c r="H259" t="n">
        <v>4792.76972</v>
      </c>
      <c r="Q259" t="n">
        <v>4748.86348</v>
      </c>
      <c r="R259" t="n">
        <v>4778.22678</v>
      </c>
      <c r="S259" t="n">
        <v>4804.81555</v>
      </c>
      <c r="V259" t="n">
        <v>4713.92371</v>
      </c>
      <c r="W259" t="n">
        <v>4680.35871</v>
      </c>
      <c r="AB259" t="n">
        <v>4784.12581</v>
      </c>
      <c r="AC259" t="n">
        <v>4784.13837</v>
      </c>
      <c r="AD259" t="n">
        <v>0</v>
      </c>
      <c r="AK259" t="n">
        <v>257</v>
      </c>
      <c r="AL259" t="n">
        <v>256</v>
      </c>
      <c r="AM259" t="n">
        <v>4783.02</v>
      </c>
      <c r="AN259" t="n">
        <v>4748.8635</v>
      </c>
      <c r="AO259" t="n">
        <v>34.1565</v>
      </c>
      <c r="AP259" t="n">
        <v>1166.6679</v>
      </c>
      <c r="AQ259" t="n">
        <v>0.916719</v>
      </c>
      <c r="AR259" t="n">
        <v>0.89053</v>
      </c>
      <c r="AY259" t="n">
        <v>257</v>
      </c>
      <c r="AZ259" t="n">
        <v>256</v>
      </c>
      <c r="BA259" t="n">
        <v>4783.02</v>
      </c>
      <c r="BB259" t="n">
        <v>4748.8635</v>
      </c>
      <c r="BC259" t="n">
        <v>34.1565</v>
      </c>
      <c r="BD259" t="n">
        <v>1166.6679</v>
      </c>
      <c r="BE259" t="n">
        <v>65536</v>
      </c>
    </row>
    <row r="260">
      <c r="A260" t="n">
        <v>1776766502</v>
      </c>
      <c r="B260" t="inlineStr">
        <is>
          <t>XAUUSD</t>
        </is>
      </c>
      <c r="C260" t="inlineStr">
        <is>
          <t>M15</t>
        </is>
      </c>
      <c r="D260" t="n">
        <v>4783.07</v>
      </c>
      <c r="E260" t="n">
        <v>4518.59282</v>
      </c>
      <c r="F260" t="n">
        <v>4596.05595</v>
      </c>
      <c r="G260" t="n">
        <v>4755.40355</v>
      </c>
      <c r="H260" t="n">
        <v>4792.76972</v>
      </c>
      <c r="Q260" t="n">
        <v>4748.59588</v>
      </c>
      <c r="R260" t="n">
        <v>4777.95917</v>
      </c>
      <c r="S260" t="n">
        <v>4804.54795</v>
      </c>
      <c r="V260" t="n">
        <v>4713.65611</v>
      </c>
      <c r="W260" t="n">
        <v>4680.09111</v>
      </c>
      <c r="AB260" t="n">
        <v>4784.83732</v>
      </c>
      <c r="AC260" t="n">
        <v>4784.48784</v>
      </c>
      <c r="AD260" t="n">
        <v>1</v>
      </c>
      <c r="AK260" t="n">
        <v>258</v>
      </c>
      <c r="AL260" t="n">
        <v>257</v>
      </c>
      <c r="AM260" t="n">
        <v>4783.07</v>
      </c>
      <c r="AN260" t="n">
        <v>4748.5959</v>
      </c>
      <c r="AO260" t="n">
        <v>34.4741</v>
      </c>
      <c r="AP260" t="n">
        <v>1188.4649</v>
      </c>
      <c r="AQ260" t="n">
        <v>0.94253</v>
      </c>
      <c r="AR260" t="n">
        <v>0.924117</v>
      </c>
      <c r="AY260" t="n">
        <v>258</v>
      </c>
      <c r="AZ260" t="n">
        <v>257</v>
      </c>
      <c r="BA260" t="n">
        <v>4783.07</v>
      </c>
      <c r="BB260" t="n">
        <v>4748.5959</v>
      </c>
      <c r="BC260" t="n">
        <v>34.4741</v>
      </c>
      <c r="BD260" t="n">
        <v>1188.4649</v>
      </c>
      <c r="BE260" t="n">
        <v>66049</v>
      </c>
    </row>
    <row r="261">
      <c r="A261" t="n">
        <v>1776767402</v>
      </c>
      <c r="B261" t="inlineStr">
        <is>
          <t>XAUUSD</t>
        </is>
      </c>
      <c r="C261" t="inlineStr">
        <is>
          <t>M15</t>
        </is>
      </c>
      <c r="D261" t="n">
        <v>4786.25</v>
      </c>
      <c r="E261" t="n">
        <v>4518.59282</v>
      </c>
      <c r="F261" t="n">
        <v>4596.05595</v>
      </c>
      <c r="G261" t="n">
        <v>4755.40355</v>
      </c>
      <c r="H261" t="n">
        <v>4792.76972</v>
      </c>
      <c r="Q261" t="n">
        <v>4748.32827</v>
      </c>
      <c r="R261" t="n">
        <v>4777.69157</v>
      </c>
      <c r="S261" t="n">
        <v>4804.28034</v>
      </c>
      <c r="V261" t="n">
        <v>4713.3885</v>
      </c>
      <c r="W261" t="n">
        <v>4679.82351</v>
      </c>
      <c r="AB261" t="n">
        <v>4785.818</v>
      </c>
      <c r="AC261" t="n">
        <v>4785.15292</v>
      </c>
      <c r="AD261" t="n">
        <v>0</v>
      </c>
      <c r="AK261" t="n">
        <v>259</v>
      </c>
      <c r="AL261" t="n">
        <v>258</v>
      </c>
      <c r="AM261" t="n">
        <v>4786.25</v>
      </c>
      <c r="AN261" t="n">
        <v>4748.3283</v>
      </c>
      <c r="AO261" t="n">
        <v>37.9217</v>
      </c>
      <c r="AP261" t="n">
        <v>1438.0576</v>
      </c>
      <c r="AQ261" t="n">
        <v>1.254527</v>
      </c>
      <c r="AR261" t="n">
        <v>1.353028</v>
      </c>
      <c r="AY261" t="n">
        <v>259</v>
      </c>
      <c r="AZ261" t="n">
        <v>258</v>
      </c>
      <c r="BA261" t="n">
        <v>4786.25</v>
      </c>
      <c r="BB261" t="n">
        <v>4748.3283</v>
      </c>
      <c r="BC261" t="n">
        <v>37.9217</v>
      </c>
      <c r="BD261" t="n">
        <v>1438.0576</v>
      </c>
      <c r="BE261" t="n">
        <v>66564</v>
      </c>
    </row>
    <row r="262">
      <c r="A262" t="n">
        <v>1776768302</v>
      </c>
      <c r="B262" t="inlineStr">
        <is>
          <t>XAUUSD</t>
        </is>
      </c>
      <c r="C262" t="inlineStr">
        <is>
          <t>M15</t>
        </is>
      </c>
      <c r="D262" t="n">
        <v>4789.79</v>
      </c>
      <c r="E262" t="n">
        <v>4518.59282</v>
      </c>
      <c r="F262" t="n">
        <v>4596.05595</v>
      </c>
      <c r="G262" t="n">
        <v>4755.40355</v>
      </c>
      <c r="H262" t="n">
        <v>4792.76972</v>
      </c>
      <c r="Q262" t="n">
        <v>4748.06067</v>
      </c>
      <c r="R262" t="n">
        <v>4777.42397</v>
      </c>
      <c r="S262" t="n">
        <v>4804.01274</v>
      </c>
      <c r="V262" t="n">
        <v>4713.1209</v>
      </c>
      <c r="W262" t="n">
        <v>4679.5559</v>
      </c>
      <c r="AB262" t="n">
        <v>4786.79737</v>
      </c>
      <c r="AC262" t="n">
        <v>4785.97515</v>
      </c>
      <c r="AD262" t="n">
        <v>0</v>
      </c>
      <c r="AK262" t="n">
        <v>260</v>
      </c>
      <c r="AL262" t="n">
        <v>259</v>
      </c>
      <c r="AM262" t="n">
        <v>4789.79</v>
      </c>
      <c r="AN262" t="n">
        <v>4748.0607</v>
      </c>
      <c r="AO262" t="n">
        <v>41.7293</v>
      </c>
      <c r="AP262" t="n">
        <v>1741.337</v>
      </c>
      <c r="AQ262" t="n">
        <v>1.671629</v>
      </c>
      <c r="AR262" t="n">
        <v>1.9839</v>
      </c>
      <c r="AY262" t="n">
        <v>260</v>
      </c>
      <c r="AZ262" t="n">
        <v>259</v>
      </c>
      <c r="BA262" t="n">
        <v>4789.79</v>
      </c>
      <c r="BB262" t="n">
        <v>4748.0607</v>
      </c>
      <c r="BC262" t="n">
        <v>41.7293</v>
      </c>
      <c r="BD262" t="n">
        <v>1741.337</v>
      </c>
      <c r="BE262" t="n">
        <v>67081</v>
      </c>
    </row>
    <row r="263">
      <c r="A263" t="n">
        <v>1776769202</v>
      </c>
      <c r="B263" t="inlineStr">
        <is>
          <t>XAUUSD</t>
        </is>
      </c>
      <c r="C263" t="inlineStr">
        <is>
          <t>M15</t>
        </is>
      </c>
      <c r="D263" t="n">
        <v>4781.77</v>
      </c>
      <c r="E263" t="n">
        <v>4518.59282</v>
      </c>
      <c r="F263" t="n">
        <v>4596.05595</v>
      </c>
      <c r="G263" t="n">
        <v>4755.40355</v>
      </c>
      <c r="H263" t="n">
        <v>4792.76972</v>
      </c>
      <c r="Q263" t="n">
        <v>4747.79306</v>
      </c>
      <c r="R263" t="n">
        <v>4777.15636</v>
      </c>
      <c r="S263" t="n">
        <v>4803.74513</v>
      </c>
      <c r="V263" t="n">
        <v>4712.85329</v>
      </c>
      <c r="W263" t="n">
        <v>4679.2883</v>
      </c>
      <c r="AB263" t="n">
        <v>4787.4864</v>
      </c>
      <c r="AC263" t="n">
        <v>4786.73077</v>
      </c>
      <c r="AD263" t="n">
        <v>0</v>
      </c>
      <c r="AK263" t="n">
        <v>261</v>
      </c>
      <c r="AL263" t="n">
        <v>260</v>
      </c>
      <c r="AM263" t="n">
        <v>4781.77</v>
      </c>
      <c r="AN263" t="n">
        <v>4747.7931</v>
      </c>
      <c r="AO263" t="n">
        <v>33.9769</v>
      </c>
      <c r="AP263" t="n">
        <v>1154.4325</v>
      </c>
      <c r="AQ263" t="n">
        <v>0.902336</v>
      </c>
      <c r="AR263" t="n">
        <v>0.871949</v>
      </c>
      <c r="AY263" t="n">
        <v>261</v>
      </c>
      <c r="AZ263" t="n">
        <v>260</v>
      </c>
      <c r="BA263" t="n">
        <v>4781.77</v>
      </c>
      <c r="BB263" t="n">
        <v>4747.7931</v>
      </c>
      <c r="BC263" t="n">
        <v>33.9769</v>
      </c>
      <c r="BD263" t="n">
        <v>1154.4325</v>
      </c>
      <c r="BE263" t="n">
        <v>67600</v>
      </c>
    </row>
    <row r="264">
      <c r="A264" t="n">
        <v>1776770102</v>
      </c>
      <c r="B264" t="inlineStr">
        <is>
          <t>XAUUSD</t>
        </is>
      </c>
      <c r="C264" t="inlineStr">
        <is>
          <t>M15</t>
        </is>
      </c>
      <c r="D264" t="n">
        <v>4783.57</v>
      </c>
      <c r="E264" t="n">
        <v>4518.59282</v>
      </c>
      <c r="F264" t="n">
        <v>4596.05595</v>
      </c>
      <c r="G264" t="n">
        <v>4755.40355</v>
      </c>
      <c r="H264" t="n">
        <v>4792.76972</v>
      </c>
      <c r="Q264" t="n">
        <v>4747.52546</v>
      </c>
      <c r="R264" t="n">
        <v>4776.88876</v>
      </c>
      <c r="S264" t="n">
        <v>4803.47753</v>
      </c>
      <c r="V264" t="n">
        <v>4712.58569</v>
      </c>
      <c r="W264" t="n">
        <v>4679.02069</v>
      </c>
      <c r="AB264" t="n">
        <v>4787.92563</v>
      </c>
      <c r="AC264" t="n">
        <v>4787.3282</v>
      </c>
      <c r="AD264" t="n">
        <v>0</v>
      </c>
      <c r="AK264" t="n">
        <v>262</v>
      </c>
      <c r="AL264" t="n">
        <v>261</v>
      </c>
      <c r="AM264" t="n">
        <v>4783.57</v>
      </c>
      <c r="AN264" t="n">
        <v>4747.5255</v>
      </c>
      <c r="AO264" t="n">
        <v>36.0445</v>
      </c>
      <c r="AP264" t="n">
        <v>1299.2089</v>
      </c>
      <c r="AQ264" t="n">
        <v>1.077294</v>
      </c>
      <c r="AR264" t="n">
        <v>1.104364</v>
      </c>
      <c r="AY264" t="n">
        <v>262</v>
      </c>
      <c r="AZ264" t="n">
        <v>261</v>
      </c>
      <c r="BA264" t="n">
        <v>4783.57</v>
      </c>
      <c r="BB264" t="n">
        <v>4747.5255</v>
      </c>
      <c r="BC264" t="n">
        <v>36.0445</v>
      </c>
      <c r="BD264" t="n">
        <v>1299.2089</v>
      </c>
      <c r="BE264" t="n">
        <v>68121</v>
      </c>
    </row>
    <row r="265">
      <c r="A265" t="n">
        <v>1776771002</v>
      </c>
      <c r="B265" t="inlineStr">
        <is>
          <t>XAUUSD</t>
        </is>
      </c>
      <c r="C265" t="inlineStr">
        <is>
          <t>M15</t>
        </is>
      </c>
      <c r="D265" t="n">
        <v>4793.1</v>
      </c>
      <c r="E265" t="n">
        <v>4518.59282</v>
      </c>
      <c r="F265" t="n">
        <v>4596.05595</v>
      </c>
      <c r="G265" t="n">
        <v>4755.40355</v>
      </c>
      <c r="H265" t="n">
        <v>4792.76972</v>
      </c>
      <c r="Q265" t="n">
        <v>4747.25786</v>
      </c>
      <c r="R265" t="n">
        <v>4776.62115</v>
      </c>
      <c r="S265" t="n">
        <v>4803.20993</v>
      </c>
      <c r="V265" t="n">
        <v>4712.31809</v>
      </c>
      <c r="W265" t="n">
        <v>4678.75309</v>
      </c>
      <c r="AB265" t="n">
        <v>4787.93018</v>
      </c>
      <c r="AC265" t="n">
        <v>4787.62919</v>
      </c>
      <c r="AD265" t="n">
        <v>0</v>
      </c>
      <c r="AK265" t="n">
        <v>263</v>
      </c>
      <c r="AL265" t="n">
        <v>262</v>
      </c>
      <c r="AM265" t="n">
        <v>4793.1</v>
      </c>
      <c r="AN265" t="n">
        <v>4747.2579</v>
      </c>
      <c r="AO265" t="n">
        <v>45.8421</v>
      </c>
      <c r="AP265" t="n">
        <v>2101.5018</v>
      </c>
      <c r="AQ265" t="n">
        <v>2.216207</v>
      </c>
      <c r="AR265" t="n">
        <v>2.88944</v>
      </c>
      <c r="AY265" t="n">
        <v>263</v>
      </c>
      <c r="AZ265" t="n">
        <v>262</v>
      </c>
      <c r="BA265" t="n">
        <v>4793.1</v>
      </c>
      <c r="BB265" t="n">
        <v>4747.2579</v>
      </c>
      <c r="BC265" t="n">
        <v>45.8421</v>
      </c>
      <c r="BD265" t="n">
        <v>2101.5018</v>
      </c>
      <c r="BE265" t="n">
        <v>68644</v>
      </c>
    </row>
    <row r="266">
      <c r="A266" t="n">
        <v>1776771902</v>
      </c>
      <c r="B266" t="inlineStr">
        <is>
          <t>XAUUSD</t>
        </is>
      </c>
      <c r="C266" t="inlineStr">
        <is>
          <t>M15</t>
        </is>
      </c>
      <c r="D266" t="n">
        <v>4794.61</v>
      </c>
      <c r="E266" t="n">
        <v>4518.59282</v>
      </c>
      <c r="F266" t="n">
        <v>4596.05595</v>
      </c>
      <c r="G266" t="n">
        <v>4755.40355</v>
      </c>
      <c r="H266" t="n">
        <v>4792.76972</v>
      </c>
      <c r="Q266" t="n">
        <v>4746.99025</v>
      </c>
      <c r="R266" t="n">
        <v>4776.35355</v>
      </c>
      <c r="S266" t="n">
        <v>4802.94232</v>
      </c>
      <c r="V266" t="n">
        <v>4712.05048</v>
      </c>
      <c r="W266" t="n">
        <v>4678.48548</v>
      </c>
      <c r="Z266" t="n">
        <v>4797.91</v>
      </c>
      <c r="AB266" t="n">
        <v>4787.21124</v>
      </c>
      <c r="AC266" t="n">
        <v>4787.42022</v>
      </c>
      <c r="AD266" t="n">
        <v>1</v>
      </c>
      <c r="AK266" t="n">
        <v>264</v>
      </c>
      <c r="AL266" t="n">
        <v>263</v>
      </c>
      <c r="AM266" t="n">
        <v>4794.61</v>
      </c>
      <c r="AN266" t="n">
        <v>4746.9902</v>
      </c>
      <c r="AO266" t="n">
        <v>47.6197</v>
      </c>
      <c r="AP266" t="n">
        <v>2267.6406</v>
      </c>
      <c r="AQ266" t="n">
        <v>2.484145</v>
      </c>
      <c r="AR266" t="n">
        <v>3.364361</v>
      </c>
      <c r="AY266" t="n">
        <v>264</v>
      </c>
      <c r="AZ266" t="n">
        <v>263</v>
      </c>
      <c r="BA266" t="n">
        <v>4794.61</v>
      </c>
      <c r="BB266" t="n">
        <v>4746.9902</v>
      </c>
      <c r="BC266" t="n">
        <v>47.6197</v>
      </c>
      <c r="BD266" t="n">
        <v>2267.6406</v>
      </c>
      <c r="BE266" t="n">
        <v>69169</v>
      </c>
    </row>
    <row r="267">
      <c r="A267" t="n">
        <v>1776772802</v>
      </c>
      <c r="B267" t="inlineStr">
        <is>
          <t>XAUUSD</t>
        </is>
      </c>
      <c r="C267" t="inlineStr">
        <is>
          <t>M15</t>
        </is>
      </c>
      <c r="D267" t="n">
        <v>4791.06</v>
      </c>
      <c r="E267" t="n">
        <v>4518.59282</v>
      </c>
      <c r="F267" t="n">
        <v>4596.05595</v>
      </c>
      <c r="G267" t="n">
        <v>4755.40355</v>
      </c>
      <c r="H267" t="n">
        <v>4792.76972</v>
      </c>
      <c r="Q267" t="n">
        <v>4746.72265</v>
      </c>
      <c r="R267" t="n">
        <v>4776.08595</v>
      </c>
      <c r="S267" t="n">
        <v>4802.67472</v>
      </c>
      <c r="V267" t="n">
        <v>4711.78288</v>
      </c>
      <c r="W267" t="n">
        <v>4678.21788</v>
      </c>
      <c r="AB267" t="n">
        <v>4785.80212</v>
      </c>
      <c r="AC267" t="n">
        <v>4786.61117</v>
      </c>
      <c r="AD267" t="n">
        <v>0</v>
      </c>
      <c r="AK267" t="n">
        <v>265</v>
      </c>
      <c r="AL267" t="n">
        <v>264</v>
      </c>
      <c r="AM267" t="n">
        <v>4791.06</v>
      </c>
      <c r="AN267" t="n">
        <v>4746.7226</v>
      </c>
      <c r="AO267" t="n">
        <v>44.3374</v>
      </c>
      <c r="AP267" t="n">
        <v>1965.8006</v>
      </c>
      <c r="AQ267" t="n">
        <v>2.005048</v>
      </c>
      <c r="AR267" t="n">
        <v>2.528326</v>
      </c>
      <c r="AY267" t="n">
        <v>265</v>
      </c>
      <c r="AZ267" t="n">
        <v>264</v>
      </c>
      <c r="BA267" t="n">
        <v>4791.06</v>
      </c>
      <c r="BB267" t="n">
        <v>4746.7226</v>
      </c>
      <c r="BC267" t="n">
        <v>44.3374</v>
      </c>
      <c r="BD267" t="n">
        <v>1965.8006</v>
      </c>
      <c r="BE267" t="n">
        <v>69696</v>
      </c>
    </row>
    <row r="268">
      <c r="A268" t="n">
        <v>1776773702</v>
      </c>
      <c r="B268" t="inlineStr">
        <is>
          <t>XAUUSD</t>
        </is>
      </c>
      <c r="C268" t="inlineStr">
        <is>
          <t>M15</t>
        </is>
      </c>
      <c r="D268" t="n">
        <v>4780.61</v>
      </c>
      <c r="E268" t="n">
        <v>4518.59282</v>
      </c>
      <c r="F268" t="n">
        <v>4596.05595</v>
      </c>
      <c r="G268" t="n">
        <v>4755.40355</v>
      </c>
      <c r="H268" t="n">
        <v>4792.76972</v>
      </c>
      <c r="Q268" t="n">
        <v>4746.45504</v>
      </c>
      <c r="R268" t="n">
        <v>4775.81834</v>
      </c>
      <c r="S268" t="n">
        <v>4802.40711</v>
      </c>
      <c r="V268" t="n">
        <v>4711.51527</v>
      </c>
      <c r="W268" t="n">
        <v>4677.95028</v>
      </c>
      <c r="AB268" t="n">
        <v>4784.03656</v>
      </c>
      <c r="AC268" t="n">
        <v>4785.32387</v>
      </c>
      <c r="AD268" t="n">
        <v>0</v>
      </c>
      <c r="AK268" t="n">
        <v>266</v>
      </c>
      <c r="AL268" t="n">
        <v>265</v>
      </c>
      <c r="AM268" t="n">
        <v>4780.61</v>
      </c>
      <c r="AN268" t="n">
        <v>4746.455</v>
      </c>
      <c r="AO268" t="n">
        <v>34.155</v>
      </c>
      <c r="AP268" t="n">
        <v>1166.5613</v>
      </c>
      <c r="AQ268" t="n">
        <v>0.916594</v>
      </c>
      <c r="AR268" t="n">
        <v>0.890367</v>
      </c>
      <c r="AY268" t="n">
        <v>266</v>
      </c>
      <c r="AZ268" t="n">
        <v>265</v>
      </c>
      <c r="BA268" t="n">
        <v>4780.61</v>
      </c>
      <c r="BB268" t="n">
        <v>4746.455</v>
      </c>
      <c r="BC268" t="n">
        <v>34.155</v>
      </c>
      <c r="BD268" t="n">
        <v>1166.5613</v>
      </c>
      <c r="BE268" t="n">
        <v>70225</v>
      </c>
    </row>
    <row r="269">
      <c r="A269" t="n">
        <v>1776774602</v>
      </c>
      <c r="B269" t="inlineStr">
        <is>
          <t>XAUUSD</t>
        </is>
      </c>
      <c r="C269" t="inlineStr">
        <is>
          <t>M15</t>
        </is>
      </c>
      <c r="D269" t="n">
        <v>4778.89</v>
      </c>
      <c r="E269" t="n">
        <v>4518.59282</v>
      </c>
      <c r="F269" t="n">
        <v>4596.05595</v>
      </c>
      <c r="G269" t="n">
        <v>4755.40355</v>
      </c>
      <c r="H269" t="n">
        <v>4792.76972</v>
      </c>
      <c r="Q269" t="n">
        <v>4746.18744</v>
      </c>
      <c r="R269" t="n">
        <v>4775.55074</v>
      </c>
      <c r="S269" t="n">
        <v>4802.13951</v>
      </c>
      <c r="V269" t="n">
        <v>4711.24767</v>
      </c>
      <c r="W269" t="n">
        <v>4677.68267</v>
      </c>
      <c r="AB269" t="n">
        <v>4782.33943</v>
      </c>
      <c r="AC269" t="n">
        <v>4783.83165</v>
      </c>
      <c r="AD269" t="n">
        <v>0</v>
      </c>
      <c r="AK269" t="n">
        <v>267</v>
      </c>
      <c r="AL269" t="n">
        <v>266</v>
      </c>
      <c r="AM269" t="n">
        <v>4778.89</v>
      </c>
      <c r="AN269" t="n">
        <v>4746.1874</v>
      </c>
      <c r="AO269" t="n">
        <v>32.7026</v>
      </c>
      <c r="AP269" t="n">
        <v>1069.4574</v>
      </c>
      <c r="AQ269" t="n">
        <v>0.8045639999999999</v>
      </c>
      <c r="AR269" t="n">
        <v>0.748309</v>
      </c>
      <c r="AY269" t="n">
        <v>267</v>
      </c>
      <c r="AZ269" t="n">
        <v>266</v>
      </c>
      <c r="BA269" t="n">
        <v>4778.89</v>
      </c>
      <c r="BB269" t="n">
        <v>4746.1874</v>
      </c>
      <c r="BC269" t="n">
        <v>32.7026</v>
      </c>
      <c r="BD269" t="n">
        <v>1069.4574</v>
      </c>
      <c r="BE269" t="n">
        <v>70756</v>
      </c>
    </row>
    <row r="270">
      <c r="A270" t="n">
        <v>1776775502</v>
      </c>
      <c r="B270" t="inlineStr">
        <is>
          <t>XAUUSD</t>
        </is>
      </c>
      <c r="C270" t="inlineStr">
        <is>
          <t>M15</t>
        </is>
      </c>
      <c r="D270" t="n">
        <v>4778.78</v>
      </c>
      <c r="E270" t="n">
        <v>4518.59282</v>
      </c>
      <c r="F270" t="n">
        <v>4596.05595</v>
      </c>
      <c r="G270" t="n">
        <v>4755.40355</v>
      </c>
      <c r="H270" t="n">
        <v>4792.76972</v>
      </c>
      <c r="Q270" t="n">
        <v>4745.91984</v>
      </c>
      <c r="R270" t="n">
        <v>4775.28313</v>
      </c>
      <c r="S270" t="n">
        <v>4801.8719</v>
      </c>
      <c r="V270" t="n">
        <v>4710.98006</v>
      </c>
      <c r="W270" t="n">
        <v>4677.41507</v>
      </c>
      <c r="AB270" t="n">
        <v>4780.77437</v>
      </c>
      <c r="AC270" t="n">
        <v>4782.30301</v>
      </c>
      <c r="AD270" t="n">
        <v>0</v>
      </c>
      <c r="AK270" t="n">
        <v>268</v>
      </c>
      <c r="AL270" t="n">
        <v>267</v>
      </c>
      <c r="AM270" t="n">
        <v>4778.78</v>
      </c>
      <c r="AN270" t="n">
        <v>4745.9198</v>
      </c>
      <c r="AO270" t="n">
        <v>32.8602</v>
      </c>
      <c r="AP270" t="n">
        <v>1079.7901</v>
      </c>
      <c r="AQ270" t="n">
        <v>0.816253</v>
      </c>
      <c r="AR270" t="n">
        <v>0.762839</v>
      </c>
      <c r="AY270" t="n">
        <v>268</v>
      </c>
      <c r="AZ270" t="n">
        <v>267</v>
      </c>
      <c r="BA270" t="n">
        <v>4778.78</v>
      </c>
      <c r="BB270" t="n">
        <v>4745.9198</v>
      </c>
      <c r="BC270" t="n">
        <v>32.8602</v>
      </c>
      <c r="BD270" t="n">
        <v>1079.7901</v>
      </c>
      <c r="BE270" t="n">
        <v>71289</v>
      </c>
    </row>
    <row r="271">
      <c r="A271" t="n">
        <v>1776776402</v>
      </c>
      <c r="B271" t="inlineStr">
        <is>
          <t>XAUUSD</t>
        </is>
      </c>
      <c r="C271" t="inlineStr">
        <is>
          <t>M15</t>
        </is>
      </c>
      <c r="D271" t="n">
        <v>4765.33</v>
      </c>
      <c r="E271" t="n">
        <v>4518.59282</v>
      </c>
      <c r="F271" t="n">
        <v>4596.05595</v>
      </c>
      <c r="G271" t="n">
        <v>4755.40355</v>
      </c>
      <c r="H271" t="n">
        <v>4792.76972</v>
      </c>
      <c r="Q271" t="n">
        <v>4745.65223</v>
      </c>
      <c r="R271" t="n">
        <v>4775.01553</v>
      </c>
      <c r="S271" t="n">
        <v>4801.6043</v>
      </c>
      <c r="V271" t="n">
        <v>4710.71246</v>
      </c>
      <c r="W271" t="n">
        <v>4677.14746</v>
      </c>
      <c r="AB271" t="n">
        <v>4779.25347</v>
      </c>
      <c r="AC271" t="n">
        <v>4780.77824</v>
      </c>
      <c r="AD271" t="n">
        <v>0</v>
      </c>
      <c r="AK271" t="n">
        <v>269</v>
      </c>
      <c r="AL271" t="n">
        <v>268</v>
      </c>
      <c r="AM271" t="n">
        <v>4765.33</v>
      </c>
      <c r="AN271" t="n">
        <v>4745.6522</v>
      </c>
      <c r="AO271" t="n">
        <v>19.6778</v>
      </c>
      <c r="AP271" t="n">
        <v>387.2146</v>
      </c>
      <c r="AQ271" t="n">
        <v>0.175284</v>
      </c>
      <c r="AR271" t="n">
        <v>0.098097</v>
      </c>
      <c r="AY271" t="n">
        <v>269</v>
      </c>
      <c r="AZ271" t="n">
        <v>268</v>
      </c>
      <c r="BA271" t="n">
        <v>4765.33</v>
      </c>
      <c r="BB271" t="n">
        <v>4745.6522</v>
      </c>
      <c r="BC271" t="n">
        <v>19.6778</v>
      </c>
      <c r="BD271" t="n">
        <v>387.2146</v>
      </c>
      <c r="BE271" t="n">
        <v>71824</v>
      </c>
    </row>
    <row r="272">
      <c r="A272" t="n">
        <v>1776777302</v>
      </c>
      <c r="B272" t="inlineStr">
        <is>
          <t>XAUUSD</t>
        </is>
      </c>
      <c r="C272" t="inlineStr">
        <is>
          <t>M15</t>
        </is>
      </c>
      <c r="D272" t="n">
        <v>4774.96</v>
      </c>
      <c r="E272" t="n">
        <v>4518.59282</v>
      </c>
      <c r="F272" t="n">
        <v>4596.05595</v>
      </c>
      <c r="G272" t="n">
        <v>4755.40355</v>
      </c>
      <c r="H272" t="n">
        <v>4792.76972</v>
      </c>
      <c r="Q272" t="n">
        <v>4745.38463</v>
      </c>
      <c r="R272" t="n">
        <v>4774.74793</v>
      </c>
      <c r="S272" t="n">
        <v>4801.3367</v>
      </c>
      <c r="V272" t="n">
        <v>4710.44486</v>
      </c>
      <c r="W272" t="n">
        <v>4676.87986</v>
      </c>
      <c r="AB272" t="n">
        <v>4777.9154</v>
      </c>
      <c r="AC272" t="n">
        <v>4779.34682</v>
      </c>
      <c r="AD272" t="n">
        <v>0</v>
      </c>
      <c r="AK272" t="n">
        <v>270</v>
      </c>
      <c r="AL272" t="n">
        <v>269</v>
      </c>
      <c r="AM272" t="n">
        <v>4774.96</v>
      </c>
      <c r="AN272" t="n">
        <v>4745.3846</v>
      </c>
      <c r="AO272" t="n">
        <v>29.5754</v>
      </c>
      <c r="AP272" t="n">
        <v>874.7025</v>
      </c>
      <c r="AQ272" t="n">
        <v>0.595122</v>
      </c>
      <c r="AR272" t="n">
        <v>0.500582</v>
      </c>
      <c r="AY272" t="n">
        <v>270</v>
      </c>
      <c r="AZ272" t="n">
        <v>269</v>
      </c>
      <c r="BA272" t="n">
        <v>4774.96</v>
      </c>
      <c r="BB272" t="n">
        <v>4745.3846</v>
      </c>
      <c r="BC272" t="n">
        <v>29.5754</v>
      </c>
      <c r="BD272" t="n">
        <v>874.7025</v>
      </c>
      <c r="BE272" t="n">
        <v>72361</v>
      </c>
    </row>
    <row r="273">
      <c r="A273" t="n">
        <v>1776778202</v>
      </c>
      <c r="B273" t="inlineStr">
        <is>
          <t>XAUUSD</t>
        </is>
      </c>
      <c r="C273" t="inlineStr">
        <is>
          <t>M15</t>
        </is>
      </c>
      <c r="D273" t="n">
        <v>4789.04</v>
      </c>
      <c r="E273" t="n">
        <v>4518.59282</v>
      </c>
      <c r="F273" t="n">
        <v>4596.05595</v>
      </c>
      <c r="G273" t="n">
        <v>4755.40355</v>
      </c>
      <c r="H273" t="n">
        <v>4792.76972</v>
      </c>
      <c r="Q273" t="n">
        <v>4745.11702</v>
      </c>
      <c r="R273" t="n">
        <v>4774.48032</v>
      </c>
      <c r="S273" t="n">
        <v>4801.06909</v>
      </c>
      <c r="V273" t="n">
        <v>4710.17725</v>
      </c>
      <c r="W273" t="n">
        <v>4676.61226</v>
      </c>
      <c r="AB273" t="n">
        <v>4776.2013</v>
      </c>
      <c r="AC273" t="n">
        <v>4777.77406</v>
      </c>
      <c r="AD273" t="n">
        <v>0</v>
      </c>
      <c r="AK273" t="n">
        <v>271</v>
      </c>
      <c r="AL273" t="n">
        <v>270</v>
      </c>
      <c r="AM273" t="n">
        <v>4789.04</v>
      </c>
      <c r="AN273" t="n">
        <v>4745.117</v>
      </c>
      <c r="AO273" t="n">
        <v>43.923</v>
      </c>
      <c r="AP273" t="n">
        <v>1929.2282</v>
      </c>
      <c r="AQ273" t="n">
        <v>1.949355</v>
      </c>
      <c r="AR273" t="n">
        <v>2.435125</v>
      </c>
      <c r="AY273" t="n">
        <v>271</v>
      </c>
      <c r="AZ273" t="n">
        <v>270</v>
      </c>
      <c r="BA273" t="n">
        <v>4789.04</v>
      </c>
      <c r="BB273" t="n">
        <v>4745.117</v>
      </c>
      <c r="BC273" t="n">
        <v>43.923</v>
      </c>
      <c r="BD273" t="n">
        <v>1929.2282</v>
      </c>
      <c r="BE273" t="n">
        <v>72900</v>
      </c>
    </row>
    <row r="274">
      <c r="A274" t="n">
        <v>1776779102</v>
      </c>
      <c r="B274" t="inlineStr">
        <is>
          <t>XAUUSD</t>
        </is>
      </c>
      <c r="C274" t="inlineStr">
        <is>
          <t>M15</t>
        </is>
      </c>
      <c r="D274" t="n">
        <v>4779.16</v>
      </c>
      <c r="E274" t="n">
        <v>4518.59282</v>
      </c>
      <c r="F274" t="n">
        <v>4596.05595</v>
      </c>
      <c r="G274" t="n">
        <v>4755.40355</v>
      </c>
      <c r="H274" t="n">
        <v>4792.76972</v>
      </c>
      <c r="Q274" t="n">
        <v>4744.84942</v>
      </c>
      <c r="R274" t="n">
        <v>4774.21272</v>
      </c>
      <c r="S274" t="n">
        <v>4800.80149</v>
      </c>
      <c r="V274" t="n">
        <v>4709.90965</v>
      </c>
      <c r="W274" t="n">
        <v>4676.34465</v>
      </c>
      <c r="AB274" t="n">
        <v>4773.42706</v>
      </c>
      <c r="AC274" t="n">
        <v>4775.60056</v>
      </c>
      <c r="AD274" t="n">
        <v>0</v>
      </c>
      <c r="AK274" t="n">
        <v>272</v>
      </c>
      <c r="AL274" t="n">
        <v>271</v>
      </c>
      <c r="AM274" t="n">
        <v>4779.16</v>
      </c>
      <c r="AN274" t="n">
        <v>4744.8494</v>
      </c>
      <c r="AO274" t="n">
        <v>34.3106</v>
      </c>
      <c r="AP274" t="n">
        <v>1177.2159</v>
      </c>
      <c r="AQ274" t="n">
        <v>0.92918</v>
      </c>
      <c r="AR274" t="n">
        <v>0.906706</v>
      </c>
      <c r="AY274" t="n">
        <v>272</v>
      </c>
      <c r="AZ274" t="n">
        <v>271</v>
      </c>
      <c r="BA274" t="n">
        <v>4779.16</v>
      </c>
      <c r="BB274" t="n">
        <v>4744.8494</v>
      </c>
      <c r="BC274" t="n">
        <v>34.3106</v>
      </c>
      <c r="BD274" t="n">
        <v>1177.2159</v>
      </c>
      <c r="BE274" t="n">
        <v>73441</v>
      </c>
    </row>
    <row r="275">
      <c r="A275" t="n">
        <v>1776780002</v>
      </c>
      <c r="B275" t="inlineStr">
        <is>
          <t>XAUUSD</t>
        </is>
      </c>
      <c r="C275" t="inlineStr">
        <is>
          <t>M15</t>
        </is>
      </c>
      <c r="D275" t="n">
        <v>4778.53</v>
      </c>
      <c r="E275" t="n">
        <v>4518.59282</v>
      </c>
      <c r="F275" t="n">
        <v>4596.05595</v>
      </c>
      <c r="G275" t="n">
        <v>4755.40355</v>
      </c>
      <c r="H275" t="n">
        <v>4792.76972</v>
      </c>
      <c r="Q275" t="n">
        <v>4744.58181</v>
      </c>
      <c r="R275" t="n">
        <v>4773.94511</v>
      </c>
      <c r="S275" t="n">
        <v>4800.53388</v>
      </c>
      <c r="V275" t="n">
        <v>4709.64204</v>
      </c>
      <c r="W275" t="n">
        <v>4676.07705</v>
      </c>
      <c r="AB275" t="n">
        <v>4769.69839</v>
      </c>
      <c r="AC275" t="n">
        <v>4772.64948</v>
      </c>
      <c r="AD275" t="n">
        <v>0</v>
      </c>
      <c r="AK275" t="n">
        <v>273</v>
      </c>
      <c r="AL275" t="n">
        <v>272</v>
      </c>
      <c r="AM275" t="n">
        <v>4778.53</v>
      </c>
      <c r="AN275" t="n">
        <v>4744.5818</v>
      </c>
      <c r="AO275" t="n">
        <v>33.9482</v>
      </c>
      <c r="AP275" t="n">
        <v>1152.4796</v>
      </c>
      <c r="AQ275" t="n">
        <v>0.900048</v>
      </c>
      <c r="AR275" t="n">
        <v>0.8690020000000001</v>
      </c>
      <c r="AY275" t="n">
        <v>273</v>
      </c>
      <c r="AZ275" t="n">
        <v>272</v>
      </c>
      <c r="BA275" t="n">
        <v>4778.53</v>
      </c>
      <c r="BB275" t="n">
        <v>4744.5818</v>
      </c>
      <c r="BC275" t="n">
        <v>33.9482</v>
      </c>
      <c r="BD275" t="n">
        <v>1152.4796</v>
      </c>
      <c r="BE275" t="n">
        <v>73984</v>
      </c>
    </row>
    <row r="276">
      <c r="A276" t="n">
        <v>1776780902</v>
      </c>
      <c r="B276" t="inlineStr">
        <is>
          <t>XAUUSD</t>
        </is>
      </c>
      <c r="C276" t="inlineStr">
        <is>
          <t>M15</t>
        </is>
      </c>
      <c r="D276" t="n">
        <v>4774.24</v>
      </c>
      <c r="E276" t="n">
        <v>4518.59282</v>
      </c>
      <c r="F276" t="n">
        <v>4596.05595</v>
      </c>
      <c r="G276" t="n">
        <v>4755.40355</v>
      </c>
      <c r="H276" t="n">
        <v>4792.76972</v>
      </c>
      <c r="Q276" t="n">
        <v>4744.31421</v>
      </c>
      <c r="R276" t="n">
        <v>4773.67751</v>
      </c>
      <c r="S276" t="n">
        <v>4800.26628</v>
      </c>
      <c r="V276" t="n">
        <v>4709.37444</v>
      </c>
      <c r="W276" t="n">
        <v>4675.80944</v>
      </c>
      <c r="AB276" t="n">
        <v>4764.9909</v>
      </c>
      <c r="AC276" t="n">
        <v>4768.82019</v>
      </c>
      <c r="AD276" t="n">
        <v>0</v>
      </c>
      <c r="AK276" t="n">
        <v>274</v>
      </c>
      <c r="AL276" t="n">
        <v>273</v>
      </c>
      <c r="AM276" t="n">
        <v>4774.24</v>
      </c>
      <c r="AN276" t="n">
        <v>4744.3142</v>
      </c>
      <c r="AO276" t="n">
        <v>29.9258</v>
      </c>
      <c r="AP276" t="n">
        <v>895.5529</v>
      </c>
      <c r="AQ276" t="n">
        <v>0.616528</v>
      </c>
      <c r="AR276" t="n">
        <v>0.5247309999999999</v>
      </c>
      <c r="AY276" t="n">
        <v>274</v>
      </c>
      <c r="AZ276" t="n">
        <v>273</v>
      </c>
      <c r="BA276" t="n">
        <v>4774.24</v>
      </c>
      <c r="BB276" t="n">
        <v>4744.3142</v>
      </c>
      <c r="BC276" t="n">
        <v>29.9258</v>
      </c>
      <c r="BD276" t="n">
        <v>895.5529</v>
      </c>
      <c r="BE276" t="n">
        <v>74529</v>
      </c>
    </row>
    <row r="277">
      <c r="A277" t="n">
        <v>1776781802</v>
      </c>
      <c r="B277" t="inlineStr">
        <is>
          <t>XAUUSD</t>
        </is>
      </c>
      <c r="C277" t="inlineStr">
        <is>
          <t>M15</t>
        </is>
      </c>
      <c r="D277" t="n">
        <v>4744.7</v>
      </c>
      <c r="E277" t="n">
        <v>4518.59282</v>
      </c>
      <c r="F277" t="n">
        <v>4596.05595</v>
      </c>
      <c r="G277" t="n">
        <v>4755.40355</v>
      </c>
      <c r="H277" t="n">
        <v>4792.76972</v>
      </c>
      <c r="Q277" t="n">
        <v>4744.04661</v>
      </c>
      <c r="R277" t="n">
        <v>4773.40991</v>
      </c>
      <c r="S277" t="n">
        <v>4799.99868</v>
      </c>
      <c r="V277" t="n">
        <v>4709.10684</v>
      </c>
      <c r="W277" t="n">
        <v>4675.54184</v>
      </c>
      <c r="AB277" t="n">
        <v>4759.49783</v>
      </c>
      <c r="AC277" t="n">
        <v>4764.15901</v>
      </c>
      <c r="AD277" t="n">
        <v>0</v>
      </c>
      <c r="AK277" t="n">
        <v>275</v>
      </c>
      <c r="AL277" t="n">
        <v>274</v>
      </c>
      <c r="AM277" t="n">
        <v>4744.7</v>
      </c>
      <c r="AN277" t="n">
        <v>4744.0466</v>
      </c>
      <c r="AO277" t="n">
        <v>0.6534</v>
      </c>
      <c r="AP277" t="n">
        <v>0.4269</v>
      </c>
      <c r="AQ277" t="n">
        <v>6e-06</v>
      </c>
      <c r="AR277" t="n">
        <v>0</v>
      </c>
      <c r="AY277" t="n">
        <v>275</v>
      </c>
      <c r="AZ277" t="n">
        <v>274</v>
      </c>
      <c r="BA277" t="n">
        <v>4744.7</v>
      </c>
      <c r="BB277" t="n">
        <v>4744.0466</v>
      </c>
      <c r="BC277" t="n">
        <v>0.6534</v>
      </c>
      <c r="BD277" t="n">
        <v>0.4269</v>
      </c>
      <c r="BE277" t="n">
        <v>75076</v>
      </c>
    </row>
    <row r="278">
      <c r="A278" t="n">
        <v>1776782702</v>
      </c>
      <c r="B278" t="inlineStr">
        <is>
          <t>XAUUSD</t>
        </is>
      </c>
      <c r="C278" t="inlineStr">
        <is>
          <t>M15</t>
        </is>
      </c>
      <c r="D278" t="n">
        <v>4738.97</v>
      </c>
      <c r="E278" t="n">
        <v>4518.59282</v>
      </c>
      <c r="F278" t="n">
        <v>4596.05595</v>
      </c>
      <c r="G278" t="n">
        <v>4755.40355</v>
      </c>
      <c r="H278" t="n">
        <v>4792.76972</v>
      </c>
      <c r="Q278" t="n">
        <v>4743.779</v>
      </c>
      <c r="R278" t="n">
        <v>4773.1423</v>
      </c>
      <c r="S278" t="n">
        <v>4799.73107</v>
      </c>
      <c r="V278" t="n">
        <v>4708.83923</v>
      </c>
      <c r="W278" t="n">
        <v>4675.27424</v>
      </c>
      <c r="AB278" t="n">
        <v>4754.12855</v>
      </c>
      <c r="AC278" t="n">
        <v>4759.14378</v>
      </c>
      <c r="AD278" t="n">
        <v>0</v>
      </c>
      <c r="AK278" t="n">
        <v>276</v>
      </c>
      <c r="AL278" t="n">
        <v>275</v>
      </c>
      <c r="AM278" t="n">
        <v>4738.97</v>
      </c>
      <c r="AN278" t="n">
        <v>4743.779</v>
      </c>
      <c r="AO278" t="n">
        <v>-4.809</v>
      </c>
      <c r="AP278" t="n">
        <v>23.1265</v>
      </c>
      <c r="AQ278" t="n">
        <v>-0.002558</v>
      </c>
      <c r="AR278" t="n">
        <v>0.00035</v>
      </c>
      <c r="AY278" t="n">
        <v>276</v>
      </c>
      <c r="AZ278" t="n">
        <v>275</v>
      </c>
      <c r="BA278" t="n">
        <v>4738.97</v>
      </c>
      <c r="BB278" t="n">
        <v>4743.779</v>
      </c>
      <c r="BC278" t="n">
        <v>-4.809</v>
      </c>
      <c r="BD278" t="n">
        <v>23.1265</v>
      </c>
      <c r="BE278" t="n">
        <v>75625</v>
      </c>
    </row>
    <row r="279">
      <c r="A279" t="n">
        <v>1776783602</v>
      </c>
      <c r="B279" t="inlineStr">
        <is>
          <t>XAUUSD</t>
        </is>
      </c>
      <c r="C279" t="inlineStr">
        <is>
          <t>M15</t>
        </is>
      </c>
      <c r="D279" t="n">
        <v>4748.21</v>
      </c>
      <c r="E279" t="n">
        <v>4518.59282</v>
      </c>
      <c r="F279" t="n">
        <v>4596.05595</v>
      </c>
      <c r="G279" t="n">
        <v>4755.40355</v>
      </c>
      <c r="H279" t="n">
        <v>4792.76972</v>
      </c>
      <c r="Q279" t="n">
        <v>4743.5114</v>
      </c>
      <c r="R279" t="n">
        <v>4772.8747</v>
      </c>
      <c r="S279" t="n">
        <v>4799.46347</v>
      </c>
      <c r="V279" t="n">
        <v>4708.57163</v>
      </c>
      <c r="W279" t="n">
        <v>4675.00663</v>
      </c>
      <c r="AB279" t="n">
        <v>4749.06783</v>
      </c>
      <c r="AC279" t="n">
        <v>4754.1058</v>
      </c>
      <c r="AD279" t="n">
        <v>0</v>
      </c>
      <c r="AK279" t="n">
        <v>277</v>
      </c>
      <c r="AL279" t="n">
        <v>276</v>
      </c>
      <c r="AM279" t="n">
        <v>4748.21</v>
      </c>
      <c r="AN279" t="n">
        <v>4743.5114</v>
      </c>
      <c r="AO279" t="n">
        <v>4.6986</v>
      </c>
      <c r="AP279" t="n">
        <v>22.0768</v>
      </c>
      <c r="AQ279" t="n">
        <v>0.002386</v>
      </c>
      <c r="AR279" t="n">
        <v>0.000319</v>
      </c>
      <c r="AY279" t="n">
        <v>277</v>
      </c>
      <c r="AZ279" t="n">
        <v>276</v>
      </c>
      <c r="BA279" t="n">
        <v>4748.21</v>
      </c>
      <c r="BB279" t="n">
        <v>4743.5114</v>
      </c>
      <c r="BC279" t="n">
        <v>4.6986</v>
      </c>
      <c r="BD279" t="n">
        <v>22.0768</v>
      </c>
      <c r="BE279" t="n">
        <v>76176</v>
      </c>
    </row>
    <row r="280">
      <c r="A280" t="n">
        <v>1776784502</v>
      </c>
      <c r="B280" t="inlineStr">
        <is>
          <t>XAUUSD</t>
        </is>
      </c>
      <c r="C280" t="inlineStr">
        <is>
          <t>M15</t>
        </is>
      </c>
      <c r="D280" t="n">
        <v>4742.57</v>
      </c>
      <c r="E280" t="n">
        <v>4518.59282</v>
      </c>
      <c r="F280" t="n">
        <v>4596.05595</v>
      </c>
      <c r="G280" t="n">
        <v>4755.40355</v>
      </c>
      <c r="H280" t="n">
        <v>4792.76972</v>
      </c>
      <c r="Q280" t="n">
        <v>4743.24379</v>
      </c>
      <c r="R280" t="n">
        <v>4772.60709</v>
      </c>
      <c r="S280" t="n">
        <v>4799.19586</v>
      </c>
      <c r="V280" t="n">
        <v>4708.30402</v>
      </c>
      <c r="W280" t="n">
        <v>4674.73903</v>
      </c>
      <c r="AB280" t="n">
        <v>4743.96764</v>
      </c>
      <c r="AC280" t="n">
        <v>4749.03672</v>
      </c>
      <c r="AD280" t="n">
        <v>0</v>
      </c>
      <c r="AK280" t="n">
        <v>278</v>
      </c>
      <c r="AL280" t="n">
        <v>277</v>
      </c>
      <c r="AM280" t="n">
        <v>4742.57</v>
      </c>
      <c r="AN280" t="n">
        <v>4743.2438</v>
      </c>
      <c r="AO280" t="n">
        <v>-0.6738</v>
      </c>
      <c r="AP280" t="n">
        <v>0.454</v>
      </c>
      <c r="AQ280" t="n">
        <v>-7e-06</v>
      </c>
      <c r="AR280" t="n">
        <v>0</v>
      </c>
      <c r="AY280" t="n">
        <v>278</v>
      </c>
      <c r="AZ280" t="n">
        <v>277</v>
      </c>
      <c r="BA280" t="n">
        <v>4742.57</v>
      </c>
      <c r="BB280" t="n">
        <v>4743.2438</v>
      </c>
      <c r="BC280" t="n">
        <v>-0.6738</v>
      </c>
      <c r="BD280" t="n">
        <v>0.454</v>
      </c>
      <c r="BE280" t="n">
        <v>76729</v>
      </c>
    </row>
    <row r="281">
      <c r="A281" t="n">
        <v>1776785402</v>
      </c>
      <c r="B281" t="inlineStr">
        <is>
          <t>XAUUSD</t>
        </is>
      </c>
      <c r="C281" t="inlineStr">
        <is>
          <t>M15</t>
        </is>
      </c>
      <c r="D281" t="n">
        <v>4745.93</v>
      </c>
      <c r="E281" t="n">
        <v>4518.59282</v>
      </c>
      <c r="F281" t="n">
        <v>4596.05595</v>
      </c>
      <c r="G281" t="n">
        <v>4755.40355</v>
      </c>
      <c r="H281" t="n">
        <v>4792.76972</v>
      </c>
      <c r="Q281" t="n">
        <v>4742.97619</v>
      </c>
      <c r="R281" t="n">
        <v>4772.33949</v>
      </c>
      <c r="S281" t="n">
        <v>4798.92826</v>
      </c>
      <c r="V281" t="n">
        <v>4708.03642</v>
      </c>
      <c r="W281" t="n">
        <v>4674.47142</v>
      </c>
      <c r="AB281" t="n">
        <v>4738.84018</v>
      </c>
      <c r="AC281" t="n">
        <v>4743.93845</v>
      </c>
      <c r="AD281" t="n">
        <v>0</v>
      </c>
      <c r="AK281" t="n">
        <v>279</v>
      </c>
      <c r="AL281" t="n">
        <v>278</v>
      </c>
      <c r="AM281" t="n">
        <v>4745.93</v>
      </c>
      <c r="AN281" t="n">
        <v>4742.9762</v>
      </c>
      <c r="AO281" t="n">
        <v>2.9538</v>
      </c>
      <c r="AP281" t="n">
        <v>8.725</v>
      </c>
      <c r="AQ281" t="n">
        <v>0.000593</v>
      </c>
      <c r="AR281" t="n">
        <v>5e-05</v>
      </c>
      <c r="AY281" t="n">
        <v>279</v>
      </c>
      <c r="AZ281" t="n">
        <v>278</v>
      </c>
      <c r="BA281" t="n">
        <v>4745.93</v>
      </c>
      <c r="BB281" t="n">
        <v>4742.9762</v>
      </c>
      <c r="BC281" t="n">
        <v>2.9538</v>
      </c>
      <c r="BD281" t="n">
        <v>8.725</v>
      </c>
      <c r="BE281" t="n">
        <v>77284</v>
      </c>
    </row>
    <row r="282">
      <c r="A282" t="n">
        <v>1776786302</v>
      </c>
      <c r="B282" t="inlineStr">
        <is>
          <t>XAUUSD</t>
        </is>
      </c>
      <c r="C282" t="inlineStr">
        <is>
          <t>M15</t>
        </is>
      </c>
      <c r="D282" t="n">
        <v>4741.81</v>
      </c>
      <c r="E282" t="n">
        <v>4518.59282</v>
      </c>
      <c r="F282" t="n">
        <v>4596.05595</v>
      </c>
      <c r="G282" t="n">
        <v>4755.40355</v>
      </c>
      <c r="H282" t="n">
        <v>4792.76972</v>
      </c>
      <c r="Q282" t="n">
        <v>4742.70859</v>
      </c>
      <c r="R282" t="n">
        <v>4772.07188</v>
      </c>
      <c r="S282" t="n">
        <v>4798.66066</v>
      </c>
      <c r="V282" t="n">
        <v>4707.76882</v>
      </c>
      <c r="W282" t="n">
        <v>4674.20382</v>
      </c>
      <c r="AB282" t="n">
        <v>4733.50311</v>
      </c>
      <c r="AC282" t="n">
        <v>4738.72078</v>
      </c>
      <c r="AD282" t="n">
        <v>0</v>
      </c>
      <c r="AK282" t="n">
        <v>280</v>
      </c>
      <c r="AL282" t="n">
        <v>279</v>
      </c>
      <c r="AM282" t="n">
        <v>4741.81</v>
      </c>
      <c r="AN282" t="n">
        <v>4742.7086</v>
      </c>
      <c r="AO282" t="n">
        <v>-0.8986</v>
      </c>
      <c r="AP282" t="n">
        <v>0.8075</v>
      </c>
      <c r="AQ282" t="n">
        <v>-1.7e-05</v>
      </c>
      <c r="AR282" t="n">
        <v>0</v>
      </c>
      <c r="AY282" t="n">
        <v>280</v>
      </c>
      <c r="AZ282" t="n">
        <v>279</v>
      </c>
      <c r="BA282" t="n">
        <v>4741.81</v>
      </c>
      <c r="BB282" t="n">
        <v>4742.7086</v>
      </c>
      <c r="BC282" t="n">
        <v>-0.8986</v>
      </c>
      <c r="BD282" t="n">
        <v>0.8075</v>
      </c>
      <c r="BE282" t="n">
        <v>77841</v>
      </c>
    </row>
    <row r="283">
      <c r="A283" t="n">
        <v>1776787202</v>
      </c>
      <c r="B283" t="inlineStr">
        <is>
          <t>XAUUSD</t>
        </is>
      </c>
      <c r="C283" t="inlineStr">
        <is>
          <t>M15</t>
        </is>
      </c>
      <c r="D283" t="n">
        <v>4730.44</v>
      </c>
      <c r="E283" t="n">
        <v>4518.59282</v>
      </c>
      <c r="F283" t="n">
        <v>4596.05595</v>
      </c>
      <c r="G283" t="n">
        <v>4755.40355</v>
      </c>
      <c r="H283" t="n">
        <v>4792.76972</v>
      </c>
      <c r="Q283" t="n">
        <v>4742.44098</v>
      </c>
      <c r="R283" t="n">
        <v>4771.80428</v>
      </c>
      <c r="S283" t="n">
        <v>4798.39305</v>
      </c>
      <c r="V283" t="n">
        <v>4707.50121</v>
      </c>
      <c r="W283" t="n">
        <v>4673.93622</v>
      </c>
      <c r="AB283" t="n">
        <v>4728.041</v>
      </c>
      <c r="AC283" t="n">
        <v>4733.38089</v>
      </c>
      <c r="AD283" t="n">
        <v>0</v>
      </c>
      <c r="AK283" t="n">
        <v>281</v>
      </c>
      <c r="AL283" t="n">
        <v>280</v>
      </c>
      <c r="AM283" t="n">
        <v>4730.44</v>
      </c>
      <c r="AN283" t="n">
        <v>4742.441</v>
      </c>
      <c r="AO283" t="n">
        <v>-12.001</v>
      </c>
      <c r="AP283" t="n">
        <v>144.0235</v>
      </c>
      <c r="AQ283" t="n">
        <v>-0.039762</v>
      </c>
      <c r="AR283" t="n">
        <v>0.013571</v>
      </c>
      <c r="AY283" t="n">
        <v>281</v>
      </c>
      <c r="AZ283" t="n">
        <v>280</v>
      </c>
      <c r="BA283" t="n">
        <v>4730.44</v>
      </c>
      <c r="BB283" t="n">
        <v>4742.441</v>
      </c>
      <c r="BC283" t="n">
        <v>-12.001</v>
      </c>
      <c r="BD283" t="n">
        <v>144.0235</v>
      </c>
      <c r="BE283" t="n">
        <v>78400</v>
      </c>
    </row>
    <row r="284">
      <c r="A284" t="n">
        <v>1776788102</v>
      </c>
      <c r="B284" t="inlineStr">
        <is>
          <t>XAUUSD</t>
        </is>
      </c>
      <c r="C284" t="inlineStr">
        <is>
          <t>M15</t>
        </is>
      </c>
      <c r="D284" t="n">
        <v>4720.86</v>
      </c>
      <c r="E284" t="n">
        <v>4518.59282</v>
      </c>
      <c r="F284" t="n">
        <v>4596.05595</v>
      </c>
      <c r="G284" t="n">
        <v>4755.40355</v>
      </c>
      <c r="H284" t="n">
        <v>4792.76972</v>
      </c>
      <c r="Q284" t="n">
        <v>4742.17338</v>
      </c>
      <c r="R284" t="n">
        <v>4771.53668</v>
      </c>
      <c r="S284" t="n">
        <v>4798.12545</v>
      </c>
      <c r="V284" t="n">
        <v>4707.23361</v>
      </c>
      <c r="W284" t="n">
        <v>4673.66861</v>
      </c>
      <c r="AB284" t="n">
        <v>4722.84116</v>
      </c>
      <c r="AC284" t="n">
        <v>4728.11103</v>
      </c>
      <c r="AD284" t="n">
        <v>0</v>
      </c>
      <c r="AK284" t="n">
        <v>282</v>
      </c>
      <c r="AL284" t="n">
        <v>281</v>
      </c>
      <c r="AM284" t="n">
        <v>4720.86</v>
      </c>
      <c r="AN284" t="n">
        <v>4742.1734</v>
      </c>
      <c r="AO284" t="n">
        <v>-21.3134</v>
      </c>
      <c r="AP284" t="n">
        <v>454.2602</v>
      </c>
      <c r="AQ284" t="n">
        <v>-0.222727</v>
      </c>
      <c r="AR284" t="n">
        <v>0.135009</v>
      </c>
      <c r="AY284" t="n">
        <v>282</v>
      </c>
      <c r="AZ284" t="n">
        <v>281</v>
      </c>
      <c r="BA284" t="n">
        <v>4720.86</v>
      </c>
      <c r="BB284" t="n">
        <v>4742.1734</v>
      </c>
      <c r="BC284" t="n">
        <v>-21.3134</v>
      </c>
      <c r="BD284" t="n">
        <v>454.2602</v>
      </c>
      <c r="BE284" t="n">
        <v>78961</v>
      </c>
    </row>
    <row r="285">
      <c r="A285" t="n">
        <v>1776789002</v>
      </c>
      <c r="B285" t="inlineStr">
        <is>
          <t>XAUUSD</t>
        </is>
      </c>
      <c r="C285" t="inlineStr">
        <is>
          <t>M15</t>
        </is>
      </c>
      <c r="D285" t="n">
        <v>4721.05</v>
      </c>
      <c r="E285" t="n">
        <v>4518.59282</v>
      </c>
      <c r="F285" t="n">
        <v>4596.05595</v>
      </c>
      <c r="G285" t="n">
        <v>4755.40355</v>
      </c>
      <c r="H285" t="n">
        <v>4792.76972</v>
      </c>
      <c r="Q285" t="n">
        <v>4741.90577</v>
      </c>
      <c r="R285" t="n">
        <v>4771.26907</v>
      </c>
      <c r="S285" t="n">
        <v>4797.85784</v>
      </c>
      <c r="V285" t="n">
        <v>4706.966</v>
      </c>
      <c r="W285" t="n">
        <v>4673.40101</v>
      </c>
      <c r="AB285" t="n">
        <v>4718.29378</v>
      </c>
      <c r="AC285" t="n">
        <v>4723.2024</v>
      </c>
      <c r="AD285" t="n">
        <v>0</v>
      </c>
      <c r="AK285" t="n">
        <v>283</v>
      </c>
      <c r="AL285" t="n">
        <v>282</v>
      </c>
      <c r="AM285" t="n">
        <v>4721.05</v>
      </c>
      <c r="AN285" t="n">
        <v>4741.9058</v>
      </c>
      <c r="AO285" t="n">
        <v>-20.8558</v>
      </c>
      <c r="AP285" t="n">
        <v>434.9631</v>
      </c>
      <c r="AQ285" t="n">
        <v>-0.208686</v>
      </c>
      <c r="AR285" t="n">
        <v>0.123782</v>
      </c>
      <c r="AY285" t="n">
        <v>283</v>
      </c>
      <c r="AZ285" t="n">
        <v>282</v>
      </c>
      <c r="BA285" t="n">
        <v>4721.05</v>
      </c>
      <c r="BB285" t="n">
        <v>4741.9058</v>
      </c>
      <c r="BC285" t="n">
        <v>-20.8558</v>
      </c>
      <c r="BD285" t="n">
        <v>434.9631</v>
      </c>
      <c r="BE285" t="n">
        <v>79524</v>
      </c>
    </row>
    <row r="286">
      <c r="A286" t="n">
        <v>1776789902</v>
      </c>
      <c r="B286" t="inlineStr">
        <is>
          <t>XAUUSD</t>
        </is>
      </c>
      <c r="C286" t="inlineStr">
        <is>
          <t>M15</t>
        </is>
      </c>
      <c r="D286" t="n">
        <v>4711.56</v>
      </c>
      <c r="E286" t="n">
        <v>4518.59282</v>
      </c>
      <c r="F286" t="n">
        <v>4596.05595</v>
      </c>
      <c r="G286" t="n">
        <v>4755.40355</v>
      </c>
      <c r="H286" t="n">
        <v>4792.76972</v>
      </c>
      <c r="Q286" t="n">
        <v>4741.63817</v>
      </c>
      <c r="R286" t="n">
        <v>4771.00147</v>
      </c>
      <c r="S286" t="n">
        <v>4797.59024</v>
      </c>
      <c r="V286" t="n">
        <v>4706.6984</v>
      </c>
      <c r="W286" t="n">
        <v>4673.1334</v>
      </c>
      <c r="AB286" t="n">
        <v>4714.47889</v>
      </c>
      <c r="AC286" t="n">
        <v>4718.84065</v>
      </c>
      <c r="AD286" t="n">
        <v>0</v>
      </c>
      <c r="AK286" t="n">
        <v>284</v>
      </c>
      <c r="AL286" t="n">
        <v>283</v>
      </c>
      <c r="AM286" t="n">
        <v>4711.56</v>
      </c>
      <c r="AN286" t="n">
        <v>4741.6382</v>
      </c>
      <c r="AO286" t="n">
        <v>-30.0782</v>
      </c>
      <c r="AP286" t="n">
        <v>904.6963</v>
      </c>
      <c r="AQ286" t="n">
        <v>-0.625993</v>
      </c>
      <c r="AR286" t="n">
        <v>0.5355</v>
      </c>
      <c r="AY286" t="n">
        <v>284</v>
      </c>
      <c r="AZ286" t="n">
        <v>283</v>
      </c>
      <c r="BA286" t="n">
        <v>4711.56</v>
      </c>
      <c r="BB286" t="n">
        <v>4741.6382</v>
      </c>
      <c r="BC286" t="n">
        <v>-30.0782</v>
      </c>
      <c r="BD286" t="n">
        <v>904.6963</v>
      </c>
      <c r="BE286" t="n">
        <v>80089</v>
      </c>
    </row>
    <row r="287">
      <c r="A287" t="n">
        <v>1776790802</v>
      </c>
      <c r="B287" t="inlineStr">
        <is>
          <t>XAUUSD</t>
        </is>
      </c>
      <c r="C287" t="inlineStr">
        <is>
          <t>M15</t>
        </is>
      </c>
      <c r="D287" t="n">
        <v>4706.5</v>
      </c>
      <c r="E287" t="n">
        <v>4518.59282</v>
      </c>
      <c r="F287" t="n">
        <v>4596.05595</v>
      </c>
      <c r="G287" t="n">
        <v>4755.40355</v>
      </c>
      <c r="H287" t="n">
        <v>4792.76972</v>
      </c>
      <c r="Q287" t="n">
        <v>4741.37057</v>
      </c>
      <c r="R287" t="n">
        <v>4770.73386</v>
      </c>
      <c r="S287" t="n">
        <v>4797.32264</v>
      </c>
      <c r="V287" t="n">
        <v>4706.4308</v>
      </c>
      <c r="W287" t="n">
        <v>4672.8658</v>
      </c>
      <c r="AB287" t="n">
        <v>4711.63926</v>
      </c>
      <c r="AC287" t="n">
        <v>4715.23995</v>
      </c>
      <c r="AD287" t="n">
        <v>0</v>
      </c>
      <c r="AK287" t="n">
        <v>285</v>
      </c>
      <c r="AL287" t="n">
        <v>284</v>
      </c>
      <c r="AM287" t="n">
        <v>4706.5</v>
      </c>
      <c r="AN287" t="n">
        <v>4741.3706</v>
      </c>
      <c r="AO287" t="n">
        <v>-34.8706</v>
      </c>
      <c r="AP287" t="n">
        <v>1215.9567</v>
      </c>
      <c r="AQ287" t="n">
        <v>-0.975422</v>
      </c>
      <c r="AR287" t="n">
        <v>0.967365</v>
      </c>
      <c r="AY287" t="n">
        <v>285</v>
      </c>
      <c r="AZ287" t="n">
        <v>284</v>
      </c>
      <c r="BA287" t="n">
        <v>4706.5</v>
      </c>
      <c r="BB287" t="n">
        <v>4741.3706</v>
      </c>
      <c r="BC287" t="n">
        <v>-34.8706</v>
      </c>
      <c r="BD287" t="n">
        <v>1215.9567</v>
      </c>
      <c r="BE287" t="n">
        <v>80656</v>
      </c>
    </row>
    <row r="288">
      <c r="A288" t="n">
        <v>1776791702</v>
      </c>
      <c r="B288" t="inlineStr">
        <is>
          <t>XAUUSD</t>
        </is>
      </c>
      <c r="C288" t="inlineStr">
        <is>
          <t>M15</t>
        </is>
      </c>
      <c r="D288" t="n">
        <v>4700.29</v>
      </c>
      <c r="E288" t="n">
        <v>4518.59282</v>
      </c>
      <c r="F288" t="n">
        <v>4596.05595</v>
      </c>
      <c r="G288" t="n">
        <v>4755.40355</v>
      </c>
      <c r="H288" t="n">
        <v>4792.76972</v>
      </c>
      <c r="Q288" t="n">
        <v>4741.10296</v>
      </c>
      <c r="R288" t="n">
        <v>4770.46626</v>
      </c>
      <c r="S288" t="n">
        <v>4797.05503</v>
      </c>
      <c r="V288" t="n">
        <v>4706.16319</v>
      </c>
      <c r="W288" t="n">
        <v>4672.59819</v>
      </c>
      <c r="AB288" t="n">
        <v>4709.7586</v>
      </c>
      <c r="AC288" t="n">
        <v>4712.49927</v>
      </c>
      <c r="AD288" t="n">
        <v>0</v>
      </c>
      <c r="AK288" t="n">
        <v>286</v>
      </c>
      <c r="AL288" t="n">
        <v>285</v>
      </c>
      <c r="AM288" t="n">
        <v>4700.29</v>
      </c>
      <c r="AN288" t="n">
        <v>4741.103</v>
      </c>
      <c r="AO288" t="n">
        <v>-40.813</v>
      </c>
      <c r="AP288" t="n">
        <v>1665.6977</v>
      </c>
      <c r="AQ288" t="n">
        <v>-1.563903</v>
      </c>
      <c r="AR288" t="n">
        <v>1.815292</v>
      </c>
      <c r="AY288" t="n">
        <v>286</v>
      </c>
      <c r="AZ288" t="n">
        <v>285</v>
      </c>
      <c r="BA288" t="n">
        <v>4700.29</v>
      </c>
      <c r="BB288" t="n">
        <v>4741.103</v>
      </c>
      <c r="BC288" t="n">
        <v>-40.813</v>
      </c>
      <c r="BD288" t="n">
        <v>1665.6977</v>
      </c>
      <c r="BE288" t="n">
        <v>81225</v>
      </c>
    </row>
    <row r="289">
      <c r="A289" t="n">
        <v>1776792602</v>
      </c>
      <c r="B289" t="inlineStr">
        <is>
          <t>XAUUSD</t>
        </is>
      </c>
      <c r="C289" t="inlineStr">
        <is>
          <t>M15</t>
        </is>
      </c>
      <c r="D289" t="n">
        <v>4717.89</v>
      </c>
      <c r="E289" t="n">
        <v>4518.59282</v>
      </c>
      <c r="F289" t="n">
        <v>4596.05595</v>
      </c>
      <c r="G289" t="n">
        <v>4755.40355</v>
      </c>
      <c r="H289" t="n">
        <v>4792.76972</v>
      </c>
      <c r="Q289" t="n">
        <v>4740.83536</v>
      </c>
      <c r="R289" t="n">
        <v>4770.19866</v>
      </c>
      <c r="S289" t="n">
        <v>4796.78743</v>
      </c>
      <c r="V289" t="n">
        <v>4705.89559</v>
      </c>
      <c r="W289" t="n">
        <v>4672.33059</v>
      </c>
      <c r="AB289" t="n">
        <v>4708.71964</v>
      </c>
      <c r="AC289" t="n">
        <v>4710.60946</v>
      </c>
      <c r="AD289" t="n">
        <v>0</v>
      </c>
      <c r="AK289" t="n">
        <v>287</v>
      </c>
      <c r="AL289" t="n">
        <v>286</v>
      </c>
      <c r="AM289" t="n">
        <v>4717.89</v>
      </c>
      <c r="AN289" t="n">
        <v>4740.8354</v>
      </c>
      <c r="AO289" t="n">
        <v>-22.9454</v>
      </c>
      <c r="AP289" t="n">
        <v>526.4895</v>
      </c>
      <c r="AQ289" t="n">
        <v>-0.277907</v>
      </c>
      <c r="AR289" t="n">
        <v>0.181357</v>
      </c>
      <c r="AY289" t="n">
        <v>287</v>
      </c>
      <c r="AZ289" t="n">
        <v>286</v>
      </c>
      <c r="BA289" t="n">
        <v>4717.89</v>
      </c>
      <c r="BB289" t="n">
        <v>4740.8354</v>
      </c>
      <c r="BC289" t="n">
        <v>-22.9454</v>
      </c>
      <c r="BD289" t="n">
        <v>526.4895</v>
      </c>
      <c r="BE289" t="n">
        <v>81796</v>
      </c>
    </row>
    <row r="290">
      <c r="A290" t="n">
        <v>1776793502</v>
      </c>
      <c r="B290" t="inlineStr">
        <is>
          <t>XAUUSD</t>
        </is>
      </c>
      <c r="C290" t="inlineStr">
        <is>
          <t>M15</t>
        </is>
      </c>
      <c r="D290" t="n">
        <v>4711.38</v>
      </c>
      <c r="E290" t="n">
        <v>4518.59282</v>
      </c>
      <c r="F290" t="n">
        <v>4596.05595</v>
      </c>
      <c r="G290" t="n">
        <v>4755.40355</v>
      </c>
      <c r="H290" t="n">
        <v>4792.76972</v>
      </c>
      <c r="Q290" t="n">
        <v>4740.56775</v>
      </c>
      <c r="R290" t="n">
        <v>4769.93105</v>
      </c>
      <c r="S290" t="n">
        <v>4796.51982</v>
      </c>
      <c r="V290" t="n">
        <v>4705.62798</v>
      </c>
      <c r="W290" t="n">
        <v>4672.06299</v>
      </c>
      <c r="AB290" t="n">
        <v>4707.65864</v>
      </c>
      <c r="AC290" t="n">
        <v>4709.13405</v>
      </c>
      <c r="AD290" t="n">
        <v>0</v>
      </c>
      <c r="AK290" t="n">
        <v>288</v>
      </c>
      <c r="AL290" t="n">
        <v>287</v>
      </c>
      <c r="AM290" t="n">
        <v>4711.38</v>
      </c>
      <c r="AN290" t="n">
        <v>4740.5678</v>
      </c>
      <c r="AO290" t="n">
        <v>-29.1878</v>
      </c>
      <c r="AP290" t="n">
        <v>851.9248</v>
      </c>
      <c r="AQ290" t="n">
        <v>-0.572028</v>
      </c>
      <c r="AR290" t="n">
        <v>0.47485</v>
      </c>
      <c r="AY290" t="n">
        <v>288</v>
      </c>
      <c r="AZ290" t="n">
        <v>287</v>
      </c>
      <c r="BA290" t="n">
        <v>4711.38</v>
      </c>
      <c r="BB290" t="n">
        <v>4740.5678</v>
      </c>
      <c r="BC290" t="n">
        <v>-29.1878</v>
      </c>
      <c r="BD290" t="n">
        <v>851.9248</v>
      </c>
      <c r="BE290" t="n">
        <v>82369</v>
      </c>
    </row>
    <row r="291">
      <c r="A291" t="n">
        <v>1776794402</v>
      </c>
      <c r="B291" t="inlineStr">
        <is>
          <t>XAUUSD</t>
        </is>
      </c>
      <c r="C291" t="inlineStr">
        <is>
          <t>M15</t>
        </is>
      </c>
      <c r="D291" t="n">
        <v>4704.63</v>
      </c>
      <c r="E291" t="n">
        <v>4518.59282</v>
      </c>
      <c r="F291" t="n">
        <v>4596.05595</v>
      </c>
      <c r="G291" t="n">
        <v>4755.40355</v>
      </c>
      <c r="H291" t="n">
        <v>4792.76972</v>
      </c>
      <c r="Q291" t="n">
        <v>4740.30015</v>
      </c>
      <c r="R291" t="n">
        <v>4769.66345</v>
      </c>
      <c r="S291" t="n">
        <v>4796.25222</v>
      </c>
      <c r="V291" t="n">
        <v>4705.36038</v>
      </c>
      <c r="W291" t="n">
        <v>4671.79538</v>
      </c>
      <c r="AB291" t="n">
        <v>4706.40683</v>
      </c>
      <c r="AC291" t="n">
        <v>4707.77044</v>
      </c>
      <c r="AD291" t="n">
        <v>0</v>
      </c>
      <c r="AK291" t="n">
        <v>289</v>
      </c>
      <c r="AL291" t="n">
        <v>288</v>
      </c>
      <c r="AM291" t="n">
        <v>4704.63</v>
      </c>
      <c r="AN291" t="n">
        <v>4740.3002</v>
      </c>
      <c r="AO291" t="n">
        <v>-35.6701</v>
      </c>
      <c r="AP291" t="n">
        <v>1272.3596</v>
      </c>
      <c r="AQ291" t="n">
        <v>-1.044072</v>
      </c>
      <c r="AR291" t="n">
        <v>1.05919</v>
      </c>
      <c r="AY291" t="n">
        <v>289</v>
      </c>
      <c r="AZ291" t="n">
        <v>288</v>
      </c>
      <c r="BA291" t="n">
        <v>4704.63</v>
      </c>
      <c r="BB291" t="n">
        <v>4740.3002</v>
      </c>
      <c r="BC291" t="n">
        <v>-35.6701</v>
      </c>
      <c r="BD291" t="n">
        <v>1272.3596</v>
      </c>
      <c r="BE291" t="n">
        <v>82944</v>
      </c>
    </row>
    <row r="292">
      <c r="A292" t="n">
        <v>1776795302</v>
      </c>
      <c r="B292" t="inlineStr">
        <is>
          <t>XAUUSD</t>
        </is>
      </c>
      <c r="C292" t="inlineStr">
        <is>
          <t>M15</t>
        </is>
      </c>
      <c r="D292" t="n">
        <v>4696.62</v>
      </c>
      <c r="E292" t="n">
        <v>4518.59282</v>
      </c>
      <c r="F292" t="n">
        <v>4596.05595</v>
      </c>
      <c r="G292" t="n">
        <v>4755.40355</v>
      </c>
      <c r="H292" t="n">
        <v>4792.76972</v>
      </c>
      <c r="Q292" t="n">
        <v>4740.03255</v>
      </c>
      <c r="R292" t="n">
        <v>4769.39584</v>
      </c>
      <c r="S292" t="n">
        <v>4795.98461</v>
      </c>
      <c r="V292" t="n">
        <v>4705.09277</v>
      </c>
      <c r="W292" t="n">
        <v>4671.52778</v>
      </c>
      <c r="AB292" t="n">
        <v>4704.91246</v>
      </c>
      <c r="AC292" t="n">
        <v>4706.34145</v>
      </c>
      <c r="AD292" t="n">
        <v>0</v>
      </c>
      <c r="AK292" t="n">
        <v>290</v>
      </c>
      <c r="AL292" t="n">
        <v>289</v>
      </c>
      <c r="AM292" t="n">
        <v>4696.62</v>
      </c>
      <c r="AN292" t="n">
        <v>4740.0325</v>
      </c>
      <c r="AO292" t="n">
        <v>-43.4126</v>
      </c>
      <c r="AP292" t="n">
        <v>1884.6495</v>
      </c>
      <c r="AQ292" t="n">
        <v>-1.882181</v>
      </c>
      <c r="AR292" t="n">
        <v>2.323889</v>
      </c>
      <c r="AY292" t="n">
        <v>290</v>
      </c>
      <c r="AZ292" t="n">
        <v>289</v>
      </c>
      <c r="BA292" t="n">
        <v>4696.62</v>
      </c>
      <c r="BB292" t="n">
        <v>4740.0325</v>
      </c>
      <c r="BC292" t="n">
        <v>-43.4126</v>
      </c>
      <c r="BD292" t="n">
        <v>1884.6495</v>
      </c>
      <c r="BE292" t="n">
        <v>83521</v>
      </c>
    </row>
    <row r="293">
      <c r="A293" t="n">
        <v>1776796202</v>
      </c>
      <c r="B293" t="inlineStr">
        <is>
          <t>XAUUSD</t>
        </is>
      </c>
      <c r="C293" t="inlineStr">
        <is>
          <t>M15</t>
        </is>
      </c>
      <c r="D293" t="n">
        <v>4703.21</v>
      </c>
      <c r="E293" t="n">
        <v>4518.59282</v>
      </c>
      <c r="F293" t="n">
        <v>4596.05595</v>
      </c>
      <c r="G293" t="n">
        <v>4755.40355</v>
      </c>
      <c r="H293" t="n">
        <v>4792.76972</v>
      </c>
      <c r="Q293" t="n">
        <v>4739.76494</v>
      </c>
      <c r="R293" t="n">
        <v>4769.12824</v>
      </c>
      <c r="S293" t="n">
        <v>4795.71701</v>
      </c>
      <c r="V293" t="n">
        <v>4704.82517</v>
      </c>
      <c r="W293" t="n">
        <v>4671.26017</v>
      </c>
      <c r="AB293" t="n">
        <v>4703.26184</v>
      </c>
      <c r="AC293" t="n">
        <v>4704.80164</v>
      </c>
      <c r="AD293" t="n">
        <v>0</v>
      </c>
      <c r="AK293" t="n">
        <v>291</v>
      </c>
      <c r="AL293" t="n">
        <v>290</v>
      </c>
      <c r="AM293" t="n">
        <v>4703.21</v>
      </c>
      <c r="AN293" t="n">
        <v>4739.7649</v>
      </c>
      <c r="AO293" t="n">
        <v>-36.5549</v>
      </c>
      <c r="AP293" t="n">
        <v>1336.2636</v>
      </c>
      <c r="AQ293" t="n">
        <v>-1.123709</v>
      </c>
      <c r="AR293" t="n">
        <v>1.168257</v>
      </c>
      <c r="AY293" t="n">
        <v>291</v>
      </c>
      <c r="AZ293" t="n">
        <v>290</v>
      </c>
      <c r="BA293" t="n">
        <v>4703.21</v>
      </c>
      <c r="BB293" t="n">
        <v>4739.7649</v>
      </c>
      <c r="BC293" t="n">
        <v>-36.5549</v>
      </c>
      <c r="BD293" t="n">
        <v>1336.2636</v>
      </c>
      <c r="BE293" t="n">
        <v>84100</v>
      </c>
    </row>
    <row r="294">
      <c r="A294" t="n">
        <v>1776797102</v>
      </c>
      <c r="B294" t="inlineStr">
        <is>
          <t>XAUUSD</t>
        </is>
      </c>
      <c r="C294" t="inlineStr">
        <is>
          <t>M15</t>
        </is>
      </c>
      <c r="D294" t="n">
        <v>4709.51</v>
      </c>
      <c r="E294" t="n">
        <v>4518.59282</v>
      </c>
      <c r="F294" t="n">
        <v>4596.05595</v>
      </c>
      <c r="G294" t="n">
        <v>4755.40355</v>
      </c>
      <c r="H294" t="n">
        <v>4792.76972</v>
      </c>
      <c r="Q294" t="n">
        <v>4739.49734</v>
      </c>
      <c r="R294" t="n">
        <v>4768.86064</v>
      </c>
      <c r="S294" t="n">
        <v>4795.44941</v>
      </c>
      <c r="V294" t="n">
        <v>4704.55757</v>
      </c>
      <c r="W294" t="n">
        <v>4670.99257</v>
      </c>
      <c r="AB294" t="n">
        <v>4701.29942</v>
      </c>
      <c r="AC294" t="n">
        <v>4703.05053</v>
      </c>
      <c r="AD294" t="n">
        <v>0</v>
      </c>
      <c r="AK294" t="n">
        <v>292</v>
      </c>
      <c r="AL294" t="n">
        <v>291</v>
      </c>
      <c r="AM294" t="n">
        <v>4709.51</v>
      </c>
      <c r="AN294" t="n">
        <v>4739.4973</v>
      </c>
      <c r="AO294" t="n">
        <v>-29.9873</v>
      </c>
      <c r="AP294" t="n">
        <v>899.2406</v>
      </c>
      <c r="AQ294" t="n">
        <v>-0.620339</v>
      </c>
      <c r="AR294" t="n">
        <v>0.529061</v>
      </c>
      <c r="AY294" t="n">
        <v>292</v>
      </c>
      <c r="AZ294" t="n">
        <v>291</v>
      </c>
      <c r="BA294" t="n">
        <v>4709.51</v>
      </c>
      <c r="BB294" t="n">
        <v>4739.4973</v>
      </c>
      <c r="BC294" t="n">
        <v>-29.9873</v>
      </c>
      <c r="BD294" t="n">
        <v>899.2406</v>
      </c>
      <c r="BE294" t="n">
        <v>84681</v>
      </c>
    </row>
    <row r="295">
      <c r="A295" t="n">
        <v>1776798002</v>
      </c>
      <c r="B295" t="inlineStr">
        <is>
          <t>XAUUSD</t>
        </is>
      </c>
      <c r="C295" t="inlineStr">
        <is>
          <t>M15</t>
        </is>
      </c>
      <c r="D295" t="n">
        <v>4707.33</v>
      </c>
      <c r="E295" t="n">
        <v>4518.59282</v>
      </c>
      <c r="F295" t="n">
        <v>4596.05595</v>
      </c>
      <c r="G295" t="n">
        <v>4755.40355</v>
      </c>
      <c r="H295" t="n">
        <v>4792.76972</v>
      </c>
      <c r="Q295" t="n">
        <v>4739.22973</v>
      </c>
      <c r="R295" t="n">
        <v>4768.59303</v>
      </c>
      <c r="S295" t="n">
        <v>4795.1818</v>
      </c>
      <c r="V295" t="n">
        <v>4704.28996</v>
      </c>
      <c r="W295" t="n">
        <v>4670.72497</v>
      </c>
      <c r="AB295" t="n">
        <v>4699.02568</v>
      </c>
      <c r="AC295" t="n">
        <v>4701.03811</v>
      </c>
      <c r="AD295" t="n">
        <v>0</v>
      </c>
      <c r="AK295" t="n">
        <v>293</v>
      </c>
      <c r="AL295" t="n">
        <v>292</v>
      </c>
      <c r="AM295" t="n">
        <v>4707.33</v>
      </c>
      <c r="AN295" t="n">
        <v>4739.2297</v>
      </c>
      <c r="AO295" t="n">
        <v>-31.8997</v>
      </c>
      <c r="AP295" t="n">
        <v>1017.5928</v>
      </c>
      <c r="AQ295" t="n">
        <v>-0.746752</v>
      </c>
      <c r="AR295" t="n">
        <v>0.677489</v>
      </c>
      <c r="AY295" t="n">
        <v>293</v>
      </c>
      <c r="AZ295" t="n">
        <v>292</v>
      </c>
      <c r="BA295" t="n">
        <v>4707.33</v>
      </c>
      <c r="BB295" t="n">
        <v>4739.2297</v>
      </c>
      <c r="BC295" t="n">
        <v>-31.8997</v>
      </c>
      <c r="BD295" t="n">
        <v>1017.5928</v>
      </c>
      <c r="BE295" t="n">
        <v>85264</v>
      </c>
    </row>
    <row r="296">
      <c r="A296" t="n">
        <v>1776798902</v>
      </c>
      <c r="B296" t="inlineStr">
        <is>
          <t>XAUUSD</t>
        </is>
      </c>
      <c r="C296" t="inlineStr">
        <is>
          <t>M15</t>
        </is>
      </c>
      <c r="D296" t="n">
        <v>4714.21</v>
      </c>
      <c r="E296" t="n">
        <v>4518.59282</v>
      </c>
      <c r="F296" t="n">
        <v>4596.05595</v>
      </c>
      <c r="G296" t="n">
        <v>4755.40355</v>
      </c>
      <c r="H296" t="n">
        <v>4792.76972</v>
      </c>
      <c r="Q296" t="n">
        <v>4738.96213</v>
      </c>
      <c r="R296" t="n">
        <v>4768.32543</v>
      </c>
      <c r="S296" t="n">
        <v>4794.9142</v>
      </c>
      <c r="V296" t="n">
        <v>4704.02236</v>
      </c>
      <c r="W296" t="n">
        <v>4670.45736</v>
      </c>
      <c r="AB296" t="n">
        <v>4696.85403</v>
      </c>
      <c r="AC296" t="n">
        <v>4698.94607</v>
      </c>
      <c r="AD296" t="n">
        <v>0</v>
      </c>
      <c r="AK296" t="n">
        <v>294</v>
      </c>
      <c r="AL296" t="n">
        <v>293</v>
      </c>
      <c r="AM296" t="n">
        <v>4714.21</v>
      </c>
      <c r="AN296" t="n">
        <v>4738.9621</v>
      </c>
      <c r="AO296" t="n">
        <v>-24.7521</v>
      </c>
      <c r="AP296" t="n">
        <v>612.6679</v>
      </c>
      <c r="AQ296" t="n">
        <v>-0.348862</v>
      </c>
      <c r="AR296" t="n">
        <v>0.245586</v>
      </c>
      <c r="AY296" t="n">
        <v>294</v>
      </c>
      <c r="AZ296" t="n">
        <v>293</v>
      </c>
      <c r="BA296" t="n">
        <v>4714.21</v>
      </c>
      <c r="BB296" t="n">
        <v>4738.9621</v>
      </c>
      <c r="BC296" t="n">
        <v>-24.7521</v>
      </c>
      <c r="BD296" t="n">
        <v>612.6679</v>
      </c>
      <c r="BE296" t="n">
        <v>85849</v>
      </c>
    </row>
    <row r="297">
      <c r="A297" t="n">
        <v>1776799802</v>
      </c>
      <c r="B297" t="inlineStr">
        <is>
          <t>XAUUSD</t>
        </is>
      </c>
      <c r="C297" t="inlineStr">
        <is>
          <t>M15</t>
        </is>
      </c>
      <c r="D297" t="n">
        <v>4671.47</v>
      </c>
      <c r="E297" t="n">
        <v>4518.59282</v>
      </c>
      <c r="F297" t="n">
        <v>4596.05595</v>
      </c>
      <c r="G297" t="n">
        <v>4755.40355</v>
      </c>
      <c r="H297" t="n">
        <v>4792.76972</v>
      </c>
      <c r="Q297" t="n">
        <v>4738.69452</v>
      </c>
      <c r="R297" t="n">
        <v>4768.05782</v>
      </c>
      <c r="S297" t="n">
        <v>4794.64659</v>
      </c>
      <c r="V297" t="n">
        <v>4703.75475</v>
      </c>
      <c r="W297" t="n">
        <v>4670.18976</v>
      </c>
      <c r="AA297" t="n">
        <v>4668.61</v>
      </c>
      <c r="AB297" t="n">
        <v>4695.08787</v>
      </c>
      <c r="AC297" t="n">
        <v>4697.01697</v>
      </c>
      <c r="AD297" t="n">
        <v>0</v>
      </c>
      <c r="AK297" t="n">
        <v>295</v>
      </c>
      <c r="AL297" t="n">
        <v>294</v>
      </c>
      <c r="AM297" t="n">
        <v>4671.47</v>
      </c>
      <c r="AN297" t="n">
        <v>4738.6945</v>
      </c>
      <c r="AO297" t="n">
        <v>-67.22450000000001</v>
      </c>
      <c r="AP297" t="n">
        <v>4519.1361</v>
      </c>
      <c r="AQ297" t="n">
        <v>-6.988737</v>
      </c>
      <c r="AR297" t="n">
        <v>13.3618</v>
      </c>
      <c r="AY297" t="n">
        <v>295</v>
      </c>
      <c r="AZ297" t="n">
        <v>294</v>
      </c>
      <c r="BA297" t="n">
        <v>4671.47</v>
      </c>
      <c r="BB297" t="n">
        <v>4738.6945</v>
      </c>
      <c r="BC297" t="n">
        <v>-67.22450000000001</v>
      </c>
      <c r="BD297" t="n">
        <v>4519.1361</v>
      </c>
      <c r="BE297" t="n">
        <v>86436</v>
      </c>
    </row>
    <row r="298">
      <c r="A298" t="n">
        <v>1776800702</v>
      </c>
      <c r="B298" t="inlineStr">
        <is>
          <t>XAUUSD</t>
        </is>
      </c>
      <c r="C298" t="inlineStr">
        <is>
          <t>M15</t>
        </is>
      </c>
      <c r="D298" t="n">
        <v>4679.23</v>
      </c>
      <c r="E298" t="n">
        <v>4518.59282</v>
      </c>
      <c r="F298" t="n">
        <v>4596.05595</v>
      </c>
      <c r="G298" t="n">
        <v>4755.40355</v>
      </c>
      <c r="H298" t="n">
        <v>4792.76972</v>
      </c>
      <c r="Q298" t="n">
        <v>4738.42692</v>
      </c>
      <c r="R298" t="n">
        <v>4767.79022</v>
      </c>
      <c r="S298" t="n">
        <v>4794.37899</v>
      </c>
      <c r="V298" t="n">
        <v>4703.48715</v>
      </c>
      <c r="W298" t="n">
        <v>4669.92215</v>
      </c>
      <c r="AB298" t="n">
        <v>4695.36857</v>
      </c>
      <c r="AC298" t="n">
        <v>4696.19277</v>
      </c>
      <c r="AD298" t="n">
        <v>0</v>
      </c>
      <c r="AK298" t="n">
        <v>296</v>
      </c>
      <c r="AL298" t="n">
        <v>295</v>
      </c>
      <c r="AM298" t="n">
        <v>4679.23</v>
      </c>
      <c r="AN298" t="n">
        <v>4738.4269</v>
      </c>
      <c r="AO298" t="n">
        <v>-59.1969</v>
      </c>
      <c r="AP298" t="n">
        <v>3504.2753</v>
      </c>
      <c r="AQ298" t="n">
        <v>-4.772137</v>
      </c>
      <c r="AR298" t="n">
        <v>8.034345999999999</v>
      </c>
      <c r="AY298" t="n">
        <v>296</v>
      </c>
      <c r="AZ298" t="n">
        <v>295</v>
      </c>
      <c r="BA298" t="n">
        <v>4679.23</v>
      </c>
      <c r="BB298" t="n">
        <v>4738.4269</v>
      </c>
      <c r="BC298" t="n">
        <v>-59.1969</v>
      </c>
      <c r="BD298" t="n">
        <v>3504.2753</v>
      </c>
      <c r="BE298" t="n">
        <v>87025</v>
      </c>
    </row>
    <row r="299">
      <c r="A299" t="n">
        <v>1776801602</v>
      </c>
      <c r="B299" t="inlineStr">
        <is>
          <t>XAUUSD</t>
        </is>
      </c>
      <c r="C299" t="inlineStr">
        <is>
          <t>M15</t>
        </is>
      </c>
      <c r="D299" t="n">
        <v>4696.98</v>
      </c>
      <c r="E299" t="n">
        <v>4518.59282</v>
      </c>
      <c r="F299" t="n">
        <v>4596.05595</v>
      </c>
      <c r="G299" t="n">
        <v>4755.40355</v>
      </c>
      <c r="H299" t="n">
        <v>4792.76972</v>
      </c>
      <c r="Q299" t="n">
        <v>4738.15932</v>
      </c>
      <c r="R299" t="n">
        <v>4767.52262</v>
      </c>
      <c r="S299" t="n">
        <v>4794.11139</v>
      </c>
      <c r="V299" t="n">
        <v>4703.21955</v>
      </c>
      <c r="W299" t="n">
        <v>4669.65455</v>
      </c>
      <c r="AB299" t="n">
        <v>4697.71023</v>
      </c>
      <c r="AC299" t="n">
        <v>4696.9515</v>
      </c>
      <c r="AD299" t="n">
        <v>1</v>
      </c>
      <c r="AK299" t="n">
        <v>297</v>
      </c>
      <c r="AL299" t="n">
        <v>296</v>
      </c>
      <c r="AM299" t="n">
        <v>4696.98</v>
      </c>
      <c r="AN299" t="n">
        <v>4738.1593</v>
      </c>
      <c r="AO299" t="n">
        <v>-41.1793</v>
      </c>
      <c r="AP299" t="n">
        <v>1695.7364</v>
      </c>
      <c r="AQ299" t="n">
        <v>-1.606398</v>
      </c>
      <c r="AR299" t="n">
        <v>1.881355</v>
      </c>
      <c r="AY299" t="n">
        <v>297</v>
      </c>
      <c r="AZ299" t="n">
        <v>296</v>
      </c>
      <c r="BA299" t="n">
        <v>4696.98</v>
      </c>
      <c r="BB299" t="n">
        <v>4738.1593</v>
      </c>
      <c r="BC299" t="n">
        <v>-41.1793</v>
      </c>
      <c r="BD299" t="n">
        <v>1695.7364</v>
      </c>
      <c r="BE299" t="n">
        <v>87616</v>
      </c>
    </row>
    <row r="300">
      <c r="A300" t="n">
        <v>1776802502</v>
      </c>
      <c r="B300" t="inlineStr">
        <is>
          <t>XAUUSD</t>
        </is>
      </c>
      <c r="C300" t="inlineStr">
        <is>
          <t>M15</t>
        </is>
      </c>
      <c r="D300" t="n">
        <v>4705.65</v>
      </c>
      <c r="E300" t="n">
        <v>4518.59282</v>
      </c>
      <c r="F300" t="n">
        <v>4596.05595</v>
      </c>
      <c r="G300" t="n">
        <v>4755.40355</v>
      </c>
      <c r="H300" t="n">
        <v>4792.76972</v>
      </c>
      <c r="Q300" t="n">
        <v>4737.89171</v>
      </c>
      <c r="R300" t="n">
        <v>4767.25501</v>
      </c>
      <c r="S300" t="n">
        <v>4793.84378</v>
      </c>
      <c r="V300" t="n">
        <v>4702.95194</v>
      </c>
      <c r="W300" t="n">
        <v>4669.38695</v>
      </c>
      <c r="AB300" t="n">
        <v>4701.50399</v>
      </c>
      <c r="AC300" t="n">
        <v>4699.22775</v>
      </c>
      <c r="AD300" t="n">
        <v>0</v>
      </c>
      <c r="AK300" t="n">
        <v>298</v>
      </c>
      <c r="AL300" t="n">
        <v>297</v>
      </c>
      <c r="AM300" t="n">
        <v>4705.65</v>
      </c>
      <c r="AN300" t="n">
        <v>4737.8917</v>
      </c>
      <c r="AO300" t="n">
        <v>-32.2417</v>
      </c>
      <c r="AP300" t="n">
        <v>1039.5279</v>
      </c>
      <c r="AQ300" t="n">
        <v>-0.771027</v>
      </c>
      <c r="AR300" t="n">
        <v>0.7070109999999999</v>
      </c>
      <c r="AY300" t="n">
        <v>298</v>
      </c>
      <c r="AZ300" t="n">
        <v>297</v>
      </c>
      <c r="BA300" t="n">
        <v>4705.65</v>
      </c>
      <c r="BB300" t="n">
        <v>4737.8917</v>
      </c>
      <c r="BC300" t="n">
        <v>-32.2417</v>
      </c>
      <c r="BD300" t="n">
        <v>1039.5279</v>
      </c>
      <c r="BE300" t="n">
        <v>88209</v>
      </c>
    </row>
    <row r="301">
      <c r="A301" t="n">
        <v>1776803402</v>
      </c>
      <c r="B301" t="inlineStr">
        <is>
          <t>XAUUSD</t>
        </is>
      </c>
      <c r="C301" t="inlineStr">
        <is>
          <t>M15</t>
        </is>
      </c>
      <c r="D301" t="n">
        <v>4711.42</v>
      </c>
      <c r="E301" t="n">
        <v>4518.59282</v>
      </c>
      <c r="F301" t="n">
        <v>4596.05595</v>
      </c>
      <c r="G301" t="n">
        <v>4755.40355</v>
      </c>
      <c r="H301" t="n">
        <v>4792.76972</v>
      </c>
      <c r="Q301" t="n">
        <v>4737.62411</v>
      </c>
      <c r="R301" t="n">
        <v>4766.98741</v>
      </c>
      <c r="S301" t="n">
        <v>4793.57618</v>
      </c>
      <c r="V301" t="n">
        <v>4702.68434</v>
      </c>
      <c r="W301" t="n">
        <v>4669.11934</v>
      </c>
      <c r="AB301" t="n">
        <v>4706.169</v>
      </c>
      <c r="AC301" t="n">
        <v>4702.69837</v>
      </c>
      <c r="AD301" t="n">
        <v>0</v>
      </c>
      <c r="AK301" t="n">
        <v>299</v>
      </c>
      <c r="AL301" t="n">
        <v>298</v>
      </c>
      <c r="AM301" t="n">
        <v>4711.42</v>
      </c>
      <c r="AN301" t="n">
        <v>4737.6241</v>
      </c>
      <c r="AO301" t="n">
        <v>-26.2041</v>
      </c>
      <c r="AP301" t="n">
        <v>686.6554</v>
      </c>
      <c r="AQ301" t="n">
        <v>-0.413927</v>
      </c>
      <c r="AR301" t="n">
        <v>0.308483</v>
      </c>
      <c r="AY301" t="n">
        <v>299</v>
      </c>
      <c r="AZ301" t="n">
        <v>298</v>
      </c>
      <c r="BA301" t="n">
        <v>4711.42</v>
      </c>
      <c r="BB301" t="n">
        <v>4737.6241</v>
      </c>
      <c r="BC301" t="n">
        <v>-26.2041</v>
      </c>
      <c r="BD301" t="n">
        <v>686.6554</v>
      </c>
      <c r="BE301" t="n">
        <v>88804</v>
      </c>
    </row>
    <row r="302">
      <c r="A302" t="n">
        <v>1776804302</v>
      </c>
      <c r="B302" t="inlineStr">
        <is>
          <t>XAUUSD</t>
        </is>
      </c>
      <c r="C302" t="inlineStr">
        <is>
          <t>M15</t>
        </is>
      </c>
      <c r="D302" t="n">
        <v>4720.16</v>
      </c>
      <c r="E302" t="n">
        <v>4518.59282</v>
      </c>
      <c r="F302" t="n">
        <v>4596.05595</v>
      </c>
      <c r="G302" t="n">
        <v>4755.40355</v>
      </c>
      <c r="H302" t="n">
        <v>4792.76972</v>
      </c>
      <c r="Q302" t="n">
        <v>4737.3565</v>
      </c>
      <c r="R302" t="n">
        <v>4766.7198</v>
      </c>
      <c r="S302" t="n">
        <v>4793.30857</v>
      </c>
      <c r="V302" t="n">
        <v>4702.41673</v>
      </c>
      <c r="W302" t="n">
        <v>4668.85174</v>
      </c>
      <c r="AB302" t="n">
        <v>4711.13674</v>
      </c>
      <c r="AC302" t="n">
        <v>4706.91755</v>
      </c>
      <c r="AD302" t="n">
        <v>0</v>
      </c>
      <c r="AK302" t="n">
        <v>300</v>
      </c>
      <c r="AL302" t="n">
        <v>299</v>
      </c>
      <c r="AM302" t="n">
        <v>4720.16</v>
      </c>
      <c r="AN302" t="n">
        <v>4737.3565</v>
      </c>
      <c r="AO302" t="n">
        <v>-17.1965</v>
      </c>
      <c r="AP302" t="n">
        <v>295.7196</v>
      </c>
      <c r="AQ302" t="n">
        <v>-0.116987</v>
      </c>
      <c r="AR302" t="n">
        <v>0.057216</v>
      </c>
      <c r="AY302" t="n">
        <v>300</v>
      </c>
      <c r="AZ302" t="n">
        <v>299</v>
      </c>
      <c r="BA302" t="n">
        <v>4720.16</v>
      </c>
      <c r="BB302" t="n">
        <v>4737.3565</v>
      </c>
      <c r="BC302" t="n">
        <v>-17.1965</v>
      </c>
      <c r="BD302" t="n">
        <v>295.7196</v>
      </c>
      <c r="BE302" t="n">
        <v>89401</v>
      </c>
    </row>
    <row r="303">
      <c r="A303" t="n">
        <v>1776808802</v>
      </c>
      <c r="B303" t="inlineStr">
        <is>
          <t>XAUUSD</t>
        </is>
      </c>
      <c r="C303" t="inlineStr">
        <is>
          <t>M15</t>
        </is>
      </c>
      <c r="D303" t="n">
        <v>4721.88</v>
      </c>
      <c r="E303" t="n">
        <v>4518.59282</v>
      </c>
      <c r="F303" t="n">
        <v>4596.05595</v>
      </c>
      <c r="G303" t="n">
        <v>4755.40355</v>
      </c>
      <c r="H303" t="n">
        <v>4792.76972</v>
      </c>
      <c r="Q303" t="n">
        <v>4737.0889</v>
      </c>
      <c r="R303" t="n">
        <v>4766.4522</v>
      </c>
      <c r="S303" t="n">
        <v>4793.04097</v>
      </c>
      <c r="V303" t="n">
        <v>4702.14913</v>
      </c>
      <c r="W303" t="n">
        <v>4668.58413</v>
      </c>
      <c r="AB303" t="n">
        <v>4715.74831</v>
      </c>
      <c r="AC303" t="n">
        <v>4711.33293</v>
      </c>
      <c r="AD303" t="n">
        <v>0</v>
      </c>
      <c r="AK303" t="n">
        <v>301</v>
      </c>
      <c r="AL303" t="n">
        <v>300</v>
      </c>
      <c r="AM303" t="n">
        <v>4721.88</v>
      </c>
      <c r="AN303" t="n">
        <v>4737.0889</v>
      </c>
      <c r="AO303" t="n">
        <v>-15.2089</v>
      </c>
      <c r="AP303" t="n">
        <v>231.3106</v>
      </c>
      <c r="AQ303" t="n">
        <v>-0.08093</v>
      </c>
      <c r="AR303" t="n">
        <v>0.035006</v>
      </c>
      <c r="AY303" t="n">
        <v>301</v>
      </c>
      <c r="AZ303" t="n">
        <v>300</v>
      </c>
      <c r="BA303" t="n">
        <v>4721.88</v>
      </c>
      <c r="BB303" t="n">
        <v>4737.0889</v>
      </c>
      <c r="BC303" t="n">
        <v>-15.2089</v>
      </c>
      <c r="BD303" t="n">
        <v>231.3106</v>
      </c>
      <c r="BE303" t="n">
        <v>90000</v>
      </c>
    </row>
    <row r="304">
      <c r="A304" t="n">
        <v>1776809702</v>
      </c>
      <c r="B304" t="inlineStr">
        <is>
          <t>XAUUSD</t>
        </is>
      </c>
      <c r="C304" t="inlineStr">
        <is>
          <t>M15</t>
        </is>
      </c>
      <c r="D304" t="n">
        <v>4719.05</v>
      </c>
      <c r="E304" t="n">
        <v>4518.59282</v>
      </c>
      <c r="F304" t="n">
        <v>4596.05595</v>
      </c>
      <c r="G304" t="n">
        <v>4755.40355</v>
      </c>
      <c r="H304" t="n">
        <v>4792.76972</v>
      </c>
      <c r="Q304" t="n">
        <v>4736.8213</v>
      </c>
      <c r="R304" t="n">
        <v>4766.18459</v>
      </c>
      <c r="S304" t="n">
        <v>4792.77337</v>
      </c>
      <c r="V304" t="n">
        <v>4701.88153</v>
      </c>
      <c r="W304" t="n">
        <v>4668.31653</v>
      </c>
      <c r="AB304" t="n">
        <v>4719.6942</v>
      </c>
      <c r="AC304" t="n">
        <v>4715.51357</v>
      </c>
      <c r="AD304" t="n">
        <v>0</v>
      </c>
      <c r="AK304" t="n">
        <v>302</v>
      </c>
      <c r="AL304" t="n">
        <v>301</v>
      </c>
      <c r="AM304" t="n">
        <v>4719.05</v>
      </c>
      <c r="AN304" t="n">
        <v>4736.8213</v>
      </c>
      <c r="AO304" t="n">
        <v>-17.7713</v>
      </c>
      <c r="AP304" t="n">
        <v>315.8191</v>
      </c>
      <c r="AQ304" t="n">
        <v>-0.129114</v>
      </c>
      <c r="AR304" t="n">
        <v>0.065258</v>
      </c>
      <c r="AY304" t="n">
        <v>302</v>
      </c>
      <c r="AZ304" t="n">
        <v>301</v>
      </c>
      <c r="BA304" t="n">
        <v>4719.05</v>
      </c>
      <c r="BB304" t="n">
        <v>4736.8213</v>
      </c>
      <c r="BC304" t="n">
        <v>-17.7713</v>
      </c>
      <c r="BD304" t="n">
        <v>315.8191</v>
      </c>
      <c r="BE304" t="n">
        <v>90601</v>
      </c>
    </row>
    <row r="305">
      <c r="A305" t="n">
        <v>1776810602</v>
      </c>
      <c r="B305" t="inlineStr">
        <is>
          <t>XAUUSD</t>
        </is>
      </c>
      <c r="C305" t="inlineStr">
        <is>
          <t>M15</t>
        </is>
      </c>
      <c r="D305" t="n">
        <v>4716.95</v>
      </c>
      <c r="E305" t="n">
        <v>4518.59282</v>
      </c>
      <c r="F305" t="n">
        <v>4596.05595</v>
      </c>
      <c r="G305" t="n">
        <v>4755.40355</v>
      </c>
      <c r="H305" t="n">
        <v>4792.76972</v>
      </c>
      <c r="Q305" t="n">
        <v>4736.55369</v>
      </c>
      <c r="R305" t="n">
        <v>4765.91699</v>
      </c>
      <c r="S305" t="n">
        <v>4792.50576</v>
      </c>
      <c r="V305" t="n">
        <v>4701.61392</v>
      </c>
      <c r="W305" t="n">
        <v>4668.04893</v>
      </c>
      <c r="AB305" t="n">
        <v>4723.03002</v>
      </c>
      <c r="AC305" t="n">
        <v>4719.2718</v>
      </c>
      <c r="AD305" t="n">
        <v>0</v>
      </c>
      <c r="AK305" t="n">
        <v>303</v>
      </c>
      <c r="AL305" t="n">
        <v>302</v>
      </c>
      <c r="AM305" t="n">
        <v>4716.95</v>
      </c>
      <c r="AN305" t="n">
        <v>4736.5537</v>
      </c>
      <c r="AO305" t="n">
        <v>-19.6037</v>
      </c>
      <c r="AP305" t="n">
        <v>384.3047</v>
      </c>
      <c r="AQ305" t="n">
        <v>-0.173312</v>
      </c>
      <c r="AR305" t="n">
        <v>0.09662900000000001</v>
      </c>
      <c r="AY305" t="n">
        <v>303</v>
      </c>
      <c r="AZ305" t="n">
        <v>302</v>
      </c>
      <c r="BA305" t="n">
        <v>4716.95</v>
      </c>
      <c r="BB305" t="n">
        <v>4736.5537</v>
      </c>
      <c r="BC305" t="n">
        <v>-19.6037</v>
      </c>
      <c r="BD305" t="n">
        <v>384.3047</v>
      </c>
      <c r="BE305" t="n">
        <v>91204</v>
      </c>
    </row>
    <row r="306">
      <c r="A306" t="n">
        <v>1776811502</v>
      </c>
      <c r="B306" t="inlineStr">
        <is>
          <t>XAUUSD</t>
        </is>
      </c>
      <c r="C306" t="inlineStr">
        <is>
          <t>M15</t>
        </is>
      </c>
      <c r="D306" t="n">
        <v>4719.51</v>
      </c>
      <c r="E306" t="n">
        <v>4518.59282</v>
      </c>
      <c r="F306" t="n">
        <v>4596.05595</v>
      </c>
      <c r="G306" t="n">
        <v>4755.40355</v>
      </c>
      <c r="H306" t="n">
        <v>4792.76972</v>
      </c>
      <c r="Q306" t="n">
        <v>4736.28609</v>
      </c>
      <c r="R306" t="n">
        <v>4765.64939</v>
      </c>
      <c r="S306" t="n">
        <v>4792.23816</v>
      </c>
      <c r="V306" t="n">
        <v>4701.34632</v>
      </c>
      <c r="W306" t="n">
        <v>4667.78132</v>
      </c>
      <c r="AB306" t="n">
        <v>4725.94303</v>
      </c>
      <c r="AC306" t="n">
        <v>4722.60742</v>
      </c>
      <c r="AD306" t="n">
        <v>0</v>
      </c>
      <c r="AK306" t="n">
        <v>304</v>
      </c>
      <c r="AL306" t="n">
        <v>303</v>
      </c>
      <c r="AM306" t="n">
        <v>4719.51</v>
      </c>
      <c r="AN306" t="n">
        <v>4736.2861</v>
      </c>
      <c r="AO306" t="n">
        <v>-16.7761</v>
      </c>
      <c r="AP306" t="n">
        <v>281.4372</v>
      </c>
      <c r="AQ306" t="n">
        <v>-0.108615</v>
      </c>
      <c r="AR306" t="n">
        <v>0.051822</v>
      </c>
      <c r="AY306" t="n">
        <v>304</v>
      </c>
      <c r="AZ306" t="n">
        <v>303</v>
      </c>
      <c r="BA306" t="n">
        <v>4719.51</v>
      </c>
      <c r="BB306" t="n">
        <v>4736.2861</v>
      </c>
      <c r="BC306" t="n">
        <v>-16.7761</v>
      </c>
      <c r="BD306" t="n">
        <v>281.4372</v>
      </c>
      <c r="BE306" t="n">
        <v>91809</v>
      </c>
    </row>
    <row r="307">
      <c r="A307" t="n">
        <v>1776812402</v>
      </c>
      <c r="B307" t="inlineStr">
        <is>
          <t>XAUUSD</t>
        </is>
      </c>
      <c r="C307" t="inlineStr">
        <is>
          <t>M15</t>
        </is>
      </c>
      <c r="D307" t="n">
        <v>4727.47</v>
      </c>
      <c r="E307" t="n">
        <v>4518.59282</v>
      </c>
      <c r="F307" t="n">
        <v>4596.05595</v>
      </c>
      <c r="G307" t="n">
        <v>4755.40355</v>
      </c>
      <c r="H307" t="n">
        <v>4792.76972</v>
      </c>
      <c r="Q307" t="n">
        <v>4736.01848</v>
      </c>
      <c r="R307" t="n">
        <v>4765.38178</v>
      </c>
      <c r="S307" t="n">
        <v>4791.97055</v>
      </c>
      <c r="V307" t="n">
        <v>4701.07871</v>
      </c>
      <c r="W307" t="n">
        <v>4667.51372</v>
      </c>
      <c r="AB307" t="n">
        <v>4728.56833</v>
      </c>
      <c r="AC307" t="n">
        <v>4725.58787</v>
      </c>
      <c r="AD307" t="n">
        <v>0</v>
      </c>
      <c r="AK307" t="n">
        <v>305</v>
      </c>
      <c r="AL307" t="n">
        <v>304</v>
      </c>
      <c r="AM307" t="n">
        <v>4727.47</v>
      </c>
      <c r="AN307" t="n">
        <v>4736.0185</v>
      </c>
      <c r="AO307" t="n">
        <v>-8.548500000000001</v>
      </c>
      <c r="AP307" t="n">
        <v>73.0765</v>
      </c>
      <c r="AQ307" t="n">
        <v>-0.014371</v>
      </c>
      <c r="AR307" t="n">
        <v>0.003494</v>
      </c>
      <c r="AY307" t="n">
        <v>305</v>
      </c>
      <c r="AZ307" t="n">
        <v>304</v>
      </c>
      <c r="BA307" t="n">
        <v>4727.47</v>
      </c>
      <c r="BB307" t="n">
        <v>4736.0185</v>
      </c>
      <c r="BC307" t="n">
        <v>-8.548500000000001</v>
      </c>
      <c r="BD307" t="n">
        <v>73.0765</v>
      </c>
      <c r="BE307" t="n">
        <v>92416</v>
      </c>
    </row>
    <row r="308">
      <c r="A308" t="n">
        <v>1776813302</v>
      </c>
      <c r="B308" t="inlineStr">
        <is>
          <t>XAUUSD</t>
        </is>
      </c>
      <c r="C308" t="inlineStr">
        <is>
          <t>M15</t>
        </is>
      </c>
      <c r="D308" t="n">
        <v>4730</v>
      </c>
      <c r="E308" t="n">
        <v>4518.59282</v>
      </c>
      <c r="F308" t="n">
        <v>4596.05595</v>
      </c>
      <c r="G308" t="n">
        <v>4755.40355</v>
      </c>
      <c r="H308" t="n">
        <v>4792.76972</v>
      </c>
      <c r="Q308" t="n">
        <v>4735.75088</v>
      </c>
      <c r="R308" t="n">
        <v>4765.11418</v>
      </c>
      <c r="S308" t="n">
        <v>4791.70295</v>
      </c>
      <c r="V308" t="n">
        <v>4700.81111</v>
      </c>
      <c r="W308" t="n">
        <v>4667.24611</v>
      </c>
      <c r="AB308" t="n">
        <v>4730.96557</v>
      </c>
      <c r="AC308" t="n">
        <v>4728.27672</v>
      </c>
      <c r="AD308" t="n">
        <v>0</v>
      </c>
      <c r="AK308" t="n">
        <v>306</v>
      </c>
      <c r="AL308" t="n">
        <v>305</v>
      </c>
      <c r="AM308" t="n">
        <v>4730</v>
      </c>
      <c r="AN308" t="n">
        <v>4735.7509</v>
      </c>
      <c r="AO308" t="n">
        <v>-5.7509</v>
      </c>
      <c r="AP308" t="n">
        <v>33.0726</v>
      </c>
      <c r="AQ308" t="n">
        <v>-0.004375</v>
      </c>
      <c r="AR308" t="n">
        <v>0.0007159999999999999</v>
      </c>
      <c r="AY308" t="n">
        <v>306</v>
      </c>
      <c r="AZ308" t="n">
        <v>305</v>
      </c>
      <c r="BA308" t="n">
        <v>4730</v>
      </c>
      <c r="BB308" t="n">
        <v>4735.7509</v>
      </c>
      <c r="BC308" t="n">
        <v>-5.7509</v>
      </c>
      <c r="BD308" t="n">
        <v>33.0726</v>
      </c>
      <c r="BE308" t="n">
        <v>93025</v>
      </c>
    </row>
    <row r="309">
      <c r="A309" t="n">
        <v>1776814202</v>
      </c>
      <c r="B309" t="inlineStr">
        <is>
          <t>XAUUSD</t>
        </is>
      </c>
      <c r="C309" t="inlineStr">
        <is>
          <t>M15</t>
        </is>
      </c>
      <c r="D309" t="n">
        <v>4731.94</v>
      </c>
      <c r="E309" t="n">
        <v>4518.59282</v>
      </c>
      <c r="F309" t="n">
        <v>4596.05595</v>
      </c>
      <c r="G309" t="n">
        <v>4755.40355</v>
      </c>
      <c r="H309" t="n">
        <v>4792.76972</v>
      </c>
      <c r="Q309" t="n">
        <v>4735.48328</v>
      </c>
      <c r="R309" t="n">
        <v>4764.84657</v>
      </c>
      <c r="S309" t="n">
        <v>4791.43535</v>
      </c>
      <c r="V309" t="n">
        <v>4700.54351</v>
      </c>
      <c r="W309" t="n">
        <v>4666.97851</v>
      </c>
      <c r="AB309" t="n">
        <v>4733.2586</v>
      </c>
      <c r="AC309" t="n">
        <v>4730.76766</v>
      </c>
      <c r="AD309" t="n">
        <v>0</v>
      </c>
      <c r="AK309" t="n">
        <v>307</v>
      </c>
      <c r="AL309" t="n">
        <v>306</v>
      </c>
      <c r="AM309" t="n">
        <v>4731.94</v>
      </c>
      <c r="AN309" t="n">
        <v>4735.4833</v>
      </c>
      <c r="AO309" t="n">
        <v>-3.5433</v>
      </c>
      <c r="AP309" t="n">
        <v>12.5548</v>
      </c>
      <c r="AQ309" t="n">
        <v>-0.001023</v>
      </c>
      <c r="AR309" t="n">
        <v>0.000103</v>
      </c>
      <c r="AY309" t="n">
        <v>307</v>
      </c>
      <c r="AZ309" t="n">
        <v>306</v>
      </c>
      <c r="BA309" t="n">
        <v>4731.94</v>
      </c>
      <c r="BB309" t="n">
        <v>4735.4833</v>
      </c>
      <c r="BC309" t="n">
        <v>-3.5433</v>
      </c>
      <c r="BD309" t="n">
        <v>12.5548</v>
      </c>
      <c r="BE309" t="n">
        <v>93636</v>
      </c>
    </row>
    <row r="310">
      <c r="A310" t="n">
        <v>1776815102</v>
      </c>
      <c r="B310" t="inlineStr">
        <is>
          <t>XAUUSD</t>
        </is>
      </c>
      <c r="C310" t="inlineStr">
        <is>
          <t>M15</t>
        </is>
      </c>
      <c r="D310" t="n">
        <v>4737.96</v>
      </c>
      <c r="E310" t="n">
        <v>4518.59282</v>
      </c>
      <c r="F310" t="n">
        <v>4596.05595</v>
      </c>
      <c r="G310" t="n">
        <v>4755.40355</v>
      </c>
      <c r="H310" t="n">
        <v>4792.76972</v>
      </c>
      <c r="Q310" t="n">
        <v>4735.21567</v>
      </c>
      <c r="R310" t="n">
        <v>4764.57897</v>
      </c>
      <c r="S310" t="n">
        <v>4791.16774</v>
      </c>
      <c r="V310" t="n">
        <v>4700.2759</v>
      </c>
      <c r="W310" t="n">
        <v>4666.7109</v>
      </c>
      <c r="AB310" t="n">
        <v>4735.50278</v>
      </c>
      <c r="AC310" t="n">
        <v>4733.13522</v>
      </c>
      <c r="AD310" t="n">
        <v>0</v>
      </c>
      <c r="AK310" t="n">
        <v>308</v>
      </c>
      <c r="AL310" t="n">
        <v>307</v>
      </c>
      <c r="AM310" t="n">
        <v>4737.96</v>
      </c>
      <c r="AN310" t="n">
        <v>4735.2157</v>
      </c>
      <c r="AO310" t="n">
        <v>2.7443</v>
      </c>
      <c r="AP310" t="n">
        <v>7.5313</v>
      </c>
      <c r="AQ310" t="n">
        <v>0.000475</v>
      </c>
      <c r="AR310" t="n">
        <v>3.7e-05</v>
      </c>
      <c r="AY310" t="n">
        <v>308</v>
      </c>
      <c r="AZ310" t="n">
        <v>307</v>
      </c>
      <c r="BA310" t="n">
        <v>4737.96</v>
      </c>
      <c r="BB310" t="n">
        <v>4735.2157</v>
      </c>
      <c r="BC310" t="n">
        <v>2.7443</v>
      </c>
      <c r="BD310" t="n">
        <v>7.5313</v>
      </c>
      <c r="BE310" t="n">
        <v>94249</v>
      </c>
    </row>
    <row r="311">
      <c r="A311" t="n">
        <v>1776816002</v>
      </c>
      <c r="B311" t="inlineStr">
        <is>
          <t>XAUUSD</t>
        </is>
      </c>
      <c r="C311" t="inlineStr">
        <is>
          <t>M15</t>
        </is>
      </c>
      <c r="D311" t="n">
        <v>4742.93</v>
      </c>
      <c r="E311" t="n">
        <v>4518.59282</v>
      </c>
      <c r="F311" t="n">
        <v>4596.05595</v>
      </c>
      <c r="G311" t="n">
        <v>4755.40355</v>
      </c>
      <c r="H311" t="n">
        <v>4792.76972</v>
      </c>
      <c r="Q311" t="n">
        <v>4734.94807</v>
      </c>
      <c r="R311" t="n">
        <v>4764.31137</v>
      </c>
      <c r="S311" t="n">
        <v>4790.90014</v>
      </c>
      <c r="V311" t="n">
        <v>4700.0083</v>
      </c>
      <c r="W311" t="n">
        <v>4666.4433</v>
      </c>
      <c r="AB311" t="n">
        <v>4737.5975</v>
      </c>
      <c r="AC311" t="n">
        <v>4735.36636</v>
      </c>
      <c r="AD311" t="n">
        <v>0</v>
      </c>
      <c r="AK311" t="n">
        <v>309</v>
      </c>
      <c r="AL311" t="n">
        <v>308</v>
      </c>
      <c r="AM311" t="n">
        <v>4742.93</v>
      </c>
      <c r="AN311" t="n">
        <v>4734.9481</v>
      </c>
      <c r="AO311" t="n">
        <v>7.9819</v>
      </c>
      <c r="AP311" t="n">
        <v>63.7112</v>
      </c>
      <c r="AQ311" t="n">
        <v>0.011699</v>
      </c>
      <c r="AR311" t="n">
        <v>0.002656</v>
      </c>
      <c r="AY311" t="n">
        <v>309</v>
      </c>
      <c r="AZ311" t="n">
        <v>308</v>
      </c>
      <c r="BA311" t="n">
        <v>4742.93</v>
      </c>
      <c r="BB311" t="n">
        <v>4734.9481</v>
      </c>
      <c r="BC311" t="n">
        <v>7.9819</v>
      </c>
      <c r="BD311" t="n">
        <v>63.7112</v>
      </c>
      <c r="BE311" t="n">
        <v>94864</v>
      </c>
    </row>
    <row r="312">
      <c r="A312" t="n">
        <v>1776816902</v>
      </c>
      <c r="B312" t="inlineStr">
        <is>
          <t>XAUUSD</t>
        </is>
      </c>
      <c r="C312" t="inlineStr">
        <is>
          <t>M15</t>
        </is>
      </c>
      <c r="D312" t="n">
        <v>4742.51</v>
      </c>
      <c r="E312" t="n">
        <v>4518.59282</v>
      </c>
      <c r="F312" t="n">
        <v>4596.05595</v>
      </c>
      <c r="G312" t="n">
        <v>4755.40355</v>
      </c>
      <c r="H312" t="n">
        <v>4792.76972</v>
      </c>
      <c r="Q312" t="n">
        <v>4734.68046</v>
      </c>
      <c r="R312" t="n">
        <v>4764.04376</v>
      </c>
      <c r="S312" t="n">
        <v>4790.63253</v>
      </c>
      <c r="V312" t="n">
        <v>4699.74069</v>
      </c>
      <c r="W312" t="n">
        <v>4666.1757</v>
      </c>
      <c r="AB312" t="n">
        <v>4739.43903</v>
      </c>
      <c r="AC312" t="n">
        <v>4737.4027</v>
      </c>
      <c r="AD312" t="n">
        <v>0</v>
      </c>
      <c r="AK312" t="n">
        <v>310</v>
      </c>
      <c r="AL312" t="n">
        <v>309</v>
      </c>
      <c r="AM312" t="n">
        <v>4742.51</v>
      </c>
      <c r="AN312" t="n">
        <v>4734.6805</v>
      </c>
      <c r="AO312" t="n">
        <v>7.8295</v>
      </c>
      <c r="AP312" t="n">
        <v>61.3017</v>
      </c>
      <c r="AQ312" t="n">
        <v>0.011041</v>
      </c>
      <c r="AR312" t="n">
        <v>0.002459</v>
      </c>
      <c r="AY312" t="n">
        <v>310</v>
      </c>
      <c r="AZ312" t="n">
        <v>309</v>
      </c>
      <c r="BA312" t="n">
        <v>4742.51</v>
      </c>
      <c r="BB312" t="n">
        <v>4734.6805</v>
      </c>
      <c r="BC312" t="n">
        <v>7.8295</v>
      </c>
      <c r="BD312" t="n">
        <v>61.3017</v>
      </c>
      <c r="BE312" t="n">
        <v>95481</v>
      </c>
    </row>
    <row r="313">
      <c r="A313" t="n">
        <v>1776817802</v>
      </c>
      <c r="B313" t="inlineStr">
        <is>
          <t>XAUUSD</t>
        </is>
      </c>
      <c r="C313" t="inlineStr">
        <is>
          <t>M15</t>
        </is>
      </c>
      <c r="D313" t="n">
        <v>4742.11</v>
      </c>
      <c r="E313" t="n">
        <v>4518.59282</v>
      </c>
      <c r="F313" t="n">
        <v>4596.05595</v>
      </c>
      <c r="G313" t="n">
        <v>4755.40355</v>
      </c>
      <c r="H313" t="n">
        <v>4792.76972</v>
      </c>
      <c r="Q313" t="n">
        <v>4734.41286</v>
      </c>
      <c r="R313" t="n">
        <v>4763.77616</v>
      </c>
      <c r="S313" t="n">
        <v>4790.36493</v>
      </c>
      <c r="V313" t="n">
        <v>4699.47309</v>
      </c>
      <c r="W313" t="n">
        <v>4665.90809</v>
      </c>
      <c r="AB313" t="n">
        <v>4741.10498</v>
      </c>
      <c r="AC313" t="n">
        <v>4739.25384</v>
      </c>
      <c r="AD313" t="n">
        <v>0</v>
      </c>
      <c r="AK313" t="n">
        <v>311</v>
      </c>
      <c r="AL313" t="n">
        <v>310</v>
      </c>
      <c r="AM313" t="n">
        <v>4742.11</v>
      </c>
      <c r="AN313" t="n">
        <v>4734.4129</v>
      </c>
      <c r="AO313" t="n">
        <v>7.6971</v>
      </c>
      <c r="AP313" t="n">
        <v>59.246</v>
      </c>
      <c r="AQ313" t="n">
        <v>0.010491</v>
      </c>
      <c r="AR313" t="n">
        <v>0.002297</v>
      </c>
      <c r="AY313" t="n">
        <v>311</v>
      </c>
      <c r="AZ313" t="n">
        <v>310</v>
      </c>
      <c r="BA313" t="n">
        <v>4742.11</v>
      </c>
      <c r="BB313" t="n">
        <v>4734.4129</v>
      </c>
      <c r="BC313" t="n">
        <v>7.6971</v>
      </c>
      <c r="BD313" t="n">
        <v>59.246</v>
      </c>
      <c r="BE313" t="n">
        <v>96100</v>
      </c>
    </row>
    <row r="314">
      <c r="A314" t="n">
        <v>1776818702</v>
      </c>
      <c r="B314" t="inlineStr">
        <is>
          <t>XAUUSD</t>
        </is>
      </c>
      <c r="C314" t="inlineStr">
        <is>
          <t>M15</t>
        </is>
      </c>
      <c r="D314" t="n">
        <v>4739.77</v>
      </c>
      <c r="E314" t="n">
        <v>4518.59282</v>
      </c>
      <c r="F314" t="n">
        <v>4596.05595</v>
      </c>
      <c r="G314" t="n">
        <v>4755.40355</v>
      </c>
      <c r="H314" t="n">
        <v>4792.76972</v>
      </c>
      <c r="Q314" t="n">
        <v>4734.14526</v>
      </c>
      <c r="R314" t="n">
        <v>4763.50855</v>
      </c>
      <c r="S314" t="n">
        <v>4790.09732</v>
      </c>
      <c r="V314" t="n">
        <v>4699.20548</v>
      </c>
      <c r="W314" t="n">
        <v>4665.64049</v>
      </c>
      <c r="AB314" t="n">
        <v>4742.71741</v>
      </c>
      <c r="AC314" t="n">
        <v>4740.98562</v>
      </c>
      <c r="AD314" t="n">
        <v>0</v>
      </c>
      <c r="AK314" t="n">
        <v>312</v>
      </c>
      <c r="AL314" t="n">
        <v>311</v>
      </c>
      <c r="AM314" t="n">
        <v>4739.77</v>
      </c>
      <c r="AN314" t="n">
        <v>4734.1453</v>
      </c>
      <c r="AO314" t="n">
        <v>5.6247</v>
      </c>
      <c r="AP314" t="n">
        <v>31.6377</v>
      </c>
      <c r="AQ314" t="n">
        <v>0.004094</v>
      </c>
      <c r="AR314" t="n">
        <v>0.000655</v>
      </c>
      <c r="AY314" t="n">
        <v>312</v>
      </c>
      <c r="AZ314" t="n">
        <v>311</v>
      </c>
      <c r="BA314" t="n">
        <v>4739.77</v>
      </c>
      <c r="BB314" t="n">
        <v>4734.1453</v>
      </c>
      <c r="BC314" t="n">
        <v>5.6247</v>
      </c>
      <c r="BD314" t="n">
        <v>31.6377</v>
      </c>
      <c r="BE314" t="n">
        <v>96721</v>
      </c>
    </row>
    <row r="315">
      <c r="A315" t="n">
        <v>1776819602</v>
      </c>
      <c r="B315" t="inlineStr">
        <is>
          <t>XAUUSD</t>
        </is>
      </c>
      <c r="C315" t="inlineStr">
        <is>
          <t>M15</t>
        </is>
      </c>
      <c r="D315" t="n">
        <v>4738.28</v>
      </c>
      <c r="E315" t="n">
        <v>4518.59282</v>
      </c>
      <c r="F315" t="n">
        <v>4596.05595</v>
      </c>
      <c r="G315" t="n">
        <v>4755.40355</v>
      </c>
      <c r="H315" t="n">
        <v>4792.76972</v>
      </c>
      <c r="Q315" t="n">
        <v>4733.87765</v>
      </c>
      <c r="R315" t="n">
        <v>4763.24095</v>
      </c>
      <c r="S315" t="n">
        <v>4789.82972</v>
      </c>
      <c r="V315" t="n">
        <v>4698.93788</v>
      </c>
      <c r="W315" t="n">
        <v>4665.37288</v>
      </c>
      <c r="AB315" t="n">
        <v>4744.46617</v>
      </c>
      <c r="AC315" t="n">
        <v>4742.7259</v>
      </c>
      <c r="AD315" t="n">
        <v>0</v>
      </c>
      <c r="AK315" t="n">
        <v>313</v>
      </c>
      <c r="AL315" t="n">
        <v>312</v>
      </c>
      <c r="AM315" t="n">
        <v>4738.28</v>
      </c>
      <c r="AN315" t="n">
        <v>4733.8777</v>
      </c>
      <c r="AO315" t="n">
        <v>4.4023</v>
      </c>
      <c r="AP315" t="n">
        <v>19.3807</v>
      </c>
      <c r="AQ315" t="n">
        <v>0.001963</v>
      </c>
      <c r="AR315" t="n">
        <v>0.000246</v>
      </c>
      <c r="AY315" t="n">
        <v>313</v>
      </c>
      <c r="AZ315" t="n">
        <v>312</v>
      </c>
      <c r="BA315" t="n">
        <v>4738.28</v>
      </c>
      <c r="BB315" t="n">
        <v>4733.8777</v>
      </c>
      <c r="BC315" t="n">
        <v>4.4023</v>
      </c>
      <c r="BD315" t="n">
        <v>19.3807</v>
      </c>
      <c r="BE315" t="n">
        <v>97344</v>
      </c>
    </row>
    <row r="316">
      <c r="A316" t="n">
        <v>1776820502</v>
      </c>
      <c r="B316" t="inlineStr">
        <is>
          <t>XAUUSD</t>
        </is>
      </c>
      <c r="C316" t="inlineStr">
        <is>
          <t>M15</t>
        </is>
      </c>
      <c r="D316" t="n">
        <v>4746.52</v>
      </c>
      <c r="E316" t="n">
        <v>4518.59282</v>
      </c>
      <c r="F316" t="n">
        <v>4596.05595</v>
      </c>
      <c r="G316" t="n">
        <v>4755.40355</v>
      </c>
      <c r="H316" t="n">
        <v>4792.76972</v>
      </c>
      <c r="Q316" t="n">
        <v>4733.61005</v>
      </c>
      <c r="R316" t="n">
        <v>4762.97335</v>
      </c>
      <c r="S316" t="n">
        <v>4789.56212</v>
      </c>
      <c r="V316" t="n">
        <v>4698.67028</v>
      </c>
      <c r="W316" t="n">
        <v>4665.10528</v>
      </c>
      <c r="AB316" t="n">
        <v>4746.4741</v>
      </c>
      <c r="AC316" t="n">
        <v>4744.6</v>
      </c>
      <c r="AD316" t="n">
        <v>0</v>
      </c>
      <c r="AK316" t="n">
        <v>314</v>
      </c>
      <c r="AL316" t="n">
        <v>313</v>
      </c>
      <c r="AM316" t="n">
        <v>4746.52</v>
      </c>
      <c r="AN316" t="n">
        <v>4733.6101</v>
      </c>
      <c r="AO316" t="n">
        <v>12.91</v>
      </c>
      <c r="AP316" t="n">
        <v>166.6668</v>
      </c>
      <c r="AQ316" t="n">
        <v>0.049498</v>
      </c>
      <c r="AR316" t="n">
        <v>0.018174</v>
      </c>
      <c r="AY316" t="n">
        <v>314</v>
      </c>
      <c r="AZ316" t="n">
        <v>313</v>
      </c>
      <c r="BA316" t="n">
        <v>4746.52</v>
      </c>
      <c r="BB316" t="n">
        <v>4733.6101</v>
      </c>
      <c r="BC316" t="n">
        <v>12.91</v>
      </c>
      <c r="BD316" t="n">
        <v>166.6668</v>
      </c>
      <c r="BE316" t="n">
        <v>97969</v>
      </c>
    </row>
    <row r="317">
      <c r="A317" t="n">
        <v>1776821402</v>
      </c>
      <c r="B317" t="inlineStr">
        <is>
          <t>XAUUSD</t>
        </is>
      </c>
      <c r="C317" t="inlineStr">
        <is>
          <t>M15</t>
        </is>
      </c>
      <c r="D317" t="n">
        <v>4749.74</v>
      </c>
      <c r="E317" t="n">
        <v>4518.59282</v>
      </c>
      <c r="F317" t="n">
        <v>4596.05595</v>
      </c>
      <c r="G317" t="n">
        <v>4755.40355</v>
      </c>
      <c r="H317" t="n">
        <v>4792.76972</v>
      </c>
      <c r="Q317" t="n">
        <v>4733.34244</v>
      </c>
      <c r="R317" t="n">
        <v>4762.70574</v>
      </c>
      <c r="S317" t="n">
        <v>4789.29451</v>
      </c>
      <c r="V317" t="n">
        <v>4698.40267</v>
      </c>
      <c r="W317" t="n">
        <v>4664.83768</v>
      </c>
      <c r="AB317" t="n">
        <v>4748.57211</v>
      </c>
      <c r="AC317" t="n">
        <v>4746.58605</v>
      </c>
      <c r="AD317" t="n">
        <v>0</v>
      </c>
      <c r="AK317" t="n">
        <v>315</v>
      </c>
      <c r="AL317" t="n">
        <v>314</v>
      </c>
      <c r="AM317" t="n">
        <v>4749.74</v>
      </c>
      <c r="AN317" t="n">
        <v>4733.3424</v>
      </c>
      <c r="AO317" t="n">
        <v>16.3976</v>
      </c>
      <c r="AP317" t="n">
        <v>268.88</v>
      </c>
      <c r="AQ317" t="n">
        <v>0.101427</v>
      </c>
      <c r="AR317" t="n">
        <v>0.047301</v>
      </c>
      <c r="AY317" t="n">
        <v>315</v>
      </c>
      <c r="AZ317" t="n">
        <v>314</v>
      </c>
      <c r="BA317" t="n">
        <v>4749.74</v>
      </c>
      <c r="BB317" t="n">
        <v>4733.3424</v>
      </c>
      <c r="BC317" t="n">
        <v>16.3976</v>
      </c>
      <c r="BD317" t="n">
        <v>268.88</v>
      </c>
      <c r="BE317" t="n">
        <v>98596</v>
      </c>
    </row>
    <row r="318">
      <c r="A318" t="n">
        <v>1776822302</v>
      </c>
      <c r="B318" t="inlineStr">
        <is>
          <t>XAUUSD</t>
        </is>
      </c>
      <c r="C318" t="inlineStr">
        <is>
          <t>M15</t>
        </is>
      </c>
      <c r="D318" t="n">
        <v>4752.31</v>
      </c>
      <c r="E318" t="n">
        <v>4518.59282</v>
      </c>
      <c r="F318" t="n">
        <v>4596.05595</v>
      </c>
      <c r="G318" t="n">
        <v>4755.40355</v>
      </c>
      <c r="H318" t="n">
        <v>4792.76972</v>
      </c>
      <c r="Q318" t="n">
        <v>4733.07484</v>
      </c>
      <c r="R318" t="n">
        <v>4762.43814</v>
      </c>
      <c r="S318" t="n">
        <v>4789.02691</v>
      </c>
      <c r="V318" t="n">
        <v>4698.13507</v>
      </c>
      <c r="W318" t="n">
        <v>4664.57007</v>
      </c>
      <c r="AB318" t="n">
        <v>4750.6825</v>
      </c>
      <c r="AC318" t="n">
        <v>4748.63428</v>
      </c>
      <c r="AD318" t="n">
        <v>0</v>
      </c>
      <c r="AK318" t="n">
        <v>316</v>
      </c>
      <c r="AL318" t="n">
        <v>315</v>
      </c>
      <c r="AM318" t="n">
        <v>4752.31</v>
      </c>
      <c r="AN318" t="n">
        <v>4733.0748</v>
      </c>
      <c r="AO318" t="n">
        <v>19.2352</v>
      </c>
      <c r="AP318" t="n">
        <v>369.9914</v>
      </c>
      <c r="AQ318" t="n">
        <v>0.16372</v>
      </c>
      <c r="AR318" t="n">
        <v>0.08956500000000001</v>
      </c>
      <c r="AY318" t="n">
        <v>316</v>
      </c>
      <c r="AZ318" t="n">
        <v>315</v>
      </c>
      <c r="BA318" t="n">
        <v>4752.31</v>
      </c>
      <c r="BB318" t="n">
        <v>4733.0748</v>
      </c>
      <c r="BC318" t="n">
        <v>19.2352</v>
      </c>
      <c r="BD318" t="n">
        <v>369.9914</v>
      </c>
      <c r="BE318" t="n">
        <v>99225</v>
      </c>
    </row>
    <row r="319">
      <c r="A319" t="n">
        <v>1776823202</v>
      </c>
      <c r="B319" t="inlineStr">
        <is>
          <t>XAUUSD</t>
        </is>
      </c>
      <c r="C319" t="inlineStr">
        <is>
          <t>M15</t>
        </is>
      </c>
      <c r="D319" t="n">
        <v>4755.68</v>
      </c>
      <c r="E319" t="n">
        <v>4518.59282</v>
      </c>
      <c r="F319" t="n">
        <v>4596.05595</v>
      </c>
      <c r="G319" t="n">
        <v>4755.40355</v>
      </c>
      <c r="H319" t="n">
        <v>4792.76972</v>
      </c>
      <c r="Q319" t="n">
        <v>4732.80723</v>
      </c>
      <c r="R319" t="n">
        <v>4762.17053</v>
      </c>
      <c r="S319" t="n">
        <v>4788.7593</v>
      </c>
      <c r="V319" t="n">
        <v>4697.86746</v>
      </c>
      <c r="W319" t="n">
        <v>4664.30247</v>
      </c>
      <c r="AB319" t="n">
        <v>4752.72902</v>
      </c>
      <c r="AC319" t="n">
        <v>4750.68165</v>
      </c>
      <c r="AD319" t="n">
        <v>0</v>
      </c>
      <c r="AK319" t="n">
        <v>317</v>
      </c>
      <c r="AL319" t="n">
        <v>316</v>
      </c>
      <c r="AM319" t="n">
        <v>4755.68</v>
      </c>
      <c r="AN319" t="n">
        <v>4732.8072</v>
      </c>
      <c r="AO319" t="n">
        <v>22.8728</v>
      </c>
      <c r="AP319" t="n">
        <v>523.1636</v>
      </c>
      <c r="AQ319" t="n">
        <v>0.275278</v>
      </c>
      <c r="AR319" t="n">
        <v>0.179073</v>
      </c>
      <c r="AY319" t="n">
        <v>317</v>
      </c>
      <c r="AZ319" t="n">
        <v>316</v>
      </c>
      <c r="BA319" t="n">
        <v>4755.68</v>
      </c>
      <c r="BB319" t="n">
        <v>4732.8072</v>
      </c>
      <c r="BC319" t="n">
        <v>22.8728</v>
      </c>
      <c r="BD319" t="n">
        <v>523.1636</v>
      </c>
      <c r="BE319" t="n">
        <v>99856</v>
      </c>
    </row>
    <row r="320">
      <c r="A320" t="n">
        <v>1776824102</v>
      </c>
      <c r="B320" t="inlineStr">
        <is>
          <t>XAUUSD</t>
        </is>
      </c>
      <c r="C320" t="inlineStr">
        <is>
          <t>M15</t>
        </is>
      </c>
      <c r="D320" t="n">
        <v>4755.59</v>
      </c>
      <c r="E320" t="n">
        <v>4518.59282</v>
      </c>
      <c r="F320" t="n">
        <v>4596.05595</v>
      </c>
      <c r="G320" t="n">
        <v>4755.40355</v>
      </c>
      <c r="H320" t="n">
        <v>4792.76972</v>
      </c>
      <c r="Q320" t="n">
        <v>4732.53963</v>
      </c>
      <c r="R320" t="n">
        <v>4761.90293</v>
      </c>
      <c r="S320" t="n">
        <v>4788.4917</v>
      </c>
      <c r="V320" t="n">
        <v>4697.59986</v>
      </c>
      <c r="W320" t="n">
        <v>4664.03486</v>
      </c>
      <c r="AB320" t="n">
        <v>4754.5365</v>
      </c>
      <c r="AC320" t="n">
        <v>4752.60907</v>
      </c>
      <c r="AD320" t="n">
        <v>0</v>
      </c>
      <c r="AK320" t="n">
        <v>318</v>
      </c>
      <c r="AL320" t="n">
        <v>317</v>
      </c>
      <c r="AM320" t="n">
        <v>4755.59</v>
      </c>
      <c r="AN320" t="n">
        <v>4732.5396</v>
      </c>
      <c r="AO320" t="n">
        <v>23.0504</v>
      </c>
      <c r="AP320" t="n">
        <v>531.3196</v>
      </c>
      <c r="AQ320" t="n">
        <v>0.281741</v>
      </c>
      <c r="AR320" t="n">
        <v>0.184699</v>
      </c>
      <c r="AY320" t="n">
        <v>318</v>
      </c>
      <c r="AZ320" t="n">
        <v>317</v>
      </c>
      <c r="BA320" t="n">
        <v>4755.59</v>
      </c>
      <c r="BB320" t="n">
        <v>4732.5396</v>
      </c>
      <c r="BC320" t="n">
        <v>23.0504</v>
      </c>
      <c r="BD320" t="n">
        <v>531.3196</v>
      </c>
      <c r="BE320" t="n">
        <v>100489</v>
      </c>
    </row>
    <row r="321">
      <c r="A321" t="n">
        <v>1776825002</v>
      </c>
      <c r="B321" t="inlineStr">
        <is>
          <t>XAUUSD</t>
        </is>
      </c>
      <c r="C321" t="inlineStr">
        <is>
          <t>M15</t>
        </is>
      </c>
      <c r="D321" t="n">
        <v>4751.37</v>
      </c>
      <c r="E321" t="n">
        <v>4518.59282</v>
      </c>
      <c r="F321" t="n">
        <v>4596.05595</v>
      </c>
      <c r="G321" t="n">
        <v>4755.40355</v>
      </c>
      <c r="H321" t="n">
        <v>4792.76972</v>
      </c>
      <c r="Q321" t="n">
        <v>4732.27203</v>
      </c>
      <c r="R321" t="n">
        <v>4761.63533</v>
      </c>
      <c r="S321" t="n">
        <v>4788.2241</v>
      </c>
      <c r="V321" t="n">
        <v>4697.33226</v>
      </c>
      <c r="W321" t="n">
        <v>4663.76726</v>
      </c>
      <c r="AB321" t="n">
        <v>4756.06197</v>
      </c>
      <c r="AC321" t="n">
        <v>4754.33552</v>
      </c>
      <c r="AD321" t="n">
        <v>0</v>
      </c>
      <c r="AK321" t="n">
        <v>319</v>
      </c>
      <c r="AL321" t="n">
        <v>318</v>
      </c>
      <c r="AM321" t="n">
        <v>4751.37</v>
      </c>
      <c r="AN321" t="n">
        <v>4732.272</v>
      </c>
      <c r="AO321" t="n">
        <v>19.098</v>
      </c>
      <c r="AP321" t="n">
        <v>364.7325</v>
      </c>
      <c r="AQ321" t="n">
        <v>0.160242</v>
      </c>
      <c r="AR321" t="n">
        <v>0.087037</v>
      </c>
      <c r="AY321" t="n">
        <v>319</v>
      </c>
      <c r="AZ321" t="n">
        <v>318</v>
      </c>
      <c r="BA321" t="n">
        <v>4751.37</v>
      </c>
      <c r="BB321" t="n">
        <v>4732.272</v>
      </c>
      <c r="BC321" t="n">
        <v>19.098</v>
      </c>
      <c r="BD321" t="n">
        <v>364.7325</v>
      </c>
      <c r="BE321" t="n">
        <v>101124</v>
      </c>
    </row>
    <row r="322">
      <c r="A322" t="n">
        <v>1776825902</v>
      </c>
      <c r="B322" t="inlineStr">
        <is>
          <t>XAUUSD</t>
        </is>
      </c>
      <c r="C322" t="inlineStr">
        <is>
          <t>M15</t>
        </is>
      </c>
      <c r="D322" t="n">
        <v>4755.81</v>
      </c>
      <c r="E322" t="n">
        <v>4518.59282</v>
      </c>
      <c r="F322" t="n">
        <v>4596.05595</v>
      </c>
      <c r="G322" t="n">
        <v>4755.40355</v>
      </c>
      <c r="H322" t="n">
        <v>4792.76972</v>
      </c>
      <c r="Q322" t="n">
        <v>4732.00442</v>
      </c>
      <c r="R322" t="n">
        <v>4761.36772</v>
      </c>
      <c r="S322" t="n">
        <v>4787.95649</v>
      </c>
      <c r="V322" t="n">
        <v>4697.06465</v>
      </c>
      <c r="W322" t="n">
        <v>4663.49966</v>
      </c>
      <c r="AB322" t="n">
        <v>4757.37587</v>
      </c>
      <c r="AC322" t="n">
        <v>4755.8557</v>
      </c>
      <c r="AD322" t="n">
        <v>0</v>
      </c>
      <c r="AK322" t="n">
        <v>320</v>
      </c>
      <c r="AL322" t="n">
        <v>319</v>
      </c>
      <c r="AM322" t="n">
        <v>4755.81</v>
      </c>
      <c r="AN322" t="n">
        <v>4732.0044</v>
      </c>
      <c r="AO322" t="n">
        <v>23.8056</v>
      </c>
      <c r="AP322" t="n">
        <v>566.7056</v>
      </c>
      <c r="AQ322" t="n">
        <v>0.31035</v>
      </c>
      <c r="AR322" t="n">
        <v>0.210121</v>
      </c>
      <c r="AY322" t="n">
        <v>320</v>
      </c>
      <c r="AZ322" t="n">
        <v>319</v>
      </c>
      <c r="BA322" t="n">
        <v>4755.81</v>
      </c>
      <c r="BB322" t="n">
        <v>4732.0044</v>
      </c>
      <c r="BC322" t="n">
        <v>23.8056</v>
      </c>
      <c r="BD322" t="n">
        <v>566.7056</v>
      </c>
      <c r="BE322" t="n">
        <v>101761</v>
      </c>
    </row>
    <row r="323">
      <c r="A323" t="n">
        <v>1776826802</v>
      </c>
      <c r="B323" t="inlineStr">
        <is>
          <t>XAUUSD</t>
        </is>
      </c>
      <c r="C323" t="inlineStr">
        <is>
          <t>M15</t>
        </is>
      </c>
      <c r="D323" t="n">
        <v>4757.61</v>
      </c>
      <c r="E323" t="n">
        <v>4518.59282</v>
      </c>
      <c r="F323" t="n">
        <v>4596.05595</v>
      </c>
      <c r="G323" t="n">
        <v>4755.40355</v>
      </c>
      <c r="H323" t="n">
        <v>4792.76972</v>
      </c>
      <c r="Q323" t="n">
        <v>4731.73682</v>
      </c>
      <c r="R323" t="n">
        <v>4761.10012</v>
      </c>
      <c r="S323" t="n">
        <v>4787.68889</v>
      </c>
      <c r="V323" t="n">
        <v>4696.79705</v>
      </c>
      <c r="W323" t="n">
        <v>4663.23205</v>
      </c>
      <c r="AB323" t="n">
        <v>4758.28462</v>
      </c>
      <c r="AC323" t="n">
        <v>4757.07016</v>
      </c>
      <c r="AD323" t="n">
        <v>0</v>
      </c>
      <c r="AK323" t="n">
        <v>321</v>
      </c>
      <c r="AL323" t="n">
        <v>320</v>
      </c>
      <c r="AM323" t="n">
        <v>4757.61</v>
      </c>
      <c r="AN323" t="n">
        <v>4731.7368</v>
      </c>
      <c r="AO323" t="n">
        <v>25.8732</v>
      </c>
      <c r="AP323" t="n">
        <v>669.4213999999999</v>
      </c>
      <c r="AQ323" t="n">
        <v>0.398442</v>
      </c>
      <c r="AR323" t="n">
        <v>0.293193</v>
      </c>
      <c r="AY323" t="n">
        <v>321</v>
      </c>
      <c r="AZ323" t="n">
        <v>320</v>
      </c>
      <c r="BA323" t="n">
        <v>4757.61</v>
      </c>
      <c r="BB323" t="n">
        <v>4731.7368</v>
      </c>
      <c r="BC323" t="n">
        <v>25.8732</v>
      </c>
      <c r="BD323" t="n">
        <v>669.4213999999999</v>
      </c>
      <c r="BE323" t="n">
        <v>102400</v>
      </c>
    </row>
    <row r="324">
      <c r="A324" t="n">
        <v>1776827702</v>
      </c>
      <c r="B324" t="inlineStr">
        <is>
          <t>XAUUSD</t>
        </is>
      </c>
      <c r="C324" t="inlineStr">
        <is>
          <t>M15</t>
        </is>
      </c>
      <c r="D324" t="n">
        <v>4763.12</v>
      </c>
      <c r="E324" t="n">
        <v>4518.59282</v>
      </c>
      <c r="F324" t="n">
        <v>4596.05595</v>
      </c>
      <c r="G324" t="n">
        <v>4755.40355</v>
      </c>
      <c r="H324" t="n">
        <v>4792.76972</v>
      </c>
      <c r="Q324" t="n">
        <v>4731.46921</v>
      </c>
      <c r="R324" t="n">
        <v>4760.83251</v>
      </c>
      <c r="S324" t="n">
        <v>4787.42128</v>
      </c>
      <c r="V324" t="n">
        <v>4696.52944</v>
      </c>
      <c r="W324" t="n">
        <v>4662.96445</v>
      </c>
      <c r="AB324" t="n">
        <v>4758.67654</v>
      </c>
      <c r="AC324" t="n">
        <v>4757.87335</v>
      </c>
      <c r="AD324" t="n">
        <v>0</v>
      </c>
      <c r="AK324" t="n">
        <v>322</v>
      </c>
      <c r="AL324" t="n">
        <v>321</v>
      </c>
      <c r="AM324" t="n">
        <v>4763.12</v>
      </c>
      <c r="AN324" t="n">
        <v>4731.4692</v>
      </c>
      <c r="AO324" t="n">
        <v>31.6508</v>
      </c>
      <c r="AP324" t="n">
        <v>1001.7725</v>
      </c>
      <c r="AQ324" t="n">
        <v>0.729406</v>
      </c>
      <c r="AR324" t="n">
        <v>0.656587</v>
      </c>
      <c r="AY324" t="n">
        <v>322</v>
      </c>
      <c r="AZ324" t="n">
        <v>321</v>
      </c>
      <c r="BA324" t="n">
        <v>4763.12</v>
      </c>
      <c r="BB324" t="n">
        <v>4731.4692</v>
      </c>
      <c r="BC324" t="n">
        <v>31.6508</v>
      </c>
      <c r="BD324" t="n">
        <v>1001.7725</v>
      </c>
      <c r="BE324" t="n">
        <v>103041</v>
      </c>
    </row>
    <row r="325">
      <c r="A325" t="n">
        <v>1776828602</v>
      </c>
      <c r="B325" t="inlineStr">
        <is>
          <t>XAUUSD</t>
        </is>
      </c>
      <c r="C325" t="inlineStr">
        <is>
          <t>M15</t>
        </is>
      </c>
      <c r="D325" t="n">
        <v>4759.16</v>
      </c>
      <c r="E325" t="n">
        <v>4518.59282</v>
      </c>
      <c r="F325" t="n">
        <v>4596.05595</v>
      </c>
      <c r="G325" t="n">
        <v>4755.40355</v>
      </c>
      <c r="H325" t="n">
        <v>4792.76972</v>
      </c>
      <c r="Q325" t="n">
        <v>4731.20161</v>
      </c>
      <c r="R325" t="n">
        <v>4760.56491</v>
      </c>
      <c r="S325" t="n">
        <v>4787.15368</v>
      </c>
      <c r="V325" t="n">
        <v>4696.26184</v>
      </c>
      <c r="W325" t="n">
        <v>4662.69684</v>
      </c>
      <c r="AB325" t="n">
        <v>4758.42534</v>
      </c>
      <c r="AC325" t="n">
        <v>4758.14934</v>
      </c>
      <c r="AD325" t="n">
        <v>0</v>
      </c>
      <c r="AK325" t="n">
        <v>323</v>
      </c>
      <c r="AL325" t="n">
        <v>322</v>
      </c>
      <c r="AM325" t="n">
        <v>4759.16</v>
      </c>
      <c r="AN325" t="n">
        <v>4731.2016</v>
      </c>
      <c r="AO325" t="n">
        <v>27.9584</v>
      </c>
      <c r="AP325" t="n">
        <v>781.6716</v>
      </c>
      <c r="AQ325" t="n">
        <v>0.50275</v>
      </c>
      <c r="AR325" t="n">
        <v>0.399763</v>
      </c>
      <c r="AY325" t="n">
        <v>323</v>
      </c>
      <c r="AZ325" t="n">
        <v>322</v>
      </c>
      <c r="BA325" t="n">
        <v>4759.16</v>
      </c>
      <c r="BB325" t="n">
        <v>4731.2016</v>
      </c>
      <c r="BC325" t="n">
        <v>27.9584</v>
      </c>
      <c r="BD325" t="n">
        <v>781.6716</v>
      </c>
      <c r="BE325" t="n">
        <v>103684</v>
      </c>
    </row>
    <row r="326">
      <c r="A326" t="n">
        <v>1776829502</v>
      </c>
      <c r="B326" t="inlineStr">
        <is>
          <t>XAUUSD</t>
        </is>
      </c>
      <c r="C326" t="inlineStr">
        <is>
          <t>M15</t>
        </is>
      </c>
      <c r="D326" t="n">
        <v>4758.09</v>
      </c>
      <c r="E326" t="n">
        <v>4518.59282</v>
      </c>
      <c r="F326" t="n">
        <v>4596.05595</v>
      </c>
      <c r="G326" t="n">
        <v>4755.40355</v>
      </c>
      <c r="H326" t="n">
        <v>4792.76972</v>
      </c>
      <c r="Q326" t="n">
        <v>4730.93401</v>
      </c>
      <c r="R326" t="n">
        <v>4760.2973</v>
      </c>
      <c r="S326" t="n">
        <v>4786.88608</v>
      </c>
      <c r="V326" t="n">
        <v>4695.99424</v>
      </c>
      <c r="W326" t="n">
        <v>4662.42924</v>
      </c>
      <c r="AB326" t="n">
        <v>4757.80926</v>
      </c>
      <c r="AC326" t="n">
        <v>4757.9793</v>
      </c>
      <c r="AD326" t="n">
        <v>1</v>
      </c>
      <c r="AK326" t="n">
        <v>324</v>
      </c>
      <c r="AL326" t="n">
        <v>323</v>
      </c>
      <c r="AM326" t="n">
        <v>4758.09</v>
      </c>
      <c r="AN326" t="n">
        <v>4730.934</v>
      </c>
      <c r="AO326" t="n">
        <v>27.156</v>
      </c>
      <c r="AP326" t="n">
        <v>737.4478</v>
      </c>
      <c r="AQ326" t="n">
        <v>0.460694</v>
      </c>
      <c r="AR326" t="n">
        <v>0.355809</v>
      </c>
      <c r="AY326" t="n">
        <v>324</v>
      </c>
      <c r="AZ326" t="n">
        <v>323</v>
      </c>
      <c r="BA326" t="n">
        <v>4758.09</v>
      </c>
      <c r="BB326" t="n">
        <v>4730.934</v>
      </c>
      <c r="BC326" t="n">
        <v>27.156</v>
      </c>
      <c r="BD326" t="n">
        <v>737.4478</v>
      </c>
      <c r="BE326" t="n">
        <v>104329</v>
      </c>
    </row>
    <row r="327">
      <c r="A327" t="n">
        <v>1776830402</v>
      </c>
      <c r="B327" t="inlineStr">
        <is>
          <t>XAUUSD</t>
        </is>
      </c>
      <c r="C327" t="inlineStr">
        <is>
          <t>M15</t>
        </is>
      </c>
      <c r="D327" t="n">
        <v>4757.32</v>
      </c>
      <c r="E327" t="n">
        <v>4518.59282</v>
      </c>
      <c r="F327" t="n">
        <v>4596.05595</v>
      </c>
      <c r="G327" t="n">
        <v>4755.40355</v>
      </c>
      <c r="H327" t="n">
        <v>4792.76972</v>
      </c>
      <c r="Q327" t="n">
        <v>4730.6664</v>
      </c>
      <c r="R327" t="n">
        <v>4760.0297</v>
      </c>
      <c r="S327" t="n">
        <v>4786.61847</v>
      </c>
      <c r="V327" t="n">
        <v>4695.72663</v>
      </c>
      <c r="W327" t="n">
        <v>4662.16164</v>
      </c>
      <c r="AB327" t="n">
        <v>4757.11602</v>
      </c>
      <c r="AC327" t="n">
        <v>4757.54766</v>
      </c>
      <c r="AD327" t="n">
        <v>0</v>
      </c>
      <c r="AK327" t="n">
        <v>325</v>
      </c>
      <c r="AL327" t="n">
        <v>324</v>
      </c>
      <c r="AM327" t="n">
        <v>4757.32</v>
      </c>
      <c r="AN327" t="n">
        <v>4730.6664</v>
      </c>
      <c r="AO327" t="n">
        <v>26.6536</v>
      </c>
      <c r="AP327" t="n">
        <v>710.4144</v>
      </c>
      <c r="AQ327" t="n">
        <v>0.435595</v>
      </c>
      <c r="AR327" t="n">
        <v>0.3302</v>
      </c>
      <c r="AY327" t="n">
        <v>325</v>
      </c>
      <c r="AZ327" t="n">
        <v>324</v>
      </c>
      <c r="BA327" t="n">
        <v>4757.32</v>
      </c>
      <c r="BB327" t="n">
        <v>4730.6664</v>
      </c>
      <c r="BC327" t="n">
        <v>26.6536</v>
      </c>
      <c r="BD327" t="n">
        <v>710.4144</v>
      </c>
      <c r="BE327" t="n">
        <v>104976</v>
      </c>
    </row>
    <row r="328">
      <c r="A328" t="n">
        <v>1776831302</v>
      </c>
      <c r="B328" t="inlineStr">
        <is>
          <t>XAUUSD</t>
        </is>
      </c>
      <c r="C328" t="inlineStr">
        <is>
          <t>M15</t>
        </is>
      </c>
      <c r="D328" t="n">
        <v>4755.87</v>
      </c>
      <c r="E328" t="n">
        <v>4518.59282</v>
      </c>
      <c r="F328" t="n">
        <v>4596.05595</v>
      </c>
      <c r="G328" t="n">
        <v>4755.40355</v>
      </c>
      <c r="H328" t="n">
        <v>4792.76972</v>
      </c>
      <c r="Q328" t="n">
        <v>4730.3988</v>
      </c>
      <c r="R328" t="n">
        <v>4759.7621</v>
      </c>
      <c r="S328" t="n">
        <v>4786.35087</v>
      </c>
      <c r="V328" t="n">
        <v>4695.45903</v>
      </c>
      <c r="W328" t="n">
        <v>4661.89403</v>
      </c>
      <c r="AB328" t="n">
        <v>4756.76546</v>
      </c>
      <c r="AC328" t="n">
        <v>4757.15656</v>
      </c>
      <c r="AD328" t="n">
        <v>0</v>
      </c>
      <c r="AK328" t="n">
        <v>326</v>
      </c>
      <c r="AL328" t="n">
        <v>325</v>
      </c>
      <c r="AM328" t="n">
        <v>4755.87</v>
      </c>
      <c r="AN328" t="n">
        <v>4730.3988</v>
      </c>
      <c r="AO328" t="n">
        <v>25.4712</v>
      </c>
      <c r="AP328" t="n">
        <v>648.782</v>
      </c>
      <c r="AQ328" t="n">
        <v>0.380158</v>
      </c>
      <c r="AR328" t="n">
        <v>0.275392</v>
      </c>
      <c r="AY328" t="n">
        <v>326</v>
      </c>
      <c r="AZ328" t="n">
        <v>325</v>
      </c>
      <c r="BA328" t="n">
        <v>4755.87</v>
      </c>
      <c r="BB328" t="n">
        <v>4730.3988</v>
      </c>
      <c r="BC328" t="n">
        <v>25.4712</v>
      </c>
      <c r="BD328" t="n">
        <v>648.782</v>
      </c>
      <c r="BE328" t="n">
        <v>105625</v>
      </c>
    </row>
    <row r="329">
      <c r="A329" t="n">
        <v>1776832202</v>
      </c>
      <c r="B329" t="inlineStr">
        <is>
          <t>XAUUSD</t>
        </is>
      </c>
      <c r="C329" t="inlineStr">
        <is>
          <t>M15</t>
        </is>
      </c>
      <c r="D329" t="n">
        <v>4756.36</v>
      </c>
      <c r="E329" t="n">
        <v>4518.59282</v>
      </c>
      <c r="F329" t="n">
        <v>4596.05595</v>
      </c>
      <c r="G329" t="n">
        <v>4755.40355</v>
      </c>
      <c r="H329" t="n">
        <v>4792.76972</v>
      </c>
      <c r="Q329" t="n">
        <v>4730.13119</v>
      </c>
      <c r="R329" t="n">
        <v>4759.49449</v>
      </c>
      <c r="S329" t="n">
        <v>4786.08326</v>
      </c>
      <c r="V329" t="n">
        <v>4695.19142</v>
      </c>
      <c r="W329" t="n">
        <v>4661.62643</v>
      </c>
      <c r="AB329" t="n">
        <v>4757.03848</v>
      </c>
      <c r="AC329" t="n">
        <v>4757.09752</v>
      </c>
      <c r="AD329" t="n">
        <v>0</v>
      </c>
      <c r="AK329" t="n">
        <v>327</v>
      </c>
      <c r="AL329" t="n">
        <v>326</v>
      </c>
      <c r="AM329" t="n">
        <v>4756.36</v>
      </c>
      <c r="AN329" t="n">
        <v>4730.1312</v>
      </c>
      <c r="AO329" t="n">
        <v>26.2288</v>
      </c>
      <c r="AP329" t="n">
        <v>687.9505</v>
      </c>
      <c r="AQ329" t="n">
        <v>0.415099</v>
      </c>
      <c r="AR329" t="n">
        <v>0.309648</v>
      </c>
      <c r="AY329" t="n">
        <v>327</v>
      </c>
      <c r="AZ329" t="n">
        <v>326</v>
      </c>
      <c r="BA329" t="n">
        <v>4756.36</v>
      </c>
      <c r="BB329" t="n">
        <v>4730.1312</v>
      </c>
      <c r="BC329" t="n">
        <v>26.2288</v>
      </c>
      <c r="BD329" t="n">
        <v>687.9505</v>
      </c>
      <c r="BE329" t="n">
        <v>106276</v>
      </c>
    </row>
    <row r="330">
      <c r="A330" t="n">
        <v>1776833102</v>
      </c>
      <c r="B330" t="inlineStr">
        <is>
          <t>XAUUSD</t>
        </is>
      </c>
      <c r="C330" t="inlineStr">
        <is>
          <t>M15</t>
        </is>
      </c>
      <c r="D330" t="n">
        <v>4754.62</v>
      </c>
      <c r="E330" t="n">
        <v>4518.59282</v>
      </c>
      <c r="F330" t="n">
        <v>4596.05595</v>
      </c>
      <c r="G330" t="n">
        <v>4755.40355</v>
      </c>
      <c r="H330" t="n">
        <v>4792.76972</v>
      </c>
      <c r="Q330" t="n">
        <v>4729.86359</v>
      </c>
      <c r="R330" t="n">
        <v>4759.22689</v>
      </c>
      <c r="S330" t="n">
        <v>4785.81566</v>
      </c>
      <c r="V330" t="n">
        <v>4694.92382</v>
      </c>
      <c r="W330" t="n">
        <v>4661.35882</v>
      </c>
      <c r="AB330" t="n">
        <v>4758.01061</v>
      </c>
      <c r="AC330" t="n">
        <v>4757.55407</v>
      </c>
      <c r="AD330" t="n">
        <v>1</v>
      </c>
      <c r="AK330" t="n">
        <v>328</v>
      </c>
      <c r="AL330" t="n">
        <v>327</v>
      </c>
      <c r="AM330" t="n">
        <v>4754.62</v>
      </c>
      <c r="AN330" t="n">
        <v>4729.8636</v>
      </c>
      <c r="AO330" t="n">
        <v>24.7564</v>
      </c>
      <c r="AP330" t="n">
        <v>612.8798</v>
      </c>
      <c r="AQ330" t="n">
        <v>0.349043</v>
      </c>
      <c r="AR330" t="n">
        <v>0.245756</v>
      </c>
      <c r="AY330" t="n">
        <v>328</v>
      </c>
      <c r="AZ330" t="n">
        <v>327</v>
      </c>
      <c r="BA330" t="n">
        <v>4754.62</v>
      </c>
      <c r="BB330" t="n">
        <v>4729.8636</v>
      </c>
      <c r="BC330" t="n">
        <v>24.7564</v>
      </c>
      <c r="BD330" t="n">
        <v>612.8798</v>
      </c>
      <c r="BE330" t="n">
        <v>106929</v>
      </c>
    </row>
    <row r="331">
      <c r="A331" t="n">
        <v>1776834002</v>
      </c>
      <c r="B331" t="inlineStr">
        <is>
          <t>XAUUSD</t>
        </is>
      </c>
      <c r="C331" t="inlineStr">
        <is>
          <t>M15</t>
        </is>
      </c>
      <c r="D331" t="n">
        <v>4756.8</v>
      </c>
      <c r="E331" t="n">
        <v>4518.59282</v>
      </c>
      <c r="F331" t="n">
        <v>4596.05595</v>
      </c>
      <c r="G331" t="n">
        <v>4755.40355</v>
      </c>
      <c r="H331" t="n">
        <v>4792.76972</v>
      </c>
      <c r="Q331" t="n">
        <v>4729.59599</v>
      </c>
      <c r="R331" t="n">
        <v>4758.95928</v>
      </c>
      <c r="S331" t="n">
        <v>4785.54806</v>
      </c>
      <c r="V331" t="n">
        <v>4694.65622</v>
      </c>
      <c r="W331" t="n">
        <v>4661.09122</v>
      </c>
      <c r="AB331" t="n">
        <v>4759.67969</v>
      </c>
      <c r="AC331" t="n">
        <v>4758.61688</v>
      </c>
      <c r="AD331" t="n">
        <v>0</v>
      </c>
      <c r="AK331" t="n">
        <v>329</v>
      </c>
      <c r="AL331" t="n">
        <v>328</v>
      </c>
      <c r="AM331" t="n">
        <v>4756.8</v>
      </c>
      <c r="AN331" t="n">
        <v>4729.596</v>
      </c>
      <c r="AO331" t="n">
        <v>27.204</v>
      </c>
      <c r="AP331" t="n">
        <v>740.0582000000001</v>
      </c>
      <c r="AQ331" t="n">
        <v>0.463142</v>
      </c>
      <c r="AR331" t="n">
        <v>0.358332</v>
      </c>
      <c r="AY331" t="n">
        <v>329</v>
      </c>
      <c r="AZ331" t="n">
        <v>328</v>
      </c>
      <c r="BA331" t="n">
        <v>4756.8</v>
      </c>
      <c r="BB331" t="n">
        <v>4729.596</v>
      </c>
      <c r="BC331" t="n">
        <v>27.204</v>
      </c>
      <c r="BD331" t="n">
        <v>740.0582000000001</v>
      </c>
      <c r="BE331" t="n">
        <v>107584</v>
      </c>
    </row>
    <row r="332">
      <c r="A332" t="n">
        <v>1776834902</v>
      </c>
      <c r="B332" t="inlineStr">
        <is>
          <t>XAUUSD</t>
        </is>
      </c>
      <c r="C332" t="inlineStr">
        <is>
          <t>M15</t>
        </is>
      </c>
      <c r="D332" t="n">
        <v>4766.19</v>
      </c>
      <c r="E332" t="n">
        <v>4518.59282</v>
      </c>
      <c r="F332" t="n">
        <v>4596.05595</v>
      </c>
      <c r="G332" t="n">
        <v>4755.40355</v>
      </c>
      <c r="H332" t="n">
        <v>4792.76972</v>
      </c>
      <c r="Q332" t="n">
        <v>4729.32838</v>
      </c>
      <c r="R332" t="n">
        <v>4758.69168</v>
      </c>
      <c r="S332" t="n">
        <v>4785.28045</v>
      </c>
      <c r="V332" t="n">
        <v>4694.38861</v>
      </c>
      <c r="W332" t="n">
        <v>4660.82362</v>
      </c>
      <c r="AB332" t="n">
        <v>4761.80637</v>
      </c>
      <c r="AC332" t="n">
        <v>4760.21163</v>
      </c>
      <c r="AD332" t="n">
        <v>0</v>
      </c>
      <c r="AK332" t="n">
        <v>330</v>
      </c>
      <c r="AL332" t="n">
        <v>329</v>
      </c>
      <c r="AM332" t="n">
        <v>4766.19</v>
      </c>
      <c r="AN332" t="n">
        <v>4729.3284</v>
      </c>
      <c r="AO332" t="n">
        <v>36.8616</v>
      </c>
      <c r="AP332" t="n">
        <v>1358.779</v>
      </c>
      <c r="AQ332" t="n">
        <v>1.152229</v>
      </c>
      <c r="AR332" t="n">
        <v>1.207958</v>
      </c>
      <c r="AY332" t="n">
        <v>330</v>
      </c>
      <c r="AZ332" t="n">
        <v>329</v>
      </c>
      <c r="BA332" t="n">
        <v>4766.19</v>
      </c>
      <c r="BB332" t="n">
        <v>4729.3284</v>
      </c>
      <c r="BC332" t="n">
        <v>36.8616</v>
      </c>
      <c r="BD332" t="n">
        <v>1358.779</v>
      </c>
      <c r="BE332" t="n">
        <v>108241</v>
      </c>
    </row>
    <row r="333">
      <c r="A333" t="n">
        <v>1776835802</v>
      </c>
      <c r="B333" t="inlineStr">
        <is>
          <t>XAUUSD</t>
        </is>
      </c>
      <c r="C333" t="inlineStr">
        <is>
          <t>M15</t>
        </is>
      </c>
      <c r="D333" t="n">
        <v>4767.48</v>
      </c>
      <c r="E333" t="n">
        <v>4518.59282</v>
      </c>
      <c r="F333" t="n">
        <v>4596.05595</v>
      </c>
      <c r="G333" t="n">
        <v>4755.40355</v>
      </c>
      <c r="H333" t="n">
        <v>4792.76972</v>
      </c>
      <c r="Q333" t="n">
        <v>4729.06078</v>
      </c>
      <c r="R333" t="n">
        <v>4758.42408</v>
      </c>
      <c r="S333" t="n">
        <v>4785.01285</v>
      </c>
      <c r="V333" t="n">
        <v>4694.12101</v>
      </c>
      <c r="W333" t="n">
        <v>4660.55601</v>
      </c>
      <c r="AB333" t="n">
        <v>4763.85389</v>
      </c>
      <c r="AC333" t="n">
        <v>4762.03276</v>
      </c>
      <c r="AD333" t="n">
        <v>0</v>
      </c>
      <c r="AK333" t="n">
        <v>331</v>
      </c>
      <c r="AL333" t="n">
        <v>330</v>
      </c>
      <c r="AM333" t="n">
        <v>4767.48</v>
      </c>
      <c r="AN333" t="n">
        <v>4729.0608</v>
      </c>
      <c r="AO333" t="n">
        <v>38.4192</v>
      </c>
      <c r="AP333" t="n">
        <v>1476.0365</v>
      </c>
      <c r="AQ333" t="n">
        <v>1.304551</v>
      </c>
      <c r="AR333" t="n">
        <v>1.425438</v>
      </c>
      <c r="AY333" t="n">
        <v>331</v>
      </c>
      <c r="AZ333" t="n">
        <v>330</v>
      </c>
      <c r="BA333" t="n">
        <v>4767.48</v>
      </c>
      <c r="BB333" t="n">
        <v>4729.0608</v>
      </c>
      <c r="BC333" t="n">
        <v>38.4192</v>
      </c>
      <c r="BD333" t="n">
        <v>1476.0365</v>
      </c>
      <c r="BE333" t="n">
        <v>108900</v>
      </c>
    </row>
    <row r="334">
      <c r="A334" t="n">
        <v>1776836702</v>
      </c>
      <c r="B334" t="inlineStr">
        <is>
          <t>XAUUSD</t>
        </is>
      </c>
      <c r="C334" t="inlineStr">
        <is>
          <t>M15</t>
        </is>
      </c>
      <c r="D334" t="n">
        <v>4767.64</v>
      </c>
      <c r="E334" t="n">
        <v>4518.59282</v>
      </c>
      <c r="F334" t="n">
        <v>4596.05595</v>
      </c>
      <c r="G334" t="n">
        <v>4755.40355</v>
      </c>
      <c r="H334" t="n">
        <v>4792.76972</v>
      </c>
      <c r="Q334" t="n">
        <v>4728.79317</v>
      </c>
      <c r="R334" t="n">
        <v>4758.15647</v>
      </c>
      <c r="S334" t="n">
        <v>4784.74524</v>
      </c>
      <c r="V334" t="n">
        <v>4693.8534</v>
      </c>
      <c r="W334" t="n">
        <v>4660.28841</v>
      </c>
      <c r="AB334" t="n">
        <v>4765.52447</v>
      </c>
      <c r="AC334" t="n">
        <v>4763.77861</v>
      </c>
      <c r="AD334" t="n">
        <v>0</v>
      </c>
      <c r="AK334" t="n">
        <v>332</v>
      </c>
      <c r="AL334" t="n">
        <v>331</v>
      </c>
      <c r="AM334" t="n">
        <v>4767.64</v>
      </c>
      <c r="AN334" t="n">
        <v>4728.7932</v>
      </c>
      <c r="AO334" t="n">
        <v>38.8468</v>
      </c>
      <c r="AP334" t="n">
        <v>1509.0762</v>
      </c>
      <c r="AQ334" t="n">
        <v>1.348597</v>
      </c>
      <c r="AR334" t="n">
        <v>1.489966</v>
      </c>
      <c r="AY334" t="n">
        <v>332</v>
      </c>
      <c r="AZ334" t="n">
        <v>331</v>
      </c>
      <c r="BA334" t="n">
        <v>4767.64</v>
      </c>
      <c r="BB334" t="n">
        <v>4728.7932</v>
      </c>
      <c r="BC334" t="n">
        <v>38.8468</v>
      </c>
      <c r="BD334" t="n">
        <v>1509.0762</v>
      </c>
      <c r="BE334" t="n">
        <v>109561</v>
      </c>
    </row>
    <row r="335">
      <c r="A335" t="n">
        <v>1776837602</v>
      </c>
      <c r="B335" t="inlineStr">
        <is>
          <t>XAUUSD</t>
        </is>
      </c>
      <c r="C335" t="inlineStr">
        <is>
          <t>M15</t>
        </is>
      </c>
      <c r="D335" t="n">
        <v>4762.84</v>
      </c>
      <c r="E335" t="n">
        <v>4518.59282</v>
      </c>
      <c r="F335" t="n">
        <v>4596.05595</v>
      </c>
      <c r="G335" t="n">
        <v>4755.40355</v>
      </c>
      <c r="H335" t="n">
        <v>4792.76972</v>
      </c>
      <c r="Q335" t="n">
        <v>4728.52557</v>
      </c>
      <c r="R335" t="n">
        <v>4757.88887</v>
      </c>
      <c r="S335" t="n">
        <v>4784.47764</v>
      </c>
      <c r="V335" t="n">
        <v>4693.5858</v>
      </c>
      <c r="W335" t="n">
        <v>4660.0208</v>
      </c>
      <c r="AB335" t="n">
        <v>4766.62177</v>
      </c>
      <c r="AC335" t="n">
        <v>4765.20019</v>
      </c>
      <c r="AD335" t="n">
        <v>0</v>
      </c>
      <c r="AK335" t="n">
        <v>333</v>
      </c>
      <c r="AL335" t="n">
        <v>332</v>
      </c>
      <c r="AM335" t="n">
        <v>4762.84</v>
      </c>
      <c r="AN335" t="n">
        <v>4728.5256</v>
      </c>
      <c r="AO335" t="n">
        <v>34.3144</v>
      </c>
      <c r="AP335" t="n">
        <v>1177.4801</v>
      </c>
      <c r="AQ335" t="n">
        <v>0.929493</v>
      </c>
      <c r="AR335" t="n">
        <v>0.9071129999999999</v>
      </c>
      <c r="AY335" t="n">
        <v>333</v>
      </c>
      <c r="AZ335" t="n">
        <v>332</v>
      </c>
      <c r="BA335" t="n">
        <v>4762.84</v>
      </c>
      <c r="BB335" t="n">
        <v>4728.5256</v>
      </c>
      <c r="BC335" t="n">
        <v>34.3144</v>
      </c>
      <c r="BD335" t="n">
        <v>1177.4801</v>
      </c>
      <c r="BE335" t="n">
        <v>110224</v>
      </c>
    </row>
    <row r="336">
      <c r="A336" t="n">
        <v>1776838502</v>
      </c>
      <c r="B336" t="inlineStr">
        <is>
          <t>XAUUSD</t>
        </is>
      </c>
      <c r="C336" t="inlineStr">
        <is>
          <t>M15</t>
        </is>
      </c>
      <c r="D336" t="n">
        <v>4767.37</v>
      </c>
      <c r="E336" t="n">
        <v>4518.59282</v>
      </c>
      <c r="F336" t="n">
        <v>4596.05595</v>
      </c>
      <c r="G336" t="n">
        <v>4755.40355</v>
      </c>
      <c r="H336" t="n">
        <v>4792.76972</v>
      </c>
      <c r="Q336" t="n">
        <v>4728.25797</v>
      </c>
      <c r="R336" t="n">
        <v>4757.62126</v>
      </c>
      <c r="S336" t="n">
        <v>4784.21003</v>
      </c>
      <c r="V336" t="n">
        <v>4693.31819</v>
      </c>
      <c r="W336" t="n">
        <v>4659.7532</v>
      </c>
      <c r="AB336" t="n">
        <v>4767.18899</v>
      </c>
      <c r="AC336" t="n">
        <v>4766.19459</v>
      </c>
      <c r="AD336" t="n">
        <v>0</v>
      </c>
      <c r="AK336" t="n">
        <v>334</v>
      </c>
      <c r="AL336" t="n">
        <v>333</v>
      </c>
      <c r="AM336" t="n">
        <v>4767.37</v>
      </c>
      <c r="AN336" t="n">
        <v>4728.258</v>
      </c>
      <c r="AO336" t="n">
        <v>39.112</v>
      </c>
      <c r="AP336" t="n">
        <v>1529.7509</v>
      </c>
      <c r="AQ336" t="n">
        <v>1.376406</v>
      </c>
      <c r="AR336" t="n">
        <v>1.531072</v>
      </c>
      <c r="AY336" t="n">
        <v>334</v>
      </c>
      <c r="AZ336" t="n">
        <v>333</v>
      </c>
      <c r="BA336" t="n">
        <v>4767.37</v>
      </c>
      <c r="BB336" t="n">
        <v>4728.258</v>
      </c>
      <c r="BC336" t="n">
        <v>39.112</v>
      </c>
      <c r="BD336" t="n">
        <v>1529.7509</v>
      </c>
      <c r="BE336" t="n">
        <v>110889</v>
      </c>
    </row>
    <row r="337">
      <c r="A337" t="n">
        <v>1776839402</v>
      </c>
      <c r="B337" t="inlineStr">
        <is>
          <t>XAUUSD</t>
        </is>
      </c>
      <c r="C337" t="inlineStr">
        <is>
          <t>M15</t>
        </is>
      </c>
      <c r="D337" t="n">
        <v>4763.8</v>
      </c>
      <c r="E337" t="n">
        <v>4518.59282</v>
      </c>
      <c r="F337" t="n">
        <v>4596.05595</v>
      </c>
      <c r="G337" t="n">
        <v>4755.40355</v>
      </c>
      <c r="H337" t="n">
        <v>4792.76972</v>
      </c>
      <c r="Q337" t="n">
        <v>4727.99036</v>
      </c>
      <c r="R337" t="n">
        <v>4757.35366</v>
      </c>
      <c r="S337" t="n">
        <v>4783.94243</v>
      </c>
      <c r="V337" t="n">
        <v>4693.05059</v>
      </c>
      <c r="W337" t="n">
        <v>4659.48559</v>
      </c>
      <c r="AB337" t="n">
        <v>4767.10523</v>
      </c>
      <c r="AC337" t="n">
        <v>4766.64991</v>
      </c>
      <c r="AD337" t="n">
        <v>0</v>
      </c>
      <c r="AK337" t="n">
        <v>335</v>
      </c>
      <c r="AL337" t="n">
        <v>334</v>
      </c>
      <c r="AM337" t="n">
        <v>4763.8</v>
      </c>
      <c r="AN337" t="n">
        <v>4727.9904</v>
      </c>
      <c r="AO337" t="n">
        <v>35.8096</v>
      </c>
      <c r="AP337" t="n">
        <v>1282.3303</v>
      </c>
      <c r="AQ337" t="n">
        <v>1.056369</v>
      </c>
      <c r="AR337" t="n">
        <v>1.075855</v>
      </c>
      <c r="AY337" t="n">
        <v>335</v>
      </c>
      <c r="AZ337" t="n">
        <v>334</v>
      </c>
      <c r="BA337" t="n">
        <v>4763.8</v>
      </c>
      <c r="BB337" t="n">
        <v>4727.9904</v>
      </c>
      <c r="BC337" t="n">
        <v>35.8096</v>
      </c>
      <c r="BD337" t="n">
        <v>1282.3303</v>
      </c>
      <c r="BE337" t="n">
        <v>111556</v>
      </c>
    </row>
    <row r="338">
      <c r="A338" t="n">
        <v>1776840302</v>
      </c>
      <c r="B338" t="inlineStr">
        <is>
          <t>XAUUSD</t>
        </is>
      </c>
      <c r="C338" t="inlineStr">
        <is>
          <t>M15</t>
        </is>
      </c>
      <c r="D338" t="n">
        <v>4767.69</v>
      </c>
      <c r="E338" t="n">
        <v>4518.59282</v>
      </c>
      <c r="F338" t="n">
        <v>4596.05595</v>
      </c>
      <c r="G338" t="n">
        <v>4755.40355</v>
      </c>
      <c r="H338" t="n">
        <v>4792.76972</v>
      </c>
      <c r="Q338" t="n">
        <v>4727.72276</v>
      </c>
      <c r="R338" t="n">
        <v>4757.08606</v>
      </c>
      <c r="S338" t="n">
        <v>4783.67483</v>
      </c>
      <c r="V338" t="n">
        <v>4692.78299</v>
      </c>
      <c r="W338" t="n">
        <v>4659.21799</v>
      </c>
      <c r="AB338" t="n">
        <v>4766.53112</v>
      </c>
      <c r="AC338" t="n">
        <v>4766.59051</v>
      </c>
      <c r="AD338" t="n">
        <v>1</v>
      </c>
      <c r="AK338" t="n">
        <v>336</v>
      </c>
      <c r="AL338" t="n">
        <v>335</v>
      </c>
      <c r="AM338" t="n">
        <v>4767.69</v>
      </c>
      <c r="AN338" t="n">
        <v>4727.7228</v>
      </c>
      <c r="AO338" t="n">
        <v>39.9672</v>
      </c>
      <c r="AP338" t="n">
        <v>1597.3803</v>
      </c>
      <c r="AQ338" t="n">
        <v>1.468683</v>
      </c>
      <c r="AR338" t="n">
        <v>1.66944</v>
      </c>
      <c r="AY338" t="n">
        <v>336</v>
      </c>
      <c r="AZ338" t="n">
        <v>335</v>
      </c>
      <c r="BA338" t="n">
        <v>4767.69</v>
      </c>
      <c r="BB338" t="n">
        <v>4727.7228</v>
      </c>
      <c r="BC338" t="n">
        <v>39.9672</v>
      </c>
      <c r="BD338" t="n">
        <v>1597.3803</v>
      </c>
      <c r="BE338" t="n">
        <v>112225</v>
      </c>
    </row>
    <row r="339">
      <c r="A339" t="n">
        <v>1776841202</v>
      </c>
      <c r="B339" t="inlineStr">
        <is>
          <t>XAUUSD</t>
        </is>
      </c>
      <c r="C339" t="inlineStr">
        <is>
          <t>M15</t>
        </is>
      </c>
      <c r="D339" t="n">
        <v>4765.67</v>
      </c>
      <c r="E339" t="n">
        <v>4518.59282</v>
      </c>
      <c r="F339" t="n">
        <v>4596.05595</v>
      </c>
      <c r="G339" t="n">
        <v>4755.40355</v>
      </c>
      <c r="H339" t="n">
        <v>4792.76972</v>
      </c>
      <c r="Q339" t="n">
        <v>4727.45515</v>
      </c>
      <c r="R339" t="n">
        <v>4756.81845</v>
      </c>
      <c r="S339" t="n">
        <v>4783.40722</v>
      </c>
      <c r="V339" t="n">
        <v>4692.51538</v>
      </c>
      <c r="W339" t="n">
        <v>4658.95039</v>
      </c>
      <c r="Z339" t="n">
        <v>4772.15</v>
      </c>
      <c r="AB339" t="n">
        <v>4765.45658</v>
      </c>
      <c r="AC339" t="n">
        <v>4766.02355</v>
      </c>
      <c r="AD339" t="n">
        <v>0</v>
      </c>
      <c r="AK339" t="n">
        <v>337</v>
      </c>
      <c r="AL339" t="n">
        <v>336</v>
      </c>
      <c r="AM339" t="n">
        <v>4765.67</v>
      </c>
      <c r="AN339" t="n">
        <v>4727.4551</v>
      </c>
      <c r="AO339" t="n">
        <v>38.2149</v>
      </c>
      <c r="AP339" t="n">
        <v>1460.3748</v>
      </c>
      <c r="AQ339" t="n">
        <v>1.283843</v>
      </c>
      <c r="AR339" t="n">
        <v>1.395349</v>
      </c>
      <c r="AY339" t="n">
        <v>337</v>
      </c>
      <c r="AZ339" t="n">
        <v>336</v>
      </c>
      <c r="BA339" t="n">
        <v>4765.67</v>
      </c>
      <c r="BB339" t="n">
        <v>4727.4551</v>
      </c>
      <c r="BC339" t="n">
        <v>38.2149</v>
      </c>
      <c r="BD339" t="n">
        <v>1460.3748</v>
      </c>
      <c r="BE339" t="n">
        <v>112896</v>
      </c>
    </row>
    <row r="340">
      <c r="A340" t="n">
        <v>1776842102</v>
      </c>
      <c r="B340" t="inlineStr">
        <is>
          <t>XAUUSD</t>
        </is>
      </c>
      <c r="C340" t="inlineStr">
        <is>
          <t>M15</t>
        </is>
      </c>
      <c r="D340" t="n">
        <v>4766.08</v>
      </c>
      <c r="E340" t="n">
        <v>4518.59282</v>
      </c>
      <c r="F340" t="n">
        <v>4596.05595</v>
      </c>
      <c r="G340" t="n">
        <v>4755.40355</v>
      </c>
      <c r="H340" t="n">
        <v>4792.76972</v>
      </c>
      <c r="Q340" t="n">
        <v>4727.18755</v>
      </c>
      <c r="R340" t="n">
        <v>4756.55085</v>
      </c>
      <c r="S340" t="n">
        <v>4783.13962</v>
      </c>
      <c r="V340" t="n">
        <v>4692.24778</v>
      </c>
      <c r="W340" t="n">
        <v>4658.68278</v>
      </c>
      <c r="AB340" t="n">
        <v>4764.06552</v>
      </c>
      <c r="AC340" t="n">
        <v>4765.04453</v>
      </c>
      <c r="AD340" t="n">
        <v>0</v>
      </c>
      <c r="AK340" t="n">
        <v>338</v>
      </c>
      <c r="AL340" t="n">
        <v>337</v>
      </c>
      <c r="AM340" t="n">
        <v>4766.08</v>
      </c>
      <c r="AN340" t="n">
        <v>4727.1875</v>
      </c>
      <c r="AO340" t="n">
        <v>38.8925</v>
      </c>
      <c r="AP340" t="n">
        <v>1512.6227</v>
      </c>
      <c r="AQ340" t="n">
        <v>1.353354</v>
      </c>
      <c r="AR340" t="n">
        <v>1.496978</v>
      </c>
      <c r="AY340" t="n">
        <v>338</v>
      </c>
      <c r="AZ340" t="n">
        <v>337</v>
      </c>
      <c r="BA340" t="n">
        <v>4766.08</v>
      </c>
      <c r="BB340" t="n">
        <v>4727.1875</v>
      </c>
      <c r="BC340" t="n">
        <v>38.8925</v>
      </c>
      <c r="BD340" t="n">
        <v>1512.6227</v>
      </c>
      <c r="BE340" t="n">
        <v>113569</v>
      </c>
    </row>
    <row r="341">
      <c r="A341" t="n">
        <v>1776843002</v>
      </c>
      <c r="B341" t="inlineStr">
        <is>
          <t>XAUUSD</t>
        </is>
      </c>
      <c r="C341" t="inlineStr">
        <is>
          <t>M15</t>
        </is>
      </c>
      <c r="D341" t="n">
        <v>4763.82</v>
      </c>
      <c r="E341" t="n">
        <v>4518.59282</v>
      </c>
      <c r="F341" t="n">
        <v>4596.05595</v>
      </c>
      <c r="G341" t="n">
        <v>4755.40355</v>
      </c>
      <c r="H341" t="n">
        <v>4792.76972</v>
      </c>
      <c r="Q341" t="n">
        <v>4726.91994</v>
      </c>
      <c r="R341" t="n">
        <v>4756.28324</v>
      </c>
      <c r="S341" t="n">
        <v>4782.87201</v>
      </c>
      <c r="V341" t="n">
        <v>4691.98017</v>
      </c>
      <c r="W341" t="n">
        <v>4658.41518</v>
      </c>
      <c r="AB341" t="n">
        <v>4762.4421</v>
      </c>
      <c r="AC341" t="n">
        <v>4763.74332</v>
      </c>
      <c r="AD341" t="n">
        <v>0</v>
      </c>
      <c r="AK341" t="n">
        <v>339</v>
      </c>
      <c r="AL341" t="n">
        <v>338</v>
      </c>
      <c r="AM341" t="n">
        <v>4763.82</v>
      </c>
      <c r="AN341" t="n">
        <v>4726.9199</v>
      </c>
      <c r="AO341" t="n">
        <v>36.9001</v>
      </c>
      <c r="AP341" t="n">
        <v>1361.6144</v>
      </c>
      <c r="AQ341" t="n">
        <v>1.155838</v>
      </c>
      <c r="AR341" t="n">
        <v>1.213004</v>
      </c>
      <c r="AY341" t="n">
        <v>339</v>
      </c>
      <c r="AZ341" t="n">
        <v>338</v>
      </c>
      <c r="BA341" t="n">
        <v>4763.82</v>
      </c>
      <c r="BB341" t="n">
        <v>4726.9199</v>
      </c>
      <c r="BC341" t="n">
        <v>36.9001</v>
      </c>
      <c r="BD341" t="n">
        <v>1361.6144</v>
      </c>
      <c r="BE341" t="n">
        <v>114244</v>
      </c>
    </row>
    <row r="342">
      <c r="A342" t="n">
        <v>1776843902</v>
      </c>
      <c r="B342" t="inlineStr">
        <is>
          <t>XAUUSD</t>
        </is>
      </c>
      <c r="C342" t="inlineStr">
        <is>
          <t>M15</t>
        </is>
      </c>
      <c r="D342" t="n">
        <v>4760.46</v>
      </c>
      <c r="E342" t="n">
        <v>4518.59282</v>
      </c>
      <c r="F342" t="n">
        <v>4596.05595</v>
      </c>
      <c r="G342" t="n">
        <v>4755.40355</v>
      </c>
      <c r="H342" t="n">
        <v>4792.76972</v>
      </c>
      <c r="Q342" t="n">
        <v>4726.65234</v>
      </c>
      <c r="R342" t="n">
        <v>4756.01564</v>
      </c>
      <c r="S342" t="n">
        <v>4782.60441</v>
      </c>
      <c r="V342" t="n">
        <v>4691.71257</v>
      </c>
      <c r="W342" t="n">
        <v>4658.14757</v>
      </c>
      <c r="AB342" t="n">
        <v>4760.74375</v>
      </c>
      <c r="AC342" t="n">
        <v>4762.24353</v>
      </c>
      <c r="AD342" t="n">
        <v>0</v>
      </c>
      <c r="AK342" t="n">
        <v>340</v>
      </c>
      <c r="AL342" t="n">
        <v>339</v>
      </c>
      <c r="AM342" t="n">
        <v>4760.46</v>
      </c>
      <c r="AN342" t="n">
        <v>4726.6523</v>
      </c>
      <c r="AO342" t="n">
        <v>33.8077</v>
      </c>
      <c r="AP342" t="n">
        <v>1142.9579</v>
      </c>
      <c r="AQ342" t="n">
        <v>0.888916</v>
      </c>
      <c r="AR342" t="n">
        <v>0.854702</v>
      </c>
      <c r="AY342" t="n">
        <v>340</v>
      </c>
      <c r="AZ342" t="n">
        <v>339</v>
      </c>
      <c r="BA342" t="n">
        <v>4760.46</v>
      </c>
      <c r="BB342" t="n">
        <v>4726.6523</v>
      </c>
      <c r="BC342" t="n">
        <v>33.8077</v>
      </c>
      <c r="BD342" t="n">
        <v>1142.9579</v>
      </c>
      <c r="BE342" t="n">
        <v>114921</v>
      </c>
    </row>
    <row r="343">
      <c r="A343" t="n">
        <v>1776844802</v>
      </c>
      <c r="B343" t="inlineStr">
        <is>
          <t>XAUUSD</t>
        </is>
      </c>
      <c r="C343" t="inlineStr">
        <is>
          <t>M15</t>
        </is>
      </c>
      <c r="D343" t="n">
        <v>4758.02</v>
      </c>
      <c r="E343" t="n">
        <v>4518.59282</v>
      </c>
      <c r="F343" t="n">
        <v>4596.05595</v>
      </c>
      <c r="G343" t="n">
        <v>4755.40355</v>
      </c>
      <c r="H343" t="n">
        <v>4792.76972</v>
      </c>
      <c r="Q343" t="n">
        <v>4726.38474</v>
      </c>
      <c r="R343" t="n">
        <v>4755.74804</v>
      </c>
      <c r="S343" t="n">
        <v>4782.33681</v>
      </c>
      <c r="V343" t="n">
        <v>4691.44497</v>
      </c>
      <c r="W343" t="n">
        <v>4657.87997</v>
      </c>
      <c r="AB343" t="n">
        <v>4759.16796</v>
      </c>
      <c r="AC343" t="n">
        <v>4760.70574</v>
      </c>
      <c r="AD343" t="n">
        <v>0</v>
      </c>
      <c r="AK343" t="n">
        <v>341</v>
      </c>
      <c r="AL343" t="n">
        <v>340</v>
      </c>
      <c r="AM343" t="n">
        <v>4758.02</v>
      </c>
      <c r="AN343" t="n">
        <v>4726.3847</v>
      </c>
      <c r="AO343" t="n">
        <v>31.6353</v>
      </c>
      <c r="AP343" t="n">
        <v>1000.7897</v>
      </c>
      <c r="AQ343" t="n">
        <v>0.728333</v>
      </c>
      <c r="AR343" t="n">
        <v>0.655299</v>
      </c>
      <c r="AY343" t="n">
        <v>341</v>
      </c>
      <c r="AZ343" t="n">
        <v>340</v>
      </c>
      <c r="BA343" t="n">
        <v>4758.02</v>
      </c>
      <c r="BB343" t="n">
        <v>4726.3847</v>
      </c>
      <c r="BC343" t="n">
        <v>31.6353</v>
      </c>
      <c r="BD343" t="n">
        <v>1000.7897</v>
      </c>
      <c r="BE343" t="n">
        <v>115600</v>
      </c>
    </row>
    <row r="344">
      <c r="A344" t="n">
        <v>1776845702</v>
      </c>
      <c r="B344" t="inlineStr">
        <is>
          <t>XAUUSD</t>
        </is>
      </c>
      <c r="C344" t="inlineStr">
        <is>
          <t>M15</t>
        </is>
      </c>
      <c r="D344" t="n">
        <v>4754.37</v>
      </c>
      <c r="E344" t="n">
        <v>4518.59282</v>
      </c>
      <c r="F344" t="n">
        <v>4596.05595</v>
      </c>
      <c r="G344" t="n">
        <v>4755.40355</v>
      </c>
      <c r="H344" t="n">
        <v>4792.76972</v>
      </c>
      <c r="Q344" t="n">
        <v>4726.11713</v>
      </c>
      <c r="R344" t="n">
        <v>4755.48043</v>
      </c>
      <c r="S344" t="n">
        <v>4782.0692</v>
      </c>
      <c r="V344" t="n">
        <v>4691.17736</v>
      </c>
      <c r="W344" t="n">
        <v>4657.61237</v>
      </c>
      <c r="AB344" t="n">
        <v>4757.87044</v>
      </c>
      <c r="AC344" t="n">
        <v>4759.28809</v>
      </c>
      <c r="AD344" t="n">
        <v>0</v>
      </c>
      <c r="AK344" t="n">
        <v>342</v>
      </c>
      <c r="AL344" t="n">
        <v>341</v>
      </c>
      <c r="AM344" t="n">
        <v>4754.37</v>
      </c>
      <c r="AN344" t="n">
        <v>4726.1171</v>
      </c>
      <c r="AO344" t="n">
        <v>28.2529</v>
      </c>
      <c r="AP344" t="n">
        <v>798.2247</v>
      </c>
      <c r="AQ344" t="n">
        <v>0.518804</v>
      </c>
      <c r="AR344" t="n">
        <v>0.416874</v>
      </c>
      <c r="AY344" t="n">
        <v>342</v>
      </c>
      <c r="AZ344" t="n">
        <v>341</v>
      </c>
      <c r="BA344" t="n">
        <v>4754.37</v>
      </c>
      <c r="BB344" t="n">
        <v>4726.1171</v>
      </c>
      <c r="BC344" t="n">
        <v>28.2529</v>
      </c>
      <c r="BD344" t="n">
        <v>798.2247</v>
      </c>
      <c r="BE344" t="n">
        <v>116281</v>
      </c>
    </row>
    <row r="345">
      <c r="A345" t="n">
        <v>1776846602</v>
      </c>
      <c r="B345" t="inlineStr">
        <is>
          <t>XAUUSD</t>
        </is>
      </c>
      <c r="C345" t="inlineStr">
        <is>
          <t>M15</t>
        </is>
      </c>
      <c r="D345" t="n">
        <v>4756.15</v>
      </c>
      <c r="E345" t="n">
        <v>4518.59282</v>
      </c>
      <c r="F345" t="n">
        <v>4596.05595</v>
      </c>
      <c r="G345" t="n">
        <v>4755.40355</v>
      </c>
      <c r="H345" t="n">
        <v>4792.76972</v>
      </c>
      <c r="Q345" t="n">
        <v>4725.84953</v>
      </c>
      <c r="R345" t="n">
        <v>4755.21283</v>
      </c>
      <c r="S345" t="n">
        <v>4781.8016</v>
      </c>
      <c r="V345" t="n">
        <v>4690.90976</v>
      </c>
      <c r="W345" t="n">
        <v>4657.34476</v>
      </c>
      <c r="AB345" t="n">
        <v>4756.98444</v>
      </c>
      <c r="AC345" t="n">
        <v>4758.13627</v>
      </c>
      <c r="AD345" t="n">
        <v>0</v>
      </c>
      <c r="AK345" t="n">
        <v>343</v>
      </c>
      <c r="AL345" t="n">
        <v>342</v>
      </c>
      <c r="AM345" t="n">
        <v>4756.15</v>
      </c>
      <c r="AN345" t="n">
        <v>4725.8495</v>
      </c>
      <c r="AO345" t="n">
        <v>30.3005</v>
      </c>
      <c r="AP345" t="n">
        <v>918.1185</v>
      </c>
      <c r="AQ345" t="n">
        <v>0.639976</v>
      </c>
      <c r="AR345" t="n">
        <v>0.551508</v>
      </c>
      <c r="AY345" t="n">
        <v>343</v>
      </c>
      <c r="AZ345" t="n">
        <v>342</v>
      </c>
      <c r="BA345" t="n">
        <v>4756.15</v>
      </c>
      <c r="BB345" t="n">
        <v>4725.8495</v>
      </c>
      <c r="BC345" t="n">
        <v>30.3005</v>
      </c>
      <c r="BD345" t="n">
        <v>918.1185</v>
      </c>
      <c r="BE345" t="n">
        <v>116964</v>
      </c>
    </row>
    <row r="346">
      <c r="A346" t="n">
        <v>1776847502</v>
      </c>
      <c r="B346" t="inlineStr">
        <is>
          <t>XAUUSD</t>
        </is>
      </c>
      <c r="C346" t="inlineStr">
        <is>
          <t>M15</t>
        </is>
      </c>
      <c r="D346" t="n">
        <v>4757.14</v>
      </c>
      <c r="E346" t="n">
        <v>4518.59282</v>
      </c>
      <c r="F346" t="n">
        <v>4596.05595</v>
      </c>
      <c r="G346" t="n">
        <v>4755.40355</v>
      </c>
      <c r="H346" t="n">
        <v>4792.76972</v>
      </c>
      <c r="Q346" t="n">
        <v>4725.58192</v>
      </c>
      <c r="R346" t="n">
        <v>4754.94522</v>
      </c>
      <c r="S346" t="n">
        <v>4781.53399</v>
      </c>
      <c r="V346" t="n">
        <v>4690.64215</v>
      </c>
      <c r="W346" t="n">
        <v>4657.07716</v>
      </c>
      <c r="AB346" t="n">
        <v>4756.44079</v>
      </c>
      <c r="AC346" t="n">
        <v>4757.28853</v>
      </c>
      <c r="AD346" t="n">
        <v>0</v>
      </c>
      <c r="AK346" t="n">
        <v>344</v>
      </c>
      <c r="AL346" t="n">
        <v>343</v>
      </c>
      <c r="AM346" t="n">
        <v>4757.14</v>
      </c>
      <c r="AN346" t="n">
        <v>4725.5819</v>
      </c>
      <c r="AO346" t="n">
        <v>31.5581</v>
      </c>
      <c r="AP346" t="n">
        <v>995.9124</v>
      </c>
      <c r="AQ346" t="n">
        <v>0.723015</v>
      </c>
      <c r="AR346" t="n">
        <v>0.6489279999999999</v>
      </c>
      <c r="AY346" t="n">
        <v>344</v>
      </c>
      <c r="AZ346" t="n">
        <v>343</v>
      </c>
      <c r="BA346" t="n">
        <v>4757.14</v>
      </c>
      <c r="BB346" t="n">
        <v>4725.5819</v>
      </c>
      <c r="BC346" t="n">
        <v>31.5581</v>
      </c>
      <c r="BD346" t="n">
        <v>995.9124</v>
      </c>
      <c r="BE346" t="n">
        <v>117649</v>
      </c>
    </row>
    <row r="347">
      <c r="A347" t="n">
        <v>1776848402</v>
      </c>
      <c r="B347" t="inlineStr">
        <is>
          <t>XAUUSD</t>
        </is>
      </c>
      <c r="C347" t="inlineStr">
        <is>
          <t>M15</t>
        </is>
      </c>
      <c r="D347" t="n">
        <v>4760.72</v>
      </c>
      <c r="E347" t="n">
        <v>4518.59282</v>
      </c>
      <c r="F347" t="n">
        <v>4596.05595</v>
      </c>
      <c r="G347" t="n">
        <v>4755.40355</v>
      </c>
      <c r="H347" t="n">
        <v>4792.76972</v>
      </c>
      <c r="Q347" t="n">
        <v>4725.31432</v>
      </c>
      <c r="R347" t="n">
        <v>4754.67762</v>
      </c>
      <c r="S347" t="n">
        <v>4781.26639</v>
      </c>
      <c r="V347" t="n">
        <v>4690.37455</v>
      </c>
      <c r="W347" t="n">
        <v>4656.80955</v>
      </c>
      <c r="AB347" t="n">
        <v>4756.14817</v>
      </c>
      <c r="AC347" t="n">
        <v>4756.71835</v>
      </c>
      <c r="AD347" t="n">
        <v>0</v>
      </c>
      <c r="AK347" t="n">
        <v>345</v>
      </c>
      <c r="AL347" t="n">
        <v>344</v>
      </c>
      <c r="AM347" t="n">
        <v>4760.72</v>
      </c>
      <c r="AN347" t="n">
        <v>4725.3143</v>
      </c>
      <c r="AO347" t="n">
        <v>35.4057</v>
      </c>
      <c r="AP347" t="n">
        <v>1253.5622</v>
      </c>
      <c r="AQ347" t="n">
        <v>1.02102</v>
      </c>
      <c r="AR347" t="n">
        <v>1.028125</v>
      </c>
      <c r="AY347" t="n">
        <v>345</v>
      </c>
      <c r="AZ347" t="n">
        <v>344</v>
      </c>
      <c r="BA347" t="n">
        <v>4760.72</v>
      </c>
      <c r="BB347" t="n">
        <v>4725.3143</v>
      </c>
      <c r="BC347" t="n">
        <v>35.4057</v>
      </c>
      <c r="BD347" t="n">
        <v>1253.5622</v>
      </c>
      <c r="BE347" t="n">
        <v>118336</v>
      </c>
    </row>
    <row r="348">
      <c r="A348" t="n">
        <v>1776849302</v>
      </c>
      <c r="B348" t="inlineStr">
        <is>
          <t>XAUUSD</t>
        </is>
      </c>
      <c r="C348" t="inlineStr">
        <is>
          <t>M15</t>
        </is>
      </c>
      <c r="D348" t="n">
        <v>4756.45</v>
      </c>
      <c r="E348" t="n">
        <v>4518.59282</v>
      </c>
      <c r="F348" t="n">
        <v>4596.05595</v>
      </c>
      <c r="G348" t="n">
        <v>4755.40355</v>
      </c>
      <c r="H348" t="n">
        <v>4792.76972</v>
      </c>
      <c r="Q348" t="n">
        <v>4725.04672</v>
      </c>
      <c r="R348" t="n">
        <v>4754.41001</v>
      </c>
      <c r="S348" t="n">
        <v>4780.99879</v>
      </c>
      <c r="V348" t="n">
        <v>4690.10695</v>
      </c>
      <c r="W348" t="n">
        <v>4656.54195</v>
      </c>
      <c r="AB348" t="n">
        <v>4755.93888</v>
      </c>
      <c r="AC348" t="n">
        <v>4756.32861</v>
      </c>
      <c r="AD348" t="n">
        <v>0</v>
      </c>
      <c r="AK348" t="n">
        <v>346</v>
      </c>
      <c r="AL348" t="n">
        <v>345</v>
      </c>
      <c r="AM348" t="n">
        <v>4756.45</v>
      </c>
      <c r="AN348" t="n">
        <v>4725.0467</v>
      </c>
      <c r="AO348" t="n">
        <v>31.4033</v>
      </c>
      <c r="AP348" t="n">
        <v>986.1660000000001</v>
      </c>
      <c r="AQ348" t="n">
        <v>0.712427</v>
      </c>
      <c r="AR348" t="n">
        <v>0.636289</v>
      </c>
      <c r="AY348" t="n">
        <v>346</v>
      </c>
      <c r="AZ348" t="n">
        <v>345</v>
      </c>
      <c r="BA348" t="n">
        <v>4756.45</v>
      </c>
      <c r="BB348" t="n">
        <v>4725.0467</v>
      </c>
      <c r="BC348" t="n">
        <v>31.4033</v>
      </c>
      <c r="BD348" t="n">
        <v>986.1660000000001</v>
      </c>
      <c r="BE348" t="n">
        <v>119025</v>
      </c>
    </row>
    <row r="349">
      <c r="A349" t="n">
        <v>1776850202</v>
      </c>
      <c r="B349" t="inlineStr">
        <is>
          <t>XAUUSD</t>
        </is>
      </c>
      <c r="C349" t="inlineStr">
        <is>
          <t>M15</t>
        </is>
      </c>
      <c r="D349" t="n">
        <v>4758.47</v>
      </c>
      <c r="E349" t="n">
        <v>4518.59282</v>
      </c>
      <c r="F349" t="n">
        <v>4596.05595</v>
      </c>
      <c r="G349" t="n">
        <v>4755.40355</v>
      </c>
      <c r="H349" t="n">
        <v>4792.76972</v>
      </c>
      <c r="Q349" t="n">
        <v>4724.77911</v>
      </c>
      <c r="R349" t="n">
        <v>4754.14241</v>
      </c>
      <c r="S349" t="n">
        <v>4780.73118</v>
      </c>
      <c r="V349" t="n">
        <v>4689.83934</v>
      </c>
      <c r="W349" t="n">
        <v>4656.27435</v>
      </c>
      <c r="AB349" t="n">
        <v>4755.87512</v>
      </c>
      <c r="AC349" t="n">
        <v>4756.10187</v>
      </c>
      <c r="AD349" t="n">
        <v>0</v>
      </c>
      <c r="AK349" t="n">
        <v>347</v>
      </c>
      <c r="AL349" t="n">
        <v>346</v>
      </c>
      <c r="AM349" t="n">
        <v>4758.47</v>
      </c>
      <c r="AN349" t="n">
        <v>4724.7791</v>
      </c>
      <c r="AO349" t="n">
        <v>33.6909</v>
      </c>
      <c r="AP349" t="n">
        <v>1135.0761</v>
      </c>
      <c r="AQ349" t="n">
        <v>0.879737</v>
      </c>
      <c r="AR349" t="n">
        <v>0.842954</v>
      </c>
      <c r="AY349" t="n">
        <v>347</v>
      </c>
      <c r="AZ349" t="n">
        <v>346</v>
      </c>
      <c r="BA349" t="n">
        <v>4758.47</v>
      </c>
      <c r="BB349" t="n">
        <v>4724.7791</v>
      </c>
      <c r="BC349" t="n">
        <v>33.6909</v>
      </c>
      <c r="BD349" t="n">
        <v>1135.0761</v>
      </c>
      <c r="BE349" t="n">
        <v>119716</v>
      </c>
    </row>
    <row r="350">
      <c r="A350" t="n">
        <v>1776851102</v>
      </c>
      <c r="B350" t="inlineStr">
        <is>
          <t>XAUUSD</t>
        </is>
      </c>
      <c r="C350" t="inlineStr">
        <is>
          <t>M15</t>
        </is>
      </c>
      <c r="D350" t="n">
        <v>4755.32</v>
      </c>
      <c r="E350" t="n">
        <v>4518.59282</v>
      </c>
      <c r="F350" t="n">
        <v>4596.05595</v>
      </c>
      <c r="G350" t="n">
        <v>4755.40355</v>
      </c>
      <c r="H350" t="n">
        <v>4792.76972</v>
      </c>
      <c r="Q350" t="n">
        <v>4724.51151</v>
      </c>
      <c r="R350" t="n">
        <v>4753.87481</v>
      </c>
      <c r="S350" t="n">
        <v>4780.46358</v>
      </c>
      <c r="V350" t="n">
        <v>4689.57174</v>
      </c>
      <c r="W350" t="n">
        <v>4656.00674</v>
      </c>
      <c r="AB350" t="n">
        <v>4755.84414</v>
      </c>
      <c r="AC350" t="n">
        <v>4755.973</v>
      </c>
      <c r="AD350" t="n">
        <v>0</v>
      </c>
      <c r="AK350" t="n">
        <v>348</v>
      </c>
      <c r="AL350" t="n">
        <v>347</v>
      </c>
      <c r="AM350" t="n">
        <v>4755.32</v>
      </c>
      <c r="AN350" t="n">
        <v>4724.5115</v>
      </c>
      <c r="AO350" t="n">
        <v>30.8085</v>
      </c>
      <c r="AP350" t="n">
        <v>949.1631</v>
      </c>
      <c r="AQ350" t="n">
        <v>0.672708</v>
      </c>
      <c r="AR350" t="n">
        <v>0.589435</v>
      </c>
      <c r="AY350" t="n">
        <v>348</v>
      </c>
      <c r="AZ350" t="n">
        <v>347</v>
      </c>
      <c r="BA350" t="n">
        <v>4755.32</v>
      </c>
      <c r="BB350" t="n">
        <v>4724.5115</v>
      </c>
      <c r="BC350" t="n">
        <v>30.8085</v>
      </c>
      <c r="BD350" t="n">
        <v>949.1631</v>
      </c>
      <c r="BE350" t="n">
        <v>120409</v>
      </c>
    </row>
    <row r="351">
      <c r="A351" t="n">
        <v>1776852002</v>
      </c>
      <c r="B351" t="inlineStr">
        <is>
          <t>XAUUSD</t>
        </is>
      </c>
      <c r="C351" t="inlineStr">
        <is>
          <t>M15</t>
        </is>
      </c>
      <c r="D351" t="n">
        <v>4748.72</v>
      </c>
      <c r="E351" t="n">
        <v>4518.59282</v>
      </c>
      <c r="F351" t="n">
        <v>4596.05595</v>
      </c>
      <c r="G351" t="n">
        <v>4755.40355</v>
      </c>
      <c r="H351" t="n">
        <v>4792.76972</v>
      </c>
      <c r="Q351" t="n">
        <v>4724.2439</v>
      </c>
      <c r="R351" t="n">
        <v>4753.6072</v>
      </c>
      <c r="S351" t="n">
        <v>4780.19597</v>
      </c>
      <c r="V351" t="n">
        <v>4689.30413</v>
      </c>
      <c r="W351" t="n">
        <v>4655.73914</v>
      </c>
      <c r="AB351" t="n">
        <v>4755.88984</v>
      </c>
      <c r="AC351" t="n">
        <v>4755.93142</v>
      </c>
      <c r="AD351" t="n">
        <v>0</v>
      </c>
      <c r="AK351" t="n">
        <v>349</v>
      </c>
      <c r="AL351" t="n">
        <v>348</v>
      </c>
      <c r="AM351" t="n">
        <v>4748.72</v>
      </c>
      <c r="AN351" t="n">
        <v>4724.2439</v>
      </c>
      <c r="AO351" t="n">
        <v>24.4761</v>
      </c>
      <c r="AP351" t="n">
        <v>599.0795000000001</v>
      </c>
      <c r="AQ351" t="n">
        <v>0.33732</v>
      </c>
      <c r="AR351" t="n">
        <v>0.234813</v>
      </c>
      <c r="AY351" t="n">
        <v>349</v>
      </c>
      <c r="AZ351" t="n">
        <v>348</v>
      </c>
      <c r="BA351" t="n">
        <v>4748.72</v>
      </c>
      <c r="BB351" t="n">
        <v>4724.2439</v>
      </c>
      <c r="BC351" t="n">
        <v>24.4761</v>
      </c>
      <c r="BD351" t="n">
        <v>599.0795000000001</v>
      </c>
      <c r="BE351" t="n">
        <v>121104</v>
      </c>
    </row>
    <row r="352">
      <c r="A352" t="n">
        <v>1776852902</v>
      </c>
      <c r="B352" t="inlineStr">
        <is>
          <t>XAUUSD</t>
        </is>
      </c>
      <c r="C352" t="inlineStr">
        <is>
          <t>M15</t>
        </is>
      </c>
      <c r="D352" t="n">
        <v>4754.63</v>
      </c>
      <c r="E352" t="n">
        <v>4518.59282</v>
      </c>
      <c r="F352" t="n">
        <v>4596.05595</v>
      </c>
      <c r="G352" t="n">
        <v>4755.40355</v>
      </c>
      <c r="H352" t="n">
        <v>4792.76972</v>
      </c>
      <c r="Q352" t="n">
        <v>4723.9763</v>
      </c>
      <c r="R352" t="n">
        <v>4753.3396</v>
      </c>
      <c r="S352" t="n">
        <v>4779.92837</v>
      </c>
      <c r="V352" t="n">
        <v>4689.03653</v>
      </c>
      <c r="W352" t="n">
        <v>4655.47153</v>
      </c>
      <c r="AB352" t="n">
        <v>4756.12543</v>
      </c>
      <c r="AC352" t="n">
        <v>4756.02843</v>
      </c>
      <c r="AD352" t="n">
        <v>1</v>
      </c>
      <c r="AK352" t="n">
        <v>350</v>
      </c>
      <c r="AL352" t="n">
        <v>349</v>
      </c>
      <c r="AM352" t="n">
        <v>4754.63</v>
      </c>
      <c r="AN352" t="n">
        <v>4723.9763</v>
      </c>
      <c r="AO352" t="n">
        <v>30.6537</v>
      </c>
      <c r="AP352" t="n">
        <v>939.6493</v>
      </c>
      <c r="AQ352" t="n">
        <v>0.66262</v>
      </c>
      <c r="AR352" t="n">
        <v>0.577678</v>
      </c>
      <c r="AY352" t="n">
        <v>350</v>
      </c>
      <c r="AZ352" t="n">
        <v>349</v>
      </c>
      <c r="BA352" t="n">
        <v>4754.63</v>
      </c>
      <c r="BB352" t="n">
        <v>4723.9763</v>
      </c>
      <c r="BC352" t="n">
        <v>30.6537</v>
      </c>
      <c r="BD352" t="n">
        <v>939.6493</v>
      </c>
      <c r="BE352" t="n">
        <v>121801</v>
      </c>
    </row>
    <row r="353">
      <c r="A353" t="n">
        <v>1776853802</v>
      </c>
      <c r="B353" t="inlineStr">
        <is>
          <t>XAUUSD</t>
        </is>
      </c>
      <c r="C353" t="inlineStr">
        <is>
          <t>M15</t>
        </is>
      </c>
      <c r="D353" t="n">
        <v>4756.53</v>
      </c>
      <c r="E353" t="n">
        <v>4518.59282</v>
      </c>
      <c r="F353" t="n">
        <v>4596.05595</v>
      </c>
      <c r="G353" t="n">
        <v>4755.40355</v>
      </c>
      <c r="H353" t="n">
        <v>4792.76972</v>
      </c>
      <c r="Q353" t="n">
        <v>4723.7087</v>
      </c>
      <c r="R353" t="n">
        <v>4753.07199</v>
      </c>
      <c r="S353" t="n">
        <v>4779.66077</v>
      </c>
      <c r="V353" t="n">
        <v>4688.76893</v>
      </c>
      <c r="W353" t="n">
        <v>4655.20393</v>
      </c>
      <c r="AB353" t="n">
        <v>4756.25617</v>
      </c>
      <c r="AC353" t="n">
        <v>4756.1423</v>
      </c>
      <c r="AD353" t="n">
        <v>0</v>
      </c>
      <c r="AK353" t="n">
        <v>351</v>
      </c>
      <c r="AL353" t="n">
        <v>350</v>
      </c>
      <c r="AM353" t="n">
        <v>4756.53</v>
      </c>
      <c r="AN353" t="n">
        <v>4723.7087</v>
      </c>
      <c r="AO353" t="n">
        <v>32.8213</v>
      </c>
      <c r="AP353" t="n">
        <v>1077.2377</v>
      </c>
      <c r="AQ353" t="n">
        <v>0.81336</v>
      </c>
      <c r="AR353" t="n">
        <v>0.7592370000000001</v>
      </c>
      <c r="AY353" t="n">
        <v>351</v>
      </c>
      <c r="AZ353" t="n">
        <v>350</v>
      </c>
      <c r="BA353" t="n">
        <v>4756.53</v>
      </c>
      <c r="BB353" t="n">
        <v>4723.7087</v>
      </c>
      <c r="BC353" t="n">
        <v>32.8213</v>
      </c>
      <c r="BD353" t="n">
        <v>1077.2377</v>
      </c>
      <c r="BE353" t="n">
        <v>122500</v>
      </c>
    </row>
    <row r="354">
      <c r="A354" t="n">
        <v>1776854702</v>
      </c>
      <c r="B354" t="inlineStr">
        <is>
          <t>XAUUSD</t>
        </is>
      </c>
      <c r="C354" t="inlineStr">
        <is>
          <t>M15</t>
        </is>
      </c>
      <c r="D354" t="n">
        <v>4759.21</v>
      </c>
      <c r="E354" t="n">
        <v>4518.59282</v>
      </c>
      <c r="F354" t="n">
        <v>4596.05595</v>
      </c>
      <c r="G354" t="n">
        <v>4755.40355</v>
      </c>
      <c r="H354" t="n">
        <v>4792.76972</v>
      </c>
      <c r="Q354" t="n">
        <v>4723.44109</v>
      </c>
      <c r="R354" t="n">
        <v>4752.80439</v>
      </c>
      <c r="S354" t="n">
        <v>4779.39316</v>
      </c>
      <c r="V354" t="n">
        <v>4688.50132</v>
      </c>
      <c r="W354" t="n">
        <v>4654.93633</v>
      </c>
      <c r="AB354" t="n">
        <v>4756.08775</v>
      </c>
      <c r="AC354" t="n">
        <v>4756.11502</v>
      </c>
      <c r="AD354" t="n">
        <v>1</v>
      </c>
      <c r="AK354" t="n">
        <v>352</v>
      </c>
      <c r="AL354" t="n">
        <v>351</v>
      </c>
      <c r="AM354" t="n">
        <v>4759.21</v>
      </c>
      <c r="AN354" t="n">
        <v>4723.4411</v>
      </c>
      <c r="AO354" t="n">
        <v>35.7689</v>
      </c>
      <c r="AP354" t="n">
        <v>1279.4149</v>
      </c>
      <c r="AQ354" t="n">
        <v>1.052768</v>
      </c>
      <c r="AR354" t="n">
        <v>1.070969</v>
      </c>
      <c r="AY354" t="n">
        <v>352</v>
      </c>
      <c r="AZ354" t="n">
        <v>351</v>
      </c>
      <c r="BA354" t="n">
        <v>4759.21</v>
      </c>
      <c r="BB354" t="n">
        <v>4723.4411</v>
      </c>
      <c r="BC354" t="n">
        <v>35.7689</v>
      </c>
      <c r="BD354" t="n">
        <v>1279.4149</v>
      </c>
      <c r="BE354" t="n">
        <v>123201</v>
      </c>
    </row>
    <row r="355">
      <c r="A355" t="n">
        <v>1776855602</v>
      </c>
      <c r="B355" t="inlineStr">
        <is>
          <t>XAUUSD</t>
        </is>
      </c>
      <c r="C355" t="inlineStr">
        <is>
          <t>M15</t>
        </is>
      </c>
      <c r="D355" t="n">
        <v>4757.27</v>
      </c>
      <c r="E355" t="n">
        <v>4518.59282</v>
      </c>
      <c r="F355" t="n">
        <v>4596.05595</v>
      </c>
      <c r="G355" t="n">
        <v>4755.40355</v>
      </c>
      <c r="H355" t="n">
        <v>4792.76972</v>
      </c>
      <c r="Q355" t="n">
        <v>4723.17349</v>
      </c>
      <c r="R355" t="n">
        <v>4752.53679</v>
      </c>
      <c r="S355" t="n">
        <v>4779.12556</v>
      </c>
      <c r="V355" t="n">
        <v>4688.23372</v>
      </c>
      <c r="W355" t="n">
        <v>4654.66872</v>
      </c>
      <c r="AB355" t="n">
        <v>4755.44322</v>
      </c>
      <c r="AC355" t="n">
        <v>4755.77912</v>
      </c>
      <c r="AD355" t="n">
        <v>0</v>
      </c>
      <c r="AK355" t="n">
        <v>353</v>
      </c>
      <c r="AL355" t="n">
        <v>352</v>
      </c>
      <c r="AM355" t="n">
        <v>4757.27</v>
      </c>
      <c r="AN355" t="n">
        <v>4723.1735</v>
      </c>
      <c r="AO355" t="n">
        <v>34.0965</v>
      </c>
      <c r="AP355" t="n">
        <v>1162.572</v>
      </c>
      <c r="AQ355" t="n">
        <v>0.911896</v>
      </c>
      <c r="AR355" t="n">
        <v>0.884288</v>
      </c>
      <c r="AY355" t="n">
        <v>353</v>
      </c>
      <c r="AZ355" t="n">
        <v>352</v>
      </c>
      <c r="BA355" t="n">
        <v>4757.27</v>
      </c>
      <c r="BB355" t="n">
        <v>4723.1735</v>
      </c>
      <c r="BC355" t="n">
        <v>34.0965</v>
      </c>
      <c r="BD355" t="n">
        <v>1162.572</v>
      </c>
      <c r="BE355" t="n">
        <v>123904</v>
      </c>
    </row>
    <row r="356">
      <c r="A356" t="n">
        <v>1776856502</v>
      </c>
      <c r="B356" t="inlineStr">
        <is>
          <t>XAUUSD</t>
        </is>
      </c>
      <c r="C356" t="inlineStr">
        <is>
          <t>M15</t>
        </is>
      </c>
      <c r="D356" t="n">
        <v>4757.36</v>
      </c>
      <c r="E356" t="n">
        <v>4518.59282</v>
      </c>
      <c r="F356" t="n">
        <v>4596.05595</v>
      </c>
      <c r="G356" t="n">
        <v>4755.40355</v>
      </c>
      <c r="H356" t="n">
        <v>4792.76972</v>
      </c>
      <c r="Q356" t="n">
        <v>4722.90588</v>
      </c>
      <c r="R356" t="n">
        <v>4752.26918</v>
      </c>
      <c r="S356" t="n">
        <v>4778.85795</v>
      </c>
      <c r="V356" t="n">
        <v>4687.96611</v>
      </c>
      <c r="W356" t="n">
        <v>4654.40112</v>
      </c>
      <c r="AB356" t="n">
        <v>4754.34907</v>
      </c>
      <c r="AC356" t="n">
        <v>4755.06409</v>
      </c>
      <c r="AD356" t="n">
        <v>0</v>
      </c>
      <c r="AK356" t="n">
        <v>354</v>
      </c>
      <c r="AL356" t="n">
        <v>353</v>
      </c>
      <c r="AM356" t="n">
        <v>4757.36</v>
      </c>
      <c r="AN356" t="n">
        <v>4722.9059</v>
      </c>
      <c r="AO356" t="n">
        <v>34.4541</v>
      </c>
      <c r="AP356" t="n">
        <v>1187.0864</v>
      </c>
      <c r="AQ356" t="n">
        <v>0.94089</v>
      </c>
      <c r="AR356" t="n">
        <v>0.921974</v>
      </c>
      <c r="AY356" t="n">
        <v>354</v>
      </c>
      <c r="AZ356" t="n">
        <v>353</v>
      </c>
      <c r="BA356" t="n">
        <v>4757.36</v>
      </c>
      <c r="BB356" t="n">
        <v>4722.9059</v>
      </c>
      <c r="BC356" t="n">
        <v>34.4541</v>
      </c>
      <c r="BD356" t="n">
        <v>1187.0864</v>
      </c>
      <c r="BE356" t="n">
        <v>124609</v>
      </c>
    </row>
    <row r="357">
      <c r="A357" t="n">
        <v>1776857402</v>
      </c>
      <c r="B357" t="inlineStr">
        <is>
          <t>XAUUSD</t>
        </is>
      </c>
      <c r="C357" t="inlineStr">
        <is>
          <t>M15</t>
        </is>
      </c>
      <c r="D357" t="n">
        <v>4748.68</v>
      </c>
      <c r="E357" t="n">
        <v>4518.59282</v>
      </c>
      <c r="F357" t="n">
        <v>4596.05595</v>
      </c>
      <c r="G357" t="n">
        <v>4755.40355</v>
      </c>
      <c r="H357" t="n">
        <v>4792.76972</v>
      </c>
      <c r="Q357" t="n">
        <v>4722.63828</v>
      </c>
      <c r="R357" t="n">
        <v>4752.00158</v>
      </c>
      <c r="S357" t="n">
        <v>4778.59035</v>
      </c>
      <c r="V357" t="n">
        <v>4687.69851</v>
      </c>
      <c r="W357" t="n">
        <v>4654.13351</v>
      </c>
      <c r="AB357" t="n">
        <v>4752.8876</v>
      </c>
      <c r="AC357" t="n">
        <v>4753.97585</v>
      </c>
      <c r="AD357" t="n">
        <v>0</v>
      </c>
      <c r="AK357" t="n">
        <v>355</v>
      </c>
      <c r="AL357" t="n">
        <v>354</v>
      </c>
      <c r="AM357" t="n">
        <v>4748.68</v>
      </c>
      <c r="AN357" t="n">
        <v>4722.6383</v>
      </c>
      <c r="AO357" t="n">
        <v>26.0417</v>
      </c>
      <c r="AP357" t="n">
        <v>678.1712</v>
      </c>
      <c r="AQ357" t="n">
        <v>0.406279</v>
      </c>
      <c r="AR357" t="n">
        <v>0.300907</v>
      </c>
      <c r="AY357" t="n">
        <v>355</v>
      </c>
      <c r="AZ357" t="n">
        <v>354</v>
      </c>
      <c r="BA357" t="n">
        <v>4748.68</v>
      </c>
      <c r="BB357" t="n">
        <v>4722.6383</v>
      </c>
      <c r="BC357" t="n">
        <v>26.0417</v>
      </c>
      <c r="BD357" t="n">
        <v>678.1712</v>
      </c>
      <c r="BE357" t="n">
        <v>125316</v>
      </c>
    </row>
    <row r="358">
      <c r="A358" t="n">
        <v>1776858302</v>
      </c>
      <c r="B358" t="inlineStr">
        <is>
          <t>XAUUSD</t>
        </is>
      </c>
      <c r="C358" t="inlineStr">
        <is>
          <t>M15</t>
        </is>
      </c>
      <c r="D358" t="n">
        <v>4750.31</v>
      </c>
      <c r="E358" t="n">
        <v>4518.59282</v>
      </c>
      <c r="F358" t="n">
        <v>4596.05595</v>
      </c>
      <c r="G358" t="n">
        <v>4755.40355</v>
      </c>
      <c r="H358" t="n">
        <v>4792.76972</v>
      </c>
      <c r="Q358" t="n">
        <v>4722.37068</v>
      </c>
      <c r="R358" t="n">
        <v>4751.73397</v>
      </c>
      <c r="S358" t="n">
        <v>4778.32274</v>
      </c>
      <c r="V358" t="n">
        <v>4687.4309</v>
      </c>
      <c r="W358" t="n">
        <v>4653.86591</v>
      </c>
      <c r="AB358" t="n">
        <v>4751.46673</v>
      </c>
      <c r="AC358" t="n">
        <v>4752.72129</v>
      </c>
      <c r="AD358" t="n">
        <v>0</v>
      </c>
      <c r="AK358" t="n">
        <v>356</v>
      </c>
      <c r="AL358" t="n">
        <v>355</v>
      </c>
      <c r="AM358" t="n">
        <v>4750.31</v>
      </c>
      <c r="AN358" t="n">
        <v>4722.3707</v>
      </c>
      <c r="AO358" t="n">
        <v>27.9393</v>
      </c>
      <c r="AP358" t="n">
        <v>780.6056</v>
      </c>
      <c r="AQ358" t="n">
        <v>0.501722</v>
      </c>
      <c r="AR358" t="n">
        <v>0.398674</v>
      </c>
      <c r="AY358" t="n">
        <v>356</v>
      </c>
      <c r="AZ358" t="n">
        <v>355</v>
      </c>
      <c r="BA358" t="n">
        <v>4750.31</v>
      </c>
      <c r="BB358" t="n">
        <v>4722.3707</v>
      </c>
      <c r="BC358" t="n">
        <v>27.9393</v>
      </c>
      <c r="BD358" t="n">
        <v>780.6056</v>
      </c>
      <c r="BE358" t="n">
        <v>126025</v>
      </c>
    </row>
    <row r="359">
      <c r="A359" t="n">
        <v>1776859202</v>
      </c>
      <c r="B359" t="inlineStr">
        <is>
          <t>XAUUSD</t>
        </is>
      </c>
      <c r="C359" t="inlineStr">
        <is>
          <t>M15</t>
        </is>
      </c>
      <c r="D359" t="n">
        <v>4752.51</v>
      </c>
      <c r="E359" t="n">
        <v>4518.59282</v>
      </c>
      <c r="F359" t="n">
        <v>4596.05595</v>
      </c>
      <c r="G359" t="n">
        <v>4755.40355</v>
      </c>
      <c r="H359" t="n">
        <v>4792.76972</v>
      </c>
      <c r="Q359" t="n">
        <v>4722.10307</v>
      </c>
      <c r="R359" t="n">
        <v>4751.46637</v>
      </c>
      <c r="S359" t="n">
        <v>4778.05514</v>
      </c>
      <c r="V359" t="n">
        <v>4687.1633</v>
      </c>
      <c r="W359" t="n">
        <v>4653.5983</v>
      </c>
      <c r="AB359" t="n">
        <v>4750.21421</v>
      </c>
      <c r="AC359" t="n">
        <v>4751.46775</v>
      </c>
      <c r="AD359" t="n">
        <v>0</v>
      </c>
      <c r="AK359" t="n">
        <v>357</v>
      </c>
      <c r="AL359" t="n">
        <v>356</v>
      </c>
      <c r="AM359" t="n">
        <v>4752.51</v>
      </c>
      <c r="AN359" t="n">
        <v>4722.1031</v>
      </c>
      <c r="AO359" t="n">
        <v>30.4069</v>
      </c>
      <c r="AP359" t="n">
        <v>924.5814</v>
      </c>
      <c r="AQ359" t="n">
        <v>0.646745</v>
      </c>
      <c r="AR359" t="n">
        <v>0.559299</v>
      </c>
      <c r="AY359" t="n">
        <v>357</v>
      </c>
      <c r="AZ359" t="n">
        <v>356</v>
      </c>
      <c r="BA359" t="n">
        <v>4752.51</v>
      </c>
      <c r="BB359" t="n">
        <v>4722.1031</v>
      </c>
      <c r="BC359" t="n">
        <v>30.4069</v>
      </c>
      <c r="BD359" t="n">
        <v>924.5814</v>
      </c>
      <c r="BE359" t="n">
        <v>126736</v>
      </c>
    </row>
    <row r="360">
      <c r="A360" t="n">
        <v>1776860102</v>
      </c>
      <c r="B360" t="inlineStr">
        <is>
          <t>XAUUSD</t>
        </is>
      </c>
      <c r="C360" t="inlineStr">
        <is>
          <t>M15</t>
        </is>
      </c>
      <c r="D360" t="n">
        <v>4753.2</v>
      </c>
      <c r="E360" t="n">
        <v>4518.59282</v>
      </c>
      <c r="F360" t="n">
        <v>4596.05595</v>
      </c>
      <c r="G360" t="n">
        <v>4755.40355</v>
      </c>
      <c r="H360" t="n">
        <v>4792.76972</v>
      </c>
      <c r="Q360" t="n">
        <v>4721.83547</v>
      </c>
      <c r="R360" t="n">
        <v>4751.19877</v>
      </c>
      <c r="S360" t="n">
        <v>4777.78754</v>
      </c>
      <c r="V360" t="n">
        <v>4686.8957</v>
      </c>
      <c r="W360" t="n">
        <v>4653.3307</v>
      </c>
      <c r="AB360" t="n">
        <v>4749.22443</v>
      </c>
      <c r="AC360" t="n">
        <v>4750.34609</v>
      </c>
      <c r="AD360" t="n">
        <v>0</v>
      </c>
      <c r="AK360" t="n">
        <v>358</v>
      </c>
      <c r="AL360" t="n">
        <v>357</v>
      </c>
      <c r="AM360" t="n">
        <v>4753.2</v>
      </c>
      <c r="AN360" t="n">
        <v>4721.8355</v>
      </c>
      <c r="AO360" t="n">
        <v>31.3645</v>
      </c>
      <c r="AP360" t="n">
        <v>983.7337</v>
      </c>
      <c r="AQ360" t="n">
        <v>0.709793</v>
      </c>
      <c r="AR360" t="n">
        <v>0.633154</v>
      </c>
      <c r="AY360" t="n">
        <v>358</v>
      </c>
      <c r="AZ360" t="n">
        <v>357</v>
      </c>
      <c r="BA360" t="n">
        <v>4753.2</v>
      </c>
      <c r="BB360" t="n">
        <v>4721.8355</v>
      </c>
      <c r="BC360" t="n">
        <v>31.3645</v>
      </c>
      <c r="BD360" t="n">
        <v>983.7337</v>
      </c>
      <c r="BE360" t="n">
        <v>127449</v>
      </c>
    </row>
    <row r="361">
      <c r="A361" t="n">
        <v>1776861002</v>
      </c>
      <c r="B361" t="inlineStr">
        <is>
          <t>XAUUSD</t>
        </is>
      </c>
      <c r="C361" t="inlineStr">
        <is>
          <t>M15</t>
        </is>
      </c>
      <c r="D361" t="n">
        <v>4746.73</v>
      </c>
      <c r="E361" t="n">
        <v>4518.59282</v>
      </c>
      <c r="F361" t="n">
        <v>4596.05595</v>
      </c>
      <c r="G361" t="n">
        <v>4755.40355</v>
      </c>
      <c r="H361" t="n">
        <v>4792.76972</v>
      </c>
      <c r="Q361" t="n">
        <v>4721.56786</v>
      </c>
      <c r="R361" t="n">
        <v>4750.93116</v>
      </c>
      <c r="S361" t="n">
        <v>4777.51993</v>
      </c>
      <c r="V361" t="n">
        <v>4686.62809</v>
      </c>
      <c r="W361" t="n">
        <v>4653.0631</v>
      </c>
      <c r="AB361" t="n">
        <v>4748.56373</v>
      </c>
      <c r="AC361" t="n">
        <v>4749.45491</v>
      </c>
      <c r="AD361" t="n">
        <v>0</v>
      </c>
      <c r="AK361" t="n">
        <v>359</v>
      </c>
      <c r="AL361" t="n">
        <v>358</v>
      </c>
      <c r="AM361" t="n">
        <v>4746.73</v>
      </c>
      <c r="AN361" t="n">
        <v>4721.5679</v>
      </c>
      <c r="AO361" t="n">
        <v>25.1621</v>
      </c>
      <c r="AP361" t="n">
        <v>633.1333</v>
      </c>
      <c r="AQ361" t="n">
        <v>0.366487</v>
      </c>
      <c r="AR361" t="n">
        <v>0.262267</v>
      </c>
      <c r="AY361" t="n">
        <v>359</v>
      </c>
      <c r="AZ361" t="n">
        <v>358</v>
      </c>
      <c r="BA361" t="n">
        <v>4746.73</v>
      </c>
      <c r="BB361" t="n">
        <v>4721.5679</v>
      </c>
      <c r="BC361" t="n">
        <v>25.1621</v>
      </c>
      <c r="BD361" t="n">
        <v>633.1333</v>
      </c>
      <c r="BE361" t="n">
        <v>128164</v>
      </c>
    </row>
    <row r="362">
      <c r="A362" t="n">
        <v>1776861902</v>
      </c>
      <c r="B362" t="inlineStr">
        <is>
          <t>XAUUSD</t>
        </is>
      </c>
      <c r="C362" t="inlineStr">
        <is>
          <t>M15</t>
        </is>
      </c>
      <c r="D362" t="n">
        <v>4744.23</v>
      </c>
      <c r="E362" t="n">
        <v>4518.59282</v>
      </c>
      <c r="F362" t="n">
        <v>4596.05595</v>
      </c>
      <c r="G362" t="n">
        <v>4755.40355</v>
      </c>
      <c r="H362" t="n">
        <v>4792.76972</v>
      </c>
      <c r="Q362" t="n">
        <v>4721.30026</v>
      </c>
      <c r="R362" t="n">
        <v>4750.66356</v>
      </c>
      <c r="S362" t="n">
        <v>4777.25233</v>
      </c>
      <c r="V362" t="n">
        <v>4686.36049</v>
      </c>
      <c r="W362" t="n">
        <v>4652.79549</v>
      </c>
      <c r="AB362" t="n">
        <v>4748.39413</v>
      </c>
      <c r="AC362" t="n">
        <v>4748.92452</v>
      </c>
      <c r="AD362" t="n">
        <v>0</v>
      </c>
      <c r="AK362" t="n">
        <v>360</v>
      </c>
      <c r="AL362" t="n">
        <v>359</v>
      </c>
      <c r="AM362" t="n">
        <v>4744.23</v>
      </c>
      <c r="AN362" t="n">
        <v>4721.3003</v>
      </c>
      <c r="AO362" t="n">
        <v>22.9297</v>
      </c>
      <c r="AP362" t="n">
        <v>525.773</v>
      </c>
      <c r="AQ362" t="n">
        <v>0.27734</v>
      </c>
      <c r="AR362" t="n">
        <v>0.180863</v>
      </c>
      <c r="AY362" t="n">
        <v>360</v>
      </c>
      <c r="AZ362" t="n">
        <v>359</v>
      </c>
      <c r="BA362" t="n">
        <v>4744.23</v>
      </c>
      <c r="BB362" t="n">
        <v>4721.3003</v>
      </c>
      <c r="BC362" t="n">
        <v>22.9297</v>
      </c>
      <c r="BD362" t="n">
        <v>525.773</v>
      </c>
      <c r="BE362" t="n">
        <v>128881</v>
      </c>
    </row>
    <row r="363">
      <c r="A363" t="n">
        <v>1776862802</v>
      </c>
      <c r="B363" t="inlineStr">
        <is>
          <t>XAUUSD</t>
        </is>
      </c>
      <c r="C363" t="inlineStr">
        <is>
          <t>M15</t>
        </is>
      </c>
      <c r="D363" t="n">
        <v>4742.39</v>
      </c>
      <c r="E363" t="n">
        <v>4518.59282</v>
      </c>
      <c r="F363" t="n">
        <v>4596.05595</v>
      </c>
      <c r="G363" t="n">
        <v>4755.40355</v>
      </c>
      <c r="H363" t="n">
        <v>4792.76972</v>
      </c>
      <c r="Q363" t="n">
        <v>4721.03265</v>
      </c>
      <c r="R363" t="n">
        <v>4750.39595</v>
      </c>
      <c r="S363" t="n">
        <v>4776.98472</v>
      </c>
      <c r="V363" t="n">
        <v>4686.09288</v>
      </c>
      <c r="W363" t="n">
        <v>4652.52789</v>
      </c>
      <c r="AB363" t="n">
        <v>4748.61334</v>
      </c>
      <c r="AC363" t="n">
        <v>4748.76893</v>
      </c>
      <c r="AD363" t="n">
        <v>0</v>
      </c>
      <c r="AK363" t="n">
        <v>361</v>
      </c>
      <c r="AL363" t="n">
        <v>360</v>
      </c>
      <c r="AM363" t="n">
        <v>4742.39</v>
      </c>
      <c r="AN363" t="n">
        <v>4721.0327</v>
      </c>
      <c r="AO363" t="n">
        <v>21.3574</v>
      </c>
      <c r="AP363" t="n">
        <v>456.1364</v>
      </c>
      <c r="AQ363" t="n">
        <v>0.224108</v>
      </c>
      <c r="AR363" t="n">
        <v>0.136127</v>
      </c>
      <c r="AY363" t="n">
        <v>361</v>
      </c>
      <c r="AZ363" t="n">
        <v>360</v>
      </c>
      <c r="BA363" t="n">
        <v>4742.39</v>
      </c>
      <c r="BB363" t="n">
        <v>4721.0327</v>
      </c>
      <c r="BC363" t="n">
        <v>21.3574</v>
      </c>
      <c r="BD363" t="n">
        <v>456.1364</v>
      </c>
      <c r="BE363" t="n">
        <v>129600</v>
      </c>
    </row>
    <row r="364">
      <c r="A364" t="n">
        <v>1776863702</v>
      </c>
      <c r="B364" t="inlineStr">
        <is>
          <t>XAUUSD</t>
        </is>
      </c>
      <c r="C364" t="inlineStr">
        <is>
          <t>M15</t>
        </is>
      </c>
      <c r="D364" t="n">
        <v>4750.2</v>
      </c>
      <c r="E364" t="n">
        <v>4518.59282</v>
      </c>
      <c r="F364" t="n">
        <v>4596.05595</v>
      </c>
      <c r="G364" t="n">
        <v>4755.40355</v>
      </c>
      <c r="H364" t="n">
        <v>4792.76972</v>
      </c>
      <c r="Q364" t="n">
        <v>4720.76505</v>
      </c>
      <c r="R364" t="n">
        <v>4750.12835</v>
      </c>
      <c r="S364" t="n">
        <v>4776.71712</v>
      </c>
      <c r="V364" t="n">
        <v>4685.82528</v>
      </c>
      <c r="W364" t="n">
        <v>4652.26028</v>
      </c>
      <c r="AB364" t="n">
        <v>4748.9847</v>
      </c>
      <c r="AC364" t="n">
        <v>4748.87681</v>
      </c>
      <c r="AD364" t="n">
        <v>1</v>
      </c>
      <c r="AK364" t="n">
        <v>362</v>
      </c>
      <c r="AL364" t="n">
        <v>361</v>
      </c>
      <c r="AM364" t="n">
        <v>4750.2</v>
      </c>
      <c r="AN364" t="n">
        <v>4720.765</v>
      </c>
      <c r="AO364" t="n">
        <v>29.4349</v>
      </c>
      <c r="AP364" t="n">
        <v>866.4163</v>
      </c>
      <c r="AQ364" t="n">
        <v>0.586686</v>
      </c>
      <c r="AR364" t="n">
        <v>0.491142</v>
      </c>
      <c r="AY364" t="n">
        <v>362</v>
      </c>
      <c r="AZ364" t="n">
        <v>361</v>
      </c>
      <c r="BA364" t="n">
        <v>4750.2</v>
      </c>
      <c r="BB364" t="n">
        <v>4720.765</v>
      </c>
      <c r="BC364" t="n">
        <v>29.4349</v>
      </c>
      <c r="BD364" t="n">
        <v>866.4163</v>
      </c>
      <c r="BE364" t="n">
        <v>130321</v>
      </c>
    </row>
    <row r="365">
      <c r="A365" t="n">
        <v>1776864602</v>
      </c>
      <c r="B365" t="inlineStr">
        <is>
          <t>XAUUSD</t>
        </is>
      </c>
      <c r="C365" t="inlineStr">
        <is>
          <t>M15</t>
        </is>
      </c>
      <c r="D365" t="n">
        <v>4755.33</v>
      </c>
      <c r="E365" t="n">
        <v>4518.59282</v>
      </c>
      <c r="F365" t="n">
        <v>4596.05595</v>
      </c>
      <c r="G365" t="n">
        <v>4755.40355</v>
      </c>
      <c r="H365" t="n">
        <v>4792.76972</v>
      </c>
      <c r="Q365" t="n">
        <v>4720.49745</v>
      </c>
      <c r="R365" t="n">
        <v>4749.86075</v>
      </c>
      <c r="S365" t="n">
        <v>4776.44952</v>
      </c>
      <c r="V365" t="n">
        <v>4685.55768</v>
      </c>
      <c r="W365" t="n">
        <v>4651.99268</v>
      </c>
      <c r="AB365" t="n">
        <v>4748.94313</v>
      </c>
      <c r="AC365" t="n">
        <v>4748.90997</v>
      </c>
      <c r="AD365" t="n">
        <v>0</v>
      </c>
      <c r="AK365" t="n">
        <v>363</v>
      </c>
      <c r="AL365" t="n">
        <v>362</v>
      </c>
      <c r="AM365" t="n">
        <v>4755.33</v>
      </c>
      <c r="AN365" t="n">
        <v>4720.4974</v>
      </c>
      <c r="AO365" t="n">
        <v>34.8326</v>
      </c>
      <c r="AP365" t="n">
        <v>1213.3065</v>
      </c>
      <c r="AQ365" t="n">
        <v>0.972235</v>
      </c>
      <c r="AR365" t="n">
        <v>0.963153</v>
      </c>
      <c r="AY365" t="n">
        <v>363</v>
      </c>
      <c r="AZ365" t="n">
        <v>362</v>
      </c>
      <c r="BA365" t="n">
        <v>4755.33</v>
      </c>
      <c r="BB365" t="n">
        <v>4720.4974</v>
      </c>
      <c r="BC365" t="n">
        <v>34.8326</v>
      </c>
      <c r="BD365" t="n">
        <v>1213.3065</v>
      </c>
      <c r="BE365" t="n">
        <v>131044</v>
      </c>
    </row>
    <row r="366">
      <c r="A366" t="n">
        <v>1776865502</v>
      </c>
      <c r="B366" t="inlineStr">
        <is>
          <t>XAUUSD</t>
        </is>
      </c>
      <c r="C366" t="inlineStr">
        <is>
          <t>M15</t>
        </is>
      </c>
      <c r="D366" t="n">
        <v>4752.94</v>
      </c>
      <c r="E366" t="n">
        <v>4518.59282</v>
      </c>
      <c r="F366" t="n">
        <v>4596.05595</v>
      </c>
      <c r="G366" t="n">
        <v>4755.40355</v>
      </c>
      <c r="H366" t="n">
        <v>4792.76972</v>
      </c>
      <c r="Q366" t="n">
        <v>4720.22984</v>
      </c>
      <c r="R366" t="n">
        <v>4749.59314</v>
      </c>
      <c r="S366" t="n">
        <v>4776.18191</v>
      </c>
      <c r="V366" t="n">
        <v>4685.29007</v>
      </c>
      <c r="W366" t="n">
        <v>4651.72508</v>
      </c>
      <c r="AB366" t="n">
        <v>4748.06252</v>
      </c>
      <c r="AC366" t="n">
        <v>4748.48625</v>
      </c>
      <c r="AD366" t="n">
        <v>1</v>
      </c>
      <c r="AK366" t="n">
        <v>364</v>
      </c>
      <c r="AL366" t="n">
        <v>363</v>
      </c>
      <c r="AM366" t="n">
        <v>4752.94</v>
      </c>
      <c r="AN366" t="n">
        <v>4720.2298</v>
      </c>
      <c r="AO366" t="n">
        <v>32.7102</v>
      </c>
      <c r="AP366" t="n">
        <v>1069.9546</v>
      </c>
      <c r="AQ366" t="n">
        <v>0.805126</v>
      </c>
      <c r="AR366" t="n">
        <v>0.749005</v>
      </c>
      <c r="AY366" t="n">
        <v>364</v>
      </c>
      <c r="AZ366" t="n">
        <v>363</v>
      </c>
      <c r="BA366" t="n">
        <v>4752.94</v>
      </c>
      <c r="BB366" t="n">
        <v>4720.2298</v>
      </c>
      <c r="BC366" t="n">
        <v>32.7102</v>
      </c>
      <c r="BD366" t="n">
        <v>1069.9546</v>
      </c>
      <c r="BE366" t="n">
        <v>131769</v>
      </c>
    </row>
    <row r="367">
      <c r="A367" t="n">
        <v>1776866402</v>
      </c>
      <c r="B367" t="inlineStr">
        <is>
          <t>XAUUSD</t>
        </is>
      </c>
      <c r="C367" t="inlineStr">
        <is>
          <t>M15</t>
        </is>
      </c>
      <c r="D367" t="n">
        <v>4745.59</v>
      </c>
      <c r="E367" t="n">
        <v>4518.59282</v>
      </c>
      <c r="F367" t="n">
        <v>4596.05595</v>
      </c>
      <c r="G367" t="n">
        <v>4755.40355</v>
      </c>
      <c r="H367" t="n">
        <v>4792.76972</v>
      </c>
      <c r="Q367" t="n">
        <v>4719.96224</v>
      </c>
      <c r="R367" t="n">
        <v>4749.32554</v>
      </c>
      <c r="S367" t="n">
        <v>4775.91431</v>
      </c>
      <c r="V367" t="n">
        <v>4685.02247</v>
      </c>
      <c r="W367" t="n">
        <v>4651.45747</v>
      </c>
      <c r="AB367" t="n">
        <v>4746.24435</v>
      </c>
      <c r="AC367" t="n">
        <v>4747.3653</v>
      </c>
      <c r="AD367" t="n">
        <v>0</v>
      </c>
      <c r="AK367" t="n">
        <v>365</v>
      </c>
      <c r="AL367" t="n">
        <v>364</v>
      </c>
      <c r="AM367" t="n">
        <v>4745.59</v>
      </c>
      <c r="AN367" t="n">
        <v>4719.9622</v>
      </c>
      <c r="AO367" t="n">
        <v>25.6278</v>
      </c>
      <c r="AP367" t="n">
        <v>656.7821</v>
      </c>
      <c r="AQ367" t="n">
        <v>0.387211</v>
      </c>
      <c r="AR367" t="n">
        <v>0.282226</v>
      </c>
      <c r="AY367" t="n">
        <v>365</v>
      </c>
      <c r="AZ367" t="n">
        <v>364</v>
      </c>
      <c r="BA367" t="n">
        <v>4745.59</v>
      </c>
      <c r="BB367" t="n">
        <v>4719.9622</v>
      </c>
      <c r="BC367" t="n">
        <v>25.6278</v>
      </c>
      <c r="BD367" t="n">
        <v>656.7821</v>
      </c>
      <c r="BE367" t="n">
        <v>132496</v>
      </c>
    </row>
    <row r="368">
      <c r="A368" t="n">
        <v>1776867302</v>
      </c>
      <c r="B368" t="inlineStr">
        <is>
          <t>XAUUSD</t>
        </is>
      </c>
      <c r="C368" t="inlineStr">
        <is>
          <t>M15</t>
        </is>
      </c>
      <c r="D368" t="n">
        <v>4743.96</v>
      </c>
      <c r="E368" t="n">
        <v>4518.59282</v>
      </c>
      <c r="F368" t="n">
        <v>4596.05595</v>
      </c>
      <c r="G368" t="n">
        <v>4755.40355</v>
      </c>
      <c r="H368" t="n">
        <v>4792.76972</v>
      </c>
      <c r="Q368" t="n">
        <v>4719.69463</v>
      </c>
      <c r="R368" t="n">
        <v>4749.05793</v>
      </c>
      <c r="S368" t="n">
        <v>4775.6467</v>
      </c>
      <c r="V368" t="n">
        <v>4684.75486</v>
      </c>
      <c r="W368" t="n">
        <v>4651.18987</v>
      </c>
      <c r="AB368" t="n">
        <v>4743.69873</v>
      </c>
      <c r="AC368" t="n">
        <v>4745.53201</v>
      </c>
      <c r="AD368" t="n">
        <v>0</v>
      </c>
      <c r="AK368" t="n">
        <v>366</v>
      </c>
      <c r="AL368" t="n">
        <v>365</v>
      </c>
      <c r="AM368" t="n">
        <v>4743.96</v>
      </c>
      <c r="AN368" t="n">
        <v>4719.6946</v>
      </c>
      <c r="AO368" t="n">
        <v>24.2654</v>
      </c>
      <c r="AP368" t="n">
        <v>588.8082000000001</v>
      </c>
      <c r="AQ368" t="n">
        <v>0.328682</v>
      </c>
      <c r="AR368" t="n">
        <v>0.226831</v>
      </c>
      <c r="AY368" t="n">
        <v>366</v>
      </c>
      <c r="AZ368" t="n">
        <v>365</v>
      </c>
      <c r="BA368" t="n">
        <v>4743.96</v>
      </c>
      <c r="BB368" t="n">
        <v>4719.6946</v>
      </c>
      <c r="BC368" t="n">
        <v>24.2654</v>
      </c>
      <c r="BD368" t="n">
        <v>588.8082000000001</v>
      </c>
      <c r="BE368" t="n">
        <v>133225</v>
      </c>
    </row>
    <row r="369">
      <c r="A369" t="n">
        <v>1776868202</v>
      </c>
      <c r="B369" t="inlineStr">
        <is>
          <t>XAUUSD</t>
        </is>
      </c>
      <c r="C369" t="inlineStr">
        <is>
          <t>M15</t>
        </is>
      </c>
      <c r="D369" t="n">
        <v>4733.08</v>
      </c>
      <c r="E369" t="n">
        <v>4518.59282</v>
      </c>
      <c r="F369" t="n">
        <v>4596.05595</v>
      </c>
      <c r="G369" t="n">
        <v>4755.40355</v>
      </c>
      <c r="H369" t="n">
        <v>4792.76972</v>
      </c>
      <c r="Q369" t="n">
        <v>4719.42703</v>
      </c>
      <c r="R369" t="n">
        <v>4748.79033</v>
      </c>
      <c r="S369" t="n">
        <v>4775.3791</v>
      </c>
      <c r="V369" t="n">
        <v>4684.48726</v>
      </c>
      <c r="W369" t="n">
        <v>4650.92226</v>
      </c>
      <c r="AB369" t="n">
        <v>4740.60264</v>
      </c>
      <c r="AC369" t="n">
        <v>4743.06733</v>
      </c>
      <c r="AD369" t="n">
        <v>0</v>
      </c>
      <c r="AK369" t="n">
        <v>367</v>
      </c>
      <c r="AL369" t="n">
        <v>366</v>
      </c>
      <c r="AM369" t="n">
        <v>4733.08</v>
      </c>
      <c r="AN369" t="n">
        <v>4719.427</v>
      </c>
      <c r="AO369" t="n">
        <v>13.653</v>
      </c>
      <c r="AP369" t="n">
        <v>186.4036</v>
      </c>
      <c r="AQ369" t="n">
        <v>0.058546</v>
      </c>
      <c r="AR369" t="n">
        <v>0.022733</v>
      </c>
      <c r="AY369" t="n">
        <v>367</v>
      </c>
      <c r="AZ369" t="n">
        <v>366</v>
      </c>
      <c r="BA369" t="n">
        <v>4733.08</v>
      </c>
      <c r="BB369" t="n">
        <v>4719.427</v>
      </c>
      <c r="BC369" t="n">
        <v>13.653</v>
      </c>
      <c r="BD369" t="n">
        <v>186.4036</v>
      </c>
      <c r="BE369" t="n">
        <v>133956</v>
      </c>
    </row>
    <row r="370">
      <c r="A370" t="n">
        <v>1776869102</v>
      </c>
      <c r="B370" t="inlineStr">
        <is>
          <t>XAUUSD</t>
        </is>
      </c>
      <c r="C370" t="inlineStr">
        <is>
          <t>M15</t>
        </is>
      </c>
      <c r="D370" t="n">
        <v>4736.03</v>
      </c>
      <c r="E370" t="n">
        <v>4518.59282</v>
      </c>
      <c r="F370" t="n">
        <v>4596.05595</v>
      </c>
      <c r="G370" t="n">
        <v>4755.40355</v>
      </c>
      <c r="H370" t="n">
        <v>4792.76972</v>
      </c>
      <c r="Q370" t="n">
        <v>4719.15943</v>
      </c>
      <c r="R370" t="n">
        <v>4748.52273</v>
      </c>
      <c r="S370" t="n">
        <v>4775.1115</v>
      </c>
      <c r="V370" t="n">
        <v>4684.21966</v>
      </c>
      <c r="W370" t="n">
        <v>4650.65466</v>
      </c>
      <c r="AB370" t="n">
        <v>4737.47015</v>
      </c>
      <c r="AC370" t="n">
        <v>4740.26874</v>
      </c>
      <c r="AD370" t="n">
        <v>0</v>
      </c>
      <c r="AK370" t="n">
        <v>368</v>
      </c>
      <c r="AL370" t="n">
        <v>367</v>
      </c>
      <c r="AM370" t="n">
        <v>4736.03</v>
      </c>
      <c r="AN370" t="n">
        <v>4719.1594</v>
      </c>
      <c r="AO370" t="n">
        <v>16.8706</v>
      </c>
      <c r="AP370" t="n">
        <v>284.6161</v>
      </c>
      <c r="AQ370" t="n">
        <v>0.11046</v>
      </c>
      <c r="AR370" t="n">
        <v>0.053</v>
      </c>
      <c r="AY370" t="n">
        <v>368</v>
      </c>
      <c r="AZ370" t="n">
        <v>367</v>
      </c>
      <c r="BA370" t="n">
        <v>4736.03</v>
      </c>
      <c r="BB370" t="n">
        <v>4719.1594</v>
      </c>
      <c r="BC370" t="n">
        <v>16.8706</v>
      </c>
      <c r="BD370" t="n">
        <v>284.6161</v>
      </c>
      <c r="BE370" t="n">
        <v>134689</v>
      </c>
    </row>
    <row r="371">
      <c r="A371" t="n">
        <v>1776870002</v>
      </c>
      <c r="B371" t="inlineStr">
        <is>
          <t>XAUUSD</t>
        </is>
      </c>
      <c r="C371" t="inlineStr">
        <is>
          <t>M15</t>
        </is>
      </c>
      <c r="D371" t="n">
        <v>4737.74</v>
      </c>
      <c r="E371" t="n">
        <v>4518.59282</v>
      </c>
      <c r="F371" t="n">
        <v>4596.05595</v>
      </c>
      <c r="G371" t="n">
        <v>4755.40355</v>
      </c>
      <c r="H371" t="n">
        <v>4792.76972</v>
      </c>
      <c r="Q371" t="n">
        <v>4718.89182</v>
      </c>
      <c r="R371" t="n">
        <v>4748.25512</v>
      </c>
      <c r="S371" t="n">
        <v>4774.84389</v>
      </c>
      <c r="V371" t="n">
        <v>4683.95205</v>
      </c>
      <c r="W371" t="n">
        <v>4650.38706</v>
      </c>
      <c r="AB371" t="n">
        <v>4734.44925</v>
      </c>
      <c r="AC371" t="n">
        <v>4737.359</v>
      </c>
      <c r="AD371" t="n">
        <v>0</v>
      </c>
      <c r="AK371" t="n">
        <v>369</v>
      </c>
      <c r="AL371" t="n">
        <v>368</v>
      </c>
      <c r="AM371" t="n">
        <v>4737.74</v>
      </c>
      <c r="AN371" t="n">
        <v>4718.8918</v>
      </c>
      <c r="AO371" t="n">
        <v>18.8482</v>
      </c>
      <c r="AP371" t="n">
        <v>355.2539</v>
      </c>
      <c r="AQ371" t="n">
        <v>0.154037</v>
      </c>
      <c r="AR371" t="n">
        <v>0.08257200000000001</v>
      </c>
      <c r="AY371" t="n">
        <v>369</v>
      </c>
      <c r="AZ371" t="n">
        <v>368</v>
      </c>
      <c r="BA371" t="n">
        <v>4737.74</v>
      </c>
      <c r="BB371" t="n">
        <v>4718.8918</v>
      </c>
      <c r="BC371" t="n">
        <v>18.8482</v>
      </c>
      <c r="BD371" t="n">
        <v>355.2539</v>
      </c>
      <c r="BE371" t="n">
        <v>135424</v>
      </c>
    </row>
    <row r="372">
      <c r="A372" t="n">
        <v>1776870902</v>
      </c>
      <c r="B372" t="inlineStr">
        <is>
          <t>XAUUSD</t>
        </is>
      </c>
      <c r="C372" t="inlineStr">
        <is>
          <t>M15</t>
        </is>
      </c>
      <c r="D372" t="n">
        <v>4735.09</v>
      </c>
      <c r="E372" t="n">
        <v>4518.59282</v>
      </c>
      <c r="F372" t="n">
        <v>4596.05595</v>
      </c>
      <c r="G372" t="n">
        <v>4755.40355</v>
      </c>
      <c r="H372" t="n">
        <v>4792.76972</v>
      </c>
      <c r="Q372" t="n">
        <v>4718.62422</v>
      </c>
      <c r="R372" t="n">
        <v>4747.98752</v>
      </c>
      <c r="S372" t="n">
        <v>4774.57629</v>
      </c>
      <c r="V372" t="n">
        <v>4683.68445</v>
      </c>
      <c r="W372" t="n">
        <v>4650.11945</v>
      </c>
      <c r="AB372" t="n">
        <v>4731.72628</v>
      </c>
      <c r="AC372" t="n">
        <v>4734.54264</v>
      </c>
      <c r="AD372" t="n">
        <v>0</v>
      </c>
      <c r="AK372" t="n">
        <v>370</v>
      </c>
      <c r="AL372" t="n">
        <v>369</v>
      </c>
      <c r="AM372" t="n">
        <v>4735.09</v>
      </c>
      <c r="AN372" t="n">
        <v>4718.6242</v>
      </c>
      <c r="AO372" t="n">
        <v>16.4658</v>
      </c>
      <c r="AP372" t="n">
        <v>271.1219</v>
      </c>
      <c r="AQ372" t="n">
        <v>0.102698</v>
      </c>
      <c r="AR372" t="n">
        <v>0.048093</v>
      </c>
      <c r="AY372" t="n">
        <v>370</v>
      </c>
      <c r="AZ372" t="n">
        <v>369</v>
      </c>
      <c r="BA372" t="n">
        <v>4735.09</v>
      </c>
      <c r="BB372" t="n">
        <v>4718.6242</v>
      </c>
      <c r="BC372" t="n">
        <v>16.4658</v>
      </c>
      <c r="BD372" t="n">
        <v>271.1219</v>
      </c>
      <c r="BE372" t="n">
        <v>136161</v>
      </c>
    </row>
    <row r="373">
      <c r="A373" t="n">
        <v>1776871802</v>
      </c>
      <c r="B373" t="inlineStr">
        <is>
          <t>XAUUSD</t>
        </is>
      </c>
      <c r="C373" t="inlineStr">
        <is>
          <t>M15</t>
        </is>
      </c>
      <c r="D373" t="n">
        <v>4727.2</v>
      </c>
      <c r="E373" t="n">
        <v>4518.59282</v>
      </c>
      <c r="F373" t="n">
        <v>4596.05595</v>
      </c>
      <c r="G373" t="n">
        <v>4755.40355</v>
      </c>
      <c r="H373" t="n">
        <v>4792.76972</v>
      </c>
      <c r="Q373" t="n">
        <v>4718.35661</v>
      </c>
      <c r="R373" t="n">
        <v>4747.71991</v>
      </c>
      <c r="S373" t="n">
        <v>4774.30868</v>
      </c>
      <c r="V373" t="n">
        <v>4683.41684</v>
      </c>
      <c r="W373" t="n">
        <v>4649.85185</v>
      </c>
      <c r="AB373" t="n">
        <v>4729.57026</v>
      </c>
      <c r="AC373" t="n">
        <v>4732.05645</v>
      </c>
      <c r="AD373" t="n">
        <v>0</v>
      </c>
      <c r="AK373" t="n">
        <v>371</v>
      </c>
      <c r="AL373" t="n">
        <v>370</v>
      </c>
      <c r="AM373" t="n">
        <v>4727.2</v>
      </c>
      <c r="AN373" t="n">
        <v>4718.3566</v>
      </c>
      <c r="AO373" t="n">
        <v>8.843400000000001</v>
      </c>
      <c r="AP373" t="n">
        <v>78.2055</v>
      </c>
      <c r="AQ373" t="n">
        <v>0.01591</v>
      </c>
      <c r="AR373" t="n">
        <v>0.004002</v>
      </c>
      <c r="AY373" t="n">
        <v>371</v>
      </c>
      <c r="AZ373" t="n">
        <v>370</v>
      </c>
      <c r="BA373" t="n">
        <v>4727.2</v>
      </c>
      <c r="BB373" t="n">
        <v>4718.3566</v>
      </c>
      <c r="BC373" t="n">
        <v>8.843400000000001</v>
      </c>
      <c r="BD373" t="n">
        <v>78.2055</v>
      </c>
      <c r="BE373" t="n">
        <v>136900</v>
      </c>
    </row>
    <row r="374">
      <c r="A374" t="n">
        <v>1776872702</v>
      </c>
      <c r="B374" t="inlineStr">
        <is>
          <t>XAUUSD</t>
        </is>
      </c>
      <c r="C374" t="inlineStr">
        <is>
          <t>M15</t>
        </is>
      </c>
      <c r="D374" t="n">
        <v>4727.69</v>
      </c>
      <c r="E374" t="n">
        <v>4518.59282</v>
      </c>
      <c r="F374" t="n">
        <v>4596.05595</v>
      </c>
      <c r="G374" t="n">
        <v>4755.40355</v>
      </c>
      <c r="H374" t="n">
        <v>4792.76972</v>
      </c>
      <c r="Q374" t="n">
        <v>4718.08901</v>
      </c>
      <c r="R374" t="n">
        <v>4747.45231</v>
      </c>
      <c r="S374" t="n">
        <v>4774.04108</v>
      </c>
      <c r="V374" t="n">
        <v>4683.14924</v>
      </c>
      <c r="W374" t="n">
        <v>4649.58424</v>
      </c>
      <c r="AB374" t="n">
        <v>4728.36522</v>
      </c>
      <c r="AC374" t="n">
        <v>4730.21083</v>
      </c>
      <c r="AD374" t="n">
        <v>0</v>
      </c>
      <c r="AK374" t="n">
        <v>372</v>
      </c>
      <c r="AL374" t="n">
        <v>371</v>
      </c>
      <c r="AM374" t="n">
        <v>4727.69</v>
      </c>
      <c r="AN374" t="n">
        <v>4718.089</v>
      </c>
      <c r="AO374" t="n">
        <v>9.601000000000001</v>
      </c>
      <c r="AP374" t="n">
        <v>92.179</v>
      </c>
      <c r="AQ374" t="n">
        <v>0.020359</v>
      </c>
      <c r="AR374" t="n">
        <v>0.005559</v>
      </c>
      <c r="AY374" t="n">
        <v>372</v>
      </c>
      <c r="AZ374" t="n">
        <v>371</v>
      </c>
      <c r="BA374" t="n">
        <v>4727.69</v>
      </c>
      <c r="BB374" t="n">
        <v>4718.089</v>
      </c>
      <c r="BC374" t="n">
        <v>9.601000000000001</v>
      </c>
      <c r="BD374" t="n">
        <v>92.179</v>
      </c>
      <c r="BE374" t="n">
        <v>137641</v>
      </c>
    </row>
    <row r="375">
      <c r="A375" t="n">
        <v>1776873602</v>
      </c>
      <c r="B375" t="inlineStr">
        <is>
          <t>XAUUSD</t>
        </is>
      </c>
      <c r="C375" t="inlineStr">
        <is>
          <t>M15</t>
        </is>
      </c>
      <c r="D375" t="n">
        <v>4730.22</v>
      </c>
      <c r="E375" t="n">
        <v>4518.59282</v>
      </c>
      <c r="F375" t="n">
        <v>4596.05595</v>
      </c>
      <c r="G375" t="n">
        <v>4755.40355</v>
      </c>
      <c r="H375" t="n">
        <v>4792.76972</v>
      </c>
      <c r="Q375" t="n">
        <v>4717.82141</v>
      </c>
      <c r="R375" t="n">
        <v>4747.1847</v>
      </c>
      <c r="S375" t="n">
        <v>4773.77348</v>
      </c>
      <c r="V375" t="n">
        <v>4682.88164</v>
      </c>
      <c r="W375" t="n">
        <v>4649.31664</v>
      </c>
      <c r="AB375" t="n">
        <v>4728.0326</v>
      </c>
      <c r="AC375" t="n">
        <v>4729.12172</v>
      </c>
      <c r="AD375" t="n">
        <v>0</v>
      </c>
      <c r="AK375" t="n">
        <v>373</v>
      </c>
      <c r="AL375" t="n">
        <v>372</v>
      </c>
      <c r="AM375" t="n">
        <v>4730.22</v>
      </c>
      <c r="AN375" t="n">
        <v>4717.8214</v>
      </c>
      <c r="AO375" t="n">
        <v>12.3986</v>
      </c>
      <c r="AP375" t="n">
        <v>153.725</v>
      </c>
      <c r="AQ375" t="n">
        <v>0.043846</v>
      </c>
      <c r="AR375" t="n">
        <v>0.015461</v>
      </c>
      <c r="AY375" t="n">
        <v>373</v>
      </c>
      <c r="AZ375" t="n">
        <v>372</v>
      </c>
      <c r="BA375" t="n">
        <v>4730.22</v>
      </c>
      <c r="BB375" t="n">
        <v>4717.8214</v>
      </c>
      <c r="BC375" t="n">
        <v>12.3986</v>
      </c>
      <c r="BD375" t="n">
        <v>153.725</v>
      </c>
      <c r="BE375" t="n">
        <v>138384</v>
      </c>
    </row>
    <row r="376">
      <c r="A376" t="n">
        <v>1776874502</v>
      </c>
      <c r="B376" t="inlineStr">
        <is>
          <t>XAUUSD</t>
        </is>
      </c>
      <c r="C376" t="inlineStr">
        <is>
          <t>M15</t>
        </is>
      </c>
      <c r="D376" t="n">
        <v>4727.08</v>
      </c>
      <c r="E376" t="n">
        <v>4518.59282</v>
      </c>
      <c r="F376" t="n">
        <v>4596.05595</v>
      </c>
      <c r="G376" t="n">
        <v>4755.40355</v>
      </c>
      <c r="H376" t="n">
        <v>4792.76972</v>
      </c>
      <c r="Q376" t="n">
        <v>4717.5538</v>
      </c>
      <c r="R376" t="n">
        <v>4746.9171</v>
      </c>
      <c r="S376" t="n">
        <v>4773.50587</v>
      </c>
      <c r="V376" t="n">
        <v>4682.61403</v>
      </c>
      <c r="W376" t="n">
        <v>4649.04904</v>
      </c>
      <c r="AB376" t="n">
        <v>4728.40577</v>
      </c>
      <c r="AC376" t="n">
        <v>4728.76374</v>
      </c>
      <c r="AD376" t="n">
        <v>0</v>
      </c>
      <c r="AK376" t="n">
        <v>374</v>
      </c>
      <c r="AL376" t="n">
        <v>373</v>
      </c>
      <c r="AM376" t="n">
        <v>4727.08</v>
      </c>
      <c r="AN376" t="n">
        <v>4717.5538</v>
      </c>
      <c r="AO376" t="n">
        <v>9.526199999999999</v>
      </c>
      <c r="AP376" t="n">
        <v>90.74850000000001</v>
      </c>
      <c r="AQ376" t="n">
        <v>0.019887</v>
      </c>
      <c r="AR376" t="n">
        <v>0.005388</v>
      </c>
      <c r="AY376" t="n">
        <v>374</v>
      </c>
      <c r="AZ376" t="n">
        <v>373</v>
      </c>
      <c r="BA376" t="n">
        <v>4727.08</v>
      </c>
      <c r="BB376" t="n">
        <v>4717.5538</v>
      </c>
      <c r="BC376" t="n">
        <v>9.526199999999999</v>
      </c>
      <c r="BD376" t="n">
        <v>90.74850000000001</v>
      </c>
      <c r="BE376" t="n">
        <v>139129</v>
      </c>
    </row>
    <row r="377">
      <c r="A377" t="n">
        <v>1776875402</v>
      </c>
      <c r="B377" t="inlineStr">
        <is>
          <t>XAUUSD</t>
        </is>
      </c>
      <c r="C377" t="inlineStr">
        <is>
          <t>M15</t>
        </is>
      </c>
      <c r="D377" t="n">
        <v>4728.3</v>
      </c>
      <c r="E377" t="n">
        <v>4518.59282</v>
      </c>
      <c r="F377" t="n">
        <v>4596.05595</v>
      </c>
      <c r="G377" t="n">
        <v>4755.40355</v>
      </c>
      <c r="H377" t="n">
        <v>4792.76972</v>
      </c>
      <c r="Q377" t="n">
        <v>4717.2862</v>
      </c>
      <c r="R377" t="n">
        <v>4746.6495</v>
      </c>
      <c r="S377" t="n">
        <v>4773.23827</v>
      </c>
      <c r="V377" t="n">
        <v>4682.34643</v>
      </c>
      <c r="W377" t="n">
        <v>4648.78143</v>
      </c>
      <c r="AA377" t="n">
        <v>4724.03</v>
      </c>
      <c r="AB377" t="n">
        <v>4729.41639</v>
      </c>
      <c r="AC377" t="n">
        <v>4729.09007</v>
      </c>
      <c r="AD377" t="n">
        <v>1</v>
      </c>
      <c r="AK377" t="n">
        <v>375</v>
      </c>
      <c r="AL377" t="n">
        <v>374</v>
      </c>
      <c r="AM377" t="n">
        <v>4728.3</v>
      </c>
      <c r="AN377" t="n">
        <v>4717.2862</v>
      </c>
      <c r="AO377" t="n">
        <v>11.0138</v>
      </c>
      <c r="AP377" t="n">
        <v>121.3038</v>
      </c>
      <c r="AQ377" t="n">
        <v>0.030735</v>
      </c>
      <c r="AR377" t="n">
        <v>0.009627</v>
      </c>
      <c r="AY377" t="n">
        <v>375</v>
      </c>
      <c r="AZ377" t="n">
        <v>374</v>
      </c>
      <c r="BA377" t="n">
        <v>4728.3</v>
      </c>
      <c r="BB377" t="n">
        <v>4717.2862</v>
      </c>
      <c r="BC377" t="n">
        <v>11.0138</v>
      </c>
      <c r="BD377" t="n">
        <v>121.3038</v>
      </c>
      <c r="BE377" t="n">
        <v>139876</v>
      </c>
    </row>
    <row r="378">
      <c r="A378" t="n">
        <v>1776876302</v>
      </c>
      <c r="B378" t="inlineStr">
        <is>
          <t>XAUUSD</t>
        </is>
      </c>
      <c r="C378" t="inlineStr">
        <is>
          <t>M15</t>
        </is>
      </c>
      <c r="D378" t="n">
        <v>4728.79</v>
      </c>
      <c r="E378" t="n">
        <v>4518.59282</v>
      </c>
      <c r="F378" t="n">
        <v>4596.05595</v>
      </c>
      <c r="G378" t="n">
        <v>4755.40355</v>
      </c>
      <c r="H378" t="n">
        <v>4792.76972</v>
      </c>
      <c r="Q378" t="n">
        <v>4717.01859</v>
      </c>
      <c r="R378" t="n">
        <v>4746.38189</v>
      </c>
      <c r="S378" t="n">
        <v>4772.97066</v>
      </c>
      <c r="V378" t="n">
        <v>4682.07882</v>
      </c>
      <c r="W378" t="n">
        <v>4648.51383</v>
      </c>
      <c r="AB378" t="n">
        <v>4730.85564</v>
      </c>
      <c r="AC378" t="n">
        <v>4729.97285</v>
      </c>
      <c r="AD378" t="n">
        <v>0</v>
      </c>
      <c r="AK378" t="n">
        <v>376</v>
      </c>
      <c r="AL378" t="n">
        <v>375</v>
      </c>
      <c r="AM378" t="n">
        <v>4728.79</v>
      </c>
      <c r="AN378" t="n">
        <v>4717.0186</v>
      </c>
      <c r="AO378" t="n">
        <v>11.7714</v>
      </c>
      <c r="AP378" t="n">
        <v>138.5661</v>
      </c>
      <c r="AQ378" t="n">
        <v>0.037523</v>
      </c>
      <c r="AR378" t="n">
        <v>0.012562</v>
      </c>
      <c r="AY378" t="n">
        <v>376</v>
      </c>
      <c r="AZ378" t="n">
        <v>375</v>
      </c>
      <c r="BA378" t="n">
        <v>4728.79</v>
      </c>
      <c r="BB378" t="n">
        <v>4717.0186</v>
      </c>
      <c r="BC378" t="n">
        <v>11.7714</v>
      </c>
      <c r="BD378" t="n">
        <v>138.5661</v>
      </c>
      <c r="BE378" t="n">
        <v>140625</v>
      </c>
    </row>
    <row r="379">
      <c r="A379" t="n">
        <v>1776877202</v>
      </c>
      <c r="B379" t="inlineStr">
        <is>
          <t>XAUUSD</t>
        </is>
      </c>
      <c r="C379" t="inlineStr">
        <is>
          <t>M15</t>
        </is>
      </c>
      <c r="D379" t="n">
        <v>4735.49</v>
      </c>
      <c r="E379" t="n">
        <v>4518.59282</v>
      </c>
      <c r="F379" t="n">
        <v>4596.05595</v>
      </c>
      <c r="G379" t="n">
        <v>4755.40355</v>
      </c>
      <c r="H379" t="n">
        <v>4792.76972</v>
      </c>
      <c r="Q379" t="n">
        <v>4716.75099</v>
      </c>
      <c r="R379" t="n">
        <v>4746.11429</v>
      </c>
      <c r="S379" t="n">
        <v>4772.70306</v>
      </c>
      <c r="V379" t="n">
        <v>4681.81122</v>
      </c>
      <c r="W379" t="n">
        <v>4648.24622</v>
      </c>
      <c r="AB379" t="n">
        <v>4732.52412</v>
      </c>
      <c r="AC379" t="n">
        <v>4731.24849</v>
      </c>
      <c r="AD379" t="n">
        <v>0</v>
      </c>
      <c r="AK379" t="n">
        <v>377</v>
      </c>
      <c r="AL379" t="n">
        <v>376</v>
      </c>
      <c r="AM379" t="n">
        <v>4735.49</v>
      </c>
      <c r="AN379" t="n">
        <v>4716.751</v>
      </c>
      <c r="AO379" t="n">
        <v>18.739</v>
      </c>
      <c r="AP379" t="n">
        <v>351.1505</v>
      </c>
      <c r="AQ379" t="n">
        <v>0.151375</v>
      </c>
      <c r="AR379" t="n">
        <v>0.080675</v>
      </c>
      <c r="AY379" t="n">
        <v>377</v>
      </c>
      <c r="AZ379" t="n">
        <v>376</v>
      </c>
      <c r="BA379" t="n">
        <v>4735.49</v>
      </c>
      <c r="BB379" t="n">
        <v>4716.751</v>
      </c>
      <c r="BC379" t="n">
        <v>18.739</v>
      </c>
      <c r="BD379" t="n">
        <v>351.1505</v>
      </c>
      <c r="BE379" t="n">
        <v>141376</v>
      </c>
    </row>
    <row r="380">
      <c r="A380" t="n">
        <v>1776878102</v>
      </c>
      <c r="B380" t="inlineStr">
        <is>
          <t>XAUUSD</t>
        </is>
      </c>
      <c r="C380" t="inlineStr">
        <is>
          <t>M15</t>
        </is>
      </c>
      <c r="D380" t="n">
        <v>4735.05</v>
      </c>
      <c r="E380" t="n">
        <v>4518.59282</v>
      </c>
      <c r="F380" t="n">
        <v>4596.05595</v>
      </c>
      <c r="G380" t="n">
        <v>4755.40355</v>
      </c>
      <c r="H380" t="n">
        <v>4792.76972</v>
      </c>
      <c r="Q380" t="n">
        <v>4716.48339</v>
      </c>
      <c r="R380" t="n">
        <v>4745.84668</v>
      </c>
      <c r="S380" t="n">
        <v>4772.43545</v>
      </c>
      <c r="V380" t="n">
        <v>4681.54362</v>
      </c>
      <c r="W380" t="n">
        <v>4647.97862</v>
      </c>
      <c r="AB380" t="n">
        <v>4734.03574</v>
      </c>
      <c r="AC380" t="n">
        <v>4732.64211</v>
      </c>
      <c r="AD380" t="n">
        <v>0</v>
      </c>
      <c r="AK380" t="n">
        <v>378</v>
      </c>
      <c r="AL380" t="n">
        <v>377</v>
      </c>
      <c r="AM380" t="n">
        <v>4735.05</v>
      </c>
      <c r="AN380" t="n">
        <v>4716.4834</v>
      </c>
      <c r="AO380" t="n">
        <v>18.5666</v>
      </c>
      <c r="AP380" t="n">
        <v>344.719</v>
      </c>
      <c r="AQ380" t="n">
        <v>0.147236</v>
      </c>
      <c r="AR380" t="n">
        <v>0.077747</v>
      </c>
      <c r="AY380" t="n">
        <v>378</v>
      </c>
      <c r="AZ380" t="n">
        <v>377</v>
      </c>
      <c r="BA380" t="n">
        <v>4735.05</v>
      </c>
      <c r="BB380" t="n">
        <v>4716.4834</v>
      </c>
      <c r="BC380" t="n">
        <v>18.5666</v>
      </c>
      <c r="BD380" t="n">
        <v>344.719</v>
      </c>
      <c r="BE380" t="n">
        <v>142129</v>
      </c>
    </row>
    <row r="381">
      <c r="A381" t="n">
        <v>1776879002</v>
      </c>
      <c r="B381" t="inlineStr">
        <is>
          <t>XAUUSD</t>
        </is>
      </c>
      <c r="C381" t="inlineStr">
        <is>
          <t>M15</t>
        </is>
      </c>
      <c r="D381" t="n">
        <v>4736.17</v>
      </c>
      <c r="E381" t="n">
        <v>4518.59282</v>
      </c>
      <c r="F381" t="n">
        <v>4596.05595</v>
      </c>
      <c r="G381" t="n">
        <v>4755.40355</v>
      </c>
      <c r="H381" t="n">
        <v>4792.76972</v>
      </c>
      <c r="Q381" t="n">
        <v>4716.21578</v>
      </c>
      <c r="R381" t="n">
        <v>4745.57908</v>
      </c>
      <c r="S381" t="n">
        <v>4772.16785</v>
      </c>
      <c r="V381" t="n">
        <v>4681.27601</v>
      </c>
      <c r="W381" t="n">
        <v>4647.71101</v>
      </c>
      <c r="AB381" t="n">
        <v>4735.30192</v>
      </c>
      <c r="AC381" t="n">
        <v>4733.97202</v>
      </c>
      <c r="AD381" t="n">
        <v>0</v>
      </c>
      <c r="AK381" t="n">
        <v>379</v>
      </c>
      <c r="AL381" t="n">
        <v>378</v>
      </c>
      <c r="AM381" t="n">
        <v>4736.17</v>
      </c>
      <c r="AN381" t="n">
        <v>4716.2158</v>
      </c>
      <c r="AO381" t="n">
        <v>19.9542</v>
      </c>
      <c r="AP381" t="n">
        <v>398.1709</v>
      </c>
      <c r="AQ381" t="n">
        <v>0.182776</v>
      </c>
      <c r="AR381" t="n">
        <v>0.103727</v>
      </c>
      <c r="AY381" t="n">
        <v>379</v>
      </c>
      <c r="AZ381" t="n">
        <v>378</v>
      </c>
      <c r="BA381" t="n">
        <v>4736.17</v>
      </c>
      <c r="BB381" t="n">
        <v>4716.2158</v>
      </c>
      <c r="BC381" t="n">
        <v>19.9542</v>
      </c>
      <c r="BD381" t="n">
        <v>398.1709</v>
      </c>
      <c r="BE381" t="n">
        <v>142884</v>
      </c>
    </row>
    <row r="382">
      <c r="A382" t="n">
        <v>1776879902</v>
      </c>
      <c r="B382" t="inlineStr">
        <is>
          <t>XAUUSD</t>
        </is>
      </c>
      <c r="C382" t="inlineStr">
        <is>
          <t>M15</t>
        </is>
      </c>
      <c r="D382" t="n">
        <v>4737.15</v>
      </c>
      <c r="E382" t="n">
        <v>4518.59282</v>
      </c>
      <c r="F382" t="n">
        <v>4596.05595</v>
      </c>
      <c r="G382" t="n">
        <v>4755.40355</v>
      </c>
      <c r="H382" t="n">
        <v>4792.76972</v>
      </c>
      <c r="Q382" t="n">
        <v>4715.94818</v>
      </c>
      <c r="R382" t="n">
        <v>4745.31148</v>
      </c>
      <c r="S382" t="n">
        <v>4771.90025</v>
      </c>
      <c r="V382" t="n">
        <v>4681.00841</v>
      </c>
      <c r="W382" t="n">
        <v>4647.44341</v>
      </c>
      <c r="AB382" t="n">
        <v>4736.28767</v>
      </c>
      <c r="AC382" t="n">
        <v>4735.12984</v>
      </c>
      <c r="AD382" t="n">
        <v>0</v>
      </c>
      <c r="AK382" t="n">
        <v>380</v>
      </c>
      <c r="AL382" t="n">
        <v>379</v>
      </c>
      <c r="AM382" t="n">
        <v>4737.15</v>
      </c>
      <c r="AN382" t="n">
        <v>4715.9482</v>
      </c>
      <c r="AO382" t="n">
        <v>21.2018</v>
      </c>
      <c r="AP382" t="n">
        <v>449.5172</v>
      </c>
      <c r="AQ382" t="n">
        <v>0.219248</v>
      </c>
      <c r="AR382" t="n">
        <v>0.132205</v>
      </c>
      <c r="AY382" t="n">
        <v>380</v>
      </c>
      <c r="AZ382" t="n">
        <v>379</v>
      </c>
      <c r="BA382" t="n">
        <v>4737.15</v>
      </c>
      <c r="BB382" t="n">
        <v>4715.9482</v>
      </c>
      <c r="BC382" t="n">
        <v>21.2018</v>
      </c>
      <c r="BD382" t="n">
        <v>449.5172</v>
      </c>
      <c r="BE382" t="n">
        <v>143641</v>
      </c>
    </row>
    <row r="383">
      <c r="A383" t="n">
        <v>1776880802</v>
      </c>
      <c r="B383" t="inlineStr">
        <is>
          <t>XAUUSD</t>
        </is>
      </c>
      <c r="C383" t="inlineStr">
        <is>
          <t>M15</t>
        </is>
      </c>
      <c r="D383" t="n">
        <v>4735.94</v>
      </c>
      <c r="E383" t="n">
        <v>4518.59282</v>
      </c>
      <c r="F383" t="n">
        <v>4596.05595</v>
      </c>
      <c r="G383" t="n">
        <v>4755.40355</v>
      </c>
      <c r="H383" t="n">
        <v>4792.76972</v>
      </c>
      <c r="Q383" t="n">
        <v>4715.68057</v>
      </c>
      <c r="R383" t="n">
        <v>4745.04387</v>
      </c>
      <c r="S383" t="n">
        <v>4771.63264</v>
      </c>
      <c r="V383" t="n">
        <v>4680.7408</v>
      </c>
      <c r="W383" t="n">
        <v>4647.17581</v>
      </c>
      <c r="AB383" t="n">
        <v>4736.96908</v>
      </c>
      <c r="AC383" t="n">
        <v>4736.04946</v>
      </c>
      <c r="AD383" t="n">
        <v>0</v>
      </c>
      <c r="AK383" t="n">
        <v>381</v>
      </c>
      <c r="AL383" t="n">
        <v>380</v>
      </c>
      <c r="AM383" t="n">
        <v>4735.94</v>
      </c>
      <c r="AN383" t="n">
        <v>4715.6806</v>
      </c>
      <c r="AO383" t="n">
        <v>20.2594</v>
      </c>
      <c r="AP383" t="n">
        <v>410.4445</v>
      </c>
      <c r="AQ383" t="n">
        <v>0.191292</v>
      </c>
      <c r="AR383" t="n">
        <v>0.110221</v>
      </c>
      <c r="AY383" t="n">
        <v>381</v>
      </c>
      <c r="AZ383" t="n">
        <v>380</v>
      </c>
      <c r="BA383" t="n">
        <v>4735.94</v>
      </c>
      <c r="BB383" t="n">
        <v>4715.6806</v>
      </c>
      <c r="BC383" t="n">
        <v>20.2594</v>
      </c>
      <c r="BD383" t="n">
        <v>410.4445</v>
      </c>
      <c r="BE383" t="n">
        <v>144400</v>
      </c>
    </row>
    <row r="384">
      <c r="A384" t="n">
        <v>1776881702</v>
      </c>
      <c r="B384" t="inlineStr">
        <is>
          <t>XAUUSD</t>
        </is>
      </c>
      <c r="C384" t="inlineStr">
        <is>
          <t>M15</t>
        </is>
      </c>
      <c r="D384" t="n">
        <v>4730.43</v>
      </c>
      <c r="E384" t="n">
        <v>4518.59282</v>
      </c>
      <c r="F384" t="n">
        <v>4596.05595</v>
      </c>
      <c r="G384" t="n">
        <v>4755.40355</v>
      </c>
      <c r="H384" t="n">
        <v>4792.76972</v>
      </c>
      <c r="Q384" t="n">
        <v>4715.41297</v>
      </c>
      <c r="R384" t="n">
        <v>4744.77627</v>
      </c>
      <c r="S384" t="n">
        <v>4771.36504</v>
      </c>
      <c r="V384" t="n">
        <v>4680.4732</v>
      </c>
      <c r="W384" t="n">
        <v>4646.9082</v>
      </c>
      <c r="AB384" t="n">
        <v>4737.4774</v>
      </c>
      <c r="AC384" t="n">
        <v>4736.76343</v>
      </c>
      <c r="AD384" t="n">
        <v>0</v>
      </c>
      <c r="AK384" t="n">
        <v>382</v>
      </c>
      <c r="AL384" t="n">
        <v>381</v>
      </c>
      <c r="AM384" t="n">
        <v>4730.43</v>
      </c>
      <c r="AN384" t="n">
        <v>4715.413</v>
      </c>
      <c r="AO384" t="n">
        <v>15.017</v>
      </c>
      <c r="AP384" t="n">
        <v>225.5112</v>
      </c>
      <c r="AQ384" t="n">
        <v>0.077905</v>
      </c>
      <c r="AR384" t="n">
        <v>0.033273</v>
      </c>
      <c r="AY384" t="n">
        <v>382</v>
      </c>
      <c r="AZ384" t="n">
        <v>381</v>
      </c>
      <c r="BA384" t="n">
        <v>4730.43</v>
      </c>
      <c r="BB384" t="n">
        <v>4715.413</v>
      </c>
      <c r="BC384" t="n">
        <v>15.017</v>
      </c>
      <c r="BD384" t="n">
        <v>225.5112</v>
      </c>
      <c r="BE384" t="n">
        <v>145161</v>
      </c>
    </row>
    <row r="385">
      <c r="A385" t="n">
        <v>1776882602</v>
      </c>
      <c r="B385" t="inlineStr">
        <is>
          <t>XAUUSD</t>
        </is>
      </c>
      <c r="C385" t="inlineStr">
        <is>
          <t>M15</t>
        </is>
      </c>
      <c r="D385" t="n">
        <v>4739.45</v>
      </c>
      <c r="E385" t="n">
        <v>4518.59282</v>
      </c>
      <c r="F385" t="n">
        <v>4596.05595</v>
      </c>
      <c r="G385" t="n">
        <v>4755.40355</v>
      </c>
      <c r="H385" t="n">
        <v>4792.76972</v>
      </c>
      <c r="Q385" t="n">
        <v>4715.14536</v>
      </c>
      <c r="R385" t="n">
        <v>4744.50866</v>
      </c>
      <c r="S385" t="n">
        <v>4771.09743</v>
      </c>
      <c r="V385" t="n">
        <v>4680.20559</v>
      </c>
      <c r="W385" t="n">
        <v>4646.6406</v>
      </c>
      <c r="AB385" t="n">
        <v>4738.05683</v>
      </c>
      <c r="AC385" t="n">
        <v>4737.41013</v>
      </c>
      <c r="AD385" t="n">
        <v>0</v>
      </c>
      <c r="AK385" t="n">
        <v>383</v>
      </c>
      <c r="AL385" t="n">
        <v>382</v>
      </c>
      <c r="AM385" t="n">
        <v>4739.45</v>
      </c>
      <c r="AN385" t="n">
        <v>4715.1454</v>
      </c>
      <c r="AO385" t="n">
        <v>24.3046</v>
      </c>
      <c r="AP385" t="n">
        <v>590.7155</v>
      </c>
      <c r="AQ385" t="n">
        <v>0.330281</v>
      </c>
      <c r="AR385" t="n">
        <v>0.228303</v>
      </c>
      <c r="AY385" t="n">
        <v>383</v>
      </c>
      <c r="AZ385" t="n">
        <v>382</v>
      </c>
      <c r="BA385" t="n">
        <v>4739.45</v>
      </c>
      <c r="BB385" t="n">
        <v>4715.1454</v>
      </c>
      <c r="BC385" t="n">
        <v>24.3046</v>
      </c>
      <c r="BD385" t="n">
        <v>590.7155</v>
      </c>
      <c r="BE385" t="n">
        <v>145924</v>
      </c>
    </row>
    <row r="386">
      <c r="A386" t="n">
        <v>1776883502</v>
      </c>
      <c r="B386" t="inlineStr">
        <is>
          <t>XAUUSD</t>
        </is>
      </c>
      <c r="C386" t="inlineStr">
        <is>
          <t>M15</t>
        </is>
      </c>
      <c r="D386" t="n">
        <v>4741.69</v>
      </c>
      <c r="E386" t="n">
        <v>4518.59282</v>
      </c>
      <c r="F386" t="n">
        <v>4596.05595</v>
      </c>
      <c r="G386" t="n">
        <v>4755.40355</v>
      </c>
      <c r="H386" t="n">
        <v>4792.76972</v>
      </c>
      <c r="Q386" t="n">
        <v>4714.87776</v>
      </c>
      <c r="R386" t="n">
        <v>4744.24106</v>
      </c>
      <c r="S386" t="n">
        <v>4770.82983</v>
      </c>
      <c r="V386" t="n">
        <v>4679.93799</v>
      </c>
      <c r="W386" t="n">
        <v>4646.37299</v>
      </c>
      <c r="Z386" t="n">
        <v>4749.34</v>
      </c>
      <c r="AB386" t="n">
        <v>4738.53711</v>
      </c>
      <c r="AC386" t="n">
        <v>4737.97362</v>
      </c>
      <c r="AD386" t="n">
        <v>0</v>
      </c>
      <c r="AK386" t="n">
        <v>384</v>
      </c>
      <c r="AL386" t="n">
        <v>383</v>
      </c>
      <c r="AM386" t="n">
        <v>4741.69</v>
      </c>
      <c r="AN386" t="n">
        <v>4714.8778</v>
      </c>
      <c r="AO386" t="n">
        <v>26.8122</v>
      </c>
      <c r="AP386" t="n">
        <v>718.8962</v>
      </c>
      <c r="AQ386" t="n">
        <v>0.44342</v>
      </c>
      <c r="AR386" t="n">
        <v>0.338132</v>
      </c>
      <c r="AY386" t="n">
        <v>384</v>
      </c>
      <c r="AZ386" t="n">
        <v>383</v>
      </c>
      <c r="BA386" t="n">
        <v>4741.69</v>
      </c>
      <c r="BB386" t="n">
        <v>4714.8778</v>
      </c>
      <c r="BC386" t="n">
        <v>26.8122</v>
      </c>
      <c r="BD386" t="n">
        <v>718.8962</v>
      </c>
      <c r="BE386" t="n">
        <v>146689</v>
      </c>
    </row>
    <row r="387">
      <c r="A387" t="n">
        <v>1776884402</v>
      </c>
      <c r="B387" t="inlineStr">
        <is>
          <t>XAUUSD</t>
        </is>
      </c>
      <c r="C387" t="inlineStr">
        <is>
          <t>M15</t>
        </is>
      </c>
      <c r="D387" t="n">
        <v>4738.64</v>
      </c>
      <c r="E387" t="n">
        <v>4518.59282</v>
      </c>
      <c r="F387" t="n">
        <v>4596.05595</v>
      </c>
      <c r="G387" t="n">
        <v>4755.40355</v>
      </c>
      <c r="H387" t="n">
        <v>4792.76972</v>
      </c>
      <c r="Q387" t="n">
        <v>4714.61016</v>
      </c>
      <c r="R387" t="n">
        <v>4743.97346</v>
      </c>
      <c r="S387" t="n">
        <v>4770.56223</v>
      </c>
      <c r="V387" t="n">
        <v>4679.67039</v>
      </c>
      <c r="W387" t="n">
        <v>4646.10539</v>
      </c>
      <c r="AB387" t="n">
        <v>4738.92084</v>
      </c>
      <c r="AC387" t="n">
        <v>4738.44723</v>
      </c>
      <c r="AD387" t="n">
        <v>0</v>
      </c>
      <c r="AK387" t="n">
        <v>385</v>
      </c>
      <c r="AL387" t="n">
        <v>384</v>
      </c>
      <c r="AM387" t="n">
        <v>4738.64</v>
      </c>
      <c r="AN387" t="n">
        <v>4714.6102</v>
      </c>
      <c r="AO387" t="n">
        <v>24.0298</v>
      </c>
      <c r="AP387" t="n">
        <v>577.4332000000001</v>
      </c>
      <c r="AQ387" t="n">
        <v>0.319204</v>
      </c>
      <c r="AR387" t="n">
        <v>0.218151</v>
      </c>
      <c r="AY387" t="n">
        <v>385</v>
      </c>
      <c r="AZ387" t="n">
        <v>384</v>
      </c>
      <c r="BA387" t="n">
        <v>4738.64</v>
      </c>
      <c r="BB387" t="n">
        <v>4714.6102</v>
      </c>
      <c r="BC387" t="n">
        <v>24.0298</v>
      </c>
      <c r="BD387" t="n">
        <v>577.4332000000001</v>
      </c>
      <c r="BE387" t="n">
        <v>147456</v>
      </c>
    </row>
    <row r="388">
      <c r="A388" t="n">
        <v>1776885302</v>
      </c>
      <c r="B388" t="inlineStr">
        <is>
          <t>XAUUSD</t>
        </is>
      </c>
      <c r="C388" t="inlineStr">
        <is>
          <t>M15</t>
        </is>
      </c>
      <c r="D388" t="n">
        <v>4744.32</v>
      </c>
      <c r="E388" t="n">
        <v>4518.59282</v>
      </c>
      <c r="F388" t="n">
        <v>4596.05595</v>
      </c>
      <c r="G388" t="n">
        <v>4755.40355</v>
      </c>
      <c r="H388" t="n">
        <v>4792.76972</v>
      </c>
      <c r="Q388" t="n">
        <v>4714.34255</v>
      </c>
      <c r="R388" t="n">
        <v>4743.70585</v>
      </c>
      <c r="S388" t="n">
        <v>4770.29462</v>
      </c>
      <c r="V388" t="n">
        <v>4679.40278</v>
      </c>
      <c r="W388" t="n">
        <v>4645.83779</v>
      </c>
      <c r="AB388" t="n">
        <v>4739.35332</v>
      </c>
      <c r="AC388" t="n">
        <v>4738.90028</v>
      </c>
      <c r="AD388" t="n">
        <v>0</v>
      </c>
      <c r="AK388" t="n">
        <v>386</v>
      </c>
      <c r="AL388" t="n">
        <v>385</v>
      </c>
      <c r="AM388" t="n">
        <v>4744.32</v>
      </c>
      <c r="AN388" t="n">
        <v>4714.3426</v>
      </c>
      <c r="AO388" t="n">
        <v>29.9774</v>
      </c>
      <c r="AP388" t="n">
        <v>898.6475</v>
      </c>
      <c r="AQ388" t="n">
        <v>0.619726</v>
      </c>
      <c r="AR388" t="n">
        <v>0.5283639999999999</v>
      </c>
      <c r="AY388" t="n">
        <v>386</v>
      </c>
      <c r="AZ388" t="n">
        <v>385</v>
      </c>
      <c r="BA388" t="n">
        <v>4744.32</v>
      </c>
      <c r="BB388" t="n">
        <v>4714.3426</v>
      </c>
      <c r="BC388" t="n">
        <v>29.9774</v>
      </c>
      <c r="BD388" t="n">
        <v>898.6475</v>
      </c>
      <c r="BE388" t="n">
        <v>148225</v>
      </c>
    </row>
    <row r="389">
      <c r="A389" t="n">
        <v>1776886202</v>
      </c>
      <c r="B389" t="inlineStr">
        <is>
          <t>XAUUSD</t>
        </is>
      </c>
      <c r="C389" t="inlineStr">
        <is>
          <t>M15</t>
        </is>
      </c>
      <c r="D389" t="n">
        <v>4739.38</v>
      </c>
      <c r="E389" t="n">
        <v>4518.59282</v>
      </c>
      <c r="F389" t="n">
        <v>4596.05595</v>
      </c>
      <c r="G389" t="n">
        <v>4755.40355</v>
      </c>
      <c r="H389" t="n">
        <v>4792.76972</v>
      </c>
      <c r="Q389" t="n">
        <v>4714.07495</v>
      </c>
      <c r="R389" t="n">
        <v>4743.43825</v>
      </c>
      <c r="S389" t="n">
        <v>4770.02702</v>
      </c>
      <c r="V389" t="n">
        <v>4679.13518</v>
      </c>
      <c r="W389" t="n">
        <v>4645.57018</v>
      </c>
      <c r="AB389" t="n">
        <v>4739.67749</v>
      </c>
      <c r="AC389" t="n">
        <v>4739.28888</v>
      </c>
      <c r="AD389" t="n">
        <v>0</v>
      </c>
      <c r="AK389" t="n">
        <v>387</v>
      </c>
      <c r="AL389" t="n">
        <v>386</v>
      </c>
      <c r="AM389" t="n">
        <v>4739.38</v>
      </c>
      <c r="AN389" t="n">
        <v>4714.075</v>
      </c>
      <c r="AO389" t="n">
        <v>25.305</v>
      </c>
      <c r="AP389" t="n">
        <v>640.3456</v>
      </c>
      <c r="AQ389" t="n">
        <v>0.372767</v>
      </c>
      <c r="AR389" t="n">
        <v>0.268277</v>
      </c>
      <c r="AY389" t="n">
        <v>387</v>
      </c>
      <c r="AZ389" t="n">
        <v>386</v>
      </c>
      <c r="BA389" t="n">
        <v>4739.38</v>
      </c>
      <c r="BB389" t="n">
        <v>4714.075</v>
      </c>
      <c r="BC389" t="n">
        <v>25.305</v>
      </c>
      <c r="BD389" t="n">
        <v>640.3456</v>
      </c>
      <c r="BE389" t="n">
        <v>148996</v>
      </c>
    </row>
    <row r="390">
      <c r="A390" t="n">
        <v>1776887102</v>
      </c>
      <c r="B390" t="inlineStr">
        <is>
          <t>XAUUSD</t>
        </is>
      </c>
      <c r="C390" t="inlineStr">
        <is>
          <t>M15</t>
        </is>
      </c>
      <c r="D390" t="n">
        <v>4740.36</v>
      </c>
      <c r="E390" t="n">
        <v>4518.59282</v>
      </c>
      <c r="F390" t="n">
        <v>4596.05595</v>
      </c>
      <c r="G390" t="n">
        <v>4755.40355</v>
      </c>
      <c r="H390" t="n">
        <v>4792.76972</v>
      </c>
      <c r="Q390" t="n">
        <v>4713.80734</v>
      </c>
      <c r="R390" t="n">
        <v>4743.17064</v>
      </c>
      <c r="S390" t="n">
        <v>4769.75941</v>
      </c>
      <c r="V390" t="n">
        <v>4678.86757</v>
      </c>
      <c r="W390" t="n">
        <v>4645.30258</v>
      </c>
      <c r="AB390" t="n">
        <v>4739.95904</v>
      </c>
      <c r="AC390" t="n">
        <v>4739.62396</v>
      </c>
      <c r="AD390" t="n">
        <v>0</v>
      </c>
      <c r="AK390" t="n">
        <v>388</v>
      </c>
      <c r="AL390" t="n">
        <v>387</v>
      </c>
      <c r="AM390" t="n">
        <v>4740.36</v>
      </c>
      <c r="AN390" t="n">
        <v>4713.8073</v>
      </c>
      <c r="AO390" t="n">
        <v>26.5527</v>
      </c>
      <c r="AP390" t="n">
        <v>705.0438</v>
      </c>
      <c r="AQ390" t="n">
        <v>0.430665</v>
      </c>
      <c r="AR390" t="n">
        <v>0.325227</v>
      </c>
      <c r="AY390" t="n">
        <v>388</v>
      </c>
      <c r="AZ390" t="n">
        <v>387</v>
      </c>
      <c r="BA390" t="n">
        <v>4740.36</v>
      </c>
      <c r="BB390" t="n">
        <v>4713.8073</v>
      </c>
      <c r="BC390" t="n">
        <v>26.5527</v>
      </c>
      <c r="BD390" t="n">
        <v>705.0438</v>
      </c>
      <c r="BE390" t="n">
        <v>149769</v>
      </c>
    </row>
    <row r="391">
      <c r="A391" t="n">
        <v>1776888002</v>
      </c>
      <c r="B391" t="inlineStr">
        <is>
          <t>XAUUSD</t>
        </is>
      </c>
      <c r="C391" t="inlineStr">
        <is>
          <t>M15</t>
        </is>
      </c>
      <c r="D391" t="n">
        <v>4736.16</v>
      </c>
      <c r="E391" t="n">
        <v>4518.59282</v>
      </c>
      <c r="F391" t="n">
        <v>4596.05595</v>
      </c>
      <c r="G391" t="n">
        <v>4755.40355</v>
      </c>
      <c r="H391" t="n">
        <v>4792.76972</v>
      </c>
      <c r="Q391" t="n">
        <v>4713.53974</v>
      </c>
      <c r="R391" t="n">
        <v>4742.90304</v>
      </c>
      <c r="S391" t="n">
        <v>4769.49181</v>
      </c>
      <c r="V391" t="n">
        <v>4678.59997</v>
      </c>
      <c r="W391" t="n">
        <v>4645.03497</v>
      </c>
      <c r="AB391" t="n">
        <v>4740.03754</v>
      </c>
      <c r="AC391" t="n">
        <v>4739.83075</v>
      </c>
      <c r="AD391" t="n">
        <v>0</v>
      </c>
      <c r="AK391" t="n">
        <v>389</v>
      </c>
      <c r="AL391" t="n">
        <v>388</v>
      </c>
      <c r="AM391" t="n">
        <v>4736.16</v>
      </c>
      <c r="AN391" t="n">
        <v>4713.5397</v>
      </c>
      <c r="AO391" t="n">
        <v>22.6203</v>
      </c>
      <c r="AP391" t="n">
        <v>511.6762</v>
      </c>
      <c r="AQ391" t="n">
        <v>0.266261</v>
      </c>
      <c r="AR391" t="n">
        <v>0.171295</v>
      </c>
      <c r="AY391" t="n">
        <v>389</v>
      </c>
      <c r="AZ391" t="n">
        <v>388</v>
      </c>
      <c r="BA391" t="n">
        <v>4736.16</v>
      </c>
      <c r="BB391" t="n">
        <v>4713.5397</v>
      </c>
      <c r="BC391" t="n">
        <v>22.6203</v>
      </c>
      <c r="BD391" t="n">
        <v>511.6762</v>
      </c>
      <c r="BE391" t="n">
        <v>150544</v>
      </c>
    </row>
    <row r="392">
      <c r="A392" t="n">
        <v>1776888902</v>
      </c>
      <c r="B392" t="inlineStr">
        <is>
          <t>XAUUSD</t>
        </is>
      </c>
      <c r="C392" t="inlineStr">
        <is>
          <t>M15</t>
        </is>
      </c>
      <c r="D392" t="n">
        <v>4736.99</v>
      </c>
      <c r="E392" t="n">
        <v>4518.59282</v>
      </c>
      <c r="F392" t="n">
        <v>4596.05595</v>
      </c>
      <c r="G392" t="n">
        <v>4755.40355</v>
      </c>
      <c r="H392" t="n">
        <v>4792.76972</v>
      </c>
      <c r="Q392" t="n">
        <v>4713.27214</v>
      </c>
      <c r="R392" t="n">
        <v>4742.63544</v>
      </c>
      <c r="S392" t="n">
        <v>4769.22421</v>
      </c>
      <c r="V392" t="n">
        <v>4678.33237</v>
      </c>
      <c r="W392" t="n">
        <v>4644.76737</v>
      </c>
      <c r="AB392" t="n">
        <v>4739.85448</v>
      </c>
      <c r="AC392" t="n">
        <v>4739.84262</v>
      </c>
      <c r="AD392" t="n">
        <v>0</v>
      </c>
      <c r="AK392" t="n">
        <v>390</v>
      </c>
      <c r="AL392" t="n">
        <v>389</v>
      </c>
      <c r="AM392" t="n">
        <v>4736.99</v>
      </c>
      <c r="AN392" t="n">
        <v>4713.2721</v>
      </c>
      <c r="AO392" t="n">
        <v>23.7179</v>
      </c>
      <c r="AP392" t="n">
        <v>562.5368999999999</v>
      </c>
      <c r="AQ392" t="n">
        <v>0.306932</v>
      </c>
      <c r="AR392" t="n">
        <v>0.207041</v>
      </c>
      <c r="AY392" t="n">
        <v>390</v>
      </c>
      <c r="AZ392" t="n">
        <v>389</v>
      </c>
      <c r="BA392" t="n">
        <v>4736.99</v>
      </c>
      <c r="BB392" t="n">
        <v>4713.2721</v>
      </c>
      <c r="BC392" t="n">
        <v>23.7179</v>
      </c>
      <c r="BD392" t="n">
        <v>562.5368999999999</v>
      </c>
      <c r="BE392" t="n">
        <v>151321</v>
      </c>
    </row>
    <row r="393">
      <c r="A393" t="n">
        <v>1776889802</v>
      </c>
      <c r="B393" t="inlineStr">
        <is>
          <t>XAUUSD</t>
        </is>
      </c>
      <c r="C393" t="inlineStr">
        <is>
          <t>M15</t>
        </is>
      </c>
      <c r="D393" t="n">
        <v>4737.48</v>
      </c>
      <c r="E393" t="n">
        <v>4518.59282</v>
      </c>
      <c r="F393" t="n">
        <v>4596.05595</v>
      </c>
      <c r="G393" t="n">
        <v>4755.40355</v>
      </c>
      <c r="H393" t="n">
        <v>4792.76972</v>
      </c>
      <c r="Q393" t="n">
        <v>4713.00453</v>
      </c>
      <c r="R393" t="n">
        <v>4742.36783</v>
      </c>
      <c r="S393" t="n">
        <v>4768.9566</v>
      </c>
      <c r="V393" t="n">
        <v>4678.06476</v>
      </c>
      <c r="W393" t="n">
        <v>4644.49977</v>
      </c>
      <c r="AB393" t="n">
        <v>4739.16871</v>
      </c>
      <c r="AC393" t="n">
        <v>4739.50566</v>
      </c>
      <c r="AD393" t="n">
        <v>1</v>
      </c>
      <c r="AK393" t="n">
        <v>391</v>
      </c>
      <c r="AL393" t="n">
        <v>390</v>
      </c>
      <c r="AM393" t="n">
        <v>4737.48</v>
      </c>
      <c r="AN393" t="n">
        <v>4713.0045</v>
      </c>
      <c r="AO393" t="n">
        <v>24.4755</v>
      </c>
      <c r="AP393" t="n">
        <v>599.0486</v>
      </c>
      <c r="AQ393" t="n">
        <v>0.337294</v>
      </c>
      <c r="AR393" t="n">
        <v>0.234789</v>
      </c>
      <c r="AY393" t="n">
        <v>391</v>
      </c>
      <c r="AZ393" t="n">
        <v>390</v>
      </c>
      <c r="BA393" t="n">
        <v>4737.48</v>
      </c>
      <c r="BB393" t="n">
        <v>4713.0045</v>
      </c>
      <c r="BC393" t="n">
        <v>24.4755</v>
      </c>
      <c r="BD393" t="n">
        <v>599.0486</v>
      </c>
      <c r="BE393" t="n">
        <v>152100</v>
      </c>
    </row>
    <row r="394">
      <c r="A394" t="n">
        <v>1776890702</v>
      </c>
      <c r="B394" t="inlineStr">
        <is>
          <t>XAUUSD</t>
        </is>
      </c>
      <c r="C394" t="inlineStr">
        <is>
          <t>M15</t>
        </is>
      </c>
      <c r="D394" t="n">
        <v>4740.38</v>
      </c>
      <c r="E394" t="n">
        <v>4518.59282</v>
      </c>
      <c r="F394" t="n">
        <v>4596.05595</v>
      </c>
      <c r="G394" t="n">
        <v>4755.40355</v>
      </c>
      <c r="H394" t="n">
        <v>4792.76972</v>
      </c>
      <c r="Q394" t="n">
        <v>4712.73693</v>
      </c>
      <c r="R394" t="n">
        <v>4742.10023</v>
      </c>
      <c r="S394" t="n">
        <v>4768.689</v>
      </c>
      <c r="V394" t="n">
        <v>4677.79716</v>
      </c>
      <c r="W394" t="n">
        <v>4644.23216</v>
      </c>
      <c r="AB394" t="n">
        <v>4737.77412</v>
      </c>
      <c r="AC394" t="n">
        <v>4738.63989</v>
      </c>
      <c r="AD394" t="n">
        <v>0</v>
      </c>
      <c r="AK394" t="n">
        <v>392</v>
      </c>
      <c r="AL394" t="n">
        <v>391</v>
      </c>
      <c r="AM394" t="n">
        <v>4740.38</v>
      </c>
      <c r="AN394" t="n">
        <v>4712.7369</v>
      </c>
      <c r="AO394" t="n">
        <v>27.6431</v>
      </c>
      <c r="AP394" t="n">
        <v>764.1393</v>
      </c>
      <c r="AQ394" t="n">
        <v>0.485931</v>
      </c>
      <c r="AR394" t="n">
        <v>0.382032</v>
      </c>
      <c r="AY394" t="n">
        <v>392</v>
      </c>
      <c r="AZ394" t="n">
        <v>391</v>
      </c>
      <c r="BA394" t="n">
        <v>4740.38</v>
      </c>
      <c r="BB394" t="n">
        <v>4712.7369</v>
      </c>
      <c r="BC394" t="n">
        <v>27.6431</v>
      </c>
      <c r="BD394" t="n">
        <v>764.1393</v>
      </c>
      <c r="BE394" t="n">
        <v>152881</v>
      </c>
    </row>
    <row r="395">
      <c r="A395" t="n">
        <v>1776895202</v>
      </c>
      <c r="B395" t="inlineStr">
        <is>
          <t>XAUUSD</t>
        </is>
      </c>
      <c r="C395" t="inlineStr">
        <is>
          <t>M15</t>
        </is>
      </c>
      <c r="D395" t="n">
        <v>4736.69</v>
      </c>
      <c r="E395" t="n">
        <v>4518.59282</v>
      </c>
      <c r="F395" t="n">
        <v>4596.05595</v>
      </c>
      <c r="G395" t="n">
        <v>4755.40355</v>
      </c>
      <c r="H395" t="n">
        <v>4792.76972</v>
      </c>
      <c r="Q395" t="n">
        <v>4712.46932</v>
      </c>
      <c r="R395" t="n">
        <v>4741.83262</v>
      </c>
      <c r="S395" t="n">
        <v>4768.42139</v>
      </c>
      <c r="V395" t="n">
        <v>4677.52955</v>
      </c>
      <c r="W395" t="n">
        <v>4643.96456</v>
      </c>
      <c r="AB395" t="n">
        <v>4735.50404</v>
      </c>
      <c r="AC395" t="n">
        <v>4737.07196</v>
      </c>
      <c r="AD395" t="n">
        <v>0</v>
      </c>
      <c r="AK395" t="n">
        <v>393</v>
      </c>
      <c r="AL395" t="n">
        <v>392</v>
      </c>
      <c r="AM395" t="n">
        <v>4736.69</v>
      </c>
      <c r="AN395" t="n">
        <v>4712.4693</v>
      </c>
      <c r="AO395" t="n">
        <v>24.2207</v>
      </c>
      <c r="AP395" t="n">
        <v>586.6413</v>
      </c>
      <c r="AQ395" t="n">
        <v>0.32687</v>
      </c>
      <c r="AR395" t="n">
        <v>0.225164</v>
      </c>
      <c r="AY395" t="n">
        <v>393</v>
      </c>
      <c r="AZ395" t="n">
        <v>392</v>
      </c>
      <c r="BA395" t="n">
        <v>4736.69</v>
      </c>
      <c r="BB395" t="n">
        <v>4712.4693</v>
      </c>
      <c r="BC395" t="n">
        <v>24.2207</v>
      </c>
      <c r="BD395" t="n">
        <v>586.6413</v>
      </c>
      <c r="BE395" t="n">
        <v>153664</v>
      </c>
    </row>
    <row r="396">
      <c r="A396" t="n">
        <v>1776896102</v>
      </c>
      <c r="B396" t="inlineStr">
        <is>
          <t>XAUUSD</t>
        </is>
      </c>
      <c r="C396" t="inlineStr">
        <is>
          <t>M15</t>
        </is>
      </c>
      <c r="D396" t="n">
        <v>4732.96</v>
      </c>
      <c r="E396" t="n">
        <v>4518.59282</v>
      </c>
      <c r="F396" t="n">
        <v>4596.05595</v>
      </c>
      <c r="G396" t="n">
        <v>4755.40355</v>
      </c>
      <c r="H396" t="n">
        <v>4792.76972</v>
      </c>
      <c r="Q396" t="n">
        <v>4712.20172</v>
      </c>
      <c r="R396" t="n">
        <v>4741.56502</v>
      </c>
      <c r="S396" t="n">
        <v>4768.15379</v>
      </c>
      <c r="V396" t="n">
        <v>4677.26195</v>
      </c>
      <c r="W396" t="n">
        <v>4643.69695</v>
      </c>
      <c r="AB396" t="n">
        <v>4732.55742</v>
      </c>
      <c r="AC396" t="n">
        <v>4734.81469</v>
      </c>
      <c r="AD396" t="n">
        <v>0</v>
      </c>
      <c r="AK396" t="n">
        <v>394</v>
      </c>
      <c r="AL396" t="n">
        <v>393</v>
      </c>
      <c r="AM396" t="n">
        <v>4732.96</v>
      </c>
      <c r="AN396" t="n">
        <v>4712.2017</v>
      </c>
      <c r="AO396" t="n">
        <v>20.7583</v>
      </c>
      <c r="AP396" t="n">
        <v>430.9062</v>
      </c>
      <c r="AQ396" t="n">
        <v>0.205774</v>
      </c>
      <c r="AR396" t="n">
        <v>0.121484</v>
      </c>
      <c r="AY396" t="n">
        <v>394</v>
      </c>
      <c r="AZ396" t="n">
        <v>393</v>
      </c>
      <c r="BA396" t="n">
        <v>4732.96</v>
      </c>
      <c r="BB396" t="n">
        <v>4712.2017</v>
      </c>
      <c r="BC396" t="n">
        <v>20.7583</v>
      </c>
      <c r="BD396" t="n">
        <v>430.9062</v>
      </c>
      <c r="BE396" t="n">
        <v>154449</v>
      </c>
    </row>
    <row r="397">
      <c r="A397" t="n">
        <v>1776897002</v>
      </c>
      <c r="B397" t="inlineStr">
        <is>
          <t>XAUUSD</t>
        </is>
      </c>
      <c r="C397" t="inlineStr">
        <is>
          <t>M15</t>
        </is>
      </c>
      <c r="D397" t="n">
        <v>4729.94</v>
      </c>
      <c r="E397" t="n">
        <v>4518.59282</v>
      </c>
      <c r="F397" t="n">
        <v>4596.05595</v>
      </c>
      <c r="G397" t="n">
        <v>4755.40355</v>
      </c>
      <c r="H397" t="n">
        <v>4792.76972</v>
      </c>
      <c r="Q397" t="n">
        <v>4711.93412</v>
      </c>
      <c r="R397" t="n">
        <v>4741.29741</v>
      </c>
      <c r="S397" t="n">
        <v>4767.88619</v>
      </c>
      <c r="V397" t="n">
        <v>4676.99435</v>
      </c>
      <c r="W397" t="n">
        <v>4643.42935</v>
      </c>
      <c r="AB397" t="n">
        <v>4729.31539</v>
      </c>
      <c r="AC397" t="n">
        <v>4732.06504</v>
      </c>
      <c r="AD397" t="n">
        <v>0</v>
      </c>
      <c r="AK397" t="n">
        <v>395</v>
      </c>
      <c r="AL397" t="n">
        <v>394</v>
      </c>
      <c r="AM397" t="n">
        <v>4729.94</v>
      </c>
      <c r="AN397" t="n">
        <v>4711.9341</v>
      </c>
      <c r="AO397" t="n">
        <v>18.0059</v>
      </c>
      <c r="AP397" t="n">
        <v>324.2117</v>
      </c>
      <c r="AQ397" t="n">
        <v>0.134295</v>
      </c>
      <c r="AR397" t="n">
        <v>0.068772</v>
      </c>
      <c r="AY397" t="n">
        <v>395</v>
      </c>
      <c r="AZ397" t="n">
        <v>394</v>
      </c>
      <c r="BA397" t="n">
        <v>4729.94</v>
      </c>
      <c r="BB397" t="n">
        <v>4711.9341</v>
      </c>
      <c r="BC397" t="n">
        <v>18.0059</v>
      </c>
      <c r="BD397" t="n">
        <v>324.2117</v>
      </c>
      <c r="BE397" t="n">
        <v>155236</v>
      </c>
    </row>
    <row r="398">
      <c r="A398" t="n">
        <v>1776897902</v>
      </c>
      <c r="B398" t="inlineStr">
        <is>
          <t>XAUUSD</t>
        </is>
      </c>
      <c r="C398" t="inlineStr">
        <is>
          <t>M15</t>
        </is>
      </c>
      <c r="D398" t="n">
        <v>4725.92</v>
      </c>
      <c r="E398" t="n">
        <v>4518.59282</v>
      </c>
      <c r="F398" t="n">
        <v>4596.05595</v>
      </c>
      <c r="G398" t="n">
        <v>4755.40355</v>
      </c>
      <c r="H398" t="n">
        <v>4792.76972</v>
      </c>
      <c r="Q398" t="n">
        <v>4711.66651</v>
      </c>
      <c r="R398" t="n">
        <v>4741.02981</v>
      </c>
      <c r="S398" t="n">
        <v>4767.61858</v>
      </c>
      <c r="V398" t="n">
        <v>4676.72674</v>
      </c>
      <c r="W398" t="n">
        <v>4643.16175</v>
      </c>
      <c r="AB398" t="n">
        <v>4726.32231</v>
      </c>
      <c r="AC398" t="n">
        <v>4729.19368</v>
      </c>
      <c r="AD398" t="n">
        <v>0</v>
      </c>
      <c r="AK398" t="n">
        <v>396</v>
      </c>
      <c r="AL398" t="n">
        <v>395</v>
      </c>
      <c r="AM398" t="n">
        <v>4725.92</v>
      </c>
      <c r="AN398" t="n">
        <v>4711.6665</v>
      </c>
      <c r="AO398" t="n">
        <v>14.2535</v>
      </c>
      <c r="AP398" t="n">
        <v>203.162</v>
      </c>
      <c r="AQ398" t="n">
        <v>0.06661599999999999</v>
      </c>
      <c r="AR398" t="n">
        <v>0.027005</v>
      </c>
      <c r="AY398" t="n">
        <v>396</v>
      </c>
      <c r="AZ398" t="n">
        <v>395</v>
      </c>
      <c r="BA398" t="n">
        <v>4725.92</v>
      </c>
      <c r="BB398" t="n">
        <v>4711.6665</v>
      </c>
      <c r="BC398" t="n">
        <v>14.2535</v>
      </c>
      <c r="BD398" t="n">
        <v>203.162</v>
      </c>
      <c r="BE398" t="n">
        <v>156025</v>
      </c>
    </row>
    <row r="399">
      <c r="A399" t="n">
        <v>1776898802</v>
      </c>
      <c r="B399" t="inlineStr">
        <is>
          <t>XAUUSD</t>
        </is>
      </c>
      <c r="C399" t="inlineStr">
        <is>
          <t>M15</t>
        </is>
      </c>
      <c r="D399" t="n">
        <v>4725.95</v>
      </c>
      <c r="E399" t="n">
        <v>4518.59282</v>
      </c>
      <c r="F399" t="n">
        <v>4596.05595</v>
      </c>
      <c r="G399" t="n">
        <v>4755.40355</v>
      </c>
      <c r="H399" t="n">
        <v>4792.76972</v>
      </c>
      <c r="Q399" t="n">
        <v>4711.39891</v>
      </c>
      <c r="R399" t="n">
        <v>4740.76221</v>
      </c>
      <c r="S399" t="n">
        <v>4767.35098</v>
      </c>
      <c r="V399" t="n">
        <v>4676.45914</v>
      </c>
      <c r="W399" t="n">
        <v>4642.89414</v>
      </c>
      <c r="AB399" t="n">
        <v>4724.18073</v>
      </c>
      <c r="AC399" t="n">
        <v>4726.68721</v>
      </c>
      <c r="AD399" t="n">
        <v>0</v>
      </c>
      <c r="AK399" t="n">
        <v>397</v>
      </c>
      <c r="AL399" t="n">
        <v>396</v>
      </c>
      <c r="AM399" t="n">
        <v>4725.95</v>
      </c>
      <c r="AN399" t="n">
        <v>4711.3989</v>
      </c>
      <c r="AO399" t="n">
        <v>14.5511</v>
      </c>
      <c r="AP399" t="n">
        <v>211.7342</v>
      </c>
      <c r="AQ399" t="n">
        <v>0.07087599999999999</v>
      </c>
      <c r="AR399" t="n">
        <v>0.029332</v>
      </c>
      <c r="AY399" t="n">
        <v>397</v>
      </c>
      <c r="AZ399" t="n">
        <v>396</v>
      </c>
      <c r="BA399" t="n">
        <v>4725.95</v>
      </c>
      <c r="BB399" t="n">
        <v>4711.3989</v>
      </c>
      <c r="BC399" t="n">
        <v>14.5511</v>
      </c>
      <c r="BD399" t="n">
        <v>211.7342</v>
      </c>
      <c r="BE399" t="n">
        <v>156816</v>
      </c>
    </row>
    <row r="400">
      <c r="A400" t="n">
        <v>1776899702</v>
      </c>
      <c r="B400" t="inlineStr">
        <is>
          <t>XAUUSD</t>
        </is>
      </c>
      <c r="C400" t="inlineStr">
        <is>
          <t>M15</t>
        </is>
      </c>
      <c r="D400" t="n">
        <v>4728.14</v>
      </c>
      <c r="E400" t="n">
        <v>4518.59282</v>
      </c>
      <c r="F400" t="n">
        <v>4596.05595</v>
      </c>
      <c r="G400" t="n">
        <v>4755.40355</v>
      </c>
      <c r="H400" t="n">
        <v>4792.76972</v>
      </c>
      <c r="Q400" t="n">
        <v>4711.1313</v>
      </c>
      <c r="R400" t="n">
        <v>4740.4946</v>
      </c>
      <c r="S400" t="n">
        <v>4767.08337</v>
      </c>
      <c r="V400" t="n">
        <v>4676.19153</v>
      </c>
      <c r="W400" t="n">
        <v>4642.62654</v>
      </c>
      <c r="AB400" t="n">
        <v>4723.31179</v>
      </c>
      <c r="AC400" t="n">
        <v>4724.9995</v>
      </c>
      <c r="AD400" t="n">
        <v>0</v>
      </c>
      <c r="AK400" t="n">
        <v>398</v>
      </c>
      <c r="AL400" t="n">
        <v>397</v>
      </c>
      <c r="AM400" t="n">
        <v>4728.14</v>
      </c>
      <c r="AN400" t="n">
        <v>4711.1313</v>
      </c>
      <c r="AO400" t="n">
        <v>17.0087</v>
      </c>
      <c r="AP400" t="n">
        <v>289.2959</v>
      </c>
      <c r="AQ400" t="n">
        <v>0.113195</v>
      </c>
      <c r="AR400" t="n">
        <v>0.054757</v>
      </c>
      <c r="AY400" t="n">
        <v>398</v>
      </c>
      <c r="AZ400" t="n">
        <v>397</v>
      </c>
      <c r="BA400" t="n">
        <v>4728.14</v>
      </c>
      <c r="BB400" t="n">
        <v>4711.1313</v>
      </c>
      <c r="BC400" t="n">
        <v>17.0087</v>
      </c>
      <c r="BD400" t="n">
        <v>289.2959</v>
      </c>
      <c r="BE400" t="n">
        <v>157609</v>
      </c>
    </row>
    <row r="401">
      <c r="A401" t="n">
        <v>1776900602</v>
      </c>
      <c r="B401" t="inlineStr">
        <is>
          <t>XAUUSD</t>
        </is>
      </c>
      <c r="C401" t="inlineStr">
        <is>
          <t>M15</t>
        </is>
      </c>
      <c r="D401" t="n">
        <v>4724.57</v>
      </c>
      <c r="E401" t="n">
        <v>4518.59282</v>
      </c>
      <c r="F401" t="n">
        <v>4596.05595</v>
      </c>
      <c r="G401" t="n">
        <v>4755.40355</v>
      </c>
      <c r="H401" t="n">
        <v>4792.76972</v>
      </c>
      <c r="Q401" t="n">
        <v>4710.8637</v>
      </c>
      <c r="R401" t="n">
        <v>4740.227</v>
      </c>
      <c r="S401" t="n">
        <v>4766.81577</v>
      </c>
      <c r="V401" t="n">
        <v>4675.92393</v>
      </c>
      <c r="W401" t="n">
        <v>4642.35893</v>
      </c>
      <c r="AB401" t="n">
        <v>4723.87045</v>
      </c>
      <c r="AC401" t="n">
        <v>4724.43497</v>
      </c>
      <c r="AD401" t="n">
        <v>0</v>
      </c>
      <c r="AK401" t="n">
        <v>399</v>
      </c>
      <c r="AL401" t="n">
        <v>398</v>
      </c>
      <c r="AM401" t="n">
        <v>4724.57</v>
      </c>
      <c r="AN401" t="n">
        <v>4710.8637</v>
      </c>
      <c r="AO401" t="n">
        <v>13.7063</v>
      </c>
      <c r="AP401" t="n">
        <v>187.8627</v>
      </c>
      <c r="AQ401" t="n">
        <v>0.059235</v>
      </c>
      <c r="AR401" t="n">
        <v>0.023091</v>
      </c>
      <c r="AY401" t="n">
        <v>399</v>
      </c>
      <c r="AZ401" t="n">
        <v>398</v>
      </c>
      <c r="BA401" t="n">
        <v>4724.57</v>
      </c>
      <c r="BB401" t="n">
        <v>4710.8637</v>
      </c>
      <c r="BC401" t="n">
        <v>13.7063</v>
      </c>
      <c r="BD401" t="n">
        <v>187.8627</v>
      </c>
      <c r="BE401" t="n">
        <v>158404</v>
      </c>
    </row>
    <row r="402">
      <c r="A402" t="n">
        <v>1776901502</v>
      </c>
      <c r="B402" t="inlineStr">
        <is>
          <t>XAUUSD</t>
        </is>
      </c>
      <c r="C402" t="inlineStr">
        <is>
          <t>M15</t>
        </is>
      </c>
      <c r="D402" t="n">
        <v>4727.72</v>
      </c>
      <c r="E402" t="n">
        <v>4518.59282</v>
      </c>
      <c r="F402" t="n">
        <v>4596.05595</v>
      </c>
      <c r="G402" t="n">
        <v>4755.40355</v>
      </c>
      <c r="H402" t="n">
        <v>4792.76972</v>
      </c>
      <c r="Q402" t="n">
        <v>4710.5961</v>
      </c>
      <c r="R402" t="n">
        <v>4739.95939</v>
      </c>
      <c r="S402" t="n">
        <v>4766.54817</v>
      </c>
      <c r="V402" t="n">
        <v>4675.65633</v>
      </c>
      <c r="W402" t="n">
        <v>4642.09133</v>
      </c>
      <c r="AB402" t="n">
        <v>4725.89757</v>
      </c>
      <c r="AC402" t="n">
        <v>4725.16627</v>
      </c>
      <c r="AD402" t="n">
        <v>1</v>
      </c>
      <c r="AK402" t="n">
        <v>400</v>
      </c>
      <c r="AL402" t="n">
        <v>399</v>
      </c>
      <c r="AM402" t="n">
        <v>4727.72</v>
      </c>
      <c r="AN402" t="n">
        <v>4710.5961</v>
      </c>
      <c r="AO402" t="n">
        <v>17.1239</v>
      </c>
      <c r="AP402" t="n">
        <v>293.228</v>
      </c>
      <c r="AQ402" t="n">
        <v>0.115511</v>
      </c>
      <c r="AR402" t="n">
        <v>0.056255</v>
      </c>
      <c r="AY402" t="n">
        <v>400</v>
      </c>
      <c r="AZ402" t="n">
        <v>399</v>
      </c>
      <c r="BA402" t="n">
        <v>4727.72</v>
      </c>
      <c r="BB402" t="n">
        <v>4710.5961</v>
      </c>
      <c r="BC402" t="n">
        <v>17.1239</v>
      </c>
      <c r="BD402" t="n">
        <v>293.228</v>
      </c>
      <c r="BE402" t="n">
        <v>159201</v>
      </c>
    </row>
    <row r="403">
      <c r="A403" t="n">
        <v>1776902402</v>
      </c>
      <c r="B403" t="inlineStr">
        <is>
          <t>XAUUSD</t>
        </is>
      </c>
      <c r="C403" t="inlineStr">
        <is>
          <t>M15</t>
        </is>
      </c>
      <c r="D403" t="n">
        <v>4699.48</v>
      </c>
      <c r="E403" t="n">
        <v>4518.59282</v>
      </c>
      <c r="F403" t="n">
        <v>4596.05595</v>
      </c>
      <c r="G403" t="n">
        <v>4755.40355</v>
      </c>
      <c r="H403" t="n">
        <v>4792.76972</v>
      </c>
      <c r="Q403" t="n">
        <v>4710.32849</v>
      </c>
      <c r="R403" t="n">
        <v>4739.69179</v>
      </c>
      <c r="S403" t="n">
        <v>4766.28056</v>
      </c>
      <c r="V403" t="n">
        <v>4675.38872</v>
      </c>
      <c r="W403" t="n">
        <v>4641.82372</v>
      </c>
      <c r="AB403" t="n">
        <v>4728.96889</v>
      </c>
      <c r="AC403" t="n">
        <v>4727.06758</v>
      </c>
      <c r="AD403" t="n">
        <v>0</v>
      </c>
      <c r="AK403" t="n">
        <v>401</v>
      </c>
      <c r="AL403" t="n">
        <v>400</v>
      </c>
      <c r="AM403" t="n">
        <v>4699.48</v>
      </c>
      <c r="AN403" t="n">
        <v>4710.3285</v>
      </c>
      <c r="AO403" t="n">
        <v>-10.8485</v>
      </c>
      <c r="AP403" t="n">
        <v>117.6897</v>
      </c>
      <c r="AQ403" t="n">
        <v>-0.029371</v>
      </c>
      <c r="AR403" t="n">
        <v>0.009062000000000001</v>
      </c>
      <c r="AY403" t="n">
        <v>401</v>
      </c>
      <c r="AZ403" t="n">
        <v>400</v>
      </c>
      <c r="BA403" t="n">
        <v>4699.48</v>
      </c>
      <c r="BB403" t="n">
        <v>4710.3285</v>
      </c>
      <c r="BC403" t="n">
        <v>-10.8485</v>
      </c>
      <c r="BD403" t="n">
        <v>117.6897</v>
      </c>
      <c r="BE403" t="n">
        <v>160000</v>
      </c>
    </row>
    <row r="404">
      <c r="A404" t="n">
        <v>1776903302</v>
      </c>
      <c r="B404" t="inlineStr">
        <is>
          <t>XAUUSD</t>
        </is>
      </c>
      <c r="C404" t="inlineStr">
        <is>
          <t>M15</t>
        </is>
      </c>
      <c r="D404" t="n">
        <v>4741.59</v>
      </c>
      <c r="E404" t="n">
        <v>4518.59282</v>
      </c>
      <c r="F404" t="n">
        <v>4596.05595</v>
      </c>
      <c r="G404" t="n">
        <v>4755.40355</v>
      </c>
      <c r="H404" t="n">
        <v>4792.76972</v>
      </c>
      <c r="Q404" t="n">
        <v>4710.06089</v>
      </c>
      <c r="R404" t="n">
        <v>4739.42419</v>
      </c>
      <c r="S404" t="n">
        <v>4766.01296</v>
      </c>
      <c r="V404" t="n">
        <v>4675.12112</v>
      </c>
      <c r="W404" t="n">
        <v>4641.55612</v>
      </c>
      <c r="AA404" t="n">
        <v>4694.34</v>
      </c>
      <c r="AB404" t="n">
        <v>4733.19299</v>
      </c>
      <c r="AC404" t="n">
        <v>4730.13028</v>
      </c>
      <c r="AD404" t="n">
        <v>0</v>
      </c>
      <c r="AK404" t="n">
        <v>402</v>
      </c>
      <c r="AL404" t="n">
        <v>401</v>
      </c>
      <c r="AM404" t="n">
        <v>4741.59</v>
      </c>
      <c r="AN404" t="n">
        <v>4710.0609</v>
      </c>
      <c r="AO404" t="n">
        <v>31.5291</v>
      </c>
      <c r="AP404" t="n">
        <v>994.0848</v>
      </c>
      <c r="AQ404" t="n">
        <v>0.7210259999999999</v>
      </c>
      <c r="AR404" t="n">
        <v>0.646548</v>
      </c>
      <c r="AY404" t="n">
        <v>402</v>
      </c>
      <c r="AZ404" t="n">
        <v>401</v>
      </c>
      <c r="BA404" t="n">
        <v>4741.59</v>
      </c>
      <c r="BB404" t="n">
        <v>4710.0609</v>
      </c>
      <c r="BC404" t="n">
        <v>31.5291</v>
      </c>
      <c r="BD404" t="n">
        <v>994.0848</v>
      </c>
      <c r="BE404" t="n">
        <v>160801</v>
      </c>
    </row>
    <row r="405">
      <c r="A405" t="n">
        <v>1776904202</v>
      </c>
      <c r="B405" t="inlineStr">
        <is>
          <t>XAUUSD</t>
        </is>
      </c>
      <c r="C405" t="inlineStr">
        <is>
          <t>M15</t>
        </is>
      </c>
      <c r="D405" t="n">
        <v>4744.84</v>
      </c>
      <c r="E405" t="n">
        <v>4518.59282</v>
      </c>
      <c r="F405" t="n">
        <v>4596.05595</v>
      </c>
      <c r="G405" t="n">
        <v>4755.40355</v>
      </c>
      <c r="H405" t="n">
        <v>4792.76972</v>
      </c>
      <c r="Q405" t="n">
        <v>4709.79328</v>
      </c>
      <c r="R405" t="n">
        <v>4739.15658</v>
      </c>
      <c r="S405" t="n">
        <v>4765.74535</v>
      </c>
      <c r="V405" t="n">
        <v>4674.85351</v>
      </c>
      <c r="W405" t="n">
        <v>4641.28852</v>
      </c>
      <c r="AB405" t="n">
        <v>4736.52253</v>
      </c>
      <c r="AC405" t="n">
        <v>4733.32641</v>
      </c>
      <c r="AD405" t="n">
        <v>0</v>
      </c>
      <c r="AK405" t="n">
        <v>403</v>
      </c>
      <c r="AL405" t="n">
        <v>402</v>
      </c>
      <c r="AM405" t="n">
        <v>4744.84</v>
      </c>
      <c r="AN405" t="n">
        <v>4709.7933</v>
      </c>
      <c r="AO405" t="n">
        <v>35.0467</v>
      </c>
      <c r="AP405" t="n">
        <v>1228.2726</v>
      </c>
      <c r="AQ405" t="n">
        <v>0.990279</v>
      </c>
      <c r="AR405" t="n">
        <v>0.98706</v>
      </c>
      <c r="AY405" t="n">
        <v>403</v>
      </c>
      <c r="AZ405" t="n">
        <v>402</v>
      </c>
      <c r="BA405" t="n">
        <v>4744.84</v>
      </c>
      <c r="BB405" t="n">
        <v>4709.7933</v>
      </c>
      <c r="BC405" t="n">
        <v>35.0467</v>
      </c>
      <c r="BD405" t="n">
        <v>1228.2726</v>
      </c>
      <c r="BE405" t="n">
        <v>161604</v>
      </c>
    </row>
    <row r="406">
      <c r="A406" t="n">
        <v>1776905102</v>
      </c>
      <c r="B406" t="inlineStr">
        <is>
          <t>XAUUSD</t>
        </is>
      </c>
      <c r="C406" t="inlineStr">
        <is>
          <t>M15</t>
        </is>
      </c>
      <c r="D406" t="n">
        <v>4748.05</v>
      </c>
      <c r="E406" t="n">
        <v>4518.59282</v>
      </c>
      <c r="F406" t="n">
        <v>4596.05595</v>
      </c>
      <c r="G406" t="n">
        <v>4755.40355</v>
      </c>
      <c r="H406" t="n">
        <v>4792.76972</v>
      </c>
      <c r="Q406" t="n">
        <v>4709.52568</v>
      </c>
      <c r="R406" t="n">
        <v>4738.88898</v>
      </c>
      <c r="S406" t="n">
        <v>4765.47775</v>
      </c>
      <c r="V406" t="n">
        <v>4674.58591</v>
      </c>
      <c r="W406" t="n">
        <v>4641.02091</v>
      </c>
      <c r="Z406" t="n">
        <v>4753.33</v>
      </c>
      <c r="AB406" t="n">
        <v>4738.03398</v>
      </c>
      <c r="AC406" t="n">
        <v>4735.68019</v>
      </c>
      <c r="AD406" t="n">
        <v>0</v>
      </c>
      <c r="AK406" t="n">
        <v>404</v>
      </c>
      <c r="AL406" t="n">
        <v>403</v>
      </c>
      <c r="AM406" t="n">
        <v>4748.05</v>
      </c>
      <c r="AN406" t="n">
        <v>4709.5257</v>
      </c>
      <c r="AO406" t="n">
        <v>38.5243</v>
      </c>
      <c r="AP406" t="n">
        <v>1484.1232</v>
      </c>
      <c r="AQ406" t="n">
        <v>1.315287</v>
      </c>
      <c r="AR406" t="n">
        <v>1.4411</v>
      </c>
      <c r="AY406" t="n">
        <v>404</v>
      </c>
      <c r="AZ406" t="n">
        <v>403</v>
      </c>
      <c r="BA406" t="n">
        <v>4748.05</v>
      </c>
      <c r="BB406" t="n">
        <v>4709.5257</v>
      </c>
      <c r="BC406" t="n">
        <v>38.5243</v>
      </c>
      <c r="BD406" t="n">
        <v>1484.1232</v>
      </c>
      <c r="BE406" t="n">
        <v>162409</v>
      </c>
    </row>
    <row r="407">
      <c r="A407" t="n">
        <v>1776906002</v>
      </c>
      <c r="B407" t="inlineStr">
        <is>
          <t>XAUUSD</t>
        </is>
      </c>
      <c r="C407" t="inlineStr">
        <is>
          <t>M15</t>
        </is>
      </c>
      <c r="D407" t="n">
        <v>4737</v>
      </c>
      <c r="E407" t="n">
        <v>4518.59282</v>
      </c>
      <c r="F407" t="n">
        <v>4596.05595</v>
      </c>
      <c r="G407" t="n">
        <v>4755.40355</v>
      </c>
      <c r="H407" t="n">
        <v>4792.76972</v>
      </c>
      <c r="Q407" t="n">
        <v>4709.25807</v>
      </c>
      <c r="R407" t="n">
        <v>4738.62137</v>
      </c>
      <c r="S407" t="n">
        <v>4765.21014</v>
      </c>
      <c r="V407" t="n">
        <v>4674.3183</v>
      </c>
      <c r="W407" t="n">
        <v>4640.75331</v>
      </c>
      <c r="AB407" t="n">
        <v>4737.12096</v>
      </c>
      <c r="AC407" t="n">
        <v>4736.40058</v>
      </c>
      <c r="AD407" t="n">
        <v>0</v>
      </c>
      <c r="AK407" t="n">
        <v>405</v>
      </c>
      <c r="AL407" t="n">
        <v>404</v>
      </c>
      <c r="AM407" t="n">
        <v>4737</v>
      </c>
      <c r="AN407" t="n">
        <v>4709.2581</v>
      </c>
      <c r="AO407" t="n">
        <v>27.7419</v>
      </c>
      <c r="AP407" t="n">
        <v>769.6147</v>
      </c>
      <c r="AQ407" t="n">
        <v>0.491163</v>
      </c>
      <c r="AR407" t="n">
        <v>0.387526</v>
      </c>
      <c r="AY407" t="n">
        <v>405</v>
      </c>
      <c r="AZ407" t="n">
        <v>404</v>
      </c>
      <c r="BA407" t="n">
        <v>4737</v>
      </c>
      <c r="BB407" t="n">
        <v>4709.2581</v>
      </c>
      <c r="BC407" t="n">
        <v>27.7419</v>
      </c>
      <c r="BD407" t="n">
        <v>769.6147</v>
      </c>
      <c r="BE407" t="n">
        <v>163216</v>
      </c>
    </row>
    <row r="408">
      <c r="A408" t="n">
        <v>1776906902</v>
      </c>
      <c r="B408" t="inlineStr">
        <is>
          <t>XAUUSD</t>
        </is>
      </c>
      <c r="C408" t="inlineStr">
        <is>
          <t>M15</t>
        </is>
      </c>
      <c r="D408" t="n">
        <v>4728.26</v>
      </c>
      <c r="E408" t="n">
        <v>4518.59282</v>
      </c>
      <c r="F408" t="n">
        <v>4596.05595</v>
      </c>
      <c r="G408" t="n">
        <v>4755.40355</v>
      </c>
      <c r="H408" t="n">
        <v>4792.76972</v>
      </c>
      <c r="Q408" t="n">
        <v>4708.99047</v>
      </c>
      <c r="R408" t="n">
        <v>4738.35377</v>
      </c>
      <c r="S408" t="n">
        <v>4764.94254</v>
      </c>
      <c r="V408" t="n">
        <v>4674.0507</v>
      </c>
      <c r="W408" t="n">
        <v>4640.4857</v>
      </c>
      <c r="AB408" t="n">
        <v>4733.97211</v>
      </c>
      <c r="AC408" t="n">
        <v>4735.18634</v>
      </c>
      <c r="AD408" t="n">
        <v>1</v>
      </c>
      <c r="AK408" t="n">
        <v>406</v>
      </c>
      <c r="AL408" t="n">
        <v>405</v>
      </c>
      <c r="AM408" t="n">
        <v>4728.26</v>
      </c>
      <c r="AN408" t="n">
        <v>4708.9905</v>
      </c>
      <c r="AO408" t="n">
        <v>19.2695</v>
      </c>
      <c r="AP408" t="n">
        <v>371.3148</v>
      </c>
      <c r="AQ408" t="n">
        <v>0.1646</v>
      </c>
      <c r="AR408" t="n">
        <v>0.090207</v>
      </c>
      <c r="AY408" t="n">
        <v>406</v>
      </c>
      <c r="AZ408" t="n">
        <v>405</v>
      </c>
      <c r="BA408" t="n">
        <v>4728.26</v>
      </c>
      <c r="BB408" t="n">
        <v>4708.9905</v>
      </c>
      <c r="BC408" t="n">
        <v>19.2695</v>
      </c>
      <c r="BD408" t="n">
        <v>371.3148</v>
      </c>
      <c r="BE408" t="n">
        <v>164025</v>
      </c>
    </row>
    <row r="409">
      <c r="A409" t="n">
        <v>1776907802</v>
      </c>
      <c r="B409" t="inlineStr">
        <is>
          <t>XAUUSD</t>
        </is>
      </c>
      <c r="C409" t="inlineStr">
        <is>
          <t>M15</t>
        </is>
      </c>
      <c r="D409" t="n">
        <v>4733.91</v>
      </c>
      <c r="E409" t="n">
        <v>4518.59282</v>
      </c>
      <c r="F409" t="n">
        <v>4596.05595</v>
      </c>
      <c r="G409" t="n">
        <v>4755.40355</v>
      </c>
      <c r="H409" t="n">
        <v>4792.76972</v>
      </c>
      <c r="Q409" t="n">
        <v>4708.72287</v>
      </c>
      <c r="R409" t="n">
        <v>4738.08617</v>
      </c>
      <c r="S409" t="n">
        <v>4764.67494</v>
      </c>
      <c r="V409" t="n">
        <v>4673.7831</v>
      </c>
      <c r="W409" t="n">
        <v>4640.2181</v>
      </c>
      <c r="AB409" t="n">
        <v>4729.06024</v>
      </c>
      <c r="AC409" t="n">
        <v>4732.12329</v>
      </c>
      <c r="AD409" t="n">
        <v>0</v>
      </c>
      <c r="AK409" t="n">
        <v>407</v>
      </c>
      <c r="AL409" t="n">
        <v>406</v>
      </c>
      <c r="AM409" t="n">
        <v>4733.91</v>
      </c>
      <c r="AN409" t="n">
        <v>4708.7229</v>
      </c>
      <c r="AO409" t="n">
        <v>25.1871</v>
      </c>
      <c r="AP409" t="n">
        <v>634.3915</v>
      </c>
      <c r="AQ409" t="n">
        <v>0.36758</v>
      </c>
      <c r="AR409" t="n">
        <v>0.263311</v>
      </c>
      <c r="AY409" t="n">
        <v>407</v>
      </c>
      <c r="AZ409" t="n">
        <v>406</v>
      </c>
      <c r="BA409" t="n">
        <v>4733.91</v>
      </c>
      <c r="BB409" t="n">
        <v>4708.7229</v>
      </c>
      <c r="BC409" t="n">
        <v>25.1871</v>
      </c>
      <c r="BD409" t="n">
        <v>634.3915</v>
      </c>
      <c r="BE409" t="n">
        <v>164836</v>
      </c>
    </row>
    <row r="410">
      <c r="A410" t="n">
        <v>1776908702</v>
      </c>
      <c r="B410" t="inlineStr">
        <is>
          <t>XAUUSD</t>
        </is>
      </c>
      <c r="C410" t="inlineStr">
        <is>
          <t>M15</t>
        </is>
      </c>
      <c r="D410" t="n">
        <v>4723.33</v>
      </c>
      <c r="E410" t="n">
        <v>4518.59282</v>
      </c>
      <c r="F410" t="n">
        <v>4596.05595</v>
      </c>
      <c r="G410" t="n">
        <v>4755.40355</v>
      </c>
      <c r="H410" t="n">
        <v>4792.76972</v>
      </c>
      <c r="Q410" t="n">
        <v>4708.45526</v>
      </c>
      <c r="R410" t="n">
        <v>4737.81856</v>
      </c>
      <c r="S410" t="n">
        <v>4764.40733</v>
      </c>
      <c r="V410" t="n">
        <v>4673.51549</v>
      </c>
      <c r="W410" t="n">
        <v>4639.9505</v>
      </c>
      <c r="AB410" t="n">
        <v>4722.74552</v>
      </c>
      <c r="AC410" t="n">
        <v>4727.43441</v>
      </c>
      <c r="AD410" t="n">
        <v>0</v>
      </c>
      <c r="AK410" t="n">
        <v>408</v>
      </c>
      <c r="AL410" t="n">
        <v>407</v>
      </c>
      <c r="AM410" t="n">
        <v>4723.33</v>
      </c>
      <c r="AN410" t="n">
        <v>4708.4553</v>
      </c>
      <c r="AO410" t="n">
        <v>14.8747</v>
      </c>
      <c r="AP410" t="n">
        <v>221.2579</v>
      </c>
      <c r="AQ410" t="n">
        <v>0.075712</v>
      </c>
      <c r="AR410" t="n">
        <v>0.03203</v>
      </c>
      <c r="AY410" t="n">
        <v>408</v>
      </c>
      <c r="AZ410" t="n">
        <v>407</v>
      </c>
      <c r="BA410" t="n">
        <v>4723.33</v>
      </c>
      <c r="BB410" t="n">
        <v>4708.4553</v>
      </c>
      <c r="BC410" t="n">
        <v>14.8747</v>
      </c>
      <c r="BD410" t="n">
        <v>221.2579</v>
      </c>
      <c r="BE410" t="n">
        <v>165649</v>
      </c>
    </row>
    <row r="411">
      <c r="A411" t="n">
        <v>1776909602</v>
      </c>
      <c r="B411" t="inlineStr">
        <is>
          <t>XAUUSD</t>
        </is>
      </c>
      <c r="C411" t="inlineStr">
        <is>
          <t>M15</t>
        </is>
      </c>
      <c r="D411" t="n">
        <v>4707.19</v>
      </c>
      <c r="E411" t="n">
        <v>4518.59282</v>
      </c>
      <c r="F411" t="n">
        <v>4596.05595</v>
      </c>
      <c r="G411" t="n">
        <v>4755.40355</v>
      </c>
      <c r="H411" t="n">
        <v>4792.76972</v>
      </c>
      <c r="Q411" t="n">
        <v>4708.18766</v>
      </c>
      <c r="R411" t="n">
        <v>4737.55096</v>
      </c>
      <c r="S411" t="n">
        <v>4764.13973</v>
      </c>
      <c r="V411" t="n">
        <v>4673.24789</v>
      </c>
      <c r="W411" t="n">
        <v>4639.68289</v>
      </c>
      <c r="AB411" t="n">
        <v>4716.00944</v>
      </c>
      <c r="AC411" t="n">
        <v>4721.72192</v>
      </c>
      <c r="AD411" t="n">
        <v>0</v>
      </c>
      <c r="AK411" t="n">
        <v>409</v>
      </c>
      <c r="AL411" t="n">
        <v>408</v>
      </c>
      <c r="AM411" t="n">
        <v>4707.19</v>
      </c>
      <c r="AN411" t="n">
        <v>4708.1877</v>
      </c>
      <c r="AO411" t="n">
        <v>-0.9977</v>
      </c>
      <c r="AP411" t="n">
        <v>0.9953</v>
      </c>
      <c r="AQ411" t="n">
        <v>-2.3e-05</v>
      </c>
      <c r="AR411" t="n">
        <v>1e-06</v>
      </c>
      <c r="AY411" t="n">
        <v>409</v>
      </c>
      <c r="AZ411" t="n">
        <v>408</v>
      </c>
      <c r="BA411" t="n">
        <v>4707.19</v>
      </c>
      <c r="BB411" t="n">
        <v>4708.1877</v>
      </c>
      <c r="BC411" t="n">
        <v>-0.9977</v>
      </c>
      <c r="BD411" t="n">
        <v>0.9953</v>
      </c>
      <c r="BE411" t="n">
        <v>166464</v>
      </c>
    </row>
    <row r="412">
      <c r="A412" t="n">
        <v>1776910502</v>
      </c>
      <c r="B412" t="inlineStr">
        <is>
          <t>XAUUSD</t>
        </is>
      </c>
      <c r="C412" t="inlineStr">
        <is>
          <t>M15</t>
        </is>
      </c>
      <c r="D412" t="n">
        <v>4714.1</v>
      </c>
      <c r="E412" t="n">
        <v>4518.59282</v>
      </c>
      <c r="F412" t="n">
        <v>4596.05595</v>
      </c>
      <c r="G412" t="n">
        <v>4755.40355</v>
      </c>
      <c r="H412" t="n">
        <v>4792.76972</v>
      </c>
      <c r="Q412" t="n">
        <v>4707.92005</v>
      </c>
      <c r="R412" t="n">
        <v>4737.28335</v>
      </c>
      <c r="S412" t="n">
        <v>4763.87212</v>
      </c>
      <c r="V412" t="n">
        <v>4672.98028</v>
      </c>
      <c r="W412" t="n">
        <v>4639.41529</v>
      </c>
      <c r="AB412" t="n">
        <v>4710.01029</v>
      </c>
      <c r="AC412" t="n">
        <v>4715.8661</v>
      </c>
      <c r="AD412" t="n">
        <v>0</v>
      </c>
      <c r="AK412" t="n">
        <v>410</v>
      </c>
      <c r="AL412" t="n">
        <v>409</v>
      </c>
      <c r="AM412" t="n">
        <v>4714.1</v>
      </c>
      <c r="AN412" t="n">
        <v>4707.92</v>
      </c>
      <c r="AO412" t="n">
        <v>6.18</v>
      </c>
      <c r="AP412" t="n">
        <v>38.1918</v>
      </c>
      <c r="AQ412" t="n">
        <v>0.00543</v>
      </c>
      <c r="AR412" t="n">
        <v>0.000954</v>
      </c>
      <c r="AY412" t="n">
        <v>410</v>
      </c>
      <c r="AZ412" t="n">
        <v>409</v>
      </c>
      <c r="BA412" t="n">
        <v>4714.1</v>
      </c>
      <c r="BB412" t="n">
        <v>4707.92</v>
      </c>
      <c r="BC412" t="n">
        <v>6.18</v>
      </c>
      <c r="BD412" t="n">
        <v>38.1918</v>
      </c>
      <c r="BE412" t="n">
        <v>167281</v>
      </c>
    </row>
    <row r="413">
      <c r="A413" t="n">
        <v>1776911402</v>
      </c>
      <c r="B413" t="inlineStr">
        <is>
          <t>XAUUSD</t>
        </is>
      </c>
      <c r="C413" t="inlineStr">
        <is>
          <t>M15</t>
        </is>
      </c>
      <c r="D413" t="n">
        <v>4701.42</v>
      </c>
      <c r="E413" t="n">
        <v>4518.59282</v>
      </c>
      <c r="F413" t="n">
        <v>4596.05595</v>
      </c>
      <c r="G413" t="n">
        <v>4755.40355</v>
      </c>
      <c r="H413" t="n">
        <v>4792.76972</v>
      </c>
      <c r="Q413" t="n">
        <v>4707.65245</v>
      </c>
      <c r="R413" t="n">
        <v>4737.01575</v>
      </c>
      <c r="S413" t="n">
        <v>4763.60452</v>
      </c>
      <c r="V413" t="n">
        <v>4672.71268</v>
      </c>
      <c r="W413" t="n">
        <v>4639.14768</v>
      </c>
      <c r="AB413" t="n">
        <v>4705.12454</v>
      </c>
      <c r="AC413" t="n">
        <v>4710.49532</v>
      </c>
      <c r="AD413" t="n">
        <v>0</v>
      </c>
      <c r="AK413" t="n">
        <v>411</v>
      </c>
      <c r="AL413" t="n">
        <v>410</v>
      </c>
      <c r="AM413" t="n">
        <v>4701.42</v>
      </c>
      <c r="AN413" t="n">
        <v>4707.6524</v>
      </c>
      <c r="AO413" t="n">
        <v>-6.2324</v>
      </c>
      <c r="AP413" t="n">
        <v>38.8434</v>
      </c>
      <c r="AQ413" t="n">
        <v>-0.005569</v>
      </c>
      <c r="AR413" t="n">
        <v>0.000987</v>
      </c>
      <c r="AY413" t="n">
        <v>411</v>
      </c>
      <c r="AZ413" t="n">
        <v>410</v>
      </c>
      <c r="BA413" t="n">
        <v>4701.42</v>
      </c>
      <c r="BB413" t="n">
        <v>4707.6524</v>
      </c>
      <c r="BC413" t="n">
        <v>-6.2324</v>
      </c>
      <c r="BD413" t="n">
        <v>38.8434</v>
      </c>
      <c r="BE413" t="n">
        <v>168100</v>
      </c>
    </row>
    <row r="414">
      <c r="A414" t="n">
        <v>1776912302</v>
      </c>
      <c r="B414" t="inlineStr">
        <is>
          <t>XAUUSD</t>
        </is>
      </c>
      <c r="C414" t="inlineStr">
        <is>
          <t>M15</t>
        </is>
      </c>
      <c r="D414" t="n">
        <v>4699.23</v>
      </c>
      <c r="E414" t="n">
        <v>4518.59282</v>
      </c>
      <c r="F414" t="n">
        <v>4596.05595</v>
      </c>
      <c r="G414" t="n">
        <v>4755.40355</v>
      </c>
      <c r="H414" t="n">
        <v>4792.76972</v>
      </c>
      <c r="Q414" t="n">
        <v>4707.38485</v>
      </c>
      <c r="R414" t="n">
        <v>4736.74815</v>
      </c>
      <c r="S414" t="n">
        <v>4763.33692</v>
      </c>
      <c r="V414" t="n">
        <v>4672.44508</v>
      </c>
      <c r="W414" t="n">
        <v>4638.88008</v>
      </c>
      <c r="AB414" t="n">
        <v>4702.01564</v>
      </c>
      <c r="AC414" t="n">
        <v>4706.25548</v>
      </c>
      <c r="AD414" t="n">
        <v>0</v>
      </c>
      <c r="AK414" t="n">
        <v>412</v>
      </c>
      <c r="AL414" t="n">
        <v>411</v>
      </c>
      <c r="AM414" t="n">
        <v>4699.23</v>
      </c>
      <c r="AN414" t="n">
        <v>4707.3849</v>
      </c>
      <c r="AO414" t="n">
        <v>-8.1549</v>
      </c>
      <c r="AP414" t="n">
        <v>66.5016</v>
      </c>
      <c r="AQ414" t="n">
        <v>-0.012476</v>
      </c>
      <c r="AR414" t="n">
        <v>0.002893</v>
      </c>
      <c r="AY414" t="n">
        <v>412</v>
      </c>
      <c r="AZ414" t="n">
        <v>411</v>
      </c>
      <c r="BA414" t="n">
        <v>4699.23</v>
      </c>
      <c r="BB414" t="n">
        <v>4707.3849</v>
      </c>
      <c r="BC414" t="n">
        <v>-8.1549</v>
      </c>
      <c r="BD414" t="n">
        <v>66.5016</v>
      </c>
      <c r="BE414" t="n">
        <v>168921</v>
      </c>
    </row>
    <row r="415">
      <c r="A415" t="n">
        <v>1776913202</v>
      </c>
      <c r="B415" t="inlineStr">
        <is>
          <t>XAUUSD</t>
        </is>
      </c>
      <c r="C415" t="inlineStr">
        <is>
          <t>M15</t>
        </is>
      </c>
      <c r="D415" t="n">
        <v>4702.06</v>
      </c>
      <c r="E415" t="n">
        <v>4518.59282</v>
      </c>
      <c r="F415" t="n">
        <v>4596.05595</v>
      </c>
      <c r="G415" t="n">
        <v>4755.40355</v>
      </c>
      <c r="H415" t="n">
        <v>4792.76972</v>
      </c>
      <c r="Q415" t="n">
        <v>4707.11724</v>
      </c>
      <c r="R415" t="n">
        <v>4736.48054</v>
      </c>
      <c r="S415" t="n">
        <v>4763.06931</v>
      </c>
      <c r="V415" t="n">
        <v>4672.17747</v>
      </c>
      <c r="W415" t="n">
        <v>4638.61248</v>
      </c>
      <c r="AB415" t="n">
        <v>4700.73951</v>
      </c>
      <c r="AC415" t="n">
        <v>4703.4975</v>
      </c>
      <c r="AD415" t="n">
        <v>0</v>
      </c>
      <c r="AK415" t="n">
        <v>413</v>
      </c>
      <c r="AL415" t="n">
        <v>412</v>
      </c>
      <c r="AM415" t="n">
        <v>4702.06</v>
      </c>
      <c r="AN415" t="n">
        <v>4707.1172</v>
      </c>
      <c r="AO415" t="n">
        <v>-5.0572</v>
      </c>
      <c r="AP415" t="n">
        <v>25.5757</v>
      </c>
      <c r="AQ415" t="n">
        <v>-0.002975</v>
      </c>
      <c r="AR415" t="n">
        <v>0.000428</v>
      </c>
      <c r="AY415" t="n">
        <v>413</v>
      </c>
      <c r="AZ415" t="n">
        <v>412</v>
      </c>
      <c r="BA415" t="n">
        <v>4702.06</v>
      </c>
      <c r="BB415" t="n">
        <v>4707.1172</v>
      </c>
      <c r="BC415" t="n">
        <v>-5.0572</v>
      </c>
      <c r="BD415" t="n">
        <v>25.5757</v>
      </c>
      <c r="BE415" t="n">
        <v>169744</v>
      </c>
    </row>
    <row r="416">
      <c r="A416" t="n">
        <v>1776914102</v>
      </c>
      <c r="B416" t="inlineStr">
        <is>
          <t>XAUUSD</t>
        </is>
      </c>
      <c r="C416" t="inlineStr">
        <is>
          <t>M15</t>
        </is>
      </c>
      <c r="D416" t="n">
        <v>4703.22</v>
      </c>
      <c r="E416" t="n">
        <v>4518.59282</v>
      </c>
      <c r="F416" t="n">
        <v>4596.05595</v>
      </c>
      <c r="G416" t="n">
        <v>4755.40355</v>
      </c>
      <c r="H416" t="n">
        <v>4792.76972</v>
      </c>
      <c r="Q416" t="n">
        <v>4706.84964</v>
      </c>
      <c r="R416" t="n">
        <v>4736.21294</v>
      </c>
      <c r="S416" t="n">
        <v>4762.80171</v>
      </c>
      <c r="V416" t="n">
        <v>4671.90987</v>
      </c>
      <c r="W416" t="n">
        <v>4638.34487</v>
      </c>
      <c r="AB416" t="n">
        <v>4700.88109</v>
      </c>
      <c r="AC416" t="n">
        <v>4702.18929</v>
      </c>
      <c r="AD416" t="n">
        <v>0</v>
      </c>
      <c r="AK416" t="n">
        <v>414</v>
      </c>
      <c r="AL416" t="n">
        <v>413</v>
      </c>
      <c r="AM416" t="n">
        <v>4703.22</v>
      </c>
      <c r="AN416" t="n">
        <v>4706.8496</v>
      </c>
      <c r="AO416" t="n">
        <v>-3.6296</v>
      </c>
      <c r="AP416" t="n">
        <v>13.1743</v>
      </c>
      <c r="AQ416" t="n">
        <v>-0.0011</v>
      </c>
      <c r="AR416" t="n">
        <v>0.000114</v>
      </c>
      <c r="AY416" t="n">
        <v>414</v>
      </c>
      <c r="AZ416" t="n">
        <v>413</v>
      </c>
      <c r="BA416" t="n">
        <v>4703.22</v>
      </c>
      <c r="BB416" t="n">
        <v>4706.8496</v>
      </c>
      <c r="BC416" t="n">
        <v>-3.6296</v>
      </c>
      <c r="BD416" t="n">
        <v>13.1743</v>
      </c>
      <c r="BE416" t="n">
        <v>170569</v>
      </c>
    </row>
    <row r="417">
      <c r="A417" t="n">
        <v>1776915002</v>
      </c>
      <c r="B417" t="inlineStr">
        <is>
          <t>XAUUSD</t>
        </is>
      </c>
      <c r="C417" t="inlineStr">
        <is>
          <t>M15</t>
        </is>
      </c>
      <c r="D417" t="n">
        <v>4704.99</v>
      </c>
      <c r="E417" t="n">
        <v>4518.59282</v>
      </c>
      <c r="F417" t="n">
        <v>4596.05595</v>
      </c>
      <c r="G417" t="n">
        <v>4755.40355</v>
      </c>
      <c r="H417" t="n">
        <v>4792.76972</v>
      </c>
      <c r="Q417" t="n">
        <v>4706.58203</v>
      </c>
      <c r="R417" t="n">
        <v>4735.94533</v>
      </c>
      <c r="S417" t="n">
        <v>4762.5341</v>
      </c>
      <c r="V417" t="n">
        <v>4671.64226</v>
      </c>
      <c r="W417" t="n">
        <v>4638.07727</v>
      </c>
      <c r="AB417" t="n">
        <v>4701.90823</v>
      </c>
      <c r="AC417" t="n">
        <v>4702.04876</v>
      </c>
      <c r="AD417" t="n">
        <v>0</v>
      </c>
      <c r="AK417" t="n">
        <v>415</v>
      </c>
      <c r="AL417" t="n">
        <v>414</v>
      </c>
      <c r="AM417" t="n">
        <v>4704.99</v>
      </c>
      <c r="AN417" t="n">
        <v>4706.582</v>
      </c>
      <c r="AO417" t="n">
        <v>-1.592</v>
      </c>
      <c r="AP417" t="n">
        <v>2.5346</v>
      </c>
      <c r="AQ417" t="n">
        <v>-9.3e-05</v>
      </c>
      <c r="AR417" t="n">
        <v>4e-06</v>
      </c>
      <c r="AY417" t="n">
        <v>415</v>
      </c>
      <c r="AZ417" t="n">
        <v>414</v>
      </c>
      <c r="BA417" t="n">
        <v>4704.99</v>
      </c>
      <c r="BB417" t="n">
        <v>4706.582</v>
      </c>
      <c r="BC417" t="n">
        <v>-1.592</v>
      </c>
      <c r="BD417" t="n">
        <v>2.5346</v>
      </c>
      <c r="BE417" t="n">
        <v>171396</v>
      </c>
    </row>
    <row r="418">
      <c r="A418" t="n">
        <v>1776915902</v>
      </c>
      <c r="B418" t="inlineStr">
        <is>
          <t>XAUUSD</t>
        </is>
      </c>
      <c r="C418" t="inlineStr">
        <is>
          <t>M15</t>
        </is>
      </c>
      <c r="D418" t="n">
        <v>4704.1</v>
      </c>
      <c r="E418" t="n">
        <v>4518.59282</v>
      </c>
      <c r="F418" t="n">
        <v>4596.05595</v>
      </c>
      <c r="G418" t="n">
        <v>4755.40355</v>
      </c>
      <c r="H418" t="n">
        <v>4792.76972</v>
      </c>
      <c r="Q418" t="n">
        <v>4706.31443</v>
      </c>
      <c r="R418" t="n">
        <v>4735.67773</v>
      </c>
      <c r="S418" t="n">
        <v>4762.2665</v>
      </c>
      <c r="V418" t="n">
        <v>4671.37466</v>
      </c>
      <c r="W418" t="n">
        <v>4637.80966</v>
      </c>
      <c r="AB418" t="n">
        <v>4703.26299</v>
      </c>
      <c r="AC418" t="n">
        <v>4702.65587</v>
      </c>
      <c r="AD418" t="n">
        <v>1</v>
      </c>
      <c r="AK418" t="n">
        <v>416</v>
      </c>
      <c r="AL418" t="n">
        <v>415</v>
      </c>
      <c r="AM418" t="n">
        <v>4704.1</v>
      </c>
      <c r="AN418" t="n">
        <v>4706.3144</v>
      </c>
      <c r="AO418" t="n">
        <v>-2.2144</v>
      </c>
      <c r="AP418" t="n">
        <v>4.9037</v>
      </c>
      <c r="AQ418" t="n">
        <v>-0.00025</v>
      </c>
      <c r="AR418" t="n">
        <v>1.6e-05</v>
      </c>
      <c r="AY418" t="n">
        <v>416</v>
      </c>
      <c r="AZ418" t="n">
        <v>415</v>
      </c>
      <c r="BA418" t="n">
        <v>4704.1</v>
      </c>
      <c r="BB418" t="n">
        <v>4706.3144</v>
      </c>
      <c r="BC418" t="n">
        <v>-2.2144</v>
      </c>
      <c r="BD418" t="n">
        <v>4.9037</v>
      </c>
      <c r="BE418" t="n">
        <v>172225</v>
      </c>
    </row>
    <row r="419">
      <c r="A419" t="n">
        <v>1776916802</v>
      </c>
      <c r="B419" t="inlineStr">
        <is>
          <t>XAUUSD</t>
        </is>
      </c>
      <c r="C419" t="inlineStr">
        <is>
          <t>M15</t>
        </is>
      </c>
      <c r="D419" t="n">
        <v>4706.25</v>
      </c>
      <c r="E419" t="n">
        <v>4518.59282</v>
      </c>
      <c r="F419" t="n">
        <v>4596.05595</v>
      </c>
      <c r="G419" t="n">
        <v>4755.40355</v>
      </c>
      <c r="H419" t="n">
        <v>4792.76972</v>
      </c>
      <c r="Q419" t="n">
        <v>4706.04683</v>
      </c>
      <c r="R419" t="n">
        <v>4735.41012</v>
      </c>
      <c r="S419" t="n">
        <v>4761.9989</v>
      </c>
      <c r="V419" t="n">
        <v>4671.10706</v>
      </c>
      <c r="W419" t="n">
        <v>4637.54206</v>
      </c>
      <c r="AB419" t="n">
        <v>4704.53773</v>
      </c>
      <c r="AC419" t="n">
        <v>4703.5968</v>
      </c>
      <c r="AD419" t="n">
        <v>0</v>
      </c>
      <c r="AK419" t="n">
        <v>417</v>
      </c>
      <c r="AL419" t="n">
        <v>416</v>
      </c>
      <c r="AM419" t="n">
        <v>4706.25</v>
      </c>
      <c r="AN419" t="n">
        <v>4706.0468</v>
      </c>
      <c r="AO419" t="n">
        <v>0.2032</v>
      </c>
      <c r="AP419" t="n">
        <v>0.0413</v>
      </c>
      <c r="AQ419" t="n">
        <v>0</v>
      </c>
      <c r="AR419" t="n">
        <v>0</v>
      </c>
      <c r="AY419" t="n">
        <v>417</v>
      </c>
      <c r="AZ419" t="n">
        <v>416</v>
      </c>
      <c r="BA419" t="n">
        <v>4706.25</v>
      </c>
      <c r="BB419" t="n">
        <v>4706.0468</v>
      </c>
      <c r="BC419" t="n">
        <v>0.2032</v>
      </c>
      <c r="BD419" t="n">
        <v>0.0413</v>
      </c>
      <c r="BE419" t="n">
        <v>173056</v>
      </c>
    </row>
    <row r="420">
      <c r="A420" t="n">
        <v>1776917702</v>
      </c>
      <c r="B420" t="inlineStr">
        <is>
          <t>XAUUSD</t>
        </is>
      </c>
      <c r="C420" t="inlineStr">
        <is>
          <t>M15</t>
        </is>
      </c>
      <c r="D420" t="n">
        <v>4705.73</v>
      </c>
      <c r="E420" t="n">
        <v>4518.59282</v>
      </c>
      <c r="F420" t="n">
        <v>4596.05595</v>
      </c>
      <c r="G420" t="n">
        <v>4755.40355</v>
      </c>
      <c r="H420" t="n">
        <v>4792.76972</v>
      </c>
      <c r="Q420" t="n">
        <v>4705.77922</v>
      </c>
      <c r="R420" t="n">
        <v>4735.14252</v>
      </c>
      <c r="S420" t="n">
        <v>4761.73129</v>
      </c>
      <c r="V420" t="n">
        <v>4670.83945</v>
      </c>
      <c r="W420" t="n">
        <v>4637.27446</v>
      </c>
      <c r="AB420" t="n">
        <v>4705.42947</v>
      </c>
      <c r="AC420" t="n">
        <v>4704.51314</v>
      </c>
      <c r="AD420" t="n">
        <v>0</v>
      </c>
      <c r="AK420" t="n">
        <v>418</v>
      </c>
      <c r="AL420" t="n">
        <v>417</v>
      </c>
      <c r="AM420" t="n">
        <v>4705.73</v>
      </c>
      <c r="AN420" t="n">
        <v>4705.7792</v>
      </c>
      <c r="AO420" t="n">
        <v>-0.0492</v>
      </c>
      <c r="AP420" t="n">
        <v>0.0024</v>
      </c>
      <c r="AQ420" t="n">
        <v>0</v>
      </c>
      <c r="AR420" t="n">
        <v>0</v>
      </c>
      <c r="AY420" t="n">
        <v>418</v>
      </c>
      <c r="AZ420" t="n">
        <v>417</v>
      </c>
      <c r="BA420" t="n">
        <v>4705.73</v>
      </c>
      <c r="BB420" t="n">
        <v>4705.7792</v>
      </c>
      <c r="BC420" t="n">
        <v>-0.0492</v>
      </c>
      <c r="BD420" t="n">
        <v>0.0024</v>
      </c>
      <c r="BE420" t="n">
        <v>173889</v>
      </c>
    </row>
    <row r="421">
      <c r="A421" t="n">
        <v>1776918602</v>
      </c>
      <c r="B421" t="inlineStr">
        <is>
          <t>XAUUSD</t>
        </is>
      </c>
      <c r="C421" t="inlineStr">
        <is>
          <t>M15</t>
        </is>
      </c>
      <c r="D421" t="n">
        <v>4701.88</v>
      </c>
      <c r="E421" t="n">
        <v>4518.59282</v>
      </c>
      <c r="F421" t="n">
        <v>4596.05595</v>
      </c>
      <c r="G421" t="n">
        <v>4755.40355</v>
      </c>
      <c r="H421" t="n">
        <v>4792.76972</v>
      </c>
      <c r="Q421" t="n">
        <v>4705.51162</v>
      </c>
      <c r="R421" t="n">
        <v>4734.87492</v>
      </c>
      <c r="S421" t="n">
        <v>4761.46369</v>
      </c>
      <c r="V421" t="n">
        <v>4670.57185</v>
      </c>
      <c r="W421" t="n">
        <v>4637.00685</v>
      </c>
      <c r="AB421" t="n">
        <v>4705.88832</v>
      </c>
      <c r="AC421" t="n">
        <v>4705.20073</v>
      </c>
      <c r="AD421" t="n">
        <v>0</v>
      </c>
      <c r="AK421" t="n">
        <v>419</v>
      </c>
      <c r="AL421" t="n">
        <v>418</v>
      </c>
      <c r="AM421" t="n">
        <v>4701.88</v>
      </c>
      <c r="AN421" t="n">
        <v>4705.5116</v>
      </c>
      <c r="AO421" t="n">
        <v>-3.6316</v>
      </c>
      <c r="AP421" t="n">
        <v>13.1887</v>
      </c>
      <c r="AQ421" t="n">
        <v>-0.001102</v>
      </c>
      <c r="AR421" t="n">
        <v>0.000114</v>
      </c>
      <c r="AY421" t="n">
        <v>419</v>
      </c>
      <c r="AZ421" t="n">
        <v>418</v>
      </c>
      <c r="BA421" t="n">
        <v>4701.88</v>
      </c>
      <c r="BB421" t="n">
        <v>4705.5116</v>
      </c>
      <c r="BC421" t="n">
        <v>-3.6316</v>
      </c>
      <c r="BD421" t="n">
        <v>13.1887</v>
      </c>
      <c r="BE421" t="n">
        <v>174724</v>
      </c>
    </row>
    <row r="422">
      <c r="A422" t="n">
        <v>1776919502</v>
      </c>
      <c r="B422" t="inlineStr">
        <is>
          <t>XAUUSD</t>
        </is>
      </c>
      <c r="C422" t="inlineStr">
        <is>
          <t>M15</t>
        </is>
      </c>
      <c r="D422" t="n">
        <v>4704.35</v>
      </c>
      <c r="E422" t="n">
        <v>4518.59282</v>
      </c>
      <c r="F422" t="n">
        <v>4596.05595</v>
      </c>
      <c r="G422" t="n">
        <v>4755.40355</v>
      </c>
      <c r="H422" t="n">
        <v>4792.76972</v>
      </c>
      <c r="Q422" t="n">
        <v>4705.24401</v>
      </c>
      <c r="R422" t="n">
        <v>4734.60731</v>
      </c>
      <c r="S422" t="n">
        <v>4761.19608</v>
      </c>
      <c r="V422" t="n">
        <v>4670.30424</v>
      </c>
      <c r="W422" t="n">
        <v>4636.73925</v>
      </c>
      <c r="AB422" t="n">
        <v>4706.15433</v>
      </c>
      <c r="AC422" t="n">
        <v>4705.67753</v>
      </c>
      <c r="AD422" t="n">
        <v>0</v>
      </c>
      <c r="AK422" t="n">
        <v>420</v>
      </c>
      <c r="AL422" t="n">
        <v>419</v>
      </c>
      <c r="AM422" t="n">
        <v>4704.35</v>
      </c>
      <c r="AN422" t="n">
        <v>4705.244</v>
      </c>
      <c r="AO422" t="n">
        <v>-0.894</v>
      </c>
      <c r="AP422" t="n">
        <v>0.7993</v>
      </c>
      <c r="AQ422" t="n">
        <v>-1.6e-05</v>
      </c>
      <c r="AR422" t="n">
        <v>0</v>
      </c>
      <c r="AY422" t="n">
        <v>420</v>
      </c>
      <c r="AZ422" t="n">
        <v>419</v>
      </c>
      <c r="BA422" t="n">
        <v>4704.35</v>
      </c>
      <c r="BB422" t="n">
        <v>4705.244</v>
      </c>
      <c r="BC422" t="n">
        <v>-0.894</v>
      </c>
      <c r="BD422" t="n">
        <v>0.7993</v>
      </c>
      <c r="BE422" t="n">
        <v>175561</v>
      </c>
    </row>
    <row r="423">
      <c r="A423" t="n">
        <v>1776920402</v>
      </c>
      <c r="B423" t="inlineStr">
        <is>
          <t>XAUUSD</t>
        </is>
      </c>
      <c r="C423" t="inlineStr">
        <is>
          <t>M15</t>
        </is>
      </c>
      <c r="D423" t="n">
        <v>4707.71</v>
      </c>
      <c r="E423" t="n">
        <v>4518.59282</v>
      </c>
      <c r="F423" t="n">
        <v>4596.05595</v>
      </c>
      <c r="G423" t="n">
        <v>4755.40355</v>
      </c>
      <c r="H423" t="n">
        <v>4792.76972</v>
      </c>
      <c r="Q423" t="n">
        <v>4704.97641</v>
      </c>
      <c r="R423" t="n">
        <v>4734.33971</v>
      </c>
      <c r="S423" t="n">
        <v>4760.92848</v>
      </c>
      <c r="V423" t="n">
        <v>4670.03664</v>
      </c>
      <c r="W423" t="n">
        <v>4636.47164</v>
      </c>
      <c r="AB423" t="n">
        <v>4706.3814</v>
      </c>
      <c r="AC423" t="n">
        <v>4706.02946</v>
      </c>
      <c r="AD423" t="n">
        <v>0</v>
      </c>
      <c r="AK423" t="n">
        <v>421</v>
      </c>
      <c r="AL423" t="n">
        <v>420</v>
      </c>
      <c r="AM423" t="n">
        <v>4707.71</v>
      </c>
      <c r="AN423" t="n">
        <v>4704.9764</v>
      </c>
      <c r="AO423" t="n">
        <v>2.7336</v>
      </c>
      <c r="AP423" t="n">
        <v>7.4725</v>
      </c>
      <c r="AQ423" t="n">
        <v>0.00047</v>
      </c>
      <c r="AR423" t="n">
        <v>3.7e-05</v>
      </c>
      <c r="AY423" t="n">
        <v>421</v>
      </c>
      <c r="AZ423" t="n">
        <v>420</v>
      </c>
      <c r="BA423" t="n">
        <v>4707.71</v>
      </c>
      <c r="BB423" t="n">
        <v>4704.9764</v>
      </c>
      <c r="BC423" t="n">
        <v>2.7336</v>
      </c>
      <c r="BD423" t="n">
        <v>7.4725</v>
      </c>
      <c r="BE423" t="n">
        <v>176400</v>
      </c>
    </row>
    <row r="424">
      <c r="A424" t="n">
        <v>1776921302</v>
      </c>
      <c r="B424" t="inlineStr">
        <is>
          <t>XAUUSD</t>
        </is>
      </c>
      <c r="C424" t="inlineStr">
        <is>
          <t>M15</t>
        </is>
      </c>
      <c r="D424" t="n">
        <v>4705.92</v>
      </c>
      <c r="E424" t="n">
        <v>4518.59282</v>
      </c>
      <c r="F424" t="n">
        <v>4596.05595</v>
      </c>
      <c r="G424" t="n">
        <v>4755.40355</v>
      </c>
      <c r="H424" t="n">
        <v>4792.76972</v>
      </c>
      <c r="Q424" t="n">
        <v>4704.70881</v>
      </c>
      <c r="R424" t="n">
        <v>4734.0721</v>
      </c>
      <c r="S424" t="n">
        <v>4760.66088</v>
      </c>
      <c r="V424" t="n">
        <v>4669.76904</v>
      </c>
      <c r="W424" t="n">
        <v>4636.20404</v>
      </c>
      <c r="AB424" t="n">
        <v>4706.70367</v>
      </c>
      <c r="AC424" t="n">
        <v>4706.36657</v>
      </c>
      <c r="AD424" t="n">
        <v>0</v>
      </c>
      <c r="AK424" t="n">
        <v>422</v>
      </c>
      <c r="AL424" t="n">
        <v>421</v>
      </c>
      <c r="AM424" t="n">
        <v>4705.92</v>
      </c>
      <c r="AN424" t="n">
        <v>4704.7088</v>
      </c>
      <c r="AO424" t="n">
        <v>1.2112</v>
      </c>
      <c r="AP424" t="n">
        <v>1.467</v>
      </c>
      <c r="AQ424" t="n">
        <v>4.1e-05</v>
      </c>
      <c r="AR424" t="n">
        <v>1e-06</v>
      </c>
      <c r="AY424" t="n">
        <v>422</v>
      </c>
      <c r="AZ424" t="n">
        <v>421</v>
      </c>
      <c r="BA424" t="n">
        <v>4705.92</v>
      </c>
      <c r="BB424" t="n">
        <v>4704.7088</v>
      </c>
      <c r="BC424" t="n">
        <v>1.2112</v>
      </c>
      <c r="BD424" t="n">
        <v>1.467</v>
      </c>
      <c r="BE424" t="n">
        <v>177241</v>
      </c>
    </row>
    <row r="425">
      <c r="A425" t="n">
        <v>1776922202</v>
      </c>
      <c r="B425" t="inlineStr">
        <is>
          <t>XAUUSD</t>
        </is>
      </c>
      <c r="C425" t="inlineStr">
        <is>
          <t>M15</t>
        </is>
      </c>
      <c r="D425" t="n">
        <v>4701.58</v>
      </c>
      <c r="E425" t="n">
        <v>4518.59282</v>
      </c>
      <c r="F425" t="n">
        <v>4596.05595</v>
      </c>
      <c r="G425" t="n">
        <v>4755.40355</v>
      </c>
      <c r="H425" t="n">
        <v>4792.76972</v>
      </c>
      <c r="Q425" t="n">
        <v>4704.4412</v>
      </c>
      <c r="R425" t="n">
        <v>4733.8045</v>
      </c>
      <c r="S425" t="n">
        <v>4760.39327</v>
      </c>
      <c r="V425" t="n">
        <v>4669.50143</v>
      </c>
      <c r="W425" t="n">
        <v>4635.93643</v>
      </c>
      <c r="AA425" t="n">
        <v>4693.06</v>
      </c>
      <c r="AB425" t="n">
        <v>4707.34591</v>
      </c>
      <c r="AC425" t="n">
        <v>4706.85624</v>
      </c>
      <c r="AD425" t="n">
        <v>0</v>
      </c>
      <c r="AK425" t="n">
        <v>423</v>
      </c>
      <c r="AL425" t="n">
        <v>422</v>
      </c>
      <c r="AM425" t="n">
        <v>4701.58</v>
      </c>
      <c r="AN425" t="n">
        <v>4704.4412</v>
      </c>
      <c r="AO425" t="n">
        <v>-2.8612</v>
      </c>
      <c r="AP425" t="n">
        <v>8.186500000000001</v>
      </c>
      <c r="AQ425" t="n">
        <v>-0.000539</v>
      </c>
      <c r="AR425" t="n">
        <v>4.4e-05</v>
      </c>
      <c r="AY425" t="n">
        <v>423</v>
      </c>
      <c r="AZ425" t="n">
        <v>422</v>
      </c>
      <c r="BA425" t="n">
        <v>4701.58</v>
      </c>
      <c r="BB425" t="n">
        <v>4704.4412</v>
      </c>
      <c r="BC425" t="n">
        <v>-2.8612</v>
      </c>
      <c r="BD425" t="n">
        <v>8.186500000000001</v>
      </c>
      <c r="BE425" t="n">
        <v>178084</v>
      </c>
    </row>
    <row r="426">
      <c r="A426" t="n">
        <v>1776923102</v>
      </c>
      <c r="B426" t="inlineStr">
        <is>
          <t>XAUUSD</t>
        </is>
      </c>
      <c r="C426" t="inlineStr">
        <is>
          <t>M15</t>
        </is>
      </c>
      <c r="D426" t="n">
        <v>4713.6</v>
      </c>
      <c r="E426" t="n">
        <v>4518.59282</v>
      </c>
      <c r="F426" t="n">
        <v>4596.05595</v>
      </c>
      <c r="G426" t="n">
        <v>4755.40355</v>
      </c>
      <c r="H426" t="n">
        <v>4792.76972</v>
      </c>
      <c r="Q426" t="n">
        <v>4704.1736</v>
      </c>
      <c r="R426" t="n">
        <v>4733.5369</v>
      </c>
      <c r="S426" t="n">
        <v>4760.12567</v>
      </c>
      <c r="V426" t="n">
        <v>4669.23383</v>
      </c>
      <c r="W426" t="n">
        <v>4635.66883</v>
      </c>
      <c r="AB426" t="n">
        <v>4708.52042</v>
      </c>
      <c r="AC426" t="n">
        <v>4707.68833</v>
      </c>
      <c r="AD426" t="n">
        <v>0</v>
      </c>
      <c r="AK426" t="n">
        <v>424</v>
      </c>
      <c r="AL426" t="n">
        <v>423</v>
      </c>
      <c r="AM426" t="n">
        <v>4713.6</v>
      </c>
      <c r="AN426" t="n">
        <v>4704.1736</v>
      </c>
      <c r="AO426" t="n">
        <v>9.426399999999999</v>
      </c>
      <c r="AP426" t="n">
        <v>88.857</v>
      </c>
      <c r="AQ426" t="n">
        <v>0.019269</v>
      </c>
      <c r="AR426" t="n">
        <v>0.005166</v>
      </c>
      <c r="AY426" t="n">
        <v>424</v>
      </c>
      <c r="AZ426" t="n">
        <v>423</v>
      </c>
      <c r="BA426" t="n">
        <v>4713.6</v>
      </c>
      <c r="BB426" t="n">
        <v>4704.1736</v>
      </c>
      <c r="BC426" t="n">
        <v>9.426399999999999</v>
      </c>
      <c r="BD426" t="n">
        <v>88.857</v>
      </c>
      <c r="BE426" t="n">
        <v>178929</v>
      </c>
    </row>
    <row r="427">
      <c r="A427" t="n">
        <v>1776924002</v>
      </c>
      <c r="B427" t="inlineStr">
        <is>
          <t>XAUUSD</t>
        </is>
      </c>
      <c r="C427" t="inlineStr">
        <is>
          <t>M15</t>
        </is>
      </c>
      <c r="D427" t="n">
        <v>4711.99</v>
      </c>
      <c r="E427" t="n">
        <v>4518.59282</v>
      </c>
      <c r="F427" t="n">
        <v>4596.05595</v>
      </c>
      <c r="G427" t="n">
        <v>4755.40355</v>
      </c>
      <c r="H427" t="n">
        <v>4792.76972</v>
      </c>
      <c r="Q427" t="n">
        <v>4703.90599</v>
      </c>
      <c r="R427" t="n">
        <v>4733.26929</v>
      </c>
      <c r="S427" t="n">
        <v>4759.85806</v>
      </c>
      <c r="V427" t="n">
        <v>4668.96622</v>
      </c>
      <c r="W427" t="n">
        <v>4635.40123</v>
      </c>
      <c r="AB427" t="n">
        <v>4709.83013</v>
      </c>
      <c r="AC427" t="n">
        <v>4708.75923</v>
      </c>
      <c r="AD427" t="n">
        <v>0</v>
      </c>
      <c r="AK427" t="n">
        <v>425</v>
      </c>
      <c r="AL427" t="n">
        <v>424</v>
      </c>
      <c r="AM427" t="n">
        <v>4711.99</v>
      </c>
      <c r="AN427" t="n">
        <v>4703.906</v>
      </c>
      <c r="AO427" t="n">
        <v>8.084</v>
      </c>
      <c r="AP427" t="n">
        <v>65.35120000000001</v>
      </c>
      <c r="AQ427" t="n">
        <v>0.012153</v>
      </c>
      <c r="AR427" t="n">
        <v>0.002794</v>
      </c>
      <c r="AY427" t="n">
        <v>425</v>
      </c>
      <c r="AZ427" t="n">
        <v>424</v>
      </c>
      <c r="BA427" t="n">
        <v>4711.99</v>
      </c>
      <c r="BB427" t="n">
        <v>4703.906</v>
      </c>
      <c r="BC427" t="n">
        <v>8.084</v>
      </c>
      <c r="BD427" t="n">
        <v>65.35120000000001</v>
      </c>
      <c r="BE427" t="n">
        <v>179776</v>
      </c>
    </row>
    <row r="428">
      <c r="A428" t="n">
        <v>1776924902</v>
      </c>
      <c r="B428" t="inlineStr">
        <is>
          <t>XAUUSD</t>
        </is>
      </c>
      <c r="C428" t="inlineStr">
        <is>
          <t>M15</t>
        </is>
      </c>
      <c r="D428" t="n">
        <v>4712.13</v>
      </c>
      <c r="E428" t="n">
        <v>4518.59282</v>
      </c>
      <c r="F428" t="n">
        <v>4596.05595</v>
      </c>
      <c r="G428" t="n">
        <v>4755.40355</v>
      </c>
      <c r="H428" t="n">
        <v>4792.76972</v>
      </c>
      <c r="Q428" t="n">
        <v>4703.63839</v>
      </c>
      <c r="R428" t="n">
        <v>4733.00169</v>
      </c>
      <c r="S428" t="n">
        <v>4759.59046</v>
      </c>
      <c r="V428" t="n">
        <v>4668.69862</v>
      </c>
      <c r="W428" t="n">
        <v>4635.13362</v>
      </c>
      <c r="AB428" t="n">
        <v>4711.17063</v>
      </c>
      <c r="AC428" t="n">
        <v>4709.96493</v>
      </c>
      <c r="AD428" t="n">
        <v>0</v>
      </c>
      <c r="AK428" t="n">
        <v>426</v>
      </c>
      <c r="AL428" t="n">
        <v>425</v>
      </c>
      <c r="AM428" t="n">
        <v>4712.13</v>
      </c>
      <c r="AN428" t="n">
        <v>4703.6384</v>
      </c>
      <c r="AO428" t="n">
        <v>8.4916</v>
      </c>
      <c r="AP428" t="n">
        <v>72.1074</v>
      </c>
      <c r="AQ428" t="n">
        <v>0.014086</v>
      </c>
      <c r="AR428" t="n">
        <v>0.003402</v>
      </c>
      <c r="AY428" t="n">
        <v>426</v>
      </c>
      <c r="AZ428" t="n">
        <v>425</v>
      </c>
      <c r="BA428" t="n">
        <v>4712.13</v>
      </c>
      <c r="BB428" t="n">
        <v>4703.6384</v>
      </c>
      <c r="BC428" t="n">
        <v>8.4916</v>
      </c>
      <c r="BD428" t="n">
        <v>72.1074</v>
      </c>
      <c r="BE428" t="n">
        <v>180625</v>
      </c>
    </row>
    <row r="429">
      <c r="A429" t="n">
        <v>1776925802</v>
      </c>
      <c r="B429" t="inlineStr">
        <is>
          <t>XAUUSD</t>
        </is>
      </c>
      <c r="C429" t="inlineStr">
        <is>
          <t>M15</t>
        </is>
      </c>
      <c r="D429" t="n">
        <v>4714.98</v>
      </c>
      <c r="E429" t="n">
        <v>4518.59282</v>
      </c>
      <c r="F429" t="n">
        <v>4596.05595</v>
      </c>
      <c r="G429" t="n">
        <v>4755.40355</v>
      </c>
      <c r="H429" t="n">
        <v>4792.76972</v>
      </c>
      <c r="Q429" t="n">
        <v>4703.37078</v>
      </c>
      <c r="R429" t="n">
        <v>4732.73408</v>
      </c>
      <c r="S429" t="n">
        <v>4759.32285</v>
      </c>
      <c r="V429" t="n">
        <v>4668.43101</v>
      </c>
      <c r="W429" t="n">
        <v>4634.86602</v>
      </c>
      <c r="AB429" t="n">
        <v>4712.40766</v>
      </c>
      <c r="AC429" t="n">
        <v>4711.1863</v>
      </c>
      <c r="AD429" t="n">
        <v>0</v>
      </c>
      <c r="AK429" t="n">
        <v>427</v>
      </c>
      <c r="AL429" t="n">
        <v>426</v>
      </c>
      <c r="AM429" t="n">
        <v>4714.98</v>
      </c>
      <c r="AN429" t="n">
        <v>4703.3708</v>
      </c>
      <c r="AO429" t="n">
        <v>11.6092</v>
      </c>
      <c r="AP429" t="n">
        <v>134.774</v>
      </c>
      <c r="AQ429" t="n">
        <v>0.035994</v>
      </c>
      <c r="AR429" t="n">
        <v>0.011884</v>
      </c>
      <c r="AY429" t="n">
        <v>427</v>
      </c>
      <c r="AZ429" t="n">
        <v>426</v>
      </c>
      <c r="BA429" t="n">
        <v>4714.98</v>
      </c>
      <c r="BB429" t="n">
        <v>4703.3708</v>
      </c>
      <c r="BC429" t="n">
        <v>11.6092</v>
      </c>
      <c r="BD429" t="n">
        <v>134.774</v>
      </c>
      <c r="BE429" t="n">
        <v>181476</v>
      </c>
    </row>
    <row r="430">
      <c r="A430" t="n">
        <v>1776926702</v>
      </c>
      <c r="B430" t="inlineStr">
        <is>
          <t>XAUUSD</t>
        </is>
      </c>
      <c r="C430" t="inlineStr">
        <is>
          <t>M15</t>
        </is>
      </c>
      <c r="D430" t="n">
        <v>4713.02</v>
      </c>
      <c r="E430" t="n">
        <v>4518.59282</v>
      </c>
      <c r="F430" t="n">
        <v>4596.05595</v>
      </c>
      <c r="G430" t="n">
        <v>4755.40355</v>
      </c>
      <c r="H430" t="n">
        <v>4792.76972</v>
      </c>
      <c r="Q430" t="n">
        <v>4703.10318</v>
      </c>
      <c r="R430" t="n">
        <v>4732.46648</v>
      </c>
      <c r="S430" t="n">
        <v>4759.05525</v>
      </c>
      <c r="V430" t="n">
        <v>4668.16341</v>
      </c>
      <c r="W430" t="n">
        <v>4634.59841</v>
      </c>
      <c r="AB430" t="n">
        <v>4713.33647</v>
      </c>
      <c r="AC430" t="n">
        <v>4712.26138</v>
      </c>
      <c r="AD430" t="n">
        <v>0</v>
      </c>
      <c r="AK430" t="n">
        <v>428</v>
      </c>
      <c r="AL430" t="n">
        <v>427</v>
      </c>
      <c r="AM430" t="n">
        <v>4713.02</v>
      </c>
      <c r="AN430" t="n">
        <v>4703.1032</v>
      </c>
      <c r="AO430" t="n">
        <v>9.9168</v>
      </c>
      <c r="AP430" t="n">
        <v>98.3433</v>
      </c>
      <c r="AQ430" t="n">
        <v>0.022435</v>
      </c>
      <c r="AR430" t="n">
        <v>0.006328</v>
      </c>
      <c r="AY430" t="n">
        <v>428</v>
      </c>
      <c r="AZ430" t="n">
        <v>427</v>
      </c>
      <c r="BA430" t="n">
        <v>4713.02</v>
      </c>
      <c r="BB430" t="n">
        <v>4703.1032</v>
      </c>
      <c r="BC430" t="n">
        <v>9.9168</v>
      </c>
      <c r="BD430" t="n">
        <v>98.3433</v>
      </c>
      <c r="BE430" t="n">
        <v>182329</v>
      </c>
    </row>
    <row r="431">
      <c r="A431" t="n">
        <v>1776927602</v>
      </c>
      <c r="B431" t="inlineStr">
        <is>
          <t>XAUUSD</t>
        </is>
      </c>
      <c r="C431" t="inlineStr">
        <is>
          <t>M15</t>
        </is>
      </c>
      <c r="D431" t="n">
        <v>4712.47</v>
      </c>
      <c r="E431" t="n">
        <v>4518.59282</v>
      </c>
      <c r="F431" t="n">
        <v>4596.05595</v>
      </c>
      <c r="G431" t="n">
        <v>4755.40355</v>
      </c>
      <c r="H431" t="n">
        <v>4792.76972</v>
      </c>
      <c r="Q431" t="n">
        <v>4702.83558</v>
      </c>
      <c r="R431" t="n">
        <v>4732.19888</v>
      </c>
      <c r="S431" t="n">
        <v>4758.78765</v>
      </c>
      <c r="V431" t="n">
        <v>4667.89581</v>
      </c>
      <c r="W431" t="n">
        <v>4634.33081</v>
      </c>
      <c r="AB431" t="n">
        <v>4713.92865</v>
      </c>
      <c r="AC431" t="n">
        <v>4713.09502</v>
      </c>
      <c r="AD431" t="n">
        <v>0</v>
      </c>
      <c r="AK431" t="n">
        <v>429</v>
      </c>
      <c r="AL431" t="n">
        <v>428</v>
      </c>
      <c r="AM431" t="n">
        <v>4712.47</v>
      </c>
      <c r="AN431" t="n">
        <v>4702.8356</v>
      </c>
      <c r="AO431" t="n">
        <v>9.634399999999999</v>
      </c>
      <c r="AP431" t="n">
        <v>92.822</v>
      </c>
      <c r="AQ431" t="n">
        <v>0.020573</v>
      </c>
      <c r="AR431" t="n">
        <v>0.005637</v>
      </c>
      <c r="AY431" t="n">
        <v>429</v>
      </c>
      <c r="AZ431" t="n">
        <v>428</v>
      </c>
      <c r="BA431" t="n">
        <v>4712.47</v>
      </c>
      <c r="BB431" t="n">
        <v>4702.8356</v>
      </c>
      <c r="BC431" t="n">
        <v>9.634399999999999</v>
      </c>
      <c r="BD431" t="n">
        <v>92.822</v>
      </c>
      <c r="BE431" t="n">
        <v>183184</v>
      </c>
    </row>
    <row r="432">
      <c r="A432" t="n">
        <v>1776928502</v>
      </c>
      <c r="B432" t="inlineStr">
        <is>
          <t>XAUUSD</t>
        </is>
      </c>
      <c r="C432" t="inlineStr">
        <is>
          <t>M15</t>
        </is>
      </c>
      <c r="D432" t="n">
        <v>4706.12</v>
      </c>
      <c r="E432" t="n">
        <v>4518.59282</v>
      </c>
      <c r="F432" t="n">
        <v>4596.05595</v>
      </c>
      <c r="G432" t="n">
        <v>4755.40355</v>
      </c>
      <c r="H432" t="n">
        <v>4792.76972</v>
      </c>
      <c r="Q432" t="n">
        <v>4702.56797</v>
      </c>
      <c r="R432" t="n">
        <v>4731.93127</v>
      </c>
      <c r="S432" t="n">
        <v>4758.52004</v>
      </c>
      <c r="V432" t="n">
        <v>4667.6282</v>
      </c>
      <c r="W432" t="n">
        <v>4634.06321</v>
      </c>
      <c r="AB432" t="n">
        <v>4714.19761</v>
      </c>
      <c r="AC432" t="n">
        <v>4713.64631</v>
      </c>
      <c r="AD432" t="n">
        <v>0</v>
      </c>
      <c r="AK432" t="n">
        <v>430</v>
      </c>
      <c r="AL432" t="n">
        <v>429</v>
      </c>
      <c r="AM432" t="n">
        <v>4706.12</v>
      </c>
      <c r="AN432" t="n">
        <v>4702.568</v>
      </c>
      <c r="AO432" t="n">
        <v>3.552</v>
      </c>
      <c r="AP432" t="n">
        <v>12.6169</v>
      </c>
      <c r="AQ432" t="n">
        <v>0.001031</v>
      </c>
      <c r="AR432" t="n">
        <v>0.000104</v>
      </c>
      <c r="AY432" t="n">
        <v>430</v>
      </c>
      <c r="AZ432" t="n">
        <v>429</v>
      </c>
      <c r="BA432" t="n">
        <v>4706.12</v>
      </c>
      <c r="BB432" t="n">
        <v>4702.568</v>
      </c>
      <c r="BC432" t="n">
        <v>3.552</v>
      </c>
      <c r="BD432" t="n">
        <v>12.6169</v>
      </c>
      <c r="BE432" t="n">
        <v>184041</v>
      </c>
    </row>
    <row r="433">
      <c r="A433" t="n">
        <v>1776929402</v>
      </c>
      <c r="B433" t="inlineStr">
        <is>
          <t>XAUUSD</t>
        </is>
      </c>
      <c r="C433" t="inlineStr">
        <is>
          <t>M15</t>
        </is>
      </c>
      <c r="D433" t="n">
        <v>4713.77</v>
      </c>
      <c r="E433" t="n">
        <v>4518.59282</v>
      </c>
      <c r="F433" t="n">
        <v>4596.05595</v>
      </c>
      <c r="G433" t="n">
        <v>4755.40355</v>
      </c>
      <c r="H433" t="n">
        <v>4792.76972</v>
      </c>
      <c r="Q433" t="n">
        <v>4702.30037</v>
      </c>
      <c r="R433" t="n">
        <v>4731.66367</v>
      </c>
      <c r="S433" t="n">
        <v>4758.25244</v>
      </c>
      <c r="V433" t="n">
        <v>4667.3606</v>
      </c>
      <c r="W433" t="n">
        <v>4633.7956</v>
      </c>
      <c r="AB433" t="n">
        <v>4714.31114</v>
      </c>
      <c r="AC433" t="n">
        <v>4713.97873</v>
      </c>
      <c r="AD433" t="n">
        <v>0</v>
      </c>
      <c r="AK433" t="n">
        <v>431</v>
      </c>
      <c r="AL433" t="n">
        <v>430</v>
      </c>
      <c r="AM433" t="n">
        <v>4713.77</v>
      </c>
      <c r="AN433" t="n">
        <v>4702.3004</v>
      </c>
      <c r="AO433" t="n">
        <v>11.4696</v>
      </c>
      <c r="AP433" t="n">
        <v>131.5524</v>
      </c>
      <c r="AQ433" t="n">
        <v>0.034711</v>
      </c>
      <c r="AR433" t="n">
        <v>0.011323</v>
      </c>
      <c r="AY433" t="n">
        <v>431</v>
      </c>
      <c r="AZ433" t="n">
        <v>430</v>
      </c>
      <c r="BA433" t="n">
        <v>4713.77</v>
      </c>
      <c r="BB433" t="n">
        <v>4702.3004</v>
      </c>
      <c r="BC433" t="n">
        <v>11.4696</v>
      </c>
      <c r="BD433" t="n">
        <v>131.5524</v>
      </c>
      <c r="BE433" t="n">
        <v>184900</v>
      </c>
    </row>
    <row r="434">
      <c r="A434" t="n">
        <v>1776930302</v>
      </c>
      <c r="B434" t="inlineStr">
        <is>
          <t>XAUUSD</t>
        </is>
      </c>
      <c r="C434" t="inlineStr">
        <is>
          <t>M15</t>
        </is>
      </c>
      <c r="D434" t="n">
        <v>4719.22</v>
      </c>
      <c r="E434" t="n">
        <v>4518.59282</v>
      </c>
      <c r="F434" t="n">
        <v>4596.05595</v>
      </c>
      <c r="G434" t="n">
        <v>4755.40355</v>
      </c>
      <c r="H434" t="n">
        <v>4792.76972</v>
      </c>
      <c r="Q434" t="n">
        <v>4702.03276</v>
      </c>
      <c r="R434" t="n">
        <v>4731.39606</v>
      </c>
      <c r="S434" t="n">
        <v>4757.98483</v>
      </c>
      <c r="V434" t="n">
        <v>4667.09299</v>
      </c>
      <c r="W434" t="n">
        <v>4633.528</v>
      </c>
      <c r="AB434" t="n">
        <v>4714.075</v>
      </c>
      <c r="AC434" t="n">
        <v>4714.02686</v>
      </c>
      <c r="AD434" t="n">
        <v>0</v>
      </c>
      <c r="AK434" t="n">
        <v>432</v>
      </c>
      <c r="AL434" t="n">
        <v>431</v>
      </c>
      <c r="AM434" t="n">
        <v>4719.22</v>
      </c>
      <c r="AN434" t="n">
        <v>4702.0328</v>
      </c>
      <c r="AO434" t="n">
        <v>17.1872</v>
      </c>
      <c r="AP434" t="n">
        <v>295.4012</v>
      </c>
      <c r="AQ434" t="n">
        <v>0.116798</v>
      </c>
      <c r="AR434" t="n">
        <v>0.057092</v>
      </c>
      <c r="AY434" t="n">
        <v>432</v>
      </c>
      <c r="AZ434" t="n">
        <v>431</v>
      </c>
      <c r="BA434" t="n">
        <v>4719.22</v>
      </c>
      <c r="BB434" t="n">
        <v>4702.0328</v>
      </c>
      <c r="BC434" t="n">
        <v>17.1872</v>
      </c>
      <c r="BD434" t="n">
        <v>295.4012</v>
      </c>
      <c r="BE434" t="n">
        <v>185761</v>
      </c>
    </row>
    <row r="435">
      <c r="A435" t="n">
        <v>1776931202</v>
      </c>
      <c r="B435" t="inlineStr">
        <is>
          <t>XAUUSD</t>
        </is>
      </c>
      <c r="C435" t="inlineStr">
        <is>
          <t>M15</t>
        </is>
      </c>
      <c r="D435" t="n">
        <v>4718.21</v>
      </c>
      <c r="E435" t="n">
        <v>4518.59282</v>
      </c>
      <c r="F435" t="n">
        <v>4596.05595</v>
      </c>
      <c r="G435" t="n">
        <v>4755.40355</v>
      </c>
      <c r="H435" t="n">
        <v>4792.76972</v>
      </c>
      <c r="Q435" t="n">
        <v>4701.76516</v>
      </c>
      <c r="R435" t="n">
        <v>4731.12846</v>
      </c>
      <c r="S435" t="n">
        <v>4757.71723</v>
      </c>
      <c r="V435" t="n">
        <v>4666.82539</v>
      </c>
      <c r="W435" t="n">
        <v>4633.26039</v>
      </c>
      <c r="AB435" t="n">
        <v>4713.17172</v>
      </c>
      <c r="AC435" t="n">
        <v>4713.59929</v>
      </c>
      <c r="AD435" t="n">
        <v>1</v>
      </c>
      <c r="AK435" t="n">
        <v>433</v>
      </c>
      <c r="AL435" t="n">
        <v>432</v>
      </c>
      <c r="AM435" t="n">
        <v>4718.21</v>
      </c>
      <c r="AN435" t="n">
        <v>4701.7652</v>
      </c>
      <c r="AO435" t="n">
        <v>16.4448</v>
      </c>
      <c r="AP435" t="n">
        <v>270.4328</v>
      </c>
      <c r="AQ435" t="n">
        <v>0.102307</v>
      </c>
      <c r="AR435" t="n">
        <v>0.047849</v>
      </c>
      <c r="AY435" t="n">
        <v>433</v>
      </c>
      <c r="AZ435" t="n">
        <v>432</v>
      </c>
      <c r="BA435" t="n">
        <v>4718.21</v>
      </c>
      <c r="BB435" t="n">
        <v>4701.7652</v>
      </c>
      <c r="BC435" t="n">
        <v>16.4448</v>
      </c>
      <c r="BD435" t="n">
        <v>270.4328</v>
      </c>
      <c r="BE435" t="n">
        <v>186624</v>
      </c>
    </row>
    <row r="436">
      <c r="A436" t="n">
        <v>1776932102</v>
      </c>
      <c r="B436" t="inlineStr">
        <is>
          <t>XAUUSD</t>
        </is>
      </c>
      <c r="C436" t="inlineStr">
        <is>
          <t>M15</t>
        </is>
      </c>
      <c r="D436" t="n">
        <v>4715.43</v>
      </c>
      <c r="E436" t="n">
        <v>4518.59282</v>
      </c>
      <c r="F436" t="n">
        <v>4596.05595</v>
      </c>
      <c r="G436" t="n">
        <v>4755.40355</v>
      </c>
      <c r="H436" t="n">
        <v>4792.76972</v>
      </c>
      <c r="Q436" t="n">
        <v>4701.49756</v>
      </c>
      <c r="R436" t="n">
        <v>4730.86086</v>
      </c>
      <c r="S436" t="n">
        <v>4757.44963</v>
      </c>
      <c r="V436" t="n">
        <v>4666.55779</v>
      </c>
      <c r="W436" t="n">
        <v>4632.99279</v>
      </c>
      <c r="AB436" t="n">
        <v>4711.52544</v>
      </c>
      <c r="AC436" t="n">
        <v>4712.56237</v>
      </c>
      <c r="AD436" t="n">
        <v>0</v>
      </c>
      <c r="AK436" t="n">
        <v>434</v>
      </c>
      <c r="AL436" t="n">
        <v>433</v>
      </c>
      <c r="AM436" t="n">
        <v>4715.43</v>
      </c>
      <c r="AN436" t="n">
        <v>4701.4976</v>
      </c>
      <c r="AO436" t="n">
        <v>13.9324</v>
      </c>
      <c r="AP436" t="n">
        <v>194.1129</v>
      </c>
      <c r="AQ436" t="n">
        <v>0.062215</v>
      </c>
      <c r="AR436" t="n">
        <v>0.024653</v>
      </c>
      <c r="AY436" t="n">
        <v>434</v>
      </c>
      <c r="AZ436" t="n">
        <v>433</v>
      </c>
      <c r="BA436" t="n">
        <v>4715.43</v>
      </c>
      <c r="BB436" t="n">
        <v>4701.4976</v>
      </c>
      <c r="BC436" t="n">
        <v>13.9324</v>
      </c>
      <c r="BD436" t="n">
        <v>194.1129</v>
      </c>
      <c r="BE436" t="n">
        <v>187489</v>
      </c>
    </row>
    <row r="437">
      <c r="A437" t="n">
        <v>1776933002</v>
      </c>
      <c r="B437" t="inlineStr">
        <is>
          <t>XAUUSD</t>
        </is>
      </c>
      <c r="C437" t="inlineStr">
        <is>
          <t>M15</t>
        </is>
      </c>
      <c r="D437" t="n">
        <v>4703.76</v>
      </c>
      <c r="E437" t="n">
        <v>4518.59282</v>
      </c>
      <c r="F437" t="n">
        <v>4596.05595</v>
      </c>
      <c r="G437" t="n">
        <v>4755.40355</v>
      </c>
      <c r="H437" t="n">
        <v>4792.76972</v>
      </c>
      <c r="Q437" t="n">
        <v>4701.22995</v>
      </c>
      <c r="R437" t="n">
        <v>4730.59325</v>
      </c>
      <c r="S437" t="n">
        <v>4757.18202</v>
      </c>
      <c r="V437" t="n">
        <v>4666.29018</v>
      </c>
      <c r="W437" t="n">
        <v>4632.72519</v>
      </c>
      <c r="AB437" t="n">
        <v>4709.14176</v>
      </c>
      <c r="AC437" t="n">
        <v>4710.85206</v>
      </c>
      <c r="AD437" t="n">
        <v>0</v>
      </c>
      <c r="AK437" t="n">
        <v>435</v>
      </c>
      <c r="AL437" t="n">
        <v>434</v>
      </c>
      <c r="AM437" t="n">
        <v>4703.76</v>
      </c>
      <c r="AN437" t="n">
        <v>4701.2299</v>
      </c>
      <c r="AO437" t="n">
        <v>2.5301</v>
      </c>
      <c r="AP437" t="n">
        <v>6.4012</v>
      </c>
      <c r="AQ437" t="n">
        <v>0.000373</v>
      </c>
      <c r="AR437" t="n">
        <v>2.7e-05</v>
      </c>
      <c r="AY437" t="n">
        <v>435</v>
      </c>
      <c r="AZ437" t="n">
        <v>434</v>
      </c>
      <c r="BA437" t="n">
        <v>4703.76</v>
      </c>
      <c r="BB437" t="n">
        <v>4701.2299</v>
      </c>
      <c r="BC437" t="n">
        <v>2.5301</v>
      </c>
      <c r="BD437" t="n">
        <v>6.4012</v>
      </c>
      <c r="BE437" t="n">
        <v>188356</v>
      </c>
    </row>
    <row r="438">
      <c r="A438" t="n">
        <v>1776933902</v>
      </c>
      <c r="B438" t="inlineStr">
        <is>
          <t>XAUUSD</t>
        </is>
      </c>
      <c r="C438" t="inlineStr">
        <is>
          <t>M15</t>
        </is>
      </c>
      <c r="D438" t="n">
        <v>4703.28</v>
      </c>
      <c r="E438" t="n">
        <v>4518.59282</v>
      </c>
      <c r="F438" t="n">
        <v>4596.05595</v>
      </c>
      <c r="G438" t="n">
        <v>4755.40355</v>
      </c>
      <c r="H438" t="n">
        <v>4792.76972</v>
      </c>
      <c r="Q438" t="n">
        <v>4700.96235</v>
      </c>
      <c r="R438" t="n">
        <v>4730.32565</v>
      </c>
      <c r="S438" t="n">
        <v>4756.91442</v>
      </c>
      <c r="V438" t="n">
        <v>4666.02258</v>
      </c>
      <c r="W438" t="n">
        <v>4632.45758</v>
      </c>
      <c r="AB438" t="n">
        <v>4706.31914</v>
      </c>
      <c r="AC438" t="n">
        <v>4708.5856</v>
      </c>
      <c r="AD438" t="n">
        <v>0</v>
      </c>
      <c r="AK438" t="n">
        <v>436</v>
      </c>
      <c r="AL438" t="n">
        <v>435</v>
      </c>
      <c r="AM438" t="n">
        <v>4703.28</v>
      </c>
      <c r="AN438" t="n">
        <v>4700.9623</v>
      </c>
      <c r="AO438" t="n">
        <v>2.3176</v>
      </c>
      <c r="AP438" t="n">
        <v>5.3715</v>
      </c>
      <c r="AQ438" t="n">
        <v>0.000286</v>
      </c>
      <c r="AR438" t="n">
        <v>1.9e-05</v>
      </c>
      <c r="AY438" t="n">
        <v>436</v>
      </c>
      <c r="AZ438" t="n">
        <v>435</v>
      </c>
      <c r="BA438" t="n">
        <v>4703.28</v>
      </c>
      <c r="BB438" t="n">
        <v>4700.9623</v>
      </c>
      <c r="BC438" t="n">
        <v>2.3176</v>
      </c>
      <c r="BD438" t="n">
        <v>5.3715</v>
      </c>
      <c r="BE438" t="n">
        <v>189225</v>
      </c>
    </row>
    <row r="439">
      <c r="A439" t="n">
        <v>1776934802</v>
      </c>
      <c r="B439" t="inlineStr">
        <is>
          <t>XAUUSD</t>
        </is>
      </c>
      <c r="C439" t="inlineStr">
        <is>
          <t>M15</t>
        </is>
      </c>
      <c r="D439" t="n">
        <v>4696.92</v>
      </c>
      <c r="E439" t="n">
        <v>4518.59282</v>
      </c>
      <c r="F439" t="n">
        <v>4596.05595</v>
      </c>
      <c r="G439" t="n">
        <v>4755.40355</v>
      </c>
      <c r="H439" t="n">
        <v>4792.76972</v>
      </c>
      <c r="Q439" t="n">
        <v>4700.69474</v>
      </c>
      <c r="R439" t="n">
        <v>4730.05804</v>
      </c>
      <c r="S439" t="n">
        <v>4756.64681</v>
      </c>
      <c r="V439" t="n">
        <v>4665.75497</v>
      </c>
      <c r="W439" t="n">
        <v>4632.18998</v>
      </c>
      <c r="AB439" t="n">
        <v>4703.07922</v>
      </c>
      <c r="AC439" t="n">
        <v>4705.83241</v>
      </c>
      <c r="AD439" t="n">
        <v>0</v>
      </c>
      <c r="AK439" t="n">
        <v>437</v>
      </c>
      <c r="AL439" t="n">
        <v>436</v>
      </c>
      <c r="AM439" t="n">
        <v>4696.92</v>
      </c>
      <c r="AN439" t="n">
        <v>4700.6947</v>
      </c>
      <c r="AO439" t="n">
        <v>-3.7747</v>
      </c>
      <c r="AP439" t="n">
        <v>14.2487</v>
      </c>
      <c r="AQ439" t="n">
        <v>-0.001237</v>
      </c>
      <c r="AR439" t="n">
        <v>0.000133</v>
      </c>
      <c r="AY439" t="n">
        <v>437</v>
      </c>
      <c r="AZ439" t="n">
        <v>436</v>
      </c>
      <c r="BA439" t="n">
        <v>4696.92</v>
      </c>
      <c r="BB439" t="n">
        <v>4700.6947</v>
      </c>
      <c r="BC439" t="n">
        <v>-3.7747</v>
      </c>
      <c r="BD439" t="n">
        <v>14.2487</v>
      </c>
      <c r="BE439" t="n">
        <v>190096</v>
      </c>
    </row>
    <row r="440">
      <c r="A440" t="n">
        <v>1776935702</v>
      </c>
      <c r="B440" t="inlineStr">
        <is>
          <t>XAUUSD</t>
        </is>
      </c>
      <c r="C440" t="inlineStr">
        <is>
          <t>M15</t>
        </is>
      </c>
      <c r="D440" t="n">
        <v>4700.94</v>
      </c>
      <c r="E440" t="n">
        <v>4518.59282</v>
      </c>
      <c r="F440" t="n">
        <v>4596.05595</v>
      </c>
      <c r="G440" t="n">
        <v>4755.40355</v>
      </c>
      <c r="H440" t="n">
        <v>4792.76972</v>
      </c>
      <c r="Q440" t="n">
        <v>4700.42714</v>
      </c>
      <c r="R440" t="n">
        <v>4729.79044</v>
      </c>
      <c r="S440" t="n">
        <v>4756.37921</v>
      </c>
      <c r="V440" t="n">
        <v>4665.48737</v>
      </c>
      <c r="W440" t="n">
        <v>4631.92237</v>
      </c>
      <c r="AB440" t="n">
        <v>4699.63858</v>
      </c>
      <c r="AC440" t="n">
        <v>4702.73549</v>
      </c>
      <c r="AD440" t="n">
        <v>0</v>
      </c>
      <c r="AK440" t="n">
        <v>438</v>
      </c>
      <c r="AL440" t="n">
        <v>437</v>
      </c>
      <c r="AM440" t="n">
        <v>4700.94</v>
      </c>
      <c r="AN440" t="n">
        <v>4700.4271</v>
      </c>
      <c r="AO440" t="n">
        <v>0.5129</v>
      </c>
      <c r="AP440" t="n">
        <v>0.263</v>
      </c>
      <c r="AQ440" t="n">
        <v>3e-06</v>
      </c>
      <c r="AR440" t="n">
        <v>0</v>
      </c>
      <c r="AY440" t="n">
        <v>438</v>
      </c>
      <c r="AZ440" t="n">
        <v>437</v>
      </c>
      <c r="BA440" t="n">
        <v>4700.94</v>
      </c>
      <c r="BB440" t="n">
        <v>4700.4271</v>
      </c>
      <c r="BC440" t="n">
        <v>0.5129</v>
      </c>
      <c r="BD440" t="n">
        <v>0.263</v>
      </c>
      <c r="BE440" t="n">
        <v>190969</v>
      </c>
    </row>
    <row r="441">
      <c r="A441" t="n">
        <v>1776936602</v>
      </c>
      <c r="B441" t="inlineStr">
        <is>
          <t>XAUUSD</t>
        </is>
      </c>
      <c r="C441" t="inlineStr">
        <is>
          <t>M15</t>
        </is>
      </c>
      <c r="D441" t="n">
        <v>4700.99</v>
      </c>
      <c r="E441" t="n">
        <v>4518.59282</v>
      </c>
      <c r="F441" t="n">
        <v>4596.05595</v>
      </c>
      <c r="G441" t="n">
        <v>4755.40355</v>
      </c>
      <c r="H441" t="n">
        <v>4792.76972</v>
      </c>
      <c r="Q441" t="n">
        <v>4700.15954</v>
      </c>
      <c r="R441" t="n">
        <v>4729.52283</v>
      </c>
      <c r="S441" t="n">
        <v>4756.11161</v>
      </c>
      <c r="V441" t="n">
        <v>4665.21977</v>
      </c>
      <c r="W441" t="n">
        <v>4631.65477</v>
      </c>
      <c r="AB441" t="n">
        <v>4696.09443</v>
      </c>
      <c r="AC441" t="n">
        <v>4699.41496</v>
      </c>
      <c r="AD441" t="n">
        <v>0</v>
      </c>
      <c r="AK441" t="n">
        <v>439</v>
      </c>
      <c r="AL441" t="n">
        <v>438</v>
      </c>
      <c r="AM441" t="n">
        <v>4700.99</v>
      </c>
      <c r="AN441" t="n">
        <v>4700.1595</v>
      </c>
      <c r="AO441" t="n">
        <v>0.8305</v>
      </c>
      <c r="AP441" t="n">
        <v>0.6897</v>
      </c>
      <c r="AQ441" t="n">
        <v>1.3e-05</v>
      </c>
      <c r="AR441" t="n">
        <v>0</v>
      </c>
      <c r="AY441" t="n">
        <v>439</v>
      </c>
      <c r="AZ441" t="n">
        <v>438</v>
      </c>
      <c r="BA441" t="n">
        <v>4700.99</v>
      </c>
      <c r="BB441" t="n">
        <v>4700.1595</v>
      </c>
      <c r="BC441" t="n">
        <v>0.8305</v>
      </c>
      <c r="BD441" t="n">
        <v>0.6897</v>
      </c>
      <c r="BE441" t="n">
        <v>191844</v>
      </c>
    </row>
    <row r="442">
      <c r="A442" t="n">
        <v>1776937502</v>
      </c>
      <c r="B442" t="inlineStr">
        <is>
          <t>XAUUSD</t>
        </is>
      </c>
      <c r="C442" t="inlineStr">
        <is>
          <t>M15</t>
        </is>
      </c>
      <c r="D442" t="n">
        <v>4697.62</v>
      </c>
      <c r="E442" t="n">
        <v>4518.59282</v>
      </c>
      <c r="F442" t="n">
        <v>4596.05595</v>
      </c>
      <c r="G442" t="n">
        <v>4755.40355</v>
      </c>
      <c r="H442" t="n">
        <v>4792.76972</v>
      </c>
      <c r="Q442" t="n">
        <v>4699.89193</v>
      </c>
      <c r="R442" t="n">
        <v>4729.25523</v>
      </c>
      <c r="S442" t="n">
        <v>4755.844</v>
      </c>
      <c r="V442" t="n">
        <v>4664.95216</v>
      </c>
      <c r="W442" t="n">
        <v>4631.38717</v>
      </c>
      <c r="AB442" t="n">
        <v>4692.82893</v>
      </c>
      <c r="AC442" t="n">
        <v>4696.12195</v>
      </c>
      <c r="AD442" t="n">
        <v>0</v>
      </c>
      <c r="AK442" t="n">
        <v>440</v>
      </c>
      <c r="AL442" t="n">
        <v>439</v>
      </c>
      <c r="AM442" t="n">
        <v>4697.62</v>
      </c>
      <c r="AN442" t="n">
        <v>4699.8919</v>
      </c>
      <c r="AO442" t="n">
        <v>-2.2719</v>
      </c>
      <c r="AP442" t="n">
        <v>5.1617</v>
      </c>
      <c r="AQ442" t="n">
        <v>-0.00027</v>
      </c>
      <c r="AR442" t="n">
        <v>1.7e-05</v>
      </c>
      <c r="AY442" t="n">
        <v>440</v>
      </c>
      <c r="AZ442" t="n">
        <v>439</v>
      </c>
      <c r="BA442" t="n">
        <v>4697.62</v>
      </c>
      <c r="BB442" t="n">
        <v>4699.8919</v>
      </c>
      <c r="BC442" t="n">
        <v>-2.2719</v>
      </c>
      <c r="BD442" t="n">
        <v>5.1617</v>
      </c>
      <c r="BE442" t="n">
        <v>192721</v>
      </c>
    </row>
    <row r="443">
      <c r="A443" t="n">
        <v>1776938402</v>
      </c>
      <c r="B443" t="inlineStr">
        <is>
          <t>XAUUSD</t>
        </is>
      </c>
      <c r="C443" t="inlineStr">
        <is>
          <t>M15</t>
        </is>
      </c>
      <c r="D443" t="n">
        <v>4689.14</v>
      </c>
      <c r="E443" t="n">
        <v>4518.59282</v>
      </c>
      <c r="F443" t="n">
        <v>4596.05595</v>
      </c>
      <c r="G443" t="n">
        <v>4755.40355</v>
      </c>
      <c r="H443" t="n">
        <v>4792.76972</v>
      </c>
      <c r="Q443" t="n">
        <v>4699.62433</v>
      </c>
      <c r="R443" t="n">
        <v>4728.98763</v>
      </c>
      <c r="S443" t="n">
        <v>4755.5764</v>
      </c>
      <c r="V443" t="n">
        <v>4664.68456</v>
      </c>
      <c r="W443" t="n">
        <v>4631.11956</v>
      </c>
      <c r="AB443" t="n">
        <v>4690.37226</v>
      </c>
      <c r="AC443" t="n">
        <v>4693.2471</v>
      </c>
      <c r="AD443" t="n">
        <v>0</v>
      </c>
      <c r="AK443" t="n">
        <v>441</v>
      </c>
      <c r="AL443" t="n">
        <v>440</v>
      </c>
      <c r="AM443" t="n">
        <v>4689.14</v>
      </c>
      <c r="AN443" t="n">
        <v>4699.6243</v>
      </c>
      <c r="AO443" t="n">
        <v>-10.4843</v>
      </c>
      <c r="AP443" t="n">
        <v>109.9212</v>
      </c>
      <c r="AQ443" t="n">
        <v>-0.026512</v>
      </c>
      <c r="AR443" t="n">
        <v>0.007905000000000001</v>
      </c>
      <c r="AY443" t="n">
        <v>441</v>
      </c>
      <c r="AZ443" t="n">
        <v>440</v>
      </c>
      <c r="BA443" t="n">
        <v>4689.14</v>
      </c>
      <c r="BB443" t="n">
        <v>4699.6243</v>
      </c>
      <c r="BC443" t="n">
        <v>-10.4843</v>
      </c>
      <c r="BD443" t="n">
        <v>109.9212</v>
      </c>
      <c r="BE443" t="n">
        <v>193600</v>
      </c>
    </row>
    <row r="444">
      <c r="A444" t="n">
        <v>1776939302</v>
      </c>
      <c r="B444" t="inlineStr">
        <is>
          <t>XAUUSD</t>
        </is>
      </c>
      <c r="C444" t="inlineStr">
        <is>
          <t>M15</t>
        </is>
      </c>
      <c r="D444" t="n">
        <v>4686.7</v>
      </c>
      <c r="E444" t="n">
        <v>4518.59282</v>
      </c>
      <c r="F444" t="n">
        <v>4596.05595</v>
      </c>
      <c r="G444" t="n">
        <v>4755.40355</v>
      </c>
      <c r="H444" t="n">
        <v>4792.76972</v>
      </c>
      <c r="Q444" t="n">
        <v>4699.35672</v>
      </c>
      <c r="R444" t="n">
        <v>4728.72002</v>
      </c>
      <c r="S444" t="n">
        <v>4755.30879</v>
      </c>
      <c r="V444" t="n">
        <v>4664.41695</v>
      </c>
      <c r="W444" t="n">
        <v>4630.85196</v>
      </c>
      <c r="AB444" t="n">
        <v>4689.47204</v>
      </c>
      <c r="AC444" t="n">
        <v>4691.35957</v>
      </c>
      <c r="AD444" t="n">
        <v>0</v>
      </c>
      <c r="AK444" t="n">
        <v>442</v>
      </c>
      <c r="AL444" t="n">
        <v>441</v>
      </c>
      <c r="AM444" t="n">
        <v>4686.7</v>
      </c>
      <c r="AN444" t="n">
        <v>4699.3567</v>
      </c>
      <c r="AO444" t="n">
        <v>-12.6567</v>
      </c>
      <c r="AP444" t="n">
        <v>160.1926</v>
      </c>
      <c r="AQ444" t="n">
        <v>-0.046642</v>
      </c>
      <c r="AR444" t="n">
        <v>0.01679</v>
      </c>
      <c r="AY444" t="n">
        <v>442</v>
      </c>
      <c r="AZ444" t="n">
        <v>441</v>
      </c>
      <c r="BA444" t="n">
        <v>4686.7</v>
      </c>
      <c r="BB444" t="n">
        <v>4699.3567</v>
      </c>
      <c r="BC444" t="n">
        <v>-12.6567</v>
      </c>
      <c r="BD444" t="n">
        <v>160.1926</v>
      </c>
      <c r="BE444" t="n">
        <v>194481</v>
      </c>
    </row>
    <row r="445">
      <c r="A445" t="n">
        <v>1776940202</v>
      </c>
      <c r="B445" t="inlineStr">
        <is>
          <t>XAUUSD</t>
        </is>
      </c>
      <c r="C445" t="inlineStr">
        <is>
          <t>M15</t>
        </is>
      </c>
      <c r="D445" t="n">
        <v>4690.77</v>
      </c>
      <c r="E445" t="n">
        <v>4518.59282</v>
      </c>
      <c r="F445" t="n">
        <v>4596.05595</v>
      </c>
      <c r="G445" t="n">
        <v>4755.40355</v>
      </c>
      <c r="H445" t="n">
        <v>4792.76972</v>
      </c>
      <c r="Q445" t="n">
        <v>4699.08912</v>
      </c>
      <c r="R445" t="n">
        <v>4728.45242</v>
      </c>
      <c r="S445" t="n">
        <v>4755.04119</v>
      </c>
      <c r="V445" t="n">
        <v>4664.14935</v>
      </c>
      <c r="W445" t="n">
        <v>4630.58435</v>
      </c>
      <c r="AA445" t="n">
        <v>4684.26</v>
      </c>
      <c r="AB445" t="n">
        <v>4690.48655</v>
      </c>
      <c r="AC445" t="n">
        <v>4690.92306</v>
      </c>
      <c r="AD445" t="n">
        <v>0</v>
      </c>
      <c r="AK445" t="n">
        <v>443</v>
      </c>
      <c r="AL445" t="n">
        <v>442</v>
      </c>
      <c r="AM445" t="n">
        <v>4690.77</v>
      </c>
      <c r="AN445" t="n">
        <v>4699.0891</v>
      </c>
      <c r="AO445" t="n">
        <v>-8.319100000000001</v>
      </c>
      <c r="AP445" t="n">
        <v>69.20780000000001</v>
      </c>
      <c r="AQ445" t="n">
        <v>-0.013245</v>
      </c>
      <c r="AR445" t="n">
        <v>0.003134</v>
      </c>
      <c r="AY445" t="n">
        <v>443</v>
      </c>
      <c r="AZ445" t="n">
        <v>442</v>
      </c>
      <c r="BA445" t="n">
        <v>4690.77</v>
      </c>
      <c r="BB445" t="n">
        <v>4699.0891</v>
      </c>
      <c r="BC445" t="n">
        <v>-8.319100000000001</v>
      </c>
      <c r="BD445" t="n">
        <v>69.20780000000001</v>
      </c>
      <c r="BE445" t="n">
        <v>195364</v>
      </c>
    </row>
    <row r="446">
      <c r="A446" t="n">
        <v>1776941102</v>
      </c>
      <c r="B446" t="inlineStr">
        <is>
          <t>XAUUSD</t>
        </is>
      </c>
      <c r="C446" t="inlineStr">
        <is>
          <t>M15</t>
        </is>
      </c>
      <c r="D446" t="n">
        <v>4696.61</v>
      </c>
      <c r="E446" t="n">
        <v>4518.59282</v>
      </c>
      <c r="F446" t="n">
        <v>4596.05595</v>
      </c>
      <c r="G446" t="n">
        <v>4755.40355</v>
      </c>
      <c r="H446" t="n">
        <v>4792.76972</v>
      </c>
      <c r="Q446" t="n">
        <v>4698.82152</v>
      </c>
      <c r="R446" t="n">
        <v>4728.18481</v>
      </c>
      <c r="S446" t="n">
        <v>4754.77359</v>
      </c>
      <c r="V446" t="n">
        <v>4663.88175</v>
      </c>
      <c r="W446" t="n">
        <v>4630.31675</v>
      </c>
      <c r="AB446" t="n">
        <v>4693.45927</v>
      </c>
      <c r="AC446" t="n">
        <v>4692.19117</v>
      </c>
      <c r="AD446" t="n">
        <v>1</v>
      </c>
      <c r="AK446" t="n">
        <v>444</v>
      </c>
      <c r="AL446" t="n">
        <v>443</v>
      </c>
      <c r="AM446" t="n">
        <v>4696.61</v>
      </c>
      <c r="AN446" t="n">
        <v>4698.8215</v>
      </c>
      <c r="AO446" t="n">
        <v>-2.2115</v>
      </c>
      <c r="AP446" t="n">
        <v>4.8908</v>
      </c>
      <c r="AQ446" t="n">
        <v>-0.000249</v>
      </c>
      <c r="AR446" t="n">
        <v>1.6e-05</v>
      </c>
      <c r="AY446" t="n">
        <v>444</v>
      </c>
      <c r="AZ446" t="n">
        <v>443</v>
      </c>
      <c r="BA446" t="n">
        <v>4696.61</v>
      </c>
      <c r="BB446" t="n">
        <v>4698.8215</v>
      </c>
      <c r="BC446" t="n">
        <v>-2.2115</v>
      </c>
      <c r="BD446" t="n">
        <v>4.8908</v>
      </c>
      <c r="BE446" t="n">
        <v>196249</v>
      </c>
    </row>
    <row r="447">
      <c r="A447" t="n">
        <v>1776942002</v>
      </c>
      <c r="B447" t="inlineStr">
        <is>
          <t>XAUUSD</t>
        </is>
      </c>
      <c r="C447" t="inlineStr">
        <is>
          <t>M15</t>
        </is>
      </c>
      <c r="D447" t="n">
        <v>4697.96</v>
      </c>
      <c r="E447" t="n">
        <v>4518.59282</v>
      </c>
      <c r="F447" t="n">
        <v>4596.05595</v>
      </c>
      <c r="G447" t="n">
        <v>4755.40355</v>
      </c>
      <c r="H447" t="n">
        <v>4792.76972</v>
      </c>
      <c r="Q447" t="n">
        <v>4698.55391</v>
      </c>
      <c r="R447" t="n">
        <v>4727.91721</v>
      </c>
      <c r="S447" t="n">
        <v>4754.50598</v>
      </c>
      <c r="V447" t="n">
        <v>4663.61414</v>
      </c>
      <c r="W447" t="n">
        <v>4630.04914</v>
      </c>
      <c r="AB447" t="n">
        <v>4698.19147</v>
      </c>
      <c r="AC447" t="n">
        <v>4695.19132</v>
      </c>
      <c r="AD447" t="n">
        <v>0</v>
      </c>
      <c r="AK447" t="n">
        <v>445</v>
      </c>
      <c r="AL447" t="n">
        <v>444</v>
      </c>
      <c r="AM447" t="n">
        <v>4697.96</v>
      </c>
      <c r="AN447" t="n">
        <v>4698.5539</v>
      </c>
      <c r="AO447" t="n">
        <v>-0.5939</v>
      </c>
      <c r="AP447" t="n">
        <v>0.3527</v>
      </c>
      <c r="AQ447" t="n">
        <v>-5e-06</v>
      </c>
      <c r="AR447" t="n">
        <v>0</v>
      </c>
      <c r="AY447" t="n">
        <v>445</v>
      </c>
      <c r="AZ447" t="n">
        <v>444</v>
      </c>
      <c r="BA447" t="n">
        <v>4697.96</v>
      </c>
      <c r="BB447" t="n">
        <v>4698.5539</v>
      </c>
      <c r="BC447" t="n">
        <v>-0.5939</v>
      </c>
      <c r="BD447" t="n">
        <v>0.3527</v>
      </c>
      <c r="BE447" t="n">
        <v>197136</v>
      </c>
    </row>
    <row r="448">
      <c r="A448" t="n">
        <v>1776942902</v>
      </c>
      <c r="B448" t="inlineStr">
        <is>
          <t>XAUUSD</t>
        </is>
      </c>
      <c r="C448" t="inlineStr">
        <is>
          <t>M15</t>
        </is>
      </c>
      <c r="D448" t="n">
        <v>4699.27</v>
      </c>
      <c r="E448" t="n">
        <v>4518.59282</v>
      </c>
      <c r="F448" t="n">
        <v>4596.05595</v>
      </c>
      <c r="G448" t="n">
        <v>4755.40355</v>
      </c>
      <c r="H448" t="n">
        <v>4792.76972</v>
      </c>
      <c r="Q448" t="n">
        <v>4698.28631</v>
      </c>
      <c r="R448" t="n">
        <v>4727.64961</v>
      </c>
      <c r="S448" t="n">
        <v>4754.23838</v>
      </c>
      <c r="V448" t="n">
        <v>4663.34654</v>
      </c>
      <c r="W448" t="n">
        <v>4629.78154</v>
      </c>
      <c r="AB448" t="n">
        <v>4704.41131</v>
      </c>
      <c r="AC448" t="n">
        <v>4699.80131</v>
      </c>
      <c r="AD448" t="n">
        <v>0</v>
      </c>
      <c r="AK448" t="n">
        <v>446</v>
      </c>
      <c r="AL448" t="n">
        <v>445</v>
      </c>
      <c r="AM448" t="n">
        <v>4699.27</v>
      </c>
      <c r="AN448" t="n">
        <v>4698.2863</v>
      </c>
      <c r="AO448" t="n">
        <v>0.9837</v>
      </c>
      <c r="AP448" t="n">
        <v>0.9676</v>
      </c>
      <c r="AQ448" t="n">
        <v>2.2e-05</v>
      </c>
      <c r="AR448" t="n">
        <v>1e-06</v>
      </c>
      <c r="AY448" t="n">
        <v>446</v>
      </c>
      <c r="AZ448" t="n">
        <v>445</v>
      </c>
      <c r="BA448" t="n">
        <v>4699.27</v>
      </c>
      <c r="BB448" t="n">
        <v>4698.2863</v>
      </c>
      <c r="BC448" t="n">
        <v>0.9837</v>
      </c>
      <c r="BD448" t="n">
        <v>0.9676</v>
      </c>
      <c r="BE448" t="n">
        <v>198025</v>
      </c>
    </row>
    <row r="449">
      <c r="A449" t="n">
        <v>1776943802</v>
      </c>
      <c r="B449" t="inlineStr">
        <is>
          <t>XAUUSD</t>
        </is>
      </c>
      <c r="C449" t="inlineStr">
        <is>
          <t>M15</t>
        </is>
      </c>
      <c r="D449" t="n">
        <v>4705.48</v>
      </c>
      <c r="E449" t="n">
        <v>4518.59282</v>
      </c>
      <c r="F449" t="n">
        <v>4596.05595</v>
      </c>
      <c r="G449" t="n">
        <v>4755.40355</v>
      </c>
      <c r="H449" t="n">
        <v>4792.76972</v>
      </c>
      <c r="Q449" t="n">
        <v>4698.0187</v>
      </c>
      <c r="R449" t="n">
        <v>4727.382</v>
      </c>
      <c r="S449" t="n">
        <v>4753.97077</v>
      </c>
      <c r="V449" t="n">
        <v>4663.07893</v>
      </c>
      <c r="W449" t="n">
        <v>4629.51394</v>
      </c>
      <c r="AB449" t="n">
        <v>4711.65604</v>
      </c>
      <c r="AC449" t="n">
        <v>4705.72867</v>
      </c>
      <c r="AD449" t="n">
        <v>0</v>
      </c>
      <c r="AK449" t="n">
        <v>447</v>
      </c>
      <c r="AL449" t="n">
        <v>446</v>
      </c>
      <c r="AM449" t="n">
        <v>4705.48</v>
      </c>
      <c r="AN449" t="n">
        <v>4698.0187</v>
      </c>
      <c r="AO449" t="n">
        <v>7.4613</v>
      </c>
      <c r="AP449" t="n">
        <v>55.671</v>
      </c>
      <c r="AQ449" t="n">
        <v>0.009556</v>
      </c>
      <c r="AR449" t="n">
        <v>0.002028</v>
      </c>
      <c r="AY449" t="n">
        <v>447</v>
      </c>
      <c r="AZ449" t="n">
        <v>446</v>
      </c>
      <c r="BA449" t="n">
        <v>4705.48</v>
      </c>
      <c r="BB449" t="n">
        <v>4698.0187</v>
      </c>
      <c r="BC449" t="n">
        <v>7.4613</v>
      </c>
      <c r="BD449" t="n">
        <v>55.671</v>
      </c>
      <c r="BE449" t="n">
        <v>198916</v>
      </c>
    </row>
    <row r="450">
      <c r="A450" t="n">
        <v>1776944702</v>
      </c>
      <c r="B450" t="inlineStr">
        <is>
          <t>XAUUSD</t>
        </is>
      </c>
      <c r="C450" t="inlineStr">
        <is>
          <t>M15</t>
        </is>
      </c>
      <c r="D450" t="n">
        <v>4720.71</v>
      </c>
      <c r="E450" t="n">
        <v>4518.59282</v>
      </c>
      <c r="F450" t="n">
        <v>4596.05595</v>
      </c>
      <c r="G450" t="n">
        <v>4755.40355</v>
      </c>
      <c r="H450" t="n">
        <v>4792.76972</v>
      </c>
      <c r="Q450" t="n">
        <v>4697.7511</v>
      </c>
      <c r="R450" t="n">
        <v>4727.1144</v>
      </c>
      <c r="S450" t="n">
        <v>4753.70317</v>
      </c>
      <c r="V450" t="n">
        <v>4662.81133</v>
      </c>
      <c r="W450" t="n">
        <v>4629.24633</v>
      </c>
      <c r="AB450" t="n">
        <v>4719.14721</v>
      </c>
      <c r="AC450" t="n">
        <v>4712.43794</v>
      </c>
      <c r="AD450" t="n">
        <v>0</v>
      </c>
      <c r="AK450" t="n">
        <v>448</v>
      </c>
      <c r="AL450" t="n">
        <v>447</v>
      </c>
      <c r="AM450" t="n">
        <v>4720.71</v>
      </c>
      <c r="AN450" t="n">
        <v>4697.7511</v>
      </c>
      <c r="AO450" t="n">
        <v>22.9589</v>
      </c>
      <c r="AP450" t="n">
        <v>527.1111</v>
      </c>
      <c r="AQ450" t="n">
        <v>0.2784</v>
      </c>
      <c r="AR450" t="n">
        <v>0.181785</v>
      </c>
      <c r="AY450" t="n">
        <v>448</v>
      </c>
      <c r="AZ450" t="n">
        <v>447</v>
      </c>
      <c r="BA450" t="n">
        <v>4720.71</v>
      </c>
      <c r="BB450" t="n">
        <v>4697.7511</v>
      </c>
      <c r="BC450" t="n">
        <v>22.9589</v>
      </c>
      <c r="BD450" t="n">
        <v>527.1111</v>
      </c>
      <c r="BE450" t="n">
        <v>199809</v>
      </c>
    </row>
    <row r="451">
      <c r="A451" t="n">
        <v>1776945602</v>
      </c>
      <c r="B451" t="inlineStr">
        <is>
          <t>XAUUSD</t>
        </is>
      </c>
      <c r="C451" t="inlineStr">
        <is>
          <t>M15</t>
        </is>
      </c>
      <c r="D451" t="n">
        <v>4729.21</v>
      </c>
      <c r="E451" t="n">
        <v>4518.59282</v>
      </c>
      <c r="F451" t="n">
        <v>4596.05595</v>
      </c>
      <c r="G451" t="n">
        <v>4755.40355</v>
      </c>
      <c r="H451" t="n">
        <v>4792.76972</v>
      </c>
      <c r="Q451" t="n">
        <v>4697.48349</v>
      </c>
      <c r="R451" t="n">
        <v>4726.84679</v>
      </c>
      <c r="S451" t="n">
        <v>4753.43556</v>
      </c>
      <c r="V451" t="n">
        <v>4662.54372</v>
      </c>
      <c r="W451" t="n">
        <v>4628.97873</v>
      </c>
      <c r="AB451" t="n">
        <v>4725.80123</v>
      </c>
      <c r="AC451" t="n">
        <v>4719.11958</v>
      </c>
      <c r="AD451" t="n">
        <v>0</v>
      </c>
      <c r="AK451" t="n">
        <v>449</v>
      </c>
      <c r="AL451" t="n">
        <v>448</v>
      </c>
      <c r="AM451" t="n">
        <v>4729.21</v>
      </c>
      <c r="AN451" t="n">
        <v>4697.4835</v>
      </c>
      <c r="AO451" t="n">
        <v>31.7265</v>
      </c>
      <c r="AP451" t="n">
        <v>1006.5714</v>
      </c>
      <c r="AQ451" t="n">
        <v>0.734653</v>
      </c>
      <c r="AR451" t="n">
        <v>0.662893</v>
      </c>
      <c r="AY451" t="n">
        <v>449</v>
      </c>
      <c r="AZ451" t="n">
        <v>448</v>
      </c>
      <c r="BA451" t="n">
        <v>4729.21</v>
      </c>
      <c r="BB451" t="n">
        <v>4697.4835</v>
      </c>
      <c r="BC451" t="n">
        <v>31.7265</v>
      </c>
      <c r="BD451" t="n">
        <v>1006.5714</v>
      </c>
      <c r="BE451" t="n">
        <v>200704</v>
      </c>
    </row>
    <row r="452">
      <c r="A452" t="n">
        <v>1776946502</v>
      </c>
      <c r="B452" t="inlineStr">
        <is>
          <t>XAUUSD</t>
        </is>
      </c>
      <c r="C452" t="inlineStr">
        <is>
          <t>M15</t>
        </is>
      </c>
      <c r="D452" t="n">
        <v>4733.39</v>
      </c>
      <c r="E452" t="n">
        <v>4518.59282</v>
      </c>
      <c r="F452" t="n">
        <v>4596.05595</v>
      </c>
      <c r="G452" t="n">
        <v>4755.40355</v>
      </c>
      <c r="H452" t="n">
        <v>4792.76972</v>
      </c>
      <c r="Q452" t="n">
        <v>4697.21589</v>
      </c>
      <c r="R452" t="n">
        <v>4726.57919</v>
      </c>
      <c r="S452" t="n">
        <v>4753.16796</v>
      </c>
      <c r="V452" t="n">
        <v>4662.27612</v>
      </c>
      <c r="W452" t="n">
        <v>4628.71112</v>
      </c>
      <c r="AB452" t="n">
        <v>4730.86558</v>
      </c>
      <c r="AC452" t="n">
        <v>4724.99258</v>
      </c>
      <c r="AD452" t="n">
        <v>0</v>
      </c>
      <c r="AK452" t="n">
        <v>450</v>
      </c>
      <c r="AL452" t="n">
        <v>449</v>
      </c>
      <c r="AM452" t="n">
        <v>4733.39</v>
      </c>
      <c r="AN452" t="n">
        <v>4697.2159</v>
      </c>
      <c r="AO452" t="n">
        <v>36.1741</v>
      </c>
      <c r="AP452" t="n">
        <v>1308.5662</v>
      </c>
      <c r="AQ452" t="n">
        <v>1.088953</v>
      </c>
      <c r="AR452" t="n">
        <v>1.120329</v>
      </c>
      <c r="AY452" t="n">
        <v>450</v>
      </c>
      <c r="AZ452" t="n">
        <v>449</v>
      </c>
      <c r="BA452" t="n">
        <v>4733.39</v>
      </c>
      <c r="BB452" t="n">
        <v>4697.2159</v>
      </c>
      <c r="BC452" t="n">
        <v>36.1741</v>
      </c>
      <c r="BD452" t="n">
        <v>1308.5662</v>
      </c>
      <c r="BE452" t="n">
        <v>201601</v>
      </c>
    </row>
    <row r="453">
      <c r="A453" t="n">
        <v>1776947402</v>
      </c>
      <c r="B453" t="inlineStr">
        <is>
          <t>XAUUSD</t>
        </is>
      </c>
      <c r="C453" t="inlineStr">
        <is>
          <t>M15</t>
        </is>
      </c>
      <c r="D453" t="n">
        <v>4739.41</v>
      </c>
      <c r="E453" t="n">
        <v>4518.59282</v>
      </c>
      <c r="F453" t="n">
        <v>4596.05595</v>
      </c>
      <c r="G453" t="n">
        <v>4755.40355</v>
      </c>
      <c r="H453" t="n">
        <v>4792.76972</v>
      </c>
      <c r="Q453" t="n">
        <v>4696.94829</v>
      </c>
      <c r="R453" t="n">
        <v>4726.31159</v>
      </c>
      <c r="S453" t="n">
        <v>4752.90036</v>
      </c>
      <c r="V453" t="n">
        <v>4662.00852</v>
      </c>
      <c r="W453" t="n">
        <v>4628.44352</v>
      </c>
      <c r="AB453" t="n">
        <v>4733.93202</v>
      </c>
      <c r="AC453" t="n">
        <v>4729.4623</v>
      </c>
      <c r="AD453" t="n">
        <v>0</v>
      </c>
      <c r="AK453" t="n">
        <v>451</v>
      </c>
      <c r="AL453" t="n">
        <v>450</v>
      </c>
      <c r="AM453" t="n">
        <v>4739.41</v>
      </c>
      <c r="AN453" t="n">
        <v>4696.9483</v>
      </c>
      <c r="AO453" t="n">
        <v>42.4617</v>
      </c>
      <c r="AP453" t="n">
        <v>1802.9968</v>
      </c>
      <c r="AQ453" t="n">
        <v>1.761197</v>
      </c>
      <c r="AR453" t="n">
        <v>2.126885</v>
      </c>
      <c r="AY453" t="n">
        <v>451</v>
      </c>
      <c r="AZ453" t="n">
        <v>450</v>
      </c>
      <c r="BA453" t="n">
        <v>4739.41</v>
      </c>
      <c r="BB453" t="n">
        <v>4696.9483</v>
      </c>
      <c r="BC453" t="n">
        <v>42.4617</v>
      </c>
      <c r="BD453" t="n">
        <v>1802.9968</v>
      </c>
      <c r="BE453" t="n">
        <v>202500</v>
      </c>
    </row>
    <row r="454">
      <c r="A454" t="n">
        <v>1776948302</v>
      </c>
      <c r="B454" t="inlineStr">
        <is>
          <t>XAUUSD</t>
        </is>
      </c>
      <c r="C454" t="inlineStr">
        <is>
          <t>M15</t>
        </is>
      </c>
      <c r="D454" t="n">
        <v>4740.04</v>
      </c>
      <c r="E454" t="n">
        <v>4518.59282</v>
      </c>
      <c r="F454" t="n">
        <v>4596.05595</v>
      </c>
      <c r="G454" t="n">
        <v>4755.40355</v>
      </c>
      <c r="H454" t="n">
        <v>4792.76972</v>
      </c>
      <c r="Q454" t="n">
        <v>4696.68068</v>
      </c>
      <c r="R454" t="n">
        <v>4726.04398</v>
      </c>
      <c r="S454" t="n">
        <v>4752.63275</v>
      </c>
      <c r="V454" t="n">
        <v>4661.74091</v>
      </c>
      <c r="W454" t="n">
        <v>4628.17592</v>
      </c>
      <c r="Z454" t="n">
        <v>4743.22</v>
      </c>
      <c r="AB454" t="n">
        <v>4734.87766</v>
      </c>
      <c r="AC454" t="n">
        <v>4732.16998</v>
      </c>
      <c r="AD454" t="n">
        <v>0</v>
      </c>
      <c r="AK454" t="n">
        <v>452</v>
      </c>
      <c r="AL454" t="n">
        <v>451</v>
      </c>
      <c r="AM454" t="n">
        <v>4740.04</v>
      </c>
      <c r="AN454" t="n">
        <v>4696.6807</v>
      </c>
      <c r="AO454" t="n">
        <v>43.3593</v>
      </c>
      <c r="AP454" t="n">
        <v>1880.0306</v>
      </c>
      <c r="AQ454" t="n">
        <v>1.875266</v>
      </c>
      <c r="AR454" t="n">
        <v>2.312512</v>
      </c>
      <c r="AY454" t="n">
        <v>452</v>
      </c>
      <c r="AZ454" t="n">
        <v>451</v>
      </c>
      <c r="BA454" t="n">
        <v>4740.04</v>
      </c>
      <c r="BB454" t="n">
        <v>4696.6807</v>
      </c>
      <c r="BC454" t="n">
        <v>43.3593</v>
      </c>
      <c r="BD454" t="n">
        <v>1880.0306</v>
      </c>
      <c r="BE454" t="n">
        <v>203401</v>
      </c>
    </row>
    <row r="455">
      <c r="A455" t="n">
        <v>1776949202</v>
      </c>
      <c r="B455" t="inlineStr">
        <is>
          <t>XAUUSD</t>
        </is>
      </c>
      <c r="C455" t="inlineStr">
        <is>
          <t>M15</t>
        </is>
      </c>
      <c r="D455" t="n">
        <v>4725.95</v>
      </c>
      <c r="E455" t="n">
        <v>4518.59282</v>
      </c>
      <c r="F455" t="n">
        <v>4596.05595</v>
      </c>
      <c r="G455" t="n">
        <v>4755.40355</v>
      </c>
      <c r="H455" t="n">
        <v>4792.76972</v>
      </c>
      <c r="Q455" t="n">
        <v>4696.41308</v>
      </c>
      <c r="R455" t="n">
        <v>4725.77638</v>
      </c>
      <c r="S455" t="n">
        <v>4752.36515</v>
      </c>
      <c r="V455" t="n">
        <v>4661.47331</v>
      </c>
      <c r="W455" t="n">
        <v>4627.90831</v>
      </c>
      <c r="AB455" t="n">
        <v>4734.05049</v>
      </c>
      <c r="AC455" t="n">
        <v>4733.11024</v>
      </c>
      <c r="AD455" t="n">
        <v>0</v>
      </c>
      <c r="AK455" t="n">
        <v>453</v>
      </c>
      <c r="AL455" t="n">
        <v>452</v>
      </c>
      <c r="AM455" t="n">
        <v>4725.95</v>
      </c>
      <c r="AN455" t="n">
        <v>4696.4131</v>
      </c>
      <c r="AO455" t="n">
        <v>29.5369</v>
      </c>
      <c r="AP455" t="n">
        <v>872.4296000000001</v>
      </c>
      <c r="AQ455" t="n">
        <v>0.592804</v>
      </c>
      <c r="AR455" t="n">
        <v>0.497983</v>
      </c>
      <c r="AY455" t="n">
        <v>453</v>
      </c>
      <c r="AZ455" t="n">
        <v>452</v>
      </c>
      <c r="BA455" t="n">
        <v>4725.95</v>
      </c>
      <c r="BB455" t="n">
        <v>4696.4131</v>
      </c>
      <c r="BC455" t="n">
        <v>29.5369</v>
      </c>
      <c r="BD455" t="n">
        <v>872.4296000000001</v>
      </c>
      <c r="BE455" t="n">
        <v>204304</v>
      </c>
    </row>
    <row r="456">
      <c r="A456" t="n">
        <v>1776950102</v>
      </c>
      <c r="B456" t="inlineStr">
        <is>
          <t>XAUUSD</t>
        </is>
      </c>
      <c r="C456" t="inlineStr">
        <is>
          <t>M15</t>
        </is>
      </c>
      <c r="D456" t="n">
        <v>4727.53</v>
      </c>
      <c r="E456" t="n">
        <v>4518.59282</v>
      </c>
      <c r="F456" t="n">
        <v>4596.05595</v>
      </c>
      <c r="G456" t="n">
        <v>4755.40355</v>
      </c>
      <c r="H456" t="n">
        <v>4792.76972</v>
      </c>
      <c r="Q456" t="n">
        <v>4696.14547</v>
      </c>
      <c r="R456" t="n">
        <v>4725.50877</v>
      </c>
      <c r="S456" t="n">
        <v>4752.09754</v>
      </c>
      <c r="V456" t="n">
        <v>4661.2057</v>
      </c>
      <c r="W456" t="n">
        <v>4627.64071</v>
      </c>
      <c r="AB456" t="n">
        <v>4732.42029</v>
      </c>
      <c r="AC456" t="n">
        <v>4732.76526</v>
      </c>
      <c r="AD456" t="n">
        <v>1</v>
      </c>
      <c r="AK456" t="n">
        <v>454</v>
      </c>
      <c r="AL456" t="n">
        <v>453</v>
      </c>
      <c r="AM456" t="n">
        <v>4727.53</v>
      </c>
      <c r="AN456" t="n">
        <v>4696.1455</v>
      </c>
      <c r="AO456" t="n">
        <v>31.3845</v>
      </c>
      <c r="AP456" t="n">
        <v>984.9887</v>
      </c>
      <c r="AQ456" t="n">
        <v>0.711152</v>
      </c>
      <c r="AR456" t="n">
        <v>0.6347699999999999</v>
      </c>
      <c r="AY456" t="n">
        <v>454</v>
      </c>
      <c r="AZ456" t="n">
        <v>453</v>
      </c>
      <c r="BA456" t="n">
        <v>4727.53</v>
      </c>
      <c r="BB456" t="n">
        <v>4696.1455</v>
      </c>
      <c r="BC456" t="n">
        <v>31.3845</v>
      </c>
      <c r="BD456" t="n">
        <v>984.9887</v>
      </c>
      <c r="BE456" t="n">
        <v>205209</v>
      </c>
    </row>
    <row r="457">
      <c r="A457" t="n">
        <v>1776951002</v>
      </c>
      <c r="B457" t="inlineStr">
        <is>
          <t>XAUUSD</t>
        </is>
      </c>
      <c r="C457" t="inlineStr">
        <is>
          <t>M15</t>
        </is>
      </c>
      <c r="D457" t="n">
        <v>4734.55</v>
      </c>
      <c r="E457" t="n">
        <v>4518.59282</v>
      </c>
      <c r="F457" t="n">
        <v>4596.05595</v>
      </c>
      <c r="G457" t="n">
        <v>4755.40355</v>
      </c>
      <c r="H457" t="n">
        <v>4792.76972</v>
      </c>
      <c r="Q457" t="n">
        <v>4695.87787</v>
      </c>
      <c r="R457" t="n">
        <v>4725.24117</v>
      </c>
      <c r="S457" t="n">
        <v>4751.82994</v>
      </c>
      <c r="V457" t="n">
        <v>4660.9381</v>
      </c>
      <c r="W457" t="n">
        <v>4627.3731</v>
      </c>
      <c r="AB457" t="n">
        <v>4730.54749</v>
      </c>
      <c r="AC457" t="n">
        <v>4731.65638</v>
      </c>
      <c r="AD457" t="n">
        <v>0</v>
      </c>
      <c r="AK457" t="n">
        <v>455</v>
      </c>
      <c r="AL457" t="n">
        <v>454</v>
      </c>
      <c r="AM457" t="n">
        <v>4734.55</v>
      </c>
      <c r="AN457" t="n">
        <v>4695.8779</v>
      </c>
      <c r="AO457" t="n">
        <v>38.6721</v>
      </c>
      <c r="AP457" t="n">
        <v>1495.5336</v>
      </c>
      <c r="AQ457" t="n">
        <v>1.330485</v>
      </c>
      <c r="AR457" t="n">
        <v>1.463344</v>
      </c>
      <c r="AY457" t="n">
        <v>455</v>
      </c>
      <c r="AZ457" t="n">
        <v>454</v>
      </c>
      <c r="BA457" t="n">
        <v>4734.55</v>
      </c>
      <c r="BB457" t="n">
        <v>4695.8779</v>
      </c>
      <c r="BC457" t="n">
        <v>38.6721</v>
      </c>
      <c r="BD457" t="n">
        <v>1495.5336</v>
      </c>
      <c r="BE457" t="n">
        <v>206116</v>
      </c>
    </row>
    <row r="458">
      <c r="A458" t="n">
        <v>1776951902</v>
      </c>
      <c r="B458" t="inlineStr">
        <is>
          <t>XAUUSD</t>
        </is>
      </c>
      <c r="C458" t="inlineStr">
        <is>
          <t>M15</t>
        </is>
      </c>
      <c r="D458" t="n">
        <v>4724.46</v>
      </c>
      <c r="E458" t="n">
        <v>4518.59282</v>
      </c>
      <c r="F458" t="n">
        <v>4596.05595</v>
      </c>
      <c r="G458" t="n">
        <v>4755.40355</v>
      </c>
      <c r="H458" t="n">
        <v>4792.76972</v>
      </c>
      <c r="Q458" t="n">
        <v>4695.61027</v>
      </c>
      <c r="R458" t="n">
        <v>4724.97357</v>
      </c>
      <c r="S458" t="n">
        <v>4751.56234</v>
      </c>
      <c r="V458" t="n">
        <v>4660.6705</v>
      </c>
      <c r="W458" t="n">
        <v>4627.1055</v>
      </c>
      <c r="AB458" t="n">
        <v>4728.79684</v>
      </c>
      <c r="AC458" t="n">
        <v>4730.22661</v>
      </c>
      <c r="AD458" t="n">
        <v>0</v>
      </c>
      <c r="AK458" t="n">
        <v>456</v>
      </c>
      <c r="AL458" t="n">
        <v>455</v>
      </c>
      <c r="AM458" t="n">
        <v>4724.46</v>
      </c>
      <c r="AN458" t="n">
        <v>4695.6103</v>
      </c>
      <c r="AO458" t="n">
        <v>28.8497</v>
      </c>
      <c r="AP458" t="n">
        <v>832.3069</v>
      </c>
      <c r="AQ458" t="n">
        <v>0.552384</v>
      </c>
      <c r="AR458" t="n">
        <v>0.453233</v>
      </c>
      <c r="AY458" t="n">
        <v>456</v>
      </c>
      <c r="AZ458" t="n">
        <v>455</v>
      </c>
      <c r="BA458" t="n">
        <v>4724.46</v>
      </c>
      <c r="BB458" t="n">
        <v>4695.6103</v>
      </c>
      <c r="BC458" t="n">
        <v>28.8497</v>
      </c>
      <c r="BD458" t="n">
        <v>832.3069</v>
      </c>
      <c r="BE458" t="n">
        <v>207025</v>
      </c>
    </row>
    <row r="459">
      <c r="A459" t="n">
        <v>1776952802</v>
      </c>
      <c r="B459" t="inlineStr">
        <is>
          <t>XAUUSD</t>
        </is>
      </c>
      <c r="C459" t="inlineStr">
        <is>
          <t>M15</t>
        </is>
      </c>
      <c r="D459" t="n">
        <v>4724.31</v>
      </c>
      <c r="E459" t="n">
        <v>4518.59282</v>
      </c>
      <c r="F459" t="n">
        <v>4596.05595</v>
      </c>
      <c r="G459" t="n">
        <v>4755.40355</v>
      </c>
      <c r="H459" t="n">
        <v>4792.76972</v>
      </c>
      <c r="Q459" t="n">
        <v>4695.34266</v>
      </c>
      <c r="R459" t="n">
        <v>4724.70596</v>
      </c>
      <c r="S459" t="n">
        <v>4751.29473</v>
      </c>
      <c r="V459" t="n">
        <v>4660.40289</v>
      </c>
      <c r="W459" t="n">
        <v>4626.8379</v>
      </c>
      <c r="AB459" t="n">
        <v>4727.84824</v>
      </c>
      <c r="AC459" t="n">
        <v>4729.03742</v>
      </c>
      <c r="AD459" t="n">
        <v>0</v>
      </c>
      <c r="AK459" t="n">
        <v>457</v>
      </c>
      <c r="AL459" t="n">
        <v>456</v>
      </c>
      <c r="AM459" t="n">
        <v>4724.31</v>
      </c>
      <c r="AN459" t="n">
        <v>4695.3427</v>
      </c>
      <c r="AO459" t="n">
        <v>28.9673</v>
      </c>
      <c r="AP459" t="n">
        <v>839.1068</v>
      </c>
      <c r="AQ459" t="n">
        <v>0.559167</v>
      </c>
      <c r="AR459" t="n">
        <v>0.460669</v>
      </c>
      <c r="AY459" t="n">
        <v>457</v>
      </c>
      <c r="AZ459" t="n">
        <v>456</v>
      </c>
      <c r="BA459" t="n">
        <v>4724.31</v>
      </c>
      <c r="BB459" t="n">
        <v>4695.3427</v>
      </c>
      <c r="BC459" t="n">
        <v>28.9673</v>
      </c>
      <c r="BD459" t="n">
        <v>839.1068</v>
      </c>
      <c r="BE459" t="n">
        <v>207936</v>
      </c>
    </row>
    <row r="460">
      <c r="A460" t="n">
        <v>1776953702</v>
      </c>
      <c r="B460" t="inlineStr">
        <is>
          <t>XAUUSD</t>
        </is>
      </c>
      <c r="C460" t="inlineStr">
        <is>
          <t>M15</t>
        </is>
      </c>
      <c r="D460" t="n">
        <v>4731.54</v>
      </c>
      <c r="E460" t="n">
        <v>4518.59282</v>
      </c>
      <c r="F460" t="n">
        <v>4596.05595</v>
      </c>
      <c r="G460" t="n">
        <v>4755.40355</v>
      </c>
      <c r="H460" t="n">
        <v>4792.76972</v>
      </c>
      <c r="Q460" t="n">
        <v>4695.07506</v>
      </c>
      <c r="R460" t="n">
        <v>4724.43836</v>
      </c>
      <c r="S460" t="n">
        <v>4751.02713</v>
      </c>
      <c r="V460" t="n">
        <v>4660.13529</v>
      </c>
      <c r="W460" t="n">
        <v>4626.57029</v>
      </c>
      <c r="AB460" t="n">
        <v>4727.84825</v>
      </c>
      <c r="AC460" t="n">
        <v>4728.44283</v>
      </c>
      <c r="AD460" t="n">
        <v>0</v>
      </c>
      <c r="AK460" t="n">
        <v>458</v>
      </c>
      <c r="AL460" t="n">
        <v>457</v>
      </c>
      <c r="AM460" t="n">
        <v>4731.54</v>
      </c>
      <c r="AN460" t="n">
        <v>4695.0751</v>
      </c>
      <c r="AO460" t="n">
        <v>36.4649</v>
      </c>
      <c r="AP460" t="n">
        <v>1329.6918</v>
      </c>
      <c r="AQ460" t="n">
        <v>1.115429</v>
      </c>
      <c r="AR460" t="n">
        <v>1.156794</v>
      </c>
      <c r="AY460" t="n">
        <v>458</v>
      </c>
      <c r="AZ460" t="n">
        <v>457</v>
      </c>
      <c r="BA460" t="n">
        <v>4731.54</v>
      </c>
      <c r="BB460" t="n">
        <v>4695.0751</v>
      </c>
      <c r="BC460" t="n">
        <v>36.4649</v>
      </c>
      <c r="BD460" t="n">
        <v>1329.6918</v>
      </c>
      <c r="BE460" t="n">
        <v>208849</v>
      </c>
    </row>
    <row r="461">
      <c r="A461" t="n">
        <v>1776954602</v>
      </c>
      <c r="B461" t="inlineStr">
        <is>
          <t>XAUUSD</t>
        </is>
      </c>
      <c r="C461" t="inlineStr">
        <is>
          <t>M15</t>
        </is>
      </c>
      <c r="D461" t="n">
        <v>4730.97</v>
      </c>
      <c r="E461" t="n">
        <v>4518.59282</v>
      </c>
      <c r="F461" t="n">
        <v>4596.05595</v>
      </c>
      <c r="G461" t="n">
        <v>4755.40355</v>
      </c>
      <c r="H461" t="n">
        <v>4792.76972</v>
      </c>
      <c r="Q461" t="n">
        <v>4694.80745</v>
      </c>
      <c r="R461" t="n">
        <v>4724.17075</v>
      </c>
      <c r="S461" t="n">
        <v>4750.75952</v>
      </c>
      <c r="V461" t="n">
        <v>4659.86768</v>
      </c>
      <c r="W461" t="n">
        <v>4626.30269</v>
      </c>
      <c r="AB461" t="n">
        <v>4728.48977</v>
      </c>
      <c r="AC461" t="n">
        <v>4728.4663</v>
      </c>
      <c r="AD461" t="n">
        <v>1</v>
      </c>
      <c r="AK461" t="n">
        <v>459</v>
      </c>
      <c r="AL461" t="n">
        <v>458</v>
      </c>
      <c r="AM461" t="n">
        <v>4730.97</v>
      </c>
      <c r="AN461" t="n">
        <v>4694.8075</v>
      </c>
      <c r="AO461" t="n">
        <v>36.1626</v>
      </c>
      <c r="AP461" t="n">
        <v>1307.73</v>
      </c>
      <c r="AQ461" t="n">
        <v>1.087909</v>
      </c>
      <c r="AR461" t="n">
        <v>1.118897</v>
      </c>
      <c r="AY461" t="n">
        <v>459</v>
      </c>
      <c r="AZ461" t="n">
        <v>458</v>
      </c>
      <c r="BA461" t="n">
        <v>4730.97</v>
      </c>
      <c r="BB461" t="n">
        <v>4694.8075</v>
      </c>
      <c r="BC461" t="n">
        <v>36.1626</v>
      </c>
      <c r="BD461" t="n">
        <v>1307.73</v>
      </c>
      <c r="BE461" t="n">
        <v>209764</v>
      </c>
    </row>
    <row r="462">
      <c r="A462" t="n">
        <v>1776955502</v>
      </c>
      <c r="B462" t="inlineStr">
        <is>
          <t>XAUUSD</t>
        </is>
      </c>
      <c r="C462" t="inlineStr">
        <is>
          <t>M15</t>
        </is>
      </c>
      <c r="D462" t="n">
        <v>4733.72</v>
      </c>
      <c r="E462" t="n">
        <v>4518.59282</v>
      </c>
      <c r="F462" t="n">
        <v>4596.05595</v>
      </c>
      <c r="G462" t="n">
        <v>4755.40355</v>
      </c>
      <c r="H462" t="n">
        <v>4792.76972</v>
      </c>
      <c r="Q462" t="n">
        <v>4694.53985</v>
      </c>
      <c r="R462" t="n">
        <v>4723.90315</v>
      </c>
      <c r="S462" t="n">
        <v>4750.49192</v>
      </c>
      <c r="V462" t="n">
        <v>4659.60008</v>
      </c>
      <c r="W462" t="n">
        <v>4626.03508</v>
      </c>
      <c r="AB462" t="n">
        <v>4729.49372</v>
      </c>
      <c r="AC462" t="n">
        <v>4728.98001</v>
      </c>
      <c r="AD462" t="n">
        <v>0</v>
      </c>
      <c r="AK462" t="n">
        <v>460</v>
      </c>
      <c r="AL462" t="n">
        <v>459</v>
      </c>
      <c r="AM462" t="n">
        <v>4733.72</v>
      </c>
      <c r="AN462" t="n">
        <v>4694.5399</v>
      </c>
      <c r="AO462" t="n">
        <v>39.1802</v>
      </c>
      <c r="AP462" t="n">
        <v>1535.0842</v>
      </c>
      <c r="AQ462" t="n">
        <v>1.383611</v>
      </c>
      <c r="AR462" t="n">
        <v>1.541766</v>
      </c>
      <c r="AY462" t="n">
        <v>460</v>
      </c>
      <c r="AZ462" t="n">
        <v>459</v>
      </c>
      <c r="BA462" t="n">
        <v>4733.72</v>
      </c>
      <c r="BB462" t="n">
        <v>4694.5399</v>
      </c>
      <c r="BC462" t="n">
        <v>39.1802</v>
      </c>
      <c r="BD462" t="n">
        <v>1535.0842</v>
      </c>
      <c r="BE462" t="n">
        <v>210681</v>
      </c>
    </row>
    <row r="463">
      <c r="A463" t="n">
        <v>1776956402</v>
      </c>
      <c r="B463" t="inlineStr">
        <is>
          <t>XAUUSD</t>
        </is>
      </c>
      <c r="C463" t="inlineStr">
        <is>
          <t>M15</t>
        </is>
      </c>
      <c r="D463" t="n">
        <v>4730.76</v>
      </c>
      <c r="E463" t="n">
        <v>4518.59282</v>
      </c>
      <c r="F463" t="n">
        <v>4596.05595</v>
      </c>
      <c r="G463" t="n">
        <v>4755.40355</v>
      </c>
      <c r="H463" t="n">
        <v>4792.76972</v>
      </c>
      <c r="Q463" t="n">
        <v>4694.27225</v>
      </c>
      <c r="R463" t="n">
        <v>4723.63554</v>
      </c>
      <c r="S463" t="n">
        <v>4750.22432</v>
      </c>
      <c r="V463" t="n">
        <v>4659.33248</v>
      </c>
      <c r="W463" t="n">
        <v>4625.76748</v>
      </c>
      <c r="AB463" t="n">
        <v>4730.38769</v>
      </c>
      <c r="AC463" t="n">
        <v>4729.68385</v>
      </c>
      <c r="AD463" t="n">
        <v>0</v>
      </c>
      <c r="AK463" t="n">
        <v>461</v>
      </c>
      <c r="AL463" t="n">
        <v>460</v>
      </c>
      <c r="AM463" t="n">
        <v>4730.76</v>
      </c>
      <c r="AN463" t="n">
        <v>4694.2722</v>
      </c>
      <c r="AO463" t="n">
        <v>36.4878</v>
      </c>
      <c r="AP463" t="n">
        <v>1331.3559</v>
      </c>
      <c r="AQ463" t="n">
        <v>1.117524</v>
      </c>
      <c r="AR463" t="n">
        <v>1.159691</v>
      </c>
      <c r="AY463" t="n">
        <v>461</v>
      </c>
      <c r="AZ463" t="n">
        <v>460</v>
      </c>
      <c r="BA463" t="n">
        <v>4730.76</v>
      </c>
      <c r="BB463" t="n">
        <v>4694.2722</v>
      </c>
      <c r="BC463" t="n">
        <v>36.4878</v>
      </c>
      <c r="BD463" t="n">
        <v>1331.3559</v>
      </c>
      <c r="BE463" t="n">
        <v>211600</v>
      </c>
    </row>
    <row r="464">
      <c r="A464" t="n">
        <v>1776957302</v>
      </c>
      <c r="B464" t="inlineStr">
        <is>
          <t>XAUUSD</t>
        </is>
      </c>
      <c r="C464" t="inlineStr">
        <is>
          <t>M15</t>
        </is>
      </c>
      <c r="D464" t="n">
        <v>4733.6</v>
      </c>
      <c r="E464" t="n">
        <v>4518.59282</v>
      </c>
      <c r="F464" t="n">
        <v>4596.05595</v>
      </c>
      <c r="G464" t="n">
        <v>4755.40355</v>
      </c>
      <c r="H464" t="n">
        <v>4792.76972</v>
      </c>
      <c r="Q464" t="n">
        <v>4694.00464</v>
      </c>
      <c r="R464" t="n">
        <v>4723.36794</v>
      </c>
      <c r="S464" t="n">
        <v>4749.95671</v>
      </c>
      <c r="V464" t="n">
        <v>4659.06487</v>
      </c>
      <c r="W464" t="n">
        <v>4625.49988</v>
      </c>
      <c r="AB464" t="n">
        <v>4730.83101</v>
      </c>
      <c r="AC464" t="n">
        <v>4730.25743</v>
      </c>
      <c r="AD464" t="n">
        <v>0</v>
      </c>
      <c r="AK464" t="n">
        <v>462</v>
      </c>
      <c r="AL464" t="n">
        <v>461</v>
      </c>
      <c r="AM464" t="n">
        <v>4733.6</v>
      </c>
      <c r="AN464" t="n">
        <v>4694.0046</v>
      </c>
      <c r="AO464" t="n">
        <v>39.5954</v>
      </c>
      <c r="AP464" t="n">
        <v>1567.7925</v>
      </c>
      <c r="AQ464" t="n">
        <v>1.428067</v>
      </c>
      <c r="AR464" t="n">
        <v>1.608168</v>
      </c>
      <c r="AY464" t="n">
        <v>462</v>
      </c>
      <c r="AZ464" t="n">
        <v>461</v>
      </c>
      <c r="BA464" t="n">
        <v>4733.6</v>
      </c>
      <c r="BB464" t="n">
        <v>4694.0046</v>
      </c>
      <c r="BC464" t="n">
        <v>39.5954</v>
      </c>
      <c r="BD464" t="n">
        <v>1567.7925</v>
      </c>
      <c r="BE464" t="n">
        <v>212521</v>
      </c>
    </row>
    <row r="465">
      <c r="A465" t="n">
        <v>1776958202</v>
      </c>
      <c r="B465" t="inlineStr">
        <is>
          <t>XAUUSD</t>
        </is>
      </c>
      <c r="C465" t="inlineStr">
        <is>
          <t>M15</t>
        </is>
      </c>
      <c r="D465" t="n">
        <v>4728.34</v>
      </c>
      <c r="E465" t="n">
        <v>4518.59282</v>
      </c>
      <c r="F465" t="n">
        <v>4596.05595</v>
      </c>
      <c r="G465" t="n">
        <v>4755.40355</v>
      </c>
      <c r="H465" t="n">
        <v>4792.76972</v>
      </c>
      <c r="Q465" t="n">
        <v>4693.73704</v>
      </c>
      <c r="R465" t="n">
        <v>4723.10034</v>
      </c>
      <c r="S465" t="n">
        <v>4749.68911</v>
      </c>
      <c r="V465" t="n">
        <v>4658.79727</v>
      </c>
      <c r="W465" t="n">
        <v>4625.23227</v>
      </c>
      <c r="AB465" t="n">
        <v>4730.42014</v>
      </c>
      <c r="AC465" t="n">
        <v>4730.33878</v>
      </c>
      <c r="AD465" t="n">
        <v>0</v>
      </c>
      <c r="AK465" t="n">
        <v>463</v>
      </c>
      <c r="AL465" t="n">
        <v>462</v>
      </c>
      <c r="AM465" t="n">
        <v>4728.34</v>
      </c>
      <c r="AN465" t="n">
        <v>4693.737</v>
      </c>
      <c r="AO465" t="n">
        <v>34.603</v>
      </c>
      <c r="AP465" t="n">
        <v>1197.3648</v>
      </c>
      <c r="AQ465" t="n">
        <v>0.953137</v>
      </c>
      <c r="AR465" t="n">
        <v>0.938009</v>
      </c>
      <c r="AY465" t="n">
        <v>463</v>
      </c>
      <c r="AZ465" t="n">
        <v>462</v>
      </c>
      <c r="BA465" t="n">
        <v>4728.34</v>
      </c>
      <c r="BB465" t="n">
        <v>4693.737</v>
      </c>
      <c r="BC465" t="n">
        <v>34.603</v>
      </c>
      <c r="BD465" t="n">
        <v>1197.3648</v>
      </c>
      <c r="BE465" t="n">
        <v>213444</v>
      </c>
    </row>
    <row r="466">
      <c r="A466" t="n">
        <v>1776959102</v>
      </c>
      <c r="B466" t="inlineStr">
        <is>
          <t>XAUUSD</t>
        </is>
      </c>
      <c r="C466" t="inlineStr">
        <is>
          <t>M15</t>
        </is>
      </c>
      <c r="D466" t="n">
        <v>4720.42</v>
      </c>
      <c r="E466" t="n">
        <v>4518.59282</v>
      </c>
      <c r="F466" t="n">
        <v>4596.05595</v>
      </c>
      <c r="G466" t="n">
        <v>4755.40355</v>
      </c>
      <c r="H466" t="n">
        <v>4792.76972</v>
      </c>
      <c r="Q466" t="n">
        <v>4693.46943</v>
      </c>
      <c r="R466" t="n">
        <v>4722.83273</v>
      </c>
      <c r="S466" t="n">
        <v>4749.4215</v>
      </c>
      <c r="V466" t="n">
        <v>4658.52966</v>
      </c>
      <c r="W466" t="n">
        <v>4624.96467</v>
      </c>
      <c r="AB466" t="n">
        <v>4729.11984</v>
      </c>
      <c r="AC466" t="n">
        <v>4729.72931</v>
      </c>
      <c r="AD466" t="n">
        <v>1</v>
      </c>
      <c r="AK466" t="n">
        <v>464</v>
      </c>
      <c r="AL466" t="n">
        <v>463</v>
      </c>
      <c r="AM466" t="n">
        <v>4720.42</v>
      </c>
      <c r="AN466" t="n">
        <v>4693.4694</v>
      </c>
      <c r="AO466" t="n">
        <v>26.9506</v>
      </c>
      <c r="AP466" t="n">
        <v>726.3332</v>
      </c>
      <c r="AQ466" t="n">
        <v>0.450318</v>
      </c>
      <c r="AR466" t="n">
        <v>0.345164</v>
      </c>
      <c r="AY466" t="n">
        <v>464</v>
      </c>
      <c r="AZ466" t="n">
        <v>463</v>
      </c>
      <c r="BA466" t="n">
        <v>4720.42</v>
      </c>
      <c r="BB466" t="n">
        <v>4693.4694</v>
      </c>
      <c r="BC466" t="n">
        <v>26.9506</v>
      </c>
      <c r="BD466" t="n">
        <v>726.3332</v>
      </c>
      <c r="BE466" t="n">
        <v>214369</v>
      </c>
    </row>
    <row r="467">
      <c r="A467" t="n">
        <v>1776960002</v>
      </c>
      <c r="B467" t="inlineStr">
        <is>
          <t>XAUUSD</t>
        </is>
      </c>
      <c r="C467" t="inlineStr">
        <is>
          <t>M15</t>
        </is>
      </c>
      <c r="D467" t="n">
        <v>4719.39</v>
      </c>
      <c r="E467" t="n">
        <v>4518.59282</v>
      </c>
      <c r="F467" t="n">
        <v>4596.05595</v>
      </c>
      <c r="G467" t="n">
        <v>4755.40355</v>
      </c>
      <c r="H467" t="n">
        <v>4792.76972</v>
      </c>
      <c r="Q467" t="n">
        <v>4693.20183</v>
      </c>
      <c r="R467" t="n">
        <v>4722.56513</v>
      </c>
      <c r="S467" t="n">
        <v>4749.1539</v>
      </c>
      <c r="V467" t="n">
        <v>4658.26206</v>
      </c>
      <c r="W467" t="n">
        <v>4624.69706</v>
      </c>
      <c r="AB467" t="n">
        <v>4727.11757</v>
      </c>
      <c r="AC467" t="n">
        <v>4728.42344</v>
      </c>
      <c r="AD467" t="n">
        <v>0</v>
      </c>
      <c r="AK467" t="n">
        <v>465</v>
      </c>
      <c r="AL467" t="n">
        <v>464</v>
      </c>
      <c r="AM467" t="n">
        <v>4719.39</v>
      </c>
      <c r="AN467" t="n">
        <v>4693.2018</v>
      </c>
      <c r="AO467" t="n">
        <v>26.1882</v>
      </c>
      <c r="AP467" t="n">
        <v>685.8202</v>
      </c>
      <c r="AQ467" t="n">
        <v>0.413172</v>
      </c>
      <c r="AR467" t="n">
        <v>0.307733</v>
      </c>
      <c r="AY467" t="n">
        <v>465</v>
      </c>
      <c r="AZ467" t="n">
        <v>464</v>
      </c>
      <c r="BA467" t="n">
        <v>4719.39</v>
      </c>
      <c r="BB467" t="n">
        <v>4693.2018</v>
      </c>
      <c r="BC467" t="n">
        <v>26.1882</v>
      </c>
      <c r="BD467" t="n">
        <v>685.8202</v>
      </c>
      <c r="BE467" t="n">
        <v>215296</v>
      </c>
    </row>
    <row r="468">
      <c r="A468" t="n">
        <v>1776960902</v>
      </c>
      <c r="B468" t="inlineStr">
        <is>
          <t>XAUUSD</t>
        </is>
      </c>
      <c r="C468" t="inlineStr">
        <is>
          <t>M15</t>
        </is>
      </c>
      <c r="D468" t="n">
        <v>4723.22</v>
      </c>
      <c r="E468" t="n">
        <v>4518.59282</v>
      </c>
      <c r="F468" t="n">
        <v>4596.05595</v>
      </c>
      <c r="G468" t="n">
        <v>4755.40355</v>
      </c>
      <c r="H468" t="n">
        <v>4792.76972</v>
      </c>
      <c r="Q468" t="n">
        <v>4692.93423</v>
      </c>
      <c r="R468" t="n">
        <v>4722.29752</v>
      </c>
      <c r="S468" t="n">
        <v>4748.8863</v>
      </c>
      <c r="V468" t="n">
        <v>4657.99446</v>
      </c>
      <c r="W468" t="n">
        <v>4624.42946</v>
      </c>
      <c r="AB468" t="n">
        <v>4724.55839</v>
      </c>
      <c r="AC468" t="n">
        <v>4726.49091</v>
      </c>
      <c r="AD468" t="n">
        <v>0</v>
      </c>
      <c r="AK468" t="n">
        <v>466</v>
      </c>
      <c r="AL468" t="n">
        <v>465</v>
      </c>
      <c r="AM468" t="n">
        <v>4723.22</v>
      </c>
      <c r="AN468" t="n">
        <v>4692.9342</v>
      </c>
      <c r="AO468" t="n">
        <v>30.2858</v>
      </c>
      <c r="AP468" t="n">
        <v>917.2279</v>
      </c>
      <c r="AQ468" t="n">
        <v>0.639045</v>
      </c>
      <c r="AR468" t="n">
        <v>0.550438</v>
      </c>
      <c r="AY468" t="n">
        <v>466</v>
      </c>
      <c r="AZ468" t="n">
        <v>465</v>
      </c>
      <c r="BA468" t="n">
        <v>4723.22</v>
      </c>
      <c r="BB468" t="n">
        <v>4692.9342</v>
      </c>
      <c r="BC468" t="n">
        <v>30.2858</v>
      </c>
      <c r="BD468" t="n">
        <v>917.2279</v>
      </c>
      <c r="BE468" t="n">
        <v>216225</v>
      </c>
    </row>
    <row r="469">
      <c r="A469" t="n">
        <v>1776961802</v>
      </c>
      <c r="B469" t="inlineStr">
        <is>
          <t>XAUUSD</t>
        </is>
      </c>
      <c r="C469" t="inlineStr">
        <is>
          <t>M15</t>
        </is>
      </c>
      <c r="D469" t="n">
        <v>4734.05</v>
      </c>
      <c r="E469" t="n">
        <v>4518.59282</v>
      </c>
      <c r="F469" t="n">
        <v>4596.05595</v>
      </c>
      <c r="G469" t="n">
        <v>4755.40355</v>
      </c>
      <c r="H469" t="n">
        <v>4792.76972</v>
      </c>
      <c r="Q469" t="n">
        <v>4692.66662</v>
      </c>
      <c r="R469" t="n">
        <v>4722.02992</v>
      </c>
      <c r="S469" t="n">
        <v>4748.61869</v>
      </c>
      <c r="V469" t="n">
        <v>4657.72685</v>
      </c>
      <c r="W469" t="n">
        <v>4624.16185</v>
      </c>
      <c r="AB469" t="n">
        <v>4721.48715</v>
      </c>
      <c r="AC469" t="n">
        <v>4723.98903</v>
      </c>
      <c r="AD469" t="n">
        <v>0</v>
      </c>
      <c r="AK469" t="n">
        <v>467</v>
      </c>
      <c r="AL469" t="n">
        <v>466</v>
      </c>
      <c r="AM469" t="n">
        <v>4734.05</v>
      </c>
      <c r="AN469" t="n">
        <v>4692.6666</v>
      </c>
      <c r="AO469" t="n">
        <v>41.3834</v>
      </c>
      <c r="AP469" t="n">
        <v>1712.5841</v>
      </c>
      <c r="AQ469" t="n">
        <v>1.630397</v>
      </c>
      <c r="AR469" t="n">
        <v>1.918925</v>
      </c>
      <c r="AY469" t="n">
        <v>467</v>
      </c>
      <c r="AZ469" t="n">
        <v>466</v>
      </c>
      <c r="BA469" t="n">
        <v>4734.05</v>
      </c>
      <c r="BB469" t="n">
        <v>4692.6666</v>
      </c>
      <c r="BC469" t="n">
        <v>41.3834</v>
      </c>
      <c r="BD469" t="n">
        <v>1712.5841</v>
      </c>
      <c r="BE469" t="n">
        <v>217156</v>
      </c>
    </row>
    <row r="470">
      <c r="A470" t="n">
        <v>1776962702</v>
      </c>
      <c r="B470" t="inlineStr">
        <is>
          <t>XAUUSD</t>
        </is>
      </c>
      <c r="C470" t="inlineStr">
        <is>
          <t>M15</t>
        </is>
      </c>
      <c r="D470" t="n">
        <v>4733.09</v>
      </c>
      <c r="E470" t="n">
        <v>4518.59282</v>
      </c>
      <c r="F470" t="n">
        <v>4596.05595</v>
      </c>
      <c r="G470" t="n">
        <v>4755.40355</v>
      </c>
      <c r="H470" t="n">
        <v>4792.76972</v>
      </c>
      <c r="Q470" t="n">
        <v>4692.39902</v>
      </c>
      <c r="R470" t="n">
        <v>4721.76232</v>
      </c>
      <c r="S470" t="n">
        <v>4748.35109</v>
      </c>
      <c r="V470" t="n">
        <v>4657.45925</v>
      </c>
      <c r="W470" t="n">
        <v>4623.89425</v>
      </c>
      <c r="AB470" t="n">
        <v>4717.83008</v>
      </c>
      <c r="AC470" t="n">
        <v>4720.90956</v>
      </c>
      <c r="AD470" t="n">
        <v>0</v>
      </c>
      <c r="AK470" t="n">
        <v>468</v>
      </c>
      <c r="AL470" t="n">
        <v>467</v>
      </c>
      <c r="AM470" t="n">
        <v>4733.09</v>
      </c>
      <c r="AN470" t="n">
        <v>4692.399</v>
      </c>
      <c r="AO470" t="n">
        <v>40.691</v>
      </c>
      <c r="AP470" t="n">
        <v>1655.7559</v>
      </c>
      <c r="AQ470" t="n">
        <v>1.549923</v>
      </c>
      <c r="AR470" t="n">
        <v>1.793687</v>
      </c>
      <c r="AY470" t="n">
        <v>468</v>
      </c>
      <c r="AZ470" t="n">
        <v>467</v>
      </c>
      <c r="BA470" t="n">
        <v>4733.09</v>
      </c>
      <c r="BB470" t="n">
        <v>4692.399</v>
      </c>
      <c r="BC470" t="n">
        <v>40.691</v>
      </c>
      <c r="BD470" t="n">
        <v>1655.7559</v>
      </c>
      <c r="BE470" t="n">
        <v>218089</v>
      </c>
    </row>
    <row r="471">
      <c r="A471" t="n">
        <v>1776963602</v>
      </c>
      <c r="B471" t="inlineStr">
        <is>
          <t>XAUUSD</t>
        </is>
      </c>
      <c r="C471" t="inlineStr">
        <is>
          <t>M15</t>
        </is>
      </c>
      <c r="D471" t="n">
        <v>4716.04</v>
      </c>
      <c r="E471" t="n">
        <v>4518.59282</v>
      </c>
      <c r="F471" t="n">
        <v>4596.05595</v>
      </c>
      <c r="G471" t="n">
        <v>4755.40355</v>
      </c>
      <c r="H471" t="n">
        <v>4792.76972</v>
      </c>
      <c r="Q471" t="n">
        <v>4692.13141</v>
      </c>
      <c r="R471" t="n">
        <v>4721.49471</v>
      </c>
      <c r="S471" t="n">
        <v>4748.08348</v>
      </c>
      <c r="V471" t="n">
        <v>4657.19164</v>
      </c>
      <c r="W471" t="n">
        <v>4623.62665</v>
      </c>
      <c r="AB471" t="n">
        <v>4713.91308</v>
      </c>
      <c r="AC471" t="n">
        <v>4717.41132</v>
      </c>
      <c r="AD471" t="n">
        <v>0</v>
      </c>
      <c r="AK471" t="n">
        <v>469</v>
      </c>
      <c r="AL471" t="n">
        <v>468</v>
      </c>
      <c r="AM471" t="n">
        <v>4716.04</v>
      </c>
      <c r="AN471" t="n">
        <v>4692.1314</v>
      </c>
      <c r="AO471" t="n">
        <v>23.9086</v>
      </c>
      <c r="AP471" t="n">
        <v>571.6207000000001</v>
      </c>
      <c r="AQ471" t="n">
        <v>0.314396</v>
      </c>
      <c r="AR471" t="n">
        <v>0.213781</v>
      </c>
      <c r="AY471" t="n">
        <v>469</v>
      </c>
      <c r="AZ471" t="n">
        <v>468</v>
      </c>
      <c r="BA471" t="n">
        <v>4716.04</v>
      </c>
      <c r="BB471" t="n">
        <v>4692.1314</v>
      </c>
      <c r="BC471" t="n">
        <v>23.9086</v>
      </c>
      <c r="BD471" t="n">
        <v>571.6207000000001</v>
      </c>
      <c r="BE471" t="n">
        <v>219024</v>
      </c>
    </row>
    <row r="472">
      <c r="A472" t="n">
        <v>1776964502</v>
      </c>
      <c r="B472" t="inlineStr">
        <is>
          <t>XAUUSD</t>
        </is>
      </c>
      <c r="C472" t="inlineStr">
        <is>
          <t>M15</t>
        </is>
      </c>
      <c r="D472" t="n">
        <v>4706.47</v>
      </c>
      <c r="E472" t="n">
        <v>4518.59282</v>
      </c>
      <c r="F472" t="n">
        <v>4596.05595</v>
      </c>
      <c r="G472" t="n">
        <v>4755.40355</v>
      </c>
      <c r="H472" t="n">
        <v>4792.76972</v>
      </c>
      <c r="Q472" t="n">
        <v>4691.86381</v>
      </c>
      <c r="R472" t="n">
        <v>4721.22711</v>
      </c>
      <c r="S472" t="n">
        <v>4747.81588</v>
      </c>
      <c r="V472" t="n">
        <v>4656.92404</v>
      </c>
      <c r="W472" t="n">
        <v>4623.35904</v>
      </c>
      <c r="AB472" t="n">
        <v>4710.49937</v>
      </c>
      <c r="AC472" t="n">
        <v>4713.95534</v>
      </c>
      <c r="AD472" t="n">
        <v>0</v>
      </c>
      <c r="AK472" t="n">
        <v>470</v>
      </c>
      <c r="AL472" t="n">
        <v>469</v>
      </c>
      <c r="AM472" t="n">
        <v>4706.47</v>
      </c>
      <c r="AN472" t="n">
        <v>4691.8638</v>
      </c>
      <c r="AO472" t="n">
        <v>14.6062</v>
      </c>
      <c r="AP472" t="n">
        <v>213.3408</v>
      </c>
      <c r="AQ472" t="n">
        <v>0.071685</v>
      </c>
      <c r="AR472" t="n">
        <v>0.029778</v>
      </c>
      <c r="AY472" t="n">
        <v>470</v>
      </c>
      <c r="AZ472" t="n">
        <v>469</v>
      </c>
      <c r="BA472" t="n">
        <v>4706.47</v>
      </c>
      <c r="BB472" t="n">
        <v>4691.8638</v>
      </c>
      <c r="BC472" t="n">
        <v>14.6062</v>
      </c>
      <c r="BD472" t="n">
        <v>213.3408</v>
      </c>
      <c r="BE472" t="n">
        <v>219961</v>
      </c>
    </row>
    <row r="473">
      <c r="A473" t="n">
        <v>1776965402</v>
      </c>
      <c r="B473" t="inlineStr">
        <is>
          <t>XAUUSD</t>
        </is>
      </c>
      <c r="C473" t="inlineStr">
        <is>
          <t>M15</t>
        </is>
      </c>
      <c r="D473" t="n">
        <v>4677.41</v>
      </c>
      <c r="E473" t="n">
        <v>4518.59282</v>
      </c>
      <c r="F473" t="n">
        <v>4596.05595</v>
      </c>
      <c r="G473" t="n">
        <v>4755.40355</v>
      </c>
      <c r="H473" t="n">
        <v>4792.76972</v>
      </c>
      <c r="Q473" t="n">
        <v>4691.59621</v>
      </c>
      <c r="R473" t="n">
        <v>4720.9595</v>
      </c>
      <c r="S473" t="n">
        <v>4747.54827</v>
      </c>
      <c r="V473" t="n">
        <v>4656.65643</v>
      </c>
      <c r="W473" t="n">
        <v>4623.09144</v>
      </c>
      <c r="AB473" t="n">
        <v>4708.00685</v>
      </c>
      <c r="AC473" t="n">
        <v>4710.9811</v>
      </c>
      <c r="AD473" t="n">
        <v>0</v>
      </c>
      <c r="AK473" t="n">
        <v>471</v>
      </c>
      <c r="AL473" t="n">
        <v>470</v>
      </c>
      <c r="AM473" t="n">
        <v>4677.41</v>
      </c>
      <c r="AN473" t="n">
        <v>4691.5962</v>
      </c>
      <c r="AO473" t="n">
        <v>-14.1862</v>
      </c>
      <c r="AP473" t="n">
        <v>201.2486</v>
      </c>
      <c r="AQ473" t="n">
        <v>-0.065677</v>
      </c>
      <c r="AR473" t="n">
        <v>0.026498</v>
      </c>
      <c r="AY473" t="n">
        <v>471</v>
      </c>
      <c r="AZ473" t="n">
        <v>470</v>
      </c>
      <c r="BA473" t="n">
        <v>4677.41</v>
      </c>
      <c r="BB473" t="n">
        <v>4691.5962</v>
      </c>
      <c r="BC473" t="n">
        <v>-14.1862</v>
      </c>
      <c r="BD473" t="n">
        <v>201.2486</v>
      </c>
      <c r="BE473" t="n">
        <v>220900</v>
      </c>
    </row>
    <row r="474">
      <c r="A474" t="n">
        <v>1776966302</v>
      </c>
      <c r="B474" t="inlineStr">
        <is>
          <t>XAUUSD</t>
        </is>
      </c>
      <c r="C474" t="inlineStr">
        <is>
          <t>M15</t>
        </is>
      </c>
      <c r="D474" t="n">
        <v>4709.41</v>
      </c>
      <c r="E474" t="n">
        <v>4518.59282</v>
      </c>
      <c r="F474" t="n">
        <v>4596.05595</v>
      </c>
      <c r="G474" t="n">
        <v>4755.40355</v>
      </c>
      <c r="H474" t="n">
        <v>4792.76972</v>
      </c>
      <c r="Q474" t="n">
        <v>4691.3286</v>
      </c>
      <c r="R474" t="n">
        <v>4720.6919</v>
      </c>
      <c r="S474" t="n">
        <v>4747.28067</v>
      </c>
      <c r="V474" t="n">
        <v>4656.38883</v>
      </c>
      <c r="W474" t="n">
        <v>4622.82383</v>
      </c>
      <c r="AA474" t="n">
        <v>4664.3</v>
      </c>
      <c r="AB474" t="n">
        <v>4707.16947</v>
      </c>
      <c r="AC474" t="n">
        <v>4709.07528</v>
      </c>
      <c r="AD474" t="n">
        <v>0</v>
      </c>
      <c r="AK474" t="n">
        <v>472</v>
      </c>
      <c r="AL474" t="n">
        <v>471</v>
      </c>
      <c r="AM474" t="n">
        <v>4709.41</v>
      </c>
      <c r="AN474" t="n">
        <v>4691.3286</v>
      </c>
      <c r="AO474" t="n">
        <v>18.0814</v>
      </c>
      <c r="AP474" t="n">
        <v>326.937</v>
      </c>
      <c r="AQ474" t="n">
        <v>0.135991</v>
      </c>
      <c r="AR474" t="n">
        <v>0.069933</v>
      </c>
      <c r="AY474" t="n">
        <v>472</v>
      </c>
      <c r="AZ474" t="n">
        <v>471</v>
      </c>
      <c r="BA474" t="n">
        <v>4709.41</v>
      </c>
      <c r="BB474" t="n">
        <v>4691.3286</v>
      </c>
      <c r="BC474" t="n">
        <v>18.0814</v>
      </c>
      <c r="BD474" t="n">
        <v>326.937</v>
      </c>
      <c r="BE474" t="n">
        <v>221841</v>
      </c>
    </row>
    <row r="475">
      <c r="A475" t="n">
        <v>1776967202</v>
      </c>
      <c r="B475" t="inlineStr">
        <is>
          <t>XAUUSD</t>
        </is>
      </c>
      <c r="C475" t="inlineStr">
        <is>
          <t>M15</t>
        </is>
      </c>
      <c r="D475" t="n">
        <v>4713.84</v>
      </c>
      <c r="E475" t="n">
        <v>4518.59282</v>
      </c>
      <c r="F475" t="n">
        <v>4596.05595</v>
      </c>
      <c r="G475" t="n">
        <v>4755.40355</v>
      </c>
      <c r="H475" t="n">
        <v>4792.76972</v>
      </c>
      <c r="Q475" t="n">
        <v>4691.061</v>
      </c>
      <c r="R475" t="n">
        <v>4720.4243</v>
      </c>
      <c r="S475" t="n">
        <v>4747.01307</v>
      </c>
      <c r="V475" t="n">
        <v>4656.12123</v>
      </c>
      <c r="W475" t="n">
        <v>4622.55623</v>
      </c>
      <c r="AB475" t="n">
        <v>4706.76473</v>
      </c>
      <c r="AC475" t="n">
        <v>4707.92001</v>
      </c>
      <c r="AD475" t="n">
        <v>0</v>
      </c>
      <c r="AK475" t="n">
        <v>473</v>
      </c>
      <c r="AL475" t="n">
        <v>472</v>
      </c>
      <c r="AM475" t="n">
        <v>4713.84</v>
      </c>
      <c r="AN475" t="n">
        <v>4691.061</v>
      </c>
      <c r="AO475" t="n">
        <v>22.779</v>
      </c>
      <c r="AP475" t="n">
        <v>518.8828</v>
      </c>
      <c r="AQ475" t="n">
        <v>0.271906</v>
      </c>
      <c r="AR475" t="n">
        <v>0.176154</v>
      </c>
      <c r="AY475" t="n">
        <v>473</v>
      </c>
      <c r="AZ475" t="n">
        <v>472</v>
      </c>
      <c r="BA475" t="n">
        <v>4713.84</v>
      </c>
      <c r="BB475" t="n">
        <v>4691.061</v>
      </c>
      <c r="BC475" t="n">
        <v>22.779</v>
      </c>
      <c r="BD475" t="n">
        <v>518.8828</v>
      </c>
      <c r="BE475" t="n">
        <v>222784</v>
      </c>
    </row>
    <row r="476">
      <c r="A476" t="n">
        <v>1776968102</v>
      </c>
      <c r="B476" t="inlineStr">
        <is>
          <t>XAUUSD</t>
        </is>
      </c>
      <c r="C476" t="inlineStr">
        <is>
          <t>M15</t>
        </is>
      </c>
      <c r="D476" t="n">
        <v>4716.58</v>
      </c>
      <c r="E476" t="n">
        <v>4518.59282</v>
      </c>
      <c r="F476" t="n">
        <v>4596.05595</v>
      </c>
      <c r="G476" t="n">
        <v>4755.40355</v>
      </c>
      <c r="H476" t="n">
        <v>4792.76972</v>
      </c>
      <c r="Q476" t="n">
        <v>4690.79339</v>
      </c>
      <c r="R476" t="n">
        <v>4720.15669</v>
      </c>
      <c r="S476" t="n">
        <v>4746.74546</v>
      </c>
      <c r="V476" t="n">
        <v>4655.85362</v>
      </c>
      <c r="W476" t="n">
        <v>4622.28863</v>
      </c>
      <c r="AB476" t="n">
        <v>4706.18904</v>
      </c>
      <c r="AC476" t="n">
        <v>4707.05452</v>
      </c>
      <c r="AD476" t="n">
        <v>0</v>
      </c>
      <c r="AK476" t="n">
        <v>474</v>
      </c>
      <c r="AL476" t="n">
        <v>473</v>
      </c>
      <c r="AM476" t="n">
        <v>4716.58</v>
      </c>
      <c r="AN476" t="n">
        <v>4690.7934</v>
      </c>
      <c r="AO476" t="n">
        <v>25.7866</v>
      </c>
      <c r="AP476" t="n">
        <v>664.9493</v>
      </c>
      <c r="AQ476" t="n">
        <v>0.394456</v>
      </c>
      <c r="AR476" t="n">
        <v>0.289288</v>
      </c>
      <c r="AY476" t="n">
        <v>474</v>
      </c>
      <c r="AZ476" t="n">
        <v>473</v>
      </c>
      <c r="BA476" t="n">
        <v>4716.58</v>
      </c>
      <c r="BB476" t="n">
        <v>4690.7934</v>
      </c>
      <c r="BC476" t="n">
        <v>25.7866</v>
      </c>
      <c r="BD476" t="n">
        <v>664.9493</v>
      </c>
      <c r="BE476" t="n">
        <v>223729</v>
      </c>
    </row>
    <row r="477">
      <c r="A477" t="n">
        <v>1776969002</v>
      </c>
      <c r="B477" t="inlineStr">
        <is>
          <t>XAUUSD</t>
        </is>
      </c>
      <c r="C477" t="inlineStr">
        <is>
          <t>M15</t>
        </is>
      </c>
      <c r="D477" t="n">
        <v>4711.31</v>
      </c>
      <c r="E477" t="n">
        <v>4518.59282</v>
      </c>
      <c r="F477" t="n">
        <v>4596.05595</v>
      </c>
      <c r="G477" t="n">
        <v>4755.40355</v>
      </c>
      <c r="H477" t="n">
        <v>4792.76972</v>
      </c>
      <c r="Q477" t="n">
        <v>4690.52579</v>
      </c>
      <c r="R477" t="n">
        <v>4719.88909</v>
      </c>
      <c r="S477" t="n">
        <v>4746.47786</v>
      </c>
      <c r="V477" t="n">
        <v>4655.58602</v>
      </c>
      <c r="W477" t="n">
        <v>4622.02102</v>
      </c>
      <c r="AB477" t="n">
        <v>4704.98929</v>
      </c>
      <c r="AC477" t="n">
        <v>4706.02191</v>
      </c>
      <c r="AD477" t="n">
        <v>0</v>
      </c>
      <c r="AK477" t="n">
        <v>475</v>
      </c>
      <c r="AL477" t="n">
        <v>474</v>
      </c>
      <c r="AM477" t="n">
        <v>4711.31</v>
      </c>
      <c r="AN477" t="n">
        <v>4690.5258</v>
      </c>
      <c r="AO477" t="n">
        <v>20.7842</v>
      </c>
      <c r="AP477" t="n">
        <v>431.9834</v>
      </c>
      <c r="AQ477" t="n">
        <v>0.206546</v>
      </c>
      <c r="AR477" t="n">
        <v>0.122092</v>
      </c>
      <c r="AY477" t="n">
        <v>475</v>
      </c>
      <c r="AZ477" t="n">
        <v>474</v>
      </c>
      <c r="BA477" t="n">
        <v>4711.31</v>
      </c>
      <c r="BB477" t="n">
        <v>4690.5258</v>
      </c>
      <c r="BC477" t="n">
        <v>20.7842</v>
      </c>
      <c r="BD477" t="n">
        <v>431.9834</v>
      </c>
      <c r="BE477" t="n">
        <v>224676</v>
      </c>
    </row>
    <row r="478">
      <c r="A478" t="n">
        <v>1776969902</v>
      </c>
      <c r="B478" t="inlineStr">
        <is>
          <t>XAUUSD</t>
        </is>
      </c>
      <c r="C478" t="inlineStr">
        <is>
          <t>M15</t>
        </is>
      </c>
      <c r="D478" t="n">
        <v>4700.9</v>
      </c>
      <c r="E478" t="n">
        <v>4518.59282</v>
      </c>
      <c r="F478" t="n">
        <v>4596.05595</v>
      </c>
      <c r="G478" t="n">
        <v>4755.40355</v>
      </c>
      <c r="H478" t="n">
        <v>4792.76972</v>
      </c>
      <c r="Q478" t="n">
        <v>4690.25818</v>
      </c>
      <c r="R478" t="n">
        <v>4719.62148</v>
      </c>
      <c r="S478" t="n">
        <v>4746.21025</v>
      </c>
      <c r="V478" t="n">
        <v>4655.31841</v>
      </c>
      <c r="W478" t="n">
        <v>4621.75342</v>
      </c>
      <c r="AB478" t="n">
        <v>4703.1365</v>
      </c>
      <c r="AC478" t="n">
        <v>4704.5792</v>
      </c>
      <c r="AD478" t="n">
        <v>0</v>
      </c>
      <c r="AK478" t="n">
        <v>476</v>
      </c>
      <c r="AL478" t="n">
        <v>475</v>
      </c>
      <c r="AM478" t="n">
        <v>4700.9</v>
      </c>
      <c r="AN478" t="n">
        <v>4690.2582</v>
      </c>
      <c r="AO478" t="n">
        <v>10.6418</v>
      </c>
      <c r="AP478" t="n">
        <v>113.2483</v>
      </c>
      <c r="AQ478" t="n">
        <v>0.027724</v>
      </c>
      <c r="AR478" t="n">
        <v>0.008390999999999999</v>
      </c>
      <c r="AY478" t="n">
        <v>476</v>
      </c>
      <c r="AZ478" t="n">
        <v>475</v>
      </c>
      <c r="BA478" t="n">
        <v>4700.9</v>
      </c>
      <c r="BB478" t="n">
        <v>4690.2582</v>
      </c>
      <c r="BC478" t="n">
        <v>10.6418</v>
      </c>
      <c r="BD478" t="n">
        <v>113.2483</v>
      </c>
      <c r="BE478" t="n">
        <v>225625</v>
      </c>
    </row>
    <row r="479">
      <c r="A479" t="n">
        <v>1776970802</v>
      </c>
      <c r="B479" t="inlineStr">
        <is>
          <t>XAUUSD</t>
        </is>
      </c>
      <c r="C479" t="inlineStr">
        <is>
          <t>M15</t>
        </is>
      </c>
      <c r="D479" t="n">
        <v>4696.41</v>
      </c>
      <c r="E479" t="n">
        <v>4518.59282</v>
      </c>
      <c r="F479" t="n">
        <v>4596.05595</v>
      </c>
      <c r="G479" t="n">
        <v>4755.40355</v>
      </c>
      <c r="H479" t="n">
        <v>4792.76972</v>
      </c>
      <c r="Q479" t="n">
        <v>4689.99058</v>
      </c>
      <c r="R479" t="n">
        <v>4719.35388</v>
      </c>
      <c r="S479" t="n">
        <v>4745.94265</v>
      </c>
      <c r="V479" t="n">
        <v>4655.05081</v>
      </c>
      <c r="W479" t="n">
        <v>4621.48581</v>
      </c>
      <c r="AB479" t="n">
        <v>4700.92894</v>
      </c>
      <c r="AC479" t="n">
        <v>4702.75407</v>
      </c>
      <c r="AD479" t="n">
        <v>0</v>
      </c>
      <c r="AK479" t="n">
        <v>477</v>
      </c>
      <c r="AL479" t="n">
        <v>476</v>
      </c>
      <c r="AM479" t="n">
        <v>4696.41</v>
      </c>
      <c r="AN479" t="n">
        <v>4689.9906</v>
      </c>
      <c r="AO479" t="n">
        <v>6.4194</v>
      </c>
      <c r="AP479" t="n">
        <v>41.209</v>
      </c>
      <c r="AQ479" t="n">
        <v>0.006086</v>
      </c>
      <c r="AR479" t="n">
        <v>0.001111</v>
      </c>
      <c r="AY479" t="n">
        <v>477</v>
      </c>
      <c r="AZ479" t="n">
        <v>476</v>
      </c>
      <c r="BA479" t="n">
        <v>4696.41</v>
      </c>
      <c r="BB479" t="n">
        <v>4689.9906</v>
      </c>
      <c r="BC479" t="n">
        <v>6.4194</v>
      </c>
      <c r="BD479" t="n">
        <v>41.209</v>
      </c>
      <c r="BE479" t="n">
        <v>226576</v>
      </c>
    </row>
    <row r="480">
      <c r="A480" t="n">
        <v>1776971702</v>
      </c>
      <c r="B480" t="inlineStr">
        <is>
          <t>XAUUSD</t>
        </is>
      </c>
      <c r="C480" t="inlineStr">
        <is>
          <t>M15</t>
        </is>
      </c>
      <c r="D480" t="n">
        <v>4700.16</v>
      </c>
      <c r="E480" t="n">
        <v>4518.59282</v>
      </c>
      <c r="F480" t="n">
        <v>4596.05595</v>
      </c>
      <c r="G480" t="n">
        <v>4755.40355</v>
      </c>
      <c r="H480" t="n">
        <v>4792.76972</v>
      </c>
      <c r="Q480" t="n">
        <v>4689.72298</v>
      </c>
      <c r="R480" t="n">
        <v>4719.08628</v>
      </c>
      <c r="S480" t="n">
        <v>4745.67505</v>
      </c>
      <c r="V480" t="n">
        <v>4654.78321</v>
      </c>
      <c r="W480" t="n">
        <v>4621.21821</v>
      </c>
      <c r="AB480" t="n">
        <v>4698.63754</v>
      </c>
      <c r="AC480" t="n">
        <v>4700.6958</v>
      </c>
      <c r="AD480" t="n">
        <v>0</v>
      </c>
      <c r="AK480" t="n">
        <v>478</v>
      </c>
      <c r="AL480" t="n">
        <v>477</v>
      </c>
      <c r="AM480" t="n">
        <v>4700.16</v>
      </c>
      <c r="AN480" t="n">
        <v>4689.723</v>
      </c>
      <c r="AO480" t="n">
        <v>10.437</v>
      </c>
      <c r="AP480" t="n">
        <v>108.9314</v>
      </c>
      <c r="AQ480" t="n">
        <v>0.026154</v>
      </c>
      <c r="AR480" t="n">
        <v>0.007764</v>
      </c>
      <c r="AY480" t="n">
        <v>478</v>
      </c>
      <c r="AZ480" t="n">
        <v>477</v>
      </c>
      <c r="BA480" t="n">
        <v>4700.16</v>
      </c>
      <c r="BB480" t="n">
        <v>4689.723</v>
      </c>
      <c r="BC480" t="n">
        <v>10.437</v>
      </c>
      <c r="BD480" t="n">
        <v>108.9314</v>
      </c>
      <c r="BE480" t="n">
        <v>227529</v>
      </c>
    </row>
    <row r="481">
      <c r="A481" t="n">
        <v>1776972602</v>
      </c>
      <c r="B481" t="inlineStr">
        <is>
          <t>XAUUSD</t>
        </is>
      </c>
      <c r="C481" t="inlineStr">
        <is>
          <t>M15</t>
        </is>
      </c>
      <c r="D481" t="n">
        <v>4692.49</v>
      </c>
      <c r="E481" t="n">
        <v>4518.59282</v>
      </c>
      <c r="F481" t="n">
        <v>4596.05595</v>
      </c>
      <c r="G481" t="n">
        <v>4755.40355</v>
      </c>
      <c r="H481" t="n">
        <v>4792.76972</v>
      </c>
      <c r="Q481" t="n">
        <v>4689.45537</v>
      </c>
      <c r="R481" t="n">
        <v>4718.81867</v>
      </c>
      <c r="S481" t="n">
        <v>4745.40744</v>
      </c>
      <c r="V481" t="n">
        <v>4654.5156</v>
      </c>
      <c r="W481" t="n">
        <v>4620.95061</v>
      </c>
      <c r="AB481" t="n">
        <v>4696.35325</v>
      </c>
      <c r="AC481" t="n">
        <v>4698.52453</v>
      </c>
      <c r="AD481" t="n">
        <v>0</v>
      </c>
      <c r="AK481" t="n">
        <v>479</v>
      </c>
      <c r="AL481" t="n">
        <v>478</v>
      </c>
      <c r="AM481" t="n">
        <v>4692.49</v>
      </c>
      <c r="AN481" t="n">
        <v>4689.4554</v>
      </c>
      <c r="AO481" t="n">
        <v>3.0346</v>
      </c>
      <c r="AP481" t="n">
        <v>9.209</v>
      </c>
      <c r="AQ481" t="n">
        <v>0.000643</v>
      </c>
      <c r="AR481" t="n">
        <v>5.5e-05</v>
      </c>
      <c r="AY481" t="n">
        <v>479</v>
      </c>
      <c r="AZ481" t="n">
        <v>478</v>
      </c>
      <c r="BA481" t="n">
        <v>4692.49</v>
      </c>
      <c r="BB481" t="n">
        <v>4689.4554</v>
      </c>
      <c r="BC481" t="n">
        <v>3.0346</v>
      </c>
      <c r="BD481" t="n">
        <v>9.209</v>
      </c>
      <c r="BE481" t="n">
        <v>228484</v>
      </c>
    </row>
    <row r="482">
      <c r="A482" t="n">
        <v>1776973502</v>
      </c>
      <c r="B482" t="inlineStr">
        <is>
          <t>XAUUSD</t>
        </is>
      </c>
      <c r="C482" t="inlineStr">
        <is>
          <t>M15</t>
        </is>
      </c>
      <c r="D482" t="n">
        <v>4696.1</v>
      </c>
      <c r="E482" t="n">
        <v>4518.59282</v>
      </c>
      <c r="F482" t="n">
        <v>4596.05595</v>
      </c>
      <c r="G482" t="n">
        <v>4755.40355</v>
      </c>
      <c r="H482" t="n">
        <v>4792.76972</v>
      </c>
      <c r="Q482" t="n">
        <v>4689.18777</v>
      </c>
      <c r="R482" t="n">
        <v>4718.55107</v>
      </c>
      <c r="S482" t="n">
        <v>4745.13984</v>
      </c>
      <c r="V482" t="n">
        <v>4654.248</v>
      </c>
      <c r="W482" t="n">
        <v>4620.683</v>
      </c>
      <c r="AB482" t="n">
        <v>4694.4819</v>
      </c>
      <c r="AC482" t="n">
        <v>4696.50321</v>
      </c>
      <c r="AD482" t="n">
        <v>0</v>
      </c>
      <c r="AK482" t="n">
        <v>480</v>
      </c>
      <c r="AL482" t="n">
        <v>479</v>
      </c>
      <c r="AM482" t="n">
        <v>4696.1</v>
      </c>
      <c r="AN482" t="n">
        <v>4689.1878</v>
      </c>
      <c r="AO482" t="n">
        <v>6.9122</v>
      </c>
      <c r="AP482" t="n">
        <v>47.7789</v>
      </c>
      <c r="AQ482" t="n">
        <v>0.007597</v>
      </c>
      <c r="AR482" t="n">
        <v>0.001494</v>
      </c>
      <c r="AY482" t="n">
        <v>480</v>
      </c>
      <c r="AZ482" t="n">
        <v>479</v>
      </c>
      <c r="BA482" t="n">
        <v>4696.1</v>
      </c>
      <c r="BB482" t="n">
        <v>4689.1878</v>
      </c>
      <c r="BC482" t="n">
        <v>6.9122</v>
      </c>
      <c r="BD482" t="n">
        <v>47.7789</v>
      </c>
      <c r="BE482" t="n">
        <v>229441</v>
      </c>
    </row>
    <row r="483">
      <c r="A483" t="n">
        <v>1776974402</v>
      </c>
      <c r="B483" t="inlineStr">
        <is>
          <t>XAUUSD</t>
        </is>
      </c>
      <c r="C483" t="inlineStr">
        <is>
          <t>M15</t>
        </is>
      </c>
      <c r="D483" t="n">
        <v>4690.84</v>
      </c>
      <c r="E483" t="n">
        <v>4518.59282</v>
      </c>
      <c r="F483" t="n">
        <v>4596.05595</v>
      </c>
      <c r="G483" t="n">
        <v>4755.40355</v>
      </c>
      <c r="H483" t="n">
        <v>4792.76972</v>
      </c>
      <c r="Q483" t="n">
        <v>4688.92016</v>
      </c>
      <c r="R483" t="n">
        <v>4718.28346</v>
      </c>
      <c r="S483" t="n">
        <v>4744.87223</v>
      </c>
      <c r="V483" t="n">
        <v>4653.98039</v>
      </c>
      <c r="W483" t="n">
        <v>4620.4154</v>
      </c>
      <c r="AB483" t="n">
        <v>4693.07108</v>
      </c>
      <c r="AC483" t="n">
        <v>4694.78715</v>
      </c>
      <c r="AD483" t="n">
        <v>0</v>
      </c>
      <c r="AK483" t="n">
        <v>481</v>
      </c>
      <c r="AL483" t="n">
        <v>480</v>
      </c>
      <c r="AM483" t="n">
        <v>4690.84</v>
      </c>
      <c r="AN483" t="n">
        <v>4688.9202</v>
      </c>
      <c r="AO483" t="n">
        <v>1.9198</v>
      </c>
      <c r="AP483" t="n">
        <v>3.6858</v>
      </c>
      <c r="AQ483" t="n">
        <v>0.000163</v>
      </c>
      <c r="AR483" t="n">
        <v>9e-06</v>
      </c>
      <c r="AY483" t="n">
        <v>481</v>
      </c>
      <c r="AZ483" t="n">
        <v>480</v>
      </c>
      <c r="BA483" t="n">
        <v>4690.84</v>
      </c>
      <c r="BB483" t="n">
        <v>4688.9202</v>
      </c>
      <c r="BC483" t="n">
        <v>1.9198</v>
      </c>
      <c r="BD483" t="n">
        <v>3.6858</v>
      </c>
      <c r="BE483" t="n">
        <v>230400</v>
      </c>
    </row>
    <row r="484">
      <c r="A484" t="n">
        <v>1776975302</v>
      </c>
      <c r="B484" t="inlineStr">
        <is>
          <t>XAUUSD</t>
        </is>
      </c>
      <c r="C484" t="inlineStr">
        <is>
          <t>M15</t>
        </is>
      </c>
      <c r="D484" t="n">
        <v>4689.41</v>
      </c>
      <c r="E484" t="n">
        <v>4518.59282</v>
      </c>
      <c r="F484" t="n">
        <v>4596.05595</v>
      </c>
      <c r="G484" t="n">
        <v>4755.40355</v>
      </c>
      <c r="H484" t="n">
        <v>4792.76972</v>
      </c>
      <c r="Q484" t="n">
        <v>4688.65256</v>
      </c>
      <c r="R484" t="n">
        <v>4718.01586</v>
      </c>
      <c r="S484" t="n">
        <v>4744.60463</v>
      </c>
      <c r="V484" t="n">
        <v>4653.71279</v>
      </c>
      <c r="W484" t="n">
        <v>4620.14779</v>
      </c>
      <c r="AB484" t="n">
        <v>4692.26685</v>
      </c>
      <c r="AC484" t="n">
        <v>4693.527</v>
      </c>
      <c r="AD484" t="n">
        <v>0</v>
      </c>
      <c r="AK484" t="n">
        <v>482</v>
      </c>
      <c r="AL484" t="n">
        <v>481</v>
      </c>
      <c r="AM484" t="n">
        <v>4689.41</v>
      </c>
      <c r="AN484" t="n">
        <v>4688.6526</v>
      </c>
      <c r="AO484" t="n">
        <v>0.7574</v>
      </c>
      <c r="AP484" t="n">
        <v>0.5737</v>
      </c>
      <c r="AQ484" t="n">
        <v>1e-05</v>
      </c>
      <c r="AR484" t="n">
        <v>0</v>
      </c>
      <c r="AY484" t="n">
        <v>482</v>
      </c>
      <c r="AZ484" t="n">
        <v>481</v>
      </c>
      <c r="BA484" t="n">
        <v>4689.41</v>
      </c>
      <c r="BB484" t="n">
        <v>4688.6526</v>
      </c>
      <c r="BC484" t="n">
        <v>0.7574</v>
      </c>
      <c r="BD484" t="n">
        <v>0.5737</v>
      </c>
      <c r="BE484" t="n">
        <v>231361</v>
      </c>
    </row>
    <row r="485">
      <c r="A485" t="n">
        <v>1776976202</v>
      </c>
      <c r="B485" t="inlineStr">
        <is>
          <t>XAUUSD</t>
        </is>
      </c>
      <c r="C485" t="inlineStr">
        <is>
          <t>M15</t>
        </is>
      </c>
      <c r="D485" t="n">
        <v>4691.39</v>
      </c>
      <c r="E485" t="n">
        <v>4518.59282</v>
      </c>
      <c r="F485" t="n">
        <v>4596.05595</v>
      </c>
      <c r="G485" t="n">
        <v>4755.40355</v>
      </c>
      <c r="H485" t="n">
        <v>4792.76972</v>
      </c>
      <c r="Q485" t="n">
        <v>4688.38496</v>
      </c>
      <c r="R485" t="n">
        <v>4717.74825</v>
      </c>
      <c r="S485" t="n">
        <v>4744.33703</v>
      </c>
      <c r="V485" t="n">
        <v>4653.44519</v>
      </c>
      <c r="W485" t="n">
        <v>4619.88019</v>
      </c>
      <c r="AB485" t="n">
        <v>4692.0237</v>
      </c>
      <c r="AC485" t="n">
        <v>4692.77535</v>
      </c>
      <c r="AD485" t="n">
        <v>0</v>
      </c>
      <c r="AK485" t="n">
        <v>483</v>
      </c>
      <c r="AL485" t="n">
        <v>482</v>
      </c>
      <c r="AM485" t="n">
        <v>4691.39</v>
      </c>
      <c r="AN485" t="n">
        <v>4688.385</v>
      </c>
      <c r="AO485" t="n">
        <v>3.005</v>
      </c>
      <c r="AP485" t="n">
        <v>9.0303</v>
      </c>
      <c r="AQ485" t="n">
        <v>0.000624</v>
      </c>
      <c r="AR485" t="n">
        <v>5.3e-05</v>
      </c>
      <c r="AY485" t="n">
        <v>483</v>
      </c>
      <c r="AZ485" t="n">
        <v>482</v>
      </c>
      <c r="BA485" t="n">
        <v>4691.39</v>
      </c>
      <c r="BB485" t="n">
        <v>4688.385</v>
      </c>
      <c r="BC485" t="n">
        <v>3.005</v>
      </c>
      <c r="BD485" t="n">
        <v>9.0303</v>
      </c>
      <c r="BE485" t="n">
        <v>232324</v>
      </c>
    </row>
    <row r="486">
      <c r="A486" t="n">
        <v>1776977102</v>
      </c>
      <c r="B486" t="inlineStr">
        <is>
          <t>XAUUSD</t>
        </is>
      </c>
      <c r="C486" t="inlineStr">
        <is>
          <t>M15</t>
        </is>
      </c>
      <c r="D486" t="n">
        <v>4694.41</v>
      </c>
      <c r="E486" t="n">
        <v>4518.59282</v>
      </c>
      <c r="F486" t="n">
        <v>4596.05595</v>
      </c>
      <c r="G486" t="n">
        <v>4755.40355</v>
      </c>
      <c r="H486" t="n">
        <v>4792.76972</v>
      </c>
      <c r="Q486" t="n">
        <v>4688.11735</v>
      </c>
      <c r="R486" t="n">
        <v>4717.48065</v>
      </c>
      <c r="S486" t="n">
        <v>4744.06942</v>
      </c>
      <c r="V486" t="n">
        <v>4653.17758</v>
      </c>
      <c r="W486" t="n">
        <v>4619.61259</v>
      </c>
      <c r="AB486" t="n">
        <v>4692.16896</v>
      </c>
      <c r="AC486" t="n">
        <v>4692.47215</v>
      </c>
      <c r="AD486" t="n">
        <v>0</v>
      </c>
      <c r="AK486" t="n">
        <v>484</v>
      </c>
      <c r="AL486" t="n">
        <v>483</v>
      </c>
      <c r="AM486" t="n">
        <v>4694.41</v>
      </c>
      <c r="AN486" t="n">
        <v>4688.1174</v>
      </c>
      <c r="AO486" t="n">
        <v>6.2926</v>
      </c>
      <c r="AP486" t="n">
        <v>39.5974</v>
      </c>
      <c r="AQ486" t="n">
        <v>0.005732</v>
      </c>
      <c r="AR486" t="n">
        <v>0.001026</v>
      </c>
      <c r="AY486" t="n">
        <v>484</v>
      </c>
      <c r="AZ486" t="n">
        <v>483</v>
      </c>
      <c r="BA486" t="n">
        <v>4694.41</v>
      </c>
      <c r="BB486" t="n">
        <v>4688.1174</v>
      </c>
      <c r="BC486" t="n">
        <v>6.2926</v>
      </c>
      <c r="BD486" t="n">
        <v>39.5974</v>
      </c>
      <c r="BE486" t="n">
        <v>233289</v>
      </c>
    </row>
    <row r="487">
      <c r="A487" t="n">
        <v>1776981602</v>
      </c>
      <c r="B487" t="inlineStr">
        <is>
          <t>XAUUSD</t>
        </is>
      </c>
      <c r="C487" t="inlineStr">
        <is>
          <t>M15</t>
        </is>
      </c>
      <c r="D487" t="n">
        <v>4697.43</v>
      </c>
      <c r="E487" t="n">
        <v>4518.59282</v>
      </c>
      <c r="F487" t="n">
        <v>4596.05595</v>
      </c>
      <c r="G487" t="n">
        <v>4755.40355</v>
      </c>
      <c r="H487" t="n">
        <v>4792.76972</v>
      </c>
      <c r="Q487" t="n">
        <v>4687.84975</v>
      </c>
      <c r="R487" t="n">
        <v>4717.21305</v>
      </c>
      <c r="S487" t="n">
        <v>4743.80182</v>
      </c>
      <c r="V487" t="n">
        <v>4652.90998</v>
      </c>
      <c r="W487" t="n">
        <v>4619.34498</v>
      </c>
      <c r="AB487" t="n">
        <v>4692.45104</v>
      </c>
      <c r="AC487" t="n">
        <v>4692.4616</v>
      </c>
      <c r="AD487" t="n">
        <v>0</v>
      </c>
      <c r="AK487" t="n">
        <v>485</v>
      </c>
      <c r="AL487" t="n">
        <v>484</v>
      </c>
      <c r="AM487" t="n">
        <v>4697.43</v>
      </c>
      <c r="AN487" t="n">
        <v>4687.8498</v>
      </c>
      <c r="AO487" t="n">
        <v>9.5802</v>
      </c>
      <c r="AP487" t="n">
        <v>91.7812</v>
      </c>
      <c r="AQ487" t="n">
        <v>0.020228</v>
      </c>
      <c r="AR487" t="n">
        <v>0.005511</v>
      </c>
      <c r="AY487" t="n">
        <v>485</v>
      </c>
      <c r="AZ487" t="n">
        <v>484</v>
      </c>
      <c r="BA487" t="n">
        <v>4697.43</v>
      </c>
      <c r="BB487" t="n">
        <v>4687.8498</v>
      </c>
      <c r="BC487" t="n">
        <v>9.5802</v>
      </c>
      <c r="BD487" t="n">
        <v>91.7812</v>
      </c>
      <c r="BE487" t="n">
        <v>234256</v>
      </c>
    </row>
    <row r="488">
      <c r="A488" t="n">
        <v>1776982502</v>
      </c>
      <c r="B488" t="inlineStr">
        <is>
          <t>XAUUSD</t>
        </is>
      </c>
      <c r="C488" t="inlineStr">
        <is>
          <t>M15</t>
        </is>
      </c>
      <c r="D488" t="n">
        <v>4692.9</v>
      </c>
      <c r="E488" t="n">
        <v>4518.59282</v>
      </c>
      <c r="F488" t="n">
        <v>4596.05595</v>
      </c>
      <c r="G488" t="n">
        <v>4755.40355</v>
      </c>
      <c r="H488" t="n">
        <v>4792.76972</v>
      </c>
      <c r="Q488" t="n">
        <v>4687.58214</v>
      </c>
      <c r="R488" t="n">
        <v>4716.94544</v>
      </c>
      <c r="S488" t="n">
        <v>4743.53421</v>
      </c>
      <c r="V488" t="n">
        <v>4652.64237</v>
      </c>
      <c r="W488" t="n">
        <v>4619.07738</v>
      </c>
      <c r="AB488" t="n">
        <v>4692.65681</v>
      </c>
      <c r="AC488" t="n">
        <v>4692.5592</v>
      </c>
      <c r="AD488" t="n">
        <v>1</v>
      </c>
      <c r="AK488" t="n">
        <v>486</v>
      </c>
      <c r="AL488" t="n">
        <v>485</v>
      </c>
      <c r="AM488" t="n">
        <v>4692.9</v>
      </c>
      <c r="AN488" t="n">
        <v>4687.5821</v>
      </c>
      <c r="AO488" t="n">
        <v>5.3179</v>
      </c>
      <c r="AP488" t="n">
        <v>28.2796</v>
      </c>
      <c r="AQ488" t="n">
        <v>0.00346</v>
      </c>
      <c r="AR488" t="n">
        <v>0.000523</v>
      </c>
      <c r="AY488" t="n">
        <v>486</v>
      </c>
      <c r="AZ488" t="n">
        <v>485</v>
      </c>
      <c r="BA488" t="n">
        <v>4692.9</v>
      </c>
      <c r="BB488" t="n">
        <v>4687.5821</v>
      </c>
      <c r="BC488" t="n">
        <v>5.3179</v>
      </c>
      <c r="BD488" t="n">
        <v>28.2796</v>
      </c>
      <c r="BE488" t="n">
        <v>235225</v>
      </c>
    </row>
    <row r="489">
      <c r="A489" t="n">
        <v>1776983402</v>
      </c>
      <c r="B489" t="inlineStr">
        <is>
          <t>XAUUSD</t>
        </is>
      </c>
      <c r="C489" t="inlineStr">
        <is>
          <t>M15</t>
        </is>
      </c>
      <c r="D489" t="n">
        <v>4693.76</v>
      </c>
      <c r="E489" t="n">
        <v>4518.59282</v>
      </c>
      <c r="F489" t="n">
        <v>4596.05595</v>
      </c>
      <c r="G489" t="n">
        <v>4755.40355</v>
      </c>
      <c r="H489" t="n">
        <v>4792.76972</v>
      </c>
      <c r="Q489" t="n">
        <v>4687.31454</v>
      </c>
      <c r="R489" t="n">
        <v>4716.67784</v>
      </c>
      <c r="S489" t="n">
        <v>4743.26661</v>
      </c>
      <c r="V489" t="n">
        <v>4652.37477</v>
      </c>
      <c r="W489" t="n">
        <v>4618.80977</v>
      </c>
      <c r="AB489" t="n">
        <v>4692.91092</v>
      </c>
      <c r="AC489" t="n">
        <v>4692.73506</v>
      </c>
      <c r="AD489" t="n">
        <v>0</v>
      </c>
      <c r="AK489" t="n">
        <v>487</v>
      </c>
      <c r="AL489" t="n">
        <v>486</v>
      </c>
      <c r="AM489" t="n">
        <v>4693.76</v>
      </c>
      <c r="AN489" t="n">
        <v>4687.3145</v>
      </c>
      <c r="AO489" t="n">
        <v>6.4455</v>
      </c>
      <c r="AP489" t="n">
        <v>41.544</v>
      </c>
      <c r="AQ489" t="n">
        <v>0.00616</v>
      </c>
      <c r="AR489" t="n">
        <v>0.001129</v>
      </c>
      <c r="AY489" t="n">
        <v>487</v>
      </c>
      <c r="AZ489" t="n">
        <v>486</v>
      </c>
      <c r="BA489" t="n">
        <v>4693.76</v>
      </c>
      <c r="BB489" t="n">
        <v>4687.3145</v>
      </c>
      <c r="BC489" t="n">
        <v>6.4455</v>
      </c>
      <c r="BD489" t="n">
        <v>41.544</v>
      </c>
      <c r="BE489" t="n">
        <v>236196</v>
      </c>
    </row>
    <row r="490">
      <c r="A490" t="n">
        <v>1776984302</v>
      </c>
      <c r="B490" t="inlineStr">
        <is>
          <t>XAUUSD</t>
        </is>
      </c>
      <c r="C490" t="inlineStr">
        <is>
          <t>M15</t>
        </is>
      </c>
      <c r="D490" t="n">
        <v>4693.35</v>
      </c>
      <c r="E490" t="n">
        <v>4518.59282</v>
      </c>
      <c r="F490" t="n">
        <v>4596.05595</v>
      </c>
      <c r="G490" t="n">
        <v>4755.40355</v>
      </c>
      <c r="H490" t="n">
        <v>4792.76972</v>
      </c>
      <c r="Q490" t="n">
        <v>4687.04694</v>
      </c>
      <c r="R490" t="n">
        <v>4716.41023</v>
      </c>
      <c r="S490" t="n">
        <v>4742.99901</v>
      </c>
      <c r="V490" t="n">
        <v>4652.10717</v>
      </c>
      <c r="W490" t="n">
        <v>4618.54217</v>
      </c>
      <c r="AB490" t="n">
        <v>4693.27683</v>
      </c>
      <c r="AC490" t="n">
        <v>4693.00594</v>
      </c>
      <c r="AD490" t="n">
        <v>0</v>
      </c>
      <c r="AK490" t="n">
        <v>488</v>
      </c>
      <c r="AL490" t="n">
        <v>487</v>
      </c>
      <c r="AM490" t="n">
        <v>4693.35</v>
      </c>
      <c r="AN490" t="n">
        <v>4687.0469</v>
      </c>
      <c r="AO490" t="n">
        <v>6.3031</v>
      </c>
      <c r="AP490" t="n">
        <v>39.7286</v>
      </c>
      <c r="AQ490" t="n">
        <v>0.005761</v>
      </c>
      <c r="AR490" t="n">
        <v>0.001033</v>
      </c>
      <c r="AY490" t="n">
        <v>488</v>
      </c>
      <c r="AZ490" t="n">
        <v>487</v>
      </c>
      <c r="BA490" t="n">
        <v>4693.35</v>
      </c>
      <c r="BB490" t="n">
        <v>4687.0469</v>
      </c>
      <c r="BC490" t="n">
        <v>6.3031</v>
      </c>
      <c r="BD490" t="n">
        <v>39.7286</v>
      </c>
      <c r="BE490" t="n">
        <v>237169</v>
      </c>
    </row>
    <row r="491">
      <c r="A491" t="n">
        <v>1776985202</v>
      </c>
      <c r="B491" t="inlineStr">
        <is>
          <t>XAUUSD</t>
        </is>
      </c>
      <c r="C491" t="inlineStr">
        <is>
          <t>M15</t>
        </is>
      </c>
      <c r="D491" t="n">
        <v>4689.74</v>
      </c>
      <c r="E491" t="n">
        <v>4518.59282</v>
      </c>
      <c r="F491" t="n">
        <v>4596.05595</v>
      </c>
      <c r="G491" t="n">
        <v>4755.40355</v>
      </c>
      <c r="H491" t="n">
        <v>4792.76972</v>
      </c>
      <c r="Q491" t="n">
        <v>4686.77933</v>
      </c>
      <c r="R491" t="n">
        <v>4716.14263</v>
      </c>
      <c r="S491" t="n">
        <v>4742.7314</v>
      </c>
      <c r="V491" t="n">
        <v>4651.83956</v>
      </c>
      <c r="W491" t="n">
        <v>4618.27456</v>
      </c>
      <c r="AB491" t="n">
        <v>4693.89013</v>
      </c>
      <c r="AC491" t="n">
        <v>4693.44804</v>
      </c>
      <c r="AD491" t="n">
        <v>0</v>
      </c>
      <c r="AK491" t="n">
        <v>489</v>
      </c>
      <c r="AL491" t="n">
        <v>488</v>
      </c>
      <c r="AM491" t="n">
        <v>4689.74</v>
      </c>
      <c r="AN491" t="n">
        <v>4686.7793</v>
      </c>
      <c r="AO491" t="n">
        <v>2.9607</v>
      </c>
      <c r="AP491" t="n">
        <v>8.765599999999999</v>
      </c>
      <c r="AQ491" t="n">
        <v>0.000597</v>
      </c>
      <c r="AR491" t="n">
        <v>5e-05</v>
      </c>
      <c r="AY491" t="n">
        <v>489</v>
      </c>
      <c r="AZ491" t="n">
        <v>488</v>
      </c>
      <c r="BA491" t="n">
        <v>4689.74</v>
      </c>
      <c r="BB491" t="n">
        <v>4686.7793</v>
      </c>
      <c r="BC491" t="n">
        <v>2.9607</v>
      </c>
      <c r="BD491" t="n">
        <v>8.765599999999999</v>
      </c>
      <c r="BE491" t="n">
        <v>238144</v>
      </c>
    </row>
    <row r="492">
      <c r="A492" t="n">
        <v>1776986102</v>
      </c>
      <c r="B492" t="inlineStr">
        <is>
          <t>XAUUSD</t>
        </is>
      </c>
      <c r="C492" t="inlineStr">
        <is>
          <t>M15</t>
        </is>
      </c>
      <c r="D492" t="n">
        <v>4694.54</v>
      </c>
      <c r="E492" t="n">
        <v>4518.59282</v>
      </c>
      <c r="F492" t="n">
        <v>4596.05595</v>
      </c>
      <c r="G492" t="n">
        <v>4755.40355</v>
      </c>
      <c r="H492" t="n">
        <v>4792.76972</v>
      </c>
      <c r="Q492" t="n">
        <v>4686.51173</v>
      </c>
      <c r="R492" t="n">
        <v>4715.87503</v>
      </c>
      <c r="S492" t="n">
        <v>4742.4638</v>
      </c>
      <c r="V492" t="n">
        <v>4651.57196</v>
      </c>
      <c r="W492" t="n">
        <v>4618.00696</v>
      </c>
      <c r="AB492" t="n">
        <v>4694.95497</v>
      </c>
      <c r="AC492" t="n">
        <v>4694.20151</v>
      </c>
      <c r="AD492" t="n">
        <v>0</v>
      </c>
      <c r="AK492" t="n">
        <v>490</v>
      </c>
      <c r="AL492" t="n">
        <v>489</v>
      </c>
      <c r="AM492" t="n">
        <v>4694.54</v>
      </c>
      <c r="AN492" t="n">
        <v>4686.5117</v>
      </c>
      <c r="AO492" t="n">
        <v>8.0283</v>
      </c>
      <c r="AP492" t="n">
        <v>64.45310000000001</v>
      </c>
      <c r="AQ492" t="n">
        <v>0.011904</v>
      </c>
      <c r="AR492" t="n">
        <v>0.002718</v>
      </c>
      <c r="AY492" t="n">
        <v>490</v>
      </c>
      <c r="AZ492" t="n">
        <v>489</v>
      </c>
      <c r="BA492" t="n">
        <v>4694.54</v>
      </c>
      <c r="BB492" t="n">
        <v>4686.5117</v>
      </c>
      <c r="BC492" t="n">
        <v>8.0283</v>
      </c>
      <c r="BD492" t="n">
        <v>64.45310000000001</v>
      </c>
      <c r="BE492" t="n">
        <v>239121</v>
      </c>
    </row>
    <row r="493">
      <c r="A493" t="n">
        <v>1776987002</v>
      </c>
      <c r="B493" t="inlineStr">
        <is>
          <t>XAUUSD</t>
        </is>
      </c>
      <c r="C493" t="inlineStr">
        <is>
          <t>M15</t>
        </is>
      </c>
      <c r="D493" t="n">
        <v>4697.37</v>
      </c>
      <c r="E493" t="n">
        <v>4518.59282</v>
      </c>
      <c r="F493" t="n">
        <v>4596.05595</v>
      </c>
      <c r="G493" t="n">
        <v>4755.40355</v>
      </c>
      <c r="H493" t="n">
        <v>4792.76972</v>
      </c>
      <c r="Q493" t="n">
        <v>4686.24412</v>
      </c>
      <c r="R493" t="n">
        <v>4715.60742</v>
      </c>
      <c r="S493" t="n">
        <v>4742.19619</v>
      </c>
      <c r="V493" t="n">
        <v>4651.30435</v>
      </c>
      <c r="W493" t="n">
        <v>4617.73936</v>
      </c>
      <c r="AB493" t="n">
        <v>4696.38321</v>
      </c>
      <c r="AC493" t="n">
        <v>4695.29236</v>
      </c>
      <c r="AD493" t="n">
        <v>0</v>
      </c>
      <c r="AK493" t="n">
        <v>491</v>
      </c>
      <c r="AL493" t="n">
        <v>490</v>
      </c>
      <c r="AM493" t="n">
        <v>4697.37</v>
      </c>
      <c r="AN493" t="n">
        <v>4686.2441</v>
      </c>
      <c r="AO493" t="n">
        <v>11.1259</v>
      </c>
      <c r="AP493" t="n">
        <v>123.7852</v>
      </c>
      <c r="AQ493" t="n">
        <v>0.031682</v>
      </c>
      <c r="AR493" t="n">
        <v>0.010025</v>
      </c>
      <c r="AY493" t="n">
        <v>491</v>
      </c>
      <c r="AZ493" t="n">
        <v>490</v>
      </c>
      <c r="BA493" t="n">
        <v>4697.37</v>
      </c>
      <c r="BB493" t="n">
        <v>4686.2441</v>
      </c>
      <c r="BC493" t="n">
        <v>11.1259</v>
      </c>
      <c r="BD493" t="n">
        <v>123.7852</v>
      </c>
      <c r="BE493" t="n">
        <v>240100</v>
      </c>
    </row>
    <row r="494">
      <c r="A494" t="n">
        <v>1776987902</v>
      </c>
      <c r="B494" t="inlineStr">
        <is>
          <t>XAUUSD</t>
        </is>
      </c>
      <c r="C494" t="inlineStr">
        <is>
          <t>M15</t>
        </is>
      </c>
      <c r="D494" t="n">
        <v>4695.41</v>
      </c>
      <c r="E494" t="n">
        <v>4518.59282</v>
      </c>
      <c r="F494" t="n">
        <v>4596.05595</v>
      </c>
      <c r="G494" t="n">
        <v>4755.40355</v>
      </c>
      <c r="H494" t="n">
        <v>4792.76972</v>
      </c>
      <c r="Q494" t="n">
        <v>4685.97652</v>
      </c>
      <c r="R494" t="n">
        <v>4715.33982</v>
      </c>
      <c r="S494" t="n">
        <v>4741.92859</v>
      </c>
      <c r="V494" t="n">
        <v>4651.03675</v>
      </c>
      <c r="W494" t="n">
        <v>4617.47175</v>
      </c>
      <c r="AB494" t="n">
        <v>4698.05338</v>
      </c>
      <c r="AC494" t="n">
        <v>4696.67287</v>
      </c>
      <c r="AD494" t="n">
        <v>0</v>
      </c>
      <c r="AK494" t="n">
        <v>492</v>
      </c>
      <c r="AL494" t="n">
        <v>491</v>
      </c>
      <c r="AM494" t="n">
        <v>4695.41</v>
      </c>
      <c r="AN494" t="n">
        <v>4685.9765</v>
      </c>
      <c r="AO494" t="n">
        <v>9.4335</v>
      </c>
      <c r="AP494" t="n">
        <v>88.9905</v>
      </c>
      <c r="AQ494" t="n">
        <v>0.019312</v>
      </c>
      <c r="AR494" t="n">
        <v>0.005181</v>
      </c>
      <c r="AY494" t="n">
        <v>492</v>
      </c>
      <c r="AZ494" t="n">
        <v>491</v>
      </c>
      <c r="BA494" t="n">
        <v>4695.41</v>
      </c>
      <c r="BB494" t="n">
        <v>4685.9765</v>
      </c>
      <c r="BC494" t="n">
        <v>9.4335</v>
      </c>
      <c r="BD494" t="n">
        <v>88.9905</v>
      </c>
      <c r="BE494" t="n">
        <v>241081</v>
      </c>
    </row>
    <row r="495">
      <c r="A495" t="n">
        <v>1776988802</v>
      </c>
      <c r="B495" t="inlineStr">
        <is>
          <t>XAUUSD</t>
        </is>
      </c>
      <c r="C495" t="inlineStr">
        <is>
          <t>M15</t>
        </is>
      </c>
      <c r="D495" t="n">
        <v>4698.34</v>
      </c>
      <c r="E495" t="n">
        <v>4518.59282</v>
      </c>
      <c r="F495" t="n">
        <v>4596.05595</v>
      </c>
      <c r="G495" t="n">
        <v>4755.40355</v>
      </c>
      <c r="H495" t="n">
        <v>4792.76972</v>
      </c>
      <c r="Q495" t="n">
        <v>4685.70892</v>
      </c>
      <c r="R495" t="n">
        <v>4715.07221</v>
      </c>
      <c r="S495" t="n">
        <v>4741.66098</v>
      </c>
      <c r="V495" t="n">
        <v>4650.76914</v>
      </c>
      <c r="W495" t="n">
        <v>4617.20415</v>
      </c>
      <c r="AB495" t="n">
        <v>4699.89612</v>
      </c>
      <c r="AC495" t="n">
        <v>4698.28449</v>
      </c>
      <c r="AD495" t="n">
        <v>0</v>
      </c>
      <c r="AK495" t="n">
        <v>493</v>
      </c>
      <c r="AL495" t="n">
        <v>492</v>
      </c>
      <c r="AM495" t="n">
        <v>4698.34</v>
      </c>
      <c r="AN495" t="n">
        <v>4685.7089</v>
      </c>
      <c r="AO495" t="n">
        <v>12.6311</v>
      </c>
      <c r="AP495" t="n">
        <v>159.5442</v>
      </c>
      <c r="AQ495" t="n">
        <v>0.046359</v>
      </c>
      <c r="AR495" t="n">
        <v>0.016654</v>
      </c>
      <c r="AY495" t="n">
        <v>493</v>
      </c>
      <c r="AZ495" t="n">
        <v>492</v>
      </c>
      <c r="BA495" t="n">
        <v>4698.34</v>
      </c>
      <c r="BB495" t="n">
        <v>4685.7089</v>
      </c>
      <c r="BC495" t="n">
        <v>12.6311</v>
      </c>
      <c r="BD495" t="n">
        <v>159.5442</v>
      </c>
      <c r="BE495" t="n">
        <v>242064</v>
      </c>
    </row>
    <row r="496">
      <c r="A496" t="n">
        <v>1776989702</v>
      </c>
      <c r="B496" t="inlineStr">
        <is>
          <t>XAUUSD</t>
        </is>
      </c>
      <c r="C496" t="inlineStr">
        <is>
          <t>M15</t>
        </is>
      </c>
      <c r="D496" t="n">
        <v>4705.83</v>
      </c>
      <c r="E496" t="n">
        <v>4518.59282</v>
      </c>
      <c r="F496" t="n">
        <v>4596.05595</v>
      </c>
      <c r="G496" t="n">
        <v>4755.40355</v>
      </c>
      <c r="H496" t="n">
        <v>4792.76972</v>
      </c>
      <c r="Q496" t="n">
        <v>4685.44131</v>
      </c>
      <c r="R496" t="n">
        <v>4714.80461</v>
      </c>
      <c r="S496" t="n">
        <v>4741.39338</v>
      </c>
      <c r="V496" t="n">
        <v>4650.50154</v>
      </c>
      <c r="W496" t="n">
        <v>4616.93654</v>
      </c>
      <c r="AB496" t="n">
        <v>4701.65006</v>
      </c>
      <c r="AC496" t="n">
        <v>4699.96728</v>
      </c>
      <c r="AD496" t="n">
        <v>0</v>
      </c>
      <c r="AK496" t="n">
        <v>494</v>
      </c>
      <c r="AL496" t="n">
        <v>493</v>
      </c>
      <c r="AM496" t="n">
        <v>4705.83</v>
      </c>
      <c r="AN496" t="n">
        <v>4685.4413</v>
      </c>
      <c r="AO496" t="n">
        <v>20.3887</v>
      </c>
      <c r="AP496" t="n">
        <v>415.6987</v>
      </c>
      <c r="AQ496" t="n">
        <v>0.194977</v>
      </c>
      <c r="AR496" t="n">
        <v>0.113061</v>
      </c>
      <c r="AY496" t="n">
        <v>494</v>
      </c>
      <c r="AZ496" t="n">
        <v>493</v>
      </c>
      <c r="BA496" t="n">
        <v>4705.83</v>
      </c>
      <c r="BB496" t="n">
        <v>4685.4413</v>
      </c>
      <c r="BC496" t="n">
        <v>20.3887</v>
      </c>
      <c r="BD496" t="n">
        <v>415.6987</v>
      </c>
      <c r="BE496" t="n">
        <v>243049</v>
      </c>
    </row>
    <row r="497">
      <c r="A497" t="n">
        <v>1776990602</v>
      </c>
      <c r="B497" t="inlineStr">
        <is>
          <t>XAUUSD</t>
        </is>
      </c>
      <c r="C497" t="inlineStr">
        <is>
          <t>M15</t>
        </is>
      </c>
      <c r="D497" t="n">
        <v>4701.8</v>
      </c>
      <c r="E497" t="n">
        <v>4518.59282</v>
      </c>
      <c r="F497" t="n">
        <v>4596.05595</v>
      </c>
      <c r="G497" t="n">
        <v>4755.40355</v>
      </c>
      <c r="H497" t="n">
        <v>4792.76972</v>
      </c>
      <c r="Q497" t="n">
        <v>4685.17371</v>
      </c>
      <c r="R497" t="n">
        <v>4714.53701</v>
      </c>
      <c r="S497" t="n">
        <v>4741.12578</v>
      </c>
      <c r="V497" t="n">
        <v>4650.23394</v>
      </c>
      <c r="W497" t="n">
        <v>4616.66894</v>
      </c>
      <c r="AB497" t="n">
        <v>4702.87104</v>
      </c>
      <c r="AC497" t="n">
        <v>4701.41916</v>
      </c>
      <c r="AD497" t="n">
        <v>0</v>
      </c>
      <c r="AK497" t="n">
        <v>495</v>
      </c>
      <c r="AL497" t="n">
        <v>494</v>
      </c>
      <c r="AM497" t="n">
        <v>4701.8</v>
      </c>
      <c r="AN497" t="n">
        <v>4685.1737</v>
      </c>
      <c r="AO497" t="n">
        <v>16.6263</v>
      </c>
      <c r="AP497" t="n">
        <v>276.4335</v>
      </c>
      <c r="AQ497" t="n">
        <v>0.105731</v>
      </c>
      <c r="AR497" t="n">
        <v>0.049996</v>
      </c>
      <c r="AY497" t="n">
        <v>495</v>
      </c>
      <c r="AZ497" t="n">
        <v>494</v>
      </c>
      <c r="BA497" t="n">
        <v>4701.8</v>
      </c>
      <c r="BB497" t="n">
        <v>4685.1737</v>
      </c>
      <c r="BC497" t="n">
        <v>16.6263</v>
      </c>
      <c r="BD497" t="n">
        <v>276.4335</v>
      </c>
      <c r="BE497" t="n">
        <v>244036</v>
      </c>
    </row>
    <row r="498">
      <c r="A498" t="n">
        <v>1776991502</v>
      </c>
      <c r="B498" t="inlineStr">
        <is>
          <t>XAUUSD</t>
        </is>
      </c>
      <c r="C498" t="inlineStr">
        <is>
          <t>M15</t>
        </is>
      </c>
      <c r="D498" t="n">
        <v>4704.71</v>
      </c>
      <c r="E498" t="n">
        <v>4518.59282</v>
      </c>
      <c r="F498" t="n">
        <v>4596.05595</v>
      </c>
      <c r="G498" t="n">
        <v>4755.40355</v>
      </c>
      <c r="H498" t="n">
        <v>4792.76972</v>
      </c>
      <c r="Q498" t="n">
        <v>4684.9061</v>
      </c>
      <c r="R498" t="n">
        <v>4714.2694</v>
      </c>
      <c r="S498" t="n">
        <v>4740.85817</v>
      </c>
      <c r="V498" t="n">
        <v>4649.96633</v>
      </c>
      <c r="W498" t="n">
        <v>4616.40134</v>
      </c>
      <c r="AB498" t="n">
        <v>4703.43896</v>
      </c>
      <c r="AC498" t="n">
        <v>4702.42906</v>
      </c>
      <c r="AD498" t="n">
        <v>0</v>
      </c>
      <c r="AK498" t="n">
        <v>496</v>
      </c>
      <c r="AL498" t="n">
        <v>495</v>
      </c>
      <c r="AM498" t="n">
        <v>4704.71</v>
      </c>
      <c r="AN498" t="n">
        <v>4684.9061</v>
      </c>
      <c r="AO498" t="n">
        <v>19.8039</v>
      </c>
      <c r="AP498" t="n">
        <v>392.1945</v>
      </c>
      <c r="AQ498" t="n">
        <v>0.178677</v>
      </c>
      <c r="AR498" t="n">
        <v>0.100637</v>
      </c>
      <c r="AY498" t="n">
        <v>496</v>
      </c>
      <c r="AZ498" t="n">
        <v>495</v>
      </c>
      <c r="BA498" t="n">
        <v>4704.71</v>
      </c>
      <c r="BB498" t="n">
        <v>4684.9061</v>
      </c>
      <c r="BC498" t="n">
        <v>19.8039</v>
      </c>
      <c r="BD498" t="n">
        <v>392.1945</v>
      </c>
      <c r="BE498" t="n">
        <v>245025</v>
      </c>
    </row>
    <row r="499">
      <c r="A499" t="n">
        <v>1776992402</v>
      </c>
      <c r="B499" t="inlineStr">
        <is>
          <t>XAUUSD</t>
        </is>
      </c>
      <c r="C499" t="inlineStr">
        <is>
          <t>M15</t>
        </is>
      </c>
      <c r="D499" t="n">
        <v>4709.47</v>
      </c>
      <c r="E499" t="n">
        <v>4518.59282</v>
      </c>
      <c r="F499" t="n">
        <v>4596.05595</v>
      </c>
      <c r="G499" t="n">
        <v>4755.40355</v>
      </c>
      <c r="H499" t="n">
        <v>4792.76972</v>
      </c>
      <c r="Q499" t="n">
        <v>4684.6385</v>
      </c>
      <c r="R499" t="n">
        <v>4714.0018</v>
      </c>
      <c r="S499" t="n">
        <v>4740.59057</v>
      </c>
      <c r="V499" t="n">
        <v>4649.69873</v>
      </c>
      <c r="W499" t="n">
        <v>4616.13373</v>
      </c>
      <c r="AB499" t="n">
        <v>4703.03902</v>
      </c>
      <c r="AC499" t="n">
        <v>4702.73404</v>
      </c>
      <c r="AD499" t="n">
        <v>0</v>
      </c>
      <c r="AK499" t="n">
        <v>497</v>
      </c>
      <c r="AL499" t="n">
        <v>496</v>
      </c>
      <c r="AM499" t="n">
        <v>4709.47</v>
      </c>
      <c r="AN499" t="n">
        <v>4684.6385</v>
      </c>
      <c r="AO499" t="n">
        <v>24.8315</v>
      </c>
      <c r="AP499" t="n">
        <v>616.6034</v>
      </c>
      <c r="AQ499" t="n">
        <v>0.352228</v>
      </c>
      <c r="AR499" t="n">
        <v>0.248752</v>
      </c>
      <c r="AY499" t="n">
        <v>497</v>
      </c>
      <c r="AZ499" t="n">
        <v>496</v>
      </c>
      <c r="BA499" t="n">
        <v>4709.47</v>
      </c>
      <c r="BB499" t="n">
        <v>4684.6385</v>
      </c>
      <c r="BC499" t="n">
        <v>24.8315</v>
      </c>
      <c r="BD499" t="n">
        <v>616.6034</v>
      </c>
      <c r="BE499" t="n">
        <v>246016</v>
      </c>
    </row>
    <row r="500">
      <c r="A500" t="n">
        <v>1776993302</v>
      </c>
      <c r="B500" t="inlineStr">
        <is>
          <t>XAUUSD</t>
        </is>
      </c>
      <c r="C500" t="inlineStr">
        <is>
          <t>M15</t>
        </is>
      </c>
      <c r="D500" t="n">
        <v>4698.41</v>
      </c>
      <c r="E500" t="n">
        <v>4518.59282</v>
      </c>
      <c r="F500" t="n">
        <v>4596.05595</v>
      </c>
      <c r="G500" t="n">
        <v>4755.40355</v>
      </c>
      <c r="H500" t="n">
        <v>4792.76972</v>
      </c>
      <c r="Q500" t="n">
        <v>4684.37089</v>
      </c>
      <c r="R500" t="n">
        <v>4713.73419</v>
      </c>
      <c r="S500" t="n">
        <v>4740.32296</v>
      </c>
      <c r="V500" t="n">
        <v>4649.43112</v>
      </c>
      <c r="W500" t="n">
        <v>4615.86613</v>
      </c>
      <c r="Z500" t="n">
        <v>4711.23</v>
      </c>
      <c r="AB500" t="n">
        <v>4701.3644</v>
      </c>
      <c r="AC500" t="n">
        <v>4702.04922</v>
      </c>
      <c r="AD500" t="n">
        <v>1</v>
      </c>
      <c r="AK500" t="n">
        <v>498</v>
      </c>
      <c r="AL500" t="n">
        <v>497</v>
      </c>
      <c r="AM500" t="n">
        <v>4698.41</v>
      </c>
      <c r="AN500" t="n">
        <v>4684.3709</v>
      </c>
      <c r="AO500" t="n">
        <v>14.0391</v>
      </c>
      <c r="AP500" t="n">
        <v>197.0966</v>
      </c>
      <c r="AQ500" t="n">
        <v>0.063655</v>
      </c>
      <c r="AR500" t="n">
        <v>0.025416</v>
      </c>
      <c r="AY500" t="n">
        <v>498</v>
      </c>
      <c r="AZ500" t="n">
        <v>497</v>
      </c>
      <c r="BA500" t="n">
        <v>4698.41</v>
      </c>
      <c r="BB500" t="n">
        <v>4684.3709</v>
      </c>
      <c r="BC500" t="n">
        <v>14.0391</v>
      </c>
      <c r="BD500" t="n">
        <v>197.0966</v>
      </c>
      <c r="BE500" t="n">
        <v>247009</v>
      </c>
    </row>
    <row r="501">
      <c r="A501" t="n">
        <v>1776994202</v>
      </c>
      <c r="B501" t="inlineStr">
        <is>
          <t>XAUUSD</t>
        </is>
      </c>
      <c r="C501" t="inlineStr">
        <is>
          <t>M15</t>
        </is>
      </c>
      <c r="D501" t="n">
        <v>4690.81</v>
      </c>
      <c r="E501" t="n">
        <v>4518.59282</v>
      </c>
      <c r="F501" t="n">
        <v>4596.05595</v>
      </c>
      <c r="G501" t="n">
        <v>4755.40355</v>
      </c>
      <c r="H501" t="n">
        <v>4792.76972</v>
      </c>
      <c r="Q501" t="n">
        <v>4684.10329</v>
      </c>
      <c r="R501" t="n">
        <v>4713.46659</v>
      </c>
      <c r="S501" t="n">
        <v>4740.05536</v>
      </c>
      <c r="V501" t="n">
        <v>4649.16352</v>
      </c>
      <c r="W501" t="n">
        <v>4615.59852</v>
      </c>
      <c r="AB501" t="n">
        <v>4698.6827</v>
      </c>
      <c r="AC501" t="n">
        <v>4700.36596</v>
      </c>
      <c r="AD501" t="n">
        <v>0</v>
      </c>
      <c r="AK501" t="n">
        <v>499</v>
      </c>
      <c r="AL501" t="n">
        <v>498</v>
      </c>
      <c r="AM501" t="n">
        <v>4690.81</v>
      </c>
      <c r="AN501" t="n">
        <v>4684.1033</v>
      </c>
      <c r="AO501" t="n">
        <v>6.7067</v>
      </c>
      <c r="AP501" t="n">
        <v>44.98</v>
      </c>
      <c r="AQ501" t="n">
        <v>0.00694</v>
      </c>
      <c r="AR501" t="n">
        <v>0.001324</v>
      </c>
      <c r="AY501" t="n">
        <v>499</v>
      </c>
      <c r="AZ501" t="n">
        <v>498</v>
      </c>
      <c r="BA501" t="n">
        <v>4690.81</v>
      </c>
      <c r="BB501" t="n">
        <v>4684.1033</v>
      </c>
      <c r="BC501" t="n">
        <v>6.7067</v>
      </c>
      <c r="BD501" t="n">
        <v>44.98</v>
      </c>
      <c r="BE501" t="n">
        <v>248004</v>
      </c>
    </row>
    <row r="502">
      <c r="A502" t="n">
        <v>1776995102</v>
      </c>
      <c r="B502" t="inlineStr">
        <is>
          <t>XAUUSD</t>
        </is>
      </c>
      <c r="C502" t="inlineStr">
        <is>
          <t>M15</t>
        </is>
      </c>
      <c r="D502" t="n">
        <v>4699.09</v>
      </c>
      <c r="E502" t="n">
        <v>4518.59282</v>
      </c>
      <c r="F502" t="n">
        <v>4596.05595</v>
      </c>
      <c r="G502" t="n">
        <v>4755.40355</v>
      </c>
      <c r="H502" t="n">
        <v>4792.76972</v>
      </c>
      <c r="Q502" t="n">
        <v>4683.83569</v>
      </c>
      <c r="R502" t="n">
        <v>4713.19899</v>
      </c>
      <c r="S502" t="n">
        <v>4739.78776</v>
      </c>
      <c r="V502" t="n">
        <v>4648.89592</v>
      </c>
      <c r="W502" t="n">
        <v>4615.33092</v>
      </c>
      <c r="AB502" t="n">
        <v>4695.29842</v>
      </c>
      <c r="AC502" t="n">
        <v>4697.83219</v>
      </c>
      <c r="AD502" t="n">
        <v>0</v>
      </c>
      <c r="AK502" t="n">
        <v>500</v>
      </c>
      <c r="AL502" t="n">
        <v>499</v>
      </c>
      <c r="AM502" t="n">
        <v>4699.09</v>
      </c>
      <c r="AN502" t="n">
        <v>4683.8357</v>
      </c>
      <c r="AO502" t="n">
        <v>15.2543</v>
      </c>
      <c r="AP502" t="n">
        <v>232.694</v>
      </c>
      <c r="AQ502" t="n">
        <v>0.08165699999999999</v>
      </c>
      <c r="AR502" t="n">
        <v>0.035426</v>
      </c>
      <c r="AY502" t="n">
        <v>500</v>
      </c>
      <c r="AZ502" t="n">
        <v>499</v>
      </c>
      <c r="BA502" t="n">
        <v>4699.09</v>
      </c>
      <c r="BB502" t="n">
        <v>4683.8357</v>
      </c>
      <c r="BC502" t="n">
        <v>15.2543</v>
      </c>
      <c r="BD502" t="n">
        <v>232.694</v>
      </c>
      <c r="BE502" t="n">
        <v>249001</v>
      </c>
    </row>
    <row r="503">
      <c r="A503" t="n">
        <v>1776996002</v>
      </c>
      <c r="B503" t="inlineStr">
        <is>
          <t>XAUUSD</t>
        </is>
      </c>
      <c r="C503" t="inlineStr">
        <is>
          <t>M15</t>
        </is>
      </c>
      <c r="D503" t="n">
        <v>4693.29</v>
      </c>
      <c r="E503" t="n">
        <v>4518.59282</v>
      </c>
      <c r="F503" t="n">
        <v>4596.05595</v>
      </c>
      <c r="G503" t="n">
        <v>4755.40355</v>
      </c>
      <c r="H503" t="n">
        <v>4792.76972</v>
      </c>
      <c r="Q503" t="n">
        <v>4683.56808</v>
      </c>
      <c r="R503" t="n">
        <v>4712.93138</v>
      </c>
      <c r="S503" t="n">
        <v>4739.52015</v>
      </c>
      <c r="V503" t="n">
        <v>4648.62831</v>
      </c>
      <c r="W503" t="n">
        <v>4615.06332</v>
      </c>
      <c r="AB503" t="n">
        <v>4691.1675</v>
      </c>
      <c r="AC503" t="n">
        <v>4694.49984</v>
      </c>
      <c r="AD503" t="n">
        <v>0</v>
      </c>
      <c r="AK503" t="n">
        <v>501</v>
      </c>
      <c r="AL503" t="n">
        <v>500</v>
      </c>
      <c r="AM503" t="n">
        <v>4693.29</v>
      </c>
      <c r="AN503" t="n">
        <v>4683.5681</v>
      </c>
      <c r="AO503" t="n">
        <v>9.7219</v>
      </c>
      <c r="AP503" t="n">
        <v>94.5157</v>
      </c>
      <c r="AQ503" t="n">
        <v>0.021138</v>
      </c>
      <c r="AR503" t="n">
        <v>0.005845</v>
      </c>
      <c r="AY503" t="n">
        <v>501</v>
      </c>
      <c r="AZ503" t="n">
        <v>500</v>
      </c>
      <c r="BA503" t="n">
        <v>4693.29</v>
      </c>
      <c r="BB503" t="n">
        <v>4683.5681</v>
      </c>
      <c r="BC503" t="n">
        <v>9.7219</v>
      </c>
      <c r="BD503" t="n">
        <v>94.5157</v>
      </c>
      <c r="BE503" t="n">
        <v>250000</v>
      </c>
    </row>
    <row r="504">
      <c r="A504" t="n">
        <v>1776996902</v>
      </c>
      <c r="B504" t="inlineStr">
        <is>
          <t>XAUUSD</t>
        </is>
      </c>
      <c r="C504" t="inlineStr">
        <is>
          <t>M15</t>
        </is>
      </c>
      <c r="D504" t="n">
        <v>4684.14</v>
      </c>
      <c r="E504" t="n">
        <v>4518.59282</v>
      </c>
      <c r="F504" t="n">
        <v>4596.05595</v>
      </c>
      <c r="G504" t="n">
        <v>4755.40355</v>
      </c>
      <c r="H504" t="n">
        <v>4792.76972</v>
      </c>
      <c r="Q504" t="n">
        <v>4683.30048</v>
      </c>
      <c r="R504" t="n">
        <v>4712.66378</v>
      </c>
      <c r="S504" t="n">
        <v>4739.25255</v>
      </c>
      <c r="V504" t="n">
        <v>4648.36071</v>
      </c>
      <c r="W504" t="n">
        <v>4614.79571</v>
      </c>
      <c r="AB504" t="n">
        <v>4686.69271</v>
      </c>
      <c r="AC504" t="n">
        <v>4690.59627</v>
      </c>
      <c r="AD504" t="n">
        <v>0</v>
      </c>
      <c r="AK504" t="n">
        <v>502</v>
      </c>
      <c r="AL504" t="n">
        <v>501</v>
      </c>
      <c r="AM504" t="n">
        <v>4684.14</v>
      </c>
      <c r="AN504" t="n">
        <v>4683.3005</v>
      </c>
      <c r="AO504" t="n">
        <v>0.8395</v>
      </c>
      <c r="AP504" t="n">
        <v>0.7048</v>
      </c>
      <c r="AQ504" t="n">
        <v>1.4e-05</v>
      </c>
      <c r="AR504" t="n">
        <v>0</v>
      </c>
      <c r="AY504" t="n">
        <v>502</v>
      </c>
      <c r="AZ504" t="n">
        <v>501</v>
      </c>
      <c r="BA504" t="n">
        <v>4684.14</v>
      </c>
      <c r="BB504" t="n">
        <v>4683.3005</v>
      </c>
      <c r="BC504" t="n">
        <v>0.8395</v>
      </c>
      <c r="BD504" t="n">
        <v>0.7048</v>
      </c>
      <c r="BE504" t="n">
        <v>251001</v>
      </c>
    </row>
    <row r="505">
      <c r="A505" t="n">
        <v>1776997802</v>
      </c>
      <c r="B505" t="inlineStr">
        <is>
          <t>XAUUSD</t>
        </is>
      </c>
      <c r="C505" t="inlineStr">
        <is>
          <t>M15</t>
        </is>
      </c>
      <c r="D505" t="n">
        <v>4683.54</v>
      </c>
      <c r="E505" t="n">
        <v>4518.59282</v>
      </c>
      <c r="F505" t="n">
        <v>4596.05595</v>
      </c>
      <c r="G505" t="n">
        <v>4755.40355</v>
      </c>
      <c r="H505" t="n">
        <v>4792.76972</v>
      </c>
      <c r="Q505" t="n">
        <v>4683.03287</v>
      </c>
      <c r="R505" t="n">
        <v>4712.39617</v>
      </c>
      <c r="S505" t="n">
        <v>4738.98494</v>
      </c>
      <c r="V505" t="n">
        <v>4648.0931</v>
      </c>
      <c r="W505" t="n">
        <v>4614.52811</v>
      </c>
      <c r="AB505" t="n">
        <v>4682.2824</v>
      </c>
      <c r="AC505" t="n">
        <v>4686.43934</v>
      </c>
      <c r="AD505" t="n">
        <v>0</v>
      </c>
      <c r="AK505" t="n">
        <v>503</v>
      </c>
      <c r="AL505" t="n">
        <v>502</v>
      </c>
      <c r="AM505" t="n">
        <v>4683.54</v>
      </c>
      <c r="AN505" t="n">
        <v>4683.0329</v>
      </c>
      <c r="AO505" t="n">
        <v>0.5071</v>
      </c>
      <c r="AP505" t="n">
        <v>0.2572</v>
      </c>
      <c r="AQ505" t="n">
        <v>3e-06</v>
      </c>
      <c r="AR505" t="n">
        <v>0</v>
      </c>
      <c r="AY505" t="n">
        <v>503</v>
      </c>
      <c r="AZ505" t="n">
        <v>502</v>
      </c>
      <c r="BA505" t="n">
        <v>4683.54</v>
      </c>
      <c r="BB505" t="n">
        <v>4683.0329</v>
      </c>
      <c r="BC505" t="n">
        <v>0.5071</v>
      </c>
      <c r="BD505" t="n">
        <v>0.2572</v>
      </c>
      <c r="BE505" t="n">
        <v>252004</v>
      </c>
    </row>
    <row r="506">
      <c r="A506" t="n">
        <v>1776998702</v>
      </c>
      <c r="B506" t="inlineStr">
        <is>
          <t>XAUUSD</t>
        </is>
      </c>
      <c r="C506" t="inlineStr">
        <is>
          <t>M15</t>
        </is>
      </c>
      <c r="D506" t="n">
        <v>4676.83</v>
      </c>
      <c r="E506" t="n">
        <v>4518.59282</v>
      </c>
      <c r="F506" t="n">
        <v>4596.05595</v>
      </c>
      <c r="G506" t="n">
        <v>4755.40355</v>
      </c>
      <c r="H506" t="n">
        <v>4792.76972</v>
      </c>
      <c r="Q506" t="n">
        <v>4682.76527</v>
      </c>
      <c r="R506" t="n">
        <v>4712.12857</v>
      </c>
      <c r="S506" t="n">
        <v>4738.71734</v>
      </c>
      <c r="V506" t="n">
        <v>4647.8255</v>
      </c>
      <c r="W506" t="n">
        <v>4614.2605</v>
      </c>
      <c r="AB506" t="n">
        <v>4678.12089</v>
      </c>
      <c r="AC506" t="n">
        <v>4682.28011</v>
      </c>
      <c r="AD506" t="n">
        <v>0</v>
      </c>
      <c r="AK506" t="n">
        <v>504</v>
      </c>
      <c r="AL506" t="n">
        <v>503</v>
      </c>
      <c r="AM506" t="n">
        <v>4676.83</v>
      </c>
      <c r="AN506" t="n">
        <v>4682.7653</v>
      </c>
      <c r="AO506" t="n">
        <v>-5.9353</v>
      </c>
      <c r="AP506" t="n">
        <v>35.2274</v>
      </c>
      <c r="AQ506" t="n">
        <v>-0.00481</v>
      </c>
      <c r="AR506" t="n">
        <v>0.000812</v>
      </c>
      <c r="AY506" t="n">
        <v>504</v>
      </c>
      <c r="AZ506" t="n">
        <v>503</v>
      </c>
      <c r="BA506" t="n">
        <v>4676.83</v>
      </c>
      <c r="BB506" t="n">
        <v>4682.7653</v>
      </c>
      <c r="BC506" t="n">
        <v>-5.9353</v>
      </c>
      <c r="BD506" t="n">
        <v>35.2274</v>
      </c>
      <c r="BE506" t="n">
        <v>253009</v>
      </c>
    </row>
    <row r="507">
      <c r="A507" t="n">
        <v>1776999602</v>
      </c>
      <c r="B507" t="inlineStr">
        <is>
          <t>XAUUSD</t>
        </is>
      </c>
      <c r="C507" t="inlineStr">
        <is>
          <t>M15</t>
        </is>
      </c>
      <c r="D507" t="n">
        <v>4670.5</v>
      </c>
      <c r="E507" t="n">
        <v>4518.59282</v>
      </c>
      <c r="F507" t="n">
        <v>4596.05595</v>
      </c>
      <c r="G507" t="n">
        <v>4755.40355</v>
      </c>
      <c r="H507" t="n">
        <v>4792.76972</v>
      </c>
      <c r="Q507" t="n">
        <v>4682.49767</v>
      </c>
      <c r="R507" t="n">
        <v>4711.86096</v>
      </c>
      <c r="S507" t="n">
        <v>4738.44974</v>
      </c>
      <c r="V507" t="n">
        <v>4647.5579</v>
      </c>
      <c r="W507" t="n">
        <v>4613.9929</v>
      </c>
      <c r="AB507" t="n">
        <v>4674.53755</v>
      </c>
      <c r="AC507" t="n">
        <v>4678.40883</v>
      </c>
      <c r="AD507" t="n">
        <v>0</v>
      </c>
      <c r="AK507" t="n">
        <v>505</v>
      </c>
      <c r="AL507" t="n">
        <v>504</v>
      </c>
      <c r="AM507" t="n">
        <v>4670.5</v>
      </c>
      <c r="AN507" t="n">
        <v>4682.4977</v>
      </c>
      <c r="AO507" t="n">
        <v>-11.9977</v>
      </c>
      <c r="AP507" t="n">
        <v>143.9441</v>
      </c>
      <c r="AQ507" t="n">
        <v>-0.039729</v>
      </c>
      <c r="AR507" t="n">
        <v>0.013556</v>
      </c>
      <c r="AY507" t="n">
        <v>505</v>
      </c>
      <c r="AZ507" t="n">
        <v>504</v>
      </c>
      <c r="BA507" t="n">
        <v>4670.5</v>
      </c>
      <c r="BB507" t="n">
        <v>4682.4977</v>
      </c>
      <c r="BC507" t="n">
        <v>-11.9977</v>
      </c>
      <c r="BD507" t="n">
        <v>143.9441</v>
      </c>
      <c r="BE507" t="n">
        <v>254016</v>
      </c>
    </row>
    <row r="508">
      <c r="A508" t="n">
        <v>1777000502</v>
      </c>
      <c r="B508" t="inlineStr">
        <is>
          <t>XAUUSD</t>
        </is>
      </c>
      <c r="C508" t="inlineStr">
        <is>
          <t>M15</t>
        </is>
      </c>
      <c r="D508" t="n">
        <v>4674.62</v>
      </c>
      <c r="E508" t="n">
        <v>4518.59282</v>
      </c>
      <c r="F508" t="n">
        <v>4596.05595</v>
      </c>
      <c r="G508" t="n">
        <v>4755.40355</v>
      </c>
      <c r="H508" t="n">
        <v>4792.76972</v>
      </c>
      <c r="Q508" t="n">
        <v>4682.23006</v>
      </c>
      <c r="R508" t="n">
        <v>4711.59336</v>
      </c>
      <c r="S508" t="n">
        <v>4738.18213</v>
      </c>
      <c r="V508" t="n">
        <v>4647.29029</v>
      </c>
      <c r="W508" t="n">
        <v>4613.7253</v>
      </c>
      <c r="AB508" t="n">
        <v>4671.82662</v>
      </c>
      <c r="AC508" t="n">
        <v>4675.11772</v>
      </c>
      <c r="AD508" t="n">
        <v>0</v>
      </c>
      <c r="AK508" t="n">
        <v>506</v>
      </c>
      <c r="AL508" t="n">
        <v>505</v>
      </c>
      <c r="AM508" t="n">
        <v>4674.62</v>
      </c>
      <c r="AN508" t="n">
        <v>4682.2301</v>
      </c>
      <c r="AO508" t="n">
        <v>-7.6101</v>
      </c>
      <c r="AP508" t="n">
        <v>57.913</v>
      </c>
      <c r="AQ508" t="n">
        <v>-0.010139</v>
      </c>
      <c r="AR508" t="n">
        <v>0.002194</v>
      </c>
      <c r="AY508" t="n">
        <v>506</v>
      </c>
      <c r="AZ508" t="n">
        <v>505</v>
      </c>
      <c r="BA508" t="n">
        <v>4674.62</v>
      </c>
      <c r="BB508" t="n">
        <v>4682.2301</v>
      </c>
      <c r="BC508" t="n">
        <v>-7.6101</v>
      </c>
      <c r="BD508" t="n">
        <v>57.913</v>
      </c>
      <c r="BE508" t="n">
        <v>255025</v>
      </c>
    </row>
    <row r="509">
      <c r="A509" t="n">
        <v>1777001402</v>
      </c>
      <c r="B509" t="inlineStr">
        <is>
          <t>XAUUSD</t>
        </is>
      </c>
      <c r="C509" t="inlineStr">
        <is>
          <t>M15</t>
        </is>
      </c>
      <c r="D509" t="n">
        <v>4675.32</v>
      </c>
      <c r="E509" t="n">
        <v>4518.59282</v>
      </c>
      <c r="F509" t="n">
        <v>4596.05595</v>
      </c>
      <c r="G509" t="n">
        <v>4755.40355</v>
      </c>
      <c r="H509" t="n">
        <v>4792.76972</v>
      </c>
      <c r="Q509" t="n">
        <v>4681.96246</v>
      </c>
      <c r="R509" t="n">
        <v>4711.32576</v>
      </c>
      <c r="S509" t="n">
        <v>4737.91453</v>
      </c>
      <c r="V509" t="n">
        <v>4647.02269</v>
      </c>
      <c r="W509" t="n">
        <v>4613.45769</v>
      </c>
      <c r="AB509" t="n">
        <v>4669.94697</v>
      </c>
      <c r="AC509" t="n">
        <v>4672.53235</v>
      </c>
      <c r="AD509" t="n">
        <v>0</v>
      </c>
      <c r="AK509" t="n">
        <v>507</v>
      </c>
      <c r="AL509" t="n">
        <v>506</v>
      </c>
      <c r="AM509" t="n">
        <v>4675.32</v>
      </c>
      <c r="AN509" t="n">
        <v>4681.9625</v>
      </c>
      <c r="AO509" t="n">
        <v>-6.6425</v>
      </c>
      <c r="AP509" t="n">
        <v>44.1223</v>
      </c>
      <c r="AQ509" t="n">
        <v>-0.006742</v>
      </c>
      <c r="AR509" t="n">
        <v>0.001274</v>
      </c>
      <c r="AY509" t="n">
        <v>507</v>
      </c>
      <c r="AZ509" t="n">
        <v>506</v>
      </c>
      <c r="BA509" t="n">
        <v>4675.32</v>
      </c>
      <c r="BB509" t="n">
        <v>4681.9625</v>
      </c>
      <c r="BC509" t="n">
        <v>-6.6425</v>
      </c>
      <c r="BD509" t="n">
        <v>44.1223</v>
      </c>
      <c r="BE509" t="n">
        <v>256036</v>
      </c>
    </row>
    <row r="510">
      <c r="A510" t="n">
        <v>1777002302</v>
      </c>
      <c r="B510" t="inlineStr">
        <is>
          <t>XAUUSD</t>
        </is>
      </c>
      <c r="C510" t="inlineStr">
        <is>
          <t>M15</t>
        </is>
      </c>
      <c r="D510" t="n">
        <v>4672.16</v>
      </c>
      <c r="E510" t="n">
        <v>4518.59282</v>
      </c>
      <c r="F510" t="n">
        <v>4596.05595</v>
      </c>
      <c r="G510" t="n">
        <v>4755.40355</v>
      </c>
      <c r="H510" t="n">
        <v>4792.76972</v>
      </c>
      <c r="Q510" t="n">
        <v>4681.69485</v>
      </c>
      <c r="R510" t="n">
        <v>4711.05815</v>
      </c>
      <c r="S510" t="n">
        <v>4737.64692</v>
      </c>
      <c r="V510" t="n">
        <v>4646.75508</v>
      </c>
      <c r="W510" t="n">
        <v>4613.19009</v>
      </c>
      <c r="AB510" t="n">
        <v>4668.87263</v>
      </c>
      <c r="AC510" t="n">
        <v>4670.70249</v>
      </c>
      <c r="AD510" t="n">
        <v>0</v>
      </c>
      <c r="AK510" t="n">
        <v>508</v>
      </c>
      <c r="AL510" t="n">
        <v>507</v>
      </c>
      <c r="AM510" t="n">
        <v>4672.16</v>
      </c>
      <c r="AN510" t="n">
        <v>4681.6948</v>
      </c>
      <c r="AO510" t="n">
        <v>-9.5349</v>
      </c>
      <c r="AP510" t="n">
        <v>90.9134</v>
      </c>
      <c r="AQ510" t="n">
        <v>-0.019941</v>
      </c>
      <c r="AR510" t="n">
        <v>0.005408</v>
      </c>
      <c r="AY510" t="n">
        <v>508</v>
      </c>
      <c r="AZ510" t="n">
        <v>507</v>
      </c>
      <c r="BA510" t="n">
        <v>4672.16</v>
      </c>
      <c r="BB510" t="n">
        <v>4681.6948</v>
      </c>
      <c r="BC510" t="n">
        <v>-9.5349</v>
      </c>
      <c r="BD510" t="n">
        <v>90.9134</v>
      </c>
      <c r="BE510" t="n">
        <v>257049</v>
      </c>
    </row>
    <row r="511">
      <c r="A511" t="n">
        <v>1777003202</v>
      </c>
      <c r="B511" t="inlineStr">
        <is>
          <t>XAUUSD</t>
        </is>
      </c>
      <c r="C511" t="inlineStr">
        <is>
          <t>M15</t>
        </is>
      </c>
      <c r="D511" t="n">
        <v>4670.01</v>
      </c>
      <c r="E511" t="n">
        <v>4518.59282</v>
      </c>
      <c r="F511" t="n">
        <v>4596.05595</v>
      </c>
      <c r="G511" t="n">
        <v>4755.40355</v>
      </c>
      <c r="H511" t="n">
        <v>4792.76972</v>
      </c>
      <c r="Q511" t="n">
        <v>4681.42725</v>
      </c>
      <c r="R511" t="n">
        <v>4710.79055</v>
      </c>
      <c r="S511" t="n">
        <v>4737.37932</v>
      </c>
      <c r="V511" t="n">
        <v>4646.48748</v>
      </c>
      <c r="W511" t="n">
        <v>4612.92248</v>
      </c>
      <c r="AB511" t="n">
        <v>4668.64906</v>
      </c>
      <c r="AC511" t="n">
        <v>4669.67578</v>
      </c>
      <c r="AD511" t="n">
        <v>0</v>
      </c>
      <c r="AK511" t="n">
        <v>509</v>
      </c>
      <c r="AL511" t="n">
        <v>508</v>
      </c>
      <c r="AM511" t="n">
        <v>4670.01</v>
      </c>
      <c r="AN511" t="n">
        <v>4681.4272</v>
      </c>
      <c r="AO511" t="n">
        <v>-11.4172</v>
      </c>
      <c r="AP511" t="n">
        <v>130.3536</v>
      </c>
      <c r="AQ511" t="n">
        <v>-0.034237</v>
      </c>
      <c r="AR511" t="n">
        <v>0.011117</v>
      </c>
      <c r="AY511" t="n">
        <v>509</v>
      </c>
      <c r="AZ511" t="n">
        <v>508</v>
      </c>
      <c r="BA511" t="n">
        <v>4670.01</v>
      </c>
      <c r="BB511" t="n">
        <v>4681.4272</v>
      </c>
      <c r="BC511" t="n">
        <v>-11.4172</v>
      </c>
      <c r="BD511" t="n">
        <v>130.3536</v>
      </c>
      <c r="BE511" t="n">
        <v>258064</v>
      </c>
    </row>
    <row r="512">
      <c r="A512" t="n">
        <v>1777004102</v>
      </c>
      <c r="B512" t="inlineStr">
        <is>
          <t>XAUUSD</t>
        </is>
      </c>
      <c r="C512" t="inlineStr">
        <is>
          <t>M15</t>
        </is>
      </c>
      <c r="D512" t="n">
        <v>4659.65</v>
      </c>
      <c r="E512" t="n">
        <v>4518.59282</v>
      </c>
      <c r="F512" t="n">
        <v>4596.05595</v>
      </c>
      <c r="G512" t="n">
        <v>4755.40355</v>
      </c>
      <c r="H512" t="n">
        <v>4792.76972</v>
      </c>
      <c r="Q512" t="n">
        <v>4681.15965</v>
      </c>
      <c r="R512" t="n">
        <v>4710.52294</v>
      </c>
      <c r="S512" t="n">
        <v>4737.11172</v>
      </c>
      <c r="V512" t="n">
        <v>4646.21988</v>
      </c>
      <c r="W512" t="n">
        <v>4612.65488</v>
      </c>
      <c r="AB512" t="n">
        <v>4669.31839</v>
      </c>
      <c r="AC512" t="n">
        <v>4669.49708</v>
      </c>
      <c r="AD512" t="n">
        <v>0</v>
      </c>
      <c r="AK512" t="n">
        <v>510</v>
      </c>
      <c r="AL512" t="n">
        <v>509</v>
      </c>
      <c r="AM512" t="n">
        <v>4659.65</v>
      </c>
      <c r="AN512" t="n">
        <v>4681.1596</v>
      </c>
      <c r="AO512" t="n">
        <v>-21.5096</v>
      </c>
      <c r="AP512" t="n">
        <v>462.665</v>
      </c>
      <c r="AQ512" t="n">
        <v>-0.228937</v>
      </c>
      <c r="AR512" t="n">
        <v>0.140051</v>
      </c>
      <c r="AY512" t="n">
        <v>510</v>
      </c>
      <c r="AZ512" t="n">
        <v>509</v>
      </c>
      <c r="BA512" t="n">
        <v>4659.65</v>
      </c>
      <c r="BB512" t="n">
        <v>4681.1596</v>
      </c>
      <c r="BC512" t="n">
        <v>-21.5096</v>
      </c>
      <c r="BD512" t="n">
        <v>462.665</v>
      </c>
      <c r="BE512" t="n">
        <v>259081</v>
      </c>
    </row>
    <row r="513">
      <c r="A513" t="n">
        <v>1777005002</v>
      </c>
      <c r="B513" t="inlineStr">
        <is>
          <t>XAUUSD</t>
        </is>
      </c>
      <c r="C513" t="inlineStr">
        <is>
          <t>M15</t>
        </is>
      </c>
      <c r="D513" t="n">
        <v>4668.58</v>
      </c>
      <c r="E513" t="n">
        <v>4518.59282</v>
      </c>
      <c r="F513" t="n">
        <v>4596.05595</v>
      </c>
      <c r="G513" t="n">
        <v>4755.40355</v>
      </c>
      <c r="H513" t="n">
        <v>4792.76972</v>
      </c>
      <c r="Q513" t="n">
        <v>4680.89204</v>
      </c>
      <c r="R513" t="n">
        <v>4710.25534</v>
      </c>
      <c r="S513" t="n">
        <v>4736.84411</v>
      </c>
      <c r="V513" t="n">
        <v>4645.95227</v>
      </c>
      <c r="W513" t="n">
        <v>4612.38727</v>
      </c>
      <c r="AA513" t="n">
        <v>4658.17</v>
      </c>
      <c r="AB513" t="n">
        <v>4671.00852</v>
      </c>
      <c r="AC513" t="n">
        <v>4670.2528</v>
      </c>
      <c r="AD513" t="n">
        <v>1</v>
      </c>
      <c r="AK513" t="n">
        <v>511</v>
      </c>
      <c r="AL513" t="n">
        <v>510</v>
      </c>
      <c r="AM513" t="n">
        <v>4668.58</v>
      </c>
      <c r="AN513" t="n">
        <v>4680.892</v>
      </c>
      <c r="AO513" t="n">
        <v>-12.312</v>
      </c>
      <c r="AP513" t="n">
        <v>151.5863</v>
      </c>
      <c r="AQ513" t="n">
        <v>-0.042934</v>
      </c>
      <c r="AR513" t="n">
        <v>0.015034</v>
      </c>
      <c r="AY513" t="n">
        <v>511</v>
      </c>
      <c r="AZ513" t="n">
        <v>510</v>
      </c>
      <c r="BA513" t="n">
        <v>4668.58</v>
      </c>
      <c r="BB513" t="n">
        <v>4680.892</v>
      </c>
      <c r="BC513" t="n">
        <v>-12.312</v>
      </c>
      <c r="BD513" t="n">
        <v>151.5863</v>
      </c>
      <c r="BE513" t="n">
        <v>260100</v>
      </c>
    </row>
    <row r="514">
      <c r="A514" t="n">
        <v>1777005902</v>
      </c>
      <c r="B514" t="inlineStr">
        <is>
          <t>XAUUSD</t>
        </is>
      </c>
      <c r="C514" t="inlineStr">
        <is>
          <t>M15</t>
        </is>
      </c>
      <c r="D514" t="n">
        <v>4674.53</v>
      </c>
      <c r="E514" t="n">
        <v>4518.59282</v>
      </c>
      <c r="F514" t="n">
        <v>4596.05595</v>
      </c>
      <c r="G514" t="n">
        <v>4755.40355</v>
      </c>
      <c r="H514" t="n">
        <v>4792.76972</v>
      </c>
      <c r="Q514" t="n">
        <v>4680.62444</v>
      </c>
      <c r="R514" t="n">
        <v>4709.98774</v>
      </c>
      <c r="S514" t="n">
        <v>4736.57651</v>
      </c>
      <c r="V514" t="n">
        <v>4645.68467</v>
      </c>
      <c r="W514" t="n">
        <v>4612.11967</v>
      </c>
      <c r="AB514" t="n">
        <v>4673.20377</v>
      </c>
      <c r="AC514" t="n">
        <v>4671.72829</v>
      </c>
      <c r="AD514" t="n">
        <v>0</v>
      </c>
      <c r="AK514" t="n">
        <v>512</v>
      </c>
      <c r="AL514" t="n">
        <v>511</v>
      </c>
      <c r="AM514" t="n">
        <v>4674.53</v>
      </c>
      <c r="AN514" t="n">
        <v>4680.6244</v>
      </c>
      <c r="AO514" t="n">
        <v>-6.0944</v>
      </c>
      <c r="AP514" t="n">
        <v>37.1422</v>
      </c>
      <c r="AQ514" t="n">
        <v>-0.005207</v>
      </c>
      <c r="AR514" t="n">
        <v>0.000903</v>
      </c>
      <c r="AY514" t="n">
        <v>512</v>
      </c>
      <c r="AZ514" t="n">
        <v>511</v>
      </c>
      <c r="BA514" t="n">
        <v>4674.53</v>
      </c>
      <c r="BB514" t="n">
        <v>4680.6244</v>
      </c>
      <c r="BC514" t="n">
        <v>-6.0944</v>
      </c>
      <c r="BD514" t="n">
        <v>37.1422</v>
      </c>
      <c r="BE514" t="n">
        <v>261121</v>
      </c>
    </row>
    <row r="515">
      <c r="A515" t="n">
        <v>1777006802</v>
      </c>
      <c r="B515" t="inlineStr">
        <is>
          <t>XAUUSD</t>
        </is>
      </c>
      <c r="C515" t="inlineStr">
        <is>
          <t>M15</t>
        </is>
      </c>
      <c r="D515" t="n">
        <v>4673.44</v>
      </c>
      <c r="E515" t="n">
        <v>4518.59282</v>
      </c>
      <c r="F515" t="n">
        <v>4596.05595</v>
      </c>
      <c r="G515" t="n">
        <v>4755.40355</v>
      </c>
      <c r="H515" t="n">
        <v>4792.76972</v>
      </c>
      <c r="Q515" t="n">
        <v>4680.35683</v>
      </c>
      <c r="R515" t="n">
        <v>4709.72013</v>
      </c>
      <c r="S515" t="n">
        <v>4736.3089</v>
      </c>
      <c r="V515" t="n">
        <v>4645.41706</v>
      </c>
      <c r="W515" t="n">
        <v>4611.85207</v>
      </c>
      <c r="AB515" t="n">
        <v>4675.38967</v>
      </c>
      <c r="AC515" t="n">
        <v>4673.55898</v>
      </c>
      <c r="AD515" t="n">
        <v>0</v>
      </c>
      <c r="AK515" t="n">
        <v>513</v>
      </c>
      <c r="AL515" t="n">
        <v>512</v>
      </c>
      <c r="AM515" t="n">
        <v>4673.44</v>
      </c>
      <c r="AN515" t="n">
        <v>4680.3568</v>
      </c>
      <c r="AO515" t="n">
        <v>-6.9168</v>
      </c>
      <c r="AP515" t="n">
        <v>47.8425</v>
      </c>
      <c r="AQ515" t="n">
        <v>-0.007613</v>
      </c>
      <c r="AR515" t="n">
        <v>0.001498</v>
      </c>
      <c r="AY515" t="n">
        <v>513</v>
      </c>
      <c r="AZ515" t="n">
        <v>512</v>
      </c>
      <c r="BA515" t="n">
        <v>4673.44</v>
      </c>
      <c r="BB515" t="n">
        <v>4680.3568</v>
      </c>
      <c r="BC515" t="n">
        <v>-6.9168</v>
      </c>
      <c r="BD515" t="n">
        <v>47.8425</v>
      </c>
      <c r="BE515" t="n">
        <v>262144</v>
      </c>
    </row>
    <row r="516">
      <c r="A516" t="n">
        <v>1777007702</v>
      </c>
      <c r="B516" t="inlineStr">
        <is>
          <t>XAUUSD</t>
        </is>
      </c>
      <c r="C516" t="inlineStr">
        <is>
          <t>M15</t>
        </is>
      </c>
      <c r="D516" t="n">
        <v>4676.49</v>
      </c>
      <c r="E516" t="n">
        <v>4518.59282</v>
      </c>
      <c r="F516" t="n">
        <v>4596.05595</v>
      </c>
      <c r="G516" t="n">
        <v>4755.40355</v>
      </c>
      <c r="H516" t="n">
        <v>4792.76972</v>
      </c>
      <c r="Q516" t="n">
        <v>4680.08923</v>
      </c>
      <c r="R516" t="n">
        <v>4709.45253</v>
      </c>
      <c r="S516" t="n">
        <v>4736.0413</v>
      </c>
      <c r="V516" t="n">
        <v>4645.14946</v>
      </c>
      <c r="W516" t="n">
        <v>4611.58446</v>
      </c>
      <c r="AB516" t="n">
        <v>4677.27477</v>
      </c>
      <c r="AC516" t="n">
        <v>4675.41688</v>
      </c>
      <c r="AD516" t="n">
        <v>0</v>
      </c>
      <c r="AK516" t="n">
        <v>514</v>
      </c>
      <c r="AL516" t="n">
        <v>513</v>
      </c>
      <c r="AM516" t="n">
        <v>4676.49</v>
      </c>
      <c r="AN516" t="n">
        <v>4680.0892</v>
      </c>
      <c r="AO516" t="n">
        <v>-3.5992</v>
      </c>
      <c r="AP516" t="n">
        <v>12.9545</v>
      </c>
      <c r="AQ516" t="n">
        <v>-0.001073</v>
      </c>
      <c r="AR516" t="n">
        <v>0.00011</v>
      </c>
      <c r="AY516" t="n">
        <v>514</v>
      </c>
      <c r="AZ516" t="n">
        <v>513</v>
      </c>
      <c r="BA516" t="n">
        <v>4676.49</v>
      </c>
      <c r="BB516" t="n">
        <v>4680.0892</v>
      </c>
      <c r="BC516" t="n">
        <v>-3.5992</v>
      </c>
      <c r="BD516" t="n">
        <v>12.9545</v>
      </c>
      <c r="BE516" t="n">
        <v>263169</v>
      </c>
    </row>
    <row r="517">
      <c r="A517" t="n">
        <v>1777008602</v>
      </c>
      <c r="B517" t="inlineStr">
        <is>
          <t>XAUUSD</t>
        </is>
      </c>
      <c r="C517" t="inlineStr">
        <is>
          <t>M15</t>
        </is>
      </c>
      <c r="D517" t="n">
        <v>4682.65</v>
      </c>
      <c r="E517" t="n">
        <v>4518.59282</v>
      </c>
      <c r="F517" t="n">
        <v>4596.05595</v>
      </c>
      <c r="G517" t="n">
        <v>4755.40355</v>
      </c>
      <c r="H517" t="n">
        <v>4792.76972</v>
      </c>
      <c r="Q517" t="n">
        <v>4679.82163</v>
      </c>
      <c r="R517" t="n">
        <v>4709.18492</v>
      </c>
      <c r="S517" t="n">
        <v>4735.77369</v>
      </c>
      <c r="V517" t="n">
        <v>4644.88185</v>
      </c>
      <c r="W517" t="n">
        <v>4611.31686</v>
      </c>
      <c r="AB517" t="n">
        <v>4678.51932</v>
      </c>
      <c r="AC517" t="n">
        <v>4676.9681</v>
      </c>
      <c r="AD517" t="n">
        <v>0</v>
      </c>
      <c r="AK517" t="n">
        <v>515</v>
      </c>
      <c r="AL517" t="n">
        <v>514</v>
      </c>
      <c r="AM517" t="n">
        <v>4682.65</v>
      </c>
      <c r="AN517" t="n">
        <v>4679.8216</v>
      </c>
      <c r="AO517" t="n">
        <v>2.8284</v>
      </c>
      <c r="AP517" t="n">
        <v>7.9997</v>
      </c>
      <c r="AQ517" t="n">
        <v>0.000521</v>
      </c>
      <c r="AR517" t="n">
        <v>4.2e-05</v>
      </c>
      <c r="AY517" t="n">
        <v>515</v>
      </c>
      <c r="AZ517" t="n">
        <v>514</v>
      </c>
      <c r="BA517" t="n">
        <v>4682.65</v>
      </c>
      <c r="BB517" t="n">
        <v>4679.8216</v>
      </c>
      <c r="BC517" t="n">
        <v>2.8284</v>
      </c>
      <c r="BD517" t="n">
        <v>7.9997</v>
      </c>
      <c r="BE517" t="n">
        <v>264196</v>
      </c>
    </row>
    <row r="518">
      <c r="A518" t="n">
        <v>1777009502</v>
      </c>
      <c r="B518" t="inlineStr">
        <is>
          <t>XAUUSD</t>
        </is>
      </c>
      <c r="C518" t="inlineStr">
        <is>
          <t>M15</t>
        </is>
      </c>
      <c r="D518" t="n">
        <v>4686.43</v>
      </c>
      <c r="E518" t="n">
        <v>4518.59282</v>
      </c>
      <c r="F518" t="n">
        <v>4596.05595</v>
      </c>
      <c r="G518" t="n">
        <v>4755.40355</v>
      </c>
      <c r="H518" t="n">
        <v>4792.76972</v>
      </c>
      <c r="Q518" t="n">
        <v>4679.55402</v>
      </c>
      <c r="R518" t="n">
        <v>4708.91732</v>
      </c>
      <c r="S518" t="n">
        <v>4735.50609</v>
      </c>
      <c r="V518" t="n">
        <v>4644.61425</v>
      </c>
      <c r="W518" t="n">
        <v>4611.04925</v>
      </c>
      <c r="AB518" t="n">
        <v>4678.86943</v>
      </c>
      <c r="AC518" t="n">
        <v>4677.91876</v>
      </c>
      <c r="AD518" t="n">
        <v>0</v>
      </c>
      <c r="AK518" t="n">
        <v>516</v>
      </c>
      <c r="AL518" t="n">
        <v>515</v>
      </c>
      <c r="AM518" t="n">
        <v>4686.43</v>
      </c>
      <c r="AN518" t="n">
        <v>4679.554</v>
      </c>
      <c r="AO518" t="n">
        <v>6.876</v>
      </c>
      <c r="AP518" t="n">
        <v>47.2791</v>
      </c>
      <c r="AQ518" t="n">
        <v>0.007479</v>
      </c>
      <c r="AR518" t="n">
        <v>0.001462</v>
      </c>
      <c r="AY518" t="n">
        <v>516</v>
      </c>
      <c r="AZ518" t="n">
        <v>515</v>
      </c>
      <c r="BA518" t="n">
        <v>4686.43</v>
      </c>
      <c r="BB518" t="n">
        <v>4679.554</v>
      </c>
      <c r="BC518" t="n">
        <v>6.876</v>
      </c>
      <c r="BD518" t="n">
        <v>47.2791</v>
      </c>
      <c r="BE518" t="n">
        <v>265225</v>
      </c>
    </row>
    <row r="519">
      <c r="A519" t="n">
        <v>1777010402</v>
      </c>
      <c r="B519" t="inlineStr">
        <is>
          <t>XAUUSD</t>
        </is>
      </c>
      <c r="C519" t="inlineStr">
        <is>
          <t>M15</t>
        </is>
      </c>
      <c r="D519" t="n">
        <v>4681.83</v>
      </c>
      <c r="E519" t="n">
        <v>4518.59282</v>
      </c>
      <c r="F519" t="n">
        <v>4596.05595</v>
      </c>
      <c r="G519" t="n">
        <v>4755.40355</v>
      </c>
      <c r="H519" t="n">
        <v>4792.76972</v>
      </c>
      <c r="Q519" t="n">
        <v>4679.28642</v>
      </c>
      <c r="R519" t="n">
        <v>4708.64972</v>
      </c>
      <c r="S519" t="n">
        <v>4735.23849</v>
      </c>
      <c r="V519" t="n">
        <v>4644.34665</v>
      </c>
      <c r="W519" t="n">
        <v>4610.78165</v>
      </c>
      <c r="AB519" t="n">
        <v>4678.39947</v>
      </c>
      <c r="AC519" t="n">
        <v>4678.15911</v>
      </c>
      <c r="AD519" t="n">
        <v>0</v>
      </c>
      <c r="AK519" t="n">
        <v>517</v>
      </c>
      <c r="AL519" t="n">
        <v>516</v>
      </c>
      <c r="AM519" t="n">
        <v>4681.83</v>
      </c>
      <c r="AN519" t="n">
        <v>4679.2864</v>
      </c>
      <c r="AO519" t="n">
        <v>2.5436</v>
      </c>
      <c r="AP519" t="n">
        <v>6.4698</v>
      </c>
      <c r="AQ519" t="n">
        <v>0.000379</v>
      </c>
      <c r="AR519" t="n">
        <v>2.7e-05</v>
      </c>
      <c r="AY519" t="n">
        <v>517</v>
      </c>
      <c r="AZ519" t="n">
        <v>516</v>
      </c>
      <c r="BA519" t="n">
        <v>4681.83</v>
      </c>
      <c r="BB519" t="n">
        <v>4679.2864</v>
      </c>
      <c r="BC519" t="n">
        <v>2.5436</v>
      </c>
      <c r="BD519" t="n">
        <v>6.4698</v>
      </c>
      <c r="BE519" t="n">
        <v>266256</v>
      </c>
    </row>
    <row r="520">
      <c r="A520" t="n">
        <v>1777011302</v>
      </c>
      <c r="B520" t="inlineStr">
        <is>
          <t>XAUUSD</t>
        </is>
      </c>
      <c r="C520" t="inlineStr">
        <is>
          <t>M15</t>
        </is>
      </c>
      <c r="D520" t="n">
        <v>4671.45</v>
      </c>
      <c r="E520" t="n">
        <v>4518.59282</v>
      </c>
      <c r="F520" t="n">
        <v>4596.05595</v>
      </c>
      <c r="G520" t="n">
        <v>4755.40355</v>
      </c>
      <c r="H520" t="n">
        <v>4792.76972</v>
      </c>
      <c r="Q520" t="n">
        <v>4679.01881</v>
      </c>
      <c r="R520" t="n">
        <v>4708.38211</v>
      </c>
      <c r="S520" t="n">
        <v>4734.97088</v>
      </c>
      <c r="V520" t="n">
        <v>4644.07904</v>
      </c>
      <c r="W520" t="n">
        <v>4610.51405</v>
      </c>
      <c r="AB520" t="n">
        <v>4677.59679</v>
      </c>
      <c r="AC520" t="n">
        <v>4677.87795</v>
      </c>
      <c r="AD520" t="n">
        <v>1</v>
      </c>
      <c r="AK520" t="n">
        <v>518</v>
      </c>
      <c r="AL520" t="n">
        <v>517</v>
      </c>
      <c r="AM520" t="n">
        <v>4671.45</v>
      </c>
      <c r="AN520" t="n">
        <v>4679.0188</v>
      </c>
      <c r="AO520" t="n">
        <v>-7.5688</v>
      </c>
      <c r="AP520" t="n">
        <v>57.2869</v>
      </c>
      <c r="AQ520" t="n">
        <v>-0.009974999999999999</v>
      </c>
      <c r="AR520" t="n">
        <v>0.002147</v>
      </c>
      <c r="AY520" t="n">
        <v>518</v>
      </c>
      <c r="AZ520" t="n">
        <v>517</v>
      </c>
      <c r="BA520" t="n">
        <v>4671.45</v>
      </c>
      <c r="BB520" t="n">
        <v>4679.0188</v>
      </c>
      <c r="BC520" t="n">
        <v>-7.5688</v>
      </c>
      <c r="BD520" t="n">
        <v>57.2869</v>
      </c>
      <c r="BE520" t="n">
        <v>267289</v>
      </c>
    </row>
    <row r="521">
      <c r="A521" t="n">
        <v>1777012202</v>
      </c>
      <c r="B521" t="inlineStr">
        <is>
          <t>XAUUSD</t>
        </is>
      </c>
      <c r="C521" t="inlineStr">
        <is>
          <t>M15</t>
        </is>
      </c>
      <c r="D521" t="n">
        <v>4673.71</v>
      </c>
      <c r="E521" t="n">
        <v>4518.59282</v>
      </c>
      <c r="F521" t="n">
        <v>4596.05595</v>
      </c>
      <c r="G521" t="n">
        <v>4755.40355</v>
      </c>
      <c r="H521" t="n">
        <v>4792.76972</v>
      </c>
      <c r="Q521" t="n">
        <v>4678.75121</v>
      </c>
      <c r="R521" t="n">
        <v>4708.11451</v>
      </c>
      <c r="S521" t="n">
        <v>4734.70328</v>
      </c>
      <c r="V521" t="n">
        <v>4643.81144</v>
      </c>
      <c r="W521" t="n">
        <v>4610.24644</v>
      </c>
      <c r="AB521" t="n">
        <v>4677.23328</v>
      </c>
      <c r="AC521" t="n">
        <v>4677.55562</v>
      </c>
      <c r="AD521" t="n">
        <v>0</v>
      </c>
      <c r="AK521" t="n">
        <v>519</v>
      </c>
      <c r="AL521" t="n">
        <v>518</v>
      </c>
      <c r="AM521" t="n">
        <v>4673.71</v>
      </c>
      <c r="AN521" t="n">
        <v>4678.7512</v>
      </c>
      <c r="AO521" t="n">
        <v>-5.0412</v>
      </c>
      <c r="AP521" t="n">
        <v>25.4138</v>
      </c>
      <c r="AQ521" t="n">
        <v>-0.002947</v>
      </c>
      <c r="AR521" t="n">
        <v>0.000423</v>
      </c>
      <c r="AY521" t="n">
        <v>519</v>
      </c>
      <c r="AZ521" t="n">
        <v>518</v>
      </c>
      <c r="BA521" t="n">
        <v>4673.71</v>
      </c>
      <c r="BB521" t="n">
        <v>4678.7512</v>
      </c>
      <c r="BC521" t="n">
        <v>-5.0412</v>
      </c>
      <c r="BD521" t="n">
        <v>25.4138</v>
      </c>
      <c r="BE521" t="n">
        <v>268324</v>
      </c>
    </row>
    <row r="522">
      <c r="A522" t="n">
        <v>1777013102</v>
      </c>
      <c r="B522" t="inlineStr">
        <is>
          <t>XAUUSD</t>
        </is>
      </c>
      <c r="C522" t="inlineStr">
        <is>
          <t>M15</t>
        </is>
      </c>
      <c r="D522" t="n">
        <v>4671.98</v>
      </c>
      <c r="E522" t="n">
        <v>4518.59282</v>
      </c>
      <c r="F522" t="n">
        <v>4596.05595</v>
      </c>
      <c r="G522" t="n">
        <v>4755.40355</v>
      </c>
      <c r="H522" t="n">
        <v>4792.76972</v>
      </c>
      <c r="Q522" t="n">
        <v>4678.4836</v>
      </c>
      <c r="R522" t="n">
        <v>4707.8469</v>
      </c>
      <c r="S522" t="n">
        <v>4734.43567</v>
      </c>
      <c r="V522" t="n">
        <v>4643.54383</v>
      </c>
      <c r="W522" t="n">
        <v>4609.97884</v>
      </c>
      <c r="AB522" t="n">
        <v>4677.66873</v>
      </c>
      <c r="AC522" t="n">
        <v>4677.61217</v>
      </c>
      <c r="AD522" t="n">
        <v>1</v>
      </c>
      <c r="AK522" t="n">
        <v>520</v>
      </c>
      <c r="AL522" t="n">
        <v>519</v>
      </c>
      <c r="AM522" t="n">
        <v>4671.98</v>
      </c>
      <c r="AN522" t="n">
        <v>4678.4836</v>
      </c>
      <c r="AO522" t="n">
        <v>-6.5036</v>
      </c>
      <c r="AP522" t="n">
        <v>42.2968</v>
      </c>
      <c r="AQ522" t="n">
        <v>-0.006328</v>
      </c>
      <c r="AR522" t="n">
        <v>0.00117</v>
      </c>
      <c r="AY522" t="n">
        <v>520</v>
      </c>
      <c r="AZ522" t="n">
        <v>519</v>
      </c>
      <c r="BA522" t="n">
        <v>4671.98</v>
      </c>
      <c r="BB522" t="n">
        <v>4678.4836</v>
      </c>
      <c r="BC522" t="n">
        <v>-6.5036</v>
      </c>
      <c r="BD522" t="n">
        <v>42.2968</v>
      </c>
      <c r="BE522" t="n">
        <v>269361</v>
      </c>
    </row>
    <row r="523">
      <c r="A523" t="n">
        <v>1777014002</v>
      </c>
      <c r="B523" t="inlineStr">
        <is>
          <t>XAUUSD</t>
        </is>
      </c>
      <c r="C523" t="inlineStr">
        <is>
          <t>M15</t>
        </is>
      </c>
      <c r="D523" t="n">
        <v>4680.61</v>
      </c>
      <c r="E523" t="n">
        <v>4518.59282</v>
      </c>
      <c r="F523" t="n">
        <v>4596.05595</v>
      </c>
      <c r="G523" t="n">
        <v>4755.40355</v>
      </c>
      <c r="H523" t="n">
        <v>4792.76972</v>
      </c>
      <c r="Q523" t="n">
        <v>4678.216</v>
      </c>
      <c r="R523" t="n">
        <v>4707.5793</v>
      </c>
      <c r="S523" t="n">
        <v>4734.16807</v>
      </c>
      <c r="V523" t="n">
        <v>4643.27623</v>
      </c>
      <c r="W523" t="n">
        <v>4609.71123</v>
      </c>
      <c r="AB523" t="n">
        <v>4679.22718</v>
      </c>
      <c r="AC523" t="n">
        <v>4678.41968</v>
      </c>
      <c r="AD523" t="n">
        <v>0</v>
      </c>
      <c r="AK523" t="n">
        <v>521</v>
      </c>
      <c r="AL523" t="n">
        <v>520</v>
      </c>
      <c r="AM523" t="n">
        <v>4680.61</v>
      </c>
      <c r="AN523" t="n">
        <v>4678.216</v>
      </c>
      <c r="AO523" t="n">
        <v>2.394</v>
      </c>
      <c r="AP523" t="n">
        <v>5.7312</v>
      </c>
      <c r="AQ523" t="n">
        <v>0.000316</v>
      </c>
      <c r="AR523" t="n">
        <v>2.1e-05</v>
      </c>
      <c r="AY523" t="n">
        <v>521</v>
      </c>
      <c r="AZ523" t="n">
        <v>520</v>
      </c>
      <c r="BA523" t="n">
        <v>4680.61</v>
      </c>
      <c r="BB523" t="n">
        <v>4678.216</v>
      </c>
      <c r="BC523" t="n">
        <v>2.394</v>
      </c>
      <c r="BD523" t="n">
        <v>5.7312</v>
      </c>
      <c r="BE523" t="n">
        <v>270400</v>
      </c>
    </row>
    <row r="524">
      <c r="A524" t="n">
        <v>1777014902</v>
      </c>
      <c r="B524" t="inlineStr">
        <is>
          <t>XAUUSD</t>
        </is>
      </c>
      <c r="C524" t="inlineStr">
        <is>
          <t>M15</t>
        </is>
      </c>
      <c r="D524" t="n">
        <v>4684.49</v>
      </c>
      <c r="E524" t="n">
        <v>4518.59282</v>
      </c>
      <c r="F524" t="n">
        <v>4596.05595</v>
      </c>
      <c r="G524" t="n">
        <v>4755.40355</v>
      </c>
      <c r="H524" t="n">
        <v>4792.76972</v>
      </c>
      <c r="Q524" t="n">
        <v>4677.9484</v>
      </c>
      <c r="R524" t="n">
        <v>4707.3117</v>
      </c>
      <c r="S524" t="n">
        <v>4733.90047</v>
      </c>
      <c r="V524" t="n">
        <v>4643.00863</v>
      </c>
      <c r="W524" t="n">
        <v>4609.44363</v>
      </c>
      <c r="AB524" t="n">
        <v>4681.6808</v>
      </c>
      <c r="AC524" t="n">
        <v>4680.05024</v>
      </c>
      <c r="AD524" t="n">
        <v>0</v>
      </c>
      <c r="AK524" t="n">
        <v>522</v>
      </c>
      <c r="AL524" t="n">
        <v>521</v>
      </c>
      <c r="AM524" t="n">
        <v>4684.49</v>
      </c>
      <c r="AN524" t="n">
        <v>4677.9484</v>
      </c>
      <c r="AO524" t="n">
        <v>6.5416</v>
      </c>
      <c r="AP524" t="n">
        <v>42.7925</v>
      </c>
      <c r="AQ524" t="n">
        <v>0.00644</v>
      </c>
      <c r="AR524" t="n">
        <v>0.001198</v>
      </c>
      <c r="AY524" t="n">
        <v>522</v>
      </c>
      <c r="AZ524" t="n">
        <v>521</v>
      </c>
      <c r="BA524" t="n">
        <v>4684.49</v>
      </c>
      <c r="BB524" t="n">
        <v>4677.9484</v>
      </c>
      <c r="BC524" t="n">
        <v>6.5416</v>
      </c>
      <c r="BD524" t="n">
        <v>42.7925</v>
      </c>
      <c r="BE524" t="n">
        <v>271441</v>
      </c>
    </row>
    <row r="525">
      <c r="A525" t="n">
        <v>1777015802</v>
      </c>
      <c r="B525" t="inlineStr">
        <is>
          <t>XAUUSD</t>
        </is>
      </c>
      <c r="C525" t="inlineStr">
        <is>
          <t>M15</t>
        </is>
      </c>
      <c r="D525" t="n">
        <v>4685.61</v>
      </c>
      <c r="E525" t="n">
        <v>4518.59282</v>
      </c>
      <c r="F525" t="n">
        <v>4596.05595</v>
      </c>
      <c r="G525" t="n">
        <v>4755.40355</v>
      </c>
      <c r="H525" t="n">
        <v>4792.76972</v>
      </c>
      <c r="Q525" t="n">
        <v>4677.68079</v>
      </c>
      <c r="R525" t="n">
        <v>4707.04409</v>
      </c>
      <c r="S525" t="n">
        <v>4733.63286</v>
      </c>
      <c r="V525" t="n">
        <v>4642.74102</v>
      </c>
      <c r="W525" t="n">
        <v>4609.17603</v>
      </c>
      <c r="AB525" t="n">
        <v>4684.70105</v>
      </c>
      <c r="AC525" t="n">
        <v>4682.37564</v>
      </c>
      <c r="AD525" t="n">
        <v>0</v>
      </c>
      <c r="AK525" t="n">
        <v>523</v>
      </c>
      <c r="AL525" t="n">
        <v>522</v>
      </c>
      <c r="AM525" t="n">
        <v>4685.61</v>
      </c>
      <c r="AN525" t="n">
        <v>4677.6808</v>
      </c>
      <c r="AO525" t="n">
        <v>7.9292</v>
      </c>
      <c r="AP525" t="n">
        <v>62.8724</v>
      </c>
      <c r="AQ525" t="n">
        <v>0.011468</v>
      </c>
      <c r="AR525" t="n">
        <v>0.002586</v>
      </c>
      <c r="AY525" t="n">
        <v>523</v>
      </c>
      <c r="AZ525" t="n">
        <v>522</v>
      </c>
      <c r="BA525" t="n">
        <v>4685.61</v>
      </c>
      <c r="BB525" t="n">
        <v>4677.6808</v>
      </c>
      <c r="BC525" t="n">
        <v>7.9292</v>
      </c>
      <c r="BD525" t="n">
        <v>62.8724</v>
      </c>
      <c r="BE525" t="n">
        <v>272484</v>
      </c>
    </row>
    <row r="526">
      <c r="A526" t="n">
        <v>1777016702</v>
      </c>
      <c r="B526" t="inlineStr">
        <is>
          <t>XAUUSD</t>
        </is>
      </c>
      <c r="C526" t="inlineStr">
        <is>
          <t>M15</t>
        </is>
      </c>
      <c r="D526" t="n">
        <v>4694.57</v>
      </c>
      <c r="E526" t="n">
        <v>4518.59282</v>
      </c>
      <c r="F526" t="n">
        <v>4596.05595</v>
      </c>
      <c r="G526" t="n">
        <v>4755.40355</v>
      </c>
      <c r="H526" t="n">
        <v>4792.76972</v>
      </c>
      <c r="Q526" t="n">
        <v>4677.41319</v>
      </c>
      <c r="R526" t="n">
        <v>4706.77649</v>
      </c>
      <c r="S526" t="n">
        <v>4733.36526</v>
      </c>
      <c r="V526" t="n">
        <v>4642.47342</v>
      </c>
      <c r="W526" t="n">
        <v>4608.90842</v>
      </c>
      <c r="AB526" t="n">
        <v>4687.83029</v>
      </c>
      <c r="AC526" t="n">
        <v>4685.10297</v>
      </c>
      <c r="AD526" t="n">
        <v>0</v>
      </c>
      <c r="AK526" t="n">
        <v>524</v>
      </c>
      <c r="AL526" t="n">
        <v>523</v>
      </c>
      <c r="AM526" t="n">
        <v>4694.57</v>
      </c>
      <c r="AN526" t="n">
        <v>4677.4132</v>
      </c>
      <c r="AO526" t="n">
        <v>17.1568</v>
      </c>
      <c r="AP526" t="n">
        <v>294.3561</v>
      </c>
      <c r="AQ526" t="n">
        <v>0.116178</v>
      </c>
      <c r="AR526" t="n">
        <v>0.056689</v>
      </c>
      <c r="AY526" t="n">
        <v>524</v>
      </c>
      <c r="AZ526" t="n">
        <v>523</v>
      </c>
      <c r="BA526" t="n">
        <v>4694.57</v>
      </c>
      <c r="BB526" t="n">
        <v>4677.4132</v>
      </c>
      <c r="BC526" t="n">
        <v>17.1568</v>
      </c>
      <c r="BD526" t="n">
        <v>294.3561</v>
      </c>
      <c r="BE526" t="n">
        <v>273529</v>
      </c>
    </row>
    <row r="527">
      <c r="A527" t="n">
        <v>1777017602</v>
      </c>
      <c r="B527" t="inlineStr">
        <is>
          <t>XAUUSD</t>
        </is>
      </c>
      <c r="C527" t="inlineStr">
        <is>
          <t>M15</t>
        </is>
      </c>
      <c r="D527" t="n">
        <v>4687.45</v>
      </c>
      <c r="E527" t="n">
        <v>4518.59282</v>
      </c>
      <c r="F527" t="n">
        <v>4596.05595</v>
      </c>
      <c r="G527" t="n">
        <v>4755.40355</v>
      </c>
      <c r="H527" t="n">
        <v>4792.76972</v>
      </c>
      <c r="Q527" t="n">
        <v>4677.14558</v>
      </c>
      <c r="R527" t="n">
        <v>4706.50888</v>
      </c>
      <c r="S527" t="n">
        <v>4733.09765</v>
      </c>
      <c r="V527" t="n">
        <v>4642.20581</v>
      </c>
      <c r="W527" t="n">
        <v>4608.64082</v>
      </c>
      <c r="AB527" t="n">
        <v>4690.29077</v>
      </c>
      <c r="AC527" t="n">
        <v>4687.69687</v>
      </c>
      <c r="AD527" t="n">
        <v>0</v>
      </c>
      <c r="AK527" t="n">
        <v>525</v>
      </c>
      <c r="AL527" t="n">
        <v>524</v>
      </c>
      <c r="AM527" t="n">
        <v>4687.45</v>
      </c>
      <c r="AN527" t="n">
        <v>4677.1456</v>
      </c>
      <c r="AO527" t="n">
        <v>10.3044</v>
      </c>
      <c r="AP527" t="n">
        <v>106.1811</v>
      </c>
      <c r="AQ527" t="n">
        <v>0.02517</v>
      </c>
      <c r="AR527" t="n">
        <v>0.007376</v>
      </c>
      <c r="AY527" t="n">
        <v>525</v>
      </c>
      <c r="AZ527" t="n">
        <v>524</v>
      </c>
      <c r="BA527" t="n">
        <v>4687.45</v>
      </c>
      <c r="BB527" t="n">
        <v>4677.1456</v>
      </c>
      <c r="BC527" t="n">
        <v>10.3044</v>
      </c>
      <c r="BD527" t="n">
        <v>106.1811</v>
      </c>
      <c r="BE527" t="n">
        <v>274576</v>
      </c>
    </row>
    <row r="528">
      <c r="A528" t="n">
        <v>1777018502</v>
      </c>
      <c r="B528" t="inlineStr">
        <is>
          <t>XAUUSD</t>
        </is>
      </c>
      <c r="C528" t="inlineStr">
        <is>
          <t>M15</t>
        </is>
      </c>
      <c r="D528" t="n">
        <v>4687.83</v>
      </c>
      <c r="E528" t="n">
        <v>4518.59282</v>
      </c>
      <c r="F528" t="n">
        <v>4596.05595</v>
      </c>
      <c r="G528" t="n">
        <v>4755.40355</v>
      </c>
      <c r="H528" t="n">
        <v>4792.76972</v>
      </c>
      <c r="Q528" t="n">
        <v>4676.87798</v>
      </c>
      <c r="R528" t="n">
        <v>4706.24128</v>
      </c>
      <c r="S528" t="n">
        <v>4732.83005</v>
      </c>
      <c r="V528" t="n">
        <v>4641.93821</v>
      </c>
      <c r="W528" t="n">
        <v>4608.37321</v>
      </c>
      <c r="AB528" t="n">
        <v>4691.80503</v>
      </c>
      <c r="AC528" t="n">
        <v>4689.75095</v>
      </c>
      <c r="AD528" t="n">
        <v>0</v>
      </c>
      <c r="AK528" t="n">
        <v>526</v>
      </c>
      <c r="AL528" t="n">
        <v>525</v>
      </c>
      <c r="AM528" t="n">
        <v>4687.83</v>
      </c>
      <c r="AN528" t="n">
        <v>4676.878</v>
      </c>
      <c r="AO528" t="n">
        <v>10.952</v>
      </c>
      <c r="AP528" t="n">
        <v>119.9467</v>
      </c>
      <c r="AQ528" t="n">
        <v>0.03022</v>
      </c>
      <c r="AR528" t="n">
        <v>0.009412999999999999</v>
      </c>
      <c r="AY528" t="n">
        <v>526</v>
      </c>
      <c r="AZ528" t="n">
        <v>525</v>
      </c>
      <c r="BA528" t="n">
        <v>4687.83</v>
      </c>
      <c r="BB528" t="n">
        <v>4676.878</v>
      </c>
      <c r="BC528" t="n">
        <v>10.952</v>
      </c>
      <c r="BD528" t="n">
        <v>119.9467</v>
      </c>
      <c r="BE528" t="n">
        <v>275625</v>
      </c>
    </row>
    <row r="529">
      <c r="A529" t="n">
        <v>1777019402</v>
      </c>
      <c r="B529" t="inlineStr">
        <is>
          <t>XAUUSD</t>
        </is>
      </c>
      <c r="C529" t="inlineStr">
        <is>
          <t>M15</t>
        </is>
      </c>
      <c r="D529" t="n">
        <v>4688.13</v>
      </c>
      <c r="E529" t="n">
        <v>4518.59282</v>
      </c>
      <c r="F529" t="n">
        <v>4596.05595</v>
      </c>
      <c r="G529" t="n">
        <v>4755.40355</v>
      </c>
      <c r="H529" t="n">
        <v>4792.76972</v>
      </c>
      <c r="Q529" t="n">
        <v>4676.61038</v>
      </c>
      <c r="R529" t="n">
        <v>4705.97367</v>
      </c>
      <c r="S529" t="n">
        <v>4732.56245</v>
      </c>
      <c r="V529" t="n">
        <v>4641.67061</v>
      </c>
      <c r="W529" t="n">
        <v>4608.10561</v>
      </c>
      <c r="AB529" t="n">
        <v>4692.05335</v>
      </c>
      <c r="AC529" t="n">
        <v>4690.90215</v>
      </c>
      <c r="AD529" t="n">
        <v>0</v>
      </c>
      <c r="AK529" t="n">
        <v>527</v>
      </c>
      <c r="AL529" t="n">
        <v>526</v>
      </c>
      <c r="AM529" t="n">
        <v>4688.13</v>
      </c>
      <c r="AN529" t="n">
        <v>4676.6104</v>
      </c>
      <c r="AO529" t="n">
        <v>11.5196</v>
      </c>
      <c r="AP529" t="n">
        <v>132.7016</v>
      </c>
      <c r="AQ529" t="n">
        <v>0.035167</v>
      </c>
      <c r="AR529" t="n">
        <v>0.011521</v>
      </c>
      <c r="AY529" t="n">
        <v>527</v>
      </c>
      <c r="AZ529" t="n">
        <v>526</v>
      </c>
      <c r="BA529" t="n">
        <v>4688.13</v>
      </c>
      <c r="BB529" t="n">
        <v>4676.6104</v>
      </c>
      <c r="BC529" t="n">
        <v>11.5196</v>
      </c>
      <c r="BD529" t="n">
        <v>132.7016</v>
      </c>
      <c r="BE529" t="n">
        <v>276676</v>
      </c>
    </row>
    <row r="530">
      <c r="A530" t="n">
        <v>1777020302</v>
      </c>
      <c r="B530" t="inlineStr">
        <is>
          <t>XAUUSD</t>
        </is>
      </c>
      <c r="C530" t="inlineStr">
        <is>
          <t>M15</t>
        </is>
      </c>
      <c r="D530" t="n">
        <v>4690.84</v>
      </c>
      <c r="E530" t="n">
        <v>4518.59282</v>
      </c>
      <c r="F530" t="n">
        <v>4596.05595</v>
      </c>
      <c r="G530" t="n">
        <v>4755.40355</v>
      </c>
      <c r="H530" t="n">
        <v>4792.76972</v>
      </c>
      <c r="Q530" t="n">
        <v>4676.34277</v>
      </c>
      <c r="R530" t="n">
        <v>4705.70607</v>
      </c>
      <c r="S530" t="n">
        <v>4732.29484</v>
      </c>
      <c r="V530" t="n">
        <v>4641.403</v>
      </c>
      <c r="W530" t="n">
        <v>4607.83801</v>
      </c>
      <c r="AB530" t="n">
        <v>4690.96206</v>
      </c>
      <c r="AC530" t="n">
        <v>4690.9321</v>
      </c>
      <c r="AD530" t="n">
        <v>0</v>
      </c>
      <c r="AK530" t="n">
        <v>528</v>
      </c>
      <c r="AL530" t="n">
        <v>527</v>
      </c>
      <c r="AM530" t="n">
        <v>4690.84</v>
      </c>
      <c r="AN530" t="n">
        <v>4676.3428</v>
      </c>
      <c r="AO530" t="n">
        <v>14.4972</v>
      </c>
      <c r="AP530" t="n">
        <v>210.1697</v>
      </c>
      <c r="AQ530" t="n">
        <v>0.070092</v>
      </c>
      <c r="AR530" t="n">
        <v>0.0289</v>
      </c>
      <c r="AY530" t="n">
        <v>528</v>
      </c>
      <c r="AZ530" t="n">
        <v>527</v>
      </c>
      <c r="BA530" t="n">
        <v>4690.84</v>
      </c>
      <c r="BB530" t="n">
        <v>4676.3428</v>
      </c>
      <c r="BC530" t="n">
        <v>14.4972</v>
      </c>
      <c r="BD530" t="n">
        <v>210.1697</v>
      </c>
      <c r="BE530" t="n">
        <v>277729</v>
      </c>
    </row>
    <row r="531">
      <c r="A531" t="n">
        <v>1777021202</v>
      </c>
      <c r="B531" t="inlineStr">
        <is>
          <t>XAUUSD</t>
        </is>
      </c>
      <c r="C531" t="inlineStr">
        <is>
          <t>M15</t>
        </is>
      </c>
      <c r="D531" t="n">
        <v>4695.33</v>
      </c>
      <c r="E531" t="n">
        <v>4518.59282</v>
      </c>
      <c r="F531" t="n">
        <v>4596.05595</v>
      </c>
      <c r="G531" t="n">
        <v>4755.40355</v>
      </c>
      <c r="H531" t="n">
        <v>4792.76972</v>
      </c>
      <c r="Q531" t="n">
        <v>4676.07517</v>
      </c>
      <c r="R531" t="n">
        <v>4705.43847</v>
      </c>
      <c r="S531" t="n">
        <v>4732.02724</v>
      </c>
      <c r="V531" t="n">
        <v>4641.1354</v>
      </c>
      <c r="W531" t="n">
        <v>4607.5704</v>
      </c>
      <c r="AB531" t="n">
        <v>4688.69215</v>
      </c>
      <c r="AC531" t="n">
        <v>4689.81213</v>
      </c>
      <c r="AD531" t="n">
        <v>1</v>
      </c>
      <c r="AK531" t="n">
        <v>529</v>
      </c>
      <c r="AL531" t="n">
        <v>528</v>
      </c>
      <c r="AM531" t="n">
        <v>4695.33</v>
      </c>
      <c r="AN531" t="n">
        <v>4676.0752</v>
      </c>
      <c r="AO531" t="n">
        <v>19.2548</v>
      </c>
      <c r="AP531" t="n">
        <v>370.7485</v>
      </c>
      <c r="AQ531" t="n">
        <v>0.164223</v>
      </c>
      <c r="AR531" t="n">
        <v>0.089932</v>
      </c>
      <c r="AY531" t="n">
        <v>529</v>
      </c>
      <c r="AZ531" t="n">
        <v>528</v>
      </c>
      <c r="BA531" t="n">
        <v>4695.33</v>
      </c>
      <c r="BB531" t="n">
        <v>4676.0752</v>
      </c>
      <c r="BC531" t="n">
        <v>19.2548</v>
      </c>
      <c r="BD531" t="n">
        <v>370.7485</v>
      </c>
      <c r="BE531" t="n">
        <v>278784</v>
      </c>
    </row>
    <row r="532">
      <c r="A532" t="n">
        <v>1777022102</v>
      </c>
      <c r="B532" t="inlineStr">
        <is>
          <t>XAUUSD</t>
        </is>
      </c>
      <c r="C532" t="inlineStr">
        <is>
          <t>M15</t>
        </is>
      </c>
      <c r="D532" t="n">
        <v>4683.3</v>
      </c>
      <c r="E532" t="n">
        <v>4518.59282</v>
      </c>
      <c r="F532" t="n">
        <v>4596.05595</v>
      </c>
      <c r="G532" t="n">
        <v>4755.40355</v>
      </c>
      <c r="H532" t="n">
        <v>4792.76972</v>
      </c>
      <c r="Q532" t="n">
        <v>4675.80756</v>
      </c>
      <c r="R532" t="n">
        <v>4705.17086</v>
      </c>
      <c r="S532" t="n">
        <v>4731.75963</v>
      </c>
      <c r="V532" t="n">
        <v>4640.86779</v>
      </c>
      <c r="W532" t="n">
        <v>4607.3028</v>
      </c>
      <c r="AB532" t="n">
        <v>4685.6385</v>
      </c>
      <c r="AC532" t="n">
        <v>4687.72532</v>
      </c>
      <c r="AD532" t="n">
        <v>0</v>
      </c>
      <c r="AK532" t="n">
        <v>530</v>
      </c>
      <c r="AL532" t="n">
        <v>529</v>
      </c>
      <c r="AM532" t="n">
        <v>4683.3</v>
      </c>
      <c r="AN532" t="n">
        <v>4675.8076</v>
      </c>
      <c r="AO532" t="n">
        <v>7.4924</v>
      </c>
      <c r="AP532" t="n">
        <v>56.1367</v>
      </c>
      <c r="AQ532" t="n">
        <v>0.009676000000000001</v>
      </c>
      <c r="AR532" t="n">
        <v>0.002062</v>
      </c>
      <c r="AY532" t="n">
        <v>530</v>
      </c>
      <c r="AZ532" t="n">
        <v>529</v>
      </c>
      <c r="BA532" t="n">
        <v>4683.3</v>
      </c>
      <c r="BB532" t="n">
        <v>4675.8076</v>
      </c>
      <c r="BC532" t="n">
        <v>7.4924</v>
      </c>
      <c r="BD532" t="n">
        <v>56.1367</v>
      </c>
      <c r="BE532" t="n">
        <v>279841</v>
      </c>
    </row>
    <row r="533">
      <c r="A533" t="n">
        <v>1777023002</v>
      </c>
      <c r="B533" t="inlineStr">
        <is>
          <t>XAUUSD</t>
        </is>
      </c>
      <c r="C533" t="inlineStr">
        <is>
          <t>M15</t>
        </is>
      </c>
      <c r="D533" t="n">
        <v>4685.99</v>
      </c>
      <c r="E533" t="n">
        <v>4518.59282</v>
      </c>
      <c r="F533" t="n">
        <v>4596.05595</v>
      </c>
      <c r="G533" t="n">
        <v>4755.40355</v>
      </c>
      <c r="H533" t="n">
        <v>4792.76972</v>
      </c>
      <c r="Q533" t="n">
        <v>4675.53996</v>
      </c>
      <c r="R533" t="n">
        <v>4704.90326</v>
      </c>
      <c r="S533" t="n">
        <v>4731.49203</v>
      </c>
      <c r="V533" t="n">
        <v>4640.60019</v>
      </c>
      <c r="W533" t="n">
        <v>4607.03519</v>
      </c>
      <c r="AB533" t="n">
        <v>4682.80503</v>
      </c>
      <c r="AC533" t="n">
        <v>4685.26518</v>
      </c>
      <c r="AD533" t="n">
        <v>0</v>
      </c>
      <c r="AK533" t="n">
        <v>531</v>
      </c>
      <c r="AL533" t="n">
        <v>530</v>
      </c>
      <c r="AM533" t="n">
        <v>4685.99</v>
      </c>
      <c r="AN533" t="n">
        <v>4675.54</v>
      </c>
      <c r="AO533" t="n">
        <v>10.45</v>
      </c>
      <c r="AP533" t="n">
        <v>109.2033</v>
      </c>
      <c r="AQ533" t="n">
        <v>0.026252</v>
      </c>
      <c r="AR533" t="n">
        <v>0.007802</v>
      </c>
      <c r="AY533" t="n">
        <v>531</v>
      </c>
      <c r="AZ533" t="n">
        <v>530</v>
      </c>
      <c r="BA533" t="n">
        <v>4685.99</v>
      </c>
      <c r="BB533" t="n">
        <v>4675.54</v>
      </c>
      <c r="BC533" t="n">
        <v>10.45</v>
      </c>
      <c r="BD533" t="n">
        <v>109.2033</v>
      </c>
      <c r="BE533" t="n">
        <v>280900</v>
      </c>
    </row>
    <row r="534">
      <c r="A534" t="n">
        <v>1777023902</v>
      </c>
      <c r="B534" t="inlineStr">
        <is>
          <t>XAUUSD</t>
        </is>
      </c>
      <c r="C534" t="inlineStr">
        <is>
          <t>M15</t>
        </is>
      </c>
      <c r="D534" t="n">
        <v>4682.04</v>
      </c>
      <c r="E534" t="n">
        <v>4518.59282</v>
      </c>
      <c r="F534" t="n">
        <v>4596.05595</v>
      </c>
      <c r="G534" t="n">
        <v>4755.40355</v>
      </c>
      <c r="H534" t="n">
        <v>4792.76972</v>
      </c>
      <c r="Q534" t="n">
        <v>4675.27236</v>
      </c>
      <c r="R534" t="n">
        <v>4704.63565</v>
      </c>
      <c r="S534" t="n">
        <v>4731.22443</v>
      </c>
      <c r="V534" t="n">
        <v>4640.33259</v>
      </c>
      <c r="W534" t="n">
        <v>4606.76759</v>
      </c>
      <c r="AB534" t="n">
        <v>4680.85471</v>
      </c>
      <c r="AC534" t="n">
        <v>4683.05994</v>
      </c>
      <c r="AD534" t="n">
        <v>0</v>
      </c>
      <c r="AK534" t="n">
        <v>532</v>
      </c>
      <c r="AL534" t="n">
        <v>531</v>
      </c>
      <c r="AM534" t="n">
        <v>4682.04</v>
      </c>
      <c r="AN534" t="n">
        <v>4675.2724</v>
      </c>
      <c r="AO534" t="n">
        <v>6.7676</v>
      </c>
      <c r="AP534" t="n">
        <v>45.801</v>
      </c>
      <c r="AQ534" t="n">
        <v>0.007131</v>
      </c>
      <c r="AR534" t="n">
        <v>0.001372</v>
      </c>
      <c r="AY534" t="n">
        <v>532</v>
      </c>
      <c r="AZ534" t="n">
        <v>531</v>
      </c>
      <c r="BA534" t="n">
        <v>4682.04</v>
      </c>
      <c r="BB534" t="n">
        <v>4675.2724</v>
      </c>
      <c r="BC534" t="n">
        <v>6.7676</v>
      </c>
      <c r="BD534" t="n">
        <v>45.801</v>
      </c>
      <c r="BE534" t="n">
        <v>281961</v>
      </c>
    </row>
    <row r="535">
      <c r="A535" t="n">
        <v>1777024802</v>
      </c>
      <c r="B535" t="inlineStr">
        <is>
          <t>XAUUSD</t>
        </is>
      </c>
      <c r="C535" t="inlineStr">
        <is>
          <t>M15</t>
        </is>
      </c>
      <c r="D535" t="n">
        <v>4682.45</v>
      </c>
      <c r="E535" t="n">
        <v>4518.59282</v>
      </c>
      <c r="F535" t="n">
        <v>4596.05595</v>
      </c>
      <c r="G535" t="n">
        <v>4755.40355</v>
      </c>
      <c r="H535" t="n">
        <v>4792.76972</v>
      </c>
      <c r="Q535" t="n">
        <v>4675.00475</v>
      </c>
      <c r="R535" t="n">
        <v>4704.36805</v>
      </c>
      <c r="S535" t="n">
        <v>4730.95682</v>
      </c>
      <c r="V535" t="n">
        <v>4640.06498</v>
      </c>
      <c r="W535" t="n">
        <v>4606.49999</v>
      </c>
      <c r="AB535" t="n">
        <v>4680.51171</v>
      </c>
      <c r="AC535" t="n">
        <v>4681.78582</v>
      </c>
      <c r="AD535" t="n">
        <v>0</v>
      </c>
      <c r="AK535" t="n">
        <v>533</v>
      </c>
      <c r="AL535" t="n">
        <v>532</v>
      </c>
      <c r="AM535" t="n">
        <v>4682.45</v>
      </c>
      <c r="AN535" t="n">
        <v>4675.0048</v>
      </c>
      <c r="AO535" t="n">
        <v>7.4452</v>
      </c>
      <c r="AP535" t="n">
        <v>55.4317</v>
      </c>
      <c r="AQ535" t="n">
        <v>0.009494000000000001</v>
      </c>
      <c r="AR535" t="n">
        <v>0.00201</v>
      </c>
      <c r="AY535" t="n">
        <v>533</v>
      </c>
      <c r="AZ535" t="n">
        <v>532</v>
      </c>
      <c r="BA535" t="n">
        <v>4682.45</v>
      </c>
      <c r="BB535" t="n">
        <v>4675.0048</v>
      </c>
      <c r="BC535" t="n">
        <v>7.4452</v>
      </c>
      <c r="BD535" t="n">
        <v>55.4317</v>
      </c>
      <c r="BE535" t="n">
        <v>283024</v>
      </c>
    </row>
    <row r="536">
      <c r="A536" t="n">
        <v>1777025702</v>
      </c>
      <c r="B536" t="inlineStr">
        <is>
          <t>XAUUSD</t>
        </is>
      </c>
      <c r="C536" t="inlineStr">
        <is>
          <t>M15</t>
        </is>
      </c>
      <c r="D536" t="n">
        <v>4682.25</v>
      </c>
      <c r="E536" t="n">
        <v>4518.59282</v>
      </c>
      <c r="F536" t="n">
        <v>4596.05595</v>
      </c>
      <c r="G536" t="n">
        <v>4755.40355</v>
      </c>
      <c r="H536" t="n">
        <v>4792.76972</v>
      </c>
      <c r="Q536" t="n">
        <v>4674.73715</v>
      </c>
      <c r="R536" t="n">
        <v>4704.10045</v>
      </c>
      <c r="S536" t="n">
        <v>4730.68922</v>
      </c>
      <c r="V536" t="n">
        <v>4639.79738</v>
      </c>
      <c r="W536" t="n">
        <v>4606.23238</v>
      </c>
      <c r="AB536" t="n">
        <v>4682.07412</v>
      </c>
      <c r="AC536" t="n">
        <v>4681.92997</v>
      </c>
      <c r="AD536" t="n">
        <v>1</v>
      </c>
      <c r="AK536" t="n">
        <v>534</v>
      </c>
      <c r="AL536" t="n">
        <v>533</v>
      </c>
      <c r="AM536" t="n">
        <v>4682.25</v>
      </c>
      <c r="AN536" t="n">
        <v>4674.7371</v>
      </c>
      <c r="AO536" t="n">
        <v>7.5129</v>
      </c>
      <c r="AP536" t="n">
        <v>56.4429</v>
      </c>
      <c r="AQ536" t="n">
        <v>0.009755</v>
      </c>
      <c r="AR536" t="n">
        <v>0.002084</v>
      </c>
      <c r="AY536" t="n">
        <v>534</v>
      </c>
      <c r="AZ536" t="n">
        <v>533</v>
      </c>
      <c r="BA536" t="n">
        <v>4682.25</v>
      </c>
      <c r="BB536" t="n">
        <v>4674.7371</v>
      </c>
      <c r="BC536" t="n">
        <v>7.5129</v>
      </c>
      <c r="BD536" t="n">
        <v>56.4429</v>
      </c>
      <c r="BE536" t="n">
        <v>284089</v>
      </c>
    </row>
    <row r="537">
      <c r="A537" t="n">
        <v>1777026602</v>
      </c>
      <c r="B537" t="inlineStr">
        <is>
          <t>XAUUSD</t>
        </is>
      </c>
      <c r="C537" t="inlineStr">
        <is>
          <t>M15</t>
        </is>
      </c>
      <c r="D537" t="n">
        <v>4679.01</v>
      </c>
      <c r="E537" t="n">
        <v>4518.59282</v>
      </c>
      <c r="F537" t="n">
        <v>4596.05595</v>
      </c>
      <c r="G537" t="n">
        <v>4755.40355</v>
      </c>
      <c r="H537" t="n">
        <v>4792.76972</v>
      </c>
      <c r="Q537" t="n">
        <v>4674.46954</v>
      </c>
      <c r="R537" t="n">
        <v>4703.83284</v>
      </c>
      <c r="S537" t="n">
        <v>4730.42161</v>
      </c>
      <c r="V537" t="n">
        <v>4639.52977</v>
      </c>
      <c r="W537" t="n">
        <v>4605.96478</v>
      </c>
      <c r="AB537" t="n">
        <v>4685.49979</v>
      </c>
      <c r="AC537" t="n">
        <v>4683.71488</v>
      </c>
      <c r="AD537" t="n">
        <v>0</v>
      </c>
      <c r="AK537" t="n">
        <v>535</v>
      </c>
      <c r="AL537" t="n">
        <v>534</v>
      </c>
      <c r="AM537" t="n">
        <v>4679.01</v>
      </c>
      <c r="AN537" t="n">
        <v>4674.4695</v>
      </c>
      <c r="AO537" t="n">
        <v>4.5405</v>
      </c>
      <c r="AP537" t="n">
        <v>20.6158</v>
      </c>
      <c r="AQ537" t="n">
        <v>0.002153</v>
      </c>
      <c r="AR537" t="n">
        <v>0.000278</v>
      </c>
      <c r="AY537" t="n">
        <v>535</v>
      </c>
      <c r="AZ537" t="n">
        <v>534</v>
      </c>
      <c r="BA537" t="n">
        <v>4679.01</v>
      </c>
      <c r="BB537" t="n">
        <v>4674.4695</v>
      </c>
      <c r="BC537" t="n">
        <v>4.5405</v>
      </c>
      <c r="BD537" t="n">
        <v>20.6158</v>
      </c>
      <c r="BE537" t="n">
        <v>285156</v>
      </c>
    </row>
    <row r="538">
      <c r="A538" t="n">
        <v>1777027502</v>
      </c>
      <c r="B538" t="inlineStr">
        <is>
          <t>XAUUSD</t>
        </is>
      </c>
      <c r="C538" t="inlineStr">
        <is>
          <t>M15</t>
        </is>
      </c>
      <c r="D538" t="n">
        <v>4678.04</v>
      </c>
      <c r="E538" t="n">
        <v>4518.59282</v>
      </c>
      <c r="F538" t="n">
        <v>4596.05595</v>
      </c>
      <c r="G538" t="n">
        <v>4755.40355</v>
      </c>
      <c r="H538" t="n">
        <v>4792.76972</v>
      </c>
      <c r="Q538" t="n">
        <v>4674.20194</v>
      </c>
      <c r="R538" t="n">
        <v>4703.56524</v>
      </c>
      <c r="S538" t="n">
        <v>4730.15401</v>
      </c>
      <c r="V538" t="n">
        <v>4639.26217</v>
      </c>
      <c r="W538" t="n">
        <v>4605.69717</v>
      </c>
      <c r="AB538" t="n">
        <v>4690.45723</v>
      </c>
      <c r="AC538" t="n">
        <v>4687.08605</v>
      </c>
      <c r="AD538" t="n">
        <v>0</v>
      </c>
      <c r="AK538" t="n">
        <v>536</v>
      </c>
      <c r="AL538" t="n">
        <v>535</v>
      </c>
      <c r="AM538" t="n">
        <v>4678.04</v>
      </c>
      <c r="AN538" t="n">
        <v>4674.2019</v>
      </c>
      <c r="AO538" t="n">
        <v>3.8381</v>
      </c>
      <c r="AP538" t="n">
        <v>14.7307</v>
      </c>
      <c r="AQ538" t="n">
        <v>0.001301</v>
      </c>
      <c r="AR538" t="n">
        <v>0.000142</v>
      </c>
      <c r="AY538" t="n">
        <v>536</v>
      </c>
      <c r="AZ538" t="n">
        <v>535</v>
      </c>
      <c r="BA538" t="n">
        <v>4678.04</v>
      </c>
      <c r="BB538" t="n">
        <v>4674.2019</v>
      </c>
      <c r="BC538" t="n">
        <v>3.8381</v>
      </c>
      <c r="BD538" t="n">
        <v>14.7307</v>
      </c>
      <c r="BE538" t="n">
        <v>286225</v>
      </c>
    </row>
    <row r="539">
      <c r="A539" t="n">
        <v>1777028402</v>
      </c>
      <c r="B539" t="inlineStr">
        <is>
          <t>XAUUSD</t>
        </is>
      </c>
      <c r="C539" t="inlineStr">
        <is>
          <t>M15</t>
        </is>
      </c>
      <c r="D539" t="n">
        <v>4696.78</v>
      </c>
      <c r="E539" t="n">
        <v>4518.59282</v>
      </c>
      <c r="F539" t="n">
        <v>4596.05595</v>
      </c>
      <c r="G539" t="n">
        <v>4755.40355</v>
      </c>
      <c r="H539" t="n">
        <v>4792.76972</v>
      </c>
      <c r="Q539" t="n">
        <v>4673.93434</v>
      </c>
      <c r="R539" t="n">
        <v>4703.29763</v>
      </c>
      <c r="S539" t="n">
        <v>4729.8864</v>
      </c>
      <c r="V539" t="n">
        <v>4638.99456</v>
      </c>
      <c r="W539" t="n">
        <v>4605.42957</v>
      </c>
      <c r="AB539" t="n">
        <v>4696.24289</v>
      </c>
      <c r="AC539" t="n">
        <v>4691.66447</v>
      </c>
      <c r="AD539" t="n">
        <v>0</v>
      </c>
      <c r="AK539" t="n">
        <v>537</v>
      </c>
      <c r="AL539" t="n">
        <v>536</v>
      </c>
      <c r="AM539" t="n">
        <v>4696.78</v>
      </c>
      <c r="AN539" t="n">
        <v>4673.9343</v>
      </c>
      <c r="AO539" t="n">
        <v>22.8457</v>
      </c>
      <c r="AP539" t="n">
        <v>521.9242</v>
      </c>
      <c r="AQ539" t="n">
        <v>0.274301</v>
      </c>
      <c r="AR539" t="n">
        <v>0.178225</v>
      </c>
      <c r="AY539" t="n">
        <v>537</v>
      </c>
      <c r="AZ539" t="n">
        <v>536</v>
      </c>
      <c r="BA539" t="n">
        <v>4696.78</v>
      </c>
      <c r="BB539" t="n">
        <v>4673.9343</v>
      </c>
      <c r="BC539" t="n">
        <v>22.8457</v>
      </c>
      <c r="BD539" t="n">
        <v>521.9242</v>
      </c>
      <c r="BE539" t="n">
        <v>287296</v>
      </c>
    </row>
    <row r="540">
      <c r="A540" t="n">
        <v>1777029302</v>
      </c>
      <c r="B540" t="inlineStr">
        <is>
          <t>XAUUSD</t>
        </is>
      </c>
      <c r="C540" t="inlineStr">
        <is>
          <t>M15</t>
        </is>
      </c>
      <c r="D540" t="n">
        <v>4715.3</v>
      </c>
      <c r="E540" t="n">
        <v>4518.59282</v>
      </c>
      <c r="F540" t="n">
        <v>4596.05595</v>
      </c>
      <c r="G540" t="n">
        <v>4755.40355</v>
      </c>
      <c r="H540" t="n">
        <v>4792.76972</v>
      </c>
      <c r="Q540" t="n">
        <v>4673.66673</v>
      </c>
      <c r="R540" t="n">
        <v>4703.03003</v>
      </c>
      <c r="S540" t="n">
        <v>4729.6188</v>
      </c>
      <c r="V540" t="n">
        <v>4638.72696</v>
      </c>
      <c r="W540" t="n">
        <v>4605.16196</v>
      </c>
      <c r="AB540" t="n">
        <v>4701.47942</v>
      </c>
      <c r="AC540" t="n">
        <v>4696.57194</v>
      </c>
      <c r="AD540" t="n">
        <v>0</v>
      </c>
      <c r="AK540" t="n">
        <v>538</v>
      </c>
      <c r="AL540" t="n">
        <v>537</v>
      </c>
      <c r="AM540" t="n">
        <v>4715.3</v>
      </c>
      <c r="AN540" t="n">
        <v>4673.6667</v>
      </c>
      <c r="AO540" t="n">
        <v>41.6333</v>
      </c>
      <c r="AP540" t="n">
        <v>1733.3292</v>
      </c>
      <c r="AQ540" t="n">
        <v>1.660111</v>
      </c>
      <c r="AR540" t="n">
        <v>1.965695</v>
      </c>
      <c r="AY540" t="n">
        <v>538</v>
      </c>
      <c r="AZ540" t="n">
        <v>537</v>
      </c>
      <c r="BA540" t="n">
        <v>4715.3</v>
      </c>
      <c r="BB540" t="n">
        <v>4673.6667</v>
      </c>
      <c r="BC540" t="n">
        <v>41.6333</v>
      </c>
      <c r="BD540" t="n">
        <v>1733.3292</v>
      </c>
      <c r="BE540" t="n">
        <v>288369</v>
      </c>
    </row>
    <row r="541">
      <c r="A541" t="n">
        <v>1777030202</v>
      </c>
      <c r="B541" t="inlineStr">
        <is>
          <t>XAUUSD</t>
        </is>
      </c>
      <c r="C541" t="inlineStr">
        <is>
          <t>M15</t>
        </is>
      </c>
      <c r="D541" t="n">
        <v>4705.4</v>
      </c>
      <c r="E541" t="n">
        <v>4518.59282</v>
      </c>
      <c r="F541" t="n">
        <v>4596.05595</v>
      </c>
      <c r="G541" t="n">
        <v>4755.40355</v>
      </c>
      <c r="H541" t="n">
        <v>4792.76972</v>
      </c>
      <c r="Q541" t="n">
        <v>4673.39913</v>
      </c>
      <c r="R541" t="n">
        <v>4702.76243</v>
      </c>
      <c r="S541" t="n">
        <v>4729.3512</v>
      </c>
      <c r="V541" t="n">
        <v>4638.45936</v>
      </c>
      <c r="W541" t="n">
        <v>4604.89436</v>
      </c>
      <c r="AB541" t="n">
        <v>4704.96247</v>
      </c>
      <c r="AC541" t="n">
        <v>4700.76721</v>
      </c>
      <c r="AD541" t="n">
        <v>0</v>
      </c>
      <c r="AK541" t="n">
        <v>539</v>
      </c>
      <c r="AL541" t="n">
        <v>538</v>
      </c>
      <c r="AM541" t="n">
        <v>4705.4</v>
      </c>
      <c r="AN541" t="n">
        <v>4673.3991</v>
      </c>
      <c r="AO541" t="n">
        <v>32.0009</v>
      </c>
      <c r="AP541" t="n">
        <v>1024.0557</v>
      </c>
      <c r="AQ541" t="n">
        <v>0.753878</v>
      </c>
      <c r="AR541" t="n">
        <v>0.686122</v>
      </c>
      <c r="AY541" t="n">
        <v>539</v>
      </c>
      <c r="AZ541" t="n">
        <v>538</v>
      </c>
      <c r="BA541" t="n">
        <v>4705.4</v>
      </c>
      <c r="BB541" t="n">
        <v>4673.3991</v>
      </c>
      <c r="BC541" t="n">
        <v>32.0009</v>
      </c>
      <c r="BD541" t="n">
        <v>1024.0557</v>
      </c>
      <c r="BE541" t="n">
        <v>289444</v>
      </c>
    </row>
    <row r="542">
      <c r="A542" t="n">
        <v>1777031102</v>
      </c>
      <c r="B542" t="inlineStr">
        <is>
          <t>XAUUSD</t>
        </is>
      </c>
      <c r="C542" t="inlineStr">
        <is>
          <t>M15</t>
        </is>
      </c>
      <c r="D542" t="n">
        <v>4706.76</v>
      </c>
      <c r="E542" t="n">
        <v>4518.59282</v>
      </c>
      <c r="F542" t="n">
        <v>4596.05595</v>
      </c>
      <c r="G542" t="n">
        <v>4755.40355</v>
      </c>
      <c r="H542" t="n">
        <v>4792.76972</v>
      </c>
      <c r="Q542" t="n">
        <v>4673.13152</v>
      </c>
      <c r="R542" t="n">
        <v>4702.49482</v>
      </c>
      <c r="S542" t="n">
        <v>4729.08359</v>
      </c>
      <c r="V542" t="n">
        <v>4638.19175</v>
      </c>
      <c r="W542" t="n">
        <v>4604.62676</v>
      </c>
      <c r="AB542" t="n">
        <v>4706.66789</v>
      </c>
      <c r="AC542" t="n">
        <v>4703.71755</v>
      </c>
      <c r="AD542" t="n">
        <v>0</v>
      </c>
      <c r="AK542" t="n">
        <v>540</v>
      </c>
      <c r="AL542" t="n">
        <v>539</v>
      </c>
      <c r="AM542" t="n">
        <v>4706.76</v>
      </c>
      <c r="AN542" t="n">
        <v>4673.1315</v>
      </c>
      <c r="AO542" t="n">
        <v>33.6285</v>
      </c>
      <c r="AP542" t="n">
        <v>1130.8747</v>
      </c>
      <c r="AQ542" t="n">
        <v>0.874857</v>
      </c>
      <c r="AR542" t="n">
        <v>0.836726</v>
      </c>
      <c r="AY542" t="n">
        <v>540</v>
      </c>
      <c r="AZ542" t="n">
        <v>539</v>
      </c>
      <c r="BA542" t="n">
        <v>4706.76</v>
      </c>
      <c r="BB542" t="n">
        <v>4673.1315</v>
      </c>
      <c r="BC542" t="n">
        <v>33.6285</v>
      </c>
      <c r="BD542" t="n">
        <v>1130.8747</v>
      </c>
      <c r="BE542" t="n">
        <v>290521</v>
      </c>
    </row>
    <row r="543">
      <c r="A543" t="n">
        <v>1777032002</v>
      </c>
      <c r="B543" t="inlineStr">
        <is>
          <t>XAUUSD</t>
        </is>
      </c>
      <c r="C543" t="inlineStr">
        <is>
          <t>M15</t>
        </is>
      </c>
      <c r="D543" t="n">
        <v>4708.7</v>
      </c>
      <c r="E543" t="n">
        <v>4518.59282</v>
      </c>
      <c r="F543" t="n">
        <v>4596.05595</v>
      </c>
      <c r="G543" t="n">
        <v>4755.40355</v>
      </c>
      <c r="H543" t="n">
        <v>4792.76972</v>
      </c>
      <c r="Q543" t="n">
        <v>4672.86392</v>
      </c>
      <c r="R543" t="n">
        <v>4702.22722</v>
      </c>
      <c r="S543" t="n">
        <v>4728.81599</v>
      </c>
      <c r="V543" t="n">
        <v>4637.92415</v>
      </c>
      <c r="W543" t="n">
        <v>4604.35915</v>
      </c>
      <c r="AB543" t="n">
        <v>4706.72572</v>
      </c>
      <c r="AC543" t="n">
        <v>4705.22163</v>
      </c>
      <c r="AD543" t="n">
        <v>0</v>
      </c>
      <c r="AK543" t="n">
        <v>541</v>
      </c>
      <c r="AL543" t="n">
        <v>540</v>
      </c>
      <c r="AM543" t="n">
        <v>4708.7</v>
      </c>
      <c r="AN543" t="n">
        <v>4672.8639</v>
      </c>
      <c r="AO543" t="n">
        <v>35.8361</v>
      </c>
      <c r="AP543" t="n">
        <v>1284.2246</v>
      </c>
      <c r="AQ543" t="n">
        <v>1.05871</v>
      </c>
      <c r="AR543" t="n">
        <v>1.079036</v>
      </c>
      <c r="AY543" t="n">
        <v>541</v>
      </c>
      <c r="AZ543" t="n">
        <v>540</v>
      </c>
      <c r="BA543" t="n">
        <v>4708.7</v>
      </c>
      <c r="BB543" t="n">
        <v>4672.8639</v>
      </c>
      <c r="BC543" t="n">
        <v>35.8361</v>
      </c>
      <c r="BD543" t="n">
        <v>1284.2246</v>
      </c>
      <c r="BE543" t="n">
        <v>291600</v>
      </c>
    </row>
    <row r="544">
      <c r="A544" t="n">
        <v>1777032902</v>
      </c>
      <c r="B544" t="inlineStr">
        <is>
          <t>XAUUSD</t>
        </is>
      </c>
      <c r="C544" t="inlineStr">
        <is>
          <t>M15</t>
        </is>
      </c>
      <c r="D544" t="n">
        <v>4710.63</v>
      </c>
      <c r="E544" t="n">
        <v>4518.59282</v>
      </c>
      <c r="F544" t="n">
        <v>4596.05595</v>
      </c>
      <c r="G544" t="n">
        <v>4755.40355</v>
      </c>
      <c r="H544" t="n">
        <v>4792.76972</v>
      </c>
      <c r="Q544" t="n">
        <v>4672.59631</v>
      </c>
      <c r="R544" t="n">
        <v>4701.95961</v>
      </c>
      <c r="S544" t="n">
        <v>4728.54838</v>
      </c>
      <c r="V544" t="n">
        <v>4637.65654</v>
      </c>
      <c r="W544" t="n">
        <v>4604.09155</v>
      </c>
      <c r="AB544" t="n">
        <v>4705.59402</v>
      </c>
      <c r="AC544" t="n">
        <v>4705.40783</v>
      </c>
      <c r="AD544" t="n">
        <v>0</v>
      </c>
      <c r="AK544" t="n">
        <v>542</v>
      </c>
      <c r="AL544" t="n">
        <v>541</v>
      </c>
      <c r="AM544" t="n">
        <v>4710.63</v>
      </c>
      <c r="AN544" t="n">
        <v>4672.5963</v>
      </c>
      <c r="AO544" t="n">
        <v>38.0337</v>
      </c>
      <c r="AP544" t="n">
        <v>1446.5616</v>
      </c>
      <c r="AQ544" t="n">
        <v>1.265671</v>
      </c>
      <c r="AR544" t="n">
        <v>1.369077</v>
      </c>
      <c r="AY544" t="n">
        <v>542</v>
      </c>
      <c r="AZ544" t="n">
        <v>541</v>
      </c>
      <c r="BA544" t="n">
        <v>4710.63</v>
      </c>
      <c r="BB544" t="n">
        <v>4672.5963</v>
      </c>
      <c r="BC544" t="n">
        <v>38.0337</v>
      </c>
      <c r="BD544" t="n">
        <v>1446.5616</v>
      </c>
      <c r="BE544" t="n">
        <v>292681</v>
      </c>
    </row>
    <row r="545">
      <c r="A545" t="n">
        <v>1777033802</v>
      </c>
      <c r="B545" t="inlineStr">
        <is>
          <t>XAUUSD</t>
        </is>
      </c>
      <c r="C545" t="inlineStr">
        <is>
          <t>M15</t>
        </is>
      </c>
      <c r="D545" t="n">
        <v>4698.83</v>
      </c>
      <c r="E545" t="n">
        <v>4518.59282</v>
      </c>
      <c r="F545" t="n">
        <v>4596.05595</v>
      </c>
      <c r="G545" t="n">
        <v>4755.40355</v>
      </c>
      <c r="H545" t="n">
        <v>4792.76972</v>
      </c>
      <c r="Q545" t="n">
        <v>4672.32871</v>
      </c>
      <c r="R545" t="n">
        <v>4701.69201</v>
      </c>
      <c r="S545" t="n">
        <v>4728.28078</v>
      </c>
      <c r="V545" t="n">
        <v>4637.38894</v>
      </c>
      <c r="W545" t="n">
        <v>4603.82394</v>
      </c>
      <c r="AB545" t="n">
        <v>4703.98622</v>
      </c>
      <c r="AC545" t="n">
        <v>4704.69702</v>
      </c>
      <c r="AD545" t="n">
        <v>1</v>
      </c>
      <c r="AK545" t="n">
        <v>543</v>
      </c>
      <c r="AL545" t="n">
        <v>542</v>
      </c>
      <c r="AM545" t="n">
        <v>4698.83</v>
      </c>
      <c r="AN545" t="n">
        <v>4672.3287</v>
      </c>
      <c r="AO545" t="n">
        <v>26.5013</v>
      </c>
      <c r="AP545" t="n">
        <v>702.3184</v>
      </c>
      <c r="AQ545" t="n">
        <v>0.42817</v>
      </c>
      <c r="AR545" t="n">
        <v>0.322717</v>
      </c>
      <c r="AY545" t="n">
        <v>543</v>
      </c>
      <c r="AZ545" t="n">
        <v>542</v>
      </c>
      <c r="BA545" t="n">
        <v>4698.83</v>
      </c>
      <c r="BB545" t="n">
        <v>4672.3287</v>
      </c>
      <c r="BC545" t="n">
        <v>26.5013</v>
      </c>
      <c r="BD545" t="n">
        <v>702.3184</v>
      </c>
      <c r="BE545" t="n">
        <v>293764</v>
      </c>
    </row>
    <row r="546">
      <c r="A546" t="n">
        <v>1777034702</v>
      </c>
      <c r="B546" t="inlineStr">
        <is>
          <t>XAUUSD</t>
        </is>
      </c>
      <c r="C546" t="inlineStr">
        <is>
          <t>M15</t>
        </is>
      </c>
      <c r="D546" t="n">
        <v>4700.67</v>
      </c>
      <c r="E546" t="n">
        <v>4518.59282</v>
      </c>
      <c r="F546" t="n">
        <v>4596.05595</v>
      </c>
      <c r="G546" t="n">
        <v>4755.40355</v>
      </c>
      <c r="H546" t="n">
        <v>4792.76972</v>
      </c>
      <c r="Q546" t="n">
        <v>4672.06111</v>
      </c>
      <c r="R546" t="n">
        <v>4701.42441</v>
      </c>
      <c r="S546" t="n">
        <v>4728.01318</v>
      </c>
      <c r="V546" t="n">
        <v>4637.12134</v>
      </c>
      <c r="W546" t="n">
        <v>4603.55634</v>
      </c>
      <c r="AB546" t="n">
        <v>4703.08054</v>
      </c>
      <c r="AC546" t="n">
        <v>4703.88878</v>
      </c>
      <c r="AD546" t="n">
        <v>0</v>
      </c>
      <c r="AK546" t="n">
        <v>544</v>
      </c>
      <c r="AL546" t="n">
        <v>543</v>
      </c>
      <c r="AM546" t="n">
        <v>4700.67</v>
      </c>
      <c r="AN546" t="n">
        <v>4672.0611</v>
      </c>
      <c r="AO546" t="n">
        <v>28.6089</v>
      </c>
      <c r="AP546" t="n">
        <v>818.4686</v>
      </c>
      <c r="AQ546" t="n">
        <v>0.5386649999999999</v>
      </c>
      <c r="AR546" t="n">
        <v>0.438287</v>
      </c>
      <c r="AY546" t="n">
        <v>544</v>
      </c>
      <c r="AZ546" t="n">
        <v>543</v>
      </c>
      <c r="BA546" t="n">
        <v>4700.67</v>
      </c>
      <c r="BB546" t="n">
        <v>4672.0611</v>
      </c>
      <c r="BC546" t="n">
        <v>28.6089</v>
      </c>
      <c r="BD546" t="n">
        <v>818.4686</v>
      </c>
      <c r="BE546" t="n">
        <v>294849</v>
      </c>
    </row>
    <row r="547">
      <c r="A547" t="n">
        <v>1777035602</v>
      </c>
      <c r="B547" t="inlineStr">
        <is>
          <t>XAUUSD</t>
        </is>
      </c>
      <c r="C547" t="inlineStr">
        <is>
          <t>M15</t>
        </is>
      </c>
      <c r="D547" t="n">
        <v>4702.99</v>
      </c>
      <c r="E547" t="n">
        <v>4518.59282</v>
      </c>
      <c r="F547" t="n">
        <v>4596.05595</v>
      </c>
      <c r="G547" t="n">
        <v>4755.40355</v>
      </c>
      <c r="H547" t="n">
        <v>4792.76972</v>
      </c>
      <c r="Q547" t="n">
        <v>4671.7935</v>
      </c>
      <c r="R547" t="n">
        <v>4701.1568</v>
      </c>
      <c r="S547" t="n">
        <v>4727.74557</v>
      </c>
      <c r="V547" t="n">
        <v>4636.85373</v>
      </c>
      <c r="W547" t="n">
        <v>4603.28874</v>
      </c>
      <c r="AB547" t="n">
        <v>4703.48662</v>
      </c>
      <c r="AC547" t="n">
        <v>4703.6877</v>
      </c>
      <c r="AD547" t="n">
        <v>0</v>
      </c>
      <c r="AK547" t="n">
        <v>545</v>
      </c>
      <c r="AL547" t="n">
        <v>544</v>
      </c>
      <c r="AM547" t="n">
        <v>4702.99</v>
      </c>
      <c r="AN547" t="n">
        <v>4671.7935</v>
      </c>
      <c r="AO547" t="n">
        <v>31.1965</v>
      </c>
      <c r="AP547" t="n">
        <v>973.2216</v>
      </c>
      <c r="AQ547" t="n">
        <v>0.698447</v>
      </c>
      <c r="AR547" t="n">
        <v>0.619694</v>
      </c>
      <c r="AY547" t="n">
        <v>545</v>
      </c>
      <c r="AZ547" t="n">
        <v>544</v>
      </c>
      <c r="BA547" t="n">
        <v>4702.99</v>
      </c>
      <c r="BB547" t="n">
        <v>4671.7935</v>
      </c>
      <c r="BC547" t="n">
        <v>31.1965</v>
      </c>
      <c r="BD547" t="n">
        <v>973.2216</v>
      </c>
      <c r="BE547" t="n">
        <v>295936</v>
      </c>
    </row>
    <row r="548">
      <c r="A548" t="n">
        <v>1777036502</v>
      </c>
      <c r="B548" t="inlineStr">
        <is>
          <t>XAUUSD</t>
        </is>
      </c>
      <c r="C548" t="inlineStr">
        <is>
          <t>M15</t>
        </is>
      </c>
      <c r="D548" t="n">
        <v>4697.13</v>
      </c>
      <c r="E548" t="n">
        <v>4518.59282</v>
      </c>
      <c r="F548" t="n">
        <v>4596.05595</v>
      </c>
      <c r="G548" t="n">
        <v>4755.40355</v>
      </c>
      <c r="H548" t="n">
        <v>4792.76972</v>
      </c>
      <c r="Q548" t="n">
        <v>4671.5259</v>
      </c>
      <c r="R548" t="n">
        <v>4700.8892</v>
      </c>
      <c r="S548" t="n">
        <v>4727.47797</v>
      </c>
      <c r="V548" t="n">
        <v>4636.58613</v>
      </c>
      <c r="W548" t="n">
        <v>4603.02113</v>
      </c>
      <c r="AB548" t="n">
        <v>4705.476</v>
      </c>
      <c r="AC548" t="n">
        <v>4704.58185</v>
      </c>
      <c r="AD548" t="n">
        <v>1</v>
      </c>
      <c r="AK548" t="n">
        <v>546</v>
      </c>
      <c r="AL548" t="n">
        <v>545</v>
      </c>
      <c r="AM548" t="n">
        <v>4697.13</v>
      </c>
      <c r="AN548" t="n">
        <v>4671.5259</v>
      </c>
      <c r="AO548" t="n">
        <v>25.6041</v>
      </c>
      <c r="AP548" t="n">
        <v>655.5699</v>
      </c>
      <c r="AQ548" t="n">
        <v>0.386139</v>
      </c>
      <c r="AR548" t="n">
        <v>0.281185</v>
      </c>
      <c r="AY548" t="n">
        <v>546</v>
      </c>
      <c r="AZ548" t="n">
        <v>545</v>
      </c>
      <c r="BA548" t="n">
        <v>4697.13</v>
      </c>
      <c r="BB548" t="n">
        <v>4671.5259</v>
      </c>
      <c r="BC548" t="n">
        <v>25.6041</v>
      </c>
      <c r="BD548" t="n">
        <v>655.5699</v>
      </c>
      <c r="BE548" t="n">
        <v>297025</v>
      </c>
    </row>
    <row r="549">
      <c r="A549" t="n">
        <v>1777037402</v>
      </c>
      <c r="B549" t="inlineStr">
        <is>
          <t>XAUUSD</t>
        </is>
      </c>
      <c r="C549" t="inlineStr">
        <is>
          <t>M15</t>
        </is>
      </c>
      <c r="D549" t="n">
        <v>4708.23</v>
      </c>
      <c r="E549" t="n">
        <v>4518.59282</v>
      </c>
      <c r="F549" t="n">
        <v>4596.05595</v>
      </c>
      <c r="G549" t="n">
        <v>4755.40355</v>
      </c>
      <c r="H549" t="n">
        <v>4792.76972</v>
      </c>
      <c r="Q549" t="n">
        <v>4671.25829</v>
      </c>
      <c r="R549" t="n">
        <v>4700.62159</v>
      </c>
      <c r="S549" t="n">
        <v>4727.21036</v>
      </c>
      <c r="V549" t="n">
        <v>4636.31852</v>
      </c>
      <c r="W549" t="n">
        <v>4602.75353</v>
      </c>
      <c r="AB549" t="n">
        <v>4709.16285</v>
      </c>
      <c r="AC549" t="n">
        <v>4706.87235</v>
      </c>
      <c r="AD549" t="n">
        <v>0</v>
      </c>
      <c r="AK549" t="n">
        <v>547</v>
      </c>
      <c r="AL549" t="n">
        <v>546</v>
      </c>
      <c r="AM549" t="n">
        <v>4708.23</v>
      </c>
      <c r="AN549" t="n">
        <v>4671.2583</v>
      </c>
      <c r="AO549" t="n">
        <v>36.9717</v>
      </c>
      <c r="AP549" t="n">
        <v>1366.9073</v>
      </c>
      <c r="AQ549" t="n">
        <v>1.162584</v>
      </c>
      <c r="AR549" t="n">
        <v>1.222453</v>
      </c>
      <c r="AY549" t="n">
        <v>547</v>
      </c>
      <c r="AZ549" t="n">
        <v>546</v>
      </c>
      <c r="BA549" t="n">
        <v>4708.23</v>
      </c>
      <c r="BB549" t="n">
        <v>4671.2583</v>
      </c>
      <c r="BC549" t="n">
        <v>36.9717</v>
      </c>
      <c r="BD549" t="n">
        <v>1366.9073</v>
      </c>
      <c r="BE549" t="n">
        <v>298116</v>
      </c>
    </row>
    <row r="550">
      <c r="A550" t="n">
        <v>1777038302</v>
      </c>
      <c r="B550" t="inlineStr">
        <is>
          <t>XAUUSD</t>
        </is>
      </c>
      <c r="C550" t="inlineStr">
        <is>
          <t>M15</t>
        </is>
      </c>
      <c r="D550" t="n">
        <v>4711.2</v>
      </c>
      <c r="E550" t="n">
        <v>4518.59282</v>
      </c>
      <c r="F550" t="n">
        <v>4596.05595</v>
      </c>
      <c r="G550" t="n">
        <v>4755.40355</v>
      </c>
      <c r="H550" t="n">
        <v>4792.76972</v>
      </c>
      <c r="Q550" t="n">
        <v>4670.99069</v>
      </c>
      <c r="R550" t="n">
        <v>4700.35399</v>
      </c>
      <c r="S550" t="n">
        <v>4726.94276</v>
      </c>
      <c r="V550" t="n">
        <v>4636.05092</v>
      </c>
      <c r="W550" t="n">
        <v>4602.48592</v>
      </c>
      <c r="AB550" t="n">
        <v>4713.89201</v>
      </c>
      <c r="AC550" t="n">
        <v>4710.38218</v>
      </c>
      <c r="AD550" t="n">
        <v>0</v>
      </c>
      <c r="AK550" t="n">
        <v>548</v>
      </c>
      <c r="AL550" t="n">
        <v>547</v>
      </c>
      <c r="AM550" t="n">
        <v>4711.2</v>
      </c>
      <c r="AN550" t="n">
        <v>4670.9907</v>
      </c>
      <c r="AO550" t="n">
        <v>40.2093</v>
      </c>
      <c r="AP550" t="n">
        <v>1616.7886</v>
      </c>
      <c r="AQ550" t="n">
        <v>1.495531</v>
      </c>
      <c r="AR550" t="n">
        <v>1.710254</v>
      </c>
      <c r="AY550" t="n">
        <v>548</v>
      </c>
      <c r="AZ550" t="n">
        <v>547</v>
      </c>
      <c r="BA550" t="n">
        <v>4711.2</v>
      </c>
      <c r="BB550" t="n">
        <v>4670.9907</v>
      </c>
      <c r="BC550" t="n">
        <v>40.2093</v>
      </c>
      <c r="BD550" t="n">
        <v>1616.7886</v>
      </c>
      <c r="BE550" t="n">
        <v>299209</v>
      </c>
    </row>
    <row r="551">
      <c r="A551" t="n">
        <v>1777039202</v>
      </c>
      <c r="B551" t="inlineStr">
        <is>
          <t>XAUUSD</t>
        </is>
      </c>
      <c r="C551" t="inlineStr">
        <is>
          <t>M15</t>
        </is>
      </c>
      <c r="D551" t="n">
        <v>4731.95</v>
      </c>
      <c r="E551" t="n">
        <v>4518.59282</v>
      </c>
      <c r="F551" t="n">
        <v>4596.05595</v>
      </c>
      <c r="G551" t="n">
        <v>4755.40355</v>
      </c>
      <c r="H551" t="n">
        <v>4792.76972</v>
      </c>
      <c r="Q551" t="n">
        <v>4670.72309</v>
      </c>
      <c r="R551" t="n">
        <v>4700.08638</v>
      </c>
      <c r="S551" t="n">
        <v>4726.67516</v>
      </c>
      <c r="V551" t="n">
        <v>4635.78332</v>
      </c>
      <c r="W551" t="n">
        <v>4602.21832</v>
      </c>
      <c r="Z551" t="n">
        <v>4740.49</v>
      </c>
      <c r="AB551" t="n">
        <v>4718.96621</v>
      </c>
      <c r="AC551" t="n">
        <v>4714.6742</v>
      </c>
      <c r="AD551" t="n">
        <v>0</v>
      </c>
      <c r="AK551" t="n">
        <v>549</v>
      </c>
      <c r="AL551" t="n">
        <v>548</v>
      </c>
      <c r="AM551" t="n">
        <v>4731.95</v>
      </c>
      <c r="AN551" t="n">
        <v>4670.7231</v>
      </c>
      <c r="AO551" t="n">
        <v>61.2269</v>
      </c>
      <c r="AP551" t="n">
        <v>3748.7345</v>
      </c>
      <c r="AQ551" t="n">
        <v>5.280106</v>
      </c>
      <c r="AR551" t="n">
        <v>9.194402</v>
      </c>
      <c r="AY551" t="n">
        <v>549</v>
      </c>
      <c r="AZ551" t="n">
        <v>548</v>
      </c>
      <c r="BA551" t="n">
        <v>4731.95</v>
      </c>
      <c r="BB551" t="n">
        <v>4670.7231</v>
      </c>
      <c r="BC551" t="n">
        <v>61.2269</v>
      </c>
      <c r="BD551" t="n">
        <v>3748.7345</v>
      </c>
      <c r="BE551" t="n">
        <v>300304</v>
      </c>
    </row>
    <row r="552">
      <c r="A552" t="n">
        <v>1777040102</v>
      </c>
      <c r="B552" t="inlineStr">
        <is>
          <t>XAUUSD</t>
        </is>
      </c>
      <c r="C552" t="inlineStr">
        <is>
          <t>M15</t>
        </is>
      </c>
      <c r="D552" t="n">
        <v>4725.46</v>
      </c>
      <c r="E552" t="n">
        <v>4518.59282</v>
      </c>
      <c r="F552" t="n">
        <v>4596.05595</v>
      </c>
      <c r="G552" t="n">
        <v>4755.40355</v>
      </c>
      <c r="H552" t="n">
        <v>4792.76972</v>
      </c>
      <c r="Q552" t="n">
        <v>4670.45548</v>
      </c>
      <c r="R552" t="n">
        <v>4699.81878</v>
      </c>
      <c r="S552" t="n">
        <v>4726.40755</v>
      </c>
      <c r="V552" t="n">
        <v>4635.51571</v>
      </c>
      <c r="W552" t="n">
        <v>4601.95072</v>
      </c>
      <c r="AB552" t="n">
        <v>4723.15627</v>
      </c>
      <c r="AC552" t="n">
        <v>4718.91523</v>
      </c>
      <c r="AD552" t="n">
        <v>0</v>
      </c>
      <c r="AK552" t="n">
        <v>550</v>
      </c>
      <c r="AL552" t="n">
        <v>549</v>
      </c>
      <c r="AM552" t="n">
        <v>4725.46</v>
      </c>
      <c r="AN552" t="n">
        <v>4670.4555</v>
      </c>
      <c r="AO552" t="n">
        <v>55.0045</v>
      </c>
      <c r="AP552" t="n">
        <v>3025.4972</v>
      </c>
      <c r="AQ552" t="n">
        <v>3.828342</v>
      </c>
      <c r="AR552" t="n">
        <v>5.988908</v>
      </c>
      <c r="AY552" t="n">
        <v>550</v>
      </c>
      <c r="AZ552" t="n">
        <v>549</v>
      </c>
      <c r="BA552" t="n">
        <v>4725.46</v>
      </c>
      <c r="BB552" t="n">
        <v>4670.4555</v>
      </c>
      <c r="BC552" t="n">
        <v>55.0045</v>
      </c>
      <c r="BD552" t="n">
        <v>3025.4972</v>
      </c>
      <c r="BE552" t="n">
        <v>301401</v>
      </c>
    </row>
    <row r="553">
      <c r="A553" t="n">
        <v>1777041002</v>
      </c>
      <c r="B553" t="inlineStr">
        <is>
          <t>XAUUSD</t>
        </is>
      </c>
      <c r="C553" t="inlineStr">
        <is>
          <t>M15</t>
        </is>
      </c>
      <c r="D553" t="n">
        <v>4730.38</v>
      </c>
      <c r="E553" t="n">
        <v>4518.59282</v>
      </c>
      <c r="F553" t="n">
        <v>4596.05595</v>
      </c>
      <c r="G553" t="n">
        <v>4755.40355</v>
      </c>
      <c r="H553" t="n">
        <v>4792.76972</v>
      </c>
      <c r="Q553" t="n">
        <v>4670.18788</v>
      </c>
      <c r="R553" t="n">
        <v>4699.55118</v>
      </c>
      <c r="S553" t="n">
        <v>4726.13995</v>
      </c>
      <c r="V553" t="n">
        <v>4635.24811</v>
      </c>
      <c r="W553" t="n">
        <v>4601.68311</v>
      </c>
      <c r="AB553" t="n">
        <v>4726.1589</v>
      </c>
      <c r="AC553" t="n">
        <v>4722.53707</v>
      </c>
      <c r="AD553" t="n">
        <v>0</v>
      </c>
      <c r="AK553" t="n">
        <v>551</v>
      </c>
      <c r="AL553" t="n">
        <v>550</v>
      </c>
      <c r="AM553" t="n">
        <v>4730.38</v>
      </c>
      <c r="AN553" t="n">
        <v>4670.1879</v>
      </c>
      <c r="AO553" t="n">
        <v>60.1921</v>
      </c>
      <c r="AP553" t="n">
        <v>3623.0913</v>
      </c>
      <c r="AQ553" t="n">
        <v>5.016889</v>
      </c>
      <c r="AR553" t="n">
        <v>8.588407999999999</v>
      </c>
      <c r="AY553" t="n">
        <v>551</v>
      </c>
      <c r="AZ553" t="n">
        <v>550</v>
      </c>
      <c r="BA553" t="n">
        <v>4730.38</v>
      </c>
      <c r="BB553" t="n">
        <v>4670.1879</v>
      </c>
      <c r="BC553" t="n">
        <v>60.1921</v>
      </c>
      <c r="BD553" t="n">
        <v>3623.0913</v>
      </c>
      <c r="BE553" t="n">
        <v>302500</v>
      </c>
    </row>
    <row r="554">
      <c r="A554" t="n">
        <v>1777041902</v>
      </c>
      <c r="B554" t="inlineStr">
        <is>
          <t>XAUUSD</t>
        </is>
      </c>
      <c r="C554" t="inlineStr">
        <is>
          <t>M15</t>
        </is>
      </c>
      <c r="D554" t="n">
        <v>4726.41</v>
      </c>
      <c r="E554" t="n">
        <v>4518.59282</v>
      </c>
      <c r="F554" t="n">
        <v>4596.05595</v>
      </c>
      <c r="G554" t="n">
        <v>4755.40355</v>
      </c>
      <c r="H554" t="n">
        <v>4792.76972</v>
      </c>
      <c r="Q554" t="n">
        <v>4669.92027</v>
      </c>
      <c r="R554" t="n">
        <v>4699.28357</v>
      </c>
      <c r="S554" t="n">
        <v>4725.87234</v>
      </c>
      <c r="V554" t="n">
        <v>4634.9805</v>
      </c>
      <c r="W554" t="n">
        <v>4601.41551</v>
      </c>
      <c r="AB554" t="n">
        <v>4727.63112</v>
      </c>
      <c r="AC554" t="n">
        <v>4725.08409</v>
      </c>
      <c r="AD554" t="n">
        <v>0</v>
      </c>
      <c r="AK554" t="n">
        <v>552</v>
      </c>
      <c r="AL554" t="n">
        <v>551</v>
      </c>
      <c r="AM554" t="n">
        <v>4726.41</v>
      </c>
      <c r="AN554" t="n">
        <v>4669.9203</v>
      </c>
      <c r="AO554" t="n">
        <v>56.4897</v>
      </c>
      <c r="AP554" t="n">
        <v>3191.0896</v>
      </c>
      <c r="AQ554" t="n">
        <v>4.146905</v>
      </c>
      <c r="AR554" t="n">
        <v>6.662422</v>
      </c>
      <c r="AY554" t="n">
        <v>552</v>
      </c>
      <c r="AZ554" t="n">
        <v>551</v>
      </c>
      <c r="BA554" t="n">
        <v>4726.41</v>
      </c>
      <c r="BB554" t="n">
        <v>4669.9203</v>
      </c>
      <c r="BC554" t="n">
        <v>56.4897</v>
      </c>
      <c r="BD554" t="n">
        <v>3191.0896</v>
      </c>
      <c r="BE554" t="n">
        <v>303601</v>
      </c>
    </row>
    <row r="555">
      <c r="A555" t="n">
        <v>1777042802</v>
      </c>
      <c r="B555" t="inlineStr">
        <is>
          <t>XAUUSD</t>
        </is>
      </c>
      <c r="C555" t="inlineStr">
        <is>
          <t>M15</t>
        </is>
      </c>
      <c r="D555" t="n">
        <v>4721.97</v>
      </c>
      <c r="E555" t="n">
        <v>4518.59282</v>
      </c>
      <c r="F555" t="n">
        <v>4596.05595</v>
      </c>
      <c r="G555" t="n">
        <v>4755.40355</v>
      </c>
      <c r="H555" t="n">
        <v>4792.76972</v>
      </c>
      <c r="Q555" t="n">
        <v>4669.65267</v>
      </c>
      <c r="R555" t="n">
        <v>4699.01597</v>
      </c>
      <c r="S555" t="n">
        <v>4725.60474</v>
      </c>
      <c r="V555" t="n">
        <v>4634.7129</v>
      </c>
      <c r="W555" t="n">
        <v>4601.1479</v>
      </c>
      <c r="AB555" t="n">
        <v>4727.79328</v>
      </c>
      <c r="AC555" t="n">
        <v>4726.43869</v>
      </c>
      <c r="AD555" t="n">
        <v>0</v>
      </c>
      <c r="AK555" t="n">
        <v>553</v>
      </c>
      <c r="AL555" t="n">
        <v>552</v>
      </c>
      <c r="AM555" t="n">
        <v>4721.97</v>
      </c>
      <c r="AN555" t="n">
        <v>4669.6527</v>
      </c>
      <c r="AO555" t="n">
        <v>52.3173</v>
      </c>
      <c r="AP555" t="n">
        <v>2737.103</v>
      </c>
      <c r="AQ555" t="n">
        <v>3.294218</v>
      </c>
      <c r="AR555" t="n">
        <v>4.901583</v>
      </c>
      <c r="AY555" t="n">
        <v>553</v>
      </c>
      <c r="AZ555" t="n">
        <v>552</v>
      </c>
      <c r="BA555" t="n">
        <v>4721.97</v>
      </c>
      <c r="BB555" t="n">
        <v>4669.6527</v>
      </c>
      <c r="BC555" t="n">
        <v>52.3173</v>
      </c>
      <c r="BD555" t="n">
        <v>2737.103</v>
      </c>
      <c r="BE555" t="n">
        <v>304704</v>
      </c>
    </row>
    <row r="556">
      <c r="A556" t="n">
        <v>1777043702</v>
      </c>
      <c r="B556" t="inlineStr">
        <is>
          <t>XAUUSD</t>
        </is>
      </c>
      <c r="C556" t="inlineStr">
        <is>
          <t>M15</t>
        </is>
      </c>
      <c r="D556" t="n">
        <v>4721.74</v>
      </c>
      <c r="E556" t="n">
        <v>4518.59282</v>
      </c>
      <c r="F556" t="n">
        <v>4596.05595</v>
      </c>
      <c r="G556" t="n">
        <v>4755.40355</v>
      </c>
      <c r="H556" t="n">
        <v>4792.76972</v>
      </c>
      <c r="Q556" t="n">
        <v>4669.38507</v>
      </c>
      <c r="R556" t="n">
        <v>4698.74836</v>
      </c>
      <c r="S556" t="n">
        <v>4725.33714</v>
      </c>
      <c r="V556" t="n">
        <v>4634.4453</v>
      </c>
      <c r="W556" t="n">
        <v>4600.8803</v>
      </c>
      <c r="AB556" t="n">
        <v>4727.10565</v>
      </c>
      <c r="AC556" t="n">
        <v>4726.77217</v>
      </c>
      <c r="AD556" t="n">
        <v>0</v>
      </c>
      <c r="AK556" t="n">
        <v>554</v>
      </c>
      <c r="AL556" t="n">
        <v>553</v>
      </c>
      <c r="AM556" t="n">
        <v>4721.74</v>
      </c>
      <c r="AN556" t="n">
        <v>4669.3851</v>
      </c>
      <c r="AO556" t="n">
        <v>52.3549</v>
      </c>
      <c r="AP556" t="n">
        <v>2741.0387</v>
      </c>
      <c r="AQ556" t="n">
        <v>3.301325</v>
      </c>
      <c r="AR556" t="n">
        <v>4.91569</v>
      </c>
      <c r="AY556" t="n">
        <v>554</v>
      </c>
      <c r="AZ556" t="n">
        <v>553</v>
      </c>
      <c r="BA556" t="n">
        <v>4721.74</v>
      </c>
      <c r="BB556" t="n">
        <v>4669.3851</v>
      </c>
      <c r="BC556" t="n">
        <v>52.3549</v>
      </c>
      <c r="BD556" t="n">
        <v>2741.0387</v>
      </c>
      <c r="BE556" t="n">
        <v>305809</v>
      </c>
    </row>
    <row r="557">
      <c r="A557" t="n">
        <v>1777044602</v>
      </c>
      <c r="B557" t="inlineStr">
        <is>
          <t>XAUUSD</t>
        </is>
      </c>
      <c r="C557" t="inlineStr">
        <is>
          <t>M15</t>
        </is>
      </c>
      <c r="D557" t="n">
        <v>4728.12</v>
      </c>
      <c r="E557" t="n">
        <v>4518.59282</v>
      </c>
      <c r="F557" t="n">
        <v>4596.05595</v>
      </c>
      <c r="G557" t="n">
        <v>4755.40355</v>
      </c>
      <c r="H557" t="n">
        <v>4792.76972</v>
      </c>
      <c r="Q557" t="n">
        <v>4669.11746</v>
      </c>
      <c r="R557" t="n">
        <v>4698.48076</v>
      </c>
      <c r="S557" t="n">
        <v>4725.06953</v>
      </c>
      <c r="V557" t="n">
        <v>4634.17769</v>
      </c>
      <c r="W557" t="n">
        <v>4600.6127</v>
      </c>
      <c r="AB557" t="n">
        <v>4725.99974</v>
      </c>
      <c r="AC557" t="n">
        <v>4726.38596</v>
      </c>
      <c r="AD557" t="n">
        <v>1</v>
      </c>
      <c r="AK557" t="n">
        <v>555</v>
      </c>
      <c r="AL557" t="n">
        <v>554</v>
      </c>
      <c r="AM557" t="n">
        <v>4728.12</v>
      </c>
      <c r="AN557" t="n">
        <v>4669.1175</v>
      </c>
      <c r="AO557" t="n">
        <v>59.0025</v>
      </c>
      <c r="AP557" t="n">
        <v>3481.2997</v>
      </c>
      <c r="AQ557" t="n">
        <v>4.725282</v>
      </c>
      <c r="AR557" t="n">
        <v>7.929338</v>
      </c>
      <c r="AY557" t="n">
        <v>555</v>
      </c>
      <c r="AZ557" t="n">
        <v>554</v>
      </c>
      <c r="BA557" t="n">
        <v>4728.12</v>
      </c>
      <c r="BB557" t="n">
        <v>4669.1175</v>
      </c>
      <c r="BC557" t="n">
        <v>59.0025</v>
      </c>
      <c r="BD557" t="n">
        <v>3481.2997</v>
      </c>
      <c r="BE557" t="n">
        <v>306916</v>
      </c>
    </row>
    <row r="558">
      <c r="A558" t="n">
        <v>1777045502</v>
      </c>
      <c r="B558" t="inlineStr">
        <is>
          <t>XAUUSD</t>
        </is>
      </c>
      <c r="C558" t="inlineStr">
        <is>
          <t>M15</t>
        </is>
      </c>
      <c r="D558" t="n">
        <v>4727.24</v>
      </c>
      <c r="E558" t="n">
        <v>4518.59282</v>
      </c>
      <c r="F558" t="n">
        <v>4596.05595</v>
      </c>
      <c r="G558" t="n">
        <v>4755.40355</v>
      </c>
      <c r="H558" t="n">
        <v>4792.76972</v>
      </c>
      <c r="Q558" t="n">
        <v>4668.84986</v>
      </c>
      <c r="R558" t="n">
        <v>4698.21316</v>
      </c>
      <c r="S558" t="n">
        <v>4724.80193</v>
      </c>
      <c r="V558" t="n">
        <v>4633.91009</v>
      </c>
      <c r="W558" t="n">
        <v>4600.34509</v>
      </c>
      <c r="AB558" t="n">
        <v>4724.75206</v>
      </c>
      <c r="AC558" t="n">
        <v>4725.56901</v>
      </c>
      <c r="AD558" t="n">
        <v>0</v>
      </c>
      <c r="AK558" t="n">
        <v>556</v>
      </c>
      <c r="AL558" t="n">
        <v>555</v>
      </c>
      <c r="AM558" t="n">
        <v>4727.24</v>
      </c>
      <c r="AN558" t="n">
        <v>4668.8499</v>
      </c>
      <c r="AO558" t="n">
        <v>58.3901</v>
      </c>
      <c r="AP558" t="n">
        <v>3409.4084</v>
      </c>
      <c r="AQ558" t="n">
        <v>4.579669</v>
      </c>
      <c r="AR558" t="n">
        <v>7.605227</v>
      </c>
      <c r="AY558" t="n">
        <v>556</v>
      </c>
      <c r="AZ558" t="n">
        <v>555</v>
      </c>
      <c r="BA558" t="n">
        <v>4727.24</v>
      </c>
      <c r="BB558" t="n">
        <v>4668.8499</v>
      </c>
      <c r="BC558" t="n">
        <v>58.3901</v>
      </c>
      <c r="BD558" t="n">
        <v>3409.4084</v>
      </c>
      <c r="BE558" t="n">
        <v>308025</v>
      </c>
    </row>
    <row r="559">
      <c r="A559" t="n">
        <v>1777046402</v>
      </c>
      <c r="B559" t="inlineStr">
        <is>
          <t>XAUUSD</t>
        </is>
      </c>
      <c r="C559" t="inlineStr">
        <is>
          <t>M15</t>
        </is>
      </c>
      <c r="D559" t="n">
        <v>4720.65</v>
      </c>
      <c r="E559" t="n">
        <v>4518.59282</v>
      </c>
      <c r="F559" t="n">
        <v>4596.05595</v>
      </c>
      <c r="G559" t="n">
        <v>4755.40355</v>
      </c>
      <c r="H559" t="n">
        <v>4792.76972</v>
      </c>
      <c r="Q559" t="n">
        <v>4668.58225</v>
      </c>
      <c r="R559" t="n">
        <v>4697.94555</v>
      </c>
      <c r="S559" t="n">
        <v>4724.53432</v>
      </c>
      <c r="V559" t="n">
        <v>4633.64248</v>
      </c>
      <c r="W559" t="n">
        <v>4600.07749</v>
      </c>
      <c r="AB559" t="n">
        <v>4723.73149</v>
      </c>
      <c r="AC559" t="n">
        <v>4724.65025</v>
      </c>
      <c r="AD559" t="n">
        <v>0</v>
      </c>
      <c r="AK559" t="n">
        <v>557</v>
      </c>
      <c r="AL559" t="n">
        <v>556</v>
      </c>
      <c r="AM559" t="n">
        <v>4720.65</v>
      </c>
      <c r="AN559" t="n">
        <v>4668.5823</v>
      </c>
      <c r="AO559" t="n">
        <v>52.0677</v>
      </c>
      <c r="AP559" t="n">
        <v>2711.0506</v>
      </c>
      <c r="AQ559" t="n">
        <v>3.247297</v>
      </c>
      <c r="AR559" t="n">
        <v>4.808719</v>
      </c>
      <c r="AY559" t="n">
        <v>557</v>
      </c>
      <c r="AZ559" t="n">
        <v>556</v>
      </c>
      <c r="BA559" t="n">
        <v>4720.65</v>
      </c>
      <c r="BB559" t="n">
        <v>4668.5823</v>
      </c>
      <c r="BC559" t="n">
        <v>52.0677</v>
      </c>
      <c r="BD559" t="n">
        <v>2711.0506</v>
      </c>
      <c r="BE559" t="n">
        <v>309136</v>
      </c>
    </row>
    <row r="560">
      <c r="A560" t="n">
        <v>1777047302</v>
      </c>
      <c r="B560" t="inlineStr">
        <is>
          <t>XAUUSD</t>
        </is>
      </c>
      <c r="C560" t="inlineStr">
        <is>
          <t>M15</t>
        </is>
      </c>
      <c r="D560" t="n">
        <v>4723.32</v>
      </c>
      <c r="E560" t="n">
        <v>4518.59282</v>
      </c>
      <c r="F560" t="n">
        <v>4596.05595</v>
      </c>
      <c r="G560" t="n">
        <v>4755.40355</v>
      </c>
      <c r="H560" t="n">
        <v>4792.76972</v>
      </c>
      <c r="Q560" t="n">
        <v>4668.31465</v>
      </c>
      <c r="R560" t="n">
        <v>4697.67795</v>
      </c>
      <c r="S560" t="n">
        <v>4724.26672</v>
      </c>
      <c r="V560" t="n">
        <v>4633.37488</v>
      </c>
      <c r="W560" t="n">
        <v>4599.80988</v>
      </c>
      <c r="AB560" t="n">
        <v>4723.30128</v>
      </c>
      <c r="AC560" t="n">
        <v>4723.97577</v>
      </c>
      <c r="AD560" t="n">
        <v>0</v>
      </c>
      <c r="AK560" t="n">
        <v>558</v>
      </c>
      <c r="AL560" t="n">
        <v>557</v>
      </c>
      <c r="AM560" t="n">
        <v>4723.32</v>
      </c>
      <c r="AN560" t="n">
        <v>4668.3147</v>
      </c>
      <c r="AO560" t="n">
        <v>55.0053</v>
      </c>
      <c r="AP560" t="n">
        <v>3025.5885</v>
      </c>
      <c r="AQ560" t="n">
        <v>3.828515</v>
      </c>
      <c r="AR560" t="n">
        <v>5.989269</v>
      </c>
      <c r="AY560" t="n">
        <v>558</v>
      </c>
      <c r="AZ560" t="n">
        <v>557</v>
      </c>
      <c r="BA560" t="n">
        <v>4723.32</v>
      </c>
      <c r="BB560" t="n">
        <v>4668.3147</v>
      </c>
      <c r="BC560" t="n">
        <v>55.0053</v>
      </c>
      <c r="BD560" t="n">
        <v>3025.5885</v>
      </c>
      <c r="BE560" t="n">
        <v>310249</v>
      </c>
    </row>
    <row r="561">
      <c r="A561" t="n">
        <v>1777048202</v>
      </c>
      <c r="B561" t="inlineStr">
        <is>
          <t>XAUUSD</t>
        </is>
      </c>
      <c r="C561" t="inlineStr">
        <is>
          <t>M15</t>
        </is>
      </c>
      <c r="D561" t="n">
        <v>4722.58</v>
      </c>
      <c r="E561" t="n">
        <v>4518.59282</v>
      </c>
      <c r="F561" t="n">
        <v>4596.05595</v>
      </c>
      <c r="G561" t="n">
        <v>4755.40355</v>
      </c>
      <c r="H561" t="n">
        <v>4792.76972</v>
      </c>
      <c r="Q561" t="n">
        <v>4668.04705</v>
      </c>
      <c r="R561" t="n">
        <v>4697.41034</v>
      </c>
      <c r="S561" t="n">
        <v>4723.99911</v>
      </c>
      <c r="V561" t="n">
        <v>4633.10727</v>
      </c>
      <c r="W561" t="n">
        <v>4599.54228</v>
      </c>
      <c r="AB561" t="n">
        <v>4723.33921</v>
      </c>
      <c r="AC561" t="n">
        <v>4723.65749</v>
      </c>
      <c r="AD561" t="n">
        <v>0</v>
      </c>
      <c r="AK561" t="n">
        <v>559</v>
      </c>
      <c r="AL561" t="n">
        <v>558</v>
      </c>
      <c r="AM561" t="n">
        <v>4722.58</v>
      </c>
      <c r="AN561" t="n">
        <v>4668.0471</v>
      </c>
      <c r="AO561" t="n">
        <v>54.5329</v>
      </c>
      <c r="AP561" t="n">
        <v>2973.8426</v>
      </c>
      <c r="AQ561" t="n">
        <v>3.730719</v>
      </c>
      <c r="AR561" t="n">
        <v>5.786155</v>
      </c>
      <c r="AY561" t="n">
        <v>559</v>
      </c>
      <c r="AZ561" t="n">
        <v>558</v>
      </c>
      <c r="BA561" t="n">
        <v>4722.58</v>
      </c>
      <c r="BB561" t="n">
        <v>4668.0471</v>
      </c>
      <c r="BC561" t="n">
        <v>54.5329</v>
      </c>
      <c r="BD561" t="n">
        <v>2973.8426</v>
      </c>
      <c r="BE561" t="n">
        <v>311364</v>
      </c>
    </row>
    <row r="562">
      <c r="A562" t="n">
        <v>1777049102</v>
      </c>
      <c r="B562" t="inlineStr">
        <is>
          <t>XAUUSD</t>
        </is>
      </c>
      <c r="C562" t="inlineStr">
        <is>
          <t>M15</t>
        </is>
      </c>
      <c r="D562" t="n">
        <v>4726.84</v>
      </c>
      <c r="E562" t="n">
        <v>4518.59282</v>
      </c>
      <c r="F562" t="n">
        <v>4596.05595</v>
      </c>
      <c r="G562" t="n">
        <v>4755.40355</v>
      </c>
      <c r="H562" t="n">
        <v>4792.76972</v>
      </c>
      <c r="Q562" t="n">
        <v>4667.77944</v>
      </c>
      <c r="R562" t="n">
        <v>4697.14274</v>
      </c>
      <c r="S562" t="n">
        <v>4723.73151</v>
      </c>
      <c r="V562" t="n">
        <v>4632.83967</v>
      </c>
      <c r="W562" t="n">
        <v>4599.27467</v>
      </c>
      <c r="AB562" t="n">
        <v>4723.69626</v>
      </c>
      <c r="AC562" t="n">
        <v>4723.67687</v>
      </c>
      <c r="AD562" t="n">
        <v>1</v>
      </c>
      <c r="AK562" t="n">
        <v>560</v>
      </c>
      <c r="AL562" t="n">
        <v>559</v>
      </c>
      <c r="AM562" t="n">
        <v>4726.84</v>
      </c>
      <c r="AN562" t="n">
        <v>4667.7794</v>
      </c>
      <c r="AO562" t="n">
        <v>59.0606</v>
      </c>
      <c r="AP562" t="n">
        <v>3488.1497</v>
      </c>
      <c r="AQ562" t="n">
        <v>4.739235</v>
      </c>
      <c r="AR562" t="n">
        <v>7.960573</v>
      </c>
      <c r="AY562" t="n">
        <v>560</v>
      </c>
      <c r="AZ562" t="n">
        <v>559</v>
      </c>
      <c r="BA562" t="n">
        <v>4726.84</v>
      </c>
      <c r="BB562" t="n">
        <v>4667.7794</v>
      </c>
      <c r="BC562" t="n">
        <v>59.0606</v>
      </c>
      <c r="BD562" t="n">
        <v>3488.1497</v>
      </c>
      <c r="BE562" t="n">
        <v>312481</v>
      </c>
    </row>
    <row r="563">
      <c r="A563" t="n">
        <v>1777050002</v>
      </c>
      <c r="B563" t="inlineStr">
        <is>
          <t>XAUUSD</t>
        </is>
      </c>
      <c r="C563" t="inlineStr">
        <is>
          <t>M15</t>
        </is>
      </c>
      <c r="D563" t="n">
        <v>4727.78</v>
      </c>
      <c r="E563" t="n">
        <v>4518.59282</v>
      </c>
      <c r="F563" t="n">
        <v>4596.05595</v>
      </c>
      <c r="G563" t="n">
        <v>4755.40355</v>
      </c>
      <c r="H563" t="n">
        <v>4792.76972</v>
      </c>
      <c r="Q563" t="n">
        <v>4667.51184</v>
      </c>
      <c r="R563" t="n">
        <v>4696.87514</v>
      </c>
      <c r="S563" t="n">
        <v>4723.46391</v>
      </c>
      <c r="V563" t="n">
        <v>4632.57207</v>
      </c>
      <c r="W563" t="n">
        <v>4599.00707</v>
      </c>
      <c r="AB563" t="n">
        <v>4724.02465</v>
      </c>
      <c r="AC563" t="n">
        <v>4723.85076</v>
      </c>
      <c r="AD563" t="n">
        <v>0</v>
      </c>
      <c r="AK563" t="n">
        <v>561</v>
      </c>
      <c r="AL563" t="n">
        <v>560</v>
      </c>
      <c r="AM563" t="n">
        <v>4727.78</v>
      </c>
      <c r="AN563" t="n">
        <v>4667.5118</v>
      </c>
      <c r="AO563" t="n">
        <v>60.2682</v>
      </c>
      <c r="AP563" t="n">
        <v>3632.2511</v>
      </c>
      <c r="AQ563" t="n">
        <v>5.035926</v>
      </c>
      <c r="AR563" t="n">
        <v>8.631888999999999</v>
      </c>
      <c r="AY563" t="n">
        <v>561</v>
      </c>
      <c r="AZ563" t="n">
        <v>560</v>
      </c>
      <c r="BA563" t="n">
        <v>4727.78</v>
      </c>
      <c r="BB563" t="n">
        <v>4667.5118</v>
      </c>
      <c r="BC563" t="n">
        <v>60.2682</v>
      </c>
      <c r="BD563" t="n">
        <v>3632.2511</v>
      </c>
      <c r="BE563" t="n">
        <v>313600</v>
      </c>
    </row>
    <row r="564">
      <c r="A564" t="n">
        <v>1777050902</v>
      </c>
      <c r="B564" t="inlineStr">
        <is>
          <t>XAUUSD</t>
        </is>
      </c>
      <c r="C564" t="inlineStr">
        <is>
          <t>M15</t>
        </is>
      </c>
      <c r="D564" t="n">
        <v>4723.06</v>
      </c>
      <c r="E564" t="n">
        <v>4518.59282</v>
      </c>
      <c r="F564" t="n">
        <v>4596.05595</v>
      </c>
      <c r="G564" t="n">
        <v>4755.40355</v>
      </c>
      <c r="H564" t="n">
        <v>4792.76972</v>
      </c>
      <c r="Q564" t="n">
        <v>4667.24423</v>
      </c>
      <c r="R564" t="n">
        <v>4696.60753</v>
      </c>
      <c r="S564" t="n">
        <v>4723.1963</v>
      </c>
      <c r="V564" t="n">
        <v>4632.30446</v>
      </c>
      <c r="W564" t="n">
        <v>4598.73947</v>
      </c>
      <c r="AB564" t="n">
        <v>4724.07794</v>
      </c>
      <c r="AC564" t="n">
        <v>4723.96435</v>
      </c>
      <c r="AD564" t="n">
        <v>0</v>
      </c>
      <c r="AK564" t="n">
        <v>562</v>
      </c>
      <c r="AL564" t="n">
        <v>561</v>
      </c>
      <c r="AM564" t="n">
        <v>4723.06</v>
      </c>
      <c r="AN564" t="n">
        <v>4667.2442</v>
      </c>
      <c r="AO564" t="n">
        <v>55.8158</v>
      </c>
      <c r="AP564" t="n">
        <v>3115.4002</v>
      </c>
      <c r="AQ564" t="n">
        <v>4.000243</v>
      </c>
      <c r="AR564" t="n">
        <v>6.350118</v>
      </c>
      <c r="AY564" t="n">
        <v>562</v>
      </c>
      <c r="AZ564" t="n">
        <v>561</v>
      </c>
      <c r="BA564" t="n">
        <v>4723.06</v>
      </c>
      <c r="BB564" t="n">
        <v>4667.2442</v>
      </c>
      <c r="BC564" t="n">
        <v>55.8158</v>
      </c>
      <c r="BD564" t="n">
        <v>3115.4002</v>
      </c>
      <c r="BE564" t="n">
        <v>314721</v>
      </c>
    </row>
    <row r="565">
      <c r="A565" t="n">
        <v>1777051802</v>
      </c>
      <c r="B565" t="inlineStr">
        <is>
          <t>XAUUSD</t>
        </is>
      </c>
      <c r="C565" t="inlineStr">
        <is>
          <t>M15</t>
        </is>
      </c>
      <c r="D565" t="n">
        <v>4722.48</v>
      </c>
      <c r="E565" t="n">
        <v>4518.59282</v>
      </c>
      <c r="F565" t="n">
        <v>4596.05595</v>
      </c>
      <c r="G565" t="n">
        <v>4755.40355</v>
      </c>
      <c r="H565" t="n">
        <v>4792.76972</v>
      </c>
      <c r="Q565" t="n">
        <v>4666.97663</v>
      </c>
      <c r="R565" t="n">
        <v>4696.33993</v>
      </c>
      <c r="S565" t="n">
        <v>4722.9287</v>
      </c>
      <c r="V565" t="n">
        <v>4632.03686</v>
      </c>
      <c r="W565" t="n">
        <v>4598.47186</v>
      </c>
      <c r="AB565" t="n">
        <v>4723.85954</v>
      </c>
      <c r="AC565" t="n">
        <v>4723.91195</v>
      </c>
      <c r="AD565" t="n">
        <v>1</v>
      </c>
      <c r="AK565" t="n">
        <v>563</v>
      </c>
      <c r="AL565" t="n">
        <v>562</v>
      </c>
      <c r="AM565" t="n">
        <v>4722.48</v>
      </c>
      <c r="AN565" t="n">
        <v>4666.9766</v>
      </c>
      <c r="AO565" t="n">
        <v>55.5034</v>
      </c>
      <c r="AP565" t="n">
        <v>3080.6241</v>
      </c>
      <c r="AQ565" t="n">
        <v>3.93345</v>
      </c>
      <c r="AR565" t="n">
        <v>6.209141</v>
      </c>
      <c r="AY565" t="n">
        <v>563</v>
      </c>
      <c r="AZ565" t="n">
        <v>562</v>
      </c>
      <c r="BA565" t="n">
        <v>4722.48</v>
      </c>
      <c r="BB565" t="n">
        <v>4666.9766</v>
      </c>
      <c r="BC565" t="n">
        <v>55.5034</v>
      </c>
      <c r="BD565" t="n">
        <v>3080.6241</v>
      </c>
      <c r="BE565" t="n">
        <v>315844</v>
      </c>
    </row>
    <row r="566">
      <c r="A566" t="n">
        <v>1777052702</v>
      </c>
      <c r="B566" t="inlineStr">
        <is>
          <t>XAUUSD</t>
        </is>
      </c>
      <c r="C566" t="inlineStr">
        <is>
          <t>M15</t>
        </is>
      </c>
      <c r="D566" t="n">
        <v>4723.38</v>
      </c>
      <c r="E566" t="n">
        <v>4518.59282</v>
      </c>
      <c r="F566" t="n">
        <v>4596.05595</v>
      </c>
      <c r="G566" t="n">
        <v>4755.40355</v>
      </c>
      <c r="H566" t="n">
        <v>4792.76972</v>
      </c>
      <c r="Q566" t="n">
        <v>4666.70902</v>
      </c>
      <c r="R566" t="n">
        <v>4696.07232</v>
      </c>
      <c r="S566" t="n">
        <v>4722.66109</v>
      </c>
      <c r="V566" t="n">
        <v>4631.76925</v>
      </c>
      <c r="W566" t="n">
        <v>4598.20426</v>
      </c>
      <c r="AB566" t="n">
        <v>4723.3713</v>
      </c>
      <c r="AC566" t="n">
        <v>4723.64162</v>
      </c>
      <c r="AD566" t="n">
        <v>0</v>
      </c>
      <c r="AK566" t="n">
        <v>564</v>
      </c>
      <c r="AL566" t="n">
        <v>563</v>
      </c>
      <c r="AM566" t="n">
        <v>4723.38</v>
      </c>
      <c r="AN566" t="n">
        <v>4666.709</v>
      </c>
      <c r="AO566" t="n">
        <v>56.671</v>
      </c>
      <c r="AP566" t="n">
        <v>3211.6</v>
      </c>
      <c r="AQ566" t="n">
        <v>4.18695</v>
      </c>
      <c r="AR566" t="n">
        <v>6.748341</v>
      </c>
      <c r="AY566" t="n">
        <v>564</v>
      </c>
      <c r="AZ566" t="n">
        <v>563</v>
      </c>
      <c r="BA566" t="n">
        <v>4723.38</v>
      </c>
      <c r="BB566" t="n">
        <v>4666.709</v>
      </c>
      <c r="BC566" t="n">
        <v>56.671</v>
      </c>
      <c r="BD566" t="n">
        <v>3211.6</v>
      </c>
      <c r="BE566" t="n">
        <v>316969</v>
      </c>
    </row>
    <row r="567">
      <c r="A567" t="n">
        <v>1777053602</v>
      </c>
      <c r="B567" t="inlineStr">
        <is>
          <t>XAUUSD</t>
        </is>
      </c>
      <c r="C567" t="inlineStr">
        <is>
          <t>M15</t>
        </is>
      </c>
      <c r="D567" t="n">
        <v>4723.94</v>
      </c>
      <c r="E567" t="n">
        <v>4518.59282</v>
      </c>
      <c r="F567" t="n">
        <v>4596.05595</v>
      </c>
      <c r="G567" t="n">
        <v>4755.40355</v>
      </c>
      <c r="H567" t="n">
        <v>4792.76972</v>
      </c>
      <c r="Q567" t="n">
        <v>4666.44142</v>
      </c>
      <c r="R567" t="n">
        <v>4695.80472</v>
      </c>
      <c r="S567" t="n">
        <v>4722.39349</v>
      </c>
      <c r="V567" t="n">
        <v>4631.50165</v>
      </c>
      <c r="W567" t="n">
        <v>4597.93665</v>
      </c>
      <c r="AB567" t="n">
        <v>4722.649</v>
      </c>
      <c r="AC567" t="n">
        <v>4723.14531</v>
      </c>
      <c r="AD567" t="n">
        <v>0</v>
      </c>
      <c r="AK567" t="n">
        <v>565</v>
      </c>
      <c r="AL567" t="n">
        <v>564</v>
      </c>
      <c r="AM567" t="n">
        <v>4723.94</v>
      </c>
      <c r="AN567" t="n">
        <v>4666.4414</v>
      </c>
      <c r="AO567" t="n">
        <v>57.4986</v>
      </c>
      <c r="AP567" t="n">
        <v>3306.0867</v>
      </c>
      <c r="AQ567" t="n">
        <v>4.373075</v>
      </c>
      <c r="AR567" t="n">
        <v>7.15126</v>
      </c>
      <c r="AY567" t="n">
        <v>565</v>
      </c>
      <c r="AZ567" t="n">
        <v>564</v>
      </c>
      <c r="BA567" t="n">
        <v>4723.94</v>
      </c>
      <c r="BB567" t="n">
        <v>4666.4414</v>
      </c>
      <c r="BC567" t="n">
        <v>57.4986</v>
      </c>
      <c r="BD567" t="n">
        <v>3306.0867</v>
      </c>
      <c r="BE567" t="n">
        <v>318096</v>
      </c>
    </row>
    <row r="568">
      <c r="A568" t="n">
        <v>1777054502</v>
      </c>
      <c r="B568" t="inlineStr">
        <is>
          <t>XAUUSD</t>
        </is>
      </c>
      <c r="C568" t="inlineStr">
        <is>
          <t>M15</t>
        </is>
      </c>
      <c r="D568" t="n">
        <v>4717.26</v>
      </c>
      <c r="E568" t="n">
        <v>4518.59282</v>
      </c>
      <c r="F568" t="n">
        <v>4596.05595</v>
      </c>
      <c r="G568" t="n">
        <v>4755.40355</v>
      </c>
      <c r="H568" t="n">
        <v>4792.76972</v>
      </c>
      <c r="Q568" t="n">
        <v>4666.17382</v>
      </c>
      <c r="R568" t="n">
        <v>4695.53712</v>
      </c>
      <c r="S568" t="n">
        <v>4722.12589</v>
      </c>
      <c r="V568" t="n">
        <v>4631.23405</v>
      </c>
      <c r="W568" t="n">
        <v>4597.66905</v>
      </c>
      <c r="AB568" t="n">
        <v>4721.79404</v>
      </c>
      <c r="AC568" t="n">
        <v>4722.46968</v>
      </c>
      <c r="AD568" t="n">
        <v>0</v>
      </c>
      <c r="AK568" t="n">
        <v>566</v>
      </c>
      <c r="AL568" t="n">
        <v>565</v>
      </c>
      <c r="AM568" t="n">
        <v>4717.26</v>
      </c>
      <c r="AN568" t="n">
        <v>4666.1738</v>
      </c>
      <c r="AO568" t="n">
        <v>51.0862</v>
      </c>
      <c r="AP568" t="n">
        <v>2609.7978</v>
      </c>
      <c r="AQ568" t="n">
        <v>3.067085</v>
      </c>
      <c r="AR568" t="n">
        <v>4.456232</v>
      </c>
      <c r="AY568" t="n">
        <v>566</v>
      </c>
      <c r="AZ568" t="n">
        <v>565</v>
      </c>
      <c r="BA568" t="n">
        <v>4717.26</v>
      </c>
      <c r="BB568" t="n">
        <v>4666.1738</v>
      </c>
      <c r="BC568" t="n">
        <v>51.0862</v>
      </c>
      <c r="BD568" t="n">
        <v>2609.7978</v>
      </c>
      <c r="BE568" t="n">
        <v>319225</v>
      </c>
    </row>
    <row r="569">
      <c r="A569" t="n">
        <v>1777055402</v>
      </c>
      <c r="B569" t="inlineStr">
        <is>
          <t>XAUUSD</t>
        </is>
      </c>
      <c r="C569" t="inlineStr">
        <is>
          <t>M15</t>
        </is>
      </c>
      <c r="D569" t="n">
        <v>4718.98</v>
      </c>
      <c r="E569" t="n">
        <v>4518.59282</v>
      </c>
      <c r="F569" t="n">
        <v>4596.05595</v>
      </c>
      <c r="G569" t="n">
        <v>4755.40355</v>
      </c>
      <c r="H569" t="n">
        <v>4792.76972</v>
      </c>
      <c r="Q569" t="n">
        <v>4665.90621</v>
      </c>
      <c r="R569" t="n">
        <v>4695.26951</v>
      </c>
      <c r="S569" t="n">
        <v>4721.85828</v>
      </c>
      <c r="V569" t="n">
        <v>4630.96644</v>
      </c>
      <c r="W569" t="n">
        <v>4597.40145</v>
      </c>
      <c r="AB569" t="n">
        <v>4721.09485</v>
      </c>
      <c r="AC569" t="n">
        <v>4721.78226</v>
      </c>
      <c r="AD569" t="n">
        <v>0</v>
      </c>
      <c r="AK569" t="n">
        <v>567</v>
      </c>
      <c r="AL569" t="n">
        <v>566</v>
      </c>
      <c r="AM569" t="n">
        <v>4718.98</v>
      </c>
      <c r="AN569" t="n">
        <v>4665.9062</v>
      </c>
      <c r="AO569" t="n">
        <v>53.0738</v>
      </c>
      <c r="AP569" t="n">
        <v>2816.8272</v>
      </c>
      <c r="AQ569" t="n">
        <v>3.439188</v>
      </c>
      <c r="AR569" t="n">
        <v>5.191281</v>
      </c>
      <c r="AY569" t="n">
        <v>567</v>
      </c>
      <c r="AZ569" t="n">
        <v>566</v>
      </c>
      <c r="BA569" t="n">
        <v>4718.98</v>
      </c>
      <c r="BB569" t="n">
        <v>4665.9062</v>
      </c>
      <c r="BC569" t="n">
        <v>53.0738</v>
      </c>
      <c r="BD569" t="n">
        <v>2816.8272</v>
      </c>
      <c r="BE569" t="n">
        <v>320356</v>
      </c>
    </row>
    <row r="570">
      <c r="A570" t="n">
        <v>1777056302</v>
      </c>
      <c r="B570" t="inlineStr">
        <is>
          <t>XAUUSD</t>
        </is>
      </c>
      <c r="C570" t="inlineStr">
        <is>
          <t>M15</t>
        </is>
      </c>
      <c r="D570" t="n">
        <v>4722.91</v>
      </c>
      <c r="E570" t="n">
        <v>4518.59282</v>
      </c>
      <c r="F570" t="n">
        <v>4596.05595</v>
      </c>
      <c r="G570" t="n">
        <v>4755.40355</v>
      </c>
      <c r="H570" t="n">
        <v>4792.76972</v>
      </c>
      <c r="Q570" t="n">
        <v>4665.63861</v>
      </c>
      <c r="R570" t="n">
        <v>4695.00191</v>
      </c>
      <c r="S570" t="n">
        <v>4721.59068</v>
      </c>
      <c r="V570" t="n">
        <v>4630.69884</v>
      </c>
      <c r="W570" t="n">
        <v>4597.13384</v>
      </c>
      <c r="AB570" t="n">
        <v>4720.49046</v>
      </c>
      <c r="AC570" t="n">
        <v>4721.13636</v>
      </c>
      <c r="AD570" t="n">
        <v>0</v>
      </c>
      <c r="AK570" t="n">
        <v>568</v>
      </c>
      <c r="AL570" t="n">
        <v>567</v>
      </c>
      <c r="AM570" t="n">
        <v>4722.91</v>
      </c>
      <c r="AN570" t="n">
        <v>4665.6386</v>
      </c>
      <c r="AO570" t="n">
        <v>57.2714</v>
      </c>
      <c r="AP570" t="n">
        <v>3280.0121</v>
      </c>
      <c r="AQ570" t="n">
        <v>4.321443</v>
      </c>
      <c r="AR570" t="n">
        <v>7.038903</v>
      </c>
      <c r="AY570" t="n">
        <v>568</v>
      </c>
      <c r="AZ570" t="n">
        <v>567</v>
      </c>
      <c r="BA570" t="n">
        <v>4722.91</v>
      </c>
      <c r="BB570" t="n">
        <v>4665.6386</v>
      </c>
      <c r="BC570" t="n">
        <v>57.2714</v>
      </c>
      <c r="BD570" t="n">
        <v>3280.0121</v>
      </c>
      <c r="BE570" t="n">
        <v>321489</v>
      </c>
    </row>
    <row r="571">
      <c r="A571" t="n">
        <v>1777057202</v>
      </c>
      <c r="B571" t="inlineStr">
        <is>
          <t>XAUUSD</t>
        </is>
      </c>
      <c r="C571" t="inlineStr">
        <is>
          <t>M15</t>
        </is>
      </c>
      <c r="D571" t="n">
        <v>4722.47</v>
      </c>
      <c r="E571" t="n">
        <v>4518.59282</v>
      </c>
      <c r="F571" t="n">
        <v>4596.05595</v>
      </c>
      <c r="G571" t="n">
        <v>4755.40355</v>
      </c>
      <c r="H571" t="n">
        <v>4792.76972</v>
      </c>
      <c r="Q571" t="n">
        <v>4665.371</v>
      </c>
      <c r="R571" t="n">
        <v>4694.7343</v>
      </c>
      <c r="S571" t="n">
        <v>4721.32307</v>
      </c>
      <c r="V571" t="n">
        <v>4630.43123</v>
      </c>
      <c r="W571" t="n">
        <v>4596.86624</v>
      </c>
      <c r="AB571" t="n">
        <v>4719.74574</v>
      </c>
      <c r="AC571" t="n">
        <v>4720.44105</v>
      </c>
      <c r="AD571" t="n">
        <v>0</v>
      </c>
      <c r="AK571" t="n">
        <v>569</v>
      </c>
      <c r="AL571" t="n">
        <v>568</v>
      </c>
      <c r="AM571" t="n">
        <v>4722.47</v>
      </c>
      <c r="AN571" t="n">
        <v>4665.371</v>
      </c>
      <c r="AO571" t="n">
        <v>57.099</v>
      </c>
      <c r="AP571" t="n">
        <v>3260.2958</v>
      </c>
      <c r="AQ571" t="n">
        <v>4.282537</v>
      </c>
      <c r="AR571" t="n">
        <v>6.954535</v>
      </c>
      <c r="AY571" t="n">
        <v>569</v>
      </c>
      <c r="AZ571" t="n">
        <v>568</v>
      </c>
      <c r="BA571" t="n">
        <v>4722.47</v>
      </c>
      <c r="BB571" t="n">
        <v>4665.371</v>
      </c>
      <c r="BC571" t="n">
        <v>57.099</v>
      </c>
      <c r="BD571" t="n">
        <v>3260.2958</v>
      </c>
      <c r="BE571" t="n">
        <v>322624</v>
      </c>
    </row>
    <row r="572">
      <c r="A572" t="n">
        <v>1777058102</v>
      </c>
      <c r="B572" t="inlineStr">
        <is>
          <t>XAUUSD</t>
        </is>
      </c>
      <c r="C572" t="inlineStr">
        <is>
          <t>M15</t>
        </is>
      </c>
      <c r="D572" t="n">
        <v>4719.08</v>
      </c>
      <c r="E572" t="n">
        <v>4518.59282</v>
      </c>
      <c r="F572" t="n">
        <v>4596.05595</v>
      </c>
      <c r="G572" t="n">
        <v>4755.40355</v>
      </c>
      <c r="H572" t="n">
        <v>4792.76972</v>
      </c>
      <c r="Q572" t="n">
        <v>4665.1034</v>
      </c>
      <c r="R572" t="n">
        <v>4694.4667</v>
      </c>
      <c r="S572" t="n">
        <v>4721.05547</v>
      </c>
      <c r="V572" t="n">
        <v>4630.16363</v>
      </c>
      <c r="W572" t="n">
        <v>4596.59863</v>
      </c>
      <c r="AB572" t="n">
        <v>4718.68756</v>
      </c>
      <c r="AC572" t="n">
        <v>4719.56431</v>
      </c>
      <c r="AD572" t="n">
        <v>0</v>
      </c>
      <c r="AK572" t="n">
        <v>570</v>
      </c>
      <c r="AL572" t="n">
        <v>569</v>
      </c>
      <c r="AM572" t="n">
        <v>4719.08</v>
      </c>
      <c r="AN572" t="n">
        <v>4665.1034</v>
      </c>
      <c r="AO572" t="n">
        <v>53.9766</v>
      </c>
      <c r="AP572" t="n">
        <v>2913.4733</v>
      </c>
      <c r="AQ572" t="n">
        <v>3.617697</v>
      </c>
      <c r="AR572" t="n">
        <v>5.553621</v>
      </c>
      <c r="AY572" t="n">
        <v>570</v>
      </c>
      <c r="AZ572" t="n">
        <v>569</v>
      </c>
      <c r="BA572" t="n">
        <v>4719.08</v>
      </c>
      <c r="BB572" t="n">
        <v>4665.1034</v>
      </c>
      <c r="BC572" t="n">
        <v>53.9766</v>
      </c>
      <c r="BD572" t="n">
        <v>2913.4733</v>
      </c>
      <c r="BE572" t="n">
        <v>323761</v>
      </c>
    </row>
    <row r="573">
      <c r="A573" t="n">
        <v>1777059002</v>
      </c>
      <c r="B573" t="inlineStr">
        <is>
          <t>XAUUSD</t>
        </is>
      </c>
      <c r="C573" t="inlineStr">
        <is>
          <t>M15</t>
        </is>
      </c>
      <c r="D573" t="n">
        <v>4716.82</v>
      </c>
      <c r="E573" t="n">
        <v>4518.59282</v>
      </c>
      <c r="F573" t="n">
        <v>4596.05595</v>
      </c>
      <c r="G573" t="n">
        <v>4755.40355</v>
      </c>
      <c r="H573" t="n">
        <v>4792.76972</v>
      </c>
      <c r="Q573" t="n">
        <v>4664.8358</v>
      </c>
      <c r="R573" t="n">
        <v>4694.1991</v>
      </c>
      <c r="S573" t="n">
        <v>4720.78787</v>
      </c>
      <c r="V573" t="n">
        <v>4629.89603</v>
      </c>
      <c r="W573" t="n">
        <v>4596.33103</v>
      </c>
      <c r="AB573" t="n">
        <v>4717.19394</v>
      </c>
      <c r="AC573" t="n">
        <v>4718.37912</v>
      </c>
      <c r="AD573" t="n">
        <v>0</v>
      </c>
      <c r="AK573" t="n">
        <v>571</v>
      </c>
      <c r="AL573" t="n">
        <v>570</v>
      </c>
      <c r="AM573" t="n">
        <v>4716.82</v>
      </c>
      <c r="AN573" t="n">
        <v>4664.8358</v>
      </c>
      <c r="AO573" t="n">
        <v>51.9842</v>
      </c>
      <c r="AP573" t="n">
        <v>2702.357</v>
      </c>
      <c r="AQ573" t="n">
        <v>3.23169</v>
      </c>
      <c r="AR573" t="n">
        <v>4.777928</v>
      </c>
      <c r="AY573" t="n">
        <v>571</v>
      </c>
      <c r="AZ573" t="n">
        <v>570</v>
      </c>
      <c r="BA573" t="n">
        <v>4716.82</v>
      </c>
      <c r="BB573" t="n">
        <v>4664.8358</v>
      </c>
      <c r="BC573" t="n">
        <v>51.9842</v>
      </c>
      <c r="BD573" t="n">
        <v>2702.357</v>
      </c>
      <c r="BE573" t="n">
        <v>324900</v>
      </c>
    </row>
    <row r="574">
      <c r="A574" t="n">
        <v>1777059902</v>
      </c>
      <c r="B574" t="inlineStr">
        <is>
          <t>XAUUSD</t>
        </is>
      </c>
      <c r="C574" t="inlineStr">
        <is>
          <t>M15</t>
        </is>
      </c>
      <c r="D574" t="n">
        <v>4717.02</v>
      </c>
      <c r="E574" t="n">
        <v>4518.59282</v>
      </c>
      <c r="F574" t="n">
        <v>4596.05595</v>
      </c>
      <c r="G574" t="n">
        <v>4755.40355</v>
      </c>
      <c r="H574" t="n">
        <v>4792.76972</v>
      </c>
      <c r="Q574" t="n">
        <v>4664.56819</v>
      </c>
      <c r="R574" t="n">
        <v>4693.93149</v>
      </c>
      <c r="S574" t="n">
        <v>4720.52026</v>
      </c>
      <c r="V574" t="n">
        <v>4629.62842</v>
      </c>
      <c r="W574" t="n">
        <v>4596.06343</v>
      </c>
      <c r="AB574" t="n">
        <v>4715.08967</v>
      </c>
      <c r="AC574" t="n">
        <v>4716.7344</v>
      </c>
      <c r="AD574" t="n">
        <v>0</v>
      </c>
      <c r="AK574" t="n">
        <v>572</v>
      </c>
      <c r="AL574" t="n">
        <v>571</v>
      </c>
      <c r="AM574" t="n">
        <v>4717.02</v>
      </c>
      <c r="AN574" t="n">
        <v>4664.5682</v>
      </c>
      <c r="AO574" t="n">
        <v>52.4518</v>
      </c>
      <c r="AP574" t="n">
        <v>2751.1924</v>
      </c>
      <c r="AQ574" t="n">
        <v>3.319686</v>
      </c>
      <c r="AR574" t="n">
        <v>4.952176</v>
      </c>
      <c r="AY574" t="n">
        <v>572</v>
      </c>
      <c r="AZ574" t="n">
        <v>571</v>
      </c>
      <c r="BA574" t="n">
        <v>4717.02</v>
      </c>
      <c r="BB574" t="n">
        <v>4664.5682</v>
      </c>
      <c r="BC574" t="n">
        <v>52.4518</v>
      </c>
      <c r="BD574" t="n">
        <v>2751.1924</v>
      </c>
      <c r="BE574" t="n">
        <v>326041</v>
      </c>
    </row>
    <row r="575">
      <c r="A575" t="n">
        <v>1777060802</v>
      </c>
      <c r="B575" t="inlineStr">
        <is>
          <t>XAUUSD</t>
        </is>
      </c>
      <c r="C575" t="inlineStr">
        <is>
          <t>M15</t>
        </is>
      </c>
      <c r="D575" t="n">
        <v>4706.56</v>
      </c>
      <c r="E575" t="n">
        <v>4518.59282</v>
      </c>
      <c r="F575" t="n">
        <v>4596.05595</v>
      </c>
      <c r="G575" t="n">
        <v>4755.40355</v>
      </c>
      <c r="H575" t="n">
        <v>4792.76972</v>
      </c>
      <c r="Q575" t="n">
        <v>4664.30059</v>
      </c>
      <c r="R575" t="n">
        <v>4693.66389</v>
      </c>
      <c r="S575" t="n">
        <v>4720.25266</v>
      </c>
      <c r="V575" t="n">
        <v>4629.36082</v>
      </c>
      <c r="W575" t="n">
        <v>4595.79582</v>
      </c>
      <c r="AB575" t="n">
        <v>4712.17613</v>
      </c>
      <c r="AC575" t="n">
        <v>4714.45526</v>
      </c>
      <c r="AD575" t="n">
        <v>0</v>
      </c>
      <c r="AK575" t="n">
        <v>573</v>
      </c>
      <c r="AL575" t="n">
        <v>572</v>
      </c>
      <c r="AM575" t="n">
        <v>4706.56</v>
      </c>
      <c r="AN575" t="n">
        <v>4664.3006</v>
      </c>
      <c r="AO575" t="n">
        <v>42.2594</v>
      </c>
      <c r="AP575" t="n">
        <v>1785.8577</v>
      </c>
      <c r="AQ575" t="n">
        <v>1.736145</v>
      </c>
      <c r="AR575" t="n">
        <v>2.086641</v>
      </c>
      <c r="AY575" t="n">
        <v>573</v>
      </c>
      <c r="AZ575" t="n">
        <v>572</v>
      </c>
      <c r="BA575" t="n">
        <v>4706.56</v>
      </c>
      <c r="BB575" t="n">
        <v>4664.3006</v>
      </c>
      <c r="BC575" t="n">
        <v>42.2594</v>
      </c>
      <c r="BD575" t="n">
        <v>1785.8577</v>
      </c>
      <c r="BE575" t="n">
        <v>327184</v>
      </c>
    </row>
    <row r="576">
      <c r="A576" t="n">
        <v>1777061702</v>
      </c>
      <c r="B576" t="inlineStr">
        <is>
          <t>XAUUSD</t>
        </is>
      </c>
      <c r="C576" t="inlineStr">
        <is>
          <t>M15</t>
        </is>
      </c>
      <c r="D576" t="n">
        <v>4708.18</v>
      </c>
      <c r="E576" t="n">
        <v>4518.59282</v>
      </c>
      <c r="F576" t="n">
        <v>4596.05595</v>
      </c>
      <c r="G576" t="n">
        <v>4755.40355</v>
      </c>
      <c r="H576" t="n">
        <v>4792.76972</v>
      </c>
      <c r="Q576" t="n">
        <v>4664.03298</v>
      </c>
      <c r="R576" t="n">
        <v>4693.39628</v>
      </c>
      <c r="S576" t="n">
        <v>4719.98505</v>
      </c>
      <c r="V576" t="n">
        <v>4629.09321</v>
      </c>
      <c r="W576" t="n">
        <v>4595.52822</v>
      </c>
      <c r="AB576" t="n">
        <v>4708.64593</v>
      </c>
      <c r="AC576" t="n">
        <v>4711.5506</v>
      </c>
      <c r="AD576" t="n">
        <v>0</v>
      </c>
      <c r="AK576" t="n">
        <v>574</v>
      </c>
      <c r="AL576" t="n">
        <v>573</v>
      </c>
      <c r="AM576" t="n">
        <v>4708.18</v>
      </c>
      <c r="AN576" t="n">
        <v>4664.033</v>
      </c>
      <c r="AO576" t="n">
        <v>44.147</v>
      </c>
      <c r="AP576" t="n">
        <v>1948.9594</v>
      </c>
      <c r="AQ576" t="n">
        <v>1.979337</v>
      </c>
      <c r="AR576" t="n">
        <v>2.485191</v>
      </c>
      <c r="AY576" t="n">
        <v>574</v>
      </c>
      <c r="AZ576" t="n">
        <v>573</v>
      </c>
      <c r="BA576" t="n">
        <v>4708.18</v>
      </c>
      <c r="BB576" t="n">
        <v>4664.033</v>
      </c>
      <c r="BC576" t="n">
        <v>44.147</v>
      </c>
      <c r="BD576" t="n">
        <v>1948.9594</v>
      </c>
      <c r="BE576" t="n">
        <v>328329</v>
      </c>
    </row>
    <row r="577">
      <c r="A577" t="n">
        <v>1777062602</v>
      </c>
      <c r="B577" t="inlineStr">
        <is>
          <t>XAUUSD</t>
        </is>
      </c>
      <c r="C577" t="inlineStr">
        <is>
          <t>M15</t>
        </is>
      </c>
      <c r="D577" t="n">
        <v>4707.61</v>
      </c>
      <c r="E577" t="n">
        <v>4518.59282</v>
      </c>
      <c r="F577" t="n">
        <v>4596.05595</v>
      </c>
      <c r="G577" t="n">
        <v>4755.40355</v>
      </c>
      <c r="H577" t="n">
        <v>4792.76972</v>
      </c>
      <c r="Q577" t="n">
        <v>4663.76538</v>
      </c>
      <c r="R577" t="n">
        <v>4693.12868</v>
      </c>
      <c r="S577" t="n">
        <v>4719.71745</v>
      </c>
      <c r="V577" t="n">
        <v>4628.82561</v>
      </c>
      <c r="W577" t="n">
        <v>4595.26061</v>
      </c>
      <c r="AB577" t="n">
        <v>4704.42352</v>
      </c>
      <c r="AC577" t="n">
        <v>4707.98706</v>
      </c>
      <c r="AD577" t="n">
        <v>0</v>
      </c>
      <c r="AK577" t="n">
        <v>575</v>
      </c>
      <c r="AL577" t="n">
        <v>574</v>
      </c>
      <c r="AM577" t="n">
        <v>4707.61</v>
      </c>
      <c r="AN577" t="n">
        <v>4663.7654</v>
      </c>
      <c r="AO577" t="n">
        <v>43.8446</v>
      </c>
      <c r="AP577" t="n">
        <v>1922.3507</v>
      </c>
      <c r="AQ577" t="n">
        <v>1.938941</v>
      </c>
      <c r="AR577" t="n">
        <v>2.417794</v>
      </c>
      <c r="AY577" t="n">
        <v>575</v>
      </c>
      <c r="AZ577" t="n">
        <v>574</v>
      </c>
      <c r="BA577" t="n">
        <v>4707.61</v>
      </c>
      <c r="BB577" t="n">
        <v>4663.7654</v>
      </c>
      <c r="BC577" t="n">
        <v>43.8446</v>
      </c>
      <c r="BD577" t="n">
        <v>1922.3507</v>
      </c>
      <c r="BE577" t="n">
        <v>329476</v>
      </c>
    </row>
    <row r="578">
      <c r="A578" t="n">
        <v>1777063502</v>
      </c>
      <c r="B578" t="inlineStr">
        <is>
          <t>XAUUSD</t>
        </is>
      </c>
      <c r="C578" t="inlineStr">
        <is>
          <t>M15</t>
        </is>
      </c>
      <c r="D578" t="n">
        <v>4708.24</v>
      </c>
      <c r="E578" t="n">
        <v>4518.59282</v>
      </c>
      <c r="F578" t="n">
        <v>4596.05595</v>
      </c>
      <c r="G578" t="n">
        <v>4755.40355</v>
      </c>
      <c r="H578" t="n">
        <v>4792.76972</v>
      </c>
      <c r="Q578" t="n">
        <v>4663.49778</v>
      </c>
      <c r="R578" t="n">
        <v>4692.86107</v>
      </c>
      <c r="S578" t="n">
        <v>4719.44985</v>
      </c>
      <c r="V578" t="n">
        <v>4628.55801</v>
      </c>
      <c r="W578" t="n">
        <v>4594.99301</v>
      </c>
      <c r="AB578" t="n">
        <v>4699.60235</v>
      </c>
      <c r="AC578" t="n">
        <v>4703.7947</v>
      </c>
      <c r="AD578" t="n">
        <v>0</v>
      </c>
      <c r="AK578" t="n">
        <v>576</v>
      </c>
      <c r="AL578" t="n">
        <v>575</v>
      </c>
      <c r="AM578" t="n">
        <v>4708.24</v>
      </c>
      <c r="AN578" t="n">
        <v>4663.4978</v>
      </c>
      <c r="AO578" t="n">
        <v>44.7422</v>
      </c>
      <c r="AP578" t="n">
        <v>2001.8663</v>
      </c>
      <c r="AQ578" t="n">
        <v>2.060479</v>
      </c>
      <c r="AR578" t="n">
        <v>2.621949</v>
      </c>
      <c r="AY578" t="n">
        <v>576</v>
      </c>
      <c r="AZ578" t="n">
        <v>575</v>
      </c>
      <c r="BA578" t="n">
        <v>4708.24</v>
      </c>
      <c r="BB578" t="n">
        <v>4663.4978</v>
      </c>
      <c r="BC578" t="n">
        <v>44.7422</v>
      </c>
      <c r="BD578" t="n">
        <v>2001.8663</v>
      </c>
      <c r="BE578" t="n">
        <v>330625</v>
      </c>
    </row>
    <row r="579">
      <c r="A579" t="n">
        <v>1777240802</v>
      </c>
      <c r="B579" t="inlineStr">
        <is>
          <t>XAUUSD</t>
        </is>
      </c>
      <c r="C579" t="inlineStr">
        <is>
          <t>M15</t>
        </is>
      </c>
      <c r="D579" t="n">
        <v>4685.5</v>
      </c>
      <c r="E579" t="n">
        <v>4518.59282</v>
      </c>
      <c r="F579" t="n">
        <v>4596.05595</v>
      </c>
      <c r="G579" t="n">
        <v>4755.40355</v>
      </c>
      <c r="H579" t="n">
        <v>4792.76972</v>
      </c>
      <c r="Q579" t="n">
        <v>4663.23017</v>
      </c>
      <c r="R579" t="n">
        <v>4692.59347</v>
      </c>
      <c r="S579" t="n">
        <v>4719.18224</v>
      </c>
      <c r="V579" t="n">
        <v>4628.2904</v>
      </c>
      <c r="W579" t="n">
        <v>4594.72541</v>
      </c>
      <c r="AB579" t="n">
        <v>4694.36168</v>
      </c>
      <c r="AC579" t="n">
        <v>4699.07819</v>
      </c>
      <c r="AD579" t="n">
        <v>0</v>
      </c>
      <c r="AK579" t="n">
        <v>577</v>
      </c>
      <c r="AL579" t="n">
        <v>576</v>
      </c>
      <c r="AM579" t="n">
        <v>4685.5</v>
      </c>
      <c r="AN579" t="n">
        <v>4663.2302</v>
      </c>
      <c r="AO579" t="n">
        <v>22.2698</v>
      </c>
      <c r="AP579" t="n">
        <v>495.9453</v>
      </c>
      <c r="AQ579" t="n">
        <v>0.254078</v>
      </c>
      <c r="AR579" t="n">
        <v>0.160924</v>
      </c>
      <c r="AY579" t="n">
        <v>577</v>
      </c>
      <c r="AZ579" t="n">
        <v>576</v>
      </c>
      <c r="BA579" t="n">
        <v>4685.5</v>
      </c>
      <c r="BB579" t="n">
        <v>4663.2302</v>
      </c>
      <c r="BC579" t="n">
        <v>22.2698</v>
      </c>
      <c r="BD579" t="n">
        <v>495.9453</v>
      </c>
      <c r="BE579" t="n">
        <v>331776</v>
      </c>
    </row>
    <row r="580">
      <c r="A580" t="n">
        <v>1777241702</v>
      </c>
      <c r="B580" t="inlineStr">
        <is>
          <t>XAUUSD</t>
        </is>
      </c>
      <c r="C580" t="inlineStr">
        <is>
          <t>M15</t>
        </is>
      </c>
      <c r="D580" t="n">
        <v>4686.88</v>
      </c>
      <c r="E580" t="n">
        <v>4518.59282</v>
      </c>
      <c r="F580" t="n">
        <v>4596.05595</v>
      </c>
      <c r="G580" t="n">
        <v>4755.40355</v>
      </c>
      <c r="H580" t="n">
        <v>4792.76972</v>
      </c>
      <c r="Q580" t="n">
        <v>4662.96257</v>
      </c>
      <c r="R580" t="n">
        <v>4692.32587</v>
      </c>
      <c r="S580" t="n">
        <v>4718.91464</v>
      </c>
      <c r="V580" t="n">
        <v>4628.0228</v>
      </c>
      <c r="W580" t="n">
        <v>4594.4578</v>
      </c>
      <c r="AB580" t="n">
        <v>4689.56991</v>
      </c>
      <c r="AC580" t="n">
        <v>4694.32405</v>
      </c>
      <c r="AD580" t="n">
        <v>0</v>
      </c>
      <c r="AK580" t="n">
        <v>578</v>
      </c>
      <c r="AL580" t="n">
        <v>577</v>
      </c>
      <c r="AM580" t="n">
        <v>4686.88</v>
      </c>
      <c r="AN580" t="n">
        <v>4662.9626</v>
      </c>
      <c r="AO580" t="n">
        <v>23.9174</v>
      </c>
      <c r="AP580" t="n">
        <v>572.0435</v>
      </c>
      <c r="AQ580" t="n">
        <v>0.314745</v>
      </c>
      <c r="AR580" t="n">
        <v>0.214098</v>
      </c>
      <c r="AY580" t="n">
        <v>578</v>
      </c>
      <c r="AZ580" t="n">
        <v>577</v>
      </c>
      <c r="BA580" t="n">
        <v>4686.88</v>
      </c>
      <c r="BB580" t="n">
        <v>4662.9626</v>
      </c>
      <c r="BC580" t="n">
        <v>23.9174</v>
      </c>
      <c r="BD580" t="n">
        <v>572.0435</v>
      </c>
      <c r="BE580" t="n">
        <v>332929</v>
      </c>
    </row>
    <row r="581">
      <c r="A581" t="n">
        <v>1777242602</v>
      </c>
      <c r="B581" t="inlineStr">
        <is>
          <t>XAUUSD</t>
        </is>
      </c>
      <c r="C581" t="inlineStr">
        <is>
          <t>M15</t>
        </is>
      </c>
      <c r="D581" t="n">
        <v>4684.48</v>
      </c>
      <c r="E581" t="n">
        <v>4518.59282</v>
      </c>
      <c r="F581" t="n">
        <v>4596.05595</v>
      </c>
      <c r="G581" t="n">
        <v>4755.40355</v>
      </c>
      <c r="H581" t="n">
        <v>4792.76972</v>
      </c>
      <c r="Q581" t="n">
        <v>4662.69496</v>
      </c>
      <c r="R581" t="n">
        <v>4692.05826</v>
      </c>
      <c r="S581" t="n">
        <v>4718.64703</v>
      </c>
      <c r="V581" t="n">
        <v>4627.75519</v>
      </c>
      <c r="W581" t="n">
        <v>4594.1902</v>
      </c>
      <c r="AB581" t="n">
        <v>4685.41227</v>
      </c>
      <c r="AC581" t="n">
        <v>4689.86816</v>
      </c>
      <c r="AD581" t="n">
        <v>0</v>
      </c>
      <c r="AK581" t="n">
        <v>579</v>
      </c>
      <c r="AL581" t="n">
        <v>578</v>
      </c>
      <c r="AM581" t="n">
        <v>4684.48</v>
      </c>
      <c r="AN581" t="n">
        <v>4662.695</v>
      </c>
      <c r="AO581" t="n">
        <v>21.785</v>
      </c>
      <c r="AP581" t="n">
        <v>474.588</v>
      </c>
      <c r="AQ581" t="n">
        <v>0.237843</v>
      </c>
      <c r="AR581" t="n">
        <v>0.147363</v>
      </c>
      <c r="AY581" t="n">
        <v>579</v>
      </c>
      <c r="AZ581" t="n">
        <v>578</v>
      </c>
      <c r="BA581" t="n">
        <v>4684.48</v>
      </c>
      <c r="BB581" t="n">
        <v>4662.695</v>
      </c>
      <c r="BC581" t="n">
        <v>21.785</v>
      </c>
      <c r="BD581" t="n">
        <v>474.588</v>
      </c>
      <c r="BE581" t="n">
        <v>334084</v>
      </c>
    </row>
    <row r="582">
      <c r="A582" t="n">
        <v>1777243502</v>
      </c>
      <c r="B582" t="inlineStr">
        <is>
          <t>XAUUSD</t>
        </is>
      </c>
      <c r="C582" t="inlineStr">
        <is>
          <t>M15</t>
        </is>
      </c>
      <c r="D582" t="n">
        <v>4684.52</v>
      </c>
      <c r="E582" t="n">
        <v>4518.59282</v>
      </c>
      <c r="F582" t="n">
        <v>4596.05595</v>
      </c>
      <c r="G582" t="n">
        <v>4755.40355</v>
      </c>
      <c r="H582" t="n">
        <v>4792.76972</v>
      </c>
      <c r="Q582" t="n">
        <v>4662.42736</v>
      </c>
      <c r="R582" t="n">
        <v>4691.79066</v>
      </c>
      <c r="S582" t="n">
        <v>4718.37943</v>
      </c>
      <c r="V582" t="n">
        <v>4627.48759</v>
      </c>
      <c r="W582" t="n">
        <v>4593.92259</v>
      </c>
      <c r="AB582" t="n">
        <v>4682.06813</v>
      </c>
      <c r="AC582" t="n">
        <v>4685.96815</v>
      </c>
      <c r="AD582" t="n">
        <v>0</v>
      </c>
      <c r="AK582" t="n">
        <v>580</v>
      </c>
      <c r="AL582" t="n">
        <v>579</v>
      </c>
      <c r="AM582" t="n">
        <v>4684.52</v>
      </c>
      <c r="AN582" t="n">
        <v>4662.4274</v>
      </c>
      <c r="AO582" t="n">
        <v>22.0926</v>
      </c>
      <c r="AP582" t="n">
        <v>488.0847</v>
      </c>
      <c r="AQ582" t="n">
        <v>0.248061</v>
      </c>
      <c r="AR582" t="n">
        <v>0.155864</v>
      </c>
      <c r="AY582" t="n">
        <v>580</v>
      </c>
      <c r="AZ582" t="n">
        <v>579</v>
      </c>
      <c r="BA582" t="n">
        <v>4684.52</v>
      </c>
      <c r="BB582" t="n">
        <v>4662.4274</v>
      </c>
      <c r="BC582" t="n">
        <v>22.0926</v>
      </c>
      <c r="BD582" t="n">
        <v>488.0847</v>
      </c>
      <c r="BE582" t="n">
        <v>335241</v>
      </c>
    </row>
    <row r="583">
      <c r="A583" t="n">
        <v>1777244402</v>
      </c>
      <c r="B583" t="inlineStr">
        <is>
          <t>XAUUSD</t>
        </is>
      </c>
      <c r="C583" t="inlineStr">
        <is>
          <t>M15</t>
        </is>
      </c>
      <c r="D583" t="n">
        <v>4683.71</v>
      </c>
      <c r="E583" t="n">
        <v>4518.59282</v>
      </c>
      <c r="F583" t="n">
        <v>4596.05595</v>
      </c>
      <c r="G583" t="n">
        <v>4755.40355</v>
      </c>
      <c r="H583" t="n">
        <v>4792.76972</v>
      </c>
      <c r="Q583" t="n">
        <v>4662.15976</v>
      </c>
      <c r="R583" t="n">
        <v>4691.52305</v>
      </c>
      <c r="S583" t="n">
        <v>4718.11182</v>
      </c>
      <c r="V583" t="n">
        <v>4627.21999</v>
      </c>
      <c r="W583" t="n">
        <v>4593.65499</v>
      </c>
      <c r="AB583" t="n">
        <v>4679.64993</v>
      </c>
      <c r="AC583" t="n">
        <v>4682.80904</v>
      </c>
      <c r="AD583" t="n">
        <v>0</v>
      </c>
      <c r="AK583" t="n">
        <v>581</v>
      </c>
      <c r="AL583" t="n">
        <v>580</v>
      </c>
      <c r="AM583" t="n">
        <v>4683.71</v>
      </c>
      <c r="AN583" t="n">
        <v>4662.1598</v>
      </c>
      <c r="AO583" t="n">
        <v>21.5502</v>
      </c>
      <c r="AP583" t="n">
        <v>464.4128</v>
      </c>
      <c r="AQ583" t="n">
        <v>0.230235</v>
      </c>
      <c r="AR583" t="n">
        <v>0.141112</v>
      </c>
      <c r="AY583" t="n">
        <v>581</v>
      </c>
      <c r="AZ583" t="n">
        <v>580</v>
      </c>
      <c r="BA583" t="n">
        <v>4683.71</v>
      </c>
      <c r="BB583" t="n">
        <v>4662.1598</v>
      </c>
      <c r="BC583" t="n">
        <v>21.5502</v>
      </c>
      <c r="BD583" t="n">
        <v>464.4128</v>
      </c>
      <c r="BE583" t="n">
        <v>336400</v>
      </c>
    </row>
    <row r="584">
      <c r="A584" t="n">
        <v>1777245302</v>
      </c>
      <c r="B584" t="inlineStr">
        <is>
          <t>XAUUSD</t>
        </is>
      </c>
      <c r="C584" t="inlineStr">
        <is>
          <t>M15</t>
        </is>
      </c>
      <c r="D584" t="n">
        <v>4677.41</v>
      </c>
      <c r="E584" t="n">
        <v>4518.59282</v>
      </c>
      <c r="F584" t="n">
        <v>4596.05595</v>
      </c>
      <c r="G584" t="n">
        <v>4755.40355</v>
      </c>
      <c r="H584" t="n">
        <v>4792.76972</v>
      </c>
      <c r="Q584" t="n">
        <v>4661.89215</v>
      </c>
      <c r="R584" t="n">
        <v>4691.25545</v>
      </c>
      <c r="S584" t="n">
        <v>4717.84422</v>
      </c>
      <c r="V584" t="n">
        <v>4626.95238</v>
      </c>
      <c r="W584" t="n">
        <v>4593.38738</v>
      </c>
      <c r="AB584" t="n">
        <v>4678.23661</v>
      </c>
      <c r="AC584" t="n">
        <v>4680.52283</v>
      </c>
      <c r="AD584" t="n">
        <v>0</v>
      </c>
      <c r="AK584" t="n">
        <v>582</v>
      </c>
      <c r="AL584" t="n">
        <v>581</v>
      </c>
      <c r="AM584" t="n">
        <v>4677.41</v>
      </c>
      <c r="AN584" t="n">
        <v>4661.8921</v>
      </c>
      <c r="AO584" t="n">
        <v>15.5179</v>
      </c>
      <c r="AP584" t="n">
        <v>240.8037</v>
      </c>
      <c r="AQ584" t="n">
        <v>0.085963</v>
      </c>
      <c r="AR584" t="n">
        <v>0.037939</v>
      </c>
      <c r="AY584" t="n">
        <v>582</v>
      </c>
      <c r="AZ584" t="n">
        <v>581</v>
      </c>
      <c r="BA584" t="n">
        <v>4677.41</v>
      </c>
      <c r="BB584" t="n">
        <v>4661.8921</v>
      </c>
      <c r="BC584" t="n">
        <v>15.5179</v>
      </c>
      <c r="BD584" t="n">
        <v>240.8037</v>
      </c>
      <c r="BE584" t="n">
        <v>337561</v>
      </c>
    </row>
    <row r="585">
      <c r="A585" t="n">
        <v>1777246202</v>
      </c>
      <c r="B585" t="inlineStr">
        <is>
          <t>XAUUSD</t>
        </is>
      </c>
      <c r="C585" t="inlineStr">
        <is>
          <t>M15</t>
        </is>
      </c>
      <c r="D585" t="n">
        <v>4676.93</v>
      </c>
      <c r="E585" t="n">
        <v>4518.59282</v>
      </c>
      <c r="F585" t="n">
        <v>4596.05595</v>
      </c>
      <c r="G585" t="n">
        <v>4755.40355</v>
      </c>
      <c r="H585" t="n">
        <v>4792.76972</v>
      </c>
      <c r="Q585" t="n">
        <v>4661.62455</v>
      </c>
      <c r="R585" t="n">
        <v>4690.98785</v>
      </c>
      <c r="S585" t="n">
        <v>4717.57662</v>
      </c>
      <c r="V585" t="n">
        <v>4626.68478</v>
      </c>
      <c r="W585" t="n">
        <v>4593.11978</v>
      </c>
      <c r="AB585" t="n">
        <v>4678.01111</v>
      </c>
      <c r="AC585" t="n">
        <v>4679.26697</v>
      </c>
      <c r="AD585" t="n">
        <v>0</v>
      </c>
      <c r="AK585" t="n">
        <v>583</v>
      </c>
      <c r="AL585" t="n">
        <v>582</v>
      </c>
      <c r="AM585" t="n">
        <v>4676.93</v>
      </c>
      <c r="AN585" t="n">
        <v>4661.6246</v>
      </c>
      <c r="AO585" t="n">
        <v>15.3054</v>
      </c>
      <c r="AP585" t="n">
        <v>234.2568</v>
      </c>
      <c r="AQ585" t="n">
        <v>0.082481</v>
      </c>
      <c r="AR585" t="n">
        <v>0.035904</v>
      </c>
      <c r="AY585" t="n">
        <v>583</v>
      </c>
      <c r="AZ585" t="n">
        <v>582</v>
      </c>
      <c r="BA585" t="n">
        <v>4676.93</v>
      </c>
      <c r="BB585" t="n">
        <v>4661.6246</v>
      </c>
      <c r="BC585" t="n">
        <v>15.3054</v>
      </c>
      <c r="BD585" t="n">
        <v>234.2568</v>
      </c>
      <c r="BE585" t="n">
        <v>338724</v>
      </c>
    </row>
    <row r="586">
      <c r="A586" t="n">
        <v>1777247102</v>
      </c>
      <c r="B586" t="inlineStr">
        <is>
          <t>XAUUSD</t>
        </is>
      </c>
      <c r="C586" t="inlineStr">
        <is>
          <t>M15</t>
        </is>
      </c>
      <c r="D586" t="n">
        <v>4680.04</v>
      </c>
      <c r="E586" t="n">
        <v>4518.59282</v>
      </c>
      <c r="F586" t="n">
        <v>4596.05595</v>
      </c>
      <c r="G586" t="n">
        <v>4755.40355</v>
      </c>
      <c r="H586" t="n">
        <v>4792.76972</v>
      </c>
      <c r="Q586" t="n">
        <v>4661.35694</v>
      </c>
      <c r="R586" t="n">
        <v>4690.72024</v>
      </c>
      <c r="S586" t="n">
        <v>4717.30901</v>
      </c>
      <c r="V586" t="n">
        <v>4626.41717</v>
      </c>
      <c r="W586" t="n">
        <v>4592.85218</v>
      </c>
      <c r="AB586" t="n">
        <v>4678.92486</v>
      </c>
      <c r="AC586" t="n">
        <v>4679.09592</v>
      </c>
      <c r="AD586" t="n">
        <v>0</v>
      </c>
      <c r="AK586" t="n">
        <v>584</v>
      </c>
      <c r="AL586" t="n">
        <v>583</v>
      </c>
      <c r="AM586" t="n">
        <v>4680.04</v>
      </c>
      <c r="AN586" t="n">
        <v>4661.3569</v>
      </c>
      <c r="AO586" t="n">
        <v>18.6831</v>
      </c>
      <c r="AP586" t="n">
        <v>349.0567</v>
      </c>
      <c r="AQ586" t="n">
        <v>0.150024</v>
      </c>
      <c r="AR586" t="n">
        <v>0.079716</v>
      </c>
      <c r="AY586" t="n">
        <v>584</v>
      </c>
      <c r="AZ586" t="n">
        <v>583</v>
      </c>
      <c r="BA586" t="n">
        <v>4680.04</v>
      </c>
      <c r="BB586" t="n">
        <v>4661.3569</v>
      </c>
      <c r="BC586" t="n">
        <v>18.6831</v>
      </c>
      <c r="BD586" t="n">
        <v>349.0567</v>
      </c>
      <c r="BE586" t="n">
        <v>339889</v>
      </c>
    </row>
    <row r="587">
      <c r="A587" t="n">
        <v>1777248002</v>
      </c>
      <c r="B587" t="inlineStr">
        <is>
          <t>XAUUSD</t>
        </is>
      </c>
      <c r="C587" t="inlineStr">
        <is>
          <t>M15</t>
        </is>
      </c>
      <c r="D587" t="n">
        <v>4679.86</v>
      </c>
      <c r="E587" t="n">
        <v>4518.59282</v>
      </c>
      <c r="F587" t="n">
        <v>4596.05595</v>
      </c>
      <c r="G587" t="n">
        <v>4755.40355</v>
      </c>
      <c r="H587" t="n">
        <v>4792.76972</v>
      </c>
      <c r="Q587" t="n">
        <v>4661.08934</v>
      </c>
      <c r="R587" t="n">
        <v>4690.45264</v>
      </c>
      <c r="S587" t="n">
        <v>4717.04141</v>
      </c>
      <c r="V587" t="n">
        <v>4626.14957</v>
      </c>
      <c r="W587" t="n">
        <v>4592.58457</v>
      </c>
      <c r="AA587" t="n">
        <v>4672.35</v>
      </c>
      <c r="AB587" t="n">
        <v>4680.76262</v>
      </c>
      <c r="AC587" t="n">
        <v>4679.92927</v>
      </c>
      <c r="AD587" t="n">
        <v>1</v>
      </c>
      <c r="AK587" t="n">
        <v>585</v>
      </c>
      <c r="AL587" t="n">
        <v>584</v>
      </c>
      <c r="AM587" t="n">
        <v>4679.86</v>
      </c>
      <c r="AN587" t="n">
        <v>4661.0893</v>
      </c>
      <c r="AO587" t="n">
        <v>18.7707</v>
      </c>
      <c r="AP587" t="n">
        <v>352.3377</v>
      </c>
      <c r="AQ587" t="n">
        <v>0.152144</v>
      </c>
      <c r="AR587" t="n">
        <v>0.081222</v>
      </c>
      <c r="AY587" t="n">
        <v>585</v>
      </c>
      <c r="AZ587" t="n">
        <v>584</v>
      </c>
      <c r="BA587" t="n">
        <v>4679.86</v>
      </c>
      <c r="BB587" t="n">
        <v>4661.0893</v>
      </c>
      <c r="BC587" t="n">
        <v>18.7707</v>
      </c>
      <c r="BD587" t="n">
        <v>352.3377</v>
      </c>
      <c r="BE587" t="n">
        <v>341056</v>
      </c>
    </row>
    <row r="588">
      <c r="A588" t="n">
        <v>1777248902</v>
      </c>
      <c r="B588" t="inlineStr">
        <is>
          <t>XAUUSD</t>
        </is>
      </c>
      <c r="C588" t="inlineStr">
        <is>
          <t>M15</t>
        </is>
      </c>
      <c r="D588" t="n">
        <v>4680.65</v>
      </c>
      <c r="E588" t="n">
        <v>4518.59282</v>
      </c>
      <c r="F588" t="n">
        <v>4596.05595</v>
      </c>
      <c r="G588" t="n">
        <v>4755.40355</v>
      </c>
      <c r="H588" t="n">
        <v>4792.76972</v>
      </c>
      <c r="Q588" t="n">
        <v>4660.82173</v>
      </c>
      <c r="R588" t="n">
        <v>4690.18503</v>
      </c>
      <c r="S588" t="n">
        <v>4716.7738</v>
      </c>
      <c r="V588" t="n">
        <v>4625.88196</v>
      </c>
      <c r="W588" t="n">
        <v>4592.31697</v>
      </c>
      <c r="AB588" t="n">
        <v>4683.33908</v>
      </c>
      <c r="AC588" t="n">
        <v>4681.63417</v>
      </c>
      <c r="AD588" t="n">
        <v>0</v>
      </c>
      <c r="AK588" t="n">
        <v>586</v>
      </c>
      <c r="AL588" t="n">
        <v>585</v>
      </c>
      <c r="AM588" t="n">
        <v>4680.65</v>
      </c>
      <c r="AN588" t="n">
        <v>4660.8217</v>
      </c>
      <c r="AO588" t="n">
        <v>19.8283</v>
      </c>
      <c r="AP588" t="n">
        <v>393.1603</v>
      </c>
      <c r="AQ588" t="n">
        <v>0.179337</v>
      </c>
      <c r="AR588" t="n">
        <v>0.101133</v>
      </c>
      <c r="AY588" t="n">
        <v>586</v>
      </c>
      <c r="AZ588" t="n">
        <v>585</v>
      </c>
      <c r="BA588" t="n">
        <v>4680.65</v>
      </c>
      <c r="BB588" t="n">
        <v>4660.8217</v>
      </c>
      <c r="BC588" t="n">
        <v>19.8283</v>
      </c>
      <c r="BD588" t="n">
        <v>393.1603</v>
      </c>
      <c r="BE588" t="n">
        <v>342225</v>
      </c>
    </row>
    <row r="589">
      <c r="A589" t="n">
        <v>1777249802</v>
      </c>
      <c r="B589" t="inlineStr">
        <is>
          <t>XAUUSD</t>
        </is>
      </c>
      <c r="C589" t="inlineStr">
        <is>
          <t>M15</t>
        </is>
      </c>
      <c r="D589" t="n">
        <v>4680.47</v>
      </c>
      <c r="E589" t="n">
        <v>4518.59282</v>
      </c>
      <c r="F589" t="n">
        <v>4596.05595</v>
      </c>
      <c r="G589" t="n">
        <v>4755.40355</v>
      </c>
      <c r="H589" t="n">
        <v>4792.76972</v>
      </c>
      <c r="Q589" t="n">
        <v>4660.55413</v>
      </c>
      <c r="R589" t="n">
        <v>4689.91743</v>
      </c>
      <c r="S589" t="n">
        <v>4716.5062</v>
      </c>
      <c r="V589" t="n">
        <v>4625.61436</v>
      </c>
      <c r="W589" t="n">
        <v>4592.04936</v>
      </c>
      <c r="AB589" t="n">
        <v>4686.43622</v>
      </c>
      <c r="AC589" t="n">
        <v>4684.0352</v>
      </c>
      <c r="AD589" t="n">
        <v>0</v>
      </c>
      <c r="AK589" t="n">
        <v>587</v>
      </c>
      <c r="AL589" t="n">
        <v>586</v>
      </c>
      <c r="AM589" t="n">
        <v>4680.47</v>
      </c>
      <c r="AN589" t="n">
        <v>4660.5541</v>
      </c>
      <c r="AO589" t="n">
        <v>19.9159</v>
      </c>
      <c r="AP589" t="n">
        <v>396.6419</v>
      </c>
      <c r="AQ589" t="n">
        <v>0.181724</v>
      </c>
      <c r="AR589" t="n">
        <v>0.102932</v>
      </c>
      <c r="AY589" t="n">
        <v>587</v>
      </c>
      <c r="AZ589" t="n">
        <v>586</v>
      </c>
      <c r="BA589" t="n">
        <v>4680.47</v>
      </c>
      <c r="BB589" t="n">
        <v>4660.5541</v>
      </c>
      <c r="BC589" t="n">
        <v>19.9159</v>
      </c>
      <c r="BD589" t="n">
        <v>396.6419</v>
      </c>
      <c r="BE589" t="n">
        <v>343396</v>
      </c>
    </row>
    <row r="590">
      <c r="A590" t="n">
        <v>1777250702</v>
      </c>
      <c r="B590" t="inlineStr">
        <is>
          <t>XAUUSD</t>
        </is>
      </c>
      <c r="C590" t="inlineStr">
        <is>
          <t>M15</t>
        </is>
      </c>
      <c r="D590" t="n">
        <v>4697.98</v>
      </c>
      <c r="E590" t="n">
        <v>4518.59282</v>
      </c>
      <c r="F590" t="n">
        <v>4596.05595</v>
      </c>
      <c r="G590" t="n">
        <v>4755.40355</v>
      </c>
      <c r="H590" t="n">
        <v>4792.76972</v>
      </c>
      <c r="Q590" t="n">
        <v>4660.28653</v>
      </c>
      <c r="R590" t="n">
        <v>4689.64983</v>
      </c>
      <c r="S590" t="n">
        <v>4716.2386</v>
      </c>
      <c r="V590" t="n">
        <v>4625.34676</v>
      </c>
      <c r="W590" t="n">
        <v>4591.78176</v>
      </c>
      <c r="AB590" t="n">
        <v>4689.87739</v>
      </c>
      <c r="AC590" t="n">
        <v>4686.9563</v>
      </c>
      <c r="AD590" t="n">
        <v>0</v>
      </c>
      <c r="AK590" t="n">
        <v>588</v>
      </c>
      <c r="AL590" t="n">
        <v>587</v>
      </c>
      <c r="AM590" t="n">
        <v>4697.98</v>
      </c>
      <c r="AN590" t="n">
        <v>4660.2865</v>
      </c>
      <c r="AO590" t="n">
        <v>37.6935</v>
      </c>
      <c r="AP590" t="n">
        <v>1420.7977</v>
      </c>
      <c r="AQ590" t="n">
        <v>1.232009</v>
      </c>
      <c r="AR590" t="n">
        <v>1.320744</v>
      </c>
      <c r="AY590" t="n">
        <v>588</v>
      </c>
      <c r="AZ590" t="n">
        <v>587</v>
      </c>
      <c r="BA590" t="n">
        <v>4697.98</v>
      </c>
      <c r="BB590" t="n">
        <v>4660.2865</v>
      </c>
      <c r="BC590" t="n">
        <v>37.6935</v>
      </c>
      <c r="BD590" t="n">
        <v>1420.7977</v>
      </c>
      <c r="BE590" t="n">
        <v>344569</v>
      </c>
    </row>
    <row r="591">
      <c r="A591" t="n">
        <v>1777251602</v>
      </c>
      <c r="B591" t="inlineStr">
        <is>
          <t>XAUUSD</t>
        </is>
      </c>
      <c r="C591" t="inlineStr">
        <is>
          <t>M15</t>
        </is>
      </c>
      <c r="D591" t="n">
        <v>4692.94</v>
      </c>
      <c r="E591" t="n">
        <v>4518.59282</v>
      </c>
      <c r="F591" t="n">
        <v>4596.05595</v>
      </c>
      <c r="G591" t="n">
        <v>4755.40355</v>
      </c>
      <c r="H591" t="n">
        <v>4792.76972</v>
      </c>
      <c r="Q591" t="n">
        <v>4660.01892</v>
      </c>
      <c r="R591" t="n">
        <v>4689.38222</v>
      </c>
      <c r="S591" t="n">
        <v>4715.97099</v>
      </c>
      <c r="V591" t="n">
        <v>4625.07915</v>
      </c>
      <c r="W591" t="n">
        <v>4591.51416</v>
      </c>
      <c r="AB591" t="n">
        <v>4693.03417</v>
      </c>
      <c r="AC591" t="n">
        <v>4689.99523</v>
      </c>
      <c r="AD591" t="n">
        <v>0</v>
      </c>
      <c r="AK591" t="n">
        <v>589</v>
      </c>
      <c r="AL591" t="n">
        <v>588</v>
      </c>
      <c r="AM591" t="n">
        <v>4692.94</v>
      </c>
      <c r="AN591" t="n">
        <v>4660.0189</v>
      </c>
      <c r="AO591" t="n">
        <v>32.9211</v>
      </c>
      <c r="AP591" t="n">
        <v>1083.7975</v>
      </c>
      <c r="AQ591" t="n">
        <v>0.820801</v>
      </c>
      <c r="AR591" t="n">
        <v>0.768512</v>
      </c>
      <c r="AY591" t="n">
        <v>589</v>
      </c>
      <c r="AZ591" t="n">
        <v>588</v>
      </c>
      <c r="BA591" t="n">
        <v>4692.94</v>
      </c>
      <c r="BB591" t="n">
        <v>4660.0189</v>
      </c>
      <c r="BC591" t="n">
        <v>32.9211</v>
      </c>
      <c r="BD591" t="n">
        <v>1083.7975</v>
      </c>
      <c r="BE591" t="n">
        <v>345744</v>
      </c>
    </row>
    <row r="592">
      <c r="A592" t="n">
        <v>1777252502</v>
      </c>
      <c r="B592" t="inlineStr">
        <is>
          <t>XAUUSD</t>
        </is>
      </c>
      <c r="C592" t="inlineStr">
        <is>
          <t>M15</t>
        </is>
      </c>
      <c r="D592" t="n">
        <v>4697.97</v>
      </c>
      <c r="E592" t="n">
        <v>4518.59282</v>
      </c>
      <c r="F592" t="n">
        <v>4596.05595</v>
      </c>
      <c r="G592" t="n">
        <v>4755.40355</v>
      </c>
      <c r="H592" t="n">
        <v>4792.76972</v>
      </c>
      <c r="Q592" t="n">
        <v>4659.75132</v>
      </c>
      <c r="R592" t="n">
        <v>4689.11462</v>
      </c>
      <c r="S592" t="n">
        <v>4715.70339</v>
      </c>
      <c r="V592" t="n">
        <v>4624.81155</v>
      </c>
      <c r="W592" t="n">
        <v>4591.24655</v>
      </c>
      <c r="AB592" t="n">
        <v>4696.01419</v>
      </c>
      <c r="AC592" t="n">
        <v>4693.00471</v>
      </c>
      <c r="AD592" t="n">
        <v>0</v>
      </c>
      <c r="AK592" t="n">
        <v>590</v>
      </c>
      <c r="AL592" t="n">
        <v>589</v>
      </c>
      <c r="AM592" t="n">
        <v>4697.97</v>
      </c>
      <c r="AN592" t="n">
        <v>4659.7513</v>
      </c>
      <c r="AO592" t="n">
        <v>38.2187</v>
      </c>
      <c r="AP592" t="n">
        <v>1460.6675</v>
      </c>
      <c r="AQ592" t="n">
        <v>1.284229</v>
      </c>
      <c r="AR592" t="n">
        <v>1.395908</v>
      </c>
      <c r="AY592" t="n">
        <v>590</v>
      </c>
      <c r="AZ592" t="n">
        <v>589</v>
      </c>
      <c r="BA592" t="n">
        <v>4697.97</v>
      </c>
      <c r="BB592" t="n">
        <v>4659.7513</v>
      </c>
      <c r="BC592" t="n">
        <v>38.2187</v>
      </c>
      <c r="BD592" t="n">
        <v>1460.6675</v>
      </c>
      <c r="BE592" t="n">
        <v>346921</v>
      </c>
    </row>
    <row r="593">
      <c r="A593" t="n">
        <v>1777253402</v>
      </c>
      <c r="B593" t="inlineStr">
        <is>
          <t>XAUUSD</t>
        </is>
      </c>
      <c r="C593" t="inlineStr">
        <is>
          <t>M15</t>
        </is>
      </c>
      <c r="D593" t="n">
        <v>4697.87</v>
      </c>
      <c r="E593" t="n">
        <v>4518.59282</v>
      </c>
      <c r="F593" t="n">
        <v>4596.05595</v>
      </c>
      <c r="G593" t="n">
        <v>4755.40355</v>
      </c>
      <c r="H593" t="n">
        <v>4792.76972</v>
      </c>
      <c r="Q593" t="n">
        <v>4659.48371</v>
      </c>
      <c r="R593" t="n">
        <v>4688.84701</v>
      </c>
      <c r="S593" t="n">
        <v>4715.43578</v>
      </c>
      <c r="V593" t="n">
        <v>4624.54394</v>
      </c>
      <c r="W593" t="n">
        <v>4590.97895</v>
      </c>
      <c r="AB593" t="n">
        <v>4698.77389</v>
      </c>
      <c r="AC593" t="n">
        <v>4695.8893</v>
      </c>
      <c r="AD593" t="n">
        <v>0</v>
      </c>
      <c r="AK593" t="n">
        <v>591</v>
      </c>
      <c r="AL593" t="n">
        <v>590</v>
      </c>
      <c r="AM593" t="n">
        <v>4697.87</v>
      </c>
      <c r="AN593" t="n">
        <v>4659.4837</v>
      </c>
      <c r="AO593" t="n">
        <v>38.3863</v>
      </c>
      <c r="AP593" t="n">
        <v>1473.5073</v>
      </c>
      <c r="AQ593" t="n">
        <v>1.3012</v>
      </c>
      <c r="AR593" t="n">
        <v>1.420557</v>
      </c>
      <c r="AY593" t="n">
        <v>591</v>
      </c>
      <c r="AZ593" t="n">
        <v>590</v>
      </c>
      <c r="BA593" t="n">
        <v>4697.87</v>
      </c>
      <c r="BB593" t="n">
        <v>4659.4837</v>
      </c>
      <c r="BC593" t="n">
        <v>38.3863</v>
      </c>
      <c r="BD593" t="n">
        <v>1473.5073</v>
      </c>
      <c r="BE593" t="n">
        <v>348100</v>
      </c>
    </row>
    <row r="594">
      <c r="A594" t="n">
        <v>1777254302</v>
      </c>
      <c r="B594" t="inlineStr">
        <is>
          <t>XAUUSD</t>
        </is>
      </c>
      <c r="C594" t="inlineStr">
        <is>
          <t>M15</t>
        </is>
      </c>
      <c r="D594" t="n">
        <v>4702.74</v>
      </c>
      <c r="E594" t="n">
        <v>4518.59282</v>
      </c>
      <c r="F594" t="n">
        <v>4596.05595</v>
      </c>
      <c r="G594" t="n">
        <v>4755.40355</v>
      </c>
      <c r="H594" t="n">
        <v>4792.76972</v>
      </c>
      <c r="Q594" t="n">
        <v>4659.21611</v>
      </c>
      <c r="R594" t="n">
        <v>4688.57941</v>
      </c>
      <c r="S594" t="n">
        <v>4715.16818</v>
      </c>
      <c r="V594" t="n">
        <v>4624.27634</v>
      </c>
      <c r="W594" t="n">
        <v>4590.71134</v>
      </c>
      <c r="AB594" t="n">
        <v>4701.50178</v>
      </c>
      <c r="AC594" t="n">
        <v>4698.69554</v>
      </c>
      <c r="AD594" t="n">
        <v>0</v>
      </c>
      <c r="AK594" t="n">
        <v>592</v>
      </c>
      <c r="AL594" t="n">
        <v>591</v>
      </c>
      <c r="AM594" t="n">
        <v>4702.74</v>
      </c>
      <c r="AN594" t="n">
        <v>4659.2161</v>
      </c>
      <c r="AO594" t="n">
        <v>43.5239</v>
      </c>
      <c r="AP594" t="n">
        <v>1894.329</v>
      </c>
      <c r="AQ594" t="n">
        <v>1.8967</v>
      </c>
      <c r="AR594" t="n">
        <v>2.347821</v>
      </c>
      <c r="AY594" t="n">
        <v>592</v>
      </c>
      <c r="AZ594" t="n">
        <v>591</v>
      </c>
      <c r="BA594" t="n">
        <v>4702.74</v>
      </c>
      <c r="BB594" t="n">
        <v>4659.2161</v>
      </c>
      <c r="BC594" t="n">
        <v>43.5239</v>
      </c>
      <c r="BD594" t="n">
        <v>1894.329</v>
      </c>
      <c r="BE594" t="n">
        <v>349281</v>
      </c>
    </row>
    <row r="595">
      <c r="A595" t="n">
        <v>1777255202</v>
      </c>
      <c r="B595" t="inlineStr">
        <is>
          <t>XAUUSD</t>
        </is>
      </c>
      <c r="C595" t="inlineStr">
        <is>
          <t>M15</t>
        </is>
      </c>
      <c r="D595" t="n">
        <v>4699.73</v>
      </c>
      <c r="E595" t="n">
        <v>4518.59282</v>
      </c>
      <c r="F595" t="n">
        <v>4596.05595</v>
      </c>
      <c r="G595" t="n">
        <v>4755.40355</v>
      </c>
      <c r="H595" t="n">
        <v>4792.76972</v>
      </c>
      <c r="Q595" t="n">
        <v>4658.94851</v>
      </c>
      <c r="R595" t="n">
        <v>4688.31181</v>
      </c>
      <c r="S595" t="n">
        <v>4714.90058</v>
      </c>
      <c r="V595" t="n">
        <v>4624.00874</v>
      </c>
      <c r="W595" t="n">
        <v>4590.44374</v>
      </c>
      <c r="AB595" t="n">
        <v>4704.305</v>
      </c>
      <c r="AC595" t="n">
        <v>4701.50027</v>
      </c>
      <c r="AD595" t="n">
        <v>0</v>
      </c>
      <c r="AK595" t="n">
        <v>593</v>
      </c>
      <c r="AL595" t="n">
        <v>592</v>
      </c>
      <c r="AM595" t="n">
        <v>4699.73</v>
      </c>
      <c r="AN595" t="n">
        <v>4658.9485</v>
      </c>
      <c r="AO595" t="n">
        <v>40.7815</v>
      </c>
      <c r="AP595" t="n">
        <v>1663.1299</v>
      </c>
      <c r="AQ595" t="n">
        <v>1.560288</v>
      </c>
      <c r="AR595" t="n">
        <v>1.8097</v>
      </c>
      <c r="AY595" t="n">
        <v>593</v>
      </c>
      <c r="AZ595" t="n">
        <v>592</v>
      </c>
      <c r="BA595" t="n">
        <v>4699.73</v>
      </c>
      <c r="BB595" t="n">
        <v>4658.9485</v>
      </c>
      <c r="BC595" t="n">
        <v>40.7815</v>
      </c>
      <c r="BD595" t="n">
        <v>1663.1299</v>
      </c>
      <c r="BE595" t="n">
        <v>350464</v>
      </c>
    </row>
    <row r="596">
      <c r="A596" t="n">
        <v>1777256102</v>
      </c>
      <c r="B596" t="inlineStr">
        <is>
          <t>XAUUSD</t>
        </is>
      </c>
      <c r="C596" t="inlineStr">
        <is>
          <t>M15</t>
        </is>
      </c>
      <c r="D596" t="n">
        <v>4705.71</v>
      </c>
      <c r="E596" t="n">
        <v>4518.59282</v>
      </c>
      <c r="F596" t="n">
        <v>4596.05595</v>
      </c>
      <c r="G596" t="n">
        <v>4755.40355</v>
      </c>
      <c r="H596" t="n">
        <v>4792.76972</v>
      </c>
      <c r="Q596" t="n">
        <v>4658.6809</v>
      </c>
      <c r="R596" t="n">
        <v>4688.0442</v>
      </c>
      <c r="S596" t="n">
        <v>4714.63297</v>
      </c>
      <c r="V596" t="n">
        <v>4623.74113</v>
      </c>
      <c r="W596" t="n">
        <v>4590.17614</v>
      </c>
      <c r="AB596" t="n">
        <v>4707.46925</v>
      </c>
      <c r="AC596" t="n">
        <v>4704.48476</v>
      </c>
      <c r="AD596" t="n">
        <v>0</v>
      </c>
      <c r="AK596" t="n">
        <v>594</v>
      </c>
      <c r="AL596" t="n">
        <v>593</v>
      </c>
      <c r="AM596" t="n">
        <v>4705.71</v>
      </c>
      <c r="AN596" t="n">
        <v>4658.6809</v>
      </c>
      <c r="AO596" t="n">
        <v>47.0291</v>
      </c>
      <c r="AP596" t="n">
        <v>2211.7362</v>
      </c>
      <c r="AQ596" t="n">
        <v>2.392851</v>
      </c>
      <c r="AR596" t="n">
        <v>3.200522</v>
      </c>
      <c r="AY596" t="n">
        <v>594</v>
      </c>
      <c r="AZ596" t="n">
        <v>593</v>
      </c>
      <c r="BA596" t="n">
        <v>4705.71</v>
      </c>
      <c r="BB596" t="n">
        <v>4658.6809</v>
      </c>
      <c r="BC596" t="n">
        <v>47.0291</v>
      </c>
      <c r="BD596" t="n">
        <v>2211.7362</v>
      </c>
      <c r="BE596" t="n">
        <v>351649</v>
      </c>
    </row>
    <row r="597">
      <c r="A597" t="n">
        <v>1777257002</v>
      </c>
      <c r="B597" t="inlineStr">
        <is>
          <t>XAUUSD</t>
        </is>
      </c>
      <c r="C597" t="inlineStr">
        <is>
          <t>M15</t>
        </is>
      </c>
      <c r="D597" t="n">
        <v>4713.51</v>
      </c>
      <c r="E597" t="n">
        <v>4518.59282</v>
      </c>
      <c r="F597" t="n">
        <v>4596.05595</v>
      </c>
      <c r="G597" t="n">
        <v>4755.40355</v>
      </c>
      <c r="H597" t="n">
        <v>4792.76972</v>
      </c>
      <c r="Q597" t="n">
        <v>4658.4133</v>
      </c>
      <c r="R597" t="n">
        <v>4687.7766</v>
      </c>
      <c r="S597" t="n">
        <v>4714.36537</v>
      </c>
      <c r="V597" t="n">
        <v>4623.47353</v>
      </c>
      <c r="W597" t="n">
        <v>4589.90853</v>
      </c>
      <c r="AB597" t="n">
        <v>4710.9511</v>
      </c>
      <c r="AC597" t="n">
        <v>4707.71793</v>
      </c>
      <c r="AD597" t="n">
        <v>0</v>
      </c>
      <c r="AK597" t="n">
        <v>595</v>
      </c>
      <c r="AL597" t="n">
        <v>594</v>
      </c>
      <c r="AM597" t="n">
        <v>4713.51</v>
      </c>
      <c r="AN597" t="n">
        <v>4658.4133</v>
      </c>
      <c r="AO597" t="n">
        <v>55.0967</v>
      </c>
      <c r="AP597" t="n">
        <v>3035.6464</v>
      </c>
      <c r="AQ597" t="n">
        <v>3.847622</v>
      </c>
      <c r="AR597" t="n">
        <v>6.029155</v>
      </c>
      <c r="AY597" t="n">
        <v>595</v>
      </c>
      <c r="AZ597" t="n">
        <v>594</v>
      </c>
      <c r="BA597" t="n">
        <v>4713.51</v>
      </c>
      <c r="BB597" t="n">
        <v>4658.4133</v>
      </c>
      <c r="BC597" t="n">
        <v>55.0967</v>
      </c>
      <c r="BD597" t="n">
        <v>3035.6464</v>
      </c>
      <c r="BE597" t="n">
        <v>352836</v>
      </c>
    </row>
    <row r="598">
      <c r="A598" t="n">
        <v>1777257902</v>
      </c>
      <c r="B598" t="inlineStr">
        <is>
          <t>XAUUSD</t>
        </is>
      </c>
      <c r="C598" t="inlineStr">
        <is>
          <t>M15</t>
        </is>
      </c>
      <c r="D598" t="n">
        <v>4718.18</v>
      </c>
      <c r="E598" t="n">
        <v>4518.59282</v>
      </c>
      <c r="F598" t="n">
        <v>4596.05595</v>
      </c>
      <c r="G598" t="n">
        <v>4755.40355</v>
      </c>
      <c r="H598" t="n">
        <v>4792.76972</v>
      </c>
      <c r="Q598" t="n">
        <v>4658.14569</v>
      </c>
      <c r="R598" t="n">
        <v>4687.50899</v>
      </c>
      <c r="S598" t="n">
        <v>4714.09776</v>
      </c>
      <c r="V598" t="n">
        <v>4623.20592</v>
      </c>
      <c r="W598" t="n">
        <v>4589.64093</v>
      </c>
      <c r="AB598" t="n">
        <v>4714.55172</v>
      </c>
      <c r="AC598" t="n">
        <v>4711.13483</v>
      </c>
      <c r="AD598" t="n">
        <v>0</v>
      </c>
      <c r="AK598" t="n">
        <v>596</v>
      </c>
      <c r="AL598" t="n">
        <v>595</v>
      </c>
      <c r="AM598" t="n">
        <v>4718.18</v>
      </c>
      <c r="AN598" t="n">
        <v>4658.1457</v>
      </c>
      <c r="AO598" t="n">
        <v>60.0343</v>
      </c>
      <c r="AP598" t="n">
        <v>3604.1184</v>
      </c>
      <c r="AQ598" t="n">
        <v>4.977533</v>
      </c>
      <c r="AR598" t="n">
        <v>8.498694</v>
      </c>
      <c r="AY598" t="n">
        <v>596</v>
      </c>
      <c r="AZ598" t="n">
        <v>595</v>
      </c>
      <c r="BA598" t="n">
        <v>4718.18</v>
      </c>
      <c r="BB598" t="n">
        <v>4658.1457</v>
      </c>
      <c r="BC598" t="n">
        <v>60.0343</v>
      </c>
      <c r="BD598" t="n">
        <v>3604.1184</v>
      </c>
      <c r="BE598" t="n">
        <v>354025</v>
      </c>
    </row>
    <row r="599">
      <c r="A599" t="n">
        <v>1777258802</v>
      </c>
      <c r="B599" t="inlineStr">
        <is>
          <t>XAUUSD</t>
        </is>
      </c>
      <c r="C599" t="inlineStr">
        <is>
          <t>M15</t>
        </is>
      </c>
      <c r="D599" t="n">
        <v>4717.72</v>
      </c>
      <c r="E599" t="n">
        <v>4518.59282</v>
      </c>
      <c r="F599" t="n">
        <v>4596.05595</v>
      </c>
      <c r="G599" t="n">
        <v>4755.40355</v>
      </c>
      <c r="H599" t="n">
        <v>4792.76972</v>
      </c>
      <c r="Q599" t="n">
        <v>4657.87809</v>
      </c>
      <c r="R599" t="n">
        <v>4687.24139</v>
      </c>
      <c r="S599" t="n">
        <v>4713.83016</v>
      </c>
      <c r="V599" t="n">
        <v>4622.93832</v>
      </c>
      <c r="W599" t="n">
        <v>4589.37332</v>
      </c>
      <c r="AB599" t="n">
        <v>4718.06835</v>
      </c>
      <c r="AC599" t="n">
        <v>4714.60159</v>
      </c>
      <c r="AD599" t="n">
        <v>0</v>
      </c>
      <c r="AK599" t="n">
        <v>597</v>
      </c>
      <c r="AL599" t="n">
        <v>596</v>
      </c>
      <c r="AM599" t="n">
        <v>4717.72</v>
      </c>
      <c r="AN599" t="n">
        <v>4657.8781</v>
      </c>
      <c r="AO599" t="n">
        <v>59.8419</v>
      </c>
      <c r="AP599" t="n">
        <v>3581.0542</v>
      </c>
      <c r="AQ599" t="n">
        <v>4.92983</v>
      </c>
      <c r="AR599" t="n">
        <v>8.390269</v>
      </c>
      <c r="AY599" t="n">
        <v>597</v>
      </c>
      <c r="AZ599" t="n">
        <v>596</v>
      </c>
      <c r="BA599" t="n">
        <v>4717.72</v>
      </c>
      <c r="BB599" t="n">
        <v>4657.8781</v>
      </c>
      <c r="BC599" t="n">
        <v>59.8419</v>
      </c>
      <c r="BD599" t="n">
        <v>3581.0542</v>
      </c>
      <c r="BE599" t="n">
        <v>355216</v>
      </c>
    </row>
    <row r="600">
      <c r="A600" t="n">
        <v>1777259702</v>
      </c>
      <c r="B600" t="inlineStr">
        <is>
          <t>XAUUSD</t>
        </is>
      </c>
      <c r="C600" t="inlineStr">
        <is>
          <t>M15</t>
        </is>
      </c>
      <c r="D600" t="n">
        <v>4715.68</v>
      </c>
      <c r="E600" t="n">
        <v>4518.59282</v>
      </c>
      <c r="F600" t="n">
        <v>4596.05595</v>
      </c>
      <c r="G600" t="n">
        <v>4755.40355</v>
      </c>
      <c r="H600" t="n">
        <v>4792.76972</v>
      </c>
      <c r="Q600" t="n">
        <v>4657.61049</v>
      </c>
      <c r="R600" t="n">
        <v>4686.97378</v>
      </c>
      <c r="S600" t="n">
        <v>4713.56256</v>
      </c>
      <c r="V600" t="n">
        <v>4622.67072</v>
      </c>
      <c r="W600" t="n">
        <v>4589.10572</v>
      </c>
      <c r="AB600" t="n">
        <v>4721.3482</v>
      </c>
      <c r="AC600" t="n">
        <v>4717.97489</v>
      </c>
      <c r="AD600" t="n">
        <v>0</v>
      </c>
      <c r="AK600" t="n">
        <v>598</v>
      </c>
      <c r="AL600" t="n">
        <v>597</v>
      </c>
      <c r="AM600" t="n">
        <v>4715.68</v>
      </c>
      <c r="AN600" t="n">
        <v>4657.6105</v>
      </c>
      <c r="AO600" t="n">
        <v>58.0695</v>
      </c>
      <c r="AP600" t="n">
        <v>3372.068</v>
      </c>
      <c r="AQ600" t="n">
        <v>4.50464</v>
      </c>
      <c r="AR600" t="n">
        <v>7.439552</v>
      </c>
      <c r="AY600" t="n">
        <v>598</v>
      </c>
      <c r="AZ600" t="n">
        <v>597</v>
      </c>
      <c r="BA600" t="n">
        <v>4715.68</v>
      </c>
      <c r="BB600" t="n">
        <v>4657.6105</v>
      </c>
      <c r="BC600" t="n">
        <v>58.0695</v>
      </c>
      <c r="BD600" t="n">
        <v>3372.068</v>
      </c>
      <c r="BE600" t="n">
        <v>356409</v>
      </c>
    </row>
    <row r="601">
      <c r="A601" t="n">
        <v>1777260602</v>
      </c>
      <c r="B601" t="inlineStr">
        <is>
          <t>XAUUSD</t>
        </is>
      </c>
      <c r="C601" t="inlineStr">
        <is>
          <t>M15</t>
        </is>
      </c>
      <c r="D601" t="n">
        <v>4728.4</v>
      </c>
      <c r="E601" t="n">
        <v>4518.59282</v>
      </c>
      <c r="F601" t="n">
        <v>4596.05595</v>
      </c>
      <c r="G601" t="n">
        <v>4755.40355</v>
      </c>
      <c r="H601" t="n">
        <v>4792.76972</v>
      </c>
      <c r="Q601" t="n">
        <v>4657.34288</v>
      </c>
      <c r="R601" t="n">
        <v>4686.70618</v>
      </c>
      <c r="S601" t="n">
        <v>4713.29495</v>
      </c>
      <c r="V601" t="n">
        <v>4622.40311</v>
      </c>
      <c r="W601" t="n">
        <v>4588.83812</v>
      </c>
      <c r="AB601" t="n">
        <v>4724.22216</v>
      </c>
      <c r="AC601" t="n">
        <v>4721.09853</v>
      </c>
      <c r="AD601" t="n">
        <v>0</v>
      </c>
      <c r="AK601" t="n">
        <v>599</v>
      </c>
      <c r="AL601" t="n">
        <v>598</v>
      </c>
      <c r="AM601" t="n">
        <v>4728.4</v>
      </c>
      <c r="AN601" t="n">
        <v>4657.3429</v>
      </c>
      <c r="AO601" t="n">
        <v>71.05710000000001</v>
      </c>
      <c r="AP601" t="n">
        <v>5049.1143</v>
      </c>
      <c r="AQ601" t="n">
        <v>8.253504</v>
      </c>
      <c r="AR601" t="n">
        <v>16.679557</v>
      </c>
      <c r="AY601" t="n">
        <v>599</v>
      </c>
      <c r="AZ601" t="n">
        <v>598</v>
      </c>
      <c r="BA601" t="n">
        <v>4728.4</v>
      </c>
      <c r="BB601" t="n">
        <v>4657.3429</v>
      </c>
      <c r="BC601" t="n">
        <v>71.05710000000001</v>
      </c>
      <c r="BD601" t="n">
        <v>5049.1143</v>
      </c>
      <c r="BE601" t="n">
        <v>357604</v>
      </c>
    </row>
    <row r="602">
      <c r="A602" t="n">
        <v>1777261502</v>
      </c>
      <c r="B602" t="inlineStr">
        <is>
          <t>XAUUSD</t>
        </is>
      </c>
      <c r="C602" t="inlineStr">
        <is>
          <t>M15</t>
        </is>
      </c>
      <c r="D602" t="n">
        <v>4724.1</v>
      </c>
      <c r="E602" t="n">
        <v>4518.59282</v>
      </c>
      <c r="F602" t="n">
        <v>4596.05595</v>
      </c>
      <c r="G602" t="n">
        <v>4755.40355</v>
      </c>
      <c r="H602" t="n">
        <v>4792.76972</v>
      </c>
      <c r="Q602" t="n">
        <v>4657.07528</v>
      </c>
      <c r="R602" t="n">
        <v>4686.43858</v>
      </c>
      <c r="S602" t="n">
        <v>4713.02735</v>
      </c>
      <c r="V602" t="n">
        <v>4622.13551</v>
      </c>
      <c r="W602" t="n">
        <v>4588.57051</v>
      </c>
      <c r="AB602" t="n">
        <v>4726.11259</v>
      </c>
      <c r="AC602" t="n">
        <v>4723.60556</v>
      </c>
      <c r="AD602" t="n">
        <v>0</v>
      </c>
      <c r="AK602" t="n">
        <v>600</v>
      </c>
      <c r="AL602" t="n">
        <v>599</v>
      </c>
      <c r="AM602" t="n">
        <v>4724.1</v>
      </c>
      <c r="AN602" t="n">
        <v>4657.0753</v>
      </c>
      <c r="AO602" t="n">
        <v>67.0247</v>
      </c>
      <c r="AP602" t="n">
        <v>4492.3131</v>
      </c>
      <c r="AQ602" t="n">
        <v>6.926608</v>
      </c>
      <c r="AR602" t="n">
        <v>13.203654</v>
      </c>
      <c r="AY602" t="n">
        <v>600</v>
      </c>
      <c r="AZ602" t="n">
        <v>599</v>
      </c>
      <c r="BA602" t="n">
        <v>4724.1</v>
      </c>
      <c r="BB602" t="n">
        <v>4657.0753</v>
      </c>
      <c r="BC602" t="n">
        <v>67.0247</v>
      </c>
      <c r="BD602" t="n">
        <v>4492.3131</v>
      </c>
      <c r="BE602" t="n">
        <v>358801</v>
      </c>
    </row>
    <row r="603">
      <c r="A603" t="n">
        <v>1777262402</v>
      </c>
      <c r="B603" t="inlineStr">
        <is>
          <t>XAUUSD</t>
        </is>
      </c>
      <c r="C603" t="inlineStr">
        <is>
          <t>M15</t>
        </is>
      </c>
      <c r="D603" t="n">
        <v>4727.47</v>
      </c>
      <c r="E603" t="n">
        <v>4518.59282</v>
      </c>
      <c r="F603" t="n">
        <v>4596.05595</v>
      </c>
      <c r="G603" t="n">
        <v>4755.40355</v>
      </c>
      <c r="H603" t="n">
        <v>4792.76972</v>
      </c>
      <c r="Q603" t="n">
        <v>4656.80767</v>
      </c>
      <c r="R603" t="n">
        <v>4686.17097</v>
      </c>
      <c r="S603" t="n">
        <v>4712.75974</v>
      </c>
      <c r="V603" t="n">
        <v>4621.8679</v>
      </c>
      <c r="W603" t="n">
        <v>4588.30291</v>
      </c>
      <c r="AB603" t="n">
        <v>4726.95955</v>
      </c>
      <c r="AC603" t="n">
        <v>4725.28255</v>
      </c>
      <c r="AD603" t="n">
        <v>0</v>
      </c>
      <c r="AK603" t="n">
        <v>601</v>
      </c>
      <c r="AL603" t="n">
        <v>600</v>
      </c>
      <c r="AM603" t="n">
        <v>4727.47</v>
      </c>
      <c r="AN603" t="n">
        <v>4656.8077</v>
      </c>
      <c r="AO603" t="n">
        <v>70.6623</v>
      </c>
      <c r="AP603" t="n">
        <v>4993.1649</v>
      </c>
      <c r="AQ603" t="n">
        <v>8.116699000000001</v>
      </c>
      <c r="AR603" t="n">
        <v>16.311952</v>
      </c>
      <c r="AY603" t="n">
        <v>601</v>
      </c>
      <c r="AZ603" t="n">
        <v>600</v>
      </c>
      <c r="BA603" t="n">
        <v>4727.47</v>
      </c>
      <c r="BB603" t="n">
        <v>4656.8077</v>
      </c>
      <c r="BC603" t="n">
        <v>70.6623</v>
      </c>
      <c r="BD603" t="n">
        <v>4993.1649</v>
      </c>
      <c r="BE603" t="n">
        <v>360000</v>
      </c>
    </row>
    <row r="604">
      <c r="A604" t="n">
        <v>1777263302</v>
      </c>
      <c r="B604" t="inlineStr">
        <is>
          <t>XAUUSD</t>
        </is>
      </c>
      <c r="C604" t="inlineStr">
        <is>
          <t>M15</t>
        </is>
      </c>
      <c r="D604" t="n">
        <v>4726.85</v>
      </c>
      <c r="E604" t="n">
        <v>4518.59282</v>
      </c>
      <c r="F604" t="n">
        <v>4596.05595</v>
      </c>
      <c r="G604" t="n">
        <v>4755.40355</v>
      </c>
      <c r="H604" t="n">
        <v>4792.76972</v>
      </c>
      <c r="Q604" t="n">
        <v>4656.54007</v>
      </c>
      <c r="R604" t="n">
        <v>4685.90337</v>
      </c>
      <c r="S604" t="n">
        <v>4712.49214</v>
      </c>
      <c r="V604" t="n">
        <v>4621.6003</v>
      </c>
      <c r="W604" t="n">
        <v>4588.0353</v>
      </c>
      <c r="AB604" t="n">
        <v>4726.60536</v>
      </c>
      <c r="AC604" t="n">
        <v>4725.94396</v>
      </c>
      <c r="AD604" t="n">
        <v>0</v>
      </c>
      <c r="AK604" t="n">
        <v>602</v>
      </c>
      <c r="AL604" t="n">
        <v>601</v>
      </c>
      <c r="AM604" t="n">
        <v>4726.85</v>
      </c>
      <c r="AN604" t="n">
        <v>4656.5401</v>
      </c>
      <c r="AO604" t="n">
        <v>70.3099</v>
      </c>
      <c r="AP604" t="n">
        <v>4943.4863</v>
      </c>
      <c r="AQ604" t="n">
        <v>7.995867</v>
      </c>
      <c r="AR604" t="n">
        <v>15.988981</v>
      </c>
      <c r="AY604" t="n">
        <v>602</v>
      </c>
      <c r="AZ604" t="n">
        <v>601</v>
      </c>
      <c r="BA604" t="n">
        <v>4726.85</v>
      </c>
      <c r="BB604" t="n">
        <v>4656.5401</v>
      </c>
      <c r="BC604" t="n">
        <v>70.3099</v>
      </c>
      <c r="BD604" t="n">
        <v>4943.4863</v>
      </c>
      <c r="BE604" t="n">
        <v>361201</v>
      </c>
    </row>
    <row r="605">
      <c r="A605" t="n">
        <v>1777264202</v>
      </c>
      <c r="B605" t="inlineStr">
        <is>
          <t>XAUUSD</t>
        </is>
      </c>
      <c r="C605" t="inlineStr">
        <is>
          <t>M15</t>
        </is>
      </c>
      <c r="D605" t="n">
        <v>4726.18</v>
      </c>
      <c r="E605" t="n">
        <v>4518.59282</v>
      </c>
      <c r="F605" t="n">
        <v>4596.05595</v>
      </c>
      <c r="G605" t="n">
        <v>4755.40355</v>
      </c>
      <c r="H605" t="n">
        <v>4792.76972</v>
      </c>
      <c r="Q605" t="n">
        <v>4656.27247</v>
      </c>
      <c r="R605" t="n">
        <v>4685.63576</v>
      </c>
      <c r="S605" t="n">
        <v>4712.22454</v>
      </c>
      <c r="V605" t="n">
        <v>4621.3327</v>
      </c>
      <c r="W605" t="n">
        <v>4587.7677</v>
      </c>
      <c r="Z605" t="n">
        <v>4729.92</v>
      </c>
      <c r="AB605" t="n">
        <v>4725.12374</v>
      </c>
      <c r="AC605" t="n">
        <v>4725.53385</v>
      </c>
      <c r="AD605" t="n">
        <v>1</v>
      </c>
      <c r="AK605" t="n">
        <v>603</v>
      </c>
      <c r="AL605" t="n">
        <v>602</v>
      </c>
      <c r="AM605" t="n">
        <v>4726.18</v>
      </c>
      <c r="AN605" t="n">
        <v>4656.2725</v>
      </c>
      <c r="AO605" t="n">
        <v>69.9075</v>
      </c>
      <c r="AP605" t="n">
        <v>4887.0628</v>
      </c>
      <c r="AQ605" t="n">
        <v>7.859365</v>
      </c>
      <c r="AR605" t="n">
        <v>15.626076</v>
      </c>
      <c r="AY605" t="n">
        <v>603</v>
      </c>
      <c r="AZ605" t="n">
        <v>602</v>
      </c>
      <c r="BA605" t="n">
        <v>4726.18</v>
      </c>
      <c r="BB605" t="n">
        <v>4656.2725</v>
      </c>
      <c r="BC605" t="n">
        <v>69.9075</v>
      </c>
      <c r="BD605" t="n">
        <v>4887.0628</v>
      </c>
      <c r="BE605" t="n">
        <v>362404</v>
      </c>
    </row>
    <row r="606">
      <c r="A606" t="n">
        <v>1777265102</v>
      </c>
      <c r="B606" t="inlineStr">
        <is>
          <t>XAUUSD</t>
        </is>
      </c>
      <c r="C606" t="inlineStr">
        <is>
          <t>M15</t>
        </is>
      </c>
      <c r="D606" t="n">
        <v>4724.74</v>
      </c>
      <c r="E606" t="n">
        <v>4518.59282</v>
      </c>
      <c r="F606" t="n">
        <v>4596.05595</v>
      </c>
      <c r="G606" t="n">
        <v>4755.40355</v>
      </c>
      <c r="H606" t="n">
        <v>4792.76972</v>
      </c>
      <c r="Q606" t="n">
        <v>4656.00486</v>
      </c>
      <c r="R606" t="n">
        <v>4685.36816</v>
      </c>
      <c r="S606" t="n">
        <v>4711.95693</v>
      </c>
      <c r="V606" t="n">
        <v>4621.06509</v>
      </c>
      <c r="W606" t="n">
        <v>4587.50009</v>
      </c>
      <c r="AB606" t="n">
        <v>4722.74901</v>
      </c>
      <c r="AC606" t="n">
        <v>4724.14143</v>
      </c>
      <c r="AD606" t="n">
        <v>0</v>
      </c>
      <c r="AK606" t="n">
        <v>604</v>
      </c>
      <c r="AL606" t="n">
        <v>603</v>
      </c>
      <c r="AM606" t="n">
        <v>4724.74</v>
      </c>
      <c r="AN606" t="n">
        <v>4656.0049</v>
      </c>
      <c r="AO606" t="n">
        <v>68.7351</v>
      </c>
      <c r="AP606" t="n">
        <v>4724.5195</v>
      </c>
      <c r="AQ606" t="n">
        <v>7.470541</v>
      </c>
      <c r="AR606" t="n">
        <v>14.603918</v>
      </c>
      <c r="AY606" t="n">
        <v>604</v>
      </c>
      <c r="AZ606" t="n">
        <v>603</v>
      </c>
      <c r="BA606" t="n">
        <v>4724.74</v>
      </c>
      <c r="BB606" t="n">
        <v>4656.0049</v>
      </c>
      <c r="BC606" t="n">
        <v>68.7351</v>
      </c>
      <c r="BD606" t="n">
        <v>4724.5195</v>
      </c>
      <c r="BE606" t="n">
        <v>363609</v>
      </c>
    </row>
    <row r="607">
      <c r="A607" t="n">
        <v>1777266002</v>
      </c>
      <c r="B607" t="inlineStr">
        <is>
          <t>XAUUSD</t>
        </is>
      </c>
      <c r="C607" t="inlineStr">
        <is>
          <t>M15</t>
        </is>
      </c>
      <c r="D607" t="n">
        <v>4718.21</v>
      </c>
      <c r="E607" t="n">
        <v>4518.59282</v>
      </c>
      <c r="F607" t="n">
        <v>4596.05595</v>
      </c>
      <c r="G607" t="n">
        <v>4755.40355</v>
      </c>
      <c r="H607" t="n">
        <v>4792.76972</v>
      </c>
      <c r="Q607" t="n">
        <v>4655.73726</v>
      </c>
      <c r="R607" t="n">
        <v>4685.10056</v>
      </c>
      <c r="S607" t="n">
        <v>4711.68933</v>
      </c>
      <c r="V607" t="n">
        <v>4620.79749</v>
      </c>
      <c r="W607" t="n">
        <v>4587.23249</v>
      </c>
      <c r="AB607" t="n">
        <v>4719.84245</v>
      </c>
      <c r="AC607" t="n">
        <v>4721.99194</v>
      </c>
      <c r="AD607" t="n">
        <v>0</v>
      </c>
      <c r="AK607" t="n">
        <v>605</v>
      </c>
      <c r="AL607" t="n">
        <v>604</v>
      </c>
      <c r="AM607" t="n">
        <v>4718.21</v>
      </c>
      <c r="AN607" t="n">
        <v>4655.7373</v>
      </c>
      <c r="AO607" t="n">
        <v>62.4727</v>
      </c>
      <c r="AP607" t="n">
        <v>3902.8432</v>
      </c>
      <c r="AQ607" t="n">
        <v>5.609023</v>
      </c>
      <c r="AR607" t="n">
        <v>9.965896000000001</v>
      </c>
      <c r="AY607" t="n">
        <v>605</v>
      </c>
      <c r="AZ607" t="n">
        <v>604</v>
      </c>
      <c r="BA607" t="n">
        <v>4718.21</v>
      </c>
      <c r="BB607" t="n">
        <v>4655.7373</v>
      </c>
      <c r="BC607" t="n">
        <v>62.4727</v>
      </c>
      <c r="BD607" t="n">
        <v>3902.8432</v>
      </c>
      <c r="BE607" t="n">
        <v>364816</v>
      </c>
    </row>
    <row r="608">
      <c r="A608" t="n">
        <v>1777266902</v>
      </c>
      <c r="B608" t="inlineStr">
        <is>
          <t>XAUUSD</t>
        </is>
      </c>
      <c r="C608" t="inlineStr">
        <is>
          <t>M15</t>
        </is>
      </c>
      <c r="D608" t="n">
        <v>4718.25</v>
      </c>
      <c r="E608" t="n">
        <v>4518.59282</v>
      </c>
      <c r="F608" t="n">
        <v>4596.05595</v>
      </c>
      <c r="G608" t="n">
        <v>4755.40355</v>
      </c>
      <c r="H608" t="n">
        <v>4792.76972</v>
      </c>
      <c r="Q608" t="n">
        <v>4655.46965</v>
      </c>
      <c r="R608" t="n">
        <v>4684.83295</v>
      </c>
      <c r="S608" t="n">
        <v>4711.42172</v>
      </c>
      <c r="V608" t="n">
        <v>4620.52988</v>
      </c>
      <c r="W608" t="n">
        <v>4586.96489</v>
      </c>
      <c r="AB608" t="n">
        <v>4716.97046</v>
      </c>
      <c r="AC608" t="n">
        <v>4719.4812</v>
      </c>
      <c r="AD608" t="n">
        <v>0</v>
      </c>
      <c r="AK608" t="n">
        <v>606</v>
      </c>
      <c r="AL608" t="n">
        <v>605</v>
      </c>
      <c r="AM608" t="n">
        <v>4718.25</v>
      </c>
      <c r="AN608" t="n">
        <v>4655.4697</v>
      </c>
      <c r="AO608" t="n">
        <v>62.7804</v>
      </c>
      <c r="AP608" t="n">
        <v>3941.3723</v>
      </c>
      <c r="AQ608" t="n">
        <v>5.692287</v>
      </c>
      <c r="AR608" t="n">
        <v>10.163635</v>
      </c>
      <c r="AY608" t="n">
        <v>606</v>
      </c>
      <c r="AZ608" t="n">
        <v>605</v>
      </c>
      <c r="BA608" t="n">
        <v>4718.25</v>
      </c>
      <c r="BB608" t="n">
        <v>4655.4697</v>
      </c>
      <c r="BC608" t="n">
        <v>62.7804</v>
      </c>
      <c r="BD608" t="n">
        <v>3941.3723</v>
      </c>
      <c r="BE608" t="n">
        <v>366025</v>
      </c>
    </row>
    <row r="609">
      <c r="A609" t="n">
        <v>1777267802</v>
      </c>
      <c r="B609" t="inlineStr">
        <is>
          <t>XAUUSD</t>
        </is>
      </c>
      <c r="C609" t="inlineStr">
        <is>
          <t>M15</t>
        </is>
      </c>
      <c r="D609" t="n">
        <v>4711.84</v>
      </c>
      <c r="E609" t="n">
        <v>4518.59282</v>
      </c>
      <c r="F609" t="n">
        <v>4596.05595</v>
      </c>
      <c r="G609" t="n">
        <v>4755.40355</v>
      </c>
      <c r="H609" t="n">
        <v>4792.76972</v>
      </c>
      <c r="Q609" t="n">
        <v>4655.20205</v>
      </c>
      <c r="R609" t="n">
        <v>4684.56535</v>
      </c>
      <c r="S609" t="n">
        <v>4711.15412</v>
      </c>
      <c r="V609" t="n">
        <v>4620.26228</v>
      </c>
      <c r="W609" t="n">
        <v>4586.69728</v>
      </c>
      <c r="AB609" t="n">
        <v>4714.47603</v>
      </c>
      <c r="AC609" t="n">
        <v>4716.97861</v>
      </c>
      <c r="AD609" t="n">
        <v>0</v>
      </c>
      <c r="AK609" t="n">
        <v>607</v>
      </c>
      <c r="AL609" t="n">
        <v>606</v>
      </c>
      <c r="AM609" t="n">
        <v>4711.84</v>
      </c>
      <c r="AN609" t="n">
        <v>4655.202</v>
      </c>
      <c r="AO609" t="n">
        <v>56.638</v>
      </c>
      <c r="AP609" t="n">
        <v>3207.8574</v>
      </c>
      <c r="AQ609" t="n">
        <v>4.179633</v>
      </c>
      <c r="AR609" t="n">
        <v>6.732622</v>
      </c>
      <c r="AY609" t="n">
        <v>607</v>
      </c>
      <c r="AZ609" t="n">
        <v>606</v>
      </c>
      <c r="BA609" t="n">
        <v>4711.84</v>
      </c>
      <c r="BB609" t="n">
        <v>4655.202</v>
      </c>
      <c r="BC609" t="n">
        <v>56.638</v>
      </c>
      <c r="BD609" t="n">
        <v>3207.8574</v>
      </c>
      <c r="BE609" t="n">
        <v>367236</v>
      </c>
    </row>
    <row r="610">
      <c r="A610" t="n">
        <v>1777268702</v>
      </c>
      <c r="B610" t="inlineStr">
        <is>
          <t>XAUUSD</t>
        </is>
      </c>
      <c r="C610" t="inlineStr">
        <is>
          <t>M15</t>
        </is>
      </c>
      <c r="D610" t="n">
        <v>4710.13</v>
      </c>
      <c r="E610" t="n">
        <v>4518.59282</v>
      </c>
      <c r="F610" t="n">
        <v>4596.05595</v>
      </c>
      <c r="G610" t="n">
        <v>4755.40355</v>
      </c>
      <c r="H610" t="n">
        <v>4792.76972</v>
      </c>
      <c r="Q610" t="n">
        <v>4654.93444</v>
      </c>
      <c r="R610" t="n">
        <v>4684.29774</v>
      </c>
      <c r="S610" t="n">
        <v>4710.88651</v>
      </c>
      <c r="V610" t="n">
        <v>4619.99467</v>
      </c>
      <c r="W610" t="n">
        <v>4586.42968</v>
      </c>
      <c r="AB610" t="n">
        <v>4712.82716</v>
      </c>
      <c r="AC610" t="n">
        <v>4714.90289</v>
      </c>
      <c r="AD610" t="n">
        <v>0</v>
      </c>
      <c r="AK610" t="n">
        <v>608</v>
      </c>
      <c r="AL610" t="n">
        <v>607</v>
      </c>
      <c r="AM610" t="n">
        <v>4710.13</v>
      </c>
      <c r="AN610" t="n">
        <v>4654.9344</v>
      </c>
      <c r="AO610" t="n">
        <v>55.1956</v>
      </c>
      <c r="AP610" t="n">
        <v>3046.5498</v>
      </c>
      <c r="AQ610" t="n">
        <v>3.86837</v>
      </c>
      <c r="AR610" t="n">
        <v>6.072544</v>
      </c>
      <c r="AY610" t="n">
        <v>608</v>
      </c>
      <c r="AZ610" t="n">
        <v>607</v>
      </c>
      <c r="BA610" t="n">
        <v>4710.13</v>
      </c>
      <c r="BB610" t="n">
        <v>4654.9344</v>
      </c>
      <c r="BC610" t="n">
        <v>55.1956</v>
      </c>
      <c r="BD610" t="n">
        <v>3046.5498</v>
      </c>
      <c r="BE610" t="n">
        <v>368449</v>
      </c>
    </row>
    <row r="611">
      <c r="A611" t="n">
        <v>1777269602</v>
      </c>
      <c r="B611" t="inlineStr">
        <is>
          <t>XAUUSD</t>
        </is>
      </c>
      <c r="C611" t="inlineStr">
        <is>
          <t>M15</t>
        </is>
      </c>
      <c r="D611" t="n">
        <v>4714.43</v>
      </c>
      <c r="E611" t="n">
        <v>4518.59282</v>
      </c>
      <c r="F611" t="n">
        <v>4596.05595</v>
      </c>
      <c r="G611" t="n">
        <v>4755.40355</v>
      </c>
      <c r="H611" t="n">
        <v>4792.76972</v>
      </c>
      <c r="Q611" t="n">
        <v>4654.66684</v>
      </c>
      <c r="R611" t="n">
        <v>4684.03014</v>
      </c>
      <c r="S611" t="n">
        <v>4710.61891</v>
      </c>
      <c r="V611" t="n">
        <v>4619.72707</v>
      </c>
      <c r="W611" t="n">
        <v>4586.16207</v>
      </c>
      <c r="AB611" t="n">
        <v>4712.14793</v>
      </c>
      <c r="AC611" t="n">
        <v>4713.52541</v>
      </c>
      <c r="AD611" t="n">
        <v>0</v>
      </c>
      <c r="AK611" t="n">
        <v>609</v>
      </c>
      <c r="AL611" t="n">
        <v>608</v>
      </c>
      <c r="AM611" t="n">
        <v>4714.43</v>
      </c>
      <c r="AN611" t="n">
        <v>4654.6668</v>
      </c>
      <c r="AO611" t="n">
        <v>59.7632</v>
      </c>
      <c r="AP611" t="n">
        <v>3571.6353</v>
      </c>
      <c r="AQ611" t="n">
        <v>4.910393</v>
      </c>
      <c r="AR611" t="n">
        <v>8.346190999999999</v>
      </c>
      <c r="AY611" t="n">
        <v>609</v>
      </c>
      <c r="AZ611" t="n">
        <v>608</v>
      </c>
      <c r="BA611" t="n">
        <v>4714.43</v>
      </c>
      <c r="BB611" t="n">
        <v>4654.6668</v>
      </c>
      <c r="BC611" t="n">
        <v>59.7632</v>
      </c>
      <c r="BD611" t="n">
        <v>3571.6353</v>
      </c>
      <c r="BE611" t="n">
        <v>369664</v>
      </c>
    </row>
    <row r="612">
      <c r="A612" t="n">
        <v>1777270502</v>
      </c>
      <c r="B612" t="inlineStr">
        <is>
          <t>XAUUSD</t>
        </is>
      </c>
      <c r="C612" t="inlineStr">
        <is>
          <t>M15</t>
        </is>
      </c>
      <c r="D612" t="n">
        <v>4714.53</v>
      </c>
      <c r="E612" t="n">
        <v>4518.59282</v>
      </c>
      <c r="F612" t="n">
        <v>4596.05595</v>
      </c>
      <c r="G612" t="n">
        <v>4755.40355</v>
      </c>
      <c r="H612" t="n">
        <v>4792.76972</v>
      </c>
      <c r="Q612" t="n">
        <v>4654.39924</v>
      </c>
      <c r="R612" t="n">
        <v>4683.76254</v>
      </c>
      <c r="S612" t="n">
        <v>4710.35131</v>
      </c>
      <c r="V612" t="n">
        <v>4619.45947</v>
      </c>
      <c r="W612" t="n">
        <v>4585.89447</v>
      </c>
      <c r="AB612" t="n">
        <v>4712.24302</v>
      </c>
      <c r="AC612" t="n">
        <v>4712.88422</v>
      </c>
      <c r="AD612" t="n">
        <v>0</v>
      </c>
      <c r="AK612" t="n">
        <v>610</v>
      </c>
      <c r="AL612" t="n">
        <v>609</v>
      </c>
      <c r="AM612" t="n">
        <v>4714.53</v>
      </c>
      <c r="AN612" t="n">
        <v>4654.3992</v>
      </c>
      <c r="AO612" t="n">
        <v>60.1308</v>
      </c>
      <c r="AP612" t="n">
        <v>3615.7083</v>
      </c>
      <c r="AQ612" t="n">
        <v>5.001562</v>
      </c>
      <c r="AR612" t="n">
        <v>8.553440999999999</v>
      </c>
      <c r="AY612" t="n">
        <v>610</v>
      </c>
      <c r="AZ612" t="n">
        <v>609</v>
      </c>
      <c r="BA612" t="n">
        <v>4714.53</v>
      </c>
      <c r="BB612" t="n">
        <v>4654.3992</v>
      </c>
      <c r="BC612" t="n">
        <v>60.1308</v>
      </c>
      <c r="BD612" t="n">
        <v>3615.7083</v>
      </c>
      <c r="BE612" t="n">
        <v>370881</v>
      </c>
    </row>
    <row r="613">
      <c r="A613" t="n">
        <v>1777271402</v>
      </c>
      <c r="B613" t="inlineStr">
        <is>
          <t>XAUUSD</t>
        </is>
      </c>
      <c r="C613" t="inlineStr">
        <is>
          <t>M15</t>
        </is>
      </c>
      <c r="D613" t="n">
        <v>4710.77</v>
      </c>
      <c r="E613" t="n">
        <v>4518.59282</v>
      </c>
      <c r="F613" t="n">
        <v>4596.05595</v>
      </c>
      <c r="G613" t="n">
        <v>4755.40355</v>
      </c>
      <c r="H613" t="n">
        <v>4792.76972</v>
      </c>
      <c r="Q613" t="n">
        <v>4654.13163</v>
      </c>
      <c r="R613" t="n">
        <v>4683.49493</v>
      </c>
      <c r="S613" t="n">
        <v>4710.0837</v>
      </c>
      <c r="V613" t="n">
        <v>4619.19186</v>
      </c>
      <c r="W613" t="n">
        <v>4585.62687</v>
      </c>
      <c r="AB613" t="n">
        <v>4712.87561</v>
      </c>
      <c r="AC613" t="n">
        <v>4712.87991</v>
      </c>
      <c r="AD613" t="n">
        <v>0</v>
      </c>
      <c r="AK613" t="n">
        <v>611</v>
      </c>
      <c r="AL613" t="n">
        <v>610</v>
      </c>
      <c r="AM613" t="n">
        <v>4710.77</v>
      </c>
      <c r="AN613" t="n">
        <v>4654.1316</v>
      </c>
      <c r="AO613" t="n">
        <v>56.6384</v>
      </c>
      <c r="AP613" t="n">
        <v>3207.905</v>
      </c>
      <c r="AQ613" t="n">
        <v>4.179726</v>
      </c>
      <c r="AR613" t="n">
        <v>6.732821</v>
      </c>
      <c r="AY613" t="n">
        <v>611</v>
      </c>
      <c r="AZ613" t="n">
        <v>610</v>
      </c>
      <c r="BA613" t="n">
        <v>4710.77</v>
      </c>
      <c r="BB613" t="n">
        <v>4654.1316</v>
      </c>
      <c r="BC613" t="n">
        <v>56.6384</v>
      </c>
      <c r="BD613" t="n">
        <v>3207.905</v>
      </c>
      <c r="BE613" t="n">
        <v>372100</v>
      </c>
    </row>
    <row r="614">
      <c r="A614" t="n">
        <v>1777272302</v>
      </c>
      <c r="B614" t="inlineStr">
        <is>
          <t>XAUUSD</t>
        </is>
      </c>
      <c r="C614" t="inlineStr">
        <is>
          <t>M15</t>
        </is>
      </c>
      <c r="D614" t="n">
        <v>4712.84</v>
      </c>
      <c r="E614" t="n">
        <v>4518.59282</v>
      </c>
      <c r="F614" t="n">
        <v>4596.05595</v>
      </c>
      <c r="G614" t="n">
        <v>4755.40355</v>
      </c>
      <c r="H614" t="n">
        <v>4792.76972</v>
      </c>
      <c r="Q614" t="n">
        <v>4653.86403</v>
      </c>
      <c r="R614" t="n">
        <v>4683.22733</v>
      </c>
      <c r="S614" t="n">
        <v>4709.8161</v>
      </c>
      <c r="V614" t="n">
        <v>4618.92426</v>
      </c>
      <c r="W614" t="n">
        <v>4585.35926</v>
      </c>
      <c r="AB614" t="n">
        <v>4713.84707</v>
      </c>
      <c r="AC614" t="n">
        <v>4713.36349</v>
      </c>
      <c r="AD614" t="n">
        <v>1</v>
      </c>
      <c r="AK614" t="n">
        <v>612</v>
      </c>
      <c r="AL614" t="n">
        <v>611</v>
      </c>
      <c r="AM614" t="n">
        <v>4712.84</v>
      </c>
      <c r="AN614" t="n">
        <v>4653.864</v>
      </c>
      <c r="AO614" t="n">
        <v>58.976</v>
      </c>
      <c r="AP614" t="n">
        <v>3478.165</v>
      </c>
      <c r="AQ614" t="n">
        <v>4.718901</v>
      </c>
      <c r="AR614" t="n">
        <v>7.915065</v>
      </c>
      <c r="AY614" t="n">
        <v>612</v>
      </c>
      <c r="AZ614" t="n">
        <v>611</v>
      </c>
      <c r="BA614" t="n">
        <v>4712.84</v>
      </c>
      <c r="BB614" t="n">
        <v>4653.864</v>
      </c>
      <c r="BC614" t="n">
        <v>58.976</v>
      </c>
      <c r="BD614" t="n">
        <v>3478.165</v>
      </c>
      <c r="BE614" t="n">
        <v>373321</v>
      </c>
    </row>
    <row r="615">
      <c r="A615" t="n">
        <v>1777273202</v>
      </c>
      <c r="B615" t="inlineStr">
        <is>
          <t>XAUUSD</t>
        </is>
      </c>
      <c r="C615" t="inlineStr">
        <is>
          <t>M15</t>
        </is>
      </c>
      <c r="D615" t="n">
        <v>4717.2</v>
      </c>
      <c r="E615" t="n">
        <v>4518.59282</v>
      </c>
      <c r="F615" t="n">
        <v>4596.05595</v>
      </c>
      <c r="G615" t="n">
        <v>4755.40355</v>
      </c>
      <c r="H615" t="n">
        <v>4792.76972</v>
      </c>
      <c r="Q615" t="n">
        <v>4653.59642</v>
      </c>
      <c r="R615" t="n">
        <v>4682.95972</v>
      </c>
      <c r="S615" t="n">
        <v>4709.54849</v>
      </c>
      <c r="V615" t="n">
        <v>4618.65665</v>
      </c>
      <c r="W615" t="n">
        <v>4585.09166</v>
      </c>
      <c r="AB615" t="n">
        <v>4714.77643</v>
      </c>
      <c r="AC615" t="n">
        <v>4714.06996</v>
      </c>
      <c r="AD615" t="n">
        <v>0</v>
      </c>
      <c r="AK615" t="n">
        <v>613</v>
      </c>
      <c r="AL615" t="n">
        <v>612</v>
      </c>
      <c r="AM615" t="n">
        <v>4717.2</v>
      </c>
      <c r="AN615" t="n">
        <v>4653.5964</v>
      </c>
      <c r="AO615" t="n">
        <v>63.6036</v>
      </c>
      <c r="AP615" t="n">
        <v>4045.4154</v>
      </c>
      <c r="AQ615" t="n">
        <v>5.919163</v>
      </c>
      <c r="AR615" t="n">
        <v>10.70731</v>
      </c>
      <c r="AY615" t="n">
        <v>613</v>
      </c>
      <c r="AZ615" t="n">
        <v>612</v>
      </c>
      <c r="BA615" t="n">
        <v>4717.2</v>
      </c>
      <c r="BB615" t="n">
        <v>4653.5964</v>
      </c>
      <c r="BC615" t="n">
        <v>63.6036</v>
      </c>
      <c r="BD615" t="n">
        <v>4045.4154</v>
      </c>
      <c r="BE615" t="n">
        <v>374544</v>
      </c>
    </row>
    <row r="616">
      <c r="A616" t="n">
        <v>1777274102</v>
      </c>
      <c r="B616" t="inlineStr">
        <is>
          <t>XAUUSD</t>
        </is>
      </c>
      <c r="C616" t="inlineStr">
        <is>
          <t>M15</t>
        </is>
      </c>
      <c r="D616" t="n">
        <v>4716.12</v>
      </c>
      <c r="E616" t="n">
        <v>4518.59282</v>
      </c>
      <c r="F616" t="n">
        <v>4596.05595</v>
      </c>
      <c r="G616" t="n">
        <v>4755.40355</v>
      </c>
      <c r="H616" t="n">
        <v>4792.76972</v>
      </c>
      <c r="Q616" t="n">
        <v>4653.32882</v>
      </c>
      <c r="R616" t="n">
        <v>4682.69212</v>
      </c>
      <c r="S616" t="n">
        <v>4709.28089</v>
      </c>
      <c r="V616" t="n">
        <v>4618.38905</v>
      </c>
      <c r="W616" t="n">
        <v>4584.82405</v>
      </c>
      <c r="AB616" t="n">
        <v>4715.23428</v>
      </c>
      <c r="AC616" t="n">
        <v>4714.65212</v>
      </c>
      <c r="AD616" t="n">
        <v>0</v>
      </c>
      <c r="AK616" t="n">
        <v>614</v>
      </c>
      <c r="AL616" t="n">
        <v>613</v>
      </c>
      <c r="AM616" t="n">
        <v>4716.12</v>
      </c>
      <c r="AN616" t="n">
        <v>4653.3288</v>
      </c>
      <c r="AO616" t="n">
        <v>62.7912</v>
      </c>
      <c r="AP616" t="n">
        <v>3942.7323</v>
      </c>
      <c r="AQ616" t="n">
        <v>5.695233</v>
      </c>
      <c r="AR616" t="n">
        <v>10.17065</v>
      </c>
      <c r="AY616" t="n">
        <v>614</v>
      </c>
      <c r="AZ616" t="n">
        <v>613</v>
      </c>
      <c r="BA616" t="n">
        <v>4716.12</v>
      </c>
      <c r="BB616" t="n">
        <v>4653.3288</v>
      </c>
      <c r="BC616" t="n">
        <v>62.7912</v>
      </c>
      <c r="BD616" t="n">
        <v>3942.7323</v>
      </c>
      <c r="BE616" t="n">
        <v>375769</v>
      </c>
    </row>
    <row r="617">
      <c r="A617" t="n">
        <v>1777275002</v>
      </c>
      <c r="B617" t="inlineStr">
        <is>
          <t>XAUUSD</t>
        </is>
      </c>
      <c r="C617" t="inlineStr">
        <is>
          <t>M15</t>
        </is>
      </c>
      <c r="D617" t="n">
        <v>4714.85</v>
      </c>
      <c r="E617" t="n">
        <v>4518.59282</v>
      </c>
      <c r="F617" t="n">
        <v>4596.05595</v>
      </c>
      <c r="G617" t="n">
        <v>4755.40355</v>
      </c>
      <c r="H617" t="n">
        <v>4792.76972</v>
      </c>
      <c r="Q617" t="n">
        <v>4653.06122</v>
      </c>
      <c r="R617" t="n">
        <v>4682.42452</v>
      </c>
      <c r="S617" t="n">
        <v>4709.01329</v>
      </c>
      <c r="V617" t="n">
        <v>4618.12145</v>
      </c>
      <c r="W617" t="n">
        <v>4584.55645</v>
      </c>
      <c r="AB617" t="n">
        <v>4715.06779</v>
      </c>
      <c r="AC617" t="n">
        <v>4714.85996</v>
      </c>
      <c r="AD617" t="n">
        <v>0</v>
      </c>
      <c r="AK617" t="n">
        <v>615</v>
      </c>
      <c r="AL617" t="n">
        <v>614</v>
      </c>
      <c r="AM617" t="n">
        <v>4714.85</v>
      </c>
      <c r="AN617" t="n">
        <v>4653.0612</v>
      </c>
      <c r="AO617" t="n">
        <v>61.7888</v>
      </c>
      <c r="AP617" t="n">
        <v>3817.8533</v>
      </c>
      <c r="AQ617" t="n">
        <v>5.426808</v>
      </c>
      <c r="AR617" t="n">
        <v>9.536579</v>
      </c>
      <c r="AY617" t="n">
        <v>615</v>
      </c>
      <c r="AZ617" t="n">
        <v>614</v>
      </c>
      <c r="BA617" t="n">
        <v>4714.85</v>
      </c>
      <c r="BB617" t="n">
        <v>4653.0612</v>
      </c>
      <c r="BC617" t="n">
        <v>61.7888</v>
      </c>
      <c r="BD617" t="n">
        <v>3817.8533</v>
      </c>
      <c r="BE617" t="n">
        <v>376996</v>
      </c>
    </row>
    <row r="618">
      <c r="A618" t="n">
        <v>1777275902</v>
      </c>
      <c r="B618" t="inlineStr">
        <is>
          <t>XAUUSD</t>
        </is>
      </c>
      <c r="C618" t="inlineStr">
        <is>
          <t>M15</t>
        </is>
      </c>
      <c r="D618" t="n">
        <v>4713.36</v>
      </c>
      <c r="E618" t="n">
        <v>4518.59282</v>
      </c>
      <c r="F618" t="n">
        <v>4596.05595</v>
      </c>
      <c r="G618" t="n">
        <v>4755.40355</v>
      </c>
      <c r="H618" t="n">
        <v>4792.76972</v>
      </c>
      <c r="Q618" t="n">
        <v>4652.79361</v>
      </c>
      <c r="R618" t="n">
        <v>4682.15691</v>
      </c>
      <c r="S618" t="n">
        <v>4708.74568</v>
      </c>
      <c r="V618" t="n">
        <v>4617.85384</v>
      </c>
      <c r="W618" t="n">
        <v>4584.28885</v>
      </c>
      <c r="AB618" t="n">
        <v>4714.23743</v>
      </c>
      <c r="AC618" t="n">
        <v>4714.54869</v>
      </c>
      <c r="AD618" t="n">
        <v>1</v>
      </c>
      <c r="AK618" t="n">
        <v>616</v>
      </c>
      <c r="AL618" t="n">
        <v>615</v>
      </c>
      <c r="AM618" t="n">
        <v>4713.36</v>
      </c>
      <c r="AN618" t="n">
        <v>4652.7936</v>
      </c>
      <c r="AO618" t="n">
        <v>60.5664</v>
      </c>
      <c r="AP618" t="n">
        <v>3668.2876</v>
      </c>
      <c r="AQ618" t="n">
        <v>5.111056</v>
      </c>
      <c r="AR618" t="n">
        <v>8.804017</v>
      </c>
      <c r="AY618" t="n">
        <v>616</v>
      </c>
      <c r="AZ618" t="n">
        <v>615</v>
      </c>
      <c r="BA618" t="n">
        <v>4713.36</v>
      </c>
      <c r="BB618" t="n">
        <v>4652.7936</v>
      </c>
      <c r="BC618" t="n">
        <v>60.5664</v>
      </c>
      <c r="BD618" t="n">
        <v>3668.2876</v>
      </c>
      <c r="BE618" t="n">
        <v>378225</v>
      </c>
    </row>
    <row r="619">
      <c r="A619" t="n">
        <v>1777276802</v>
      </c>
      <c r="B619" t="inlineStr">
        <is>
          <t>XAUUSD</t>
        </is>
      </c>
      <c r="C619" t="inlineStr">
        <is>
          <t>M15</t>
        </is>
      </c>
      <c r="D619" t="n">
        <v>4710.86</v>
      </c>
      <c r="E619" t="n">
        <v>4518.59282</v>
      </c>
      <c r="F619" t="n">
        <v>4596.05595</v>
      </c>
      <c r="G619" t="n">
        <v>4755.40355</v>
      </c>
      <c r="H619" t="n">
        <v>4792.76972</v>
      </c>
      <c r="Q619" t="n">
        <v>4652.52601</v>
      </c>
      <c r="R619" t="n">
        <v>4681.88931</v>
      </c>
      <c r="S619" t="n">
        <v>4708.47808</v>
      </c>
      <c r="V619" t="n">
        <v>4617.58624</v>
      </c>
      <c r="W619" t="n">
        <v>4584.02124</v>
      </c>
      <c r="AB619" t="n">
        <v>4712.81265</v>
      </c>
      <c r="AC619" t="n">
        <v>4713.68067</v>
      </c>
      <c r="AD619" t="n">
        <v>0</v>
      </c>
      <c r="AK619" t="n">
        <v>617</v>
      </c>
      <c r="AL619" t="n">
        <v>616</v>
      </c>
      <c r="AM619" t="n">
        <v>4710.86</v>
      </c>
      <c r="AN619" t="n">
        <v>4652.526</v>
      </c>
      <c r="AO619" t="n">
        <v>58.334</v>
      </c>
      <c r="AP619" t="n">
        <v>3402.8544</v>
      </c>
      <c r="AQ619" t="n">
        <v>4.56647</v>
      </c>
      <c r="AR619" t="n">
        <v>7.576015</v>
      </c>
      <c r="AY619" t="n">
        <v>617</v>
      </c>
      <c r="AZ619" t="n">
        <v>616</v>
      </c>
      <c r="BA619" t="n">
        <v>4710.86</v>
      </c>
      <c r="BB619" t="n">
        <v>4652.526</v>
      </c>
      <c r="BC619" t="n">
        <v>58.334</v>
      </c>
      <c r="BD619" t="n">
        <v>3402.8544</v>
      </c>
      <c r="BE619" t="n">
        <v>379456</v>
      </c>
    </row>
    <row r="620">
      <c r="A620" t="n">
        <v>1777277702</v>
      </c>
      <c r="B620" t="inlineStr">
        <is>
          <t>XAUUSD</t>
        </is>
      </c>
      <c r="C620" t="inlineStr">
        <is>
          <t>M15</t>
        </is>
      </c>
      <c r="D620" t="n">
        <v>4710.86</v>
      </c>
      <c r="E620" t="n">
        <v>4518.59282</v>
      </c>
      <c r="F620" t="n">
        <v>4596.05595</v>
      </c>
      <c r="G620" t="n">
        <v>4755.40355</v>
      </c>
      <c r="H620" t="n">
        <v>4792.76972</v>
      </c>
      <c r="Q620" t="n">
        <v>4652.2584</v>
      </c>
      <c r="R620" t="n">
        <v>4681.6217</v>
      </c>
      <c r="S620" t="n">
        <v>4708.21047</v>
      </c>
      <c r="V620" t="n">
        <v>4617.31863</v>
      </c>
      <c r="W620" t="n">
        <v>4583.75364</v>
      </c>
      <c r="AB620" t="n">
        <v>4711.00481</v>
      </c>
      <c r="AC620" t="n">
        <v>4712.34274</v>
      </c>
      <c r="AD620" t="n">
        <v>0</v>
      </c>
      <c r="AK620" t="n">
        <v>618</v>
      </c>
      <c r="AL620" t="n">
        <v>617</v>
      </c>
      <c r="AM620" t="n">
        <v>4710.86</v>
      </c>
      <c r="AN620" t="n">
        <v>4652.2584</v>
      </c>
      <c r="AO620" t="n">
        <v>58.6016</v>
      </c>
      <c r="AP620" t="n">
        <v>3434.1475</v>
      </c>
      <c r="AQ620" t="n">
        <v>4.629606</v>
      </c>
      <c r="AR620" t="n">
        <v>7.715996</v>
      </c>
      <c r="AY620" t="n">
        <v>618</v>
      </c>
      <c r="AZ620" t="n">
        <v>617</v>
      </c>
      <c r="BA620" t="n">
        <v>4710.86</v>
      </c>
      <c r="BB620" t="n">
        <v>4652.2584</v>
      </c>
      <c r="BC620" t="n">
        <v>58.6016</v>
      </c>
      <c r="BD620" t="n">
        <v>3434.1475</v>
      </c>
      <c r="BE620" t="n">
        <v>380689</v>
      </c>
    </row>
    <row r="621">
      <c r="A621" t="n">
        <v>1777278602</v>
      </c>
      <c r="B621" t="inlineStr">
        <is>
          <t>XAUUSD</t>
        </is>
      </c>
      <c r="C621" t="inlineStr">
        <is>
          <t>M15</t>
        </is>
      </c>
      <c r="D621" t="n">
        <v>4711.89</v>
      </c>
      <c r="E621" t="n">
        <v>4518.59282</v>
      </c>
      <c r="F621" t="n">
        <v>4596.05595</v>
      </c>
      <c r="G621" t="n">
        <v>4755.40355</v>
      </c>
      <c r="H621" t="n">
        <v>4792.76972</v>
      </c>
      <c r="Q621" t="n">
        <v>4651.9908</v>
      </c>
      <c r="R621" t="n">
        <v>4681.3541</v>
      </c>
      <c r="S621" t="n">
        <v>4707.94287</v>
      </c>
      <c r="V621" t="n">
        <v>4617.05103</v>
      </c>
      <c r="W621" t="n">
        <v>4583.48603</v>
      </c>
      <c r="AB621" t="n">
        <v>4708.98704</v>
      </c>
      <c r="AC621" t="n">
        <v>4710.66489</v>
      </c>
      <c r="AD621" t="n">
        <v>0</v>
      </c>
      <c r="AK621" t="n">
        <v>619</v>
      </c>
      <c r="AL621" t="n">
        <v>618</v>
      </c>
      <c r="AM621" t="n">
        <v>4711.89</v>
      </c>
      <c r="AN621" t="n">
        <v>4651.9908</v>
      </c>
      <c r="AO621" t="n">
        <v>59.8992</v>
      </c>
      <c r="AP621" t="n">
        <v>3587.9142</v>
      </c>
      <c r="AQ621" t="n">
        <v>4.944002</v>
      </c>
      <c r="AR621" t="n">
        <v>8.422445</v>
      </c>
      <c r="AY621" t="n">
        <v>619</v>
      </c>
      <c r="AZ621" t="n">
        <v>618</v>
      </c>
      <c r="BA621" t="n">
        <v>4711.89</v>
      </c>
      <c r="BB621" t="n">
        <v>4651.9908</v>
      </c>
      <c r="BC621" t="n">
        <v>59.8992</v>
      </c>
      <c r="BD621" t="n">
        <v>3587.9142</v>
      </c>
      <c r="BE621" t="n">
        <v>381924</v>
      </c>
    </row>
    <row r="622">
      <c r="A622" t="n">
        <v>1777279502</v>
      </c>
      <c r="B622" t="inlineStr">
        <is>
          <t>XAUUSD</t>
        </is>
      </c>
      <c r="C622" t="inlineStr">
        <is>
          <t>M15</t>
        </is>
      </c>
      <c r="D622" t="n">
        <v>4706.71</v>
      </c>
      <c r="E622" t="n">
        <v>4518.59282</v>
      </c>
      <c r="F622" t="n">
        <v>4596.05595</v>
      </c>
      <c r="G622" t="n">
        <v>4755.40355</v>
      </c>
      <c r="H622" t="n">
        <v>4792.76972</v>
      </c>
      <c r="Q622" t="n">
        <v>4651.7232</v>
      </c>
      <c r="R622" t="n">
        <v>4681.08649</v>
      </c>
      <c r="S622" t="n">
        <v>4707.67527</v>
      </c>
      <c r="V622" t="n">
        <v>4616.78343</v>
      </c>
      <c r="W622" t="n">
        <v>4583.21843</v>
      </c>
      <c r="AB622" t="n">
        <v>4706.94915</v>
      </c>
      <c r="AC622" t="n">
        <v>4708.80702</v>
      </c>
      <c r="AD622" t="n">
        <v>0</v>
      </c>
      <c r="AK622" t="n">
        <v>620</v>
      </c>
      <c r="AL622" t="n">
        <v>619</v>
      </c>
      <c r="AM622" t="n">
        <v>4706.71</v>
      </c>
      <c r="AN622" t="n">
        <v>4651.7232</v>
      </c>
      <c r="AO622" t="n">
        <v>54.9868</v>
      </c>
      <c r="AP622" t="n">
        <v>3023.5482</v>
      </c>
      <c r="AQ622" t="n">
        <v>3.824643</v>
      </c>
      <c r="AR622" t="n">
        <v>5.981194</v>
      </c>
      <c r="AY622" t="n">
        <v>620</v>
      </c>
      <c r="AZ622" t="n">
        <v>619</v>
      </c>
      <c r="BA622" t="n">
        <v>4706.71</v>
      </c>
      <c r="BB622" t="n">
        <v>4651.7232</v>
      </c>
      <c r="BC622" t="n">
        <v>54.9868</v>
      </c>
      <c r="BD622" t="n">
        <v>3023.5482</v>
      </c>
      <c r="BE622" t="n">
        <v>383161</v>
      </c>
    </row>
    <row r="623">
      <c r="A623" t="n">
        <v>1777280402</v>
      </c>
      <c r="B623" t="inlineStr">
        <is>
          <t>XAUUSD</t>
        </is>
      </c>
      <c r="C623" t="inlineStr">
        <is>
          <t>M15</t>
        </is>
      </c>
      <c r="D623" t="n">
        <v>4705.12</v>
      </c>
      <c r="E623" t="n">
        <v>4518.59282</v>
      </c>
      <c r="F623" t="n">
        <v>4596.05595</v>
      </c>
      <c r="G623" t="n">
        <v>4755.40355</v>
      </c>
      <c r="H623" t="n">
        <v>4792.76972</v>
      </c>
      <c r="Q623" t="n">
        <v>4651.45559</v>
      </c>
      <c r="R623" t="n">
        <v>4680.81889</v>
      </c>
      <c r="S623" t="n">
        <v>4707.40766</v>
      </c>
      <c r="V623" t="n">
        <v>4616.51582</v>
      </c>
      <c r="W623" t="n">
        <v>4582.95083</v>
      </c>
      <c r="AB623" t="n">
        <v>4705.23719</v>
      </c>
      <c r="AC623" t="n">
        <v>4707.02211</v>
      </c>
      <c r="AD623" t="n">
        <v>0</v>
      </c>
      <c r="AK623" t="n">
        <v>621</v>
      </c>
      <c r="AL623" t="n">
        <v>620</v>
      </c>
      <c r="AM623" t="n">
        <v>4705.12</v>
      </c>
      <c r="AN623" t="n">
        <v>4651.4556</v>
      </c>
      <c r="AO623" t="n">
        <v>53.6644</v>
      </c>
      <c r="AP623" t="n">
        <v>2879.8689</v>
      </c>
      <c r="AQ623" t="n">
        <v>3.555287</v>
      </c>
      <c r="AR623" t="n">
        <v>5.426247</v>
      </c>
      <c r="AY623" t="n">
        <v>621</v>
      </c>
      <c r="AZ623" t="n">
        <v>620</v>
      </c>
      <c r="BA623" t="n">
        <v>4705.12</v>
      </c>
      <c r="BB623" t="n">
        <v>4651.4556</v>
      </c>
      <c r="BC623" t="n">
        <v>53.6644</v>
      </c>
      <c r="BD623" t="n">
        <v>2879.8689</v>
      </c>
      <c r="BE623" t="n">
        <v>384400</v>
      </c>
    </row>
    <row r="624">
      <c r="A624" t="n">
        <v>1777281302</v>
      </c>
      <c r="B624" t="inlineStr">
        <is>
          <t>XAUUSD</t>
        </is>
      </c>
      <c r="C624" t="inlineStr">
        <is>
          <t>M15</t>
        </is>
      </c>
      <c r="D624" t="n">
        <v>4702.32</v>
      </c>
      <c r="E624" t="n">
        <v>4518.59282</v>
      </c>
      <c r="F624" t="n">
        <v>4596.05595</v>
      </c>
      <c r="G624" t="n">
        <v>4755.40355</v>
      </c>
      <c r="H624" t="n">
        <v>4792.76972</v>
      </c>
      <c r="Q624" t="n">
        <v>4651.18799</v>
      </c>
      <c r="R624" t="n">
        <v>4680.55129</v>
      </c>
      <c r="S624" t="n">
        <v>4707.14006</v>
      </c>
      <c r="V624" t="n">
        <v>4616.24822</v>
      </c>
      <c r="W624" t="n">
        <v>4582.68322</v>
      </c>
      <c r="AB624" t="n">
        <v>4704.05975</v>
      </c>
      <c r="AC624" t="n">
        <v>4705.54093</v>
      </c>
      <c r="AD624" t="n">
        <v>0</v>
      </c>
      <c r="AK624" t="n">
        <v>622</v>
      </c>
      <c r="AL624" t="n">
        <v>621</v>
      </c>
      <c r="AM624" t="n">
        <v>4702.32</v>
      </c>
      <c r="AN624" t="n">
        <v>4651.188</v>
      </c>
      <c r="AO624" t="n">
        <v>51.132</v>
      </c>
      <c r="AP624" t="n">
        <v>2614.4824</v>
      </c>
      <c r="AQ624" t="n">
        <v>3.075347</v>
      </c>
      <c r="AR624" t="n">
        <v>4.472245</v>
      </c>
      <c r="AY624" t="n">
        <v>622</v>
      </c>
      <c r="AZ624" t="n">
        <v>621</v>
      </c>
      <c r="BA624" t="n">
        <v>4702.32</v>
      </c>
      <c r="BB624" t="n">
        <v>4651.188</v>
      </c>
      <c r="BC624" t="n">
        <v>51.132</v>
      </c>
      <c r="BD624" t="n">
        <v>2614.4824</v>
      </c>
      <c r="BE624" t="n">
        <v>385641</v>
      </c>
    </row>
    <row r="625">
      <c r="A625" t="n">
        <v>1777282202</v>
      </c>
      <c r="B625" t="inlineStr">
        <is>
          <t>XAUUSD</t>
        </is>
      </c>
      <c r="C625" t="inlineStr">
        <is>
          <t>M15</t>
        </is>
      </c>
      <c r="D625" t="n">
        <v>4704.64</v>
      </c>
      <c r="E625" t="n">
        <v>4518.59282</v>
      </c>
      <c r="F625" t="n">
        <v>4596.05595</v>
      </c>
      <c r="G625" t="n">
        <v>4755.40355</v>
      </c>
      <c r="H625" t="n">
        <v>4792.76972</v>
      </c>
      <c r="Q625" t="n">
        <v>4650.92038</v>
      </c>
      <c r="R625" t="n">
        <v>4680.28368</v>
      </c>
      <c r="S625" t="n">
        <v>4706.87245</v>
      </c>
      <c r="V625" t="n">
        <v>4615.98061</v>
      </c>
      <c r="W625" t="n">
        <v>4582.41562</v>
      </c>
      <c r="AB625" t="n">
        <v>4703.5523</v>
      </c>
      <c r="AC625" t="n">
        <v>4704.54661</v>
      </c>
      <c r="AD625" t="n">
        <v>0</v>
      </c>
      <c r="AK625" t="n">
        <v>623</v>
      </c>
      <c r="AL625" t="n">
        <v>622</v>
      </c>
      <c r="AM625" t="n">
        <v>4704.64</v>
      </c>
      <c r="AN625" t="n">
        <v>4650.9204</v>
      </c>
      <c r="AO625" t="n">
        <v>53.7196</v>
      </c>
      <c r="AP625" t="n">
        <v>2885.7976</v>
      </c>
      <c r="AQ625" t="n">
        <v>3.566271</v>
      </c>
      <c r="AR625" t="n">
        <v>5.448611</v>
      </c>
      <c r="AY625" t="n">
        <v>623</v>
      </c>
      <c r="AZ625" t="n">
        <v>622</v>
      </c>
      <c r="BA625" t="n">
        <v>4704.64</v>
      </c>
      <c r="BB625" t="n">
        <v>4650.9204</v>
      </c>
      <c r="BC625" t="n">
        <v>53.7196</v>
      </c>
      <c r="BD625" t="n">
        <v>2885.7976</v>
      </c>
      <c r="BE625" t="n">
        <v>386884</v>
      </c>
    </row>
    <row r="626">
      <c r="A626" t="n">
        <v>1777283102</v>
      </c>
      <c r="B626" t="inlineStr">
        <is>
          <t>XAUUSD</t>
        </is>
      </c>
      <c r="C626" t="inlineStr">
        <is>
          <t>M15</t>
        </is>
      </c>
      <c r="D626" t="n">
        <v>4703.64</v>
      </c>
      <c r="E626" t="n">
        <v>4518.59282</v>
      </c>
      <c r="F626" t="n">
        <v>4596.05595</v>
      </c>
      <c r="G626" t="n">
        <v>4755.40355</v>
      </c>
      <c r="H626" t="n">
        <v>4792.76972</v>
      </c>
      <c r="Q626" t="n">
        <v>4650.65278</v>
      </c>
      <c r="R626" t="n">
        <v>4680.01608</v>
      </c>
      <c r="S626" t="n">
        <v>4706.60485</v>
      </c>
      <c r="V626" t="n">
        <v>4615.71301</v>
      </c>
      <c r="W626" t="n">
        <v>4582.14801</v>
      </c>
      <c r="AB626" t="n">
        <v>4703.62711</v>
      </c>
      <c r="AC626" t="n">
        <v>4704.08686</v>
      </c>
      <c r="AD626" t="n">
        <v>0</v>
      </c>
      <c r="AK626" t="n">
        <v>624</v>
      </c>
      <c r="AL626" t="n">
        <v>623</v>
      </c>
      <c r="AM626" t="n">
        <v>4703.64</v>
      </c>
      <c r="AN626" t="n">
        <v>4650.6528</v>
      </c>
      <c r="AO626" t="n">
        <v>52.9872</v>
      </c>
      <c r="AP626" t="n">
        <v>2807.6455</v>
      </c>
      <c r="AQ626" t="n">
        <v>3.422386</v>
      </c>
      <c r="AR626" t="n">
        <v>5.157493</v>
      </c>
      <c r="AY626" t="n">
        <v>624</v>
      </c>
      <c r="AZ626" t="n">
        <v>623</v>
      </c>
      <c r="BA626" t="n">
        <v>4703.64</v>
      </c>
      <c r="BB626" t="n">
        <v>4650.6528</v>
      </c>
      <c r="BC626" t="n">
        <v>52.9872</v>
      </c>
      <c r="BD626" t="n">
        <v>2807.6455</v>
      </c>
      <c r="BE626" t="n">
        <v>388129</v>
      </c>
    </row>
    <row r="627">
      <c r="A627" t="n">
        <v>1777284002</v>
      </c>
      <c r="B627" t="inlineStr">
        <is>
          <t>XAUUSD</t>
        </is>
      </c>
      <c r="C627" t="inlineStr">
        <is>
          <t>M15</t>
        </is>
      </c>
      <c r="D627" t="n">
        <v>4701.91</v>
      </c>
      <c r="E627" t="n">
        <v>4518.59282</v>
      </c>
      <c r="F627" t="n">
        <v>4596.05595</v>
      </c>
      <c r="G627" t="n">
        <v>4755.40355</v>
      </c>
      <c r="H627" t="n">
        <v>4792.76972</v>
      </c>
      <c r="Q627" t="n">
        <v>4650.38518</v>
      </c>
      <c r="R627" t="n">
        <v>4679.74847</v>
      </c>
      <c r="S627" t="n">
        <v>4706.33725</v>
      </c>
      <c r="V627" t="n">
        <v>4615.44541</v>
      </c>
      <c r="W627" t="n">
        <v>4581.88041</v>
      </c>
      <c r="AB627" t="n">
        <v>4704.16561</v>
      </c>
      <c r="AC627" t="n">
        <v>4704.12623</v>
      </c>
      <c r="AD627" t="n">
        <v>1</v>
      </c>
      <c r="AK627" t="n">
        <v>625</v>
      </c>
      <c r="AL627" t="n">
        <v>624</v>
      </c>
      <c r="AM627" t="n">
        <v>4701.91</v>
      </c>
      <c r="AN627" t="n">
        <v>4650.3852</v>
      </c>
      <c r="AO627" t="n">
        <v>51.5248</v>
      </c>
      <c r="AP627" t="n">
        <v>2654.8071</v>
      </c>
      <c r="AQ627" t="n">
        <v>3.14677</v>
      </c>
      <c r="AR627" t="n">
        <v>4.611265</v>
      </c>
      <c r="AY627" t="n">
        <v>625</v>
      </c>
      <c r="AZ627" t="n">
        <v>624</v>
      </c>
      <c r="BA627" t="n">
        <v>4701.91</v>
      </c>
      <c r="BB627" t="n">
        <v>4650.3852</v>
      </c>
      <c r="BC627" t="n">
        <v>51.5248</v>
      </c>
      <c r="BD627" t="n">
        <v>2654.8071</v>
      </c>
      <c r="BE627" t="n">
        <v>389376</v>
      </c>
    </row>
    <row r="628">
      <c r="A628" t="n">
        <v>1777284902</v>
      </c>
      <c r="B628" t="inlineStr">
        <is>
          <t>XAUUSD</t>
        </is>
      </c>
      <c r="C628" t="inlineStr">
        <is>
          <t>M15</t>
        </is>
      </c>
      <c r="D628" t="n">
        <v>4705.08</v>
      </c>
      <c r="E628" t="n">
        <v>4518.59282</v>
      </c>
      <c r="F628" t="n">
        <v>4596.05595</v>
      </c>
      <c r="G628" t="n">
        <v>4755.40355</v>
      </c>
      <c r="H628" t="n">
        <v>4792.76972</v>
      </c>
      <c r="Q628" t="n">
        <v>4650.11757</v>
      </c>
      <c r="R628" t="n">
        <v>4679.48087</v>
      </c>
      <c r="S628" t="n">
        <v>4706.06964</v>
      </c>
      <c r="V628" t="n">
        <v>4615.1778</v>
      </c>
      <c r="W628" t="n">
        <v>4581.6128</v>
      </c>
      <c r="AB628" t="n">
        <v>4705.00986</v>
      </c>
      <c r="AC628" t="n">
        <v>4704.56805</v>
      </c>
      <c r="AD628" t="n">
        <v>0</v>
      </c>
      <c r="AK628" t="n">
        <v>626</v>
      </c>
      <c r="AL628" t="n">
        <v>625</v>
      </c>
      <c r="AM628" t="n">
        <v>4705.08</v>
      </c>
      <c r="AN628" t="n">
        <v>4650.1176</v>
      </c>
      <c r="AO628" t="n">
        <v>54.9624</v>
      </c>
      <c r="AP628" t="n">
        <v>3020.8687</v>
      </c>
      <c r="AQ628" t="n">
        <v>3.81956</v>
      </c>
      <c r="AR628" t="n">
        <v>5.970598</v>
      </c>
      <c r="AY628" t="n">
        <v>626</v>
      </c>
      <c r="AZ628" t="n">
        <v>625</v>
      </c>
      <c r="BA628" t="n">
        <v>4705.08</v>
      </c>
      <c r="BB628" t="n">
        <v>4650.1176</v>
      </c>
      <c r="BC628" t="n">
        <v>54.9624</v>
      </c>
      <c r="BD628" t="n">
        <v>3020.8687</v>
      </c>
      <c r="BE628" t="n">
        <v>390625</v>
      </c>
    </row>
    <row r="629">
      <c r="A629" t="n">
        <v>1777285802</v>
      </c>
      <c r="B629" t="inlineStr">
        <is>
          <t>XAUUSD</t>
        </is>
      </c>
      <c r="C629" t="inlineStr">
        <is>
          <t>M15</t>
        </is>
      </c>
      <c r="D629" t="n">
        <v>4709.07</v>
      </c>
      <c r="E629" t="n">
        <v>4518.59282</v>
      </c>
      <c r="F629" t="n">
        <v>4596.05595</v>
      </c>
      <c r="G629" t="n">
        <v>4755.40355</v>
      </c>
      <c r="H629" t="n">
        <v>4792.76972</v>
      </c>
      <c r="Q629" t="n">
        <v>4649.84997</v>
      </c>
      <c r="R629" t="n">
        <v>4679.21327</v>
      </c>
      <c r="S629" t="n">
        <v>4705.80204</v>
      </c>
      <c r="V629" t="n">
        <v>4614.9102</v>
      </c>
      <c r="W629" t="n">
        <v>4581.3452</v>
      </c>
      <c r="AB629" t="n">
        <v>4705.85859</v>
      </c>
      <c r="AC629" t="n">
        <v>4705.21332</v>
      </c>
      <c r="AD629" t="n">
        <v>0</v>
      </c>
      <c r="AK629" t="n">
        <v>627</v>
      </c>
      <c r="AL629" t="n">
        <v>626</v>
      </c>
      <c r="AM629" t="n">
        <v>4709.07</v>
      </c>
      <c r="AN629" t="n">
        <v>4649.85</v>
      </c>
      <c r="AO629" t="n">
        <v>59.22</v>
      </c>
      <c r="AP629" t="n">
        <v>3507.012</v>
      </c>
      <c r="AQ629" t="n">
        <v>4.777728</v>
      </c>
      <c r="AR629" t="n">
        <v>8.046900000000001</v>
      </c>
      <c r="AY629" t="n">
        <v>627</v>
      </c>
      <c r="AZ629" t="n">
        <v>626</v>
      </c>
      <c r="BA629" t="n">
        <v>4709.07</v>
      </c>
      <c r="BB629" t="n">
        <v>4649.85</v>
      </c>
      <c r="BC629" t="n">
        <v>59.22</v>
      </c>
      <c r="BD629" t="n">
        <v>3507.012</v>
      </c>
      <c r="BE629" t="n">
        <v>391876</v>
      </c>
    </row>
    <row r="630">
      <c r="A630" t="n">
        <v>1777286702</v>
      </c>
      <c r="B630" t="inlineStr">
        <is>
          <t>XAUUSD</t>
        </is>
      </c>
      <c r="C630" t="inlineStr">
        <is>
          <t>M15</t>
        </is>
      </c>
      <c r="D630" t="n">
        <v>4708.79</v>
      </c>
      <c r="E630" t="n">
        <v>4518.59282</v>
      </c>
      <c r="F630" t="n">
        <v>4596.05595</v>
      </c>
      <c r="G630" t="n">
        <v>4755.40355</v>
      </c>
      <c r="H630" t="n">
        <v>4792.76972</v>
      </c>
      <c r="Q630" t="n">
        <v>4649.58236</v>
      </c>
      <c r="R630" t="n">
        <v>4678.94566</v>
      </c>
      <c r="S630" t="n">
        <v>4705.53443</v>
      </c>
      <c r="V630" t="n">
        <v>4614.64259</v>
      </c>
      <c r="W630" t="n">
        <v>4581.0776</v>
      </c>
      <c r="AB630" t="n">
        <v>4706.42238</v>
      </c>
      <c r="AC630" t="n">
        <v>4705.81785</v>
      </c>
      <c r="AD630" t="n">
        <v>0</v>
      </c>
      <c r="AK630" t="n">
        <v>628</v>
      </c>
      <c r="AL630" t="n">
        <v>627</v>
      </c>
      <c r="AM630" t="n">
        <v>4708.79</v>
      </c>
      <c r="AN630" t="n">
        <v>4649.5824</v>
      </c>
      <c r="AO630" t="n">
        <v>59.2076</v>
      </c>
      <c r="AP630" t="n">
        <v>3505.5446</v>
      </c>
      <c r="AQ630" t="n">
        <v>4.77473</v>
      </c>
      <c r="AR630" t="n">
        <v>8.040168</v>
      </c>
      <c r="AY630" t="n">
        <v>628</v>
      </c>
      <c r="AZ630" t="n">
        <v>627</v>
      </c>
      <c r="BA630" t="n">
        <v>4708.79</v>
      </c>
      <c r="BB630" t="n">
        <v>4649.5824</v>
      </c>
      <c r="BC630" t="n">
        <v>59.2076</v>
      </c>
      <c r="BD630" t="n">
        <v>3505.5446</v>
      </c>
      <c r="BE630" t="n">
        <v>393129</v>
      </c>
    </row>
    <row r="631">
      <c r="A631" t="n">
        <v>1777287602</v>
      </c>
      <c r="B631" t="inlineStr">
        <is>
          <t>XAUUSD</t>
        </is>
      </c>
      <c r="C631" t="inlineStr">
        <is>
          <t>M15</t>
        </is>
      </c>
      <c r="D631" t="n">
        <v>4704.04</v>
      </c>
      <c r="E631" t="n">
        <v>4518.59282</v>
      </c>
      <c r="F631" t="n">
        <v>4596.05595</v>
      </c>
      <c r="G631" t="n">
        <v>4755.40355</v>
      </c>
      <c r="H631" t="n">
        <v>4792.76972</v>
      </c>
      <c r="Q631" t="n">
        <v>4649.31476</v>
      </c>
      <c r="R631" t="n">
        <v>4678.67806</v>
      </c>
      <c r="S631" t="n">
        <v>4705.26683</v>
      </c>
      <c r="V631" t="n">
        <v>4614.37499</v>
      </c>
      <c r="W631" t="n">
        <v>4580.80999</v>
      </c>
      <c r="AB631" t="n">
        <v>4706.59767</v>
      </c>
      <c r="AC631" t="n">
        <v>4706.20776</v>
      </c>
      <c r="AD631" t="n">
        <v>0</v>
      </c>
      <c r="AK631" t="n">
        <v>629</v>
      </c>
      <c r="AL631" t="n">
        <v>628</v>
      </c>
      <c r="AM631" t="n">
        <v>4704.04</v>
      </c>
      <c r="AN631" t="n">
        <v>4649.3148</v>
      </c>
      <c r="AO631" t="n">
        <v>54.7252</v>
      </c>
      <c r="AP631" t="n">
        <v>2994.8519</v>
      </c>
      <c r="AQ631" t="n">
        <v>3.770323</v>
      </c>
      <c r="AR631" t="n">
        <v>5.868199</v>
      </c>
      <c r="AY631" t="n">
        <v>629</v>
      </c>
      <c r="AZ631" t="n">
        <v>628</v>
      </c>
      <c r="BA631" t="n">
        <v>4704.04</v>
      </c>
      <c r="BB631" t="n">
        <v>4649.3148</v>
      </c>
      <c r="BC631" t="n">
        <v>54.7252</v>
      </c>
      <c r="BD631" t="n">
        <v>2994.8519</v>
      </c>
      <c r="BE631" t="n">
        <v>394384</v>
      </c>
    </row>
    <row r="632">
      <c r="A632" t="n">
        <v>1777288502</v>
      </c>
      <c r="B632" t="inlineStr">
        <is>
          <t>XAUUSD</t>
        </is>
      </c>
      <c r="C632" t="inlineStr">
        <is>
          <t>M15</t>
        </is>
      </c>
      <c r="D632" t="n">
        <v>4705.21</v>
      </c>
      <c r="E632" t="n">
        <v>4518.59282</v>
      </c>
      <c r="F632" t="n">
        <v>4596.05595</v>
      </c>
      <c r="G632" t="n">
        <v>4755.40355</v>
      </c>
      <c r="H632" t="n">
        <v>4792.76972</v>
      </c>
      <c r="Q632" t="n">
        <v>4649.04715</v>
      </c>
      <c r="R632" t="n">
        <v>4678.41045</v>
      </c>
      <c r="S632" t="n">
        <v>4704.99922</v>
      </c>
      <c r="V632" t="n">
        <v>4614.10738</v>
      </c>
      <c r="W632" t="n">
        <v>4580.54239</v>
      </c>
      <c r="AB632" t="n">
        <v>4706.45776</v>
      </c>
      <c r="AC632" t="n">
        <v>4706.33276</v>
      </c>
      <c r="AD632" t="n">
        <v>0</v>
      </c>
      <c r="AK632" t="n">
        <v>630</v>
      </c>
      <c r="AL632" t="n">
        <v>629</v>
      </c>
      <c r="AM632" t="n">
        <v>4705.21</v>
      </c>
      <c r="AN632" t="n">
        <v>4649.0472</v>
      </c>
      <c r="AO632" t="n">
        <v>56.1628</v>
      </c>
      <c r="AP632" t="n">
        <v>3154.2657</v>
      </c>
      <c r="AQ632" t="n">
        <v>4.075332</v>
      </c>
      <c r="AR632" t="n">
        <v>6.509545</v>
      </c>
      <c r="AY632" t="n">
        <v>630</v>
      </c>
      <c r="AZ632" t="n">
        <v>629</v>
      </c>
      <c r="BA632" t="n">
        <v>4705.21</v>
      </c>
      <c r="BB632" t="n">
        <v>4649.0472</v>
      </c>
      <c r="BC632" t="n">
        <v>56.1628</v>
      </c>
      <c r="BD632" t="n">
        <v>3154.2657</v>
      </c>
      <c r="BE632" t="n">
        <v>395641</v>
      </c>
    </row>
    <row r="633">
      <c r="A633" t="n">
        <v>1777289402</v>
      </c>
      <c r="B633" t="inlineStr">
        <is>
          <t>XAUUSD</t>
        </is>
      </c>
      <c r="C633" t="inlineStr">
        <is>
          <t>M15</t>
        </is>
      </c>
      <c r="D633" t="n">
        <v>4702.72</v>
      </c>
      <c r="E633" t="n">
        <v>4518.59282</v>
      </c>
      <c r="F633" t="n">
        <v>4596.05595</v>
      </c>
      <c r="G633" t="n">
        <v>4755.40355</v>
      </c>
      <c r="H633" t="n">
        <v>4792.76972</v>
      </c>
      <c r="Q633" t="n">
        <v>4648.77955</v>
      </c>
      <c r="R633" t="n">
        <v>4678.14285</v>
      </c>
      <c r="S633" t="n">
        <v>4704.73162</v>
      </c>
      <c r="V633" t="n">
        <v>4613.83978</v>
      </c>
      <c r="W633" t="n">
        <v>4580.27478</v>
      </c>
      <c r="AB633" t="n">
        <v>4705.99304</v>
      </c>
      <c r="AC633" t="n">
        <v>4706.1629</v>
      </c>
      <c r="AD633" t="n">
        <v>1</v>
      </c>
      <c r="AK633" t="n">
        <v>631</v>
      </c>
      <c r="AL633" t="n">
        <v>630</v>
      </c>
      <c r="AM633" t="n">
        <v>4702.72</v>
      </c>
      <c r="AN633" t="n">
        <v>4648.7796</v>
      </c>
      <c r="AO633" t="n">
        <v>53.9405</v>
      </c>
      <c r="AP633" t="n">
        <v>2909.5721</v>
      </c>
      <c r="AQ633" t="n">
        <v>3.610433</v>
      </c>
      <c r="AR633" t="n">
        <v>5.538758</v>
      </c>
      <c r="AY633" t="n">
        <v>631</v>
      </c>
      <c r="AZ633" t="n">
        <v>630</v>
      </c>
      <c r="BA633" t="n">
        <v>4702.72</v>
      </c>
      <c r="BB633" t="n">
        <v>4648.7796</v>
      </c>
      <c r="BC633" t="n">
        <v>53.9405</v>
      </c>
      <c r="BD633" t="n">
        <v>2909.5721</v>
      </c>
      <c r="BE633" t="n">
        <v>396900</v>
      </c>
    </row>
    <row r="634">
      <c r="A634" t="n">
        <v>1777290302</v>
      </c>
      <c r="B634" t="inlineStr">
        <is>
          <t>XAUUSD</t>
        </is>
      </c>
      <c r="C634" t="inlineStr">
        <is>
          <t>M15</t>
        </is>
      </c>
      <c r="D634" t="n">
        <v>4704.89</v>
      </c>
      <c r="E634" t="n">
        <v>4518.59282</v>
      </c>
      <c r="F634" t="n">
        <v>4596.05595</v>
      </c>
      <c r="G634" t="n">
        <v>4755.40355</v>
      </c>
      <c r="H634" t="n">
        <v>4792.76972</v>
      </c>
      <c r="Q634" t="n">
        <v>4648.51195</v>
      </c>
      <c r="R634" t="n">
        <v>4677.87525</v>
      </c>
      <c r="S634" t="n">
        <v>4704.46402</v>
      </c>
      <c r="V634" t="n">
        <v>4613.57218</v>
      </c>
      <c r="W634" t="n">
        <v>4580.00718</v>
      </c>
      <c r="AB634" t="n">
        <v>4705.3015</v>
      </c>
      <c r="AC634" t="n">
        <v>4705.7322</v>
      </c>
      <c r="AD634" t="n">
        <v>0</v>
      </c>
      <c r="AK634" t="n">
        <v>632</v>
      </c>
      <c r="AL634" t="n">
        <v>631</v>
      </c>
      <c r="AM634" t="n">
        <v>4704.89</v>
      </c>
      <c r="AN634" t="n">
        <v>4648.512</v>
      </c>
      <c r="AO634" t="n">
        <v>56.3781</v>
      </c>
      <c r="AP634" t="n">
        <v>3178.4845</v>
      </c>
      <c r="AQ634" t="n">
        <v>4.122358</v>
      </c>
      <c r="AR634" t="n">
        <v>6.609891</v>
      </c>
      <c r="AY634" t="n">
        <v>632</v>
      </c>
      <c r="AZ634" t="n">
        <v>631</v>
      </c>
      <c r="BA634" t="n">
        <v>4704.89</v>
      </c>
      <c r="BB634" t="n">
        <v>4648.512</v>
      </c>
      <c r="BC634" t="n">
        <v>56.3781</v>
      </c>
      <c r="BD634" t="n">
        <v>3178.4845</v>
      </c>
      <c r="BE634" t="n">
        <v>398161</v>
      </c>
    </row>
    <row r="635">
      <c r="A635" t="n">
        <v>1777291202</v>
      </c>
      <c r="B635" t="inlineStr">
        <is>
          <t>XAUUSD</t>
        </is>
      </c>
      <c r="C635" t="inlineStr">
        <is>
          <t>M15</t>
        </is>
      </c>
      <c r="D635" t="n">
        <v>4708.83</v>
      </c>
      <c r="E635" t="n">
        <v>4518.59282</v>
      </c>
      <c r="F635" t="n">
        <v>4596.05595</v>
      </c>
      <c r="G635" t="n">
        <v>4755.40355</v>
      </c>
      <c r="H635" t="n">
        <v>4792.76972</v>
      </c>
      <c r="Q635" t="n">
        <v>4648.24434</v>
      </c>
      <c r="R635" t="n">
        <v>4677.60764</v>
      </c>
      <c r="S635" t="n">
        <v>4704.19641</v>
      </c>
      <c r="V635" t="n">
        <v>4613.30457</v>
      </c>
      <c r="W635" t="n">
        <v>4579.73958</v>
      </c>
      <c r="AB635" t="n">
        <v>4704.36118</v>
      </c>
      <c r="AC635" t="n">
        <v>4705.04669</v>
      </c>
      <c r="AD635" t="n">
        <v>0</v>
      </c>
      <c r="AK635" t="n">
        <v>633</v>
      </c>
      <c r="AL635" t="n">
        <v>632</v>
      </c>
      <c r="AM635" t="n">
        <v>4708.83</v>
      </c>
      <c r="AN635" t="n">
        <v>4648.2443</v>
      </c>
      <c r="AO635" t="n">
        <v>60.5857</v>
      </c>
      <c r="AP635" t="n">
        <v>3670.6222</v>
      </c>
      <c r="AQ635" t="n">
        <v>5.115936</v>
      </c>
      <c r="AR635" t="n">
        <v>8.815227</v>
      </c>
      <c r="AY635" t="n">
        <v>633</v>
      </c>
      <c r="AZ635" t="n">
        <v>632</v>
      </c>
      <c r="BA635" t="n">
        <v>4708.83</v>
      </c>
      <c r="BB635" t="n">
        <v>4648.2443</v>
      </c>
      <c r="BC635" t="n">
        <v>60.5857</v>
      </c>
      <c r="BD635" t="n">
        <v>3670.6222</v>
      </c>
      <c r="BE635" t="n">
        <v>399424</v>
      </c>
    </row>
    <row r="636">
      <c r="A636" t="n">
        <v>1777292102</v>
      </c>
      <c r="B636" t="inlineStr">
        <is>
          <t>XAUUSD</t>
        </is>
      </c>
      <c r="C636" t="inlineStr">
        <is>
          <t>M15</t>
        </is>
      </c>
      <c r="D636" t="n">
        <v>4707.09</v>
      </c>
      <c r="E636" t="n">
        <v>4518.59282</v>
      </c>
      <c r="F636" t="n">
        <v>4596.05595</v>
      </c>
      <c r="G636" t="n">
        <v>4755.40355</v>
      </c>
      <c r="H636" t="n">
        <v>4792.76972</v>
      </c>
      <c r="Q636" t="n">
        <v>4647.97674</v>
      </c>
      <c r="R636" t="n">
        <v>4677.34004</v>
      </c>
      <c r="S636" t="n">
        <v>4703.92881</v>
      </c>
      <c r="V636" t="n">
        <v>4613.03697</v>
      </c>
      <c r="W636" t="n">
        <v>4579.47197</v>
      </c>
      <c r="AB636" t="n">
        <v>4703.11317</v>
      </c>
      <c r="AC636" t="n">
        <v>4704.07993</v>
      </c>
      <c r="AD636" t="n">
        <v>0</v>
      </c>
      <c r="AK636" t="n">
        <v>634</v>
      </c>
      <c r="AL636" t="n">
        <v>633</v>
      </c>
      <c r="AM636" t="n">
        <v>4707.09</v>
      </c>
      <c r="AN636" t="n">
        <v>4647.9767</v>
      </c>
      <c r="AO636" t="n">
        <v>59.1133</v>
      </c>
      <c r="AP636" t="n">
        <v>3494.3775</v>
      </c>
      <c r="AQ636" t="n">
        <v>4.751933</v>
      </c>
      <c r="AR636" t="n">
        <v>7.989025</v>
      </c>
      <c r="AY636" t="n">
        <v>634</v>
      </c>
      <c r="AZ636" t="n">
        <v>633</v>
      </c>
      <c r="BA636" t="n">
        <v>4707.09</v>
      </c>
      <c r="BB636" t="n">
        <v>4647.9767</v>
      </c>
      <c r="BC636" t="n">
        <v>59.1133</v>
      </c>
      <c r="BD636" t="n">
        <v>3494.3775</v>
      </c>
      <c r="BE636" t="n">
        <v>400689</v>
      </c>
    </row>
    <row r="637">
      <c r="A637" t="n">
        <v>1777293002</v>
      </c>
      <c r="B637" t="inlineStr">
        <is>
          <t>XAUUSD</t>
        </is>
      </c>
      <c r="C637" t="inlineStr">
        <is>
          <t>M15</t>
        </is>
      </c>
      <c r="D637" t="n">
        <v>4698.81</v>
      </c>
      <c r="E637" t="n">
        <v>4518.59282</v>
      </c>
      <c r="F637" t="n">
        <v>4596.05595</v>
      </c>
      <c r="G637" t="n">
        <v>4755.40355</v>
      </c>
      <c r="H637" t="n">
        <v>4792.76972</v>
      </c>
      <c r="Q637" t="n">
        <v>4647.70913</v>
      </c>
      <c r="R637" t="n">
        <v>4677.07243</v>
      </c>
      <c r="S637" t="n">
        <v>4703.6612</v>
      </c>
      <c r="V637" t="n">
        <v>4612.76936</v>
      </c>
      <c r="W637" t="n">
        <v>4579.20437</v>
      </c>
      <c r="AB637" t="n">
        <v>4701.65798</v>
      </c>
      <c r="AC637" t="n">
        <v>4702.86895</v>
      </c>
      <c r="AD637" t="n">
        <v>0</v>
      </c>
      <c r="AK637" t="n">
        <v>635</v>
      </c>
      <c r="AL637" t="n">
        <v>634</v>
      </c>
      <c r="AM637" t="n">
        <v>4698.81</v>
      </c>
      <c r="AN637" t="n">
        <v>4647.7091</v>
      </c>
      <c r="AO637" t="n">
        <v>51.1009</v>
      </c>
      <c r="AP637" t="n">
        <v>2611.2989</v>
      </c>
      <c r="AQ637" t="n">
        <v>3.069732</v>
      </c>
      <c r="AR637" t="n">
        <v>4.46136</v>
      </c>
      <c r="AY637" t="n">
        <v>635</v>
      </c>
      <c r="AZ637" t="n">
        <v>634</v>
      </c>
      <c r="BA637" t="n">
        <v>4698.81</v>
      </c>
      <c r="BB637" t="n">
        <v>4647.7091</v>
      </c>
      <c r="BC637" t="n">
        <v>51.1009</v>
      </c>
      <c r="BD637" t="n">
        <v>2611.2989</v>
      </c>
      <c r="BE637" t="n">
        <v>401956</v>
      </c>
    </row>
    <row r="638">
      <c r="A638" t="n">
        <v>1777293902</v>
      </c>
      <c r="B638" t="inlineStr">
        <is>
          <t>XAUUSD</t>
        </is>
      </c>
      <c r="C638" t="inlineStr">
        <is>
          <t>M15</t>
        </is>
      </c>
      <c r="D638" t="n">
        <v>4699.24</v>
      </c>
      <c r="E638" t="n">
        <v>4518.59282</v>
      </c>
      <c r="F638" t="n">
        <v>4596.05595</v>
      </c>
      <c r="G638" t="n">
        <v>4755.40355</v>
      </c>
      <c r="H638" t="n">
        <v>4792.76972</v>
      </c>
      <c r="Q638" t="n">
        <v>4647.44153</v>
      </c>
      <c r="R638" t="n">
        <v>4676.80483</v>
      </c>
      <c r="S638" t="n">
        <v>4703.3936</v>
      </c>
      <c r="V638" t="n">
        <v>4612.50176</v>
      </c>
      <c r="W638" t="n">
        <v>4578.93676</v>
      </c>
      <c r="AB638" t="n">
        <v>4700.26967</v>
      </c>
      <c r="AC638" t="n">
        <v>4701.56931</v>
      </c>
      <c r="AD638" t="n">
        <v>0</v>
      </c>
      <c r="AK638" t="n">
        <v>636</v>
      </c>
      <c r="AL638" t="n">
        <v>635</v>
      </c>
      <c r="AM638" t="n">
        <v>4699.24</v>
      </c>
      <c r="AN638" t="n">
        <v>4647.4415</v>
      </c>
      <c r="AO638" t="n">
        <v>51.7985</v>
      </c>
      <c r="AP638" t="n">
        <v>2683.0815</v>
      </c>
      <c r="AQ638" t="n">
        <v>3.197175</v>
      </c>
      <c r="AR638" t="n">
        <v>4.71001</v>
      </c>
      <c r="AY638" t="n">
        <v>636</v>
      </c>
      <c r="AZ638" t="n">
        <v>635</v>
      </c>
      <c r="BA638" t="n">
        <v>4699.24</v>
      </c>
      <c r="BB638" t="n">
        <v>4647.4415</v>
      </c>
      <c r="BC638" t="n">
        <v>51.7985</v>
      </c>
      <c r="BD638" t="n">
        <v>2683.0815</v>
      </c>
      <c r="BE638" t="n">
        <v>403225</v>
      </c>
    </row>
    <row r="639">
      <c r="A639" t="n">
        <v>1777294802</v>
      </c>
      <c r="B639" t="inlineStr">
        <is>
          <t>XAUUSD</t>
        </is>
      </c>
      <c r="C639" t="inlineStr">
        <is>
          <t>M15</t>
        </is>
      </c>
      <c r="D639" t="n">
        <v>4695.99</v>
      </c>
      <c r="E639" t="n">
        <v>4518.59282</v>
      </c>
      <c r="F639" t="n">
        <v>4596.05595</v>
      </c>
      <c r="G639" t="n">
        <v>4755.40355</v>
      </c>
      <c r="H639" t="n">
        <v>4792.76972</v>
      </c>
      <c r="Q639" t="n">
        <v>4647.17393</v>
      </c>
      <c r="R639" t="n">
        <v>4676.53723</v>
      </c>
      <c r="S639" t="n">
        <v>4703.126</v>
      </c>
      <c r="V639" t="n">
        <v>4612.23416</v>
      </c>
      <c r="W639" t="n">
        <v>4578.66916</v>
      </c>
      <c r="AB639" t="n">
        <v>4698.91004</v>
      </c>
      <c r="AC639" t="n">
        <v>4700.23968</v>
      </c>
      <c r="AD639" t="n">
        <v>0</v>
      </c>
      <c r="AK639" t="n">
        <v>637</v>
      </c>
      <c r="AL639" t="n">
        <v>636</v>
      </c>
      <c r="AM639" t="n">
        <v>4695.99</v>
      </c>
      <c r="AN639" t="n">
        <v>4647.1739</v>
      </c>
      <c r="AO639" t="n">
        <v>48.8161</v>
      </c>
      <c r="AP639" t="n">
        <v>2383.0087</v>
      </c>
      <c r="AQ639" t="n">
        <v>2.67611</v>
      </c>
      <c r="AR639" t="n">
        <v>3.715398</v>
      </c>
      <c r="AY639" t="n">
        <v>637</v>
      </c>
      <c r="AZ639" t="n">
        <v>636</v>
      </c>
      <c r="BA639" t="n">
        <v>4695.99</v>
      </c>
      <c r="BB639" t="n">
        <v>4647.1739</v>
      </c>
      <c r="BC639" t="n">
        <v>48.8161</v>
      </c>
      <c r="BD639" t="n">
        <v>2383.0087</v>
      </c>
      <c r="BE639" t="n">
        <v>404496</v>
      </c>
    </row>
    <row r="640">
      <c r="A640" t="n">
        <v>1777295702</v>
      </c>
      <c r="B640" t="inlineStr">
        <is>
          <t>XAUUSD</t>
        </is>
      </c>
      <c r="C640" t="inlineStr">
        <is>
          <t>M15</t>
        </is>
      </c>
      <c r="D640" t="n">
        <v>4699.95</v>
      </c>
      <c r="E640" t="n">
        <v>4518.59282</v>
      </c>
      <c r="F640" t="n">
        <v>4596.05595</v>
      </c>
      <c r="G640" t="n">
        <v>4755.40355</v>
      </c>
      <c r="H640" t="n">
        <v>4792.76972</v>
      </c>
      <c r="Q640" t="n">
        <v>4646.90632</v>
      </c>
      <c r="R640" t="n">
        <v>4676.26962</v>
      </c>
      <c r="S640" t="n">
        <v>4702.85839</v>
      </c>
      <c r="V640" t="n">
        <v>4611.96655</v>
      </c>
      <c r="W640" t="n">
        <v>4578.40156</v>
      </c>
      <c r="AB640" t="n">
        <v>4697.58016</v>
      </c>
      <c r="AC640" t="n">
        <v>4698.90992</v>
      </c>
      <c r="AD640" t="n">
        <v>0</v>
      </c>
      <c r="AK640" t="n">
        <v>638</v>
      </c>
      <c r="AL640" t="n">
        <v>637</v>
      </c>
      <c r="AM640" t="n">
        <v>4699.95</v>
      </c>
      <c r="AN640" t="n">
        <v>4646.9063</v>
      </c>
      <c r="AO640" t="n">
        <v>53.0437</v>
      </c>
      <c r="AP640" t="n">
        <v>2813.632</v>
      </c>
      <c r="AQ640" t="n">
        <v>3.433338</v>
      </c>
      <c r="AR640" t="n">
        <v>5.17951</v>
      </c>
      <c r="AY640" t="n">
        <v>638</v>
      </c>
      <c r="AZ640" t="n">
        <v>637</v>
      </c>
      <c r="BA640" t="n">
        <v>4699.95</v>
      </c>
      <c r="BB640" t="n">
        <v>4646.9063</v>
      </c>
      <c r="BC640" t="n">
        <v>53.0437</v>
      </c>
      <c r="BD640" t="n">
        <v>2813.632</v>
      </c>
      <c r="BE640" t="n">
        <v>405769</v>
      </c>
    </row>
    <row r="641">
      <c r="A641" t="n">
        <v>1777296602</v>
      </c>
      <c r="B641" t="inlineStr">
        <is>
          <t>XAUUSD</t>
        </is>
      </c>
      <c r="C641" t="inlineStr">
        <is>
          <t>M15</t>
        </is>
      </c>
      <c r="D641" t="n">
        <v>4693.29</v>
      </c>
      <c r="E641" t="n">
        <v>4518.59282</v>
      </c>
      <c r="F641" t="n">
        <v>4596.05595</v>
      </c>
      <c r="G641" t="n">
        <v>4755.40355</v>
      </c>
      <c r="H641" t="n">
        <v>4792.76972</v>
      </c>
      <c r="Q641" t="n">
        <v>4646.63872</v>
      </c>
      <c r="R641" t="n">
        <v>4676.00202</v>
      </c>
      <c r="S641" t="n">
        <v>4702.59079</v>
      </c>
      <c r="V641" t="n">
        <v>4611.69895</v>
      </c>
      <c r="W641" t="n">
        <v>4578.13395</v>
      </c>
      <c r="AB641" t="n">
        <v>4696.02414</v>
      </c>
      <c r="AC641" t="n">
        <v>4697.46703</v>
      </c>
      <c r="AD641" t="n">
        <v>0</v>
      </c>
      <c r="AK641" t="n">
        <v>639</v>
      </c>
      <c r="AL641" t="n">
        <v>638</v>
      </c>
      <c r="AM641" t="n">
        <v>4693.29</v>
      </c>
      <c r="AN641" t="n">
        <v>4646.6387</v>
      </c>
      <c r="AO641" t="n">
        <v>46.6513</v>
      </c>
      <c r="AP641" t="n">
        <v>2176.3419</v>
      </c>
      <c r="AQ641" t="n">
        <v>2.335642</v>
      </c>
      <c r="AR641" t="n">
        <v>3.098906</v>
      </c>
      <c r="AY641" t="n">
        <v>639</v>
      </c>
      <c r="AZ641" t="n">
        <v>638</v>
      </c>
      <c r="BA641" t="n">
        <v>4693.29</v>
      </c>
      <c r="BB641" t="n">
        <v>4646.6387</v>
      </c>
      <c r="BC641" t="n">
        <v>46.6513</v>
      </c>
      <c r="BD641" t="n">
        <v>2176.3419</v>
      </c>
      <c r="BE641" t="n">
        <v>407044</v>
      </c>
    </row>
    <row r="642">
      <c r="A642" t="n">
        <v>1777297502</v>
      </c>
      <c r="B642" t="inlineStr">
        <is>
          <t>XAUUSD</t>
        </is>
      </c>
      <c r="C642" t="inlineStr">
        <is>
          <t>M15</t>
        </is>
      </c>
      <c r="D642" t="n">
        <v>4696.1</v>
      </c>
      <c r="E642" t="n">
        <v>4518.59282</v>
      </c>
      <c r="F642" t="n">
        <v>4596.05595</v>
      </c>
      <c r="G642" t="n">
        <v>4755.40355</v>
      </c>
      <c r="H642" t="n">
        <v>4792.76972</v>
      </c>
      <c r="Q642" t="n">
        <v>4646.37111</v>
      </c>
      <c r="R642" t="n">
        <v>4675.73441</v>
      </c>
      <c r="S642" t="n">
        <v>4702.32318</v>
      </c>
      <c r="V642" t="n">
        <v>4611.43134</v>
      </c>
      <c r="W642" t="n">
        <v>4577.86635</v>
      </c>
      <c r="AB642" t="n">
        <v>4694.24443</v>
      </c>
      <c r="AC642" t="n">
        <v>4695.85573</v>
      </c>
      <c r="AD642" t="n">
        <v>0</v>
      </c>
      <c r="AK642" t="n">
        <v>640</v>
      </c>
      <c r="AL642" t="n">
        <v>639</v>
      </c>
      <c r="AM642" t="n">
        <v>4696.1</v>
      </c>
      <c r="AN642" t="n">
        <v>4646.3711</v>
      </c>
      <c r="AO642" t="n">
        <v>49.7289</v>
      </c>
      <c r="AP642" t="n">
        <v>2472.9625</v>
      </c>
      <c r="AQ642" t="n">
        <v>2.829058</v>
      </c>
      <c r="AR642" t="n">
        <v>4.00119</v>
      </c>
      <c r="AY642" t="n">
        <v>640</v>
      </c>
      <c r="AZ642" t="n">
        <v>639</v>
      </c>
      <c r="BA642" t="n">
        <v>4696.1</v>
      </c>
      <c r="BB642" t="n">
        <v>4646.3711</v>
      </c>
      <c r="BC642" t="n">
        <v>49.7289</v>
      </c>
      <c r="BD642" t="n">
        <v>2472.9625</v>
      </c>
      <c r="BE642" t="n">
        <v>408321</v>
      </c>
    </row>
    <row r="643">
      <c r="A643" t="n">
        <v>1777298402</v>
      </c>
      <c r="B643" t="inlineStr">
        <is>
          <t>XAUUSD</t>
        </is>
      </c>
      <c r="C643" t="inlineStr">
        <is>
          <t>M15</t>
        </is>
      </c>
      <c r="D643" t="n">
        <v>4692.58</v>
      </c>
      <c r="E643" t="n">
        <v>4518.59282</v>
      </c>
      <c r="F643" t="n">
        <v>4596.05595</v>
      </c>
      <c r="G643" t="n">
        <v>4755.40355</v>
      </c>
      <c r="H643" t="n">
        <v>4792.76972</v>
      </c>
      <c r="Q643" t="n">
        <v>4646.10351</v>
      </c>
      <c r="R643" t="n">
        <v>4675.46681</v>
      </c>
      <c r="S643" t="n">
        <v>4702.05558</v>
      </c>
      <c r="V643" t="n">
        <v>4611.16374</v>
      </c>
      <c r="W643" t="n">
        <v>4577.59874</v>
      </c>
      <c r="AB643" t="n">
        <v>4692.03017</v>
      </c>
      <c r="AC643" t="n">
        <v>4693.94295</v>
      </c>
      <c r="AD643" t="n">
        <v>0</v>
      </c>
      <c r="AK643" t="n">
        <v>641</v>
      </c>
      <c r="AL643" t="n">
        <v>640</v>
      </c>
      <c r="AM643" t="n">
        <v>4692.58</v>
      </c>
      <c r="AN643" t="n">
        <v>4646.1035</v>
      </c>
      <c r="AO643" t="n">
        <v>46.4765</v>
      </c>
      <c r="AP643" t="n">
        <v>2160.0641</v>
      </c>
      <c r="AQ643" t="n">
        <v>2.309487</v>
      </c>
      <c r="AR643" t="n">
        <v>3.052723</v>
      </c>
      <c r="AY643" t="n">
        <v>641</v>
      </c>
      <c r="AZ643" t="n">
        <v>640</v>
      </c>
      <c r="BA643" t="n">
        <v>4692.58</v>
      </c>
      <c r="BB643" t="n">
        <v>4646.1035</v>
      </c>
      <c r="BC643" t="n">
        <v>46.4765</v>
      </c>
      <c r="BD643" t="n">
        <v>2160.0641</v>
      </c>
      <c r="BE643" t="n">
        <v>409600</v>
      </c>
    </row>
    <row r="644">
      <c r="A644" t="n">
        <v>1777299302</v>
      </c>
      <c r="B644" t="inlineStr">
        <is>
          <t>XAUUSD</t>
        </is>
      </c>
      <c r="C644" t="inlineStr">
        <is>
          <t>M15</t>
        </is>
      </c>
      <c r="D644" t="n">
        <v>4689.03</v>
      </c>
      <c r="E644" t="n">
        <v>4518.59282</v>
      </c>
      <c r="F644" t="n">
        <v>4596.05595</v>
      </c>
      <c r="G644" t="n">
        <v>4755.40355</v>
      </c>
      <c r="H644" t="n">
        <v>4792.76972</v>
      </c>
      <c r="Q644" t="n">
        <v>4645.83591</v>
      </c>
      <c r="R644" t="n">
        <v>4675.1992</v>
      </c>
      <c r="S644" t="n">
        <v>4701.78798</v>
      </c>
      <c r="V644" t="n">
        <v>4610.89614</v>
      </c>
      <c r="W644" t="n">
        <v>4577.33114</v>
      </c>
      <c r="AB644" t="n">
        <v>4689.41482</v>
      </c>
      <c r="AC644" t="n">
        <v>4691.67888</v>
      </c>
      <c r="AD644" t="n">
        <v>0</v>
      </c>
      <c r="AK644" t="n">
        <v>642</v>
      </c>
      <c r="AL644" t="n">
        <v>641</v>
      </c>
      <c r="AM644" t="n">
        <v>4689.03</v>
      </c>
      <c r="AN644" t="n">
        <v>4645.8359</v>
      </c>
      <c r="AO644" t="n">
        <v>43.1941</v>
      </c>
      <c r="AP644" t="n">
        <v>1865.7294</v>
      </c>
      <c r="AQ644" t="n">
        <v>1.85391</v>
      </c>
      <c r="AR644" t="n">
        <v>2.277464</v>
      </c>
      <c r="AY644" t="n">
        <v>642</v>
      </c>
      <c r="AZ644" t="n">
        <v>641</v>
      </c>
      <c r="BA644" t="n">
        <v>4689.03</v>
      </c>
      <c r="BB644" t="n">
        <v>4645.8359</v>
      </c>
      <c r="BC644" t="n">
        <v>43.1941</v>
      </c>
      <c r="BD644" t="n">
        <v>1865.7294</v>
      </c>
      <c r="BE644" t="n">
        <v>410881</v>
      </c>
    </row>
    <row r="645">
      <c r="A645" t="n">
        <v>1777300202</v>
      </c>
      <c r="B645" t="inlineStr">
        <is>
          <t>XAUUSD</t>
        </is>
      </c>
      <c r="C645" t="inlineStr">
        <is>
          <t>M15</t>
        </is>
      </c>
      <c r="D645" t="n">
        <v>4693.62</v>
      </c>
      <c r="E645" t="n">
        <v>4518.59282</v>
      </c>
      <c r="F645" t="n">
        <v>4596.05595</v>
      </c>
      <c r="G645" t="n">
        <v>4755.40355</v>
      </c>
      <c r="H645" t="n">
        <v>4792.76972</v>
      </c>
      <c r="Q645" t="n">
        <v>4645.5683</v>
      </c>
      <c r="R645" t="n">
        <v>4674.9316</v>
      </c>
      <c r="S645" t="n">
        <v>4701.52037</v>
      </c>
      <c r="V645" t="n">
        <v>4610.62853</v>
      </c>
      <c r="W645" t="n">
        <v>4577.06354</v>
      </c>
      <c r="AB645" t="n">
        <v>4686.49539</v>
      </c>
      <c r="AC645" t="n">
        <v>4689.08714</v>
      </c>
      <c r="AD645" t="n">
        <v>0</v>
      </c>
      <c r="AK645" t="n">
        <v>643</v>
      </c>
      <c r="AL645" t="n">
        <v>642</v>
      </c>
      <c r="AM645" t="n">
        <v>4693.62</v>
      </c>
      <c r="AN645" t="n">
        <v>4645.5683</v>
      </c>
      <c r="AO645" t="n">
        <v>48.0517</v>
      </c>
      <c r="AP645" t="n">
        <v>2308.9659</v>
      </c>
      <c r="AQ645" t="n">
        <v>2.55236</v>
      </c>
      <c r="AR645" t="n">
        <v>3.488102</v>
      </c>
      <c r="AY645" t="n">
        <v>643</v>
      </c>
      <c r="AZ645" t="n">
        <v>642</v>
      </c>
      <c r="BA645" t="n">
        <v>4693.62</v>
      </c>
      <c r="BB645" t="n">
        <v>4645.5683</v>
      </c>
      <c r="BC645" t="n">
        <v>48.0517</v>
      </c>
      <c r="BD645" t="n">
        <v>2308.9659</v>
      </c>
      <c r="BE645" t="n">
        <v>412164</v>
      </c>
    </row>
    <row r="646">
      <c r="A646" t="n">
        <v>1777301102</v>
      </c>
      <c r="B646" t="inlineStr">
        <is>
          <t>XAUUSD</t>
        </is>
      </c>
      <c r="C646" t="inlineStr">
        <is>
          <t>M15</t>
        </is>
      </c>
      <c r="D646" t="n">
        <v>4678.21</v>
      </c>
      <c r="E646" t="n">
        <v>4518.59282</v>
      </c>
      <c r="F646" t="n">
        <v>4596.05595</v>
      </c>
      <c r="G646" t="n">
        <v>4755.40355</v>
      </c>
      <c r="H646" t="n">
        <v>4792.76972</v>
      </c>
      <c r="Q646" t="n">
        <v>4645.3007</v>
      </c>
      <c r="R646" t="n">
        <v>4674.664</v>
      </c>
      <c r="S646" t="n">
        <v>4701.25277</v>
      </c>
      <c r="V646" t="n">
        <v>4610.36093</v>
      </c>
      <c r="W646" t="n">
        <v>4576.79593</v>
      </c>
      <c r="AB646" t="n">
        <v>4683.22394</v>
      </c>
      <c r="AC646" t="n">
        <v>4686.15554</v>
      </c>
      <c r="AD646" t="n">
        <v>0</v>
      </c>
      <c r="AK646" t="n">
        <v>644</v>
      </c>
      <c r="AL646" t="n">
        <v>643</v>
      </c>
      <c r="AM646" t="n">
        <v>4678.21</v>
      </c>
      <c r="AN646" t="n">
        <v>4645.3007</v>
      </c>
      <c r="AO646" t="n">
        <v>32.9093</v>
      </c>
      <c r="AP646" t="n">
        <v>1083.022</v>
      </c>
      <c r="AQ646" t="n">
        <v>0.81992</v>
      </c>
      <c r="AR646" t="n">
        <v>0.767412</v>
      </c>
      <c r="AY646" t="n">
        <v>644</v>
      </c>
      <c r="AZ646" t="n">
        <v>643</v>
      </c>
      <c r="BA646" t="n">
        <v>4678.21</v>
      </c>
      <c r="BB646" t="n">
        <v>4645.3007</v>
      </c>
      <c r="BC646" t="n">
        <v>32.9093</v>
      </c>
      <c r="BD646" t="n">
        <v>1083.022</v>
      </c>
      <c r="BE646" t="n">
        <v>413449</v>
      </c>
    </row>
    <row r="647">
      <c r="A647" t="n">
        <v>1777302002</v>
      </c>
      <c r="B647" t="inlineStr">
        <is>
          <t>XAUUSD</t>
        </is>
      </c>
      <c r="C647" t="inlineStr">
        <is>
          <t>M15</t>
        </is>
      </c>
      <c r="D647" t="n">
        <v>4674.65</v>
      </c>
      <c r="E647" t="n">
        <v>4518.59282</v>
      </c>
      <c r="F647" t="n">
        <v>4596.05595</v>
      </c>
      <c r="G647" t="n">
        <v>4755.40355</v>
      </c>
      <c r="H647" t="n">
        <v>4792.76972</v>
      </c>
      <c r="Q647" t="n">
        <v>4645.03309</v>
      </c>
      <c r="R647" t="n">
        <v>4674.39639</v>
      </c>
      <c r="S647" t="n">
        <v>4700.98516</v>
      </c>
      <c r="V647" t="n">
        <v>4610.09332</v>
      </c>
      <c r="W647" t="n">
        <v>4576.52833</v>
      </c>
      <c r="AA647" t="n">
        <v>4667.32</v>
      </c>
      <c r="AB647" t="n">
        <v>4680.18396</v>
      </c>
      <c r="AC647" t="n">
        <v>4683.16975</v>
      </c>
      <c r="AD647" t="n">
        <v>0</v>
      </c>
      <c r="AK647" t="n">
        <v>645</v>
      </c>
      <c r="AL647" t="n">
        <v>644</v>
      </c>
      <c r="AM647" t="n">
        <v>4674.65</v>
      </c>
      <c r="AN647" t="n">
        <v>4645.0331</v>
      </c>
      <c r="AO647" t="n">
        <v>29.6169</v>
      </c>
      <c r="AP647" t="n">
        <v>877.1614</v>
      </c>
      <c r="AQ647" t="n">
        <v>0.597633</v>
      </c>
      <c r="AR647" t="n">
        <v>0.5034</v>
      </c>
      <c r="AY647" t="n">
        <v>645</v>
      </c>
      <c r="AZ647" t="n">
        <v>644</v>
      </c>
      <c r="BA647" t="n">
        <v>4674.65</v>
      </c>
      <c r="BB647" t="n">
        <v>4645.0331</v>
      </c>
      <c r="BC647" t="n">
        <v>29.6169</v>
      </c>
      <c r="BD647" t="n">
        <v>877.1614</v>
      </c>
      <c r="BE647" t="n">
        <v>414736</v>
      </c>
    </row>
    <row r="648">
      <c r="A648" t="n">
        <v>1777302902</v>
      </c>
      <c r="B648" t="inlineStr">
        <is>
          <t>XAUUSD</t>
        </is>
      </c>
      <c r="C648" t="inlineStr">
        <is>
          <t>M15</t>
        </is>
      </c>
      <c r="D648" t="n">
        <v>4681.21</v>
      </c>
      <c r="E648" t="n">
        <v>4518.59282</v>
      </c>
      <c r="F648" t="n">
        <v>4596.05595</v>
      </c>
      <c r="G648" t="n">
        <v>4755.40355</v>
      </c>
      <c r="H648" t="n">
        <v>4792.76972</v>
      </c>
      <c r="Q648" t="n">
        <v>4644.76549</v>
      </c>
      <c r="R648" t="n">
        <v>4674.12879</v>
      </c>
      <c r="S648" t="n">
        <v>4700.71756</v>
      </c>
      <c r="V648" t="n">
        <v>4609.82572</v>
      </c>
      <c r="W648" t="n">
        <v>4576.26072</v>
      </c>
      <c r="AB648" t="n">
        <v>4677.64149</v>
      </c>
      <c r="AC648" t="n">
        <v>4680.40562</v>
      </c>
      <c r="AD648" t="n">
        <v>0</v>
      </c>
      <c r="AK648" t="n">
        <v>646</v>
      </c>
      <c r="AL648" t="n">
        <v>645</v>
      </c>
      <c r="AM648" t="n">
        <v>4681.21</v>
      </c>
      <c r="AN648" t="n">
        <v>4644.7655</v>
      </c>
      <c r="AO648" t="n">
        <v>36.4445</v>
      </c>
      <c r="AP648" t="n">
        <v>1328.2023</v>
      </c>
      <c r="AQ648" t="n">
        <v>1.113556</v>
      </c>
      <c r="AR648" t="n">
        <v>1.154204</v>
      </c>
      <c r="AY648" t="n">
        <v>646</v>
      </c>
      <c r="AZ648" t="n">
        <v>645</v>
      </c>
      <c r="BA648" t="n">
        <v>4681.21</v>
      </c>
      <c r="BB648" t="n">
        <v>4644.7655</v>
      </c>
      <c r="BC648" t="n">
        <v>36.4445</v>
      </c>
      <c r="BD648" t="n">
        <v>1328.2023</v>
      </c>
      <c r="BE648" t="n">
        <v>416025</v>
      </c>
    </row>
    <row r="649">
      <c r="A649" t="n">
        <v>1777303802</v>
      </c>
      <c r="B649" t="inlineStr">
        <is>
          <t>XAUUSD</t>
        </is>
      </c>
      <c r="C649" t="inlineStr">
        <is>
          <t>M15</t>
        </is>
      </c>
      <c r="D649" t="n">
        <v>4677.6</v>
      </c>
      <c r="E649" t="n">
        <v>4518.59282</v>
      </c>
      <c r="F649" t="n">
        <v>4596.05595</v>
      </c>
      <c r="G649" t="n">
        <v>4755.40355</v>
      </c>
      <c r="H649" t="n">
        <v>4792.76972</v>
      </c>
      <c r="Q649" t="n">
        <v>4644.49789</v>
      </c>
      <c r="R649" t="n">
        <v>4673.86118</v>
      </c>
      <c r="S649" t="n">
        <v>4700.44996</v>
      </c>
      <c r="V649" t="n">
        <v>4609.55812</v>
      </c>
      <c r="W649" t="n">
        <v>4575.99312</v>
      </c>
      <c r="AB649" t="n">
        <v>4675.56194</v>
      </c>
      <c r="AC649" t="n">
        <v>4677.98378</v>
      </c>
      <c r="AD649" t="n">
        <v>0</v>
      </c>
      <c r="AK649" t="n">
        <v>647</v>
      </c>
      <c r="AL649" t="n">
        <v>646</v>
      </c>
      <c r="AM649" t="n">
        <v>4677.6</v>
      </c>
      <c r="AN649" t="n">
        <v>4644.4979</v>
      </c>
      <c r="AO649" t="n">
        <v>33.1021</v>
      </c>
      <c r="AP649" t="n">
        <v>1095.7497</v>
      </c>
      <c r="AQ649" t="n">
        <v>0.834416</v>
      </c>
      <c r="AR649" t="n">
        <v>0.785555</v>
      </c>
      <c r="AY649" t="n">
        <v>647</v>
      </c>
      <c r="AZ649" t="n">
        <v>646</v>
      </c>
      <c r="BA649" t="n">
        <v>4677.6</v>
      </c>
      <c r="BB649" t="n">
        <v>4644.4979</v>
      </c>
      <c r="BC649" t="n">
        <v>33.1021</v>
      </c>
      <c r="BD649" t="n">
        <v>1095.7497</v>
      </c>
      <c r="BE649" t="n">
        <v>417316</v>
      </c>
    </row>
    <row r="650">
      <c r="A650" t="n">
        <v>1777304702</v>
      </c>
      <c r="B650" t="inlineStr">
        <is>
          <t>XAUUSD</t>
        </is>
      </c>
      <c r="C650" t="inlineStr">
        <is>
          <t>M15</t>
        </is>
      </c>
      <c r="D650" t="n">
        <v>4670.04</v>
      </c>
      <c r="E650" t="n">
        <v>4518.59282</v>
      </c>
      <c r="F650" t="n">
        <v>4596.05595</v>
      </c>
      <c r="G650" t="n">
        <v>4755.40355</v>
      </c>
      <c r="H650" t="n">
        <v>4792.76972</v>
      </c>
      <c r="Q650" t="n">
        <v>4644.23028</v>
      </c>
      <c r="R650" t="n">
        <v>4673.59358</v>
      </c>
      <c r="S650" t="n">
        <v>4700.18235</v>
      </c>
      <c r="V650" t="n">
        <v>4609.29051</v>
      </c>
      <c r="W650" t="n">
        <v>4575.72551</v>
      </c>
      <c r="AB650" t="n">
        <v>4674.14335</v>
      </c>
      <c r="AC650" t="n">
        <v>4676.06356</v>
      </c>
      <c r="AD650" t="n">
        <v>0</v>
      </c>
      <c r="AK650" t="n">
        <v>648</v>
      </c>
      <c r="AL650" t="n">
        <v>647</v>
      </c>
      <c r="AM650" t="n">
        <v>4670.04</v>
      </c>
      <c r="AN650" t="n">
        <v>4644.2303</v>
      </c>
      <c r="AO650" t="n">
        <v>25.8097</v>
      </c>
      <c r="AP650" t="n">
        <v>666.1416</v>
      </c>
      <c r="AQ650" t="n">
        <v>0.395517</v>
      </c>
      <c r="AR650" t="n">
        <v>0.290327</v>
      </c>
      <c r="AY650" t="n">
        <v>648</v>
      </c>
      <c r="AZ650" t="n">
        <v>647</v>
      </c>
      <c r="BA650" t="n">
        <v>4670.04</v>
      </c>
      <c r="BB650" t="n">
        <v>4644.2303</v>
      </c>
      <c r="BC650" t="n">
        <v>25.8097</v>
      </c>
      <c r="BD650" t="n">
        <v>666.1416</v>
      </c>
      <c r="BE650" t="n">
        <v>418609</v>
      </c>
    </row>
    <row r="651">
      <c r="A651" t="n">
        <v>1777305602</v>
      </c>
      <c r="B651" t="inlineStr">
        <is>
          <t>XAUUSD</t>
        </is>
      </c>
      <c r="C651" t="inlineStr">
        <is>
          <t>M15</t>
        </is>
      </c>
      <c r="D651" t="n">
        <v>4674.71</v>
      </c>
      <c r="E651" t="n">
        <v>4518.59282</v>
      </c>
      <c r="F651" t="n">
        <v>4596.05595</v>
      </c>
      <c r="G651" t="n">
        <v>4755.40355</v>
      </c>
      <c r="H651" t="n">
        <v>4792.76972</v>
      </c>
      <c r="Q651" t="n">
        <v>4643.96268</v>
      </c>
      <c r="R651" t="n">
        <v>4673.32598</v>
      </c>
      <c r="S651" t="n">
        <v>4699.91475</v>
      </c>
      <c r="V651" t="n">
        <v>4609.02291</v>
      </c>
      <c r="W651" t="n">
        <v>4575.45791</v>
      </c>
      <c r="AB651" t="n">
        <v>4673.64579</v>
      </c>
      <c r="AC651" t="n">
        <v>4674.85468</v>
      </c>
      <c r="AD651" t="n">
        <v>0</v>
      </c>
      <c r="AK651" t="n">
        <v>649</v>
      </c>
      <c r="AL651" t="n">
        <v>648</v>
      </c>
      <c r="AM651" t="n">
        <v>4674.71</v>
      </c>
      <c r="AN651" t="n">
        <v>4643.9627</v>
      </c>
      <c r="AO651" t="n">
        <v>30.7473</v>
      </c>
      <c r="AP651" t="n">
        <v>945.3977</v>
      </c>
      <c r="AQ651" t="n">
        <v>0.668709</v>
      </c>
      <c r="AR651" t="n">
        <v>0.584767</v>
      </c>
      <c r="AY651" t="n">
        <v>649</v>
      </c>
      <c r="AZ651" t="n">
        <v>648</v>
      </c>
      <c r="BA651" t="n">
        <v>4674.71</v>
      </c>
      <c r="BB651" t="n">
        <v>4643.9627</v>
      </c>
      <c r="BC651" t="n">
        <v>30.7473</v>
      </c>
      <c r="BD651" t="n">
        <v>945.3977</v>
      </c>
      <c r="BE651" t="n">
        <v>419904</v>
      </c>
    </row>
    <row r="652">
      <c r="A652" t="n">
        <v>1777306502</v>
      </c>
      <c r="B652" t="inlineStr">
        <is>
          <t>XAUUSD</t>
        </is>
      </c>
      <c r="C652" t="inlineStr">
        <is>
          <t>M15</t>
        </is>
      </c>
      <c r="D652" t="n">
        <v>4676.38</v>
      </c>
      <c r="E652" t="n">
        <v>4518.59282</v>
      </c>
      <c r="F652" t="n">
        <v>4596.05595</v>
      </c>
      <c r="G652" t="n">
        <v>4755.40355</v>
      </c>
      <c r="H652" t="n">
        <v>4792.76972</v>
      </c>
      <c r="Q652" t="n">
        <v>4643.69507</v>
      </c>
      <c r="R652" t="n">
        <v>4673.05837</v>
      </c>
      <c r="S652" t="n">
        <v>4699.64714</v>
      </c>
      <c r="V652" t="n">
        <v>4608.7553</v>
      </c>
      <c r="W652" t="n">
        <v>4575.19031</v>
      </c>
      <c r="AB652" t="n">
        <v>4673.90416</v>
      </c>
      <c r="AC652" t="n">
        <v>4674.37942</v>
      </c>
      <c r="AD652" t="n">
        <v>0</v>
      </c>
      <c r="AK652" t="n">
        <v>650</v>
      </c>
      <c r="AL652" t="n">
        <v>649</v>
      </c>
      <c r="AM652" t="n">
        <v>4676.38</v>
      </c>
      <c r="AN652" t="n">
        <v>4643.6951</v>
      </c>
      <c r="AO652" t="n">
        <v>32.6849</v>
      </c>
      <c r="AP652" t="n">
        <v>1068.3046</v>
      </c>
      <c r="AQ652" t="n">
        <v>0.803264</v>
      </c>
      <c r="AR652" t="n">
        <v>0.7466970000000001</v>
      </c>
      <c r="AY652" t="n">
        <v>650</v>
      </c>
      <c r="AZ652" t="n">
        <v>649</v>
      </c>
      <c r="BA652" t="n">
        <v>4676.38</v>
      </c>
      <c r="BB652" t="n">
        <v>4643.6951</v>
      </c>
      <c r="BC652" t="n">
        <v>32.6849</v>
      </c>
      <c r="BD652" t="n">
        <v>1068.3046</v>
      </c>
      <c r="BE652" t="n">
        <v>421201</v>
      </c>
    </row>
    <row r="653">
      <c r="A653" t="n">
        <v>1777307402</v>
      </c>
      <c r="B653" t="inlineStr">
        <is>
          <t>XAUUSD</t>
        </is>
      </c>
      <c r="C653" t="inlineStr">
        <is>
          <t>M15</t>
        </is>
      </c>
      <c r="D653" t="n">
        <v>4674.98</v>
      </c>
      <c r="E653" t="n">
        <v>4518.59282</v>
      </c>
      <c r="F653" t="n">
        <v>4596.05595</v>
      </c>
      <c r="G653" t="n">
        <v>4755.40355</v>
      </c>
      <c r="H653" t="n">
        <v>4792.76972</v>
      </c>
      <c r="Q653" t="n">
        <v>4643.42747</v>
      </c>
      <c r="R653" t="n">
        <v>4672.79077</v>
      </c>
      <c r="S653" t="n">
        <v>4699.37954</v>
      </c>
      <c r="V653" t="n">
        <v>4608.4877</v>
      </c>
      <c r="W653" t="n">
        <v>4574.9227</v>
      </c>
      <c r="AB653" t="n">
        <v>4674.77658</v>
      </c>
      <c r="AC653" t="n">
        <v>4674.578</v>
      </c>
      <c r="AD653" t="n">
        <v>1</v>
      </c>
      <c r="AK653" t="n">
        <v>651</v>
      </c>
      <c r="AL653" t="n">
        <v>650</v>
      </c>
      <c r="AM653" t="n">
        <v>4674.98</v>
      </c>
      <c r="AN653" t="n">
        <v>4643.4275</v>
      </c>
      <c r="AO653" t="n">
        <v>31.5525</v>
      </c>
      <c r="AP653" t="n">
        <v>995.5621</v>
      </c>
      <c r="AQ653" t="n">
        <v>0.722634</v>
      </c>
      <c r="AR653" t="n">
        <v>0.648471</v>
      </c>
      <c r="AY653" t="n">
        <v>651</v>
      </c>
      <c r="AZ653" t="n">
        <v>650</v>
      </c>
      <c r="BA653" t="n">
        <v>4674.98</v>
      </c>
      <c r="BB653" t="n">
        <v>4643.4275</v>
      </c>
      <c r="BC653" t="n">
        <v>31.5525</v>
      </c>
      <c r="BD653" t="n">
        <v>995.5621</v>
      </c>
      <c r="BE653" t="n">
        <v>422500</v>
      </c>
    </row>
    <row r="654">
      <c r="A654" t="n">
        <v>1777308302</v>
      </c>
      <c r="B654" t="inlineStr">
        <is>
          <t>XAUUSD</t>
        </is>
      </c>
      <c r="C654" t="inlineStr">
        <is>
          <t>M15</t>
        </is>
      </c>
      <c r="D654" t="n">
        <v>4676.82</v>
      </c>
      <c r="E654" t="n">
        <v>4518.59282</v>
      </c>
      <c r="F654" t="n">
        <v>4596.05595</v>
      </c>
      <c r="G654" t="n">
        <v>4755.40355</v>
      </c>
      <c r="H654" t="n">
        <v>4792.76972</v>
      </c>
      <c r="Q654" t="n">
        <v>4643.15986</v>
      </c>
      <c r="R654" t="n">
        <v>4672.52316</v>
      </c>
      <c r="S654" t="n">
        <v>4699.11193</v>
      </c>
      <c r="V654" t="n">
        <v>4608.22009</v>
      </c>
      <c r="W654" t="n">
        <v>4574.6551</v>
      </c>
      <c r="AB654" t="n">
        <v>4676.14779</v>
      </c>
      <c r="AC654" t="n">
        <v>4675.36289</v>
      </c>
      <c r="AD654" t="n">
        <v>0</v>
      </c>
      <c r="AK654" t="n">
        <v>652</v>
      </c>
      <c r="AL654" t="n">
        <v>651</v>
      </c>
      <c r="AM654" t="n">
        <v>4676.82</v>
      </c>
      <c r="AN654" t="n">
        <v>4643.1599</v>
      </c>
      <c r="AO654" t="n">
        <v>33.6601</v>
      </c>
      <c r="AP654" t="n">
        <v>1133.005</v>
      </c>
      <c r="AQ654" t="n">
        <v>0.877331</v>
      </c>
      <c r="AR654" t="n">
        <v>0.839881</v>
      </c>
      <c r="AY654" t="n">
        <v>652</v>
      </c>
      <c r="AZ654" t="n">
        <v>651</v>
      </c>
      <c r="BA654" t="n">
        <v>4676.82</v>
      </c>
      <c r="BB654" t="n">
        <v>4643.1599</v>
      </c>
      <c r="BC654" t="n">
        <v>33.6601</v>
      </c>
      <c r="BD654" t="n">
        <v>1133.005</v>
      </c>
      <c r="BE654" t="n">
        <v>423801</v>
      </c>
    </row>
    <row r="655">
      <c r="A655" t="n">
        <v>1777309202</v>
      </c>
      <c r="B655" t="inlineStr">
        <is>
          <t>XAUUSD</t>
        </is>
      </c>
      <c r="C655" t="inlineStr">
        <is>
          <t>M15</t>
        </is>
      </c>
      <c r="D655" t="n">
        <v>4673.86</v>
      </c>
      <c r="E655" t="n">
        <v>4518.59282</v>
      </c>
      <c r="F655" t="n">
        <v>4596.05595</v>
      </c>
      <c r="G655" t="n">
        <v>4755.40355</v>
      </c>
      <c r="H655" t="n">
        <v>4792.76972</v>
      </c>
      <c r="Q655" t="n">
        <v>4642.89226</v>
      </c>
      <c r="R655" t="n">
        <v>4672.25556</v>
      </c>
      <c r="S655" t="n">
        <v>4698.84433</v>
      </c>
      <c r="V655" t="n">
        <v>4607.95249</v>
      </c>
      <c r="W655" t="n">
        <v>4574.38749</v>
      </c>
      <c r="AB655" t="n">
        <v>4677.78048</v>
      </c>
      <c r="AC655" t="n">
        <v>4676.57168</v>
      </c>
      <c r="AD655" t="n">
        <v>0</v>
      </c>
      <c r="AK655" t="n">
        <v>653</v>
      </c>
      <c r="AL655" t="n">
        <v>652</v>
      </c>
      <c r="AM655" t="n">
        <v>4673.86</v>
      </c>
      <c r="AN655" t="n">
        <v>4642.8923</v>
      </c>
      <c r="AO655" t="n">
        <v>30.9677</v>
      </c>
      <c r="AP655" t="n">
        <v>959.0009</v>
      </c>
      <c r="AQ655" t="n">
        <v>0.683194</v>
      </c>
      <c r="AR655" t="n">
        <v>0.6017169999999999</v>
      </c>
      <c r="AY655" t="n">
        <v>653</v>
      </c>
      <c r="AZ655" t="n">
        <v>652</v>
      </c>
      <c r="BA655" t="n">
        <v>4673.86</v>
      </c>
      <c r="BB655" t="n">
        <v>4642.8923</v>
      </c>
      <c r="BC655" t="n">
        <v>30.9677</v>
      </c>
      <c r="BD655" t="n">
        <v>959.0009</v>
      </c>
      <c r="BE655" t="n">
        <v>425104</v>
      </c>
    </row>
    <row r="656">
      <c r="A656" t="n">
        <v>1777310102</v>
      </c>
      <c r="B656" t="inlineStr">
        <is>
          <t>XAUUSD</t>
        </is>
      </c>
      <c r="C656" t="inlineStr">
        <is>
          <t>M15</t>
        </is>
      </c>
      <c r="D656" t="n">
        <v>4679.82</v>
      </c>
      <c r="E656" t="n">
        <v>4518.59282</v>
      </c>
      <c r="F656" t="n">
        <v>4596.05595</v>
      </c>
      <c r="G656" t="n">
        <v>4755.40355</v>
      </c>
      <c r="H656" t="n">
        <v>4792.76972</v>
      </c>
      <c r="Q656" t="n">
        <v>4642.62466</v>
      </c>
      <c r="R656" t="n">
        <v>4671.98796</v>
      </c>
      <c r="S656" t="n">
        <v>4698.57673</v>
      </c>
      <c r="V656" t="n">
        <v>4607.68489</v>
      </c>
      <c r="W656" t="n">
        <v>4574.11989</v>
      </c>
      <c r="AB656" t="n">
        <v>4679.54734</v>
      </c>
      <c r="AC656" t="n">
        <v>4678.05951</v>
      </c>
      <c r="AD656" t="n">
        <v>0</v>
      </c>
      <c r="AK656" t="n">
        <v>654</v>
      </c>
      <c r="AL656" t="n">
        <v>653</v>
      </c>
      <c r="AM656" t="n">
        <v>4679.82</v>
      </c>
      <c r="AN656" t="n">
        <v>4642.6247</v>
      </c>
      <c r="AO656" t="n">
        <v>37.1953</v>
      </c>
      <c r="AP656" t="n">
        <v>1383.4933</v>
      </c>
      <c r="AQ656" t="n">
        <v>1.183808</v>
      </c>
      <c r="AR656" t="n">
        <v>1.2523</v>
      </c>
      <c r="AY656" t="n">
        <v>654</v>
      </c>
      <c r="AZ656" t="n">
        <v>653</v>
      </c>
      <c r="BA656" t="n">
        <v>4679.82</v>
      </c>
      <c r="BB656" t="n">
        <v>4642.6247</v>
      </c>
      <c r="BC656" t="n">
        <v>37.1953</v>
      </c>
      <c r="BD656" t="n">
        <v>1383.4933</v>
      </c>
      <c r="BE656" t="n">
        <v>426409</v>
      </c>
    </row>
    <row r="657">
      <c r="A657" t="n">
        <v>1777311002</v>
      </c>
      <c r="B657" t="inlineStr">
        <is>
          <t>XAUUSD</t>
        </is>
      </c>
      <c r="C657" t="inlineStr">
        <is>
          <t>M15</t>
        </is>
      </c>
      <c r="D657" t="n">
        <v>4683.29</v>
      </c>
      <c r="E657" t="n">
        <v>4518.59282</v>
      </c>
      <c r="F657" t="n">
        <v>4596.05595</v>
      </c>
      <c r="G657" t="n">
        <v>4755.40355</v>
      </c>
      <c r="H657" t="n">
        <v>4792.76972</v>
      </c>
      <c r="Q657" t="n">
        <v>4642.35705</v>
      </c>
      <c r="R657" t="n">
        <v>4671.72035</v>
      </c>
      <c r="S657" t="n">
        <v>4698.30912</v>
      </c>
      <c r="V657" t="n">
        <v>4607.41728</v>
      </c>
      <c r="W657" t="n">
        <v>4573.85229</v>
      </c>
      <c r="AB657" t="n">
        <v>4681.11203</v>
      </c>
      <c r="AC657" t="n">
        <v>4679.58577</v>
      </c>
      <c r="AD657" t="n">
        <v>0</v>
      </c>
      <c r="AK657" t="n">
        <v>655</v>
      </c>
      <c r="AL657" t="n">
        <v>654</v>
      </c>
      <c r="AM657" t="n">
        <v>4683.29</v>
      </c>
      <c r="AN657" t="n">
        <v>4642.357</v>
      </c>
      <c r="AO657" t="n">
        <v>40.933</v>
      </c>
      <c r="AP657" t="n">
        <v>1675.5064</v>
      </c>
      <c r="AQ657" t="n">
        <v>1.577737</v>
      </c>
      <c r="AR657" t="n">
        <v>1.836734</v>
      </c>
      <c r="AY657" t="n">
        <v>655</v>
      </c>
      <c r="AZ657" t="n">
        <v>654</v>
      </c>
      <c r="BA657" t="n">
        <v>4683.29</v>
      </c>
      <c r="BB657" t="n">
        <v>4642.357</v>
      </c>
      <c r="BC657" t="n">
        <v>40.933</v>
      </c>
      <c r="BD657" t="n">
        <v>1675.5064</v>
      </c>
      <c r="BE657" t="n">
        <v>427716</v>
      </c>
    </row>
    <row r="658">
      <c r="A658" t="n">
        <v>1777311902</v>
      </c>
      <c r="B658" t="inlineStr">
        <is>
          <t>XAUUSD</t>
        </is>
      </c>
      <c r="C658" t="inlineStr">
        <is>
          <t>M15</t>
        </is>
      </c>
      <c r="D658" t="n">
        <v>4682.1</v>
      </c>
      <c r="E658" t="n">
        <v>4518.59282</v>
      </c>
      <c r="F658" t="n">
        <v>4596.05595</v>
      </c>
      <c r="G658" t="n">
        <v>4755.40355</v>
      </c>
      <c r="H658" t="n">
        <v>4792.76972</v>
      </c>
      <c r="Q658" t="n">
        <v>4642.08945</v>
      </c>
      <c r="R658" t="n">
        <v>4671.45275</v>
      </c>
      <c r="S658" t="n">
        <v>4698.04152</v>
      </c>
      <c r="V658" t="n">
        <v>4607.14968</v>
      </c>
      <c r="W658" t="n">
        <v>4573.58468</v>
      </c>
      <c r="AB658" t="n">
        <v>4682.21036</v>
      </c>
      <c r="AC658" t="n">
        <v>4680.89806</v>
      </c>
      <c r="AD658" t="n">
        <v>0</v>
      </c>
      <c r="AK658" t="n">
        <v>656</v>
      </c>
      <c r="AL658" t="n">
        <v>655</v>
      </c>
      <c r="AM658" t="n">
        <v>4682.1</v>
      </c>
      <c r="AN658" t="n">
        <v>4642.0895</v>
      </c>
      <c r="AO658" t="n">
        <v>40.0105</v>
      </c>
      <c r="AP658" t="n">
        <v>1600.8441</v>
      </c>
      <c r="AQ658" t="n">
        <v>1.473463</v>
      </c>
      <c r="AR658" t="n">
        <v>1.676688</v>
      </c>
      <c r="AY658" t="n">
        <v>656</v>
      </c>
      <c r="AZ658" t="n">
        <v>655</v>
      </c>
      <c r="BA658" t="n">
        <v>4682.1</v>
      </c>
      <c r="BB658" t="n">
        <v>4642.0895</v>
      </c>
      <c r="BC658" t="n">
        <v>40.0105</v>
      </c>
      <c r="BD658" t="n">
        <v>1600.8441</v>
      </c>
      <c r="BE658" t="n">
        <v>429025</v>
      </c>
    </row>
    <row r="659">
      <c r="A659" t="n">
        <v>1777312802</v>
      </c>
      <c r="B659" t="inlineStr">
        <is>
          <t>XAUUSD</t>
        </is>
      </c>
      <c r="C659" t="inlineStr">
        <is>
          <t>M15</t>
        </is>
      </c>
      <c r="D659" t="n">
        <v>4681.62</v>
      </c>
      <c r="E659" t="n">
        <v>4518.59282</v>
      </c>
      <c r="F659" t="n">
        <v>4596.05595</v>
      </c>
      <c r="G659" t="n">
        <v>4755.40355</v>
      </c>
      <c r="H659" t="n">
        <v>4792.76972</v>
      </c>
      <c r="Q659" t="n">
        <v>4641.82184</v>
      </c>
      <c r="R659" t="n">
        <v>4671.18514</v>
      </c>
      <c r="S659" t="n">
        <v>4697.77391</v>
      </c>
      <c r="V659" t="n">
        <v>4606.88207</v>
      </c>
      <c r="W659" t="n">
        <v>4573.31708</v>
      </c>
      <c r="AB659" t="n">
        <v>4682.79255</v>
      </c>
      <c r="AC659" t="n">
        <v>4681.84531</v>
      </c>
      <c r="AD659" t="n">
        <v>0</v>
      </c>
      <c r="AK659" t="n">
        <v>657</v>
      </c>
      <c r="AL659" t="n">
        <v>656</v>
      </c>
      <c r="AM659" t="n">
        <v>4681.62</v>
      </c>
      <c r="AN659" t="n">
        <v>4641.8218</v>
      </c>
      <c r="AO659" t="n">
        <v>39.7982</v>
      </c>
      <c r="AP659" t="n">
        <v>1583.8935</v>
      </c>
      <c r="AQ659" t="n">
        <v>1.450122</v>
      </c>
      <c r="AR659" t="n">
        <v>1.641368</v>
      </c>
      <c r="AY659" t="n">
        <v>657</v>
      </c>
      <c r="AZ659" t="n">
        <v>656</v>
      </c>
      <c r="BA659" t="n">
        <v>4681.62</v>
      </c>
      <c r="BB659" t="n">
        <v>4641.8218</v>
      </c>
      <c r="BC659" t="n">
        <v>39.7982</v>
      </c>
      <c r="BD659" t="n">
        <v>1583.8935</v>
      </c>
      <c r="BE659" t="n">
        <v>430336</v>
      </c>
    </row>
    <row r="660">
      <c r="A660" t="n">
        <v>1777313702</v>
      </c>
      <c r="B660" t="inlineStr">
        <is>
          <t>XAUUSD</t>
        </is>
      </c>
      <c r="C660" t="inlineStr">
        <is>
          <t>M15</t>
        </is>
      </c>
      <c r="D660" t="n">
        <v>4684.05</v>
      </c>
      <c r="E660" t="n">
        <v>4518.59282</v>
      </c>
      <c r="F660" t="n">
        <v>4596.05595</v>
      </c>
      <c r="G660" t="n">
        <v>4755.40355</v>
      </c>
      <c r="H660" t="n">
        <v>4792.76972</v>
      </c>
      <c r="Q660" t="n">
        <v>4641.55424</v>
      </c>
      <c r="R660" t="n">
        <v>4670.91754</v>
      </c>
      <c r="S660" t="n">
        <v>4697.50631</v>
      </c>
      <c r="V660" t="n">
        <v>4606.61447</v>
      </c>
      <c r="W660" t="n">
        <v>4573.04947</v>
      </c>
      <c r="AB660" t="n">
        <v>4682.87688</v>
      </c>
      <c r="AC660" t="n">
        <v>4682.36109</v>
      </c>
      <c r="AD660" t="n">
        <v>0</v>
      </c>
      <c r="AK660" t="n">
        <v>658</v>
      </c>
      <c r="AL660" t="n">
        <v>657</v>
      </c>
      <c r="AM660" t="n">
        <v>4684.05</v>
      </c>
      <c r="AN660" t="n">
        <v>4641.5542</v>
      </c>
      <c r="AO660" t="n">
        <v>42.4958</v>
      </c>
      <c r="AP660" t="n">
        <v>1805.8896</v>
      </c>
      <c r="AQ660" t="n">
        <v>1.765438</v>
      </c>
      <c r="AR660" t="n">
        <v>2.133716</v>
      </c>
      <c r="AY660" t="n">
        <v>658</v>
      </c>
      <c r="AZ660" t="n">
        <v>657</v>
      </c>
      <c r="BA660" t="n">
        <v>4684.05</v>
      </c>
      <c r="BB660" t="n">
        <v>4641.5542</v>
      </c>
      <c r="BC660" t="n">
        <v>42.4958</v>
      </c>
      <c r="BD660" t="n">
        <v>1805.8896</v>
      </c>
      <c r="BE660" t="n">
        <v>431649</v>
      </c>
    </row>
    <row r="661">
      <c r="A661" t="n">
        <v>1777314602</v>
      </c>
      <c r="B661" t="inlineStr">
        <is>
          <t>XAUUSD</t>
        </is>
      </c>
      <c r="C661" t="inlineStr">
        <is>
          <t>M15</t>
        </is>
      </c>
      <c r="D661" t="n">
        <v>4682.77</v>
      </c>
      <c r="E661" t="n">
        <v>4518.59282</v>
      </c>
      <c r="F661" t="n">
        <v>4596.05595</v>
      </c>
      <c r="G661" t="n">
        <v>4755.40355</v>
      </c>
      <c r="H661" t="n">
        <v>4792.76972</v>
      </c>
      <c r="Q661" t="n">
        <v>4641.28664</v>
      </c>
      <c r="R661" t="n">
        <v>4670.64994</v>
      </c>
      <c r="S661" t="n">
        <v>4697.23871</v>
      </c>
      <c r="V661" t="n">
        <v>4606.34687</v>
      </c>
      <c r="W661" t="n">
        <v>4572.78187</v>
      </c>
      <c r="AB661" t="n">
        <v>4682.4821</v>
      </c>
      <c r="AC661" t="n">
        <v>4682.42159</v>
      </c>
      <c r="AD661" t="n">
        <v>0</v>
      </c>
      <c r="AK661" t="n">
        <v>659</v>
      </c>
      <c r="AL661" t="n">
        <v>658</v>
      </c>
      <c r="AM661" t="n">
        <v>4682.77</v>
      </c>
      <c r="AN661" t="n">
        <v>4641.2866</v>
      </c>
      <c r="AO661" t="n">
        <v>41.4834</v>
      </c>
      <c r="AP661" t="n">
        <v>1720.8692</v>
      </c>
      <c r="AQ661" t="n">
        <v>1.642243</v>
      </c>
      <c r="AR661" t="n">
        <v>1.937536</v>
      </c>
      <c r="AY661" t="n">
        <v>659</v>
      </c>
      <c r="AZ661" t="n">
        <v>658</v>
      </c>
      <c r="BA661" t="n">
        <v>4682.77</v>
      </c>
      <c r="BB661" t="n">
        <v>4641.2866</v>
      </c>
      <c r="BC661" t="n">
        <v>41.4834</v>
      </c>
      <c r="BD661" t="n">
        <v>1720.8692</v>
      </c>
      <c r="BE661" t="n">
        <v>432964</v>
      </c>
    </row>
    <row r="662">
      <c r="A662" t="n">
        <v>1777315502</v>
      </c>
      <c r="B662" t="inlineStr">
        <is>
          <t>XAUUSD</t>
        </is>
      </c>
      <c r="C662" t="inlineStr">
        <is>
          <t>M15</t>
        </is>
      </c>
      <c r="D662" t="n">
        <v>4680.74</v>
      </c>
      <c r="E662" t="n">
        <v>4518.59282</v>
      </c>
      <c r="F662" t="n">
        <v>4596.05595</v>
      </c>
      <c r="G662" t="n">
        <v>4755.40355</v>
      </c>
      <c r="H662" t="n">
        <v>4792.76972</v>
      </c>
      <c r="Q662" t="n">
        <v>4641.01903</v>
      </c>
      <c r="R662" t="n">
        <v>4670.38233</v>
      </c>
      <c r="S662" t="n">
        <v>4696.9711</v>
      </c>
      <c r="V662" t="n">
        <v>4606.07926</v>
      </c>
      <c r="W662" t="n">
        <v>4572.51427</v>
      </c>
      <c r="AB662" t="n">
        <v>4681.79257</v>
      </c>
      <c r="AC662" t="n">
        <v>4682.10708</v>
      </c>
      <c r="AD662" t="n">
        <v>1</v>
      </c>
      <c r="AK662" t="n">
        <v>660</v>
      </c>
      <c r="AL662" t="n">
        <v>659</v>
      </c>
      <c r="AM662" t="n">
        <v>4680.74</v>
      </c>
      <c r="AN662" t="n">
        <v>4641.019</v>
      </c>
      <c r="AO662" t="n">
        <v>39.721</v>
      </c>
      <c r="AP662" t="n">
        <v>1577.7555</v>
      </c>
      <c r="AQ662" t="n">
        <v>1.441701</v>
      </c>
      <c r="AR662" t="n">
        <v>1.628671</v>
      </c>
      <c r="AY662" t="n">
        <v>660</v>
      </c>
      <c r="AZ662" t="n">
        <v>659</v>
      </c>
      <c r="BA662" t="n">
        <v>4680.74</v>
      </c>
      <c r="BB662" t="n">
        <v>4641.019</v>
      </c>
      <c r="BC662" t="n">
        <v>39.721</v>
      </c>
      <c r="BD662" t="n">
        <v>1577.7555</v>
      </c>
      <c r="BE662" t="n">
        <v>434281</v>
      </c>
    </row>
    <row r="663">
      <c r="A663" t="n">
        <v>1777316402</v>
      </c>
      <c r="B663" t="inlineStr">
        <is>
          <t>XAUUSD</t>
        </is>
      </c>
      <c r="C663" t="inlineStr">
        <is>
          <t>M15</t>
        </is>
      </c>
      <c r="D663" t="n">
        <v>4680.36</v>
      </c>
      <c r="E663" t="n">
        <v>4518.59282</v>
      </c>
      <c r="F663" t="n">
        <v>4596.05595</v>
      </c>
      <c r="G663" t="n">
        <v>4755.40355</v>
      </c>
      <c r="H663" t="n">
        <v>4792.76972</v>
      </c>
      <c r="Q663" t="n">
        <v>4640.75143</v>
      </c>
      <c r="R663" t="n">
        <v>4670.11473</v>
      </c>
      <c r="S663" t="n">
        <v>4696.7035</v>
      </c>
      <c r="V663" t="n">
        <v>4605.81166</v>
      </c>
      <c r="W663" t="n">
        <v>4572.24666</v>
      </c>
      <c r="AB663" t="n">
        <v>4681.03923</v>
      </c>
      <c r="AC663" t="n">
        <v>4681.57316</v>
      </c>
      <c r="AD663" t="n">
        <v>0</v>
      </c>
      <c r="AK663" t="n">
        <v>661</v>
      </c>
      <c r="AL663" t="n">
        <v>660</v>
      </c>
      <c r="AM663" t="n">
        <v>4680.36</v>
      </c>
      <c r="AN663" t="n">
        <v>4640.7514</v>
      </c>
      <c r="AO663" t="n">
        <v>39.6086</v>
      </c>
      <c r="AP663" t="n">
        <v>1568.8388</v>
      </c>
      <c r="AQ663" t="n">
        <v>1.429496</v>
      </c>
      <c r="AR663" t="n">
        <v>1.610315</v>
      </c>
      <c r="AY663" t="n">
        <v>661</v>
      </c>
      <c r="AZ663" t="n">
        <v>660</v>
      </c>
      <c r="BA663" t="n">
        <v>4680.36</v>
      </c>
      <c r="BB663" t="n">
        <v>4640.7514</v>
      </c>
      <c r="BC663" t="n">
        <v>39.6086</v>
      </c>
      <c r="BD663" t="n">
        <v>1568.8388</v>
      </c>
      <c r="BE663" t="n">
        <v>435600</v>
      </c>
    </row>
    <row r="664">
      <c r="A664" t="n">
        <v>1777317302</v>
      </c>
      <c r="B664" t="inlineStr">
        <is>
          <t>XAUUSD</t>
        </is>
      </c>
      <c r="C664" t="inlineStr">
        <is>
          <t>M15</t>
        </is>
      </c>
      <c r="D664" t="n">
        <v>4682.18</v>
      </c>
      <c r="E664" t="n">
        <v>4518.59282</v>
      </c>
      <c r="F664" t="n">
        <v>4596.05595</v>
      </c>
      <c r="G664" t="n">
        <v>4755.40355</v>
      </c>
      <c r="H664" t="n">
        <v>4792.76972</v>
      </c>
      <c r="Q664" t="n">
        <v>4640.48382</v>
      </c>
      <c r="R664" t="n">
        <v>4669.84712</v>
      </c>
      <c r="S664" t="n">
        <v>4696.43589</v>
      </c>
      <c r="V664" t="n">
        <v>4605.54405</v>
      </c>
      <c r="W664" t="n">
        <v>4571.97906</v>
      </c>
      <c r="AB664" t="n">
        <v>4680.41197</v>
      </c>
      <c r="AC664" t="n">
        <v>4680.99257</v>
      </c>
      <c r="AD664" t="n">
        <v>0</v>
      </c>
      <c r="AK664" t="n">
        <v>662</v>
      </c>
      <c r="AL664" t="n">
        <v>661</v>
      </c>
      <c r="AM664" t="n">
        <v>4682.18</v>
      </c>
      <c r="AN664" t="n">
        <v>4640.4838</v>
      </c>
      <c r="AO664" t="n">
        <v>41.6962</v>
      </c>
      <c r="AP664" t="n">
        <v>1738.5714</v>
      </c>
      <c r="AQ664" t="n">
        <v>1.667648</v>
      </c>
      <c r="AR664" t="n">
        <v>1.977603</v>
      </c>
      <c r="AY664" t="n">
        <v>662</v>
      </c>
      <c r="AZ664" t="n">
        <v>661</v>
      </c>
      <c r="BA664" t="n">
        <v>4682.18</v>
      </c>
      <c r="BB664" t="n">
        <v>4640.4838</v>
      </c>
      <c r="BC664" t="n">
        <v>41.6962</v>
      </c>
      <c r="BD664" t="n">
        <v>1738.5714</v>
      </c>
      <c r="BE664" t="n">
        <v>436921</v>
      </c>
    </row>
    <row r="665">
      <c r="A665" t="n">
        <v>1777318202</v>
      </c>
      <c r="B665" t="inlineStr">
        <is>
          <t>XAUUSD</t>
        </is>
      </c>
      <c r="C665" t="inlineStr">
        <is>
          <t>M15</t>
        </is>
      </c>
      <c r="D665" t="n">
        <v>4679.98</v>
      </c>
      <c r="E665" t="n">
        <v>4518.59282</v>
      </c>
      <c r="F665" t="n">
        <v>4596.05595</v>
      </c>
      <c r="G665" t="n">
        <v>4755.40355</v>
      </c>
      <c r="H665" t="n">
        <v>4792.76972</v>
      </c>
      <c r="Q665" t="n">
        <v>4640.21622</v>
      </c>
      <c r="R665" t="n">
        <v>4669.57952</v>
      </c>
      <c r="S665" t="n">
        <v>4696.16829</v>
      </c>
      <c r="V665" t="n">
        <v>4605.27645</v>
      </c>
      <c r="W665" t="n">
        <v>4571.71145</v>
      </c>
      <c r="AB665" t="n">
        <v>4679.99435</v>
      </c>
      <c r="AC665" t="n">
        <v>4680.49346</v>
      </c>
      <c r="AD665" t="n">
        <v>0</v>
      </c>
      <c r="AK665" t="n">
        <v>663</v>
      </c>
      <c r="AL665" t="n">
        <v>662</v>
      </c>
      <c r="AM665" t="n">
        <v>4679.98</v>
      </c>
      <c r="AN665" t="n">
        <v>4640.2162</v>
      </c>
      <c r="AO665" t="n">
        <v>39.7638</v>
      </c>
      <c r="AP665" t="n">
        <v>1581.1582</v>
      </c>
      <c r="AQ665" t="n">
        <v>1.446367</v>
      </c>
      <c r="AR665" t="n">
        <v>1.635704</v>
      </c>
      <c r="AY665" t="n">
        <v>663</v>
      </c>
      <c r="AZ665" t="n">
        <v>662</v>
      </c>
      <c r="BA665" t="n">
        <v>4679.98</v>
      </c>
      <c r="BB665" t="n">
        <v>4640.2162</v>
      </c>
      <c r="BC665" t="n">
        <v>39.7638</v>
      </c>
      <c r="BD665" t="n">
        <v>1581.1582</v>
      </c>
      <c r="BE665" t="n">
        <v>438244</v>
      </c>
    </row>
    <row r="666">
      <c r="A666" t="n">
        <v>1777319102</v>
      </c>
      <c r="B666" t="inlineStr">
        <is>
          <t>XAUUSD</t>
        </is>
      </c>
      <c r="C666" t="inlineStr">
        <is>
          <t>M15</t>
        </is>
      </c>
      <c r="D666" t="n">
        <v>4680.71</v>
      </c>
      <c r="E666" t="n">
        <v>4518.59282</v>
      </c>
      <c r="F666" t="n">
        <v>4596.05595</v>
      </c>
      <c r="G666" t="n">
        <v>4755.40355</v>
      </c>
      <c r="H666" t="n">
        <v>4792.76972</v>
      </c>
      <c r="Q666" t="n">
        <v>4639.94862</v>
      </c>
      <c r="R666" t="n">
        <v>4669.31191</v>
      </c>
      <c r="S666" t="n">
        <v>4695.90069</v>
      </c>
      <c r="V666" t="n">
        <v>4605.00885</v>
      </c>
      <c r="W666" t="n">
        <v>4571.44385</v>
      </c>
      <c r="AB666" t="n">
        <v>4679.92685</v>
      </c>
      <c r="AC666" t="n">
        <v>4680.21015</v>
      </c>
      <c r="AD666" t="n">
        <v>0</v>
      </c>
      <c r="AK666" t="n">
        <v>664</v>
      </c>
      <c r="AL666" t="n">
        <v>663</v>
      </c>
      <c r="AM666" t="n">
        <v>4680.71</v>
      </c>
      <c r="AN666" t="n">
        <v>4639.9486</v>
      </c>
      <c r="AO666" t="n">
        <v>40.7614</v>
      </c>
      <c r="AP666" t="n">
        <v>1661.4901</v>
      </c>
      <c r="AQ666" t="n">
        <v>1.557981</v>
      </c>
      <c r="AR666" t="n">
        <v>1.806133</v>
      </c>
      <c r="AY666" t="n">
        <v>664</v>
      </c>
      <c r="AZ666" t="n">
        <v>663</v>
      </c>
      <c r="BA666" t="n">
        <v>4680.71</v>
      </c>
      <c r="BB666" t="n">
        <v>4639.9486</v>
      </c>
      <c r="BC666" t="n">
        <v>40.7614</v>
      </c>
      <c r="BD666" t="n">
        <v>1661.4901</v>
      </c>
      <c r="BE666" t="n">
        <v>439569</v>
      </c>
    </row>
    <row r="667">
      <c r="A667" t="n">
        <v>1777320002</v>
      </c>
      <c r="B667" t="inlineStr">
        <is>
          <t>XAUUSD</t>
        </is>
      </c>
      <c r="C667" t="inlineStr">
        <is>
          <t>M15</t>
        </is>
      </c>
      <c r="D667" t="n">
        <v>4679.22</v>
      </c>
      <c r="E667" t="n">
        <v>4518.59282</v>
      </c>
      <c r="F667" t="n">
        <v>4596.05595</v>
      </c>
      <c r="G667" t="n">
        <v>4755.40355</v>
      </c>
      <c r="H667" t="n">
        <v>4792.76972</v>
      </c>
      <c r="Q667" t="n">
        <v>4639.68101</v>
      </c>
      <c r="R667" t="n">
        <v>4669.04431</v>
      </c>
      <c r="S667" t="n">
        <v>4695.63308</v>
      </c>
      <c r="V667" t="n">
        <v>4604.74124</v>
      </c>
      <c r="W667" t="n">
        <v>4571.17625</v>
      </c>
      <c r="AB667" t="n">
        <v>4680.23188</v>
      </c>
      <c r="AC667" t="n">
        <v>4680.22102</v>
      </c>
      <c r="AD667" t="n">
        <v>1</v>
      </c>
      <c r="AK667" t="n">
        <v>665</v>
      </c>
      <c r="AL667" t="n">
        <v>664</v>
      </c>
      <c r="AM667" t="n">
        <v>4679.22</v>
      </c>
      <c r="AN667" t="n">
        <v>4639.681</v>
      </c>
      <c r="AO667" t="n">
        <v>39.539</v>
      </c>
      <c r="AP667" t="n">
        <v>1563.3317</v>
      </c>
      <c r="AQ667" t="n">
        <v>1.421976</v>
      </c>
      <c r="AR667" t="n">
        <v>1.599029</v>
      </c>
      <c r="AY667" t="n">
        <v>665</v>
      </c>
      <c r="AZ667" t="n">
        <v>664</v>
      </c>
      <c r="BA667" t="n">
        <v>4679.22</v>
      </c>
      <c r="BB667" t="n">
        <v>4639.681</v>
      </c>
      <c r="BC667" t="n">
        <v>39.539</v>
      </c>
      <c r="BD667" t="n">
        <v>1563.3317</v>
      </c>
      <c r="BE667" t="n">
        <v>440896</v>
      </c>
    </row>
    <row r="668">
      <c r="A668" t="n">
        <v>1777320902</v>
      </c>
      <c r="B668" t="inlineStr">
        <is>
          <t>XAUUSD</t>
        </is>
      </c>
      <c r="C668" t="inlineStr">
        <is>
          <t>M15</t>
        </is>
      </c>
      <c r="D668" t="n">
        <v>4679.83</v>
      </c>
      <c r="E668" t="n">
        <v>4518.59282</v>
      </c>
      <c r="F668" t="n">
        <v>4596.05595</v>
      </c>
      <c r="G668" t="n">
        <v>4755.40355</v>
      </c>
      <c r="H668" t="n">
        <v>4792.76972</v>
      </c>
      <c r="Q668" t="n">
        <v>4639.41341</v>
      </c>
      <c r="R668" t="n">
        <v>4668.77671</v>
      </c>
      <c r="S668" t="n">
        <v>4695.36548</v>
      </c>
      <c r="V668" t="n">
        <v>4604.47364</v>
      </c>
      <c r="W668" t="n">
        <v>4570.90864</v>
      </c>
      <c r="AB668" t="n">
        <v>4680.95346</v>
      </c>
      <c r="AC668" t="n">
        <v>4680.58724</v>
      </c>
      <c r="AD668" t="n">
        <v>0</v>
      </c>
      <c r="AK668" t="n">
        <v>666</v>
      </c>
      <c r="AL668" t="n">
        <v>665</v>
      </c>
      <c r="AM668" t="n">
        <v>4679.83</v>
      </c>
      <c r="AN668" t="n">
        <v>4639.4134</v>
      </c>
      <c r="AO668" t="n">
        <v>40.4166</v>
      </c>
      <c r="AP668" t="n">
        <v>1633.5007</v>
      </c>
      <c r="AQ668" t="n">
        <v>1.518779</v>
      </c>
      <c r="AR668" t="n">
        <v>1.745793</v>
      </c>
      <c r="AY668" t="n">
        <v>666</v>
      </c>
      <c r="AZ668" t="n">
        <v>665</v>
      </c>
      <c r="BA668" t="n">
        <v>4679.83</v>
      </c>
      <c r="BB668" t="n">
        <v>4639.4134</v>
      </c>
      <c r="BC668" t="n">
        <v>40.4166</v>
      </c>
      <c r="BD668" t="n">
        <v>1633.5007</v>
      </c>
      <c r="BE668" t="n">
        <v>442225</v>
      </c>
    </row>
    <row r="669">
      <c r="A669" t="n">
        <v>1777321802</v>
      </c>
      <c r="B669" t="inlineStr">
        <is>
          <t>XAUUSD</t>
        </is>
      </c>
      <c r="C669" t="inlineStr">
        <is>
          <t>M15</t>
        </is>
      </c>
      <c r="D669" t="n">
        <v>4680.18</v>
      </c>
      <c r="E669" t="n">
        <v>4518.59282</v>
      </c>
      <c r="F669" t="n">
        <v>4596.05595</v>
      </c>
      <c r="G669" t="n">
        <v>4755.40355</v>
      </c>
      <c r="H669" t="n">
        <v>4792.76972</v>
      </c>
      <c r="Q669" t="n">
        <v>4639.1458</v>
      </c>
      <c r="R669" t="n">
        <v>4668.5091</v>
      </c>
      <c r="S669" t="n">
        <v>4695.09787</v>
      </c>
      <c r="V669" t="n">
        <v>4604.20603</v>
      </c>
      <c r="W669" t="n">
        <v>4570.64104</v>
      </c>
      <c r="AB669" t="n">
        <v>4682.03664</v>
      </c>
      <c r="AC669" t="n">
        <v>4681.31194</v>
      </c>
      <c r="AD669" t="n">
        <v>0</v>
      </c>
      <c r="AK669" t="n">
        <v>667</v>
      </c>
      <c r="AL669" t="n">
        <v>666</v>
      </c>
      <c r="AM669" t="n">
        <v>4680.18</v>
      </c>
      <c r="AN669" t="n">
        <v>4639.1458</v>
      </c>
      <c r="AO669" t="n">
        <v>41.0342</v>
      </c>
      <c r="AP669" t="n">
        <v>1683.8056</v>
      </c>
      <c r="AQ669" t="n">
        <v>1.589474</v>
      </c>
      <c r="AR669" t="n">
        <v>1.854975</v>
      </c>
      <c r="AY669" t="n">
        <v>667</v>
      </c>
      <c r="AZ669" t="n">
        <v>666</v>
      </c>
      <c r="BA669" t="n">
        <v>4680.18</v>
      </c>
      <c r="BB669" t="n">
        <v>4639.1458</v>
      </c>
      <c r="BC669" t="n">
        <v>41.0342</v>
      </c>
      <c r="BD669" t="n">
        <v>1683.8056</v>
      </c>
      <c r="BE669" t="n">
        <v>443556</v>
      </c>
    </row>
    <row r="670">
      <c r="A670" t="n">
        <v>1777322702</v>
      </c>
      <c r="B670" t="inlineStr">
        <is>
          <t>XAUUSD</t>
        </is>
      </c>
      <c r="C670" t="inlineStr">
        <is>
          <t>M15</t>
        </is>
      </c>
      <c r="D670" t="n">
        <v>4681.84</v>
      </c>
      <c r="E670" t="n">
        <v>4518.59282</v>
      </c>
      <c r="F670" t="n">
        <v>4596.05595</v>
      </c>
      <c r="G670" t="n">
        <v>4755.40355</v>
      </c>
      <c r="H670" t="n">
        <v>4792.76972</v>
      </c>
      <c r="Q670" t="n">
        <v>4638.8782</v>
      </c>
      <c r="R670" t="n">
        <v>4668.2415</v>
      </c>
      <c r="S670" t="n">
        <v>4694.83027</v>
      </c>
      <c r="V670" t="n">
        <v>4603.93843</v>
      </c>
      <c r="W670" t="n">
        <v>4570.37343</v>
      </c>
      <c r="AB670" t="n">
        <v>4683.43108</v>
      </c>
      <c r="AC670" t="n">
        <v>4682.37151</v>
      </c>
      <c r="AD670" t="n">
        <v>0</v>
      </c>
      <c r="AK670" t="n">
        <v>668</v>
      </c>
      <c r="AL670" t="n">
        <v>667</v>
      </c>
      <c r="AM670" t="n">
        <v>4681.84</v>
      </c>
      <c r="AN670" t="n">
        <v>4638.8782</v>
      </c>
      <c r="AO670" t="n">
        <v>42.9618</v>
      </c>
      <c r="AP670" t="n">
        <v>1845.7163</v>
      </c>
      <c r="AQ670" t="n">
        <v>1.82416</v>
      </c>
      <c r="AR670" t="n">
        <v>2.228866</v>
      </c>
      <c r="AY670" t="n">
        <v>668</v>
      </c>
      <c r="AZ670" t="n">
        <v>667</v>
      </c>
      <c r="BA670" t="n">
        <v>4681.84</v>
      </c>
      <c r="BB670" t="n">
        <v>4638.8782</v>
      </c>
      <c r="BC670" t="n">
        <v>42.9618</v>
      </c>
      <c r="BD670" t="n">
        <v>1845.7163</v>
      </c>
      <c r="BE670" t="n">
        <v>444889</v>
      </c>
    </row>
    <row r="671">
      <c r="A671" t="n">
        <v>1777327202</v>
      </c>
      <c r="B671" t="inlineStr">
        <is>
          <t>XAUUSD</t>
        </is>
      </c>
      <c r="C671" t="inlineStr">
        <is>
          <t>M15</t>
        </is>
      </c>
      <c r="D671" t="n">
        <v>4689.32</v>
      </c>
      <c r="E671" t="n">
        <v>4518.59282</v>
      </c>
      <c r="F671" t="n">
        <v>4596.05595</v>
      </c>
      <c r="G671" t="n">
        <v>4755.40355</v>
      </c>
      <c r="H671" t="n">
        <v>4792.76972</v>
      </c>
      <c r="Q671" t="n">
        <v>4638.6106</v>
      </c>
      <c r="R671" t="n">
        <v>4667.97389</v>
      </c>
      <c r="S671" t="n">
        <v>4694.56267</v>
      </c>
      <c r="V671" t="n">
        <v>4603.67083</v>
      </c>
      <c r="W671" t="n">
        <v>4570.10583</v>
      </c>
      <c r="AB671" t="n">
        <v>4684.99161</v>
      </c>
      <c r="AC671" t="n">
        <v>4683.68156</v>
      </c>
      <c r="AD671" t="n">
        <v>0</v>
      </c>
      <c r="AK671" t="n">
        <v>669</v>
      </c>
      <c r="AL671" t="n">
        <v>668</v>
      </c>
      <c r="AM671" t="n">
        <v>4689.32</v>
      </c>
      <c r="AN671" t="n">
        <v>4638.6106</v>
      </c>
      <c r="AO671" t="n">
        <v>50.7094</v>
      </c>
      <c r="AP671" t="n">
        <v>2571.4432</v>
      </c>
      <c r="AQ671" t="n">
        <v>2.999722</v>
      </c>
      <c r="AR671" t="n">
        <v>4.326214</v>
      </c>
      <c r="AY671" t="n">
        <v>669</v>
      </c>
      <c r="AZ671" t="n">
        <v>668</v>
      </c>
      <c r="BA671" t="n">
        <v>4689.32</v>
      </c>
      <c r="BB671" t="n">
        <v>4638.6106</v>
      </c>
      <c r="BC671" t="n">
        <v>50.7094</v>
      </c>
      <c r="BD671" t="n">
        <v>2571.4432</v>
      </c>
      <c r="BE671" t="n">
        <v>446224</v>
      </c>
    </row>
    <row r="672">
      <c r="A672" t="n">
        <v>1777328102</v>
      </c>
      <c r="B672" t="inlineStr">
        <is>
          <t>XAUUSD</t>
        </is>
      </c>
      <c r="C672" t="inlineStr">
        <is>
          <t>M15</t>
        </is>
      </c>
      <c r="D672" t="n">
        <v>4689.07</v>
      </c>
      <c r="E672" t="n">
        <v>4518.59282</v>
      </c>
      <c r="F672" t="n">
        <v>4596.05595</v>
      </c>
      <c r="G672" t="n">
        <v>4755.40355</v>
      </c>
      <c r="H672" t="n">
        <v>4792.76972</v>
      </c>
      <c r="Q672" t="n">
        <v>4638.34299</v>
      </c>
      <c r="R672" t="n">
        <v>4667.70629</v>
      </c>
      <c r="S672" t="n">
        <v>4694.29506</v>
      </c>
      <c r="V672" t="n">
        <v>4603.40322</v>
      </c>
      <c r="W672" t="n">
        <v>4569.83822</v>
      </c>
      <c r="AB672" t="n">
        <v>4686.51075</v>
      </c>
      <c r="AC672" t="n">
        <v>4685.09615</v>
      </c>
      <c r="AD672" t="n">
        <v>0</v>
      </c>
      <c r="AK672" t="n">
        <v>670</v>
      </c>
      <c r="AL672" t="n">
        <v>669</v>
      </c>
      <c r="AM672" t="n">
        <v>4689.07</v>
      </c>
      <c r="AN672" t="n">
        <v>4638.343</v>
      </c>
      <c r="AO672" t="n">
        <v>50.727</v>
      </c>
      <c r="AP672" t="n">
        <v>2573.2295</v>
      </c>
      <c r="AQ672" t="n">
        <v>3.002848</v>
      </c>
      <c r="AR672" t="n">
        <v>4.332227</v>
      </c>
      <c r="AY672" t="n">
        <v>670</v>
      </c>
      <c r="AZ672" t="n">
        <v>669</v>
      </c>
      <c r="BA672" t="n">
        <v>4689.07</v>
      </c>
      <c r="BB672" t="n">
        <v>4638.343</v>
      </c>
      <c r="BC672" t="n">
        <v>50.727</v>
      </c>
      <c r="BD672" t="n">
        <v>2573.2295</v>
      </c>
      <c r="BE672" t="n">
        <v>447561</v>
      </c>
    </row>
    <row r="673">
      <c r="A673" t="n">
        <v>1777329002</v>
      </c>
      <c r="B673" t="inlineStr">
        <is>
          <t>XAUUSD</t>
        </is>
      </c>
      <c r="C673" t="inlineStr">
        <is>
          <t>M15</t>
        </is>
      </c>
      <c r="D673" t="n">
        <v>4687.28</v>
      </c>
      <c r="E673" t="n">
        <v>4518.59282</v>
      </c>
      <c r="F673" t="n">
        <v>4596.05595</v>
      </c>
      <c r="G673" t="n">
        <v>4755.40355</v>
      </c>
      <c r="H673" t="n">
        <v>4792.76972</v>
      </c>
      <c r="Q673" t="n">
        <v>4638.07539</v>
      </c>
      <c r="R673" t="n">
        <v>4667.43869</v>
      </c>
      <c r="S673" t="n">
        <v>4694.02746</v>
      </c>
      <c r="V673" t="n">
        <v>4603.13562</v>
      </c>
      <c r="W673" t="n">
        <v>4569.57062</v>
      </c>
      <c r="AB673" t="n">
        <v>4687.94156</v>
      </c>
      <c r="AC673" t="n">
        <v>4686.51886</v>
      </c>
      <c r="AD673" t="n">
        <v>0</v>
      </c>
      <c r="AK673" t="n">
        <v>671</v>
      </c>
      <c r="AL673" t="n">
        <v>670</v>
      </c>
      <c r="AM673" t="n">
        <v>4687.28</v>
      </c>
      <c r="AN673" t="n">
        <v>4638.0754</v>
      </c>
      <c r="AO673" t="n">
        <v>49.2046</v>
      </c>
      <c r="AP673" t="n">
        <v>2421.0936</v>
      </c>
      <c r="AQ673" t="n">
        <v>2.74052</v>
      </c>
      <c r="AR673" t="n">
        <v>3.835105</v>
      </c>
      <c r="AY673" t="n">
        <v>671</v>
      </c>
      <c r="AZ673" t="n">
        <v>670</v>
      </c>
      <c r="BA673" t="n">
        <v>4687.28</v>
      </c>
      <c r="BB673" t="n">
        <v>4638.0754</v>
      </c>
      <c r="BC673" t="n">
        <v>49.2046</v>
      </c>
      <c r="BD673" t="n">
        <v>2421.0936</v>
      </c>
      <c r="BE673" t="n">
        <v>448900</v>
      </c>
    </row>
    <row r="674">
      <c r="A674" t="n">
        <v>1777329902</v>
      </c>
      <c r="B674" t="inlineStr">
        <is>
          <t>XAUUSD</t>
        </is>
      </c>
      <c r="C674" t="inlineStr">
        <is>
          <t>M15</t>
        </is>
      </c>
      <c r="D674" t="n">
        <v>4687.93</v>
      </c>
      <c r="E674" t="n">
        <v>4518.59282</v>
      </c>
      <c r="F674" t="n">
        <v>4596.05595</v>
      </c>
      <c r="G674" t="n">
        <v>4755.40355</v>
      </c>
      <c r="H674" t="n">
        <v>4792.76972</v>
      </c>
      <c r="Q674" t="n">
        <v>4637.80778</v>
      </c>
      <c r="R674" t="n">
        <v>4667.17108</v>
      </c>
      <c r="S674" t="n">
        <v>4693.75985</v>
      </c>
      <c r="V674" t="n">
        <v>4602.86801</v>
      </c>
      <c r="W674" t="n">
        <v>4569.30302</v>
      </c>
      <c r="AB674" t="n">
        <v>4689.33161</v>
      </c>
      <c r="AC674" t="n">
        <v>4687.92524</v>
      </c>
      <c r="AD674" t="n">
        <v>0</v>
      </c>
      <c r="AK674" t="n">
        <v>672</v>
      </c>
      <c r="AL674" t="n">
        <v>671</v>
      </c>
      <c r="AM674" t="n">
        <v>4687.93</v>
      </c>
      <c r="AN674" t="n">
        <v>4637.8078</v>
      </c>
      <c r="AO674" t="n">
        <v>50.1222</v>
      </c>
      <c r="AP674" t="n">
        <v>2512.2369</v>
      </c>
      <c r="AQ674" t="n">
        <v>2.89672</v>
      </c>
      <c r="AR674" t="n">
        <v>4.129289</v>
      </c>
      <c r="AY674" t="n">
        <v>672</v>
      </c>
      <c r="AZ674" t="n">
        <v>671</v>
      </c>
      <c r="BA674" t="n">
        <v>4687.93</v>
      </c>
      <c r="BB674" t="n">
        <v>4637.8078</v>
      </c>
      <c r="BC674" t="n">
        <v>50.1222</v>
      </c>
      <c r="BD674" t="n">
        <v>2512.2369</v>
      </c>
      <c r="BE674" t="n">
        <v>450241</v>
      </c>
    </row>
    <row r="675">
      <c r="A675" t="n">
        <v>1777330802</v>
      </c>
      <c r="B675" t="inlineStr">
        <is>
          <t>XAUUSD</t>
        </is>
      </c>
      <c r="C675" t="inlineStr">
        <is>
          <t>M15</t>
        </is>
      </c>
      <c r="D675" t="n">
        <v>4689.83</v>
      </c>
      <c r="E675" t="n">
        <v>4518.59282</v>
      </c>
      <c r="F675" t="n">
        <v>4596.05595</v>
      </c>
      <c r="G675" t="n">
        <v>4755.40355</v>
      </c>
      <c r="H675" t="n">
        <v>4792.76972</v>
      </c>
      <c r="Q675" t="n">
        <v>4637.54018</v>
      </c>
      <c r="R675" t="n">
        <v>4666.90348</v>
      </c>
      <c r="S675" t="n">
        <v>4693.49225</v>
      </c>
      <c r="V675" t="n">
        <v>4602.60041</v>
      </c>
      <c r="W675" t="n">
        <v>4569.03541</v>
      </c>
      <c r="AB675" t="n">
        <v>4690.71192</v>
      </c>
      <c r="AC675" t="n">
        <v>4689.31858</v>
      </c>
      <c r="AD675" t="n">
        <v>0</v>
      </c>
      <c r="AK675" t="n">
        <v>673</v>
      </c>
      <c r="AL675" t="n">
        <v>672</v>
      </c>
      <c r="AM675" t="n">
        <v>4689.83</v>
      </c>
      <c r="AN675" t="n">
        <v>4637.5402</v>
      </c>
      <c r="AO675" t="n">
        <v>52.2898</v>
      </c>
      <c r="AP675" t="n">
        <v>2734.2253</v>
      </c>
      <c r="AQ675" t="n">
        <v>3.289024</v>
      </c>
      <c r="AR675" t="n">
        <v>4.891282</v>
      </c>
      <c r="AY675" t="n">
        <v>673</v>
      </c>
      <c r="AZ675" t="n">
        <v>672</v>
      </c>
      <c r="BA675" t="n">
        <v>4689.83</v>
      </c>
      <c r="BB675" t="n">
        <v>4637.5402</v>
      </c>
      <c r="BC675" t="n">
        <v>52.2898</v>
      </c>
      <c r="BD675" t="n">
        <v>2734.2253</v>
      </c>
      <c r="BE675" t="n">
        <v>451584</v>
      </c>
    </row>
    <row r="676">
      <c r="A676" t="n">
        <v>1777331702</v>
      </c>
      <c r="B676" t="inlineStr">
        <is>
          <t>XAUUSD</t>
        </is>
      </c>
      <c r="C676" t="inlineStr">
        <is>
          <t>M15</t>
        </is>
      </c>
      <c r="D676" t="n">
        <v>4690.82</v>
      </c>
      <c r="E676" t="n">
        <v>4518.59282</v>
      </c>
      <c r="F676" t="n">
        <v>4596.05595</v>
      </c>
      <c r="G676" t="n">
        <v>4755.40355</v>
      </c>
      <c r="H676" t="n">
        <v>4792.76972</v>
      </c>
      <c r="Q676" t="n">
        <v>4637.27258</v>
      </c>
      <c r="R676" t="n">
        <v>4666.63587</v>
      </c>
      <c r="S676" t="n">
        <v>4693.22464</v>
      </c>
      <c r="V676" t="n">
        <v>4602.3328</v>
      </c>
      <c r="W676" t="n">
        <v>4568.76781</v>
      </c>
      <c r="AB676" t="n">
        <v>4692.0336</v>
      </c>
      <c r="AC676" t="n">
        <v>4690.67609</v>
      </c>
      <c r="AD676" t="n">
        <v>0</v>
      </c>
      <c r="AK676" t="n">
        <v>674</v>
      </c>
      <c r="AL676" t="n">
        <v>673</v>
      </c>
      <c r="AM676" t="n">
        <v>4690.82</v>
      </c>
      <c r="AN676" t="n">
        <v>4637.2726</v>
      </c>
      <c r="AO676" t="n">
        <v>53.5474</v>
      </c>
      <c r="AP676" t="n">
        <v>2867.3262</v>
      </c>
      <c r="AQ676" t="n">
        <v>3.532086</v>
      </c>
      <c r="AR676" t="n">
        <v>5.379084</v>
      </c>
      <c r="AY676" t="n">
        <v>674</v>
      </c>
      <c r="AZ676" t="n">
        <v>673</v>
      </c>
      <c r="BA676" t="n">
        <v>4690.82</v>
      </c>
      <c r="BB676" t="n">
        <v>4637.2726</v>
      </c>
      <c r="BC676" t="n">
        <v>53.5474</v>
      </c>
      <c r="BD676" t="n">
        <v>2867.3262</v>
      </c>
      <c r="BE676" t="n">
        <v>452929</v>
      </c>
    </row>
    <row r="677">
      <c r="A677" t="n">
        <v>1777332602</v>
      </c>
      <c r="B677" t="inlineStr">
        <is>
          <t>XAUUSD</t>
        </is>
      </c>
      <c r="C677" t="inlineStr">
        <is>
          <t>M15</t>
        </is>
      </c>
      <c r="D677" t="n">
        <v>4694.41</v>
      </c>
      <c r="E677" t="n">
        <v>4518.59282</v>
      </c>
      <c r="F677" t="n">
        <v>4596.05595</v>
      </c>
      <c r="G677" t="n">
        <v>4755.40355</v>
      </c>
      <c r="H677" t="n">
        <v>4792.76972</v>
      </c>
      <c r="Q677" t="n">
        <v>4637.00497</v>
      </c>
      <c r="R677" t="n">
        <v>4666.36827</v>
      </c>
      <c r="S677" t="n">
        <v>4692.95704</v>
      </c>
      <c r="V677" t="n">
        <v>4602.0652</v>
      </c>
      <c r="W677" t="n">
        <v>4568.5002</v>
      </c>
      <c r="AB677" t="n">
        <v>4693.26095</v>
      </c>
      <c r="AC677" t="n">
        <v>4691.96852</v>
      </c>
      <c r="AD677" t="n">
        <v>0</v>
      </c>
      <c r="AK677" t="n">
        <v>675</v>
      </c>
      <c r="AL677" t="n">
        <v>674</v>
      </c>
      <c r="AM677" t="n">
        <v>4694.41</v>
      </c>
      <c r="AN677" t="n">
        <v>4637.005</v>
      </c>
      <c r="AO677" t="n">
        <v>57.405</v>
      </c>
      <c r="AP677" t="n">
        <v>3295.3375</v>
      </c>
      <c r="AQ677" t="n">
        <v>4.351765</v>
      </c>
      <c r="AR677" t="n">
        <v>7.104834</v>
      </c>
      <c r="AY677" t="n">
        <v>675</v>
      </c>
      <c r="AZ677" t="n">
        <v>674</v>
      </c>
      <c r="BA677" t="n">
        <v>4694.41</v>
      </c>
      <c r="BB677" t="n">
        <v>4637.005</v>
      </c>
      <c r="BC677" t="n">
        <v>57.405</v>
      </c>
      <c r="BD677" t="n">
        <v>3295.3375</v>
      </c>
      <c r="BE677" t="n">
        <v>454276</v>
      </c>
    </row>
    <row r="678">
      <c r="A678" t="n">
        <v>1777333502</v>
      </c>
      <c r="B678" t="inlineStr">
        <is>
          <t>XAUUSD</t>
        </is>
      </c>
      <c r="C678" t="inlineStr">
        <is>
          <t>M15</t>
        </is>
      </c>
      <c r="D678" t="n">
        <v>4691.85</v>
      </c>
      <c r="E678" t="n">
        <v>4518.59282</v>
      </c>
      <c r="F678" t="n">
        <v>4596.05595</v>
      </c>
      <c r="G678" t="n">
        <v>4755.40355</v>
      </c>
      <c r="H678" t="n">
        <v>4792.76972</v>
      </c>
      <c r="Q678" t="n">
        <v>4636.73737</v>
      </c>
      <c r="R678" t="n">
        <v>4666.10067</v>
      </c>
      <c r="S678" t="n">
        <v>4692.68944</v>
      </c>
      <c r="V678" t="n">
        <v>4601.7976</v>
      </c>
      <c r="W678" t="n">
        <v>4568.2326</v>
      </c>
      <c r="AB678" t="n">
        <v>4694.20193</v>
      </c>
      <c r="AC678" t="n">
        <v>4693.08522</v>
      </c>
      <c r="AD678" t="n">
        <v>0</v>
      </c>
      <c r="AK678" t="n">
        <v>676</v>
      </c>
      <c r="AL678" t="n">
        <v>675</v>
      </c>
      <c r="AM678" t="n">
        <v>4691.85</v>
      </c>
      <c r="AN678" t="n">
        <v>4636.7374</v>
      </c>
      <c r="AO678" t="n">
        <v>55.1126</v>
      </c>
      <c r="AP678" t="n">
        <v>3037.402</v>
      </c>
      <c r="AQ678" t="n">
        <v>3.85096</v>
      </c>
      <c r="AR678" t="n">
        <v>6.036131</v>
      </c>
      <c r="AY678" t="n">
        <v>676</v>
      </c>
      <c r="AZ678" t="n">
        <v>675</v>
      </c>
      <c r="BA678" t="n">
        <v>4691.85</v>
      </c>
      <c r="BB678" t="n">
        <v>4636.7374</v>
      </c>
      <c r="BC678" t="n">
        <v>55.1126</v>
      </c>
      <c r="BD678" t="n">
        <v>3037.402</v>
      </c>
      <c r="BE678" t="n">
        <v>455625</v>
      </c>
    </row>
    <row r="679">
      <c r="A679" t="n">
        <v>1777334402</v>
      </c>
      <c r="B679" t="inlineStr">
        <is>
          <t>XAUUSD</t>
        </is>
      </c>
      <c r="C679" t="inlineStr">
        <is>
          <t>M15</t>
        </is>
      </c>
      <c r="D679" t="n">
        <v>4697.91</v>
      </c>
      <c r="E679" t="n">
        <v>4518.59282</v>
      </c>
      <c r="F679" t="n">
        <v>4596.05595</v>
      </c>
      <c r="G679" t="n">
        <v>4755.40355</v>
      </c>
      <c r="H679" t="n">
        <v>4792.76972</v>
      </c>
      <c r="Q679" t="n">
        <v>4636.46976</v>
      </c>
      <c r="R679" t="n">
        <v>4665.83306</v>
      </c>
      <c r="S679" t="n">
        <v>4692.42183</v>
      </c>
      <c r="V679" t="n">
        <v>4601.52999</v>
      </c>
      <c r="W679" t="n">
        <v>4567.965</v>
      </c>
      <c r="Z679" t="n">
        <v>4701.14</v>
      </c>
      <c r="AB679" t="n">
        <v>4694.77166</v>
      </c>
      <c r="AC679" t="n">
        <v>4693.92844</v>
      </c>
      <c r="AD679" t="n">
        <v>0</v>
      </c>
      <c r="AK679" t="n">
        <v>677</v>
      </c>
      <c r="AL679" t="n">
        <v>676</v>
      </c>
      <c r="AM679" t="n">
        <v>4697.91</v>
      </c>
      <c r="AN679" t="n">
        <v>4636.4698</v>
      </c>
      <c r="AO679" t="n">
        <v>61.4402</v>
      </c>
      <c r="AP679" t="n">
        <v>3774.9031</v>
      </c>
      <c r="AQ679" t="n">
        <v>5.33549</v>
      </c>
      <c r="AR679" t="n">
        <v>9.323216</v>
      </c>
      <c r="AY679" t="n">
        <v>677</v>
      </c>
      <c r="AZ679" t="n">
        <v>676</v>
      </c>
      <c r="BA679" t="n">
        <v>4697.91</v>
      </c>
      <c r="BB679" t="n">
        <v>4636.4698</v>
      </c>
      <c r="BC679" t="n">
        <v>61.4402</v>
      </c>
      <c r="BD679" t="n">
        <v>3774.9031</v>
      </c>
      <c r="BE679" t="n">
        <v>456976</v>
      </c>
    </row>
    <row r="680">
      <c r="A680" t="n">
        <v>1777335302</v>
      </c>
      <c r="B680" t="inlineStr">
        <is>
          <t>XAUUSD</t>
        </is>
      </c>
      <c r="C680" t="inlineStr">
        <is>
          <t>M15</t>
        </is>
      </c>
      <c r="D680" t="n">
        <v>4695.01</v>
      </c>
      <c r="E680" t="n">
        <v>4518.59282</v>
      </c>
      <c r="F680" t="n">
        <v>4596.05595</v>
      </c>
      <c r="G680" t="n">
        <v>4755.40355</v>
      </c>
      <c r="H680" t="n">
        <v>4792.76972</v>
      </c>
      <c r="Q680" t="n">
        <v>4636.20216</v>
      </c>
      <c r="R680" t="n">
        <v>4665.56546</v>
      </c>
      <c r="S680" t="n">
        <v>4692.15423</v>
      </c>
      <c r="V680" t="n">
        <v>4601.26239</v>
      </c>
      <c r="W680" t="n">
        <v>4567.69739</v>
      </c>
      <c r="AB680" t="n">
        <v>4694.62942</v>
      </c>
      <c r="AC680" t="n">
        <v>4694.27893</v>
      </c>
      <c r="AD680" t="n">
        <v>0</v>
      </c>
      <c r="AK680" t="n">
        <v>678</v>
      </c>
      <c r="AL680" t="n">
        <v>677</v>
      </c>
      <c r="AM680" t="n">
        <v>4695.01</v>
      </c>
      <c r="AN680" t="n">
        <v>4636.2022</v>
      </c>
      <c r="AO680" t="n">
        <v>58.8078</v>
      </c>
      <c r="AP680" t="n">
        <v>3458.362</v>
      </c>
      <c r="AQ680" t="n">
        <v>4.678658</v>
      </c>
      <c r="AR680" t="n">
        <v>7.825192</v>
      </c>
      <c r="AY680" t="n">
        <v>678</v>
      </c>
      <c r="AZ680" t="n">
        <v>677</v>
      </c>
      <c r="BA680" t="n">
        <v>4695.01</v>
      </c>
      <c r="BB680" t="n">
        <v>4636.2022</v>
      </c>
      <c r="BC680" t="n">
        <v>58.8078</v>
      </c>
      <c r="BD680" t="n">
        <v>3458.362</v>
      </c>
      <c r="BE680" t="n">
        <v>458329</v>
      </c>
    </row>
    <row r="681">
      <c r="A681" t="n">
        <v>1777336202</v>
      </c>
      <c r="B681" t="inlineStr">
        <is>
          <t>XAUUSD</t>
        </is>
      </c>
      <c r="C681" t="inlineStr">
        <is>
          <t>M15</t>
        </is>
      </c>
      <c r="D681" t="n">
        <v>4693.71</v>
      </c>
      <c r="E681" t="n">
        <v>4518.59282</v>
      </c>
      <c r="F681" t="n">
        <v>4596.05595</v>
      </c>
      <c r="G681" t="n">
        <v>4755.40355</v>
      </c>
      <c r="H681" t="n">
        <v>4792.76972</v>
      </c>
      <c r="Q681" t="n">
        <v>4635.93455</v>
      </c>
      <c r="R681" t="n">
        <v>4665.29785</v>
      </c>
      <c r="S681" t="n">
        <v>4691.88662</v>
      </c>
      <c r="V681" t="n">
        <v>4600.99478</v>
      </c>
      <c r="W681" t="n">
        <v>4567.42979</v>
      </c>
      <c r="AB681" t="n">
        <v>4693.69938</v>
      </c>
      <c r="AC681" t="n">
        <v>4693.98915</v>
      </c>
      <c r="AD681" t="n">
        <v>1</v>
      </c>
      <c r="AK681" t="n">
        <v>679</v>
      </c>
      <c r="AL681" t="n">
        <v>678</v>
      </c>
      <c r="AM681" t="n">
        <v>4693.71</v>
      </c>
      <c r="AN681" t="n">
        <v>4635.9345</v>
      </c>
      <c r="AO681" t="n">
        <v>57.7755</v>
      </c>
      <c r="AP681" t="n">
        <v>3338.0026</v>
      </c>
      <c r="AQ681" t="n">
        <v>4.436552</v>
      </c>
      <c r="AR681" t="n">
        <v>7.289999</v>
      </c>
      <c r="AY681" t="n">
        <v>679</v>
      </c>
      <c r="AZ681" t="n">
        <v>678</v>
      </c>
      <c r="BA681" t="n">
        <v>4693.71</v>
      </c>
      <c r="BB681" t="n">
        <v>4635.9345</v>
      </c>
      <c r="BC681" t="n">
        <v>57.7755</v>
      </c>
      <c r="BD681" t="n">
        <v>3338.0026</v>
      </c>
      <c r="BE681" t="n">
        <v>459684</v>
      </c>
    </row>
    <row r="682">
      <c r="A682" t="n">
        <v>1777337102</v>
      </c>
      <c r="B682" t="inlineStr">
        <is>
          <t>XAUUSD</t>
        </is>
      </c>
      <c r="C682" t="inlineStr">
        <is>
          <t>M15</t>
        </is>
      </c>
      <c r="D682" t="n">
        <v>4690.53</v>
      </c>
      <c r="E682" t="n">
        <v>4518.59282</v>
      </c>
      <c r="F682" t="n">
        <v>4596.05595</v>
      </c>
      <c r="G682" t="n">
        <v>4755.40355</v>
      </c>
      <c r="H682" t="n">
        <v>4792.76972</v>
      </c>
      <c r="Q682" t="n">
        <v>4635.66695</v>
      </c>
      <c r="R682" t="n">
        <v>4665.03025</v>
      </c>
      <c r="S682" t="n">
        <v>4691.61902</v>
      </c>
      <c r="V682" t="n">
        <v>4600.72718</v>
      </c>
      <c r="W682" t="n">
        <v>4567.16218</v>
      </c>
      <c r="AB682" t="n">
        <v>4691.92446</v>
      </c>
      <c r="AC682" t="n">
        <v>4692.95681</v>
      </c>
      <c r="AD682" t="n">
        <v>0</v>
      </c>
      <c r="AK682" t="n">
        <v>680</v>
      </c>
      <c r="AL682" t="n">
        <v>679</v>
      </c>
      <c r="AM682" t="n">
        <v>4690.53</v>
      </c>
      <c r="AN682" t="n">
        <v>4635.6669</v>
      </c>
      <c r="AO682" t="n">
        <v>54.863</v>
      </c>
      <c r="AP682" t="n">
        <v>3009.9543</v>
      </c>
      <c r="AQ682" t="n">
        <v>3.798879</v>
      </c>
      <c r="AR682" t="n">
        <v>5.927532</v>
      </c>
      <c r="AY682" t="n">
        <v>680</v>
      </c>
      <c r="AZ682" t="n">
        <v>679</v>
      </c>
      <c r="BA682" t="n">
        <v>4690.53</v>
      </c>
      <c r="BB682" t="n">
        <v>4635.6669</v>
      </c>
      <c r="BC682" t="n">
        <v>54.863</v>
      </c>
      <c r="BD682" t="n">
        <v>3009.9543</v>
      </c>
      <c r="BE682" t="n">
        <v>461041</v>
      </c>
    </row>
    <row r="683">
      <c r="A683" t="n">
        <v>1777338002</v>
      </c>
      <c r="B683" t="inlineStr">
        <is>
          <t>XAUUSD</t>
        </is>
      </c>
      <c r="C683" t="inlineStr">
        <is>
          <t>M15</t>
        </is>
      </c>
      <c r="D683" t="n">
        <v>4688.24</v>
      </c>
      <c r="E683" t="n">
        <v>4518.59282</v>
      </c>
      <c r="F683" t="n">
        <v>4596.05595</v>
      </c>
      <c r="G683" t="n">
        <v>4755.40355</v>
      </c>
      <c r="H683" t="n">
        <v>4792.76972</v>
      </c>
      <c r="Q683" t="n">
        <v>4635.39935</v>
      </c>
      <c r="R683" t="n">
        <v>4664.76265</v>
      </c>
      <c r="S683" t="n">
        <v>4691.35142</v>
      </c>
      <c r="V683" t="n">
        <v>4600.45958</v>
      </c>
      <c r="W683" t="n">
        <v>4566.89458</v>
      </c>
      <c r="AB683" t="n">
        <v>4689.35226</v>
      </c>
      <c r="AC683" t="n">
        <v>4691.15453</v>
      </c>
      <c r="AD683" t="n">
        <v>0</v>
      </c>
      <c r="AK683" t="n">
        <v>681</v>
      </c>
      <c r="AL683" t="n">
        <v>680</v>
      </c>
      <c r="AM683" t="n">
        <v>4688.24</v>
      </c>
      <c r="AN683" t="n">
        <v>4635.3993</v>
      </c>
      <c r="AO683" t="n">
        <v>52.8407</v>
      </c>
      <c r="AP683" t="n">
        <v>2792.1343</v>
      </c>
      <c r="AQ683" t="n">
        <v>3.394064</v>
      </c>
      <c r="AR683" t="n">
        <v>5.100664</v>
      </c>
      <c r="AY683" t="n">
        <v>681</v>
      </c>
      <c r="AZ683" t="n">
        <v>680</v>
      </c>
      <c r="BA683" t="n">
        <v>4688.24</v>
      </c>
      <c r="BB683" t="n">
        <v>4635.3993</v>
      </c>
      <c r="BC683" t="n">
        <v>52.8407</v>
      </c>
      <c r="BD683" t="n">
        <v>2792.1343</v>
      </c>
      <c r="BE683" t="n">
        <v>462400</v>
      </c>
    </row>
    <row r="684">
      <c r="A684" t="n">
        <v>1777338902</v>
      </c>
      <c r="B684" t="inlineStr">
        <is>
          <t>XAUUSD</t>
        </is>
      </c>
      <c r="C684" t="inlineStr">
        <is>
          <t>M15</t>
        </is>
      </c>
      <c r="D684" t="n">
        <v>4687.7</v>
      </c>
      <c r="E684" t="n">
        <v>4518.59282</v>
      </c>
      <c r="F684" t="n">
        <v>4596.05595</v>
      </c>
      <c r="G684" t="n">
        <v>4755.40355</v>
      </c>
      <c r="H684" t="n">
        <v>4792.76972</v>
      </c>
      <c r="Q684" t="n">
        <v>4635.13174</v>
      </c>
      <c r="R684" t="n">
        <v>4664.49504</v>
      </c>
      <c r="S684" t="n">
        <v>4691.08381</v>
      </c>
      <c r="V684" t="n">
        <v>4600.19197</v>
      </c>
      <c r="W684" t="n">
        <v>4566.62698</v>
      </c>
      <c r="AB684" t="n">
        <v>4686.1311</v>
      </c>
      <c r="AC684" t="n">
        <v>4688.64282</v>
      </c>
      <c r="AD684" t="n">
        <v>0</v>
      </c>
      <c r="AK684" t="n">
        <v>682</v>
      </c>
      <c r="AL684" t="n">
        <v>681</v>
      </c>
      <c r="AM684" t="n">
        <v>4687.7</v>
      </c>
      <c r="AN684" t="n">
        <v>4635.1317</v>
      </c>
      <c r="AO684" t="n">
        <v>52.5683</v>
      </c>
      <c r="AP684" t="n">
        <v>2763.422</v>
      </c>
      <c r="AQ684" t="n">
        <v>3.341846</v>
      </c>
      <c r="AR684" t="n">
        <v>4.9963</v>
      </c>
      <c r="AY684" t="n">
        <v>682</v>
      </c>
      <c r="AZ684" t="n">
        <v>681</v>
      </c>
      <c r="BA684" t="n">
        <v>4687.7</v>
      </c>
      <c r="BB684" t="n">
        <v>4635.1317</v>
      </c>
      <c r="BC684" t="n">
        <v>52.5683</v>
      </c>
      <c r="BD684" t="n">
        <v>2763.422</v>
      </c>
      <c r="BE684" t="n">
        <v>463761</v>
      </c>
    </row>
    <row r="685">
      <c r="A685" t="n">
        <v>1777339802</v>
      </c>
      <c r="B685" t="inlineStr">
        <is>
          <t>XAUUSD</t>
        </is>
      </c>
      <c r="C685" t="inlineStr">
        <is>
          <t>M15</t>
        </is>
      </c>
      <c r="D685" t="n">
        <v>4687.37</v>
      </c>
      <c r="E685" t="n">
        <v>4518.59282</v>
      </c>
      <c r="F685" t="n">
        <v>4596.05595</v>
      </c>
      <c r="G685" t="n">
        <v>4755.40355</v>
      </c>
      <c r="H685" t="n">
        <v>4792.76972</v>
      </c>
      <c r="Q685" t="n">
        <v>4634.86414</v>
      </c>
      <c r="R685" t="n">
        <v>4664.22744</v>
      </c>
      <c r="S685" t="n">
        <v>4690.81621</v>
      </c>
      <c r="V685" t="n">
        <v>4599.92437</v>
      </c>
      <c r="W685" t="n">
        <v>4566.35937</v>
      </c>
      <c r="AB685" t="n">
        <v>4682.47038</v>
      </c>
      <c r="AC685" t="n">
        <v>4685.5566</v>
      </c>
      <c r="AD685" t="n">
        <v>0</v>
      </c>
      <c r="AK685" t="n">
        <v>683</v>
      </c>
      <c r="AL685" t="n">
        <v>682</v>
      </c>
      <c r="AM685" t="n">
        <v>4687.37</v>
      </c>
      <c r="AN685" t="n">
        <v>4634.8641</v>
      </c>
      <c r="AO685" t="n">
        <v>52.5059</v>
      </c>
      <c r="AP685" t="n">
        <v>2756.8653</v>
      </c>
      <c r="AQ685" t="n">
        <v>3.329959</v>
      </c>
      <c r="AR685" t="n">
        <v>4.972619</v>
      </c>
      <c r="AY685" t="n">
        <v>683</v>
      </c>
      <c r="AZ685" t="n">
        <v>682</v>
      </c>
      <c r="BA685" t="n">
        <v>4687.37</v>
      </c>
      <c r="BB685" t="n">
        <v>4634.8641</v>
      </c>
      <c r="BC685" t="n">
        <v>52.5059</v>
      </c>
      <c r="BD685" t="n">
        <v>2756.8653</v>
      </c>
      <c r="BE685" t="n">
        <v>465124</v>
      </c>
    </row>
    <row r="686">
      <c r="A686" t="n">
        <v>1777340702</v>
      </c>
      <c r="B686" t="inlineStr">
        <is>
          <t>XAUUSD</t>
        </is>
      </c>
      <c r="C686" t="inlineStr">
        <is>
          <t>M15</t>
        </is>
      </c>
      <c r="D686" t="n">
        <v>4670.88</v>
      </c>
      <c r="E686" t="n">
        <v>4518.59282</v>
      </c>
      <c r="F686" t="n">
        <v>4596.05595</v>
      </c>
      <c r="G686" t="n">
        <v>4755.40355</v>
      </c>
      <c r="H686" t="n">
        <v>4792.76972</v>
      </c>
      <c r="Q686" t="n">
        <v>4634.59653</v>
      </c>
      <c r="R686" t="n">
        <v>4663.95983</v>
      </c>
      <c r="S686" t="n">
        <v>4690.5486</v>
      </c>
      <c r="V686" t="n">
        <v>4599.65676</v>
      </c>
      <c r="W686" t="n">
        <v>4566.09177</v>
      </c>
      <c r="AB686" t="n">
        <v>4678.6922</v>
      </c>
      <c r="AC686" t="n">
        <v>4682.1244</v>
      </c>
      <c r="AD686" t="n">
        <v>0</v>
      </c>
      <c r="AK686" t="n">
        <v>684</v>
      </c>
      <c r="AL686" t="n">
        <v>683</v>
      </c>
      <c r="AM686" t="n">
        <v>4670.88</v>
      </c>
      <c r="AN686" t="n">
        <v>4634.5965</v>
      </c>
      <c r="AO686" t="n">
        <v>36.2835</v>
      </c>
      <c r="AP686" t="n">
        <v>1316.4902</v>
      </c>
      <c r="AQ686" t="n">
        <v>1.098859</v>
      </c>
      <c r="AR686" t="n">
        <v>1.133938</v>
      </c>
      <c r="AY686" t="n">
        <v>684</v>
      </c>
      <c r="AZ686" t="n">
        <v>683</v>
      </c>
      <c r="BA686" t="n">
        <v>4670.88</v>
      </c>
      <c r="BB686" t="n">
        <v>4634.5965</v>
      </c>
      <c r="BC686" t="n">
        <v>36.2835</v>
      </c>
      <c r="BD686" t="n">
        <v>1316.4902</v>
      </c>
      <c r="BE686" t="n">
        <v>466489</v>
      </c>
    </row>
    <row r="687">
      <c r="A687" t="n">
        <v>1777341602</v>
      </c>
      <c r="B687" t="inlineStr">
        <is>
          <t>XAUUSD</t>
        </is>
      </c>
      <c r="C687" t="inlineStr">
        <is>
          <t>M15</t>
        </is>
      </c>
      <c r="D687" t="n">
        <v>4677.52</v>
      </c>
      <c r="E687" t="n">
        <v>4518.59282</v>
      </c>
      <c r="F687" t="n">
        <v>4596.05595</v>
      </c>
      <c r="G687" t="n">
        <v>4755.40355</v>
      </c>
      <c r="H687" t="n">
        <v>4792.76972</v>
      </c>
      <c r="Q687" t="n">
        <v>4634.32893</v>
      </c>
      <c r="R687" t="n">
        <v>4663.69223</v>
      </c>
      <c r="S687" t="n">
        <v>4690.281</v>
      </c>
      <c r="V687" t="n">
        <v>4599.38916</v>
      </c>
      <c r="W687" t="n">
        <v>4565.82416</v>
      </c>
      <c r="AB687" t="n">
        <v>4675.57866</v>
      </c>
      <c r="AC687" t="n">
        <v>4678.85153</v>
      </c>
      <c r="AD687" t="n">
        <v>0</v>
      </c>
      <c r="AK687" t="n">
        <v>685</v>
      </c>
      <c r="AL687" t="n">
        <v>684</v>
      </c>
      <c r="AM687" t="n">
        <v>4677.52</v>
      </c>
      <c r="AN687" t="n">
        <v>4634.3289</v>
      </c>
      <c r="AO687" t="n">
        <v>43.1911</v>
      </c>
      <c r="AP687" t="n">
        <v>1865.4685</v>
      </c>
      <c r="AQ687" t="n">
        <v>1.853521</v>
      </c>
      <c r="AR687" t="n">
        <v>2.276827</v>
      </c>
      <c r="AY687" t="n">
        <v>685</v>
      </c>
      <c r="AZ687" t="n">
        <v>684</v>
      </c>
      <c r="BA687" t="n">
        <v>4677.52</v>
      </c>
      <c r="BB687" t="n">
        <v>4634.3289</v>
      </c>
      <c r="BC687" t="n">
        <v>43.1911</v>
      </c>
      <c r="BD687" t="n">
        <v>1865.4685</v>
      </c>
      <c r="BE687" t="n">
        <v>467856</v>
      </c>
    </row>
    <row r="688">
      <c r="A688" t="n">
        <v>1777342502</v>
      </c>
      <c r="B688" t="inlineStr">
        <is>
          <t>XAUUSD</t>
        </is>
      </c>
      <c r="C688" t="inlineStr">
        <is>
          <t>M15</t>
        </is>
      </c>
      <c r="D688" t="n">
        <v>4675.58</v>
      </c>
      <c r="E688" t="n">
        <v>4518.59282</v>
      </c>
      <c r="F688" t="n">
        <v>4596.05595</v>
      </c>
      <c r="G688" t="n">
        <v>4755.40355</v>
      </c>
      <c r="H688" t="n">
        <v>4792.76972</v>
      </c>
      <c r="Q688" t="n">
        <v>4634.06133</v>
      </c>
      <c r="R688" t="n">
        <v>4663.42462</v>
      </c>
      <c r="S688" t="n">
        <v>4690.0134</v>
      </c>
      <c r="V688" t="n">
        <v>4599.12156</v>
      </c>
      <c r="W688" t="n">
        <v>4565.55656</v>
      </c>
      <c r="AB688" t="n">
        <v>4673.20495</v>
      </c>
      <c r="AC688" t="n">
        <v>4676.02824</v>
      </c>
      <c r="AD688" t="n">
        <v>0</v>
      </c>
      <c r="AK688" t="n">
        <v>686</v>
      </c>
      <c r="AL688" t="n">
        <v>685</v>
      </c>
      <c r="AM688" t="n">
        <v>4675.58</v>
      </c>
      <c r="AN688" t="n">
        <v>4634.0613</v>
      </c>
      <c r="AO688" t="n">
        <v>41.5187</v>
      </c>
      <c r="AP688" t="n">
        <v>1723.8</v>
      </c>
      <c r="AQ688" t="n">
        <v>1.64644</v>
      </c>
      <c r="AR688" t="n">
        <v>1.944141</v>
      </c>
      <c r="AY688" t="n">
        <v>686</v>
      </c>
      <c r="AZ688" t="n">
        <v>685</v>
      </c>
      <c r="BA688" t="n">
        <v>4675.58</v>
      </c>
      <c r="BB688" t="n">
        <v>4634.0613</v>
      </c>
      <c r="BC688" t="n">
        <v>41.5187</v>
      </c>
      <c r="BD688" t="n">
        <v>1723.8</v>
      </c>
      <c r="BE688" t="n">
        <v>469225</v>
      </c>
    </row>
    <row r="689">
      <c r="A689" t="n">
        <v>1777343402</v>
      </c>
      <c r="B689" t="inlineStr">
        <is>
          <t>XAUUSD</t>
        </is>
      </c>
      <c r="C689" t="inlineStr">
        <is>
          <t>M15</t>
        </is>
      </c>
      <c r="D689" t="n">
        <v>4671.15</v>
      </c>
      <c r="E689" t="n">
        <v>4518.59282</v>
      </c>
      <c r="F689" t="n">
        <v>4596.05595</v>
      </c>
      <c r="G689" t="n">
        <v>4755.40355</v>
      </c>
      <c r="H689" t="n">
        <v>4792.76972</v>
      </c>
      <c r="Q689" t="n">
        <v>4633.79372</v>
      </c>
      <c r="R689" t="n">
        <v>4663.15702</v>
      </c>
      <c r="S689" t="n">
        <v>4689.74579</v>
      </c>
      <c r="V689" t="n">
        <v>4598.85395</v>
      </c>
      <c r="W689" t="n">
        <v>4565.28896</v>
      </c>
      <c r="AB689" t="n">
        <v>4671.76124</v>
      </c>
      <c r="AC689" t="n">
        <v>4673.89474</v>
      </c>
      <c r="AD689" t="n">
        <v>0</v>
      </c>
      <c r="AK689" t="n">
        <v>687</v>
      </c>
      <c r="AL689" t="n">
        <v>686</v>
      </c>
      <c r="AM689" t="n">
        <v>4671.15</v>
      </c>
      <c r="AN689" t="n">
        <v>4633.7937</v>
      </c>
      <c r="AO689" t="n">
        <v>37.3563</v>
      </c>
      <c r="AP689" t="n">
        <v>1395.4917</v>
      </c>
      <c r="AQ689" t="n">
        <v>1.199241</v>
      </c>
      <c r="AR689" t="n">
        <v>1.274115</v>
      </c>
      <c r="AY689" t="n">
        <v>687</v>
      </c>
      <c r="AZ689" t="n">
        <v>686</v>
      </c>
      <c r="BA689" t="n">
        <v>4671.15</v>
      </c>
      <c r="BB689" t="n">
        <v>4633.7937</v>
      </c>
      <c r="BC689" t="n">
        <v>37.3563</v>
      </c>
      <c r="BD689" t="n">
        <v>1395.4917</v>
      </c>
      <c r="BE689" t="n">
        <v>470596</v>
      </c>
    </row>
    <row r="690">
      <c r="A690" t="n">
        <v>1777344302</v>
      </c>
      <c r="B690" t="inlineStr">
        <is>
          <t>XAUUSD</t>
        </is>
      </c>
      <c r="C690" t="inlineStr">
        <is>
          <t>M15</t>
        </is>
      </c>
      <c r="D690" t="n">
        <v>4669.14</v>
      </c>
      <c r="E690" t="n">
        <v>4518.59282</v>
      </c>
      <c r="F690" t="n">
        <v>4596.05595</v>
      </c>
      <c r="G690" t="n">
        <v>4755.40355</v>
      </c>
      <c r="H690" t="n">
        <v>4792.76972</v>
      </c>
      <c r="Q690" t="n">
        <v>4633.52612</v>
      </c>
      <c r="R690" t="n">
        <v>4662.88942</v>
      </c>
      <c r="S690" t="n">
        <v>4689.47819</v>
      </c>
      <c r="V690" t="n">
        <v>4598.58635</v>
      </c>
      <c r="W690" t="n">
        <v>4565.02135</v>
      </c>
      <c r="AB690" t="n">
        <v>4671.31995</v>
      </c>
      <c r="AC690" t="n">
        <v>4672.60734</v>
      </c>
      <c r="AD690" t="n">
        <v>0</v>
      </c>
      <c r="AK690" t="n">
        <v>688</v>
      </c>
      <c r="AL690" t="n">
        <v>687</v>
      </c>
      <c r="AM690" t="n">
        <v>4669.14</v>
      </c>
      <c r="AN690" t="n">
        <v>4633.5261</v>
      </c>
      <c r="AO690" t="n">
        <v>35.6139</v>
      </c>
      <c r="AP690" t="n">
        <v>1268.3484</v>
      </c>
      <c r="AQ690" t="n">
        <v>1.039139</v>
      </c>
      <c r="AR690" t="n">
        <v>1.052522</v>
      </c>
      <c r="AY690" t="n">
        <v>688</v>
      </c>
      <c r="AZ690" t="n">
        <v>687</v>
      </c>
      <c r="BA690" t="n">
        <v>4669.14</v>
      </c>
      <c r="BB690" t="n">
        <v>4633.5261</v>
      </c>
      <c r="BC690" t="n">
        <v>35.6139</v>
      </c>
      <c r="BD690" t="n">
        <v>1268.3484</v>
      </c>
      <c r="BE690" t="n">
        <v>471969</v>
      </c>
    </row>
    <row r="691">
      <c r="A691" t="n">
        <v>1777345202</v>
      </c>
      <c r="B691" t="inlineStr">
        <is>
          <t>XAUUSD</t>
        </is>
      </c>
      <c r="C691" t="inlineStr">
        <is>
          <t>M15</t>
        </is>
      </c>
      <c r="D691" t="n">
        <v>4672.91</v>
      </c>
      <c r="E691" t="n">
        <v>4518.59282</v>
      </c>
      <c r="F691" t="n">
        <v>4596.05595</v>
      </c>
      <c r="G691" t="n">
        <v>4755.40355</v>
      </c>
      <c r="H691" t="n">
        <v>4792.76972</v>
      </c>
      <c r="Q691" t="n">
        <v>4633.25851</v>
      </c>
      <c r="R691" t="n">
        <v>4662.62181</v>
      </c>
      <c r="S691" t="n">
        <v>4689.21058</v>
      </c>
      <c r="V691" t="n">
        <v>4598.31874</v>
      </c>
      <c r="W691" t="n">
        <v>4564.75375</v>
      </c>
      <c r="AB691" t="n">
        <v>4671.71831</v>
      </c>
      <c r="AC691" t="n">
        <v>4672.16283</v>
      </c>
      <c r="AD691" t="n">
        <v>0</v>
      </c>
      <c r="AK691" t="n">
        <v>689</v>
      </c>
      <c r="AL691" t="n">
        <v>688</v>
      </c>
      <c r="AM691" t="n">
        <v>4672.91</v>
      </c>
      <c r="AN691" t="n">
        <v>4633.2585</v>
      </c>
      <c r="AO691" t="n">
        <v>39.6515</v>
      </c>
      <c r="AP691" t="n">
        <v>1572.2407</v>
      </c>
      <c r="AQ691" t="n">
        <v>1.434148</v>
      </c>
      <c r="AR691" t="n">
        <v>1.617306</v>
      </c>
      <c r="AY691" t="n">
        <v>689</v>
      </c>
      <c r="AZ691" t="n">
        <v>688</v>
      </c>
      <c r="BA691" t="n">
        <v>4672.91</v>
      </c>
      <c r="BB691" t="n">
        <v>4633.2585</v>
      </c>
      <c r="BC691" t="n">
        <v>39.6515</v>
      </c>
      <c r="BD691" t="n">
        <v>1572.2407</v>
      </c>
      <c r="BE691" t="n">
        <v>473344</v>
      </c>
    </row>
    <row r="692">
      <c r="A692" t="n">
        <v>1777346102</v>
      </c>
      <c r="B692" t="inlineStr">
        <is>
          <t>XAUUSD</t>
        </is>
      </c>
      <c r="C692" t="inlineStr">
        <is>
          <t>M15</t>
        </is>
      </c>
      <c r="D692" t="n">
        <v>4674.86</v>
      </c>
      <c r="E692" t="n">
        <v>4518.59282</v>
      </c>
      <c r="F692" t="n">
        <v>4596.05595</v>
      </c>
      <c r="G692" t="n">
        <v>4755.40355</v>
      </c>
      <c r="H692" t="n">
        <v>4792.76972</v>
      </c>
      <c r="Q692" t="n">
        <v>4632.99091</v>
      </c>
      <c r="R692" t="n">
        <v>4662.35421</v>
      </c>
      <c r="S692" t="n">
        <v>4688.94298</v>
      </c>
      <c r="V692" t="n">
        <v>4598.05114</v>
      </c>
      <c r="W692" t="n">
        <v>4564.48614</v>
      </c>
      <c r="AB692" t="n">
        <v>4672.47432</v>
      </c>
      <c r="AC692" t="n">
        <v>4672.31858</v>
      </c>
      <c r="AD692" t="n">
        <v>1</v>
      </c>
      <c r="AK692" t="n">
        <v>690</v>
      </c>
      <c r="AL692" t="n">
        <v>689</v>
      </c>
      <c r="AM692" t="n">
        <v>4674.86</v>
      </c>
      <c r="AN692" t="n">
        <v>4632.9909</v>
      </c>
      <c r="AO692" t="n">
        <v>41.8691</v>
      </c>
      <c r="AP692" t="n">
        <v>1753.0207</v>
      </c>
      <c r="AQ692" t="n">
        <v>1.688481</v>
      </c>
      <c r="AR692" t="n">
        <v>2.010612</v>
      </c>
      <c r="AY692" t="n">
        <v>690</v>
      </c>
      <c r="AZ692" t="n">
        <v>689</v>
      </c>
      <c r="BA692" t="n">
        <v>4674.86</v>
      </c>
      <c r="BB692" t="n">
        <v>4632.9909</v>
      </c>
      <c r="BC692" t="n">
        <v>41.8691</v>
      </c>
      <c r="BD692" t="n">
        <v>1753.0207</v>
      </c>
      <c r="BE692" t="n">
        <v>474721</v>
      </c>
    </row>
    <row r="693">
      <c r="A693" t="n">
        <v>1777347002</v>
      </c>
      <c r="B693" t="inlineStr">
        <is>
          <t>XAUUSD</t>
        </is>
      </c>
      <c r="C693" t="inlineStr">
        <is>
          <t>M15</t>
        </is>
      </c>
      <c r="D693" t="n">
        <v>4672.11</v>
      </c>
      <c r="E693" t="n">
        <v>4518.59282</v>
      </c>
      <c r="F693" t="n">
        <v>4596.05595</v>
      </c>
      <c r="G693" t="n">
        <v>4755.40355</v>
      </c>
      <c r="H693" t="n">
        <v>4792.76972</v>
      </c>
      <c r="Q693" t="n">
        <v>4632.72331</v>
      </c>
      <c r="R693" t="n">
        <v>4662.0866</v>
      </c>
      <c r="S693" t="n">
        <v>4688.67538</v>
      </c>
      <c r="V693" t="n">
        <v>4597.78354</v>
      </c>
      <c r="W693" t="n">
        <v>4564.21854</v>
      </c>
      <c r="AB693" t="n">
        <v>4673.07859</v>
      </c>
      <c r="AC693" t="n">
        <v>4672.69858</v>
      </c>
      <c r="AD693" t="n">
        <v>0</v>
      </c>
      <c r="AK693" t="n">
        <v>691</v>
      </c>
      <c r="AL693" t="n">
        <v>690</v>
      </c>
      <c r="AM693" t="n">
        <v>4672.11</v>
      </c>
      <c r="AN693" t="n">
        <v>4632.7233</v>
      </c>
      <c r="AO693" t="n">
        <v>39.3867</v>
      </c>
      <c r="AP693" t="n">
        <v>1551.3113</v>
      </c>
      <c r="AQ693" t="n">
        <v>1.405607</v>
      </c>
      <c r="AR693" t="n">
        <v>1.574534</v>
      </c>
      <c r="AY693" t="n">
        <v>691</v>
      </c>
      <c r="AZ693" t="n">
        <v>690</v>
      </c>
      <c r="BA693" t="n">
        <v>4672.11</v>
      </c>
      <c r="BB693" t="n">
        <v>4632.7233</v>
      </c>
      <c r="BC693" t="n">
        <v>39.3867</v>
      </c>
      <c r="BD693" t="n">
        <v>1551.3113</v>
      </c>
      <c r="BE693" t="n">
        <v>476100</v>
      </c>
    </row>
    <row r="694">
      <c r="A694" t="n">
        <v>1777347902</v>
      </c>
      <c r="B694" t="inlineStr">
        <is>
          <t>XAUUSD</t>
        </is>
      </c>
      <c r="C694" t="inlineStr">
        <is>
          <t>M15</t>
        </is>
      </c>
      <c r="D694" t="n">
        <v>4671.02</v>
      </c>
      <c r="E694" t="n">
        <v>4518.59282</v>
      </c>
      <c r="F694" t="n">
        <v>4596.05595</v>
      </c>
      <c r="G694" t="n">
        <v>4755.40355</v>
      </c>
      <c r="H694" t="n">
        <v>4792.76972</v>
      </c>
      <c r="Q694" t="n">
        <v>4632.4557</v>
      </c>
      <c r="R694" t="n">
        <v>4661.819</v>
      </c>
      <c r="S694" t="n">
        <v>4688.40777</v>
      </c>
      <c r="V694" t="n">
        <v>4597.51593</v>
      </c>
      <c r="W694" t="n">
        <v>4563.95093</v>
      </c>
      <c r="AB694" t="n">
        <v>4673.11029</v>
      </c>
      <c r="AC694" t="n">
        <v>4672.90444</v>
      </c>
      <c r="AD694" t="n">
        <v>0</v>
      </c>
      <c r="AK694" t="n">
        <v>692</v>
      </c>
      <c r="AL694" t="n">
        <v>691</v>
      </c>
      <c r="AM694" t="n">
        <v>4671.02</v>
      </c>
      <c r="AN694" t="n">
        <v>4632.4557</v>
      </c>
      <c r="AO694" t="n">
        <v>38.5643</v>
      </c>
      <c r="AP694" t="n">
        <v>1487.2052</v>
      </c>
      <c r="AQ694" t="n">
        <v>1.319386</v>
      </c>
      <c r="AR694" t="n">
        <v>1.447091</v>
      </c>
      <c r="AY694" t="n">
        <v>692</v>
      </c>
      <c r="AZ694" t="n">
        <v>691</v>
      </c>
      <c r="BA694" t="n">
        <v>4671.02</v>
      </c>
      <c r="BB694" t="n">
        <v>4632.4557</v>
      </c>
      <c r="BC694" t="n">
        <v>38.5643</v>
      </c>
      <c r="BD694" t="n">
        <v>1487.2052</v>
      </c>
      <c r="BE694" t="n">
        <v>477481</v>
      </c>
    </row>
    <row r="695">
      <c r="A695" t="n">
        <v>1777348802</v>
      </c>
      <c r="B695" t="inlineStr">
        <is>
          <t>XAUUSD</t>
        </is>
      </c>
      <c r="C695" t="inlineStr">
        <is>
          <t>M15</t>
        </is>
      </c>
      <c r="D695" t="n">
        <v>4669.93</v>
      </c>
      <c r="E695" t="n">
        <v>4518.59282</v>
      </c>
      <c r="F695" t="n">
        <v>4596.05595</v>
      </c>
      <c r="G695" t="n">
        <v>4755.40355</v>
      </c>
      <c r="H695" t="n">
        <v>4792.76972</v>
      </c>
      <c r="Q695" t="n">
        <v>4632.1881</v>
      </c>
      <c r="R695" t="n">
        <v>4661.5514</v>
      </c>
      <c r="S695" t="n">
        <v>4688.14017</v>
      </c>
      <c r="V695" t="n">
        <v>4597.24833</v>
      </c>
      <c r="W695" t="n">
        <v>4563.68333</v>
      </c>
      <c r="AB695" t="n">
        <v>4672.13298</v>
      </c>
      <c r="AC695" t="n">
        <v>4672.51871</v>
      </c>
      <c r="AD695" t="n">
        <v>1</v>
      </c>
      <c r="AK695" t="n">
        <v>693</v>
      </c>
      <c r="AL695" t="n">
        <v>692</v>
      </c>
      <c r="AM695" t="n">
        <v>4669.93</v>
      </c>
      <c r="AN695" t="n">
        <v>4632.1881</v>
      </c>
      <c r="AO695" t="n">
        <v>37.7419</v>
      </c>
      <c r="AP695" t="n">
        <v>1424.451</v>
      </c>
      <c r="AQ695" t="n">
        <v>1.236764</v>
      </c>
      <c r="AR695" t="n">
        <v>1.327545</v>
      </c>
      <c r="AY695" t="n">
        <v>693</v>
      </c>
      <c r="AZ695" t="n">
        <v>692</v>
      </c>
      <c r="BA695" t="n">
        <v>4669.93</v>
      </c>
      <c r="BB695" t="n">
        <v>4632.1881</v>
      </c>
      <c r="BC695" t="n">
        <v>37.7419</v>
      </c>
      <c r="BD695" t="n">
        <v>1424.451</v>
      </c>
      <c r="BE695" t="n">
        <v>478864</v>
      </c>
    </row>
    <row r="696">
      <c r="A696" t="n">
        <v>1777349702</v>
      </c>
      <c r="B696" t="inlineStr">
        <is>
          <t>XAUUSD</t>
        </is>
      </c>
      <c r="C696" t="inlineStr">
        <is>
          <t>M15</t>
        </is>
      </c>
      <c r="D696" t="n">
        <v>4667.66</v>
      </c>
      <c r="E696" t="n">
        <v>4518.59282</v>
      </c>
      <c r="F696" t="n">
        <v>4596.05595</v>
      </c>
      <c r="G696" t="n">
        <v>4755.40355</v>
      </c>
      <c r="H696" t="n">
        <v>4792.76972</v>
      </c>
      <c r="Q696" t="n">
        <v>4631.92049</v>
      </c>
      <c r="R696" t="n">
        <v>4661.28379</v>
      </c>
      <c r="S696" t="n">
        <v>4687.87256</v>
      </c>
      <c r="V696" t="n">
        <v>4596.98072</v>
      </c>
      <c r="W696" t="n">
        <v>4563.41573</v>
      </c>
      <c r="AB696" t="n">
        <v>4669.87359</v>
      </c>
      <c r="AC696" t="n">
        <v>4671.19615</v>
      </c>
      <c r="AD696" t="n">
        <v>0</v>
      </c>
      <c r="AK696" t="n">
        <v>694</v>
      </c>
      <c r="AL696" t="n">
        <v>693</v>
      </c>
      <c r="AM696" t="n">
        <v>4667.66</v>
      </c>
      <c r="AN696" t="n">
        <v>4631.9205</v>
      </c>
      <c r="AO696" t="n">
        <v>35.7395</v>
      </c>
      <c r="AP696" t="n">
        <v>1277.3126</v>
      </c>
      <c r="AQ696" t="n">
        <v>1.050174</v>
      </c>
      <c r="AR696" t="n">
        <v>1.067452</v>
      </c>
      <c r="AY696" t="n">
        <v>694</v>
      </c>
      <c r="AZ696" t="n">
        <v>693</v>
      </c>
      <c r="BA696" t="n">
        <v>4667.66</v>
      </c>
      <c r="BB696" t="n">
        <v>4631.9205</v>
      </c>
      <c r="BC696" t="n">
        <v>35.7395</v>
      </c>
      <c r="BD696" t="n">
        <v>1277.3126</v>
      </c>
      <c r="BE696" t="n">
        <v>480249</v>
      </c>
    </row>
    <row r="697">
      <c r="A697" t="n">
        <v>1777350602</v>
      </c>
      <c r="B697" t="inlineStr">
        <is>
          <t>XAUUSD</t>
        </is>
      </c>
      <c r="C697" t="inlineStr">
        <is>
          <t>M15</t>
        </is>
      </c>
      <c r="D697" t="n">
        <v>4669.92</v>
      </c>
      <c r="E697" t="n">
        <v>4518.59282</v>
      </c>
      <c r="F697" t="n">
        <v>4596.05595</v>
      </c>
      <c r="G697" t="n">
        <v>4755.40355</v>
      </c>
      <c r="H697" t="n">
        <v>4792.76972</v>
      </c>
      <c r="Q697" t="n">
        <v>4631.65289</v>
      </c>
      <c r="R697" t="n">
        <v>4661.01619</v>
      </c>
      <c r="S697" t="n">
        <v>4687.60496</v>
      </c>
      <c r="V697" t="n">
        <v>4596.71312</v>
      </c>
      <c r="W697" t="n">
        <v>4563.14812</v>
      </c>
      <c r="AB697" t="n">
        <v>4666.21133</v>
      </c>
      <c r="AC697" t="n">
        <v>4668.70374</v>
      </c>
      <c r="AD697" t="n">
        <v>0</v>
      </c>
      <c r="AK697" t="n">
        <v>695</v>
      </c>
      <c r="AL697" t="n">
        <v>694</v>
      </c>
      <c r="AM697" t="n">
        <v>4669.92</v>
      </c>
      <c r="AN697" t="n">
        <v>4631.6529</v>
      </c>
      <c r="AO697" t="n">
        <v>38.2671</v>
      </c>
      <c r="AP697" t="n">
        <v>1464.3717</v>
      </c>
      <c r="AQ697" t="n">
        <v>1.289118</v>
      </c>
      <c r="AR697" t="n">
        <v>1.402997</v>
      </c>
      <c r="AY697" t="n">
        <v>695</v>
      </c>
      <c r="AZ697" t="n">
        <v>694</v>
      </c>
      <c r="BA697" t="n">
        <v>4669.92</v>
      </c>
      <c r="BB697" t="n">
        <v>4631.6529</v>
      </c>
      <c r="BC697" t="n">
        <v>38.2671</v>
      </c>
      <c r="BD697" t="n">
        <v>1464.3717</v>
      </c>
      <c r="BE697" t="n">
        <v>481636</v>
      </c>
    </row>
    <row r="698">
      <c r="A698" t="n">
        <v>1777351502</v>
      </c>
      <c r="B698" t="inlineStr">
        <is>
          <t>XAUUSD</t>
        </is>
      </c>
      <c r="C698" t="inlineStr">
        <is>
          <t>M15</t>
        </is>
      </c>
      <c r="D698" t="n">
        <v>4667.71</v>
      </c>
      <c r="E698" t="n">
        <v>4518.59282</v>
      </c>
      <c r="F698" t="n">
        <v>4596.05595</v>
      </c>
      <c r="G698" t="n">
        <v>4755.40355</v>
      </c>
      <c r="H698" t="n">
        <v>4792.76972</v>
      </c>
      <c r="Q698" t="n">
        <v>4631.38529</v>
      </c>
      <c r="R698" t="n">
        <v>4660.74858</v>
      </c>
      <c r="S698" t="n">
        <v>4687.33735</v>
      </c>
      <c r="V698" t="n">
        <v>4596.44551</v>
      </c>
      <c r="W698" t="n">
        <v>4562.88052</v>
      </c>
      <c r="AB698" t="n">
        <v>4661.06839</v>
      </c>
      <c r="AC698" t="n">
        <v>4664.88607</v>
      </c>
      <c r="AD698" t="n">
        <v>0</v>
      </c>
      <c r="AK698" t="n">
        <v>696</v>
      </c>
      <c r="AL698" t="n">
        <v>695</v>
      </c>
      <c r="AM698" t="n">
        <v>4667.71</v>
      </c>
      <c r="AN698" t="n">
        <v>4631.3853</v>
      </c>
      <c r="AO698" t="n">
        <v>36.3247</v>
      </c>
      <c r="AP698" t="n">
        <v>1319.4846</v>
      </c>
      <c r="AQ698" t="n">
        <v>1.10261</v>
      </c>
      <c r="AR698" t="n">
        <v>1.139102</v>
      </c>
      <c r="AY698" t="n">
        <v>696</v>
      </c>
      <c r="AZ698" t="n">
        <v>695</v>
      </c>
      <c r="BA698" t="n">
        <v>4667.71</v>
      </c>
      <c r="BB698" t="n">
        <v>4631.3853</v>
      </c>
      <c r="BC698" t="n">
        <v>36.3247</v>
      </c>
      <c r="BD698" t="n">
        <v>1319.4846</v>
      </c>
      <c r="BE698" t="n">
        <v>483025</v>
      </c>
    </row>
    <row r="699">
      <c r="A699" t="n">
        <v>1777352402</v>
      </c>
      <c r="B699" t="inlineStr">
        <is>
          <t>XAUUSD</t>
        </is>
      </c>
      <c r="C699" t="inlineStr">
        <is>
          <t>M15</t>
        </is>
      </c>
      <c r="D699" t="n">
        <v>4652.57</v>
      </c>
      <c r="E699" t="n">
        <v>4518.59282</v>
      </c>
      <c r="F699" t="n">
        <v>4596.05595</v>
      </c>
      <c r="G699" t="n">
        <v>4755.40355</v>
      </c>
      <c r="H699" t="n">
        <v>4792.76972</v>
      </c>
      <c r="Q699" t="n">
        <v>4631.11768</v>
      </c>
      <c r="R699" t="n">
        <v>4660.48098</v>
      </c>
      <c r="S699" t="n">
        <v>4687.06975</v>
      </c>
      <c r="V699" t="n">
        <v>4596.17791</v>
      </c>
      <c r="W699" t="n">
        <v>4562.61291</v>
      </c>
      <c r="AB699" t="n">
        <v>4654.76785</v>
      </c>
      <c r="AC699" t="n">
        <v>4659.82696</v>
      </c>
      <c r="AD699" t="n">
        <v>0</v>
      </c>
      <c r="AK699" t="n">
        <v>697</v>
      </c>
      <c r="AL699" t="n">
        <v>696</v>
      </c>
      <c r="AM699" t="n">
        <v>4652.57</v>
      </c>
      <c r="AN699" t="n">
        <v>4631.1177</v>
      </c>
      <c r="AO699" t="n">
        <v>21.4523</v>
      </c>
      <c r="AP699" t="n">
        <v>460.202</v>
      </c>
      <c r="AQ699" t="n">
        <v>0.227111</v>
      </c>
      <c r="AR699" t="n">
        <v>0.138564</v>
      </c>
      <c r="AY699" t="n">
        <v>697</v>
      </c>
      <c r="AZ699" t="n">
        <v>696</v>
      </c>
      <c r="BA699" t="n">
        <v>4652.57</v>
      </c>
      <c r="BB699" t="n">
        <v>4631.1177</v>
      </c>
      <c r="BC699" t="n">
        <v>21.4523</v>
      </c>
      <c r="BD699" t="n">
        <v>460.202</v>
      </c>
      <c r="BE699" t="n">
        <v>484416</v>
      </c>
    </row>
    <row r="700">
      <c r="A700" t="n">
        <v>1777353302</v>
      </c>
      <c r="B700" t="inlineStr">
        <is>
          <t>XAUUSD</t>
        </is>
      </c>
      <c r="C700" t="inlineStr">
        <is>
          <t>M15</t>
        </is>
      </c>
      <c r="D700" t="n">
        <v>4658.38</v>
      </c>
      <c r="E700" t="n">
        <v>4518.59282</v>
      </c>
      <c r="F700" t="n">
        <v>4596.05595</v>
      </c>
      <c r="G700" t="n">
        <v>4755.40355</v>
      </c>
      <c r="H700" t="n">
        <v>4792.76972</v>
      </c>
      <c r="Q700" t="n">
        <v>4630.85008</v>
      </c>
      <c r="R700" t="n">
        <v>4660.21338</v>
      </c>
      <c r="S700" t="n">
        <v>4686.80215</v>
      </c>
      <c r="V700" t="n">
        <v>4595.91031</v>
      </c>
      <c r="W700" t="n">
        <v>4562.34531</v>
      </c>
      <c r="AB700" t="n">
        <v>4648.17051</v>
      </c>
      <c r="AC700" t="n">
        <v>4653.99874</v>
      </c>
      <c r="AD700" t="n">
        <v>0</v>
      </c>
      <c r="AK700" t="n">
        <v>698</v>
      </c>
      <c r="AL700" t="n">
        <v>697</v>
      </c>
      <c r="AM700" t="n">
        <v>4658.38</v>
      </c>
      <c r="AN700" t="n">
        <v>4630.8501</v>
      </c>
      <c r="AO700" t="n">
        <v>27.5299</v>
      </c>
      <c r="AP700" t="n">
        <v>757.8964999999999</v>
      </c>
      <c r="AQ700" t="n">
        <v>0.479988</v>
      </c>
      <c r="AR700" t="n">
        <v>0.375815</v>
      </c>
      <c r="AY700" t="n">
        <v>698</v>
      </c>
      <c r="AZ700" t="n">
        <v>697</v>
      </c>
      <c r="BA700" t="n">
        <v>4658.38</v>
      </c>
      <c r="BB700" t="n">
        <v>4630.8501</v>
      </c>
      <c r="BC700" t="n">
        <v>27.5299</v>
      </c>
      <c r="BD700" t="n">
        <v>757.8964999999999</v>
      </c>
      <c r="BE700" t="n">
        <v>485809</v>
      </c>
    </row>
    <row r="701">
      <c r="A701" t="n">
        <v>1777354202</v>
      </c>
      <c r="B701" t="inlineStr">
        <is>
          <t>XAUUSD</t>
        </is>
      </c>
      <c r="C701" t="inlineStr">
        <is>
          <t>M15</t>
        </is>
      </c>
      <c r="D701" t="n">
        <v>4624.58</v>
      </c>
      <c r="E701" t="n">
        <v>4518.59282</v>
      </c>
      <c r="F701" t="n">
        <v>4596.05595</v>
      </c>
      <c r="G701" t="n">
        <v>4755.40355</v>
      </c>
      <c r="H701" t="n">
        <v>4792.76972</v>
      </c>
      <c r="Q701" t="n">
        <v>4630.58247</v>
      </c>
      <c r="R701" t="n">
        <v>4659.94577</v>
      </c>
      <c r="S701" t="n">
        <v>4686.53454</v>
      </c>
      <c r="V701" t="n">
        <v>4595.6427</v>
      </c>
      <c r="W701" t="n">
        <v>4562.07771</v>
      </c>
      <c r="AB701" t="n">
        <v>4641.65171</v>
      </c>
      <c r="AC701" t="n">
        <v>4647.82523</v>
      </c>
      <c r="AD701" t="n">
        <v>0</v>
      </c>
      <c r="AK701" t="n">
        <v>699</v>
      </c>
      <c r="AL701" t="n">
        <v>698</v>
      </c>
      <c r="AM701" t="n">
        <v>4624.58</v>
      </c>
      <c r="AN701" t="n">
        <v>4630.5825</v>
      </c>
      <c r="AO701" t="n">
        <v>-6.0025</v>
      </c>
      <c r="AP701" t="n">
        <v>36.0296</v>
      </c>
      <c r="AQ701" t="n">
        <v>-0.004975</v>
      </c>
      <c r="AR701" t="n">
        <v>0.000849</v>
      </c>
      <c r="AY701" t="n">
        <v>699</v>
      </c>
      <c r="AZ701" t="n">
        <v>698</v>
      </c>
      <c r="BA701" t="n">
        <v>4624.58</v>
      </c>
      <c r="BB701" t="n">
        <v>4630.5825</v>
      </c>
      <c r="BC701" t="n">
        <v>-6.0025</v>
      </c>
      <c r="BD701" t="n">
        <v>36.0296</v>
      </c>
      <c r="BE701" t="n">
        <v>487204</v>
      </c>
    </row>
    <row r="702">
      <c r="A702" t="n">
        <v>1777355102</v>
      </c>
      <c r="B702" t="inlineStr">
        <is>
          <t>XAUUSD</t>
        </is>
      </c>
      <c r="C702" t="inlineStr">
        <is>
          <t>M15</t>
        </is>
      </c>
      <c r="D702" t="n">
        <v>4632.23</v>
      </c>
      <c r="E702" t="n">
        <v>4518.59282</v>
      </c>
      <c r="F702" t="n">
        <v>4596.05595</v>
      </c>
      <c r="G702" t="n">
        <v>4755.40355</v>
      </c>
      <c r="H702" t="n">
        <v>4792.76972</v>
      </c>
      <c r="Q702" t="n">
        <v>4630.31487</v>
      </c>
      <c r="R702" t="n">
        <v>4659.67817</v>
      </c>
      <c r="S702" t="n">
        <v>4686.26694</v>
      </c>
      <c r="V702" t="n">
        <v>4595.3751</v>
      </c>
      <c r="W702" t="n">
        <v>4561.8101</v>
      </c>
      <c r="AB702" t="n">
        <v>4636.63512</v>
      </c>
      <c r="AC702" t="n">
        <v>4642.23017</v>
      </c>
      <c r="AD702" t="n">
        <v>0</v>
      </c>
      <c r="AK702" t="n">
        <v>700</v>
      </c>
      <c r="AL702" t="n">
        <v>699</v>
      </c>
      <c r="AM702" t="n">
        <v>4632.23</v>
      </c>
      <c r="AN702" t="n">
        <v>4630.3149</v>
      </c>
      <c r="AO702" t="n">
        <v>1.9151</v>
      </c>
      <c r="AP702" t="n">
        <v>3.6677</v>
      </c>
      <c r="AQ702" t="n">
        <v>0.000162</v>
      </c>
      <c r="AR702" t="n">
        <v>9e-06</v>
      </c>
      <c r="AY702" t="n">
        <v>700</v>
      </c>
      <c r="AZ702" t="n">
        <v>699</v>
      </c>
      <c r="BA702" t="n">
        <v>4632.23</v>
      </c>
      <c r="BB702" t="n">
        <v>4630.3149</v>
      </c>
      <c r="BC702" t="n">
        <v>1.9151</v>
      </c>
      <c r="BD702" t="n">
        <v>3.6677</v>
      </c>
      <c r="BE702" t="n">
        <v>488601</v>
      </c>
    </row>
    <row r="703">
      <c r="A703" t="n">
        <v>1777356002</v>
      </c>
      <c r="B703" t="inlineStr">
        <is>
          <t>XAUUSD</t>
        </is>
      </c>
      <c r="C703" t="inlineStr">
        <is>
          <t>M15</t>
        </is>
      </c>
      <c r="D703" t="n">
        <v>4640.69</v>
      </c>
      <c r="E703" t="n">
        <v>4518.59282</v>
      </c>
      <c r="F703" t="n">
        <v>4596.05595</v>
      </c>
      <c r="G703" t="n">
        <v>4755.40355</v>
      </c>
      <c r="H703" t="n">
        <v>4792.76972</v>
      </c>
      <c r="Q703" t="n">
        <v>4630.04726</v>
      </c>
      <c r="R703" t="n">
        <v>4659.41056</v>
      </c>
      <c r="S703" t="n">
        <v>4685.99933</v>
      </c>
      <c r="V703" t="n">
        <v>4595.10749</v>
      </c>
      <c r="W703" t="n">
        <v>4561.5425</v>
      </c>
      <c r="AB703" t="n">
        <v>4633.14562</v>
      </c>
      <c r="AC703" t="n">
        <v>4637.6879</v>
      </c>
      <c r="AD703" t="n">
        <v>0</v>
      </c>
      <c r="AK703" t="n">
        <v>701</v>
      </c>
      <c r="AL703" t="n">
        <v>700</v>
      </c>
      <c r="AM703" t="n">
        <v>4640.69</v>
      </c>
      <c r="AN703" t="n">
        <v>4630.0473</v>
      </c>
      <c r="AO703" t="n">
        <v>10.6427</v>
      </c>
      <c r="AP703" t="n">
        <v>113.2679</v>
      </c>
      <c r="AQ703" t="n">
        <v>0.027732</v>
      </c>
      <c r="AR703" t="n">
        <v>0.008394</v>
      </c>
      <c r="AY703" t="n">
        <v>701</v>
      </c>
      <c r="AZ703" t="n">
        <v>700</v>
      </c>
      <c r="BA703" t="n">
        <v>4640.69</v>
      </c>
      <c r="BB703" t="n">
        <v>4630.0473</v>
      </c>
      <c r="BC703" t="n">
        <v>10.6427</v>
      </c>
      <c r="BD703" t="n">
        <v>113.2679</v>
      </c>
      <c r="BE703" t="n">
        <v>490000</v>
      </c>
    </row>
    <row r="704">
      <c r="A704" t="n">
        <v>1777356902</v>
      </c>
      <c r="B704" t="inlineStr">
        <is>
          <t>XAUUSD</t>
        </is>
      </c>
      <c r="C704" t="inlineStr">
        <is>
          <t>M15</t>
        </is>
      </c>
      <c r="D704" t="n">
        <v>4631.64</v>
      </c>
      <c r="E704" t="n">
        <v>4518.59282</v>
      </c>
      <c r="F704" t="n">
        <v>4596.05595</v>
      </c>
      <c r="G704" t="n">
        <v>4755.40355</v>
      </c>
      <c r="H704" t="n">
        <v>4792.76972</v>
      </c>
      <c r="Q704" t="n">
        <v>4629.77966</v>
      </c>
      <c r="R704" t="n">
        <v>4659.14296</v>
      </c>
      <c r="S704" t="n">
        <v>4685.73173</v>
      </c>
      <c r="V704" t="n">
        <v>4594.83989</v>
      </c>
      <c r="W704" t="n">
        <v>4561.27489</v>
      </c>
      <c r="AB704" t="n">
        <v>4630.92321</v>
      </c>
      <c r="AC704" t="n">
        <v>4634.30555</v>
      </c>
      <c r="AD704" t="n">
        <v>0</v>
      </c>
      <c r="AK704" t="n">
        <v>702</v>
      </c>
      <c r="AL704" t="n">
        <v>701</v>
      </c>
      <c r="AM704" t="n">
        <v>4631.64</v>
      </c>
      <c r="AN704" t="n">
        <v>4629.7797</v>
      </c>
      <c r="AO704" t="n">
        <v>1.8603</v>
      </c>
      <c r="AP704" t="n">
        <v>3.4609</v>
      </c>
      <c r="AQ704" t="n">
        <v>0.000148</v>
      </c>
      <c r="AR704" t="n">
        <v>8e-06</v>
      </c>
      <c r="AY704" t="n">
        <v>702</v>
      </c>
      <c r="AZ704" t="n">
        <v>701</v>
      </c>
      <c r="BA704" t="n">
        <v>4631.64</v>
      </c>
      <c r="BB704" t="n">
        <v>4629.7797</v>
      </c>
      <c r="BC704" t="n">
        <v>1.8603</v>
      </c>
      <c r="BD704" t="n">
        <v>3.4609</v>
      </c>
      <c r="BE704" t="n">
        <v>491401</v>
      </c>
    </row>
    <row r="705">
      <c r="A705" t="n">
        <v>1777357802</v>
      </c>
      <c r="B705" t="inlineStr">
        <is>
          <t>XAUUSD</t>
        </is>
      </c>
      <c r="C705" t="inlineStr">
        <is>
          <t>M15</t>
        </is>
      </c>
      <c r="D705" t="n">
        <v>4629.83</v>
      </c>
      <c r="E705" t="n">
        <v>4518.59282</v>
      </c>
      <c r="F705" t="n">
        <v>4596.05595</v>
      </c>
      <c r="G705" t="n">
        <v>4755.40355</v>
      </c>
      <c r="H705" t="n">
        <v>4792.76972</v>
      </c>
      <c r="Q705" t="n">
        <v>4629.51206</v>
      </c>
      <c r="R705" t="n">
        <v>4658.87536</v>
      </c>
      <c r="S705" t="n">
        <v>4685.46413</v>
      </c>
      <c r="V705" t="n">
        <v>4594.57229</v>
      </c>
      <c r="W705" t="n">
        <v>4561.00729</v>
      </c>
      <c r="AB705" t="n">
        <v>4629.9782</v>
      </c>
      <c r="AC705" t="n">
        <v>4632.14188</v>
      </c>
      <c r="AD705" t="n">
        <v>0</v>
      </c>
      <c r="AK705" t="n">
        <v>703</v>
      </c>
      <c r="AL705" t="n">
        <v>702</v>
      </c>
      <c r="AM705" t="n">
        <v>4629.83</v>
      </c>
      <c r="AN705" t="n">
        <v>4629.5121</v>
      </c>
      <c r="AO705" t="n">
        <v>0.3179</v>
      </c>
      <c r="AP705" t="n">
        <v>0.1011</v>
      </c>
      <c r="AQ705" t="n">
        <v>1e-06</v>
      </c>
      <c r="AR705" t="n">
        <v>0</v>
      </c>
      <c r="AY705" t="n">
        <v>703</v>
      </c>
      <c r="AZ705" t="n">
        <v>702</v>
      </c>
      <c r="BA705" t="n">
        <v>4629.83</v>
      </c>
      <c r="BB705" t="n">
        <v>4629.5121</v>
      </c>
      <c r="BC705" t="n">
        <v>0.3179</v>
      </c>
      <c r="BD705" t="n">
        <v>0.1011</v>
      </c>
      <c r="BE705" t="n">
        <v>492804</v>
      </c>
    </row>
    <row r="706">
      <c r="A706" t="n">
        <v>1777358702</v>
      </c>
      <c r="B706" t="inlineStr">
        <is>
          <t>XAUUSD</t>
        </is>
      </c>
      <c r="C706" t="inlineStr">
        <is>
          <t>M15</t>
        </is>
      </c>
      <c r="D706" t="n">
        <v>4628.99</v>
      </c>
      <c r="E706" t="n">
        <v>4518.59282</v>
      </c>
      <c r="F706" t="n">
        <v>4596.05595</v>
      </c>
      <c r="G706" t="n">
        <v>4755.40355</v>
      </c>
      <c r="H706" t="n">
        <v>4792.76972</v>
      </c>
      <c r="Q706" t="n">
        <v>4629.24445</v>
      </c>
      <c r="R706" t="n">
        <v>4658.60775</v>
      </c>
      <c r="S706" t="n">
        <v>4685.19652</v>
      </c>
      <c r="V706" t="n">
        <v>4594.30468</v>
      </c>
      <c r="W706" t="n">
        <v>4560.73969</v>
      </c>
      <c r="AB706" t="n">
        <v>4629.97345</v>
      </c>
      <c r="AC706" t="n">
        <v>4631.05766</v>
      </c>
      <c r="AD706" t="n">
        <v>0</v>
      </c>
      <c r="AK706" t="n">
        <v>704</v>
      </c>
      <c r="AL706" t="n">
        <v>703</v>
      </c>
      <c r="AM706" t="n">
        <v>4628.99</v>
      </c>
      <c r="AN706" t="n">
        <v>4629.2445</v>
      </c>
      <c r="AO706" t="n">
        <v>-0.2545</v>
      </c>
      <c r="AP706" t="n">
        <v>0.06469999999999999</v>
      </c>
      <c r="AQ706" t="n">
        <v>0</v>
      </c>
      <c r="AR706" t="n">
        <v>0</v>
      </c>
      <c r="AY706" t="n">
        <v>704</v>
      </c>
      <c r="AZ706" t="n">
        <v>703</v>
      </c>
      <c r="BA706" t="n">
        <v>4628.99</v>
      </c>
      <c r="BB706" t="n">
        <v>4629.2445</v>
      </c>
      <c r="BC706" t="n">
        <v>-0.2545</v>
      </c>
      <c r="BD706" t="n">
        <v>0.06469999999999999</v>
      </c>
      <c r="BE706" t="n">
        <v>494209</v>
      </c>
    </row>
    <row r="707">
      <c r="A707" t="n">
        <v>1777359602</v>
      </c>
      <c r="B707" t="inlineStr">
        <is>
          <t>XAUUSD</t>
        </is>
      </c>
      <c r="C707" t="inlineStr">
        <is>
          <t>M15</t>
        </is>
      </c>
      <c r="D707" t="n">
        <v>4634.3</v>
      </c>
      <c r="E707" t="n">
        <v>4518.59282</v>
      </c>
      <c r="F707" t="n">
        <v>4596.05595</v>
      </c>
      <c r="G707" t="n">
        <v>4755.40355</v>
      </c>
      <c r="H707" t="n">
        <v>4792.76972</v>
      </c>
      <c r="Q707" t="n">
        <v>4628.97685</v>
      </c>
      <c r="R707" t="n">
        <v>4658.34015</v>
      </c>
      <c r="S707" t="n">
        <v>4684.92892</v>
      </c>
      <c r="V707" t="n">
        <v>4594.03708</v>
      </c>
      <c r="W707" t="n">
        <v>4560.47208</v>
      </c>
      <c r="AB707" t="n">
        <v>4630.43022</v>
      </c>
      <c r="AC707" t="n">
        <v>4630.74394</v>
      </c>
      <c r="AD707" t="n">
        <v>0</v>
      </c>
      <c r="AK707" t="n">
        <v>705</v>
      </c>
      <c r="AL707" t="n">
        <v>704</v>
      </c>
      <c r="AM707" t="n">
        <v>4634.3</v>
      </c>
      <c r="AN707" t="n">
        <v>4628.9769</v>
      </c>
      <c r="AO707" t="n">
        <v>5.3232</v>
      </c>
      <c r="AP707" t="n">
        <v>28.3359</v>
      </c>
      <c r="AQ707" t="n">
        <v>0.00347</v>
      </c>
      <c r="AR707" t="n">
        <v>0.000525</v>
      </c>
      <c r="AY707" t="n">
        <v>705</v>
      </c>
      <c r="AZ707" t="n">
        <v>704</v>
      </c>
      <c r="BA707" t="n">
        <v>4634.3</v>
      </c>
      <c r="BB707" t="n">
        <v>4628.9769</v>
      </c>
      <c r="BC707" t="n">
        <v>5.3232</v>
      </c>
      <c r="BD707" t="n">
        <v>28.3359</v>
      </c>
      <c r="BE707" t="n">
        <v>495616</v>
      </c>
    </row>
    <row r="708">
      <c r="A708" t="n">
        <v>1777360502</v>
      </c>
      <c r="B708" t="inlineStr">
        <is>
          <t>XAUUSD</t>
        </is>
      </c>
      <c r="C708" t="inlineStr">
        <is>
          <t>M15</t>
        </is>
      </c>
      <c r="D708" t="n">
        <v>4629.79</v>
      </c>
      <c r="E708" t="n">
        <v>4518.59282</v>
      </c>
      <c r="F708" t="n">
        <v>4596.05595</v>
      </c>
      <c r="G708" t="n">
        <v>4755.40355</v>
      </c>
      <c r="H708" t="n">
        <v>4792.76972</v>
      </c>
      <c r="Q708" t="n">
        <v>4628.70924</v>
      </c>
      <c r="R708" t="n">
        <v>4658.07254</v>
      </c>
      <c r="S708" t="n">
        <v>4684.66131</v>
      </c>
      <c r="V708" t="n">
        <v>4593.76947</v>
      </c>
      <c r="W708" t="n">
        <v>4560.20448</v>
      </c>
      <c r="AB708" t="n">
        <v>4630.73633</v>
      </c>
      <c r="AC708" t="n">
        <v>4630.74014</v>
      </c>
      <c r="AD708" t="n">
        <v>0</v>
      </c>
      <c r="AK708" t="n">
        <v>706</v>
      </c>
      <c r="AL708" t="n">
        <v>705</v>
      </c>
      <c r="AM708" t="n">
        <v>4629.79</v>
      </c>
      <c r="AN708" t="n">
        <v>4628.7092</v>
      </c>
      <c r="AO708" t="n">
        <v>1.0808</v>
      </c>
      <c r="AP708" t="n">
        <v>1.168</v>
      </c>
      <c r="AQ708" t="n">
        <v>2.9e-05</v>
      </c>
      <c r="AR708" t="n">
        <v>1e-06</v>
      </c>
      <c r="AY708" t="n">
        <v>706</v>
      </c>
      <c r="AZ708" t="n">
        <v>705</v>
      </c>
      <c r="BA708" t="n">
        <v>4629.79</v>
      </c>
      <c r="BB708" t="n">
        <v>4628.7092</v>
      </c>
      <c r="BC708" t="n">
        <v>1.0808</v>
      </c>
      <c r="BD708" t="n">
        <v>1.168</v>
      </c>
      <c r="BE708" t="n">
        <v>497025</v>
      </c>
    </row>
    <row r="709">
      <c r="A709" t="n">
        <v>1777361402</v>
      </c>
      <c r="B709" t="inlineStr">
        <is>
          <t>XAUUSD</t>
        </is>
      </c>
      <c r="C709" t="inlineStr">
        <is>
          <t>M15</t>
        </is>
      </c>
      <c r="D709" t="n">
        <v>4629.38</v>
      </c>
      <c r="E709" t="n">
        <v>4518.59282</v>
      </c>
      <c r="F709" t="n">
        <v>4596.05595</v>
      </c>
      <c r="G709" t="n">
        <v>4755.40355</v>
      </c>
      <c r="H709" t="n">
        <v>4792.76972</v>
      </c>
      <c r="Q709" t="n">
        <v>4628.44164</v>
      </c>
      <c r="R709" t="n">
        <v>4657.80494</v>
      </c>
      <c r="S709" t="n">
        <v>4684.39371</v>
      </c>
      <c r="V709" t="n">
        <v>4593.50187</v>
      </c>
      <c r="W709" t="n">
        <v>4559.93687</v>
      </c>
      <c r="AB709" t="n">
        <v>4630.64901</v>
      </c>
      <c r="AC709" t="n">
        <v>4630.69457</v>
      </c>
      <c r="AD709" t="n">
        <v>0</v>
      </c>
      <c r="AK709" t="n">
        <v>707</v>
      </c>
      <c r="AL709" t="n">
        <v>706</v>
      </c>
      <c r="AM709" t="n">
        <v>4629.38</v>
      </c>
      <c r="AN709" t="n">
        <v>4628.4416</v>
      </c>
      <c r="AO709" t="n">
        <v>0.9384</v>
      </c>
      <c r="AP709" t="n">
        <v>0.8804999999999999</v>
      </c>
      <c r="AQ709" t="n">
        <v>1.9e-05</v>
      </c>
      <c r="AR709" t="n">
        <v>1e-06</v>
      </c>
      <c r="AY709" t="n">
        <v>707</v>
      </c>
      <c r="AZ709" t="n">
        <v>706</v>
      </c>
      <c r="BA709" t="n">
        <v>4629.38</v>
      </c>
      <c r="BB709" t="n">
        <v>4628.4416</v>
      </c>
      <c r="BC709" t="n">
        <v>0.9384</v>
      </c>
      <c r="BD709" t="n">
        <v>0.8804999999999999</v>
      </c>
      <c r="BE709" t="n">
        <v>498436</v>
      </c>
    </row>
    <row r="710">
      <c r="A710" t="n">
        <v>1777362302</v>
      </c>
      <c r="B710" t="inlineStr">
        <is>
          <t>XAUUSD</t>
        </is>
      </c>
      <c r="C710" t="inlineStr">
        <is>
          <t>M15</t>
        </is>
      </c>
      <c r="D710" t="n">
        <v>4633.24</v>
      </c>
      <c r="E710" t="n">
        <v>4518.59282</v>
      </c>
      <c r="F710" t="n">
        <v>4596.05595</v>
      </c>
      <c r="G710" t="n">
        <v>4755.40355</v>
      </c>
      <c r="H710" t="n">
        <v>4792.76972</v>
      </c>
      <c r="Q710" t="n">
        <v>4628.17404</v>
      </c>
      <c r="R710" t="n">
        <v>4657.53733</v>
      </c>
      <c r="S710" t="n">
        <v>4684.12611</v>
      </c>
      <c r="V710" t="n">
        <v>4593.23427</v>
      </c>
      <c r="W710" t="n">
        <v>4559.66927</v>
      </c>
      <c r="AB710" t="n">
        <v>4629.99385</v>
      </c>
      <c r="AC710" t="n">
        <v>4630.34421</v>
      </c>
      <c r="AD710" t="n">
        <v>0</v>
      </c>
      <c r="AK710" t="n">
        <v>708</v>
      </c>
      <c r="AL710" t="n">
        <v>707</v>
      </c>
      <c r="AM710" t="n">
        <v>4633.24</v>
      </c>
      <c r="AN710" t="n">
        <v>4628.174</v>
      </c>
      <c r="AO710" t="n">
        <v>5.066</v>
      </c>
      <c r="AP710" t="n">
        <v>25.664</v>
      </c>
      <c r="AQ710" t="n">
        <v>0.002991</v>
      </c>
      <c r="AR710" t="n">
        <v>0.000431</v>
      </c>
      <c r="AY710" t="n">
        <v>708</v>
      </c>
      <c r="AZ710" t="n">
        <v>707</v>
      </c>
      <c r="BA710" t="n">
        <v>4633.24</v>
      </c>
      <c r="BB710" t="n">
        <v>4628.174</v>
      </c>
      <c r="BC710" t="n">
        <v>5.066</v>
      </c>
      <c r="BD710" t="n">
        <v>25.664</v>
      </c>
      <c r="BE710" t="n">
        <v>499849</v>
      </c>
    </row>
    <row r="711">
      <c r="A711" t="n">
        <v>1777363202</v>
      </c>
      <c r="B711" t="inlineStr">
        <is>
          <t>XAUUSD</t>
        </is>
      </c>
      <c r="C711" t="inlineStr">
        <is>
          <t>M15</t>
        </is>
      </c>
      <c r="D711" t="n">
        <v>4620.29</v>
      </c>
      <c r="E711" t="n">
        <v>4518.59282</v>
      </c>
      <c r="F711" t="n">
        <v>4596.05595</v>
      </c>
      <c r="G711" t="n">
        <v>4755.40355</v>
      </c>
      <c r="H711" t="n">
        <v>4792.76972</v>
      </c>
      <c r="Q711" t="n">
        <v>4627.90643</v>
      </c>
      <c r="R711" t="n">
        <v>4657.26973</v>
      </c>
      <c r="S711" t="n">
        <v>4683.8585</v>
      </c>
      <c r="V711" t="n">
        <v>4592.96666</v>
      </c>
      <c r="W711" t="n">
        <v>4559.40167</v>
      </c>
      <c r="AB711" t="n">
        <v>4628.66726</v>
      </c>
      <c r="AC711" t="n">
        <v>4629.50573</v>
      </c>
      <c r="AD711" t="n">
        <v>0</v>
      </c>
      <c r="AK711" t="n">
        <v>709</v>
      </c>
      <c r="AL711" t="n">
        <v>708</v>
      </c>
      <c r="AM711" t="n">
        <v>4620.29</v>
      </c>
      <c r="AN711" t="n">
        <v>4627.9064</v>
      </c>
      <c r="AO711" t="n">
        <v>-7.6164</v>
      </c>
      <c r="AP711" t="n">
        <v>58.01</v>
      </c>
      <c r="AQ711" t="n">
        <v>-0.010164</v>
      </c>
      <c r="AR711" t="n">
        <v>0.002202</v>
      </c>
      <c r="AY711" t="n">
        <v>709</v>
      </c>
      <c r="AZ711" t="n">
        <v>708</v>
      </c>
      <c r="BA711" t="n">
        <v>4620.29</v>
      </c>
      <c r="BB711" t="n">
        <v>4627.9064</v>
      </c>
      <c r="BC711" t="n">
        <v>-7.6164</v>
      </c>
      <c r="BD711" t="n">
        <v>58.01</v>
      </c>
      <c r="BE711" t="n">
        <v>501264</v>
      </c>
    </row>
    <row r="712">
      <c r="A712" t="n">
        <v>1777364102</v>
      </c>
      <c r="B712" t="inlineStr">
        <is>
          <t>XAUUSD</t>
        </is>
      </c>
      <c r="C712" t="inlineStr">
        <is>
          <t>M15</t>
        </is>
      </c>
      <c r="D712" t="n">
        <v>4626.98</v>
      </c>
      <c r="E712" t="n">
        <v>4518.59282</v>
      </c>
      <c r="F712" t="n">
        <v>4596.05595</v>
      </c>
      <c r="G712" t="n">
        <v>4755.40355</v>
      </c>
      <c r="H712" t="n">
        <v>4792.76972</v>
      </c>
      <c r="Q712" t="n">
        <v>4627.63883</v>
      </c>
      <c r="R712" t="n">
        <v>4657.00213</v>
      </c>
      <c r="S712" t="n">
        <v>4683.5909</v>
      </c>
      <c r="V712" t="n">
        <v>4592.69906</v>
      </c>
      <c r="W712" t="n">
        <v>4559.13406</v>
      </c>
      <c r="AB712" t="n">
        <v>4627.15639</v>
      </c>
      <c r="AC712" t="n">
        <v>4628.33106</v>
      </c>
      <c r="AD712" t="n">
        <v>0</v>
      </c>
      <c r="AK712" t="n">
        <v>710</v>
      </c>
      <c r="AL712" t="n">
        <v>709</v>
      </c>
      <c r="AM712" t="n">
        <v>4626.98</v>
      </c>
      <c r="AN712" t="n">
        <v>4627.6388</v>
      </c>
      <c r="AO712" t="n">
        <v>-0.6588000000000001</v>
      </c>
      <c r="AP712" t="n">
        <v>0.4341</v>
      </c>
      <c r="AQ712" t="n">
        <v>-7e-06</v>
      </c>
      <c r="AR712" t="n">
        <v>0</v>
      </c>
      <c r="AY712" t="n">
        <v>710</v>
      </c>
      <c r="AZ712" t="n">
        <v>709</v>
      </c>
      <c r="BA712" t="n">
        <v>4626.98</v>
      </c>
      <c r="BB712" t="n">
        <v>4627.6388</v>
      </c>
      <c r="BC712" t="n">
        <v>-0.6588000000000001</v>
      </c>
      <c r="BD712" t="n">
        <v>0.4341</v>
      </c>
      <c r="BE712" t="n">
        <v>502681</v>
      </c>
    </row>
    <row r="713">
      <c r="A713" t="n">
        <v>1777365002</v>
      </c>
      <c r="B713" t="inlineStr">
        <is>
          <t>XAUUSD</t>
        </is>
      </c>
      <c r="C713" t="inlineStr">
        <is>
          <t>M15</t>
        </is>
      </c>
      <c r="D713" t="n">
        <v>4628.21</v>
      </c>
      <c r="E713" t="n">
        <v>4518.59282</v>
      </c>
      <c r="F713" t="n">
        <v>4596.05595</v>
      </c>
      <c r="G713" t="n">
        <v>4755.40355</v>
      </c>
      <c r="H713" t="n">
        <v>4792.76972</v>
      </c>
      <c r="Q713" t="n">
        <v>4627.37122</v>
      </c>
      <c r="R713" t="n">
        <v>4656.73452</v>
      </c>
      <c r="S713" t="n">
        <v>4683.32329</v>
      </c>
      <c r="V713" t="n">
        <v>4592.43145</v>
      </c>
      <c r="W713" t="n">
        <v>4558.86646</v>
      </c>
      <c r="AB713" t="n">
        <v>4625.433</v>
      </c>
      <c r="AC713" t="n">
        <v>4626.88203</v>
      </c>
      <c r="AD713" t="n">
        <v>0</v>
      </c>
      <c r="AK713" t="n">
        <v>711</v>
      </c>
      <c r="AL713" t="n">
        <v>710</v>
      </c>
      <c r="AM713" t="n">
        <v>4628.21</v>
      </c>
      <c r="AN713" t="n">
        <v>4627.3712</v>
      </c>
      <c r="AO713" t="n">
        <v>0.8388</v>
      </c>
      <c r="AP713" t="n">
        <v>0.7036</v>
      </c>
      <c r="AQ713" t="n">
        <v>1.4e-05</v>
      </c>
      <c r="AR713" t="n">
        <v>0</v>
      </c>
      <c r="AY713" t="n">
        <v>711</v>
      </c>
      <c r="AZ713" t="n">
        <v>710</v>
      </c>
      <c r="BA713" t="n">
        <v>4628.21</v>
      </c>
      <c r="BB713" t="n">
        <v>4627.3712</v>
      </c>
      <c r="BC713" t="n">
        <v>0.8388</v>
      </c>
      <c r="BD713" t="n">
        <v>0.7036</v>
      </c>
      <c r="BE713" t="n">
        <v>504100</v>
      </c>
    </row>
    <row r="714">
      <c r="A714" t="n">
        <v>1777365902</v>
      </c>
      <c r="B714" t="inlineStr">
        <is>
          <t>XAUUSD</t>
        </is>
      </c>
      <c r="C714" t="inlineStr">
        <is>
          <t>M15</t>
        </is>
      </c>
      <c r="D714" t="n">
        <v>4629.62</v>
      </c>
      <c r="E714" t="n">
        <v>4518.59282</v>
      </c>
      <c r="F714" t="n">
        <v>4596.05595</v>
      </c>
      <c r="G714" t="n">
        <v>4755.40355</v>
      </c>
      <c r="H714" t="n">
        <v>4792.76972</v>
      </c>
      <c r="Q714" t="n">
        <v>4627.10362</v>
      </c>
      <c r="R714" t="n">
        <v>4656.46692</v>
      </c>
      <c r="S714" t="n">
        <v>4683.05569</v>
      </c>
      <c r="V714" t="n">
        <v>4592.16385</v>
      </c>
      <c r="W714" t="n">
        <v>4558.59885</v>
      </c>
      <c r="AB714" t="n">
        <v>4623.59568</v>
      </c>
      <c r="AC714" t="n">
        <v>4625.23885</v>
      </c>
      <c r="AD714" t="n">
        <v>0</v>
      </c>
      <c r="AK714" t="n">
        <v>712</v>
      </c>
      <c r="AL714" t="n">
        <v>711</v>
      </c>
      <c r="AM714" t="n">
        <v>4629.62</v>
      </c>
      <c r="AN714" t="n">
        <v>4627.1036</v>
      </c>
      <c r="AO714" t="n">
        <v>2.5164</v>
      </c>
      <c r="AP714" t="n">
        <v>6.3322</v>
      </c>
      <c r="AQ714" t="n">
        <v>0.000367</v>
      </c>
      <c r="AR714" t="n">
        <v>2.6e-05</v>
      </c>
      <c r="AY714" t="n">
        <v>712</v>
      </c>
      <c r="AZ714" t="n">
        <v>711</v>
      </c>
      <c r="BA714" t="n">
        <v>4629.62</v>
      </c>
      <c r="BB714" t="n">
        <v>4627.1036</v>
      </c>
      <c r="BC714" t="n">
        <v>2.5164</v>
      </c>
      <c r="BD714" t="n">
        <v>6.3322</v>
      </c>
      <c r="BE714" t="n">
        <v>505521</v>
      </c>
    </row>
    <row r="715">
      <c r="A715" t="n">
        <v>1777366802</v>
      </c>
      <c r="B715" t="inlineStr">
        <is>
          <t>XAUUSD</t>
        </is>
      </c>
      <c r="C715" t="inlineStr">
        <is>
          <t>M15</t>
        </is>
      </c>
      <c r="D715" t="n">
        <v>4625.52</v>
      </c>
      <c r="E715" t="n">
        <v>4518.59282</v>
      </c>
      <c r="F715" t="n">
        <v>4596.05595</v>
      </c>
      <c r="G715" t="n">
        <v>4755.40355</v>
      </c>
      <c r="H715" t="n">
        <v>4792.76972</v>
      </c>
      <c r="Q715" t="n">
        <v>4626.83602</v>
      </c>
      <c r="R715" t="n">
        <v>4656.19931</v>
      </c>
      <c r="S715" t="n">
        <v>4682.78809</v>
      </c>
      <c r="V715" t="n">
        <v>4591.89625</v>
      </c>
      <c r="W715" t="n">
        <v>4558.33125</v>
      </c>
      <c r="AB715" t="n">
        <v>4621.65842</v>
      </c>
      <c r="AC715" t="n">
        <v>4623.44864</v>
      </c>
      <c r="AD715" t="n">
        <v>0</v>
      </c>
      <c r="AK715" t="n">
        <v>713</v>
      </c>
      <c r="AL715" t="n">
        <v>712</v>
      </c>
      <c r="AM715" t="n">
        <v>4625.52</v>
      </c>
      <c r="AN715" t="n">
        <v>4626.836</v>
      </c>
      <c r="AO715" t="n">
        <v>-1.316</v>
      </c>
      <c r="AP715" t="n">
        <v>1.7319</v>
      </c>
      <c r="AQ715" t="n">
        <v>-5.2e-05</v>
      </c>
      <c r="AR715" t="n">
        <v>2e-06</v>
      </c>
      <c r="AY715" t="n">
        <v>713</v>
      </c>
      <c r="AZ715" t="n">
        <v>712</v>
      </c>
      <c r="BA715" t="n">
        <v>4625.52</v>
      </c>
      <c r="BB715" t="n">
        <v>4626.836</v>
      </c>
      <c r="BC715" t="n">
        <v>-1.316</v>
      </c>
      <c r="BD715" t="n">
        <v>1.7319</v>
      </c>
      <c r="BE715" t="n">
        <v>506944</v>
      </c>
    </row>
    <row r="716">
      <c r="A716" t="n">
        <v>1777367702</v>
      </c>
      <c r="B716" t="inlineStr">
        <is>
          <t>XAUUSD</t>
        </is>
      </c>
      <c r="C716" t="inlineStr">
        <is>
          <t>M15</t>
        </is>
      </c>
      <c r="D716" t="n">
        <v>4618.31</v>
      </c>
      <c r="E716" t="n">
        <v>4518.59282</v>
      </c>
      <c r="F716" t="n">
        <v>4596.05595</v>
      </c>
      <c r="G716" t="n">
        <v>4755.40355</v>
      </c>
      <c r="H716" t="n">
        <v>4792.76972</v>
      </c>
      <c r="Q716" t="n">
        <v>4626.56841</v>
      </c>
      <c r="R716" t="n">
        <v>4655.93171</v>
      </c>
      <c r="S716" t="n">
        <v>4682.52048</v>
      </c>
      <c r="V716" t="n">
        <v>4591.62864</v>
      </c>
      <c r="W716" t="n">
        <v>4558.06364</v>
      </c>
      <c r="AB716" t="n">
        <v>4619.67307</v>
      </c>
      <c r="AC716" t="n">
        <v>4621.56085</v>
      </c>
      <c r="AD716" t="n">
        <v>0</v>
      </c>
      <c r="AK716" t="n">
        <v>714</v>
      </c>
      <c r="AL716" t="n">
        <v>713</v>
      </c>
      <c r="AM716" t="n">
        <v>4618.31</v>
      </c>
      <c r="AN716" t="n">
        <v>4626.5684</v>
      </c>
      <c r="AO716" t="n">
        <v>-8.2584</v>
      </c>
      <c r="AP716" t="n">
        <v>68.2013</v>
      </c>
      <c r="AQ716" t="n">
        <v>-0.012957</v>
      </c>
      <c r="AR716" t="n">
        <v>0.003043</v>
      </c>
      <c r="AY716" t="n">
        <v>714</v>
      </c>
      <c r="AZ716" t="n">
        <v>713</v>
      </c>
      <c r="BA716" t="n">
        <v>4618.31</v>
      </c>
      <c r="BB716" t="n">
        <v>4626.5684</v>
      </c>
      <c r="BC716" t="n">
        <v>-8.2584</v>
      </c>
      <c r="BD716" t="n">
        <v>68.2013</v>
      </c>
      <c r="BE716" t="n">
        <v>508369</v>
      </c>
    </row>
    <row r="717">
      <c r="A717" t="n">
        <v>1777368602</v>
      </c>
      <c r="B717" t="inlineStr">
        <is>
          <t>XAUUSD</t>
        </is>
      </c>
      <c r="C717" t="inlineStr">
        <is>
          <t>M15</t>
        </is>
      </c>
      <c r="D717" t="n">
        <v>4613.05</v>
      </c>
      <c r="E717" t="n">
        <v>4518.59282</v>
      </c>
      <c r="F717" t="n">
        <v>4596.05595</v>
      </c>
      <c r="G717" t="n">
        <v>4755.40355</v>
      </c>
      <c r="H717" t="n">
        <v>4792.76972</v>
      </c>
      <c r="Q717" t="n">
        <v>4626.30081</v>
      </c>
      <c r="R717" t="n">
        <v>4655.66411</v>
      </c>
      <c r="S717" t="n">
        <v>4682.25288</v>
      </c>
      <c r="V717" t="n">
        <v>4591.36104</v>
      </c>
      <c r="W717" t="n">
        <v>4557.79604</v>
      </c>
      <c r="AB717" t="n">
        <v>4617.67804</v>
      </c>
      <c r="AC717" t="n">
        <v>4619.61945</v>
      </c>
      <c r="AD717" t="n">
        <v>0</v>
      </c>
      <c r="AK717" t="n">
        <v>715</v>
      </c>
      <c r="AL717" t="n">
        <v>714</v>
      </c>
      <c r="AM717" t="n">
        <v>4613.05</v>
      </c>
      <c r="AN717" t="n">
        <v>4626.3008</v>
      </c>
      <c r="AO717" t="n">
        <v>-13.2508</v>
      </c>
      <c r="AP717" t="n">
        <v>175.584</v>
      </c>
      <c r="AQ717" t="n">
        <v>-0.053523</v>
      </c>
      <c r="AR717" t="n">
        <v>0.020171</v>
      </c>
      <c r="AY717" t="n">
        <v>715</v>
      </c>
      <c r="AZ717" t="n">
        <v>714</v>
      </c>
      <c r="BA717" t="n">
        <v>4613.05</v>
      </c>
      <c r="BB717" t="n">
        <v>4626.3008</v>
      </c>
      <c r="BC717" t="n">
        <v>-13.2508</v>
      </c>
      <c r="BD717" t="n">
        <v>175.584</v>
      </c>
      <c r="BE717" t="n">
        <v>509796</v>
      </c>
    </row>
    <row r="718">
      <c r="A718" t="n">
        <v>1777369502</v>
      </c>
      <c r="B718" t="inlineStr">
        <is>
          <t>XAUUSD</t>
        </is>
      </c>
      <c r="C718" t="inlineStr">
        <is>
          <t>M15</t>
        </is>
      </c>
      <c r="D718" t="n">
        <v>4604.84</v>
      </c>
      <c r="E718" t="n">
        <v>4518.59282</v>
      </c>
      <c r="F718" t="n">
        <v>4596.05595</v>
      </c>
      <c r="G718" t="n">
        <v>4755.40355</v>
      </c>
      <c r="H718" t="n">
        <v>4792.76972</v>
      </c>
      <c r="Q718" t="n">
        <v>4626.0332</v>
      </c>
      <c r="R718" t="n">
        <v>4655.3965</v>
      </c>
      <c r="S718" t="n">
        <v>4681.98527</v>
      </c>
      <c r="V718" t="n">
        <v>4591.09343</v>
      </c>
      <c r="W718" t="n">
        <v>4557.52844</v>
      </c>
      <c r="AB718" t="n">
        <v>4615.51936</v>
      </c>
      <c r="AC718" t="n">
        <v>4617.56941</v>
      </c>
      <c r="AD718" t="n">
        <v>0</v>
      </c>
      <c r="AK718" t="n">
        <v>716</v>
      </c>
      <c r="AL718" t="n">
        <v>715</v>
      </c>
      <c r="AM718" t="n">
        <v>4604.84</v>
      </c>
      <c r="AN718" t="n">
        <v>4626.0332</v>
      </c>
      <c r="AO718" t="n">
        <v>-21.1932</v>
      </c>
      <c r="AP718" t="n">
        <v>449.1517</v>
      </c>
      <c r="AQ718" t="n">
        <v>-0.21898</v>
      </c>
      <c r="AR718" t="n">
        <v>0.13199</v>
      </c>
      <c r="AY718" t="n">
        <v>716</v>
      </c>
      <c r="AZ718" t="n">
        <v>715</v>
      </c>
      <c r="BA718" t="n">
        <v>4604.84</v>
      </c>
      <c r="BB718" t="n">
        <v>4626.0332</v>
      </c>
      <c r="BC718" t="n">
        <v>-21.1932</v>
      </c>
      <c r="BD718" t="n">
        <v>449.1517</v>
      </c>
      <c r="BE718" t="n">
        <v>511225</v>
      </c>
    </row>
    <row r="719">
      <c r="A719" t="n">
        <v>1777370402</v>
      </c>
      <c r="B719" t="inlineStr">
        <is>
          <t>XAUUSD</t>
        </is>
      </c>
      <c r="C719" t="inlineStr">
        <is>
          <t>M15</t>
        </is>
      </c>
      <c r="D719" t="n">
        <v>4612.7</v>
      </c>
      <c r="E719" t="n">
        <v>4518.59282</v>
      </c>
      <c r="F719" t="n">
        <v>4596.05595</v>
      </c>
      <c r="G719" t="n">
        <v>4755.40355</v>
      </c>
      <c r="H719" t="n">
        <v>4792.76972</v>
      </c>
      <c r="Q719" t="n">
        <v>4625.7656</v>
      </c>
      <c r="R719" t="n">
        <v>4655.1289</v>
      </c>
      <c r="S719" t="n">
        <v>4681.71767</v>
      </c>
      <c r="V719" t="n">
        <v>4590.82583</v>
      </c>
      <c r="W719" t="n">
        <v>4557.26083</v>
      </c>
      <c r="AB719" t="n">
        <v>4613.06375</v>
      </c>
      <c r="AC719" t="n">
        <v>4615.31658</v>
      </c>
      <c r="AD719" t="n">
        <v>0</v>
      </c>
      <c r="AK719" t="n">
        <v>717</v>
      </c>
      <c r="AL719" t="n">
        <v>716</v>
      </c>
      <c r="AM719" t="n">
        <v>4612.7</v>
      </c>
      <c r="AN719" t="n">
        <v>4625.7656</v>
      </c>
      <c r="AO719" t="n">
        <v>-13.0656</v>
      </c>
      <c r="AP719" t="n">
        <v>170.7099</v>
      </c>
      <c r="AQ719" t="n">
        <v>-0.05131</v>
      </c>
      <c r="AR719" t="n">
        <v>0.019067</v>
      </c>
      <c r="AY719" t="n">
        <v>717</v>
      </c>
      <c r="AZ719" t="n">
        <v>716</v>
      </c>
      <c r="BA719" t="n">
        <v>4612.7</v>
      </c>
      <c r="BB719" t="n">
        <v>4625.7656</v>
      </c>
      <c r="BC719" t="n">
        <v>-13.0656</v>
      </c>
      <c r="BD719" t="n">
        <v>170.7099</v>
      </c>
      <c r="BE719" t="n">
        <v>512656</v>
      </c>
    </row>
    <row r="720">
      <c r="A720" t="n">
        <v>1777371302</v>
      </c>
      <c r="B720" t="inlineStr">
        <is>
          <t>XAUUSD</t>
        </is>
      </c>
      <c r="C720" t="inlineStr">
        <is>
          <t>M15</t>
        </is>
      </c>
      <c r="D720" t="n">
        <v>4611.77</v>
      </c>
      <c r="E720" t="n">
        <v>4518.59282</v>
      </c>
      <c r="F720" t="n">
        <v>4596.05595</v>
      </c>
      <c r="G720" t="n">
        <v>4755.40355</v>
      </c>
      <c r="H720" t="n">
        <v>4792.76972</v>
      </c>
      <c r="Q720" t="n">
        <v>4625.498</v>
      </c>
      <c r="R720" t="n">
        <v>4654.86129</v>
      </c>
      <c r="S720" t="n">
        <v>4681.45006</v>
      </c>
      <c r="V720" t="n">
        <v>4590.55822</v>
      </c>
      <c r="W720" t="n">
        <v>4556.99323</v>
      </c>
      <c r="AB720" t="n">
        <v>4609.76164</v>
      </c>
      <c r="AC720" t="n">
        <v>4612.53911</v>
      </c>
      <c r="AD720" t="n">
        <v>0</v>
      </c>
      <c r="AK720" t="n">
        <v>718</v>
      </c>
      <c r="AL720" t="n">
        <v>717</v>
      </c>
      <c r="AM720" t="n">
        <v>4611.77</v>
      </c>
      <c r="AN720" t="n">
        <v>4625.498</v>
      </c>
      <c r="AO720" t="n">
        <v>-13.728</v>
      </c>
      <c r="AP720" t="n">
        <v>188.458</v>
      </c>
      <c r="AQ720" t="n">
        <v>-0.059517</v>
      </c>
      <c r="AR720" t="n">
        <v>0.023237</v>
      </c>
      <c r="AY720" t="n">
        <v>718</v>
      </c>
      <c r="AZ720" t="n">
        <v>717</v>
      </c>
      <c r="BA720" t="n">
        <v>4611.77</v>
      </c>
      <c r="BB720" t="n">
        <v>4625.498</v>
      </c>
      <c r="BC720" t="n">
        <v>-13.728</v>
      </c>
      <c r="BD720" t="n">
        <v>188.458</v>
      </c>
      <c r="BE720" t="n">
        <v>514089</v>
      </c>
    </row>
    <row r="721">
      <c r="A721" t="n">
        <v>1777372202</v>
      </c>
      <c r="B721" t="inlineStr">
        <is>
          <t>XAUUSD</t>
        </is>
      </c>
      <c r="C721" t="inlineStr">
        <is>
          <t>M15</t>
        </is>
      </c>
      <c r="D721" t="n">
        <v>4613.29</v>
      </c>
      <c r="E721" t="n">
        <v>4518.59282</v>
      </c>
      <c r="F721" t="n">
        <v>4596.05595</v>
      </c>
      <c r="G721" t="n">
        <v>4755.40355</v>
      </c>
      <c r="H721" t="n">
        <v>4792.76972</v>
      </c>
      <c r="Q721" t="n">
        <v>4625.23039</v>
      </c>
      <c r="R721" t="n">
        <v>4654.59369</v>
      </c>
      <c r="S721" t="n">
        <v>4681.18246</v>
      </c>
      <c r="V721" t="n">
        <v>4590.29062</v>
      </c>
      <c r="W721" t="n">
        <v>4556.72562</v>
      </c>
      <c r="AB721" t="n">
        <v>4605.46521</v>
      </c>
      <c r="AC721" t="n">
        <v>4609.00216</v>
      </c>
      <c r="AD721" t="n">
        <v>0</v>
      </c>
      <c r="AK721" t="n">
        <v>719</v>
      </c>
      <c r="AL721" t="n">
        <v>718</v>
      </c>
      <c r="AM721" t="n">
        <v>4613.29</v>
      </c>
      <c r="AN721" t="n">
        <v>4625.2304</v>
      </c>
      <c r="AO721" t="n">
        <v>-11.9404</v>
      </c>
      <c r="AP721" t="n">
        <v>142.5729</v>
      </c>
      <c r="AQ721" t="n">
        <v>-0.039163</v>
      </c>
      <c r="AR721" t="n">
        <v>0.013299</v>
      </c>
      <c r="AY721" t="n">
        <v>719</v>
      </c>
      <c r="AZ721" t="n">
        <v>718</v>
      </c>
      <c r="BA721" t="n">
        <v>4613.29</v>
      </c>
      <c r="BB721" t="n">
        <v>4625.2304</v>
      </c>
      <c r="BC721" t="n">
        <v>-11.9404</v>
      </c>
      <c r="BD721" t="n">
        <v>142.5729</v>
      </c>
      <c r="BE721" t="n">
        <v>515524</v>
      </c>
    </row>
    <row r="722">
      <c r="A722" t="n">
        <v>1777373102</v>
      </c>
      <c r="B722" t="inlineStr">
        <is>
          <t>XAUUSD</t>
        </is>
      </c>
      <c r="C722" t="inlineStr">
        <is>
          <t>M15</t>
        </is>
      </c>
      <c r="D722" t="n">
        <v>4603.3</v>
      </c>
      <c r="E722" t="n">
        <v>4518.59282</v>
      </c>
      <c r="F722" t="n">
        <v>4596.05595</v>
      </c>
      <c r="G722" t="n">
        <v>4755.40355</v>
      </c>
      <c r="H722" t="n">
        <v>4792.76972</v>
      </c>
      <c r="Q722" t="n">
        <v>4624.96279</v>
      </c>
      <c r="R722" t="n">
        <v>4654.32609</v>
      </c>
      <c r="S722" t="n">
        <v>4680.91486</v>
      </c>
      <c r="V722" t="n">
        <v>4590.02302</v>
      </c>
      <c r="W722" t="n">
        <v>4556.45802</v>
      </c>
      <c r="AB722" t="n">
        <v>4600.17692</v>
      </c>
      <c r="AC722" t="n">
        <v>4604.58954</v>
      </c>
      <c r="AD722" t="n">
        <v>0</v>
      </c>
      <c r="AK722" t="n">
        <v>720</v>
      </c>
      <c r="AL722" t="n">
        <v>719</v>
      </c>
      <c r="AM722" t="n">
        <v>4603.3</v>
      </c>
      <c r="AN722" t="n">
        <v>4624.9628</v>
      </c>
      <c r="AO722" t="n">
        <v>-21.6628</v>
      </c>
      <c r="AP722" t="n">
        <v>469.2765</v>
      </c>
      <c r="AQ722" t="n">
        <v>-0.233862</v>
      </c>
      <c r="AR722" t="n">
        <v>0.144083</v>
      </c>
      <c r="AY722" t="n">
        <v>720</v>
      </c>
      <c r="AZ722" t="n">
        <v>719</v>
      </c>
      <c r="BA722" t="n">
        <v>4603.3</v>
      </c>
      <c r="BB722" t="n">
        <v>4624.9628</v>
      </c>
      <c r="BC722" t="n">
        <v>-21.6628</v>
      </c>
      <c r="BD722" t="n">
        <v>469.2765</v>
      </c>
      <c r="BE722" t="n">
        <v>516961</v>
      </c>
    </row>
    <row r="723">
      <c r="A723" t="n">
        <v>1777374002</v>
      </c>
      <c r="B723" t="inlineStr">
        <is>
          <t>XAUUSD</t>
        </is>
      </c>
      <c r="C723" t="inlineStr">
        <is>
          <t>M15</t>
        </is>
      </c>
      <c r="D723" t="n">
        <v>4598.69</v>
      </c>
      <c r="E723" t="n">
        <v>4518.59282</v>
      </c>
      <c r="F723" t="n">
        <v>4596.05595</v>
      </c>
      <c r="G723" t="n">
        <v>4755.40355</v>
      </c>
      <c r="H723" t="n">
        <v>4792.76972</v>
      </c>
      <c r="Q723" t="n">
        <v>4624.69518</v>
      </c>
      <c r="R723" t="n">
        <v>4654.05848</v>
      </c>
      <c r="S723" t="n">
        <v>4680.64725</v>
      </c>
      <c r="V723" t="n">
        <v>4589.75541</v>
      </c>
      <c r="W723" t="n">
        <v>4556.19042</v>
      </c>
      <c r="AB723" t="n">
        <v>4594.46629</v>
      </c>
      <c r="AC723" t="n">
        <v>4599.52791</v>
      </c>
      <c r="AD723" t="n">
        <v>0</v>
      </c>
      <c r="AK723" t="n">
        <v>721</v>
      </c>
      <c r="AL723" t="n">
        <v>720</v>
      </c>
      <c r="AM723" t="n">
        <v>4598.69</v>
      </c>
      <c r="AN723" t="n">
        <v>4624.6952</v>
      </c>
      <c r="AO723" t="n">
        <v>-26.0052</v>
      </c>
      <c r="AP723" t="n">
        <v>676.2694</v>
      </c>
      <c r="AQ723" t="n">
        <v>-0.404571</v>
      </c>
      <c r="AR723" t="n">
        <v>0.299222</v>
      </c>
      <c r="AY723" t="n">
        <v>721</v>
      </c>
      <c r="AZ723" t="n">
        <v>720</v>
      </c>
      <c r="BA723" t="n">
        <v>4598.69</v>
      </c>
      <c r="BB723" t="n">
        <v>4624.6952</v>
      </c>
      <c r="BC723" t="n">
        <v>-26.0052</v>
      </c>
      <c r="BD723" t="n">
        <v>676.2694</v>
      </c>
      <c r="BE723" t="n">
        <v>518400</v>
      </c>
    </row>
    <row r="724">
      <c r="A724" t="n">
        <v>1777374902</v>
      </c>
      <c r="B724" t="inlineStr">
        <is>
          <t>XAUUSD</t>
        </is>
      </c>
      <c r="C724" t="inlineStr">
        <is>
          <t>M15</t>
        </is>
      </c>
      <c r="D724" t="n">
        <v>4599.45</v>
      </c>
      <c r="E724" t="n">
        <v>4518.59282</v>
      </c>
      <c r="F724" t="n">
        <v>4596.05595</v>
      </c>
      <c r="G724" t="n">
        <v>4755.40355</v>
      </c>
      <c r="H724" t="n">
        <v>4792.76972</v>
      </c>
      <c r="Q724" t="n">
        <v>4624.42758</v>
      </c>
      <c r="R724" t="n">
        <v>4653.79088</v>
      </c>
      <c r="S724" t="n">
        <v>4680.37965</v>
      </c>
      <c r="V724" t="n">
        <v>4589.48781</v>
      </c>
      <c r="W724" t="n">
        <v>4555.92281</v>
      </c>
      <c r="AB724" t="n">
        <v>4588.93887</v>
      </c>
      <c r="AC724" t="n">
        <v>4594.23339</v>
      </c>
      <c r="AD724" t="n">
        <v>0</v>
      </c>
      <c r="AK724" t="n">
        <v>722</v>
      </c>
      <c r="AL724" t="n">
        <v>721</v>
      </c>
      <c r="AM724" t="n">
        <v>4599.45</v>
      </c>
      <c r="AN724" t="n">
        <v>4624.4276</v>
      </c>
      <c r="AO724" t="n">
        <v>-24.9776</v>
      </c>
      <c r="AP724" t="n">
        <v>623.8795</v>
      </c>
      <c r="AQ724" t="n">
        <v>-0.358481</v>
      </c>
      <c r="AR724" t="n">
        <v>0.254657</v>
      </c>
      <c r="AY724" t="n">
        <v>722</v>
      </c>
      <c r="AZ724" t="n">
        <v>721</v>
      </c>
      <c r="BA724" t="n">
        <v>4599.45</v>
      </c>
      <c r="BB724" t="n">
        <v>4624.4276</v>
      </c>
      <c r="BC724" t="n">
        <v>-24.9776</v>
      </c>
      <c r="BD724" t="n">
        <v>623.8795</v>
      </c>
      <c r="BE724" t="n">
        <v>519841</v>
      </c>
    </row>
    <row r="725">
      <c r="A725" t="n">
        <v>1777375802</v>
      </c>
      <c r="B725" t="inlineStr">
        <is>
          <t>XAUUSD</t>
        </is>
      </c>
      <c r="C725" t="inlineStr">
        <is>
          <t>M15</t>
        </is>
      </c>
      <c r="D725" t="n">
        <v>4572.22</v>
      </c>
      <c r="E725" t="n">
        <v>4518.59282</v>
      </c>
      <c r="F725" t="n">
        <v>4596.05595</v>
      </c>
      <c r="G725" t="n">
        <v>4755.40355</v>
      </c>
      <c r="H725" t="n">
        <v>4792.76972</v>
      </c>
      <c r="Q725" t="n">
        <v>4624.15997</v>
      </c>
      <c r="R725" t="n">
        <v>4653.52327</v>
      </c>
      <c r="S725" t="n">
        <v>4680.11204</v>
      </c>
      <c r="V725" t="n">
        <v>4589.2202</v>
      </c>
      <c r="W725" t="n">
        <v>4555.65521</v>
      </c>
      <c r="AB725" t="n">
        <v>4584.08947</v>
      </c>
      <c r="AC725" t="n">
        <v>4589.16143</v>
      </c>
      <c r="AD725" t="n">
        <v>0</v>
      </c>
      <c r="AK725" t="n">
        <v>723</v>
      </c>
      <c r="AL725" t="n">
        <v>722</v>
      </c>
      <c r="AM725" t="n">
        <v>4572.22</v>
      </c>
      <c r="AN725" t="n">
        <v>4624.16</v>
      </c>
      <c r="AO725" t="n">
        <v>-51.94</v>
      </c>
      <c r="AP725" t="n">
        <v>2697.7605</v>
      </c>
      <c r="AQ725" t="n">
        <v>-3.223448</v>
      </c>
      <c r="AR725" t="n">
        <v>4.761688</v>
      </c>
      <c r="AY725" t="n">
        <v>723</v>
      </c>
      <c r="AZ725" t="n">
        <v>722</v>
      </c>
      <c r="BA725" t="n">
        <v>4572.22</v>
      </c>
      <c r="BB725" t="n">
        <v>4624.16</v>
      </c>
      <c r="BC725" t="n">
        <v>-51.94</v>
      </c>
      <c r="BD725" t="n">
        <v>2697.7605</v>
      </c>
      <c r="BE725" t="n">
        <v>521284</v>
      </c>
    </row>
    <row r="726">
      <c r="A726" t="n">
        <v>1777376702</v>
      </c>
      <c r="B726" t="inlineStr">
        <is>
          <t>XAUUSD</t>
        </is>
      </c>
      <c r="C726" t="inlineStr">
        <is>
          <t>M15</t>
        </is>
      </c>
      <c r="D726" t="n">
        <v>4562.88</v>
      </c>
      <c r="E726" t="n">
        <v>4518.59282</v>
      </c>
      <c r="F726" t="n">
        <v>4596.05595</v>
      </c>
      <c r="G726" t="n">
        <v>4755.40355</v>
      </c>
      <c r="H726" t="n">
        <v>4792.76972</v>
      </c>
      <c r="Q726" t="n">
        <v>4623.89237</v>
      </c>
      <c r="R726" t="n">
        <v>4653.25567</v>
      </c>
      <c r="S726" t="n">
        <v>4679.84444</v>
      </c>
      <c r="V726" t="n">
        <v>4588.9526</v>
      </c>
      <c r="W726" t="n">
        <v>4555.3876</v>
      </c>
      <c r="AB726" t="n">
        <v>4581.04163</v>
      </c>
      <c r="AC726" t="n">
        <v>4585.10153</v>
      </c>
      <c r="AD726" t="n">
        <v>0</v>
      </c>
      <c r="AK726" t="n">
        <v>724</v>
      </c>
      <c r="AL726" t="n">
        <v>723</v>
      </c>
      <c r="AM726" t="n">
        <v>4562.88</v>
      </c>
      <c r="AN726" t="n">
        <v>4623.8924</v>
      </c>
      <c r="AO726" t="n">
        <v>-61.0124</v>
      </c>
      <c r="AP726" t="n">
        <v>3722.5093</v>
      </c>
      <c r="AQ726" t="n">
        <v>-5.224795</v>
      </c>
      <c r="AR726" t="n">
        <v>9.066208</v>
      </c>
      <c r="AY726" t="n">
        <v>724</v>
      </c>
      <c r="AZ726" t="n">
        <v>723</v>
      </c>
      <c r="BA726" t="n">
        <v>4562.88</v>
      </c>
      <c r="BB726" t="n">
        <v>4623.8924</v>
      </c>
      <c r="BC726" t="n">
        <v>-61.0124</v>
      </c>
      <c r="BD726" t="n">
        <v>3722.5093</v>
      </c>
      <c r="BE726" t="n">
        <v>522729</v>
      </c>
    </row>
    <row r="727">
      <c r="A727" t="n">
        <v>1777377602</v>
      </c>
      <c r="B727" t="inlineStr">
        <is>
          <t>XAUUSD</t>
        </is>
      </c>
      <c r="C727" t="inlineStr">
        <is>
          <t>M15</t>
        </is>
      </c>
      <c r="D727" t="n">
        <v>4581.73</v>
      </c>
      <c r="E727" t="n">
        <v>4518.59282</v>
      </c>
      <c r="F727" t="n">
        <v>4596.05595</v>
      </c>
      <c r="G727" t="n">
        <v>4755.40355</v>
      </c>
      <c r="H727" t="n">
        <v>4792.76972</v>
      </c>
      <c r="Q727" t="n">
        <v>4623.62477</v>
      </c>
      <c r="R727" t="n">
        <v>4652.98807</v>
      </c>
      <c r="S727" t="n">
        <v>4679.57684</v>
      </c>
      <c r="V727" t="n">
        <v>4588.685</v>
      </c>
      <c r="W727" t="n">
        <v>4555.12</v>
      </c>
      <c r="AA727" t="n">
        <v>4555.12</v>
      </c>
      <c r="AB727" t="n">
        <v>4580.10103</v>
      </c>
      <c r="AC727" t="n">
        <v>4582.60128</v>
      </c>
      <c r="AD727" t="n">
        <v>0</v>
      </c>
      <c r="AK727" t="n">
        <v>725</v>
      </c>
      <c r="AL727" t="n">
        <v>724</v>
      </c>
      <c r="AM727" t="n">
        <v>4581.73</v>
      </c>
      <c r="AN727" t="n">
        <v>4623.6248</v>
      </c>
      <c r="AO727" t="n">
        <v>-41.8948</v>
      </c>
      <c r="AP727" t="n">
        <v>1755.1718</v>
      </c>
      <c r="AQ727" t="n">
        <v>-1.69159</v>
      </c>
      <c r="AR727" t="n">
        <v>2.015549</v>
      </c>
      <c r="AY727" t="n">
        <v>725</v>
      </c>
      <c r="AZ727" t="n">
        <v>724</v>
      </c>
      <c r="BA727" t="n">
        <v>4581.73</v>
      </c>
      <c r="BB727" t="n">
        <v>4623.6248</v>
      </c>
      <c r="BC727" t="n">
        <v>-41.8948</v>
      </c>
      <c r="BD727" t="n">
        <v>1755.1718</v>
      </c>
      <c r="BE727" t="n">
        <v>524176</v>
      </c>
    </row>
    <row r="728">
      <c r="A728" t="n">
        <v>1777378502</v>
      </c>
      <c r="B728" t="inlineStr">
        <is>
          <t>XAUUSD</t>
        </is>
      </c>
      <c r="C728" t="inlineStr">
        <is>
          <t>M15</t>
        </is>
      </c>
      <c r="D728" t="n">
        <v>4580.32</v>
      </c>
      <c r="E728" t="n">
        <v>4518.59282</v>
      </c>
      <c r="F728" t="n">
        <v>4596.05595</v>
      </c>
      <c r="G728" t="n">
        <v>4755.40355</v>
      </c>
      <c r="H728" t="n">
        <v>4792.76972</v>
      </c>
      <c r="Q728" t="n">
        <v>4623.35716</v>
      </c>
      <c r="R728" t="n">
        <v>4652.72046</v>
      </c>
      <c r="S728" t="n">
        <v>4679.30923</v>
      </c>
      <c r="V728" t="n">
        <v>4588.41739</v>
      </c>
      <c r="W728" t="n">
        <v>4554.8524</v>
      </c>
      <c r="AB728" t="n">
        <v>4580.39852</v>
      </c>
      <c r="AC728" t="n">
        <v>4581.4999</v>
      </c>
      <c r="AD728" t="n">
        <v>0</v>
      </c>
      <c r="AK728" t="n">
        <v>726</v>
      </c>
      <c r="AL728" t="n">
        <v>725</v>
      </c>
      <c r="AM728" t="n">
        <v>4580.32</v>
      </c>
      <c r="AN728" t="n">
        <v>4623.3572</v>
      </c>
      <c r="AO728" t="n">
        <v>-43.0372</v>
      </c>
      <c r="AP728" t="n">
        <v>1852.1971</v>
      </c>
      <c r="AQ728" t="n">
        <v>-1.833776</v>
      </c>
      <c r="AR728" t="n">
        <v>2.244546</v>
      </c>
      <c r="AY728" t="n">
        <v>726</v>
      </c>
      <c r="AZ728" t="n">
        <v>725</v>
      </c>
      <c r="BA728" t="n">
        <v>4580.32</v>
      </c>
      <c r="BB728" t="n">
        <v>4623.3572</v>
      </c>
      <c r="BC728" t="n">
        <v>-43.0372</v>
      </c>
      <c r="BD728" t="n">
        <v>1852.1971</v>
      </c>
      <c r="BE728" t="n">
        <v>525625</v>
      </c>
    </row>
    <row r="729">
      <c r="A729" t="n">
        <v>1777379402</v>
      </c>
      <c r="B729" t="inlineStr">
        <is>
          <t>XAUUSD</t>
        </is>
      </c>
      <c r="C729" t="inlineStr">
        <is>
          <t>M15</t>
        </is>
      </c>
      <c r="D729" t="n">
        <v>4586.96</v>
      </c>
      <c r="E729" t="n">
        <v>4518.59282</v>
      </c>
      <c r="F729" t="n">
        <v>4596.05595</v>
      </c>
      <c r="G729" t="n">
        <v>4755.40355</v>
      </c>
      <c r="H729" t="n">
        <v>4792.76972</v>
      </c>
      <c r="Q729" t="n">
        <v>4623.08956</v>
      </c>
      <c r="R729" t="n">
        <v>4652.45286</v>
      </c>
      <c r="S729" t="n">
        <v>4679.04163</v>
      </c>
      <c r="V729" t="n">
        <v>4588.14979</v>
      </c>
      <c r="W729" t="n">
        <v>4554.58479</v>
      </c>
      <c r="AB729" t="n">
        <v>4581.38091</v>
      </c>
      <c r="AC729" t="n">
        <v>4581.44041</v>
      </c>
      <c r="AD729" t="n">
        <v>0</v>
      </c>
      <c r="AK729" t="n">
        <v>727</v>
      </c>
      <c r="AL729" t="n">
        <v>726</v>
      </c>
      <c r="AM729" t="n">
        <v>4586.96</v>
      </c>
      <c r="AN729" t="n">
        <v>4623.0896</v>
      </c>
      <c r="AO729" t="n">
        <v>-36.1296</v>
      </c>
      <c r="AP729" t="n">
        <v>1305.3451</v>
      </c>
      <c r="AQ729" t="n">
        <v>-1.084935</v>
      </c>
      <c r="AR729" t="n">
        <v>1.11482</v>
      </c>
      <c r="AY729" t="n">
        <v>727</v>
      </c>
      <c r="AZ729" t="n">
        <v>726</v>
      </c>
      <c r="BA729" t="n">
        <v>4586.96</v>
      </c>
      <c r="BB729" t="n">
        <v>4623.0896</v>
      </c>
      <c r="BC729" t="n">
        <v>-36.1296</v>
      </c>
      <c r="BD729" t="n">
        <v>1305.3451</v>
      </c>
      <c r="BE729" t="n">
        <v>527076</v>
      </c>
    </row>
    <row r="730">
      <c r="A730" t="n">
        <v>1777380302</v>
      </c>
      <c r="B730" t="inlineStr">
        <is>
          <t>XAUUSD</t>
        </is>
      </c>
      <c r="C730" t="inlineStr">
        <is>
          <t>M15</t>
        </is>
      </c>
      <c r="D730" t="n">
        <v>4593.98</v>
      </c>
      <c r="E730" t="n">
        <v>4518.59282</v>
      </c>
      <c r="F730" t="n">
        <v>4596.05595</v>
      </c>
      <c r="G730" t="n">
        <v>4755.40355</v>
      </c>
      <c r="H730" t="n">
        <v>4792.76972</v>
      </c>
      <c r="Q730" t="n">
        <v>4622.82195</v>
      </c>
      <c r="R730" t="n">
        <v>4652.18525</v>
      </c>
      <c r="S730" t="n">
        <v>4678.77402</v>
      </c>
      <c r="V730" t="n">
        <v>4587.88218</v>
      </c>
      <c r="W730" t="n">
        <v>4554.31719</v>
      </c>
      <c r="AB730" t="n">
        <v>4582.21723</v>
      </c>
      <c r="AC730" t="n">
        <v>4581.82882</v>
      </c>
      <c r="AD730" t="n">
        <v>1</v>
      </c>
      <c r="AK730" t="n">
        <v>728</v>
      </c>
      <c r="AL730" t="n">
        <v>727</v>
      </c>
      <c r="AM730" t="n">
        <v>4593.98</v>
      </c>
      <c r="AN730" t="n">
        <v>4622.8219</v>
      </c>
      <c r="AO730" t="n">
        <v>-28.842</v>
      </c>
      <c r="AP730" t="n">
        <v>831.8581</v>
      </c>
      <c r="AQ730" t="n">
        <v>-0.551937</v>
      </c>
      <c r="AR730" t="n">
        <v>0.452744</v>
      </c>
      <c r="AY730" t="n">
        <v>728</v>
      </c>
      <c r="AZ730" t="n">
        <v>727</v>
      </c>
      <c r="BA730" t="n">
        <v>4593.98</v>
      </c>
      <c r="BB730" t="n">
        <v>4622.8219</v>
      </c>
      <c r="BC730" t="n">
        <v>-28.842</v>
      </c>
      <c r="BD730" t="n">
        <v>831.8581</v>
      </c>
      <c r="BE730" t="n">
        <v>528529</v>
      </c>
    </row>
    <row r="731">
      <c r="A731" t="n">
        <v>1777381202</v>
      </c>
      <c r="B731" t="inlineStr">
        <is>
          <t>XAUUSD</t>
        </is>
      </c>
      <c r="C731" t="inlineStr">
        <is>
          <t>M15</t>
        </is>
      </c>
      <c r="D731" t="n">
        <v>4576.38</v>
      </c>
      <c r="E731" t="n">
        <v>4518.59282</v>
      </c>
      <c r="F731" t="n">
        <v>4596.05595</v>
      </c>
      <c r="G731" t="n">
        <v>4755.40355</v>
      </c>
      <c r="H731" t="n">
        <v>4792.76972</v>
      </c>
      <c r="Q731" t="n">
        <v>4622.55435</v>
      </c>
      <c r="R731" t="n">
        <v>4651.91765</v>
      </c>
      <c r="S731" t="n">
        <v>4678.50642</v>
      </c>
      <c r="V731" t="n">
        <v>4587.61458</v>
      </c>
      <c r="W731" t="n">
        <v>4554.04958</v>
      </c>
      <c r="AB731" t="n">
        <v>4582.15195</v>
      </c>
      <c r="AC731" t="n">
        <v>4581.99039</v>
      </c>
      <c r="AD731" t="n">
        <v>0</v>
      </c>
      <c r="AK731" t="n">
        <v>729</v>
      </c>
      <c r="AL731" t="n">
        <v>728</v>
      </c>
      <c r="AM731" t="n">
        <v>4576.38</v>
      </c>
      <c r="AN731" t="n">
        <v>4622.5544</v>
      </c>
      <c r="AO731" t="n">
        <v>-46.1744</v>
      </c>
      <c r="AP731" t="n">
        <v>2132.0706</v>
      </c>
      <c r="AQ731" t="n">
        <v>-2.264738</v>
      </c>
      <c r="AR731" t="n">
        <v>2.974112</v>
      </c>
      <c r="AY731" t="n">
        <v>729</v>
      </c>
      <c r="AZ731" t="n">
        <v>728</v>
      </c>
      <c r="BA731" t="n">
        <v>4576.38</v>
      </c>
      <c r="BB731" t="n">
        <v>4622.5544</v>
      </c>
      <c r="BC731" t="n">
        <v>-46.1744</v>
      </c>
      <c r="BD731" t="n">
        <v>2132.0706</v>
      </c>
      <c r="BE731" t="n">
        <v>529984</v>
      </c>
    </row>
    <row r="732">
      <c r="A732" t="n">
        <v>1777382102</v>
      </c>
      <c r="B732" t="inlineStr">
        <is>
          <t>XAUUSD</t>
        </is>
      </c>
      <c r="C732" t="inlineStr">
        <is>
          <t>M15</t>
        </is>
      </c>
      <c r="D732" t="n">
        <v>4581.88</v>
      </c>
      <c r="E732" t="n">
        <v>4518.59282</v>
      </c>
      <c r="F732" t="n">
        <v>4596.05595</v>
      </c>
      <c r="G732" t="n">
        <v>4755.40355</v>
      </c>
      <c r="H732" t="n">
        <v>4792.76972</v>
      </c>
      <c r="Q732" t="n">
        <v>4622.28675</v>
      </c>
      <c r="R732" t="n">
        <v>4651.65004</v>
      </c>
      <c r="S732" t="n">
        <v>4678.23882</v>
      </c>
      <c r="V732" t="n">
        <v>4587.34698</v>
      </c>
      <c r="W732" t="n">
        <v>4553.78198</v>
      </c>
      <c r="AB732" t="n">
        <v>4581.40125</v>
      </c>
      <c r="AC732" t="n">
        <v>4581.69582</v>
      </c>
      <c r="AD732" t="n">
        <v>1</v>
      </c>
      <c r="AK732" t="n">
        <v>730</v>
      </c>
      <c r="AL732" t="n">
        <v>729</v>
      </c>
      <c r="AM732" t="n">
        <v>4581.88</v>
      </c>
      <c r="AN732" t="n">
        <v>4622.2868</v>
      </c>
      <c r="AO732" t="n">
        <v>-40.4068</v>
      </c>
      <c r="AP732" t="n">
        <v>1632.7054</v>
      </c>
      <c r="AQ732" t="n">
        <v>-1.51767</v>
      </c>
      <c r="AR732" t="n">
        <v>1.744094</v>
      </c>
      <c r="AY732" t="n">
        <v>730</v>
      </c>
      <c r="AZ732" t="n">
        <v>729</v>
      </c>
      <c r="BA732" t="n">
        <v>4581.88</v>
      </c>
      <c r="BB732" t="n">
        <v>4622.2868</v>
      </c>
      <c r="BC732" t="n">
        <v>-40.4068</v>
      </c>
      <c r="BD732" t="n">
        <v>1632.7054</v>
      </c>
      <c r="BE732" t="n">
        <v>531441</v>
      </c>
    </row>
    <row r="733">
      <c r="A733" t="n">
        <v>1777383002</v>
      </c>
      <c r="B733" t="inlineStr">
        <is>
          <t>XAUUSD</t>
        </is>
      </c>
      <c r="C733" t="inlineStr">
        <is>
          <t>M15</t>
        </is>
      </c>
      <c r="D733" t="n">
        <v>4581.73</v>
      </c>
      <c r="E733" t="n">
        <v>4518.59282</v>
      </c>
      <c r="F733" t="n">
        <v>4596.05595</v>
      </c>
      <c r="G733" t="n">
        <v>4755.40355</v>
      </c>
      <c r="H733" t="n">
        <v>4792.76972</v>
      </c>
      <c r="Q733" t="n">
        <v>4622.01914</v>
      </c>
      <c r="R733" t="n">
        <v>4651.38244</v>
      </c>
      <c r="S733" t="n">
        <v>4677.97121</v>
      </c>
      <c r="V733" t="n">
        <v>4587.07937</v>
      </c>
      <c r="W733" t="n">
        <v>4553.51438</v>
      </c>
      <c r="AB733" t="n">
        <v>4579.72713</v>
      </c>
      <c r="AC733" t="n">
        <v>4580.71147</v>
      </c>
      <c r="AD733" t="n">
        <v>0</v>
      </c>
      <c r="AK733" t="n">
        <v>731</v>
      </c>
      <c r="AL733" t="n">
        <v>730</v>
      </c>
      <c r="AM733" t="n">
        <v>4581.73</v>
      </c>
      <c r="AN733" t="n">
        <v>4622.0191</v>
      </c>
      <c r="AO733" t="n">
        <v>-40.2891</v>
      </c>
      <c r="AP733" t="n">
        <v>1623.2148</v>
      </c>
      <c r="AQ733" t="n">
        <v>-1.504456</v>
      </c>
      <c r="AR733" t="n">
        <v>1.723876</v>
      </c>
      <c r="AY733" t="n">
        <v>731</v>
      </c>
      <c r="AZ733" t="n">
        <v>730</v>
      </c>
      <c r="BA733" t="n">
        <v>4581.73</v>
      </c>
      <c r="BB733" t="n">
        <v>4622.0191</v>
      </c>
      <c r="BC733" t="n">
        <v>-40.2891</v>
      </c>
      <c r="BD733" t="n">
        <v>1623.2148</v>
      </c>
      <c r="BE733" t="n">
        <v>532900</v>
      </c>
    </row>
    <row r="734">
      <c r="A734" t="n">
        <v>1777383902</v>
      </c>
      <c r="B734" t="inlineStr">
        <is>
          <t>XAUUSD</t>
        </is>
      </c>
      <c r="C734" t="inlineStr">
        <is>
          <t>M15</t>
        </is>
      </c>
      <c r="D734" t="n">
        <v>4580.32</v>
      </c>
      <c r="E734" t="n">
        <v>4518.59282</v>
      </c>
      <c r="F734" t="n">
        <v>4596.05595</v>
      </c>
      <c r="G734" t="n">
        <v>4755.40355</v>
      </c>
      <c r="H734" t="n">
        <v>4792.76972</v>
      </c>
      <c r="Q734" t="n">
        <v>4621.75154</v>
      </c>
      <c r="R734" t="n">
        <v>4651.11484</v>
      </c>
      <c r="S734" t="n">
        <v>4677.70361</v>
      </c>
      <c r="V734" t="n">
        <v>4586.81177</v>
      </c>
      <c r="W734" t="n">
        <v>4553.24677</v>
      </c>
      <c r="AB734" t="n">
        <v>4577.2993</v>
      </c>
      <c r="AC734" t="n">
        <v>4579.00539</v>
      </c>
      <c r="AD734" t="n">
        <v>0</v>
      </c>
      <c r="AK734" t="n">
        <v>732</v>
      </c>
      <c r="AL734" t="n">
        <v>731</v>
      </c>
      <c r="AM734" t="n">
        <v>4580.32</v>
      </c>
      <c r="AN734" t="n">
        <v>4621.7515</v>
      </c>
      <c r="AO734" t="n">
        <v>-41.4315</v>
      </c>
      <c r="AP734" t="n">
        <v>1716.5725</v>
      </c>
      <c r="AQ734" t="n">
        <v>-1.636096</v>
      </c>
      <c r="AR734" t="n">
        <v>1.927873</v>
      </c>
      <c r="AY734" t="n">
        <v>732</v>
      </c>
      <c r="AZ734" t="n">
        <v>731</v>
      </c>
      <c r="BA734" t="n">
        <v>4580.32</v>
      </c>
      <c r="BB734" t="n">
        <v>4621.7515</v>
      </c>
      <c r="BC734" t="n">
        <v>-41.4315</v>
      </c>
      <c r="BD734" t="n">
        <v>1716.5725</v>
      </c>
      <c r="BE734" t="n">
        <v>534361</v>
      </c>
    </row>
    <row r="735">
      <c r="A735" t="n">
        <v>1777384802</v>
      </c>
      <c r="B735" t="inlineStr">
        <is>
          <t>XAUUSD</t>
        </is>
      </c>
      <c r="C735" t="inlineStr">
        <is>
          <t>M15</t>
        </is>
      </c>
      <c r="D735" t="n">
        <v>4568.29</v>
      </c>
      <c r="E735" t="n">
        <v>4518.59282</v>
      </c>
      <c r="F735" t="n">
        <v>4596.05595</v>
      </c>
      <c r="G735" t="n">
        <v>4755.40355</v>
      </c>
      <c r="H735" t="n">
        <v>4792.76972</v>
      </c>
      <c r="Q735" t="n">
        <v>4621.48393</v>
      </c>
      <c r="R735" t="n">
        <v>4650.84723</v>
      </c>
      <c r="S735" t="n">
        <v>4677.436</v>
      </c>
      <c r="V735" t="n">
        <v>4586.54416</v>
      </c>
      <c r="W735" t="n">
        <v>4552.97917</v>
      </c>
      <c r="AB735" t="n">
        <v>4574.57242</v>
      </c>
      <c r="AC735" t="n">
        <v>4576.7889</v>
      </c>
      <c r="AD735" t="n">
        <v>0</v>
      </c>
      <c r="AK735" t="n">
        <v>733</v>
      </c>
      <c r="AL735" t="n">
        <v>732</v>
      </c>
      <c r="AM735" t="n">
        <v>4568.29</v>
      </c>
      <c r="AN735" t="n">
        <v>4621.4839</v>
      </c>
      <c r="AO735" t="n">
        <v>-53.1939</v>
      </c>
      <c r="AP735" t="n">
        <v>2829.5942</v>
      </c>
      <c r="AQ735" t="n">
        <v>-3.462596</v>
      </c>
      <c r="AR735" t="n">
        <v>5.238445</v>
      </c>
      <c r="AY735" t="n">
        <v>733</v>
      </c>
      <c r="AZ735" t="n">
        <v>732</v>
      </c>
      <c r="BA735" t="n">
        <v>4568.29</v>
      </c>
      <c r="BB735" t="n">
        <v>4621.4839</v>
      </c>
      <c r="BC735" t="n">
        <v>-53.1939</v>
      </c>
      <c r="BD735" t="n">
        <v>2829.5942</v>
      </c>
      <c r="BE735" t="n">
        <v>535824</v>
      </c>
    </row>
    <row r="736">
      <c r="A736" t="n">
        <v>1777385702</v>
      </c>
      <c r="B736" t="inlineStr">
        <is>
          <t>XAUUSD</t>
        </is>
      </c>
      <c r="C736" t="inlineStr">
        <is>
          <t>M15</t>
        </is>
      </c>
      <c r="D736" t="n">
        <v>4571.47</v>
      </c>
      <c r="E736" t="n">
        <v>4518.59282</v>
      </c>
      <c r="F736" t="n">
        <v>4596.05595</v>
      </c>
      <c r="G736" t="n">
        <v>4755.40355</v>
      </c>
      <c r="H736" t="n">
        <v>4792.76972</v>
      </c>
      <c r="Q736" t="n">
        <v>4621.21633</v>
      </c>
      <c r="R736" t="n">
        <v>4650.57963</v>
      </c>
      <c r="S736" t="n">
        <v>4677.1684</v>
      </c>
      <c r="V736" t="n">
        <v>4586.27656</v>
      </c>
      <c r="W736" t="n">
        <v>4552.71156</v>
      </c>
      <c r="AB736" t="n">
        <v>4572.38139</v>
      </c>
      <c r="AC736" t="n">
        <v>4574.58514</v>
      </c>
      <c r="AD736" t="n">
        <v>0</v>
      </c>
      <c r="AK736" t="n">
        <v>734</v>
      </c>
      <c r="AL736" t="n">
        <v>733</v>
      </c>
      <c r="AM736" t="n">
        <v>4571.47</v>
      </c>
      <c r="AN736" t="n">
        <v>4621.2163</v>
      </c>
      <c r="AO736" t="n">
        <v>-49.7463</v>
      </c>
      <c r="AP736" t="n">
        <v>2474.6973</v>
      </c>
      <c r="AQ736" t="n">
        <v>-2.832036</v>
      </c>
      <c r="AR736" t="n">
        <v>4.006806</v>
      </c>
      <c r="AY736" t="n">
        <v>734</v>
      </c>
      <c r="AZ736" t="n">
        <v>733</v>
      </c>
      <c r="BA736" t="n">
        <v>4571.47</v>
      </c>
      <c r="BB736" t="n">
        <v>4621.2163</v>
      </c>
      <c r="BC736" t="n">
        <v>-49.7463</v>
      </c>
      <c r="BD736" t="n">
        <v>2474.6973</v>
      </c>
      <c r="BE736" t="n">
        <v>537289</v>
      </c>
    </row>
    <row r="737">
      <c r="A737" t="n">
        <v>1777386602</v>
      </c>
      <c r="B737" t="inlineStr">
        <is>
          <t>XAUUSD</t>
        </is>
      </c>
      <c r="C737" t="inlineStr">
        <is>
          <t>M15</t>
        </is>
      </c>
      <c r="D737" t="n">
        <v>4564.18</v>
      </c>
      <c r="E737" t="n">
        <v>4518.59282</v>
      </c>
      <c r="F737" t="n">
        <v>4596.05595</v>
      </c>
      <c r="G737" t="n">
        <v>4755.40355</v>
      </c>
      <c r="H737" t="n">
        <v>4792.76972</v>
      </c>
      <c r="Q737" t="n">
        <v>4620.94873</v>
      </c>
      <c r="R737" t="n">
        <v>4650.31202</v>
      </c>
      <c r="S737" t="n">
        <v>4676.9008</v>
      </c>
      <c r="V737" t="n">
        <v>4586.00896</v>
      </c>
      <c r="W737" t="n">
        <v>4552.44396</v>
      </c>
      <c r="AB737" t="n">
        <v>4571.0868</v>
      </c>
      <c r="AC737" t="n">
        <v>4572.83597</v>
      </c>
      <c r="AD737" t="n">
        <v>0</v>
      </c>
      <c r="AK737" t="n">
        <v>735</v>
      </c>
      <c r="AL737" t="n">
        <v>734</v>
      </c>
      <c r="AM737" t="n">
        <v>4564.18</v>
      </c>
      <c r="AN737" t="n">
        <v>4620.9487</v>
      </c>
      <c r="AO737" t="n">
        <v>-56.7687</v>
      </c>
      <c r="AP737" t="n">
        <v>3222.6887</v>
      </c>
      <c r="AQ737" t="n">
        <v>-4.208653</v>
      </c>
      <c r="AR737" t="n">
        <v>6.795021</v>
      </c>
      <c r="AY737" t="n">
        <v>735</v>
      </c>
      <c r="AZ737" t="n">
        <v>734</v>
      </c>
      <c r="BA737" t="n">
        <v>4564.18</v>
      </c>
      <c r="BB737" t="n">
        <v>4620.9487</v>
      </c>
      <c r="BC737" t="n">
        <v>-56.7687</v>
      </c>
      <c r="BD737" t="n">
        <v>3222.6887</v>
      </c>
      <c r="BE737" t="n">
        <v>538756</v>
      </c>
    </row>
    <row r="738">
      <c r="A738" t="n">
        <v>1777387502</v>
      </c>
      <c r="B738" t="inlineStr">
        <is>
          <t>XAUUSD</t>
        </is>
      </c>
      <c r="C738" t="inlineStr">
        <is>
          <t>M15</t>
        </is>
      </c>
      <c r="D738" t="n">
        <v>4574.6</v>
      </c>
      <c r="E738" t="n">
        <v>4518.59282</v>
      </c>
      <c r="F738" t="n">
        <v>4596.05595</v>
      </c>
      <c r="G738" t="n">
        <v>4755.40355</v>
      </c>
      <c r="H738" t="n">
        <v>4792.76972</v>
      </c>
      <c r="Q738" t="n">
        <v>4620.68112</v>
      </c>
      <c r="R738" t="n">
        <v>4650.04442</v>
      </c>
      <c r="S738" t="n">
        <v>4676.63319</v>
      </c>
      <c r="V738" t="n">
        <v>4585.74135</v>
      </c>
      <c r="W738" t="n">
        <v>4552.17636</v>
      </c>
      <c r="AB738" t="n">
        <v>4571.16203</v>
      </c>
      <c r="AC738" t="n">
        <v>4571.999</v>
      </c>
      <c r="AD738" t="n">
        <v>0</v>
      </c>
      <c r="AK738" t="n">
        <v>736</v>
      </c>
      <c r="AL738" t="n">
        <v>735</v>
      </c>
      <c r="AM738" t="n">
        <v>4574.6</v>
      </c>
      <c r="AN738" t="n">
        <v>4620.6811</v>
      </c>
      <c r="AO738" t="n">
        <v>-46.0811</v>
      </c>
      <c r="AP738" t="n">
        <v>2123.4696</v>
      </c>
      <c r="AQ738" t="n">
        <v>-2.251048</v>
      </c>
      <c r="AR738" t="n">
        <v>2.950164</v>
      </c>
      <c r="AY738" t="n">
        <v>736</v>
      </c>
      <c r="AZ738" t="n">
        <v>735</v>
      </c>
      <c r="BA738" t="n">
        <v>4574.6</v>
      </c>
      <c r="BB738" t="n">
        <v>4620.6811</v>
      </c>
      <c r="BC738" t="n">
        <v>-46.0811</v>
      </c>
      <c r="BD738" t="n">
        <v>2123.4696</v>
      </c>
      <c r="BE738" t="n">
        <v>540225</v>
      </c>
    </row>
    <row r="739">
      <c r="A739" t="n">
        <v>1777388402</v>
      </c>
      <c r="B739" t="inlineStr">
        <is>
          <t>XAUUSD</t>
        </is>
      </c>
      <c r="C739" t="inlineStr">
        <is>
          <t>M15</t>
        </is>
      </c>
      <c r="D739" t="n">
        <v>4572.73</v>
      </c>
      <c r="E739" t="n">
        <v>4518.59282</v>
      </c>
      <c r="F739" t="n">
        <v>4596.05595</v>
      </c>
      <c r="G739" t="n">
        <v>4755.40355</v>
      </c>
      <c r="H739" t="n">
        <v>4792.76972</v>
      </c>
      <c r="Q739" t="n">
        <v>4620.41352</v>
      </c>
      <c r="R739" t="n">
        <v>4649.77682</v>
      </c>
      <c r="S739" t="n">
        <v>4676.36559</v>
      </c>
      <c r="V739" t="n">
        <v>4585.47375</v>
      </c>
      <c r="W739" t="n">
        <v>4551.90875</v>
      </c>
      <c r="AB739" t="n">
        <v>4572.38749</v>
      </c>
      <c r="AC739" t="n">
        <v>4572.19325</v>
      </c>
      <c r="AD739" t="n">
        <v>1</v>
      </c>
      <c r="AK739" t="n">
        <v>737</v>
      </c>
      <c r="AL739" t="n">
        <v>736</v>
      </c>
      <c r="AM739" t="n">
        <v>4572.73</v>
      </c>
      <c r="AN739" t="n">
        <v>4620.4135</v>
      </c>
      <c r="AO739" t="n">
        <v>-47.6835</v>
      </c>
      <c r="AP739" t="n">
        <v>2273.7181</v>
      </c>
      <c r="AQ739" t="n">
        <v>-2.494138</v>
      </c>
      <c r="AR739" t="n">
        <v>3.382419</v>
      </c>
      <c r="AY739" t="n">
        <v>737</v>
      </c>
      <c r="AZ739" t="n">
        <v>736</v>
      </c>
      <c r="BA739" t="n">
        <v>4572.73</v>
      </c>
      <c r="BB739" t="n">
        <v>4620.4135</v>
      </c>
      <c r="BC739" t="n">
        <v>-47.6835</v>
      </c>
      <c r="BD739" t="n">
        <v>2273.7181</v>
      </c>
      <c r="BE739" t="n">
        <v>541696</v>
      </c>
    </row>
    <row r="740">
      <c r="A740" t="n">
        <v>1777389302</v>
      </c>
      <c r="B740" t="inlineStr">
        <is>
          <t>XAUUSD</t>
        </is>
      </c>
      <c r="C740" t="inlineStr">
        <is>
          <t>M15</t>
        </is>
      </c>
      <c r="D740" t="n">
        <v>4577.09</v>
      </c>
      <c r="E740" t="n">
        <v>4518.59282</v>
      </c>
      <c r="F740" t="n">
        <v>4596.05595</v>
      </c>
      <c r="G740" t="n">
        <v>4755.40355</v>
      </c>
      <c r="H740" t="n">
        <v>4792.76972</v>
      </c>
      <c r="Q740" t="n">
        <v>4620.14591</v>
      </c>
      <c r="R740" t="n">
        <v>4649.50921</v>
      </c>
      <c r="S740" t="n">
        <v>4676.09798</v>
      </c>
      <c r="V740" t="n">
        <v>4585.20614</v>
      </c>
      <c r="W740" t="n">
        <v>4551.64115</v>
      </c>
      <c r="AB740" t="n">
        <v>4574.68829</v>
      </c>
      <c r="AC740" t="n">
        <v>4573.44077</v>
      </c>
      <c r="AD740" t="n">
        <v>0</v>
      </c>
      <c r="AK740" t="n">
        <v>738</v>
      </c>
      <c r="AL740" t="n">
        <v>737</v>
      </c>
      <c r="AM740" t="n">
        <v>4577.09</v>
      </c>
      <c r="AN740" t="n">
        <v>4620.1459</v>
      </c>
      <c r="AO740" t="n">
        <v>-43.0559</v>
      </c>
      <c r="AP740" t="n">
        <v>1853.8114</v>
      </c>
      <c r="AQ740" t="n">
        <v>-1.836174</v>
      </c>
      <c r="AR740" t="n">
        <v>2.24846</v>
      </c>
      <c r="AY740" t="n">
        <v>738</v>
      </c>
      <c r="AZ740" t="n">
        <v>737</v>
      </c>
      <c r="BA740" t="n">
        <v>4577.09</v>
      </c>
      <c r="BB740" t="n">
        <v>4620.1459</v>
      </c>
      <c r="BC740" t="n">
        <v>-43.0559</v>
      </c>
      <c r="BD740" t="n">
        <v>1853.8114</v>
      </c>
      <c r="BE740" t="n">
        <v>543169</v>
      </c>
    </row>
    <row r="741">
      <c r="A741" t="n">
        <v>1777390202</v>
      </c>
      <c r="B741" t="inlineStr">
        <is>
          <t>XAUUSD</t>
        </is>
      </c>
      <c r="C741" t="inlineStr">
        <is>
          <t>M15</t>
        </is>
      </c>
      <c r="D741" t="n">
        <v>4577.82</v>
      </c>
      <c r="E741" t="n">
        <v>4518.59282</v>
      </c>
      <c r="F741" t="n">
        <v>4596.05595</v>
      </c>
      <c r="G741" t="n">
        <v>4755.40355</v>
      </c>
      <c r="H741" t="n">
        <v>4792.76972</v>
      </c>
      <c r="Q741" t="n">
        <v>4619.87831</v>
      </c>
      <c r="R741" t="n">
        <v>4649.24161</v>
      </c>
      <c r="S741" t="n">
        <v>4675.83038</v>
      </c>
      <c r="V741" t="n">
        <v>4584.93854</v>
      </c>
      <c r="W741" t="n">
        <v>4551.37354</v>
      </c>
      <c r="AB741" t="n">
        <v>4577.66755</v>
      </c>
      <c r="AC741" t="n">
        <v>4575.55416</v>
      </c>
      <c r="AD741" t="n">
        <v>0</v>
      </c>
      <c r="AK741" t="n">
        <v>739</v>
      </c>
      <c r="AL741" t="n">
        <v>738</v>
      </c>
      <c r="AM741" t="n">
        <v>4577.82</v>
      </c>
      <c r="AN741" t="n">
        <v>4619.8783</v>
      </c>
      <c r="AO741" t="n">
        <v>-42.0583</v>
      </c>
      <c r="AP741" t="n">
        <v>1768.9014</v>
      </c>
      <c r="AQ741" t="n">
        <v>-1.711477</v>
      </c>
      <c r="AR741" t="n">
        <v>2.047205</v>
      </c>
      <c r="AY741" t="n">
        <v>739</v>
      </c>
      <c r="AZ741" t="n">
        <v>738</v>
      </c>
      <c r="BA741" t="n">
        <v>4577.82</v>
      </c>
      <c r="BB741" t="n">
        <v>4619.8783</v>
      </c>
      <c r="BC741" t="n">
        <v>-42.0583</v>
      </c>
      <c r="BD741" t="n">
        <v>1768.9014</v>
      </c>
      <c r="BE741" t="n">
        <v>544644</v>
      </c>
    </row>
    <row r="742">
      <c r="A742" t="n">
        <v>1777391102</v>
      </c>
      <c r="B742" t="inlineStr">
        <is>
          <t>XAUUSD</t>
        </is>
      </c>
      <c r="C742" t="inlineStr">
        <is>
          <t>M15</t>
        </is>
      </c>
      <c r="D742" t="n">
        <v>4586.48</v>
      </c>
      <c r="E742" t="n">
        <v>4518.59282</v>
      </c>
      <c r="F742" t="n">
        <v>4596.05595</v>
      </c>
      <c r="G742" t="n">
        <v>4755.40355</v>
      </c>
      <c r="H742" t="n">
        <v>4792.76972</v>
      </c>
      <c r="Q742" t="n">
        <v>4619.61071</v>
      </c>
      <c r="R742" t="n">
        <v>4648.974</v>
      </c>
      <c r="S742" t="n">
        <v>4675.56277</v>
      </c>
      <c r="V742" t="n">
        <v>4584.67093</v>
      </c>
      <c r="W742" t="n">
        <v>4551.10594</v>
      </c>
      <c r="AB742" t="n">
        <v>4580.99315</v>
      </c>
      <c r="AC742" t="n">
        <v>4578.27365</v>
      </c>
      <c r="AD742" t="n">
        <v>0</v>
      </c>
      <c r="AK742" t="n">
        <v>740</v>
      </c>
      <c r="AL742" t="n">
        <v>739</v>
      </c>
      <c r="AM742" t="n">
        <v>4586.48</v>
      </c>
      <c r="AN742" t="n">
        <v>4619.6107</v>
      </c>
      <c r="AO742" t="n">
        <v>-33.1307</v>
      </c>
      <c r="AP742" t="n">
        <v>1097.6439</v>
      </c>
      <c r="AQ742" t="n">
        <v>-0.836581</v>
      </c>
      <c r="AR742" t="n">
        <v>0.788274</v>
      </c>
      <c r="AY742" t="n">
        <v>740</v>
      </c>
      <c r="AZ742" t="n">
        <v>739</v>
      </c>
      <c r="BA742" t="n">
        <v>4586.48</v>
      </c>
      <c r="BB742" t="n">
        <v>4619.6107</v>
      </c>
      <c r="BC742" t="n">
        <v>-33.1307</v>
      </c>
      <c r="BD742" t="n">
        <v>1097.6439</v>
      </c>
      <c r="BE742" t="n">
        <v>546121</v>
      </c>
    </row>
    <row r="743">
      <c r="A743" t="n">
        <v>1777392002</v>
      </c>
      <c r="B743" t="inlineStr">
        <is>
          <t>XAUUSD</t>
        </is>
      </c>
      <c r="C743" t="inlineStr">
        <is>
          <t>M15</t>
        </is>
      </c>
      <c r="D743" t="n">
        <v>4585.4</v>
      </c>
      <c r="E743" t="n">
        <v>4518.59282</v>
      </c>
      <c r="F743" t="n">
        <v>4596.05595</v>
      </c>
      <c r="G743" t="n">
        <v>4755.40355</v>
      </c>
      <c r="H743" t="n">
        <v>4792.76972</v>
      </c>
      <c r="Q743" t="n">
        <v>4619.3431</v>
      </c>
      <c r="R743" t="n">
        <v>4648.7064</v>
      </c>
      <c r="S743" t="n">
        <v>4675.29517</v>
      </c>
      <c r="V743" t="n">
        <v>4584.40333</v>
      </c>
      <c r="W743" t="n">
        <v>4550.83833</v>
      </c>
      <c r="AB743" t="n">
        <v>4584.14834</v>
      </c>
      <c r="AC743" t="n">
        <v>4581.211</v>
      </c>
      <c r="AD743" t="n">
        <v>0</v>
      </c>
      <c r="AK743" t="n">
        <v>741</v>
      </c>
      <c r="AL743" t="n">
        <v>740</v>
      </c>
      <c r="AM743" t="n">
        <v>4585.4</v>
      </c>
      <c r="AN743" t="n">
        <v>4619.3431</v>
      </c>
      <c r="AO743" t="n">
        <v>-33.9431</v>
      </c>
      <c r="AP743" t="n">
        <v>1152.134</v>
      </c>
      <c r="AQ743" t="n">
        <v>-0.899643</v>
      </c>
      <c r="AR743" t="n">
        <v>0.8684809999999999</v>
      </c>
      <c r="AY743" t="n">
        <v>741</v>
      </c>
      <c r="AZ743" t="n">
        <v>740</v>
      </c>
      <c r="BA743" t="n">
        <v>4585.4</v>
      </c>
      <c r="BB743" t="n">
        <v>4619.3431</v>
      </c>
      <c r="BC743" t="n">
        <v>-33.9431</v>
      </c>
      <c r="BD743" t="n">
        <v>1152.134</v>
      </c>
      <c r="BE743" t="n">
        <v>547600</v>
      </c>
    </row>
    <row r="744">
      <c r="A744" t="n">
        <v>1777392902</v>
      </c>
      <c r="B744" t="inlineStr">
        <is>
          <t>XAUUSD</t>
        </is>
      </c>
      <c r="C744" t="inlineStr">
        <is>
          <t>M15</t>
        </is>
      </c>
      <c r="D744" t="n">
        <v>4582.74</v>
      </c>
      <c r="E744" t="n">
        <v>4518.59282</v>
      </c>
      <c r="F744" t="n">
        <v>4596.05595</v>
      </c>
      <c r="G744" t="n">
        <v>4755.40355</v>
      </c>
      <c r="H744" t="n">
        <v>4792.76972</v>
      </c>
      <c r="Q744" t="n">
        <v>4619.0755</v>
      </c>
      <c r="R744" t="n">
        <v>4648.4388</v>
      </c>
      <c r="S744" t="n">
        <v>4675.02757</v>
      </c>
      <c r="V744" t="n">
        <v>4584.13573</v>
      </c>
      <c r="W744" t="n">
        <v>4550.57073</v>
      </c>
      <c r="AB744" t="n">
        <v>4586.97025</v>
      </c>
      <c r="AC744" t="n">
        <v>4584.09063</v>
      </c>
      <c r="AD744" t="n">
        <v>0</v>
      </c>
      <c r="AK744" t="n">
        <v>742</v>
      </c>
      <c r="AL744" t="n">
        <v>741</v>
      </c>
      <c r="AM744" t="n">
        <v>4582.74</v>
      </c>
      <c r="AN744" t="n">
        <v>4619.0755</v>
      </c>
      <c r="AO744" t="n">
        <v>-36.3355</v>
      </c>
      <c r="AP744" t="n">
        <v>1320.2686</v>
      </c>
      <c r="AQ744" t="n">
        <v>-1.103593</v>
      </c>
      <c r="AR744" t="n">
        <v>1.140456</v>
      </c>
      <c r="AY744" t="n">
        <v>742</v>
      </c>
      <c r="AZ744" t="n">
        <v>741</v>
      </c>
      <c r="BA744" t="n">
        <v>4582.74</v>
      </c>
      <c r="BB744" t="n">
        <v>4619.0755</v>
      </c>
      <c r="BC744" t="n">
        <v>-36.3355</v>
      </c>
      <c r="BD744" t="n">
        <v>1320.2686</v>
      </c>
      <c r="BE744" t="n">
        <v>549081</v>
      </c>
    </row>
    <row r="745">
      <c r="A745" t="n">
        <v>1777393802</v>
      </c>
      <c r="B745" t="inlineStr">
        <is>
          <t>XAUUSD</t>
        </is>
      </c>
      <c r="C745" t="inlineStr">
        <is>
          <t>M15</t>
        </is>
      </c>
      <c r="D745" t="n">
        <v>4585.06</v>
      </c>
      <c r="E745" t="n">
        <v>4518.59282</v>
      </c>
      <c r="F745" t="n">
        <v>4596.05595</v>
      </c>
      <c r="G745" t="n">
        <v>4755.40355</v>
      </c>
      <c r="H745" t="n">
        <v>4792.76972</v>
      </c>
      <c r="Q745" t="n">
        <v>4618.80789</v>
      </c>
      <c r="R745" t="n">
        <v>4648.17119</v>
      </c>
      <c r="S745" t="n">
        <v>4674.75996</v>
      </c>
      <c r="V745" t="n">
        <v>4583.86812</v>
      </c>
      <c r="W745" t="n">
        <v>4550.30313</v>
      </c>
      <c r="AB745" t="n">
        <v>4589.46634</v>
      </c>
      <c r="AC745" t="n">
        <v>4586.77848</v>
      </c>
      <c r="AD745" t="n">
        <v>0</v>
      </c>
      <c r="AK745" t="n">
        <v>743</v>
      </c>
      <c r="AL745" t="n">
        <v>742</v>
      </c>
      <c r="AM745" t="n">
        <v>4585.06</v>
      </c>
      <c r="AN745" t="n">
        <v>4618.8079</v>
      </c>
      <c r="AO745" t="n">
        <v>-33.7479</v>
      </c>
      <c r="AP745" t="n">
        <v>1138.9201</v>
      </c>
      <c r="AQ745" t="n">
        <v>-0.8842100000000001</v>
      </c>
      <c r="AR745" t="n">
        <v>0.848673</v>
      </c>
      <c r="AY745" t="n">
        <v>743</v>
      </c>
      <c r="AZ745" t="n">
        <v>742</v>
      </c>
      <c r="BA745" t="n">
        <v>4585.06</v>
      </c>
      <c r="BB745" t="n">
        <v>4618.8079</v>
      </c>
      <c r="BC745" t="n">
        <v>-33.7479</v>
      </c>
      <c r="BD745" t="n">
        <v>1138.9201</v>
      </c>
      <c r="BE745" t="n">
        <v>550564</v>
      </c>
    </row>
    <row r="746">
      <c r="A746" t="n">
        <v>1777394702</v>
      </c>
      <c r="B746" t="inlineStr">
        <is>
          <t>XAUUSD</t>
        </is>
      </c>
      <c r="C746" t="inlineStr">
        <is>
          <t>M15</t>
        </is>
      </c>
      <c r="D746" t="n">
        <v>4592.2</v>
      </c>
      <c r="E746" t="n">
        <v>4518.59282</v>
      </c>
      <c r="F746" t="n">
        <v>4596.05595</v>
      </c>
      <c r="G746" t="n">
        <v>4755.40355</v>
      </c>
      <c r="H746" t="n">
        <v>4792.76972</v>
      </c>
      <c r="Q746" t="n">
        <v>4618.54029</v>
      </c>
      <c r="R746" t="n">
        <v>4647.90359</v>
      </c>
      <c r="S746" t="n">
        <v>4674.49236</v>
      </c>
      <c r="V746" t="n">
        <v>4583.60052</v>
      </c>
      <c r="W746" t="n">
        <v>4550.03552</v>
      </c>
      <c r="AB746" t="n">
        <v>4591.61794</v>
      </c>
      <c r="AC746" t="n">
        <v>4589.19821</v>
      </c>
      <c r="AD746" t="n">
        <v>0</v>
      </c>
      <c r="AK746" t="n">
        <v>744</v>
      </c>
      <c r="AL746" t="n">
        <v>743</v>
      </c>
      <c r="AM746" t="n">
        <v>4592.2</v>
      </c>
      <c r="AN746" t="n">
        <v>4618.5403</v>
      </c>
      <c r="AO746" t="n">
        <v>-26.3403</v>
      </c>
      <c r="AP746" t="n">
        <v>693.8108999999999</v>
      </c>
      <c r="AQ746" t="n">
        <v>-0.420414</v>
      </c>
      <c r="AR746" t="n">
        <v>0.314946</v>
      </c>
      <c r="AY746" t="n">
        <v>744</v>
      </c>
      <c r="AZ746" t="n">
        <v>743</v>
      </c>
      <c r="BA746" t="n">
        <v>4592.2</v>
      </c>
      <c r="BB746" t="n">
        <v>4618.5403</v>
      </c>
      <c r="BC746" t="n">
        <v>-26.3403</v>
      </c>
      <c r="BD746" t="n">
        <v>693.8108999999999</v>
      </c>
      <c r="BE746" t="n">
        <v>552049</v>
      </c>
    </row>
    <row r="747">
      <c r="A747" t="n">
        <v>1777395602</v>
      </c>
      <c r="B747" t="inlineStr">
        <is>
          <t>XAUUSD</t>
        </is>
      </c>
      <c r="C747" t="inlineStr">
        <is>
          <t>M15</t>
        </is>
      </c>
      <c r="D747" t="n">
        <v>4593.67</v>
      </c>
      <c r="E747" t="n">
        <v>4518.59282</v>
      </c>
      <c r="F747" t="n">
        <v>4596.05595</v>
      </c>
      <c r="G747" t="n">
        <v>4755.40355</v>
      </c>
      <c r="H747" t="n">
        <v>4792.76972</v>
      </c>
      <c r="Q747" t="n">
        <v>4618.27268</v>
      </c>
      <c r="R747" t="n">
        <v>4647.63598</v>
      </c>
      <c r="S747" t="n">
        <v>4674.22475</v>
      </c>
      <c r="V747" t="n">
        <v>4583.33291</v>
      </c>
      <c r="W747" t="n">
        <v>4549.76792</v>
      </c>
      <c r="AB747" t="n">
        <v>4593.29707</v>
      </c>
      <c r="AC747" t="n">
        <v>4591.24764</v>
      </c>
      <c r="AD747" t="n">
        <v>0</v>
      </c>
      <c r="AK747" t="n">
        <v>745</v>
      </c>
      <c r="AL747" t="n">
        <v>744</v>
      </c>
      <c r="AM747" t="n">
        <v>4593.67</v>
      </c>
      <c r="AN747" t="n">
        <v>4618.2727</v>
      </c>
      <c r="AO747" t="n">
        <v>-24.6027</v>
      </c>
      <c r="AP747" t="n">
        <v>605.2919000000001</v>
      </c>
      <c r="AQ747" t="n">
        <v>-0.342581</v>
      </c>
      <c r="AR747" t="n">
        <v>0.239709</v>
      </c>
      <c r="AY747" t="n">
        <v>745</v>
      </c>
      <c r="AZ747" t="n">
        <v>744</v>
      </c>
      <c r="BA747" t="n">
        <v>4593.67</v>
      </c>
      <c r="BB747" t="n">
        <v>4618.2727</v>
      </c>
      <c r="BC747" t="n">
        <v>-24.6027</v>
      </c>
      <c r="BD747" t="n">
        <v>605.2919000000001</v>
      </c>
      <c r="BE747" t="n">
        <v>553536</v>
      </c>
    </row>
    <row r="748">
      <c r="A748" t="n">
        <v>1777396502</v>
      </c>
      <c r="B748" t="inlineStr">
        <is>
          <t>XAUUSD</t>
        </is>
      </c>
      <c r="C748" t="inlineStr">
        <is>
          <t>M15</t>
        </is>
      </c>
      <c r="D748" t="n">
        <v>4593.49</v>
      </c>
      <c r="E748" t="n">
        <v>4518.59282</v>
      </c>
      <c r="F748" t="n">
        <v>4596.05595</v>
      </c>
      <c r="G748" t="n">
        <v>4755.40355</v>
      </c>
      <c r="H748" t="n">
        <v>4792.76972</v>
      </c>
      <c r="Q748" t="n">
        <v>4618.00508</v>
      </c>
      <c r="R748" t="n">
        <v>4647.36838</v>
      </c>
      <c r="S748" t="n">
        <v>4673.95715</v>
      </c>
      <c r="V748" t="n">
        <v>4583.06531</v>
      </c>
      <c r="W748" t="n">
        <v>4549.50031</v>
      </c>
      <c r="AB748" t="n">
        <v>4594.54284</v>
      </c>
      <c r="AC748" t="n">
        <v>4592.89524</v>
      </c>
      <c r="AD748" t="n">
        <v>0</v>
      </c>
      <c r="AK748" t="n">
        <v>746</v>
      </c>
      <c r="AL748" t="n">
        <v>745</v>
      </c>
      <c r="AM748" t="n">
        <v>4593.49</v>
      </c>
      <c r="AN748" t="n">
        <v>4618.0051</v>
      </c>
      <c r="AO748" t="n">
        <v>-24.5151</v>
      </c>
      <c r="AP748" t="n">
        <v>600.9891</v>
      </c>
      <c r="AQ748" t="n">
        <v>-0.338934</v>
      </c>
      <c r="AR748" t="n">
        <v>0.236313</v>
      </c>
      <c r="AY748" t="n">
        <v>746</v>
      </c>
      <c r="AZ748" t="n">
        <v>745</v>
      </c>
      <c r="BA748" t="n">
        <v>4593.49</v>
      </c>
      <c r="BB748" t="n">
        <v>4618.0051</v>
      </c>
      <c r="BC748" t="n">
        <v>-24.5151</v>
      </c>
      <c r="BD748" t="n">
        <v>600.9891</v>
      </c>
      <c r="BE748" t="n">
        <v>555025</v>
      </c>
    </row>
    <row r="749">
      <c r="A749" t="n">
        <v>1777397402</v>
      </c>
      <c r="B749" t="inlineStr">
        <is>
          <t>XAUUSD</t>
        </is>
      </c>
      <c r="C749" t="inlineStr">
        <is>
          <t>M15</t>
        </is>
      </c>
      <c r="D749" t="n">
        <v>4599.02</v>
      </c>
      <c r="E749" t="n">
        <v>4518.59282</v>
      </c>
      <c r="F749" t="n">
        <v>4596.05595</v>
      </c>
      <c r="G749" t="n">
        <v>4755.40355</v>
      </c>
      <c r="H749" t="n">
        <v>4792.76972</v>
      </c>
      <c r="Q749" t="n">
        <v>4617.73748</v>
      </c>
      <c r="R749" t="n">
        <v>4647.10078</v>
      </c>
      <c r="S749" t="n">
        <v>4673.68955</v>
      </c>
      <c r="V749" t="n">
        <v>4582.79771</v>
      </c>
      <c r="W749" t="n">
        <v>4549.23271</v>
      </c>
      <c r="Z749" t="n">
        <v>4601.49</v>
      </c>
      <c r="AB749" t="n">
        <v>4595.48411</v>
      </c>
      <c r="AC749" t="n">
        <v>4594.18967</v>
      </c>
      <c r="AD749" t="n">
        <v>0</v>
      </c>
      <c r="AK749" t="n">
        <v>747</v>
      </c>
      <c r="AL749" t="n">
        <v>746</v>
      </c>
      <c r="AM749" t="n">
        <v>4599.02</v>
      </c>
      <c r="AN749" t="n">
        <v>4617.7375</v>
      </c>
      <c r="AO749" t="n">
        <v>-18.7175</v>
      </c>
      <c r="AP749" t="n">
        <v>350.3441</v>
      </c>
      <c r="AQ749" t="n">
        <v>-0.150854</v>
      </c>
      <c r="AR749" t="n">
        <v>0.080305</v>
      </c>
      <c r="AY749" t="n">
        <v>747</v>
      </c>
      <c r="AZ749" t="n">
        <v>746</v>
      </c>
      <c r="BA749" t="n">
        <v>4599.02</v>
      </c>
      <c r="BB749" t="n">
        <v>4617.7375</v>
      </c>
      <c r="BC749" t="n">
        <v>-18.7175</v>
      </c>
      <c r="BD749" t="n">
        <v>350.3441</v>
      </c>
      <c r="BE749" t="n">
        <v>556516</v>
      </c>
    </row>
    <row r="750">
      <c r="A750" t="n">
        <v>1777398302</v>
      </c>
      <c r="B750" t="inlineStr">
        <is>
          <t>XAUUSD</t>
        </is>
      </c>
      <c r="C750" t="inlineStr">
        <is>
          <t>M15</t>
        </is>
      </c>
      <c r="D750" t="n">
        <v>4594.77</v>
      </c>
      <c r="E750" t="n">
        <v>4518.59282</v>
      </c>
      <c r="F750" t="n">
        <v>4596.05595</v>
      </c>
      <c r="G750" t="n">
        <v>4755.40355</v>
      </c>
      <c r="H750" t="n">
        <v>4792.76972</v>
      </c>
      <c r="Q750" t="n">
        <v>4617.46987</v>
      </c>
      <c r="R750" t="n">
        <v>4646.83317</v>
      </c>
      <c r="S750" t="n">
        <v>4673.42194</v>
      </c>
      <c r="V750" t="n">
        <v>4582.5301</v>
      </c>
      <c r="W750" t="n">
        <v>4548.96511</v>
      </c>
      <c r="AB750" t="n">
        <v>4596.02702</v>
      </c>
      <c r="AC750" t="n">
        <v>4595.10834</v>
      </c>
      <c r="AD750" t="n">
        <v>0</v>
      </c>
      <c r="AK750" t="n">
        <v>748</v>
      </c>
      <c r="AL750" t="n">
        <v>747</v>
      </c>
      <c r="AM750" t="n">
        <v>4594.77</v>
      </c>
      <c r="AN750" t="n">
        <v>4617.4699</v>
      </c>
      <c r="AO750" t="n">
        <v>-22.6999</v>
      </c>
      <c r="AP750" t="n">
        <v>515.2841</v>
      </c>
      <c r="AQ750" t="n">
        <v>-0.269083</v>
      </c>
      <c r="AR750" t="n">
        <v>0.173719</v>
      </c>
      <c r="AY750" t="n">
        <v>748</v>
      </c>
      <c r="AZ750" t="n">
        <v>747</v>
      </c>
      <c r="BA750" t="n">
        <v>4594.77</v>
      </c>
      <c r="BB750" t="n">
        <v>4617.4699</v>
      </c>
      <c r="BC750" t="n">
        <v>-22.6999</v>
      </c>
      <c r="BD750" t="n">
        <v>515.2841</v>
      </c>
      <c r="BE750" t="n">
        <v>558009</v>
      </c>
    </row>
    <row r="751">
      <c r="A751" t="n">
        <v>1777399202</v>
      </c>
      <c r="B751" t="inlineStr">
        <is>
          <t>XAUUSD</t>
        </is>
      </c>
      <c r="C751" t="inlineStr">
        <is>
          <t>M15</t>
        </is>
      </c>
      <c r="D751" t="n">
        <v>4596.1</v>
      </c>
      <c r="E751" t="n">
        <v>4518.59282</v>
      </c>
      <c r="F751" t="n">
        <v>4596.05595</v>
      </c>
      <c r="G751" t="n">
        <v>4755.40355</v>
      </c>
      <c r="H751" t="n">
        <v>4792.76972</v>
      </c>
      <c r="Q751" t="n">
        <v>4617.20227</v>
      </c>
      <c r="R751" t="n">
        <v>4646.56557</v>
      </c>
      <c r="S751" t="n">
        <v>4673.15434</v>
      </c>
      <c r="V751" t="n">
        <v>4582.2625</v>
      </c>
      <c r="W751" t="n">
        <v>4548.6975</v>
      </c>
      <c r="AB751" t="n">
        <v>4596.38353</v>
      </c>
      <c r="AC751" t="n">
        <v>4595.74593</v>
      </c>
      <c r="AD751" t="n">
        <v>0</v>
      </c>
      <c r="AK751" t="n">
        <v>749</v>
      </c>
      <c r="AL751" t="n">
        <v>748</v>
      </c>
      <c r="AM751" t="n">
        <v>4596.1</v>
      </c>
      <c r="AN751" t="n">
        <v>4617.2023</v>
      </c>
      <c r="AO751" t="n">
        <v>-21.1023</v>
      </c>
      <c r="AP751" t="n">
        <v>445.3058</v>
      </c>
      <c r="AQ751" t="n">
        <v>-0.216174</v>
      </c>
      <c r="AR751" t="n">
        <v>0.129739</v>
      </c>
      <c r="AY751" t="n">
        <v>749</v>
      </c>
      <c r="AZ751" t="n">
        <v>748</v>
      </c>
      <c r="BA751" t="n">
        <v>4596.1</v>
      </c>
      <c r="BB751" t="n">
        <v>4617.2023</v>
      </c>
      <c r="BC751" t="n">
        <v>-21.1023</v>
      </c>
      <c r="BD751" t="n">
        <v>445.3058</v>
      </c>
      <c r="BE751" t="n">
        <v>559504</v>
      </c>
    </row>
    <row r="752">
      <c r="A752" t="n">
        <v>1777400102</v>
      </c>
      <c r="B752" t="inlineStr">
        <is>
          <t>XAUUSD</t>
        </is>
      </c>
      <c r="C752" t="inlineStr">
        <is>
          <t>M15</t>
        </is>
      </c>
      <c r="D752" t="n">
        <v>4598.91</v>
      </c>
      <c r="E752" t="n">
        <v>4518.59282</v>
      </c>
      <c r="F752" t="n">
        <v>4596.05595</v>
      </c>
      <c r="G752" t="n">
        <v>4755.40355</v>
      </c>
      <c r="H752" t="n">
        <v>4792.76972</v>
      </c>
      <c r="Q752" t="n">
        <v>4616.93466</v>
      </c>
      <c r="R752" t="n">
        <v>4646.29796</v>
      </c>
      <c r="S752" t="n">
        <v>4672.88673</v>
      </c>
      <c r="V752" t="n">
        <v>4581.99489</v>
      </c>
      <c r="W752" t="n">
        <v>4548.4299</v>
      </c>
      <c r="AB752" t="n">
        <v>4596.589</v>
      </c>
      <c r="AC752" t="n">
        <v>4596.16747</v>
      </c>
      <c r="AD752" t="n">
        <v>0</v>
      </c>
      <c r="AK752" t="n">
        <v>750</v>
      </c>
      <c r="AL752" t="n">
        <v>749</v>
      </c>
      <c r="AM752" t="n">
        <v>4598.91</v>
      </c>
      <c r="AN752" t="n">
        <v>4616.9347</v>
      </c>
      <c r="AO752" t="n">
        <v>-18.0247</v>
      </c>
      <c r="AP752" t="n">
        <v>324.8884</v>
      </c>
      <c r="AQ752" t="n">
        <v>-0.134715</v>
      </c>
      <c r="AR752" t="n">
        <v>0.069059</v>
      </c>
      <c r="AY752" t="n">
        <v>750</v>
      </c>
      <c r="AZ752" t="n">
        <v>749</v>
      </c>
      <c r="BA752" t="n">
        <v>4598.91</v>
      </c>
      <c r="BB752" t="n">
        <v>4616.9347</v>
      </c>
      <c r="BC752" t="n">
        <v>-18.0247</v>
      </c>
      <c r="BD752" t="n">
        <v>324.8884</v>
      </c>
      <c r="BE752" t="n">
        <v>561001</v>
      </c>
    </row>
    <row r="753">
      <c r="A753" t="n">
        <v>1777401002</v>
      </c>
      <c r="B753" t="inlineStr">
        <is>
          <t>XAUUSD</t>
        </is>
      </c>
      <c r="C753" t="inlineStr">
        <is>
          <t>M15</t>
        </is>
      </c>
      <c r="D753" t="n">
        <v>4597.74</v>
      </c>
      <c r="E753" t="n">
        <v>4518.59282</v>
      </c>
      <c r="F753" t="n">
        <v>4596.05595</v>
      </c>
      <c r="G753" t="n">
        <v>4755.40355</v>
      </c>
      <c r="H753" t="n">
        <v>4792.76972</v>
      </c>
      <c r="Q753" t="n">
        <v>4616.66706</v>
      </c>
      <c r="R753" t="n">
        <v>4646.03036</v>
      </c>
      <c r="S753" t="n">
        <v>4672.61913</v>
      </c>
      <c r="V753" t="n">
        <v>4581.72729</v>
      </c>
      <c r="W753" t="n">
        <v>4548.16229</v>
      </c>
      <c r="AB753" t="n">
        <v>4596.63687</v>
      </c>
      <c r="AC753" t="n">
        <v>4596.40217</v>
      </c>
      <c r="AD753" t="n">
        <v>0</v>
      </c>
      <c r="AK753" t="n">
        <v>751</v>
      </c>
      <c r="AL753" t="n">
        <v>750</v>
      </c>
      <c r="AM753" t="n">
        <v>4597.74</v>
      </c>
      <c r="AN753" t="n">
        <v>4616.6671</v>
      </c>
      <c r="AO753" t="n">
        <v>-18.9271</v>
      </c>
      <c r="AP753" t="n">
        <v>358.2336</v>
      </c>
      <c r="AQ753" t="n">
        <v>-0.155979</v>
      </c>
      <c r="AR753" t="n">
        <v>0.083963</v>
      </c>
      <c r="AY753" t="n">
        <v>751</v>
      </c>
      <c r="AZ753" t="n">
        <v>750</v>
      </c>
      <c r="BA753" t="n">
        <v>4597.74</v>
      </c>
      <c r="BB753" t="n">
        <v>4616.6671</v>
      </c>
      <c r="BC753" t="n">
        <v>-18.9271</v>
      </c>
      <c r="BD753" t="n">
        <v>358.2336</v>
      </c>
      <c r="BE753" t="n">
        <v>562500</v>
      </c>
    </row>
    <row r="754">
      <c r="A754" t="n">
        <v>1777401902</v>
      </c>
      <c r="B754" t="inlineStr">
        <is>
          <t>XAUUSD</t>
        </is>
      </c>
      <c r="C754" t="inlineStr">
        <is>
          <t>M15</t>
        </is>
      </c>
      <c r="D754" t="n">
        <v>4594.2</v>
      </c>
      <c r="E754" t="n">
        <v>4518.59282</v>
      </c>
      <c r="F754" t="n">
        <v>4596.05595</v>
      </c>
      <c r="G754" t="n">
        <v>4755.40355</v>
      </c>
      <c r="H754" t="n">
        <v>4792.76972</v>
      </c>
      <c r="Q754" t="n">
        <v>4616.39946</v>
      </c>
      <c r="R754" t="n">
        <v>4645.76275</v>
      </c>
      <c r="S754" t="n">
        <v>4672.35153</v>
      </c>
      <c r="V754" t="n">
        <v>4581.45969</v>
      </c>
      <c r="W754" t="n">
        <v>4547.89469</v>
      </c>
      <c r="AB754" t="n">
        <v>4596.59455</v>
      </c>
      <c r="AC754" t="n">
        <v>4596.49836</v>
      </c>
      <c r="AD754" t="n">
        <v>0</v>
      </c>
      <c r="AK754" t="n">
        <v>752</v>
      </c>
      <c r="AL754" t="n">
        <v>751</v>
      </c>
      <c r="AM754" t="n">
        <v>4594.2</v>
      </c>
      <c r="AN754" t="n">
        <v>4616.3995</v>
      </c>
      <c r="AO754" t="n">
        <v>-22.1995</v>
      </c>
      <c r="AP754" t="n">
        <v>492.816</v>
      </c>
      <c r="AQ754" t="n">
        <v>-0.251677</v>
      </c>
      <c r="AR754" t="n">
        <v>0.1589</v>
      </c>
      <c r="AY754" t="n">
        <v>752</v>
      </c>
      <c r="AZ754" t="n">
        <v>751</v>
      </c>
      <c r="BA754" t="n">
        <v>4594.2</v>
      </c>
      <c r="BB754" t="n">
        <v>4616.3995</v>
      </c>
      <c r="BC754" t="n">
        <v>-22.1995</v>
      </c>
      <c r="BD754" t="n">
        <v>492.816</v>
      </c>
      <c r="BE754" t="n">
        <v>564001</v>
      </c>
    </row>
    <row r="755">
      <c r="A755" t="n">
        <v>1777402802</v>
      </c>
      <c r="B755" t="inlineStr">
        <is>
          <t>XAUUSD</t>
        </is>
      </c>
      <c r="C755" t="inlineStr">
        <is>
          <t>M15</t>
        </is>
      </c>
      <c r="D755" t="n">
        <v>4595.75</v>
      </c>
      <c r="E755" t="n">
        <v>4518.59282</v>
      </c>
      <c r="F755" t="n">
        <v>4596.05595</v>
      </c>
      <c r="G755" t="n">
        <v>4755.40355</v>
      </c>
      <c r="H755" t="n">
        <v>4792.76972</v>
      </c>
      <c r="Q755" t="n">
        <v>4616.13185</v>
      </c>
      <c r="R755" t="n">
        <v>4645.49515</v>
      </c>
      <c r="S755" t="n">
        <v>4672.08392</v>
      </c>
      <c r="V755" t="n">
        <v>4581.19208</v>
      </c>
      <c r="W755" t="n">
        <v>4547.62709</v>
      </c>
      <c r="AB755" t="n">
        <v>4596.59074</v>
      </c>
      <c r="AC755" t="n">
        <v>4596.54455</v>
      </c>
      <c r="AD755" t="n">
        <v>0</v>
      </c>
      <c r="AK755" t="n">
        <v>753</v>
      </c>
      <c r="AL755" t="n">
        <v>752</v>
      </c>
      <c r="AM755" t="n">
        <v>4595.75</v>
      </c>
      <c r="AN755" t="n">
        <v>4616.1318</v>
      </c>
      <c r="AO755" t="n">
        <v>-20.3818</v>
      </c>
      <c r="AP755" t="n">
        <v>415.4198</v>
      </c>
      <c r="AQ755" t="n">
        <v>-0.194781</v>
      </c>
      <c r="AR755" t="n">
        <v>0.112909</v>
      </c>
      <c r="AY755" t="n">
        <v>753</v>
      </c>
      <c r="AZ755" t="n">
        <v>752</v>
      </c>
      <c r="BA755" t="n">
        <v>4595.75</v>
      </c>
      <c r="BB755" t="n">
        <v>4616.1318</v>
      </c>
      <c r="BC755" t="n">
        <v>-20.3818</v>
      </c>
      <c r="BD755" t="n">
        <v>415.4198</v>
      </c>
      <c r="BE755" t="n">
        <v>565504</v>
      </c>
    </row>
    <row r="756">
      <c r="A756" t="n">
        <v>1777403702</v>
      </c>
      <c r="B756" t="inlineStr">
        <is>
          <t>XAUUSD</t>
        </is>
      </c>
      <c r="C756" t="inlineStr">
        <is>
          <t>M15</t>
        </is>
      </c>
      <c r="D756" t="n">
        <v>4596.22</v>
      </c>
      <c r="E756" t="n">
        <v>4518.59282</v>
      </c>
      <c r="F756" t="n">
        <v>4596.05595</v>
      </c>
      <c r="G756" t="n">
        <v>4755.40355</v>
      </c>
      <c r="H756" t="n">
        <v>4792.76972</v>
      </c>
      <c r="Q756" t="n">
        <v>4615.86425</v>
      </c>
      <c r="R756" t="n">
        <v>4645.22755</v>
      </c>
      <c r="S756" t="n">
        <v>4671.81632</v>
      </c>
      <c r="V756" t="n">
        <v>4580.92448</v>
      </c>
      <c r="W756" t="n">
        <v>4547.35948</v>
      </c>
      <c r="AB756" t="n">
        <v>4596.63806</v>
      </c>
      <c r="AC756" t="n">
        <v>4596.5913</v>
      </c>
      <c r="AD756" t="n">
        <v>0</v>
      </c>
      <c r="AK756" t="n">
        <v>754</v>
      </c>
      <c r="AL756" t="n">
        <v>753</v>
      </c>
      <c r="AM756" t="n">
        <v>4596.22</v>
      </c>
      <c r="AN756" t="n">
        <v>4615.8642</v>
      </c>
      <c r="AO756" t="n">
        <v>-19.6442</v>
      </c>
      <c r="AP756" t="n">
        <v>385.8966</v>
      </c>
      <c r="AQ756" t="n">
        <v>-0.17439</v>
      </c>
      <c r="AR756" t="n">
        <v>0.097431</v>
      </c>
      <c r="AY756" t="n">
        <v>754</v>
      </c>
      <c r="AZ756" t="n">
        <v>753</v>
      </c>
      <c r="BA756" t="n">
        <v>4596.22</v>
      </c>
      <c r="BB756" t="n">
        <v>4615.8642</v>
      </c>
      <c r="BC756" t="n">
        <v>-19.6442</v>
      </c>
      <c r="BD756" t="n">
        <v>385.8966</v>
      </c>
      <c r="BE756" t="n">
        <v>567009</v>
      </c>
    </row>
    <row r="757">
      <c r="A757" t="n">
        <v>1777404602</v>
      </c>
      <c r="B757" t="inlineStr">
        <is>
          <t>XAUUSD</t>
        </is>
      </c>
      <c r="C757" t="inlineStr">
        <is>
          <t>M15</t>
        </is>
      </c>
      <c r="D757" t="n">
        <v>4598.52</v>
      </c>
      <c r="E757" t="n">
        <v>4518.59282</v>
      </c>
      <c r="F757" t="n">
        <v>4596.05595</v>
      </c>
      <c r="G757" t="n">
        <v>4755.40355</v>
      </c>
      <c r="H757" t="n">
        <v>4792.76972</v>
      </c>
      <c r="Q757" t="n">
        <v>4615.59664</v>
      </c>
      <c r="R757" t="n">
        <v>4644.95994</v>
      </c>
      <c r="S757" t="n">
        <v>4671.54871</v>
      </c>
      <c r="V757" t="n">
        <v>4580.65687</v>
      </c>
      <c r="W757" t="n">
        <v>4547.09188</v>
      </c>
      <c r="AB757" t="n">
        <v>4596.69717</v>
      </c>
      <c r="AC757" t="n">
        <v>4596.64424</v>
      </c>
      <c r="AD757" t="n">
        <v>0</v>
      </c>
      <c r="AK757" t="n">
        <v>755</v>
      </c>
      <c r="AL757" t="n">
        <v>754</v>
      </c>
      <c r="AM757" t="n">
        <v>4598.52</v>
      </c>
      <c r="AN757" t="n">
        <v>4615.5966</v>
      </c>
      <c r="AO757" t="n">
        <v>-17.0766</v>
      </c>
      <c r="AP757" t="n">
        <v>291.6116</v>
      </c>
      <c r="AQ757" t="n">
        <v>-0.114557</v>
      </c>
      <c r="AR757" t="n">
        <v>0.055637</v>
      </c>
      <c r="AY757" t="n">
        <v>755</v>
      </c>
      <c r="AZ757" t="n">
        <v>754</v>
      </c>
      <c r="BA757" t="n">
        <v>4598.52</v>
      </c>
      <c r="BB757" t="n">
        <v>4615.5966</v>
      </c>
      <c r="BC757" t="n">
        <v>-17.0766</v>
      </c>
      <c r="BD757" t="n">
        <v>291.6116</v>
      </c>
      <c r="BE757" t="n">
        <v>568516</v>
      </c>
    </row>
    <row r="758">
      <c r="A758" t="n">
        <v>1777405502</v>
      </c>
      <c r="B758" t="inlineStr">
        <is>
          <t>XAUUSD</t>
        </is>
      </c>
      <c r="C758" t="inlineStr">
        <is>
          <t>M15</t>
        </is>
      </c>
      <c r="D758" t="n">
        <v>4595.7</v>
      </c>
      <c r="E758" t="n">
        <v>4518.59282</v>
      </c>
      <c r="F758" t="n">
        <v>4596.05595</v>
      </c>
      <c r="G758" t="n">
        <v>4755.40355</v>
      </c>
      <c r="H758" t="n">
        <v>4792.76972</v>
      </c>
      <c r="Q758" t="n">
        <v>4615.32904</v>
      </c>
      <c r="R758" t="n">
        <v>4644.69234</v>
      </c>
      <c r="S758" t="n">
        <v>4671.28111</v>
      </c>
      <c r="V758" t="n">
        <v>4580.38927</v>
      </c>
      <c r="W758" t="n">
        <v>4546.82427</v>
      </c>
      <c r="AB758" t="n">
        <v>4596.59339</v>
      </c>
      <c r="AC758" t="n">
        <v>4596.61881</v>
      </c>
      <c r="AD758" t="n">
        <v>1</v>
      </c>
      <c r="AK758" t="n">
        <v>756</v>
      </c>
      <c r="AL758" t="n">
        <v>755</v>
      </c>
      <c r="AM758" t="n">
        <v>4595.7</v>
      </c>
      <c r="AN758" t="n">
        <v>4615.329</v>
      </c>
      <c r="AO758" t="n">
        <v>-19.629</v>
      </c>
      <c r="AP758" t="n">
        <v>385.2992</v>
      </c>
      <c r="AQ758" t="n">
        <v>-0.173985</v>
      </c>
      <c r="AR758" t="n">
        <v>0.09712899999999999</v>
      </c>
      <c r="AY758" t="n">
        <v>756</v>
      </c>
      <c r="AZ758" t="n">
        <v>755</v>
      </c>
      <c r="BA758" t="n">
        <v>4595.7</v>
      </c>
      <c r="BB758" t="n">
        <v>4615.329</v>
      </c>
      <c r="BC758" t="n">
        <v>-19.629</v>
      </c>
      <c r="BD758" t="n">
        <v>385.2992</v>
      </c>
      <c r="BE758" t="n">
        <v>570025</v>
      </c>
    </row>
    <row r="759">
      <c r="A759" t="n">
        <v>1777406402</v>
      </c>
      <c r="B759" t="inlineStr">
        <is>
          <t>XAUUSD</t>
        </is>
      </c>
      <c r="C759" t="inlineStr">
        <is>
          <t>M15</t>
        </is>
      </c>
      <c r="D759" t="n">
        <v>4597.28</v>
      </c>
      <c r="E759" t="n">
        <v>4518.59282</v>
      </c>
      <c r="F759" t="n">
        <v>4596.05595</v>
      </c>
      <c r="G759" t="n">
        <v>4755.40355</v>
      </c>
      <c r="H759" t="n">
        <v>4792.76972</v>
      </c>
      <c r="Q759" t="n">
        <v>4615.06144</v>
      </c>
      <c r="R759" t="n">
        <v>4644.42473</v>
      </c>
      <c r="S759" t="n">
        <v>4671.01351</v>
      </c>
      <c r="V759" t="n">
        <v>4580.12167</v>
      </c>
      <c r="W759" t="n">
        <v>4546.55667</v>
      </c>
      <c r="AB759" t="n">
        <v>4596.33821</v>
      </c>
      <c r="AC759" t="n">
        <v>4596.47851</v>
      </c>
      <c r="AD759" t="n">
        <v>0</v>
      </c>
      <c r="AK759" t="n">
        <v>757</v>
      </c>
      <c r="AL759" t="n">
        <v>756</v>
      </c>
      <c r="AM759" t="n">
        <v>4597.28</v>
      </c>
      <c r="AN759" t="n">
        <v>4615.0614</v>
      </c>
      <c r="AO759" t="n">
        <v>-17.7814</v>
      </c>
      <c r="AP759" t="n">
        <v>316.1796</v>
      </c>
      <c r="AQ759" t="n">
        <v>-0.129335</v>
      </c>
      <c r="AR759" t="n">
        <v>0.06540700000000001</v>
      </c>
      <c r="AY759" t="n">
        <v>757</v>
      </c>
      <c r="AZ759" t="n">
        <v>756</v>
      </c>
      <c r="BA759" t="n">
        <v>4597.28</v>
      </c>
      <c r="BB759" t="n">
        <v>4615.0614</v>
      </c>
      <c r="BC759" t="n">
        <v>-17.7814</v>
      </c>
      <c r="BD759" t="n">
        <v>316.1796</v>
      </c>
      <c r="BE759" t="n">
        <v>571536</v>
      </c>
    </row>
    <row r="760">
      <c r="A760" t="n">
        <v>1777407302</v>
      </c>
      <c r="B760" t="inlineStr">
        <is>
          <t>XAUUSD</t>
        </is>
      </c>
      <c r="C760" t="inlineStr">
        <is>
          <t>M15</t>
        </is>
      </c>
      <c r="D760" t="n">
        <v>4592.85</v>
      </c>
      <c r="E760" t="n">
        <v>4518.59282</v>
      </c>
      <c r="F760" t="n">
        <v>4596.05595</v>
      </c>
      <c r="G760" t="n">
        <v>4755.40355</v>
      </c>
      <c r="H760" t="n">
        <v>4792.76972</v>
      </c>
      <c r="Q760" t="n">
        <v>4614.79383</v>
      </c>
      <c r="R760" t="n">
        <v>4644.15713</v>
      </c>
      <c r="S760" t="n">
        <v>4670.7459</v>
      </c>
      <c r="V760" t="n">
        <v>4579.85406</v>
      </c>
      <c r="W760" t="n">
        <v>4546.28907</v>
      </c>
      <c r="AB760" t="n">
        <v>4595.84616</v>
      </c>
      <c r="AC760" t="n">
        <v>4596.16233</v>
      </c>
      <c r="AD760" t="n">
        <v>0</v>
      </c>
      <c r="AK760" t="n">
        <v>758</v>
      </c>
      <c r="AL760" t="n">
        <v>757</v>
      </c>
      <c r="AM760" t="n">
        <v>4592.85</v>
      </c>
      <c r="AN760" t="n">
        <v>4614.7938</v>
      </c>
      <c r="AO760" t="n">
        <v>-21.9438</v>
      </c>
      <c r="AP760" t="n">
        <v>481.5317</v>
      </c>
      <c r="AQ760" t="n">
        <v>-0.243082</v>
      </c>
      <c r="AR760" t="n">
        <v>0.151706</v>
      </c>
      <c r="AY760" t="n">
        <v>758</v>
      </c>
      <c r="AZ760" t="n">
        <v>757</v>
      </c>
      <c r="BA760" t="n">
        <v>4592.85</v>
      </c>
      <c r="BB760" t="n">
        <v>4614.7938</v>
      </c>
      <c r="BC760" t="n">
        <v>-21.9438</v>
      </c>
      <c r="BD760" t="n">
        <v>481.5317</v>
      </c>
      <c r="BE760" t="n">
        <v>573049</v>
      </c>
    </row>
    <row r="761">
      <c r="A761" t="n">
        <v>1777408202</v>
      </c>
      <c r="B761" t="inlineStr">
        <is>
          <t>XAUUSD</t>
        </is>
      </c>
      <c r="C761" t="inlineStr">
        <is>
          <t>M15</t>
        </is>
      </c>
      <c r="D761" t="n">
        <v>4593.44</v>
      </c>
      <c r="E761" t="n">
        <v>4518.59282</v>
      </c>
      <c r="F761" t="n">
        <v>4596.05595</v>
      </c>
      <c r="G761" t="n">
        <v>4755.40355</v>
      </c>
      <c r="H761" t="n">
        <v>4792.76972</v>
      </c>
      <c r="Q761" t="n">
        <v>4614.52623</v>
      </c>
      <c r="R761" t="n">
        <v>4643.88953</v>
      </c>
      <c r="S761" t="n">
        <v>4670.4783</v>
      </c>
      <c r="V761" t="n">
        <v>4579.58646</v>
      </c>
      <c r="W761" t="n">
        <v>4546.02146</v>
      </c>
      <c r="AB761" t="n">
        <v>4595.24318</v>
      </c>
      <c r="AC761" t="n">
        <v>4595.70276</v>
      </c>
      <c r="AD761" t="n">
        <v>0</v>
      </c>
      <c r="AK761" t="n">
        <v>759</v>
      </c>
      <c r="AL761" t="n">
        <v>758</v>
      </c>
      <c r="AM761" t="n">
        <v>4593.44</v>
      </c>
      <c r="AN761" t="n">
        <v>4614.5262</v>
      </c>
      <c r="AO761" t="n">
        <v>-21.0862</v>
      </c>
      <c r="AP761" t="n">
        <v>444.6291</v>
      </c>
      <c r="AQ761" t="n">
        <v>-0.215681</v>
      </c>
      <c r="AR761" t="n">
        <v>0.129345</v>
      </c>
      <c r="AY761" t="n">
        <v>759</v>
      </c>
      <c r="AZ761" t="n">
        <v>758</v>
      </c>
      <c r="BA761" t="n">
        <v>4593.44</v>
      </c>
      <c r="BB761" t="n">
        <v>4614.5262</v>
      </c>
      <c r="BC761" t="n">
        <v>-21.0862</v>
      </c>
      <c r="BD761" t="n">
        <v>444.6291</v>
      </c>
      <c r="BE761" t="n">
        <v>574564</v>
      </c>
    </row>
    <row r="762">
      <c r="A762" t="n">
        <v>1777409102</v>
      </c>
      <c r="B762" t="inlineStr">
        <is>
          <t>XAUUSD</t>
        </is>
      </c>
      <c r="C762" t="inlineStr">
        <is>
          <t>M15</t>
        </is>
      </c>
      <c r="D762" t="n">
        <v>4597.18</v>
      </c>
      <c r="E762" t="n">
        <v>4518.59282</v>
      </c>
      <c r="F762" t="n">
        <v>4596.05595</v>
      </c>
      <c r="G762" t="n">
        <v>4755.40355</v>
      </c>
      <c r="H762" t="n">
        <v>4792.76972</v>
      </c>
      <c r="Q762" t="n">
        <v>4614.25862</v>
      </c>
      <c r="R762" t="n">
        <v>4643.62192</v>
      </c>
      <c r="S762" t="n">
        <v>4670.21069</v>
      </c>
      <c r="V762" t="n">
        <v>4579.31885</v>
      </c>
      <c r="W762" t="n">
        <v>4545.75386</v>
      </c>
      <c r="AB762" t="n">
        <v>4594.62132</v>
      </c>
      <c r="AC762" t="n">
        <v>4595.16204</v>
      </c>
      <c r="AD762" t="n">
        <v>0</v>
      </c>
      <c r="AK762" t="n">
        <v>760</v>
      </c>
      <c r="AL762" t="n">
        <v>759</v>
      </c>
      <c r="AM762" t="n">
        <v>4597.18</v>
      </c>
      <c r="AN762" t="n">
        <v>4614.2586</v>
      </c>
      <c r="AO762" t="n">
        <v>-17.0786</v>
      </c>
      <c r="AP762" t="n">
        <v>291.6793</v>
      </c>
      <c r="AQ762" t="n">
        <v>-0.114597</v>
      </c>
      <c r="AR762" t="n">
        <v>0.055663</v>
      </c>
      <c r="AY762" t="n">
        <v>760</v>
      </c>
      <c r="AZ762" t="n">
        <v>759</v>
      </c>
      <c r="BA762" t="n">
        <v>4597.18</v>
      </c>
      <c r="BB762" t="n">
        <v>4614.2586</v>
      </c>
      <c r="BC762" t="n">
        <v>-17.0786</v>
      </c>
      <c r="BD762" t="n">
        <v>291.6793</v>
      </c>
      <c r="BE762" t="n">
        <v>576081</v>
      </c>
    </row>
    <row r="763">
      <c r="A763" t="n">
        <v>1777413602</v>
      </c>
      <c r="B763" t="inlineStr">
        <is>
          <t>XAUUSD</t>
        </is>
      </c>
      <c r="C763" t="inlineStr">
        <is>
          <t>M15</t>
        </is>
      </c>
      <c r="D763" t="n">
        <v>4596.42</v>
      </c>
      <c r="E763" t="n">
        <v>4518.59282</v>
      </c>
      <c r="F763" t="n">
        <v>4596.05595</v>
      </c>
      <c r="G763" t="n">
        <v>4755.40355</v>
      </c>
      <c r="H763" t="n">
        <v>4792.76972</v>
      </c>
      <c r="Q763" t="n">
        <v>4613.99102</v>
      </c>
      <c r="R763" t="n">
        <v>4643.35432</v>
      </c>
      <c r="S763" t="n">
        <v>4669.94309</v>
      </c>
      <c r="V763" t="n">
        <v>4579.05125</v>
      </c>
      <c r="W763" t="n">
        <v>4545.48625</v>
      </c>
      <c r="AB763" t="n">
        <v>4593.97795</v>
      </c>
      <c r="AC763" t="n">
        <v>4594.57</v>
      </c>
      <c r="AD763" t="n">
        <v>0</v>
      </c>
      <c r="AK763" t="n">
        <v>761</v>
      </c>
      <c r="AL763" t="n">
        <v>760</v>
      </c>
      <c r="AM763" t="n">
        <v>4596.42</v>
      </c>
      <c r="AN763" t="n">
        <v>4613.991</v>
      </c>
      <c r="AO763" t="n">
        <v>-17.571</v>
      </c>
      <c r="AP763" t="n">
        <v>308.7407</v>
      </c>
      <c r="AQ763" t="n">
        <v>-0.124798</v>
      </c>
      <c r="AR763" t="n">
        <v>0.062365</v>
      </c>
      <c r="AY763" t="n">
        <v>761</v>
      </c>
      <c r="AZ763" t="n">
        <v>760</v>
      </c>
      <c r="BA763" t="n">
        <v>4596.42</v>
      </c>
      <c r="BB763" t="n">
        <v>4613.991</v>
      </c>
      <c r="BC763" t="n">
        <v>-17.571</v>
      </c>
      <c r="BD763" t="n">
        <v>308.7407</v>
      </c>
      <c r="BE763" t="n">
        <v>577600</v>
      </c>
    </row>
    <row r="764">
      <c r="A764" t="n">
        <v>1777414502</v>
      </c>
      <c r="B764" t="inlineStr">
        <is>
          <t>XAUUSD</t>
        </is>
      </c>
      <c r="C764" t="inlineStr">
        <is>
          <t>M15</t>
        </is>
      </c>
      <c r="D764" t="n">
        <v>4595.82</v>
      </c>
      <c r="E764" t="n">
        <v>4518.59282</v>
      </c>
      <c r="F764" t="n">
        <v>4596.05595</v>
      </c>
      <c r="G764" t="n">
        <v>4755.40355</v>
      </c>
      <c r="H764" t="n">
        <v>4792.76972</v>
      </c>
      <c r="Q764" t="n">
        <v>4613.72342</v>
      </c>
      <c r="R764" t="n">
        <v>4643.08671</v>
      </c>
      <c r="S764" t="n">
        <v>4669.67548</v>
      </c>
      <c r="V764" t="n">
        <v>4578.78364</v>
      </c>
      <c r="W764" t="n">
        <v>4545.21865</v>
      </c>
      <c r="AB764" t="n">
        <v>4593.46927</v>
      </c>
      <c r="AC764" t="n">
        <v>4594.01963</v>
      </c>
      <c r="AD764" t="n">
        <v>0</v>
      </c>
      <c r="AK764" t="n">
        <v>762</v>
      </c>
      <c r="AL764" t="n">
        <v>761</v>
      </c>
      <c r="AM764" t="n">
        <v>4595.82</v>
      </c>
      <c r="AN764" t="n">
        <v>4613.7234</v>
      </c>
      <c r="AO764" t="n">
        <v>-17.9034</v>
      </c>
      <c r="AP764" t="n">
        <v>320.5324</v>
      </c>
      <c r="AQ764" t="n">
        <v>-0.132015</v>
      </c>
      <c r="AR764" t="n">
        <v>0.06722</v>
      </c>
      <c r="AY764" t="n">
        <v>762</v>
      </c>
      <c r="AZ764" t="n">
        <v>761</v>
      </c>
      <c r="BA764" t="n">
        <v>4595.82</v>
      </c>
      <c r="BB764" t="n">
        <v>4613.7234</v>
      </c>
      <c r="BC764" t="n">
        <v>-17.9034</v>
      </c>
      <c r="BD764" t="n">
        <v>320.5324</v>
      </c>
      <c r="BE764" t="n">
        <v>579121</v>
      </c>
    </row>
    <row r="765">
      <c r="A765" t="n">
        <v>1777415402</v>
      </c>
      <c r="B765" t="inlineStr">
        <is>
          <t>XAUUSD</t>
        </is>
      </c>
      <c r="C765" t="inlineStr">
        <is>
          <t>M15</t>
        </is>
      </c>
      <c r="D765" t="n">
        <v>4593.71</v>
      </c>
      <c r="E765" t="n">
        <v>4518.59282</v>
      </c>
      <c r="F765" t="n">
        <v>4596.05595</v>
      </c>
      <c r="G765" t="n">
        <v>4755.40355</v>
      </c>
      <c r="H765" t="n">
        <v>4792.76972</v>
      </c>
      <c r="Q765" t="n">
        <v>4613.45581</v>
      </c>
      <c r="R765" t="n">
        <v>4642.81911</v>
      </c>
      <c r="S765" t="n">
        <v>4669.40788</v>
      </c>
      <c r="V765" t="n">
        <v>4578.51604</v>
      </c>
      <c r="W765" t="n">
        <v>4544.95104</v>
      </c>
      <c r="AB765" t="n">
        <v>4593.25757</v>
      </c>
      <c r="AC765" t="n">
        <v>4593.6386</v>
      </c>
      <c r="AD765" t="n">
        <v>0</v>
      </c>
      <c r="AK765" t="n">
        <v>763</v>
      </c>
      <c r="AL765" t="n">
        <v>762</v>
      </c>
      <c r="AM765" t="n">
        <v>4593.71</v>
      </c>
      <c r="AN765" t="n">
        <v>4613.4558</v>
      </c>
      <c r="AO765" t="n">
        <v>-19.7458</v>
      </c>
      <c r="AP765" t="n">
        <v>389.897</v>
      </c>
      <c r="AQ765" t="n">
        <v>-0.177109</v>
      </c>
      <c r="AR765" t="n">
        <v>0.09946099999999999</v>
      </c>
      <c r="AY765" t="n">
        <v>763</v>
      </c>
      <c r="AZ765" t="n">
        <v>762</v>
      </c>
      <c r="BA765" t="n">
        <v>4593.71</v>
      </c>
      <c r="BB765" t="n">
        <v>4613.4558</v>
      </c>
      <c r="BC765" t="n">
        <v>-19.7458</v>
      </c>
      <c r="BD765" t="n">
        <v>389.897</v>
      </c>
      <c r="BE765" t="n">
        <v>580644</v>
      </c>
    </row>
    <row r="766">
      <c r="A766" t="n">
        <v>1777416302</v>
      </c>
      <c r="B766" t="inlineStr">
        <is>
          <t>XAUUSD</t>
        </is>
      </c>
      <c r="C766" t="inlineStr">
        <is>
          <t>M15</t>
        </is>
      </c>
      <c r="D766" t="n">
        <v>4594.16</v>
      </c>
      <c r="E766" t="n">
        <v>4518.59282</v>
      </c>
      <c r="F766" t="n">
        <v>4596.05595</v>
      </c>
      <c r="G766" t="n">
        <v>4755.40355</v>
      </c>
      <c r="H766" t="n">
        <v>4792.76972</v>
      </c>
      <c r="Q766" t="n">
        <v>4613.18821</v>
      </c>
      <c r="R766" t="n">
        <v>4642.55151</v>
      </c>
      <c r="S766" t="n">
        <v>4669.14028</v>
      </c>
      <c r="V766" t="n">
        <v>4578.24844</v>
      </c>
      <c r="W766" t="n">
        <v>4544.68344</v>
      </c>
      <c r="AB766" t="n">
        <v>4593.50157</v>
      </c>
      <c r="AC766" t="n">
        <v>4593.57009</v>
      </c>
      <c r="AD766" t="n">
        <v>0</v>
      </c>
      <c r="AK766" t="n">
        <v>764</v>
      </c>
      <c r="AL766" t="n">
        <v>763</v>
      </c>
      <c r="AM766" t="n">
        <v>4594.16</v>
      </c>
      <c r="AN766" t="n">
        <v>4613.1882</v>
      </c>
      <c r="AO766" t="n">
        <v>-19.0282</v>
      </c>
      <c r="AP766" t="n">
        <v>362.0728</v>
      </c>
      <c r="AQ766" t="n">
        <v>-0.158493</v>
      </c>
      <c r="AR766" t="n">
        <v>0.085772</v>
      </c>
      <c r="AY766" t="n">
        <v>764</v>
      </c>
      <c r="AZ766" t="n">
        <v>763</v>
      </c>
      <c r="BA766" t="n">
        <v>4594.16</v>
      </c>
      <c r="BB766" t="n">
        <v>4613.1882</v>
      </c>
      <c r="BC766" t="n">
        <v>-19.0282</v>
      </c>
      <c r="BD766" t="n">
        <v>362.0728</v>
      </c>
      <c r="BE766" t="n">
        <v>582169</v>
      </c>
    </row>
    <row r="767">
      <c r="A767" t="n">
        <v>1777417202</v>
      </c>
      <c r="B767" t="inlineStr">
        <is>
          <t>XAUUSD</t>
        </is>
      </c>
      <c r="C767" t="inlineStr">
        <is>
          <t>M15</t>
        </is>
      </c>
      <c r="D767" t="n">
        <v>4590.84</v>
      </c>
      <c r="E767" t="n">
        <v>4518.59282</v>
      </c>
      <c r="F767" t="n">
        <v>4596.05595</v>
      </c>
      <c r="G767" t="n">
        <v>4755.40355</v>
      </c>
      <c r="H767" t="n">
        <v>4792.76972</v>
      </c>
      <c r="Q767" t="n">
        <v>4612.9206</v>
      </c>
      <c r="R767" t="n">
        <v>4642.2839</v>
      </c>
      <c r="S767" t="n">
        <v>4668.87267</v>
      </c>
      <c r="V767" t="n">
        <v>4577.98083</v>
      </c>
      <c r="W767" t="n">
        <v>4544.41584</v>
      </c>
      <c r="AB767" t="n">
        <v>4594.17653</v>
      </c>
      <c r="AC767" t="n">
        <v>4593.87331</v>
      </c>
      <c r="AD767" t="n">
        <v>1</v>
      </c>
      <c r="AK767" t="n">
        <v>765</v>
      </c>
      <c r="AL767" t="n">
        <v>764</v>
      </c>
      <c r="AM767" t="n">
        <v>4590.84</v>
      </c>
      <c r="AN767" t="n">
        <v>4612.9206</v>
      </c>
      <c r="AO767" t="n">
        <v>-22.0806</v>
      </c>
      <c r="AP767" t="n">
        <v>487.5529</v>
      </c>
      <c r="AQ767" t="n">
        <v>-0.247656</v>
      </c>
      <c r="AR767" t="n">
        <v>0.155524</v>
      </c>
      <c r="AY767" t="n">
        <v>765</v>
      </c>
      <c r="AZ767" t="n">
        <v>764</v>
      </c>
      <c r="BA767" t="n">
        <v>4590.84</v>
      </c>
      <c r="BB767" t="n">
        <v>4612.9206</v>
      </c>
      <c r="BC767" t="n">
        <v>-22.0806</v>
      </c>
      <c r="BD767" t="n">
        <v>487.5529</v>
      </c>
      <c r="BE767" t="n">
        <v>583696</v>
      </c>
    </row>
    <row r="768">
      <c r="A768" t="n">
        <v>1777418102</v>
      </c>
      <c r="B768" t="inlineStr">
        <is>
          <t>XAUUSD</t>
        </is>
      </c>
      <c r="C768" t="inlineStr">
        <is>
          <t>M15</t>
        </is>
      </c>
      <c r="D768" t="n">
        <v>4592.2</v>
      </c>
      <c r="E768" t="n">
        <v>4518.59282</v>
      </c>
      <c r="F768" t="n">
        <v>4596.05595</v>
      </c>
      <c r="G768" t="n">
        <v>4755.40355</v>
      </c>
      <c r="H768" t="n">
        <v>4792.76972</v>
      </c>
      <c r="Q768" t="n">
        <v>4612.653</v>
      </c>
      <c r="R768" t="n">
        <v>4642.0163</v>
      </c>
      <c r="S768" t="n">
        <v>4668.60507</v>
      </c>
      <c r="V768" t="n">
        <v>4577.71323</v>
      </c>
      <c r="W768" t="n">
        <v>4544.14823</v>
      </c>
      <c r="AB768" t="n">
        <v>4595.25788</v>
      </c>
      <c r="AC768" t="n">
        <v>4594.56559</v>
      </c>
      <c r="AD768" t="n">
        <v>0</v>
      </c>
      <c r="AK768" t="n">
        <v>766</v>
      </c>
      <c r="AL768" t="n">
        <v>765</v>
      </c>
      <c r="AM768" t="n">
        <v>4592.2</v>
      </c>
      <c r="AN768" t="n">
        <v>4612.653</v>
      </c>
      <c r="AO768" t="n">
        <v>-20.453</v>
      </c>
      <c r="AP768" t="n">
        <v>418.3252</v>
      </c>
      <c r="AQ768" t="n">
        <v>-0.196828</v>
      </c>
      <c r="AR768" t="n">
        <v>0.114494</v>
      </c>
      <c r="AY768" t="n">
        <v>766</v>
      </c>
      <c r="AZ768" t="n">
        <v>765</v>
      </c>
      <c r="BA768" t="n">
        <v>4592.2</v>
      </c>
      <c r="BB768" t="n">
        <v>4612.653</v>
      </c>
      <c r="BC768" t="n">
        <v>-20.453</v>
      </c>
      <c r="BD768" t="n">
        <v>418.3252</v>
      </c>
      <c r="BE768" t="n">
        <v>585225</v>
      </c>
    </row>
    <row r="769">
      <c r="A769" t="n">
        <v>1777419002</v>
      </c>
      <c r="B769" t="inlineStr">
        <is>
          <t>XAUUSD</t>
        </is>
      </c>
      <c r="C769" t="inlineStr">
        <is>
          <t>M15</t>
        </is>
      </c>
      <c r="D769" t="n">
        <v>4589.91</v>
      </c>
      <c r="E769" t="n">
        <v>4518.59282</v>
      </c>
      <c r="F769" t="n">
        <v>4596.05595</v>
      </c>
      <c r="G769" t="n">
        <v>4755.40355</v>
      </c>
      <c r="H769" t="n">
        <v>4792.76972</v>
      </c>
      <c r="Q769" t="n">
        <v>4612.38539</v>
      </c>
      <c r="R769" t="n">
        <v>4641.74869</v>
      </c>
      <c r="S769" t="n">
        <v>4668.33746</v>
      </c>
      <c r="V769" t="n">
        <v>4577.44562</v>
      </c>
      <c r="W769" t="n">
        <v>4543.88063</v>
      </c>
      <c r="AB769" t="n">
        <v>4596.45968</v>
      </c>
      <c r="AC769" t="n">
        <v>4595.51264</v>
      </c>
      <c r="AD769" t="n">
        <v>0</v>
      </c>
      <c r="AK769" t="n">
        <v>767</v>
      </c>
      <c r="AL769" t="n">
        <v>766</v>
      </c>
      <c r="AM769" t="n">
        <v>4589.91</v>
      </c>
      <c r="AN769" t="n">
        <v>4612.3854</v>
      </c>
      <c r="AO769" t="n">
        <v>-22.4754</v>
      </c>
      <c r="AP769" t="n">
        <v>505.1432</v>
      </c>
      <c r="AQ769" t="n">
        <v>-0.261178</v>
      </c>
      <c r="AR769" t="n">
        <v>0.166949</v>
      </c>
      <c r="AY769" t="n">
        <v>767</v>
      </c>
      <c r="AZ769" t="n">
        <v>766</v>
      </c>
      <c r="BA769" t="n">
        <v>4589.91</v>
      </c>
      <c r="BB769" t="n">
        <v>4612.3854</v>
      </c>
      <c r="BC769" t="n">
        <v>-22.4754</v>
      </c>
      <c r="BD769" t="n">
        <v>505.1432</v>
      </c>
      <c r="BE769" t="n">
        <v>586756</v>
      </c>
    </row>
    <row r="770">
      <c r="A770" t="n">
        <v>1777419902</v>
      </c>
      <c r="B770" t="inlineStr">
        <is>
          <t>XAUUSD</t>
        </is>
      </c>
      <c r="C770" t="inlineStr">
        <is>
          <t>M15</t>
        </is>
      </c>
      <c r="D770" t="n">
        <v>4595.51</v>
      </c>
      <c r="E770" t="n">
        <v>4518.59282</v>
      </c>
      <c r="F770" t="n">
        <v>4596.05595</v>
      </c>
      <c r="G770" t="n">
        <v>4755.40355</v>
      </c>
      <c r="H770" t="n">
        <v>4792.76972</v>
      </c>
      <c r="Q770" t="n">
        <v>4612.11779</v>
      </c>
      <c r="R770" t="n">
        <v>4641.48109</v>
      </c>
      <c r="S770" t="n">
        <v>4668.06986</v>
      </c>
      <c r="V770" t="n">
        <v>4577.17802</v>
      </c>
      <c r="W770" t="n">
        <v>4543.61302</v>
      </c>
      <c r="AB770" t="n">
        <v>4597.5665</v>
      </c>
      <c r="AC770" t="n">
        <v>4596.53957</v>
      </c>
      <c r="AD770" t="n">
        <v>0</v>
      </c>
      <c r="AK770" t="n">
        <v>768</v>
      </c>
      <c r="AL770" t="n">
        <v>767</v>
      </c>
      <c r="AM770" t="n">
        <v>4595.51</v>
      </c>
      <c r="AN770" t="n">
        <v>4612.1178</v>
      </c>
      <c r="AO770" t="n">
        <v>-16.6078</v>
      </c>
      <c r="AP770" t="n">
        <v>275.8187</v>
      </c>
      <c r="AQ770" t="n">
        <v>-0.105378</v>
      </c>
      <c r="AR770" t="n">
        <v>0.049774</v>
      </c>
      <c r="AY770" t="n">
        <v>768</v>
      </c>
      <c r="AZ770" t="n">
        <v>767</v>
      </c>
      <c r="BA770" t="n">
        <v>4595.51</v>
      </c>
      <c r="BB770" t="n">
        <v>4612.1178</v>
      </c>
      <c r="BC770" t="n">
        <v>-16.6078</v>
      </c>
      <c r="BD770" t="n">
        <v>275.8187</v>
      </c>
      <c r="BE770" t="n">
        <v>588289</v>
      </c>
    </row>
    <row r="771">
      <c r="A771" t="n">
        <v>1777420802</v>
      </c>
      <c r="B771" t="inlineStr">
        <is>
          <t>XAUUSD</t>
        </is>
      </c>
      <c r="C771" t="inlineStr">
        <is>
          <t>M15</t>
        </is>
      </c>
      <c r="D771" t="n">
        <v>4607.37</v>
      </c>
      <c r="E771" t="n">
        <v>4518.59282</v>
      </c>
      <c r="F771" t="n">
        <v>4596.05595</v>
      </c>
      <c r="G771" t="n">
        <v>4755.40355</v>
      </c>
      <c r="H771" t="n">
        <v>4792.76972</v>
      </c>
      <c r="Q771" t="n">
        <v>4611.85019</v>
      </c>
      <c r="R771" t="n">
        <v>4641.21349</v>
      </c>
      <c r="S771" t="n">
        <v>4667.80226</v>
      </c>
      <c r="V771" t="n">
        <v>4576.91042</v>
      </c>
      <c r="W771" t="n">
        <v>4543.34542</v>
      </c>
      <c r="Z771" t="n">
        <v>4610.15</v>
      </c>
      <c r="AB771" t="n">
        <v>4598.14045</v>
      </c>
      <c r="AC771" t="n">
        <v>4597.34001</v>
      </c>
      <c r="AD771" t="n">
        <v>0</v>
      </c>
      <c r="AK771" t="n">
        <v>769</v>
      </c>
      <c r="AL771" t="n">
        <v>768</v>
      </c>
      <c r="AM771" t="n">
        <v>4607.37</v>
      </c>
      <c r="AN771" t="n">
        <v>4611.8502</v>
      </c>
      <c r="AO771" t="n">
        <v>-4.4802</v>
      </c>
      <c r="AP771" t="n">
        <v>20.0721</v>
      </c>
      <c r="AQ771" t="n">
        <v>-0.002069</v>
      </c>
      <c r="AR771" t="n">
        <v>0.000264</v>
      </c>
      <c r="AY771" t="n">
        <v>769</v>
      </c>
      <c r="AZ771" t="n">
        <v>768</v>
      </c>
      <c r="BA771" t="n">
        <v>4607.37</v>
      </c>
      <c r="BB771" t="n">
        <v>4611.8502</v>
      </c>
      <c r="BC771" t="n">
        <v>-4.4802</v>
      </c>
      <c r="BD771" t="n">
        <v>20.0721</v>
      </c>
      <c r="BE771" t="n">
        <v>589824</v>
      </c>
    </row>
    <row r="772">
      <c r="A772" t="n">
        <v>1777421702</v>
      </c>
      <c r="B772" t="inlineStr">
        <is>
          <t>XAUUSD</t>
        </is>
      </c>
      <c r="C772" t="inlineStr">
        <is>
          <t>M15</t>
        </is>
      </c>
      <c r="D772" t="n">
        <v>4600.13</v>
      </c>
      <c r="E772" t="n">
        <v>4518.59282</v>
      </c>
      <c r="F772" t="n">
        <v>4596.05595</v>
      </c>
      <c r="G772" t="n">
        <v>4755.40355</v>
      </c>
      <c r="H772" t="n">
        <v>4792.76972</v>
      </c>
      <c r="Q772" t="n">
        <v>4611.58258</v>
      </c>
      <c r="R772" t="n">
        <v>4640.94588</v>
      </c>
      <c r="S772" t="n">
        <v>4667.53465</v>
      </c>
      <c r="V772" t="n">
        <v>4576.64281</v>
      </c>
      <c r="W772" t="n">
        <v>4543.07782</v>
      </c>
      <c r="AB772" t="n">
        <v>4597.69103</v>
      </c>
      <c r="AC772" t="n">
        <v>4597.51552</v>
      </c>
      <c r="AD772" t="n">
        <v>0</v>
      </c>
      <c r="AK772" t="n">
        <v>770</v>
      </c>
      <c r="AL772" t="n">
        <v>769</v>
      </c>
      <c r="AM772" t="n">
        <v>4600.13</v>
      </c>
      <c r="AN772" t="n">
        <v>4611.5826</v>
      </c>
      <c r="AO772" t="n">
        <v>-11.4526</v>
      </c>
      <c r="AP772" t="n">
        <v>131.1616</v>
      </c>
      <c r="AQ772" t="n">
        <v>-0.034556</v>
      </c>
      <c r="AR772" t="n">
        <v>0.011256</v>
      </c>
      <c r="AY772" t="n">
        <v>770</v>
      </c>
      <c r="AZ772" t="n">
        <v>769</v>
      </c>
      <c r="BA772" t="n">
        <v>4600.13</v>
      </c>
      <c r="BB772" t="n">
        <v>4611.5826</v>
      </c>
      <c r="BC772" t="n">
        <v>-11.4526</v>
      </c>
      <c r="BD772" t="n">
        <v>131.1616</v>
      </c>
      <c r="BE772" t="n">
        <v>591361</v>
      </c>
    </row>
    <row r="773">
      <c r="A773" t="n">
        <v>1777422602</v>
      </c>
      <c r="B773" t="inlineStr">
        <is>
          <t>XAUUSD</t>
        </is>
      </c>
      <c r="C773" t="inlineStr">
        <is>
          <t>M15</t>
        </is>
      </c>
      <c r="D773" t="n">
        <v>4603.88</v>
      </c>
      <c r="E773" t="n">
        <v>4518.59282</v>
      </c>
      <c r="F773" t="n">
        <v>4596.05595</v>
      </c>
      <c r="G773" t="n">
        <v>4755.40355</v>
      </c>
      <c r="H773" t="n">
        <v>4792.76972</v>
      </c>
      <c r="Q773" t="n">
        <v>4611.31498</v>
      </c>
      <c r="R773" t="n">
        <v>4640.67828</v>
      </c>
      <c r="S773" t="n">
        <v>4667.26705</v>
      </c>
      <c r="V773" t="n">
        <v>4576.37521</v>
      </c>
      <c r="W773" t="n">
        <v>4542.81021</v>
      </c>
      <c r="AB773" t="n">
        <v>4596.43241</v>
      </c>
      <c r="AC773" t="n">
        <v>4596.97397</v>
      </c>
      <c r="AD773" t="n">
        <v>1</v>
      </c>
      <c r="AK773" t="n">
        <v>771</v>
      </c>
      <c r="AL773" t="n">
        <v>770</v>
      </c>
      <c r="AM773" t="n">
        <v>4603.88</v>
      </c>
      <c r="AN773" t="n">
        <v>4611.315</v>
      </c>
      <c r="AO773" t="n">
        <v>-7.435</v>
      </c>
      <c r="AP773" t="n">
        <v>55.2789</v>
      </c>
      <c r="AQ773" t="n">
        <v>-0.009455</v>
      </c>
      <c r="AR773" t="n">
        <v>0.001999</v>
      </c>
      <c r="AY773" t="n">
        <v>771</v>
      </c>
      <c r="AZ773" t="n">
        <v>770</v>
      </c>
      <c r="BA773" t="n">
        <v>4603.88</v>
      </c>
      <c r="BB773" t="n">
        <v>4611.315</v>
      </c>
      <c r="BC773" t="n">
        <v>-7.435</v>
      </c>
      <c r="BD773" t="n">
        <v>55.2789</v>
      </c>
      <c r="BE773" t="n">
        <v>592900</v>
      </c>
    </row>
    <row r="774">
      <c r="A774" t="n">
        <v>1777423502</v>
      </c>
      <c r="B774" t="inlineStr">
        <is>
          <t>XAUUSD</t>
        </is>
      </c>
      <c r="C774" t="inlineStr">
        <is>
          <t>M15</t>
        </is>
      </c>
      <c r="D774" t="n">
        <v>4600.27</v>
      </c>
      <c r="E774" t="n">
        <v>4518.59282</v>
      </c>
      <c r="F774" t="n">
        <v>4596.05595</v>
      </c>
      <c r="G774" t="n">
        <v>4755.40355</v>
      </c>
      <c r="H774" t="n">
        <v>4792.76972</v>
      </c>
      <c r="Q774" t="n">
        <v>4611.04737</v>
      </c>
      <c r="R774" t="n">
        <v>4640.41067</v>
      </c>
      <c r="S774" t="n">
        <v>4666.99944</v>
      </c>
      <c r="V774" t="n">
        <v>4576.1076</v>
      </c>
      <c r="W774" t="n">
        <v>4542.54261</v>
      </c>
      <c r="AB774" t="n">
        <v>4594.49663</v>
      </c>
      <c r="AC774" t="n">
        <v>4595.7353</v>
      </c>
      <c r="AD774" t="n">
        <v>0</v>
      </c>
      <c r="AK774" t="n">
        <v>772</v>
      </c>
      <c r="AL774" t="n">
        <v>771</v>
      </c>
      <c r="AM774" t="n">
        <v>4600.27</v>
      </c>
      <c r="AN774" t="n">
        <v>4611.0474</v>
      </c>
      <c r="AO774" t="n">
        <v>-10.7774</v>
      </c>
      <c r="AP774" t="n">
        <v>116.1517</v>
      </c>
      <c r="AQ774" t="n">
        <v>-0.028797</v>
      </c>
      <c r="AR774" t="n">
        <v>0.008827</v>
      </c>
      <c r="AY774" t="n">
        <v>772</v>
      </c>
      <c r="AZ774" t="n">
        <v>771</v>
      </c>
      <c r="BA774" t="n">
        <v>4600.27</v>
      </c>
      <c r="BB774" t="n">
        <v>4611.0474</v>
      </c>
      <c r="BC774" t="n">
        <v>-10.7774</v>
      </c>
      <c r="BD774" t="n">
        <v>116.1517</v>
      </c>
      <c r="BE774" t="n">
        <v>594441</v>
      </c>
    </row>
    <row r="775">
      <c r="A775" t="n">
        <v>1777424402</v>
      </c>
      <c r="B775" t="inlineStr">
        <is>
          <t>XAUUSD</t>
        </is>
      </c>
      <c r="C775" t="inlineStr">
        <is>
          <t>M15</t>
        </is>
      </c>
      <c r="D775" t="n">
        <v>4582.65</v>
      </c>
      <c r="E775" t="n">
        <v>4518.59282</v>
      </c>
      <c r="F775" t="n">
        <v>4596.05595</v>
      </c>
      <c r="G775" t="n">
        <v>4755.40355</v>
      </c>
      <c r="H775" t="n">
        <v>4792.76972</v>
      </c>
      <c r="Q775" t="n">
        <v>4610.77977</v>
      </c>
      <c r="R775" t="n">
        <v>4640.14307</v>
      </c>
      <c r="S775" t="n">
        <v>4666.73184</v>
      </c>
      <c r="V775" t="n">
        <v>4575.84</v>
      </c>
      <c r="W775" t="n">
        <v>4542.275</v>
      </c>
      <c r="AA775" t="n">
        <v>4575.84</v>
      </c>
      <c r="AB775" t="n">
        <v>4592.36752</v>
      </c>
      <c r="AC775" t="n">
        <v>4594.05141</v>
      </c>
      <c r="AD775" t="n">
        <v>0</v>
      </c>
      <c r="AK775" t="n">
        <v>773</v>
      </c>
      <c r="AL775" t="n">
        <v>772</v>
      </c>
      <c r="AM775" t="n">
        <v>4582.65</v>
      </c>
      <c r="AN775" t="n">
        <v>4610.7798</v>
      </c>
      <c r="AO775" t="n">
        <v>-28.1298</v>
      </c>
      <c r="AP775" t="n">
        <v>791.284</v>
      </c>
      <c r="AQ775" t="n">
        <v>-0.512052</v>
      </c>
      <c r="AR775" t="n">
        <v>0.409656</v>
      </c>
      <c r="AY775" t="n">
        <v>773</v>
      </c>
      <c r="AZ775" t="n">
        <v>772</v>
      </c>
      <c r="BA775" t="n">
        <v>4582.65</v>
      </c>
      <c r="BB775" t="n">
        <v>4610.7798</v>
      </c>
      <c r="BC775" t="n">
        <v>-28.1298</v>
      </c>
      <c r="BD775" t="n">
        <v>791.284</v>
      </c>
      <c r="BE775" t="n">
        <v>595984</v>
      </c>
    </row>
    <row r="776">
      <c r="A776" t="n">
        <v>1777425302</v>
      </c>
      <c r="B776" t="inlineStr">
        <is>
          <t>XAUUSD</t>
        </is>
      </c>
      <c r="C776" t="inlineStr">
        <is>
          <t>M15</t>
        </is>
      </c>
      <c r="D776" t="n">
        <v>4580.48</v>
      </c>
      <c r="E776" t="n">
        <v>4518.59282</v>
      </c>
      <c r="F776" t="n">
        <v>4596.05595</v>
      </c>
      <c r="G776" t="n">
        <v>4755.40355</v>
      </c>
      <c r="H776" t="n">
        <v>4792.76972</v>
      </c>
      <c r="Q776" t="n">
        <v>4610.51217</v>
      </c>
      <c r="R776" t="n">
        <v>4639.87546</v>
      </c>
      <c r="S776" t="n">
        <v>4666.46424</v>
      </c>
      <c r="V776" t="n">
        <v>4575.5724</v>
      </c>
      <c r="W776" t="n">
        <v>4542.0074</v>
      </c>
      <c r="AB776" t="n">
        <v>4590.93542</v>
      </c>
      <c r="AC776" t="n">
        <v>4592.49341</v>
      </c>
      <c r="AD776" t="n">
        <v>0</v>
      </c>
      <c r="AK776" t="n">
        <v>774</v>
      </c>
      <c r="AL776" t="n">
        <v>773</v>
      </c>
      <c r="AM776" t="n">
        <v>4580.48</v>
      </c>
      <c r="AN776" t="n">
        <v>4610.5122</v>
      </c>
      <c r="AO776" t="n">
        <v>-30.0322</v>
      </c>
      <c r="AP776" t="n">
        <v>901.9312</v>
      </c>
      <c r="AQ776" t="n">
        <v>-0.623126</v>
      </c>
      <c r="AR776" t="n">
        <v>0.532232</v>
      </c>
      <c r="AY776" t="n">
        <v>774</v>
      </c>
      <c r="AZ776" t="n">
        <v>773</v>
      </c>
      <c r="BA776" t="n">
        <v>4580.48</v>
      </c>
      <c r="BB776" t="n">
        <v>4610.5122</v>
      </c>
      <c r="BC776" t="n">
        <v>-30.0322</v>
      </c>
      <c r="BD776" t="n">
        <v>901.9312</v>
      </c>
      <c r="BE776" t="n">
        <v>597529</v>
      </c>
    </row>
    <row r="777">
      <c r="A777" t="n">
        <v>1777426202</v>
      </c>
      <c r="B777" t="inlineStr">
        <is>
          <t>XAUUSD</t>
        </is>
      </c>
      <c r="C777" t="inlineStr">
        <is>
          <t>M15</t>
        </is>
      </c>
      <c r="D777" t="n">
        <v>4590.56</v>
      </c>
      <c r="E777" t="n">
        <v>4518.59282</v>
      </c>
      <c r="F777" t="n">
        <v>4596.05595</v>
      </c>
      <c r="G777" t="n">
        <v>4755.40355</v>
      </c>
      <c r="H777" t="n">
        <v>4792.76972</v>
      </c>
      <c r="Q777" t="n">
        <v>4610.24456</v>
      </c>
      <c r="R777" t="n">
        <v>4639.60786</v>
      </c>
      <c r="S777" t="n">
        <v>4666.19663</v>
      </c>
      <c r="V777" t="n">
        <v>4575.30479</v>
      </c>
      <c r="W777" t="n">
        <v>4541.7398</v>
      </c>
      <c r="AB777" t="n">
        <v>4590.52418</v>
      </c>
      <c r="AC777" t="n">
        <v>4591.5088</v>
      </c>
      <c r="AD777" t="n">
        <v>0</v>
      </c>
      <c r="AK777" t="n">
        <v>775</v>
      </c>
      <c r="AL777" t="n">
        <v>774</v>
      </c>
      <c r="AM777" t="n">
        <v>4590.56</v>
      </c>
      <c r="AN777" t="n">
        <v>4610.2446</v>
      </c>
      <c r="AO777" t="n">
        <v>-19.6846</v>
      </c>
      <c r="AP777" t="n">
        <v>387.4819</v>
      </c>
      <c r="AQ777" t="n">
        <v>-0.175466</v>
      </c>
      <c r="AR777" t="n">
        <v>0.098233</v>
      </c>
      <c r="AY777" t="n">
        <v>775</v>
      </c>
      <c r="AZ777" t="n">
        <v>774</v>
      </c>
      <c r="BA777" t="n">
        <v>4590.56</v>
      </c>
      <c r="BB777" t="n">
        <v>4610.2446</v>
      </c>
      <c r="BC777" t="n">
        <v>-19.6846</v>
      </c>
      <c r="BD777" t="n">
        <v>387.4819</v>
      </c>
      <c r="BE777" t="n">
        <v>599076</v>
      </c>
    </row>
    <row r="778">
      <c r="A778" t="n">
        <v>1777427102</v>
      </c>
      <c r="B778" t="inlineStr">
        <is>
          <t>XAUUSD</t>
        </is>
      </c>
      <c r="C778" t="inlineStr">
        <is>
          <t>M15</t>
        </is>
      </c>
      <c r="D778" t="n">
        <v>4584.98</v>
      </c>
      <c r="E778" t="n">
        <v>4518.59282</v>
      </c>
      <c r="F778" t="n">
        <v>4596.05595</v>
      </c>
      <c r="G778" t="n">
        <v>4755.40355</v>
      </c>
      <c r="H778" t="n">
        <v>4792.76972</v>
      </c>
      <c r="Q778" t="n">
        <v>4609.97696</v>
      </c>
      <c r="R778" t="n">
        <v>4639.34026</v>
      </c>
      <c r="S778" t="n">
        <v>4665.92903</v>
      </c>
      <c r="V778" t="n">
        <v>4575.03719</v>
      </c>
      <c r="W778" t="n">
        <v>4541.47219</v>
      </c>
      <c r="AB778" t="n">
        <v>4590.93588</v>
      </c>
      <c r="AC778" t="n">
        <v>4591.22234</v>
      </c>
      <c r="AD778" t="n">
        <v>0</v>
      </c>
      <c r="AK778" t="n">
        <v>776</v>
      </c>
      <c r="AL778" t="n">
        <v>775</v>
      </c>
      <c r="AM778" t="n">
        <v>4584.98</v>
      </c>
      <c r="AN778" t="n">
        <v>4609.977</v>
      </c>
      <c r="AO778" t="n">
        <v>-24.997</v>
      </c>
      <c r="AP778" t="n">
        <v>624.848</v>
      </c>
      <c r="AQ778" t="n">
        <v>-0.359317</v>
      </c>
      <c r="AR778" t="n">
        <v>0.255448</v>
      </c>
      <c r="AY778" t="n">
        <v>776</v>
      </c>
      <c r="AZ778" t="n">
        <v>775</v>
      </c>
      <c r="BA778" t="n">
        <v>4584.98</v>
      </c>
      <c r="BB778" t="n">
        <v>4609.977</v>
      </c>
      <c r="BC778" t="n">
        <v>-24.997</v>
      </c>
      <c r="BD778" t="n">
        <v>624.848</v>
      </c>
      <c r="BE778" t="n">
        <v>600625</v>
      </c>
    </row>
    <row r="779">
      <c r="A779" t="n">
        <v>1777428002</v>
      </c>
      <c r="B779" t="inlineStr">
        <is>
          <t>XAUUSD</t>
        </is>
      </c>
      <c r="C779" t="inlineStr">
        <is>
          <t>M15</t>
        </is>
      </c>
      <c r="D779" t="n">
        <v>4600.87</v>
      </c>
      <c r="E779" t="n">
        <v>4518.59282</v>
      </c>
      <c r="F779" t="n">
        <v>4596.05595</v>
      </c>
      <c r="G779" t="n">
        <v>4755.40355</v>
      </c>
      <c r="H779" t="n">
        <v>4792.76972</v>
      </c>
      <c r="Q779" t="n">
        <v>4609.70935</v>
      </c>
      <c r="R779" t="n">
        <v>4639.07265</v>
      </c>
      <c r="S779" t="n">
        <v>4665.66142</v>
      </c>
      <c r="V779" t="n">
        <v>4574.76958</v>
      </c>
      <c r="W779" t="n">
        <v>4541.20459</v>
      </c>
      <c r="AB779" t="n">
        <v>4592.23227</v>
      </c>
      <c r="AC779" t="n">
        <v>4591.7273</v>
      </c>
      <c r="AD779" t="n">
        <v>1</v>
      </c>
      <c r="AK779" t="n">
        <v>777</v>
      </c>
      <c r="AL779" t="n">
        <v>776</v>
      </c>
      <c r="AM779" t="n">
        <v>4600.87</v>
      </c>
      <c r="AN779" t="n">
        <v>4609.7094</v>
      </c>
      <c r="AO779" t="n">
        <v>-8.839399999999999</v>
      </c>
      <c r="AP779" t="n">
        <v>78.1341</v>
      </c>
      <c r="AQ779" t="n">
        <v>-0.015888</v>
      </c>
      <c r="AR779" t="n">
        <v>0.003994</v>
      </c>
      <c r="AY779" t="n">
        <v>777</v>
      </c>
      <c r="AZ779" t="n">
        <v>776</v>
      </c>
      <c r="BA779" t="n">
        <v>4600.87</v>
      </c>
      <c r="BB779" t="n">
        <v>4609.7094</v>
      </c>
      <c r="BC779" t="n">
        <v>-8.839399999999999</v>
      </c>
      <c r="BD779" t="n">
        <v>78.1341</v>
      </c>
      <c r="BE779" t="n">
        <v>602176</v>
      </c>
    </row>
    <row r="780">
      <c r="A780" t="n">
        <v>1777428902</v>
      </c>
      <c r="B780" t="inlineStr">
        <is>
          <t>XAUUSD</t>
        </is>
      </c>
      <c r="C780" t="inlineStr">
        <is>
          <t>M15</t>
        </is>
      </c>
      <c r="D780" t="n">
        <v>4598.93</v>
      </c>
      <c r="E780" t="n">
        <v>4518.59282</v>
      </c>
      <c r="F780" t="n">
        <v>4596.05595</v>
      </c>
      <c r="G780" t="n">
        <v>4755.40355</v>
      </c>
      <c r="H780" t="n">
        <v>4792.76972</v>
      </c>
      <c r="Q780" t="n">
        <v>4609.44175</v>
      </c>
      <c r="R780" t="n">
        <v>4638.80505</v>
      </c>
      <c r="S780" t="n">
        <v>4665.39382</v>
      </c>
      <c r="V780" t="n">
        <v>4574.50198</v>
      </c>
      <c r="W780" t="n">
        <v>4540.93698</v>
      </c>
      <c r="AB780" t="n">
        <v>4593.74089</v>
      </c>
      <c r="AC780" t="n">
        <v>4592.7341</v>
      </c>
      <c r="AD780" t="n">
        <v>0</v>
      </c>
      <c r="AK780" t="n">
        <v>778</v>
      </c>
      <c r="AL780" t="n">
        <v>777</v>
      </c>
      <c r="AM780" t="n">
        <v>4598.93</v>
      </c>
      <c r="AN780" t="n">
        <v>4609.4417</v>
      </c>
      <c r="AO780" t="n">
        <v>-10.5117</v>
      </c>
      <c r="AP780" t="n">
        <v>110.4969</v>
      </c>
      <c r="AQ780" t="n">
        <v>-0.02672</v>
      </c>
      <c r="AR780" t="n">
        <v>0.007988</v>
      </c>
      <c r="AY780" t="n">
        <v>778</v>
      </c>
      <c r="AZ780" t="n">
        <v>777</v>
      </c>
      <c r="BA780" t="n">
        <v>4598.93</v>
      </c>
      <c r="BB780" t="n">
        <v>4609.4417</v>
      </c>
      <c r="BC780" t="n">
        <v>-10.5117</v>
      </c>
      <c r="BD780" t="n">
        <v>110.4969</v>
      </c>
      <c r="BE780" t="n">
        <v>603729</v>
      </c>
    </row>
    <row r="781">
      <c r="A781" t="n">
        <v>1777429802</v>
      </c>
      <c r="B781" t="inlineStr">
        <is>
          <t>XAUUSD</t>
        </is>
      </c>
      <c r="C781" t="inlineStr">
        <is>
          <t>M15</t>
        </is>
      </c>
      <c r="D781" t="n">
        <v>4596.92</v>
      </c>
      <c r="E781" t="n">
        <v>4518.59282</v>
      </c>
      <c r="F781" t="n">
        <v>4596.05595</v>
      </c>
      <c r="G781" t="n">
        <v>4755.40355</v>
      </c>
      <c r="H781" t="n">
        <v>4792.76972</v>
      </c>
      <c r="Q781" t="n">
        <v>4609.17415</v>
      </c>
      <c r="R781" t="n">
        <v>4638.53744</v>
      </c>
      <c r="S781" t="n">
        <v>4665.12622</v>
      </c>
      <c r="V781" t="n">
        <v>4574.23438</v>
      </c>
      <c r="W781" t="n">
        <v>4540.66938</v>
      </c>
      <c r="AB781" t="n">
        <v>4595.26049</v>
      </c>
      <c r="AC781" t="n">
        <v>4593.99729</v>
      </c>
      <c r="AD781" t="n">
        <v>0</v>
      </c>
      <c r="AK781" t="n">
        <v>779</v>
      </c>
      <c r="AL781" t="n">
        <v>778</v>
      </c>
      <c r="AM781" t="n">
        <v>4596.92</v>
      </c>
      <c r="AN781" t="n">
        <v>4609.1741</v>
      </c>
      <c r="AO781" t="n">
        <v>-12.2541</v>
      </c>
      <c r="AP781" t="n">
        <v>150.1642</v>
      </c>
      <c r="AQ781" t="n">
        <v>-0.042332</v>
      </c>
      <c r="AR781" t="n">
        <v>0.014753</v>
      </c>
      <c r="AY781" t="n">
        <v>779</v>
      </c>
      <c r="AZ781" t="n">
        <v>778</v>
      </c>
      <c r="BA781" t="n">
        <v>4596.92</v>
      </c>
      <c r="BB781" t="n">
        <v>4609.1741</v>
      </c>
      <c r="BC781" t="n">
        <v>-12.2541</v>
      </c>
      <c r="BD781" t="n">
        <v>150.1642</v>
      </c>
      <c r="BE781" t="n">
        <v>605284</v>
      </c>
    </row>
    <row r="782">
      <c r="A782" t="n">
        <v>1777430702</v>
      </c>
      <c r="B782" t="inlineStr">
        <is>
          <t>XAUUSD</t>
        </is>
      </c>
      <c r="C782" t="inlineStr">
        <is>
          <t>M15</t>
        </is>
      </c>
      <c r="D782" t="n">
        <v>4593.75</v>
      </c>
      <c r="E782" t="n">
        <v>4518.59282</v>
      </c>
      <c r="F782" t="n">
        <v>4596.05595</v>
      </c>
      <c r="G782" t="n">
        <v>4755.40355</v>
      </c>
      <c r="H782" t="n">
        <v>4792.76972</v>
      </c>
      <c r="Q782" t="n">
        <v>4608.90654</v>
      </c>
      <c r="R782" t="n">
        <v>4638.26984</v>
      </c>
      <c r="S782" t="n">
        <v>4664.85861</v>
      </c>
      <c r="V782" t="n">
        <v>4573.96677</v>
      </c>
      <c r="W782" t="n">
        <v>4540.40178</v>
      </c>
      <c r="AB782" t="n">
        <v>4596.61909</v>
      </c>
      <c r="AC782" t="n">
        <v>4595.30819</v>
      </c>
      <c r="AD782" t="n">
        <v>0</v>
      </c>
      <c r="AK782" t="n">
        <v>780</v>
      </c>
      <c r="AL782" t="n">
        <v>779</v>
      </c>
      <c r="AM782" t="n">
        <v>4593.75</v>
      </c>
      <c r="AN782" t="n">
        <v>4608.9065</v>
      </c>
      <c r="AO782" t="n">
        <v>-15.1565</v>
      </c>
      <c r="AP782" t="n">
        <v>229.7207</v>
      </c>
      <c r="AQ782" t="n">
        <v>-0.080097</v>
      </c>
      <c r="AR782" t="n">
        <v>0.034527</v>
      </c>
      <c r="AY782" t="n">
        <v>780</v>
      </c>
      <c r="AZ782" t="n">
        <v>779</v>
      </c>
      <c r="BA782" t="n">
        <v>4593.75</v>
      </c>
      <c r="BB782" t="n">
        <v>4608.9065</v>
      </c>
      <c r="BC782" t="n">
        <v>-15.1565</v>
      </c>
      <c r="BD782" t="n">
        <v>229.7207</v>
      </c>
      <c r="BE782" t="n">
        <v>606841</v>
      </c>
    </row>
    <row r="783">
      <c r="A783" t="n">
        <v>1777431602</v>
      </c>
      <c r="B783" t="inlineStr">
        <is>
          <t>XAUUSD</t>
        </is>
      </c>
      <c r="C783" t="inlineStr">
        <is>
          <t>M15</t>
        </is>
      </c>
      <c r="D783" t="n">
        <v>4601.89</v>
      </c>
      <c r="E783" t="n">
        <v>4518.59282</v>
      </c>
      <c r="F783" t="n">
        <v>4596.05595</v>
      </c>
      <c r="G783" t="n">
        <v>4755.40355</v>
      </c>
      <c r="H783" t="n">
        <v>4792.76972</v>
      </c>
      <c r="Q783" t="n">
        <v>4608.63894</v>
      </c>
      <c r="R783" t="n">
        <v>4638.00224</v>
      </c>
      <c r="S783" t="n">
        <v>4664.59101</v>
      </c>
      <c r="V783" t="n">
        <v>4573.69917</v>
      </c>
      <c r="W783" t="n">
        <v>4540.13417</v>
      </c>
      <c r="AB783" t="n">
        <v>4597.78291</v>
      </c>
      <c r="AC783" t="n">
        <v>4596.54555</v>
      </c>
      <c r="AD783" t="n">
        <v>0</v>
      </c>
      <c r="AK783" t="n">
        <v>781</v>
      </c>
      <c r="AL783" t="n">
        <v>780</v>
      </c>
      <c r="AM783" t="n">
        <v>4601.89</v>
      </c>
      <c r="AN783" t="n">
        <v>4608.6389</v>
      </c>
      <c r="AO783" t="n">
        <v>-6.7489</v>
      </c>
      <c r="AP783" t="n">
        <v>45.5482</v>
      </c>
      <c r="AQ783" t="n">
        <v>-0.007072</v>
      </c>
      <c r="AR783" t="n">
        <v>0.001357</v>
      </c>
      <c r="AY783" t="n">
        <v>781</v>
      </c>
      <c r="AZ783" t="n">
        <v>780</v>
      </c>
      <c r="BA783" t="n">
        <v>4601.89</v>
      </c>
      <c r="BB783" t="n">
        <v>4608.6389</v>
      </c>
      <c r="BC783" t="n">
        <v>-6.7489</v>
      </c>
      <c r="BD783" t="n">
        <v>45.5482</v>
      </c>
      <c r="BE783" t="n">
        <v>608400</v>
      </c>
    </row>
    <row r="784">
      <c r="A784" t="n">
        <v>1777432502</v>
      </c>
      <c r="B784" t="inlineStr">
        <is>
          <t>XAUUSD</t>
        </is>
      </c>
      <c r="C784" t="inlineStr">
        <is>
          <t>M15</t>
        </is>
      </c>
      <c r="D784" t="n">
        <v>4598.67</v>
      </c>
      <c r="E784" t="n">
        <v>4518.59282</v>
      </c>
      <c r="F784" t="n">
        <v>4596.05595</v>
      </c>
      <c r="G784" t="n">
        <v>4755.40355</v>
      </c>
      <c r="H784" t="n">
        <v>4792.76972</v>
      </c>
      <c r="Q784" t="n">
        <v>4608.37133</v>
      </c>
      <c r="R784" t="n">
        <v>4637.73463</v>
      </c>
      <c r="S784" t="n">
        <v>4664.3234</v>
      </c>
      <c r="V784" t="n">
        <v>4573.43156</v>
      </c>
      <c r="W784" t="n">
        <v>4539.86657</v>
      </c>
      <c r="AB784" t="n">
        <v>4598.54124</v>
      </c>
      <c r="AC784" t="n">
        <v>4597.5434</v>
      </c>
      <c r="AD784" t="n">
        <v>0</v>
      </c>
      <c r="AK784" t="n">
        <v>782</v>
      </c>
      <c r="AL784" t="n">
        <v>781</v>
      </c>
      <c r="AM784" t="n">
        <v>4598.67</v>
      </c>
      <c r="AN784" t="n">
        <v>4608.3713</v>
      </c>
      <c r="AO784" t="n">
        <v>-9.7013</v>
      </c>
      <c r="AP784" t="n">
        <v>94.11579999999999</v>
      </c>
      <c r="AQ784" t="n">
        <v>-0.021004</v>
      </c>
      <c r="AR784" t="n">
        <v>0.005795</v>
      </c>
      <c r="AY784" t="n">
        <v>782</v>
      </c>
      <c r="AZ784" t="n">
        <v>781</v>
      </c>
      <c r="BA784" t="n">
        <v>4598.67</v>
      </c>
      <c r="BB784" t="n">
        <v>4608.3713</v>
      </c>
      <c r="BC784" t="n">
        <v>-9.7013</v>
      </c>
      <c r="BD784" t="n">
        <v>94.11579999999999</v>
      </c>
      <c r="BE784" t="n">
        <v>609961</v>
      </c>
    </row>
    <row r="785">
      <c r="A785" t="n">
        <v>1777433402</v>
      </c>
      <c r="B785" t="inlineStr">
        <is>
          <t>XAUUSD</t>
        </is>
      </c>
      <c r="C785" t="inlineStr">
        <is>
          <t>M15</t>
        </is>
      </c>
      <c r="D785" t="n">
        <v>4593.91</v>
      </c>
      <c r="E785" t="n">
        <v>4518.59282</v>
      </c>
      <c r="F785" t="n">
        <v>4596.05595</v>
      </c>
      <c r="G785" t="n">
        <v>4755.40355</v>
      </c>
      <c r="H785" t="n">
        <v>4792.76972</v>
      </c>
      <c r="Q785" t="n">
        <v>4608.10373</v>
      </c>
      <c r="R785" t="n">
        <v>4637.46703</v>
      </c>
      <c r="S785" t="n">
        <v>4664.0558</v>
      </c>
      <c r="V785" t="n">
        <v>4573.16396</v>
      </c>
      <c r="W785" t="n">
        <v>4539.59896</v>
      </c>
      <c r="AB785" t="n">
        <v>4599.08196</v>
      </c>
      <c r="AC785" t="n">
        <v>4598.31268</v>
      </c>
      <c r="AD785" t="n">
        <v>0</v>
      </c>
      <c r="AK785" t="n">
        <v>783</v>
      </c>
      <c r="AL785" t="n">
        <v>782</v>
      </c>
      <c r="AM785" t="n">
        <v>4593.91</v>
      </c>
      <c r="AN785" t="n">
        <v>4608.1037</v>
      </c>
      <c r="AO785" t="n">
        <v>-14.1937</v>
      </c>
      <c r="AP785" t="n">
        <v>201.462</v>
      </c>
      <c r="AQ785" t="n">
        <v>-0.06578199999999999</v>
      </c>
      <c r="AR785" t="n">
        <v>0.026555</v>
      </c>
      <c r="AY785" t="n">
        <v>783</v>
      </c>
      <c r="AZ785" t="n">
        <v>782</v>
      </c>
      <c r="BA785" t="n">
        <v>4593.91</v>
      </c>
      <c r="BB785" t="n">
        <v>4608.1037</v>
      </c>
      <c r="BC785" t="n">
        <v>-14.1937</v>
      </c>
      <c r="BD785" t="n">
        <v>201.462</v>
      </c>
      <c r="BE785" t="n">
        <v>611524</v>
      </c>
    </row>
    <row r="786">
      <c r="A786" t="n">
        <v>1777434302</v>
      </c>
      <c r="B786" t="inlineStr">
        <is>
          <t>XAUUSD</t>
        </is>
      </c>
      <c r="C786" t="inlineStr">
        <is>
          <t>M15</t>
        </is>
      </c>
      <c r="D786" t="n">
        <v>4595.48</v>
      </c>
      <c r="E786" t="n">
        <v>4518.59282</v>
      </c>
      <c r="F786" t="n">
        <v>4596.05595</v>
      </c>
      <c r="G786" t="n">
        <v>4755.40355</v>
      </c>
      <c r="H786" t="n">
        <v>4792.76972</v>
      </c>
      <c r="Q786" t="n">
        <v>4607.83613</v>
      </c>
      <c r="R786" t="n">
        <v>4637.19942</v>
      </c>
      <c r="S786" t="n">
        <v>4663.78819</v>
      </c>
      <c r="V786" t="n">
        <v>4572.89636</v>
      </c>
      <c r="W786" t="n">
        <v>4539.33136</v>
      </c>
      <c r="AB786" t="n">
        <v>4599.67116</v>
      </c>
      <c r="AC786" t="n">
        <v>4598.99192</v>
      </c>
      <c r="AD786" t="n">
        <v>0</v>
      </c>
      <c r="AK786" t="n">
        <v>784</v>
      </c>
      <c r="AL786" t="n">
        <v>783</v>
      </c>
      <c r="AM786" t="n">
        <v>4595.48</v>
      </c>
      <c r="AN786" t="n">
        <v>4607.8361</v>
      </c>
      <c r="AO786" t="n">
        <v>-12.3561</v>
      </c>
      <c r="AP786" t="n">
        <v>152.6739</v>
      </c>
      <c r="AQ786" t="n">
        <v>-0.043397</v>
      </c>
      <c r="AR786" t="n">
        <v>0.01525</v>
      </c>
      <c r="AY786" t="n">
        <v>784</v>
      </c>
      <c r="AZ786" t="n">
        <v>783</v>
      </c>
      <c r="BA786" t="n">
        <v>4595.48</v>
      </c>
      <c r="BB786" t="n">
        <v>4607.8361</v>
      </c>
      <c r="BC786" t="n">
        <v>-12.3561</v>
      </c>
      <c r="BD786" t="n">
        <v>152.6739</v>
      </c>
      <c r="BE786" t="n">
        <v>613089</v>
      </c>
    </row>
    <row r="787">
      <c r="A787" t="n">
        <v>1777435202</v>
      </c>
      <c r="B787" t="inlineStr">
        <is>
          <t>XAUUSD</t>
        </is>
      </c>
      <c r="C787" t="inlineStr">
        <is>
          <t>M15</t>
        </is>
      </c>
      <c r="D787" t="n">
        <v>4600.68</v>
      </c>
      <c r="E787" t="n">
        <v>4518.59282</v>
      </c>
      <c r="F787" t="n">
        <v>4596.05595</v>
      </c>
      <c r="G787" t="n">
        <v>4755.40355</v>
      </c>
      <c r="H787" t="n">
        <v>4792.76972</v>
      </c>
      <c r="Q787" t="n">
        <v>4607.56852</v>
      </c>
      <c r="R787" t="n">
        <v>4636.93182</v>
      </c>
      <c r="S787" t="n">
        <v>4663.52059</v>
      </c>
      <c r="V787" t="n">
        <v>4572.62875</v>
      </c>
      <c r="W787" t="n">
        <v>4539.06375</v>
      </c>
      <c r="AB787" t="n">
        <v>4600.35332</v>
      </c>
      <c r="AC787" t="n">
        <v>4599.67262</v>
      </c>
      <c r="AD787" t="n">
        <v>0</v>
      </c>
      <c r="AK787" t="n">
        <v>785</v>
      </c>
      <c r="AL787" t="n">
        <v>784</v>
      </c>
      <c r="AM787" t="n">
        <v>4600.68</v>
      </c>
      <c r="AN787" t="n">
        <v>4607.5685</v>
      </c>
      <c r="AO787" t="n">
        <v>-6.8885</v>
      </c>
      <c r="AP787" t="n">
        <v>47.4517</v>
      </c>
      <c r="AQ787" t="n">
        <v>-0.00752</v>
      </c>
      <c r="AR787" t="n">
        <v>0.001473</v>
      </c>
      <c r="AY787" t="n">
        <v>785</v>
      </c>
      <c r="AZ787" t="n">
        <v>784</v>
      </c>
      <c r="BA787" t="n">
        <v>4600.68</v>
      </c>
      <c r="BB787" t="n">
        <v>4607.5685</v>
      </c>
      <c r="BC787" t="n">
        <v>-6.8885</v>
      </c>
      <c r="BD787" t="n">
        <v>47.4517</v>
      </c>
      <c r="BE787" t="n">
        <v>614656</v>
      </c>
    </row>
    <row r="788">
      <c r="A788" t="n">
        <v>1777436102</v>
      </c>
      <c r="B788" t="inlineStr">
        <is>
          <t>XAUUSD</t>
        </is>
      </c>
      <c r="C788" t="inlineStr">
        <is>
          <t>M15</t>
        </is>
      </c>
      <c r="D788" t="n">
        <v>4601.86</v>
      </c>
      <c r="E788" t="n">
        <v>4518.59282</v>
      </c>
      <c r="F788" t="n">
        <v>4596.05595</v>
      </c>
      <c r="G788" t="n">
        <v>4755.40355</v>
      </c>
      <c r="H788" t="n">
        <v>4792.76972</v>
      </c>
      <c r="Q788" t="n">
        <v>4607.30092</v>
      </c>
      <c r="R788" t="n">
        <v>4636.66422</v>
      </c>
      <c r="S788" t="n">
        <v>4663.25299</v>
      </c>
      <c r="V788" t="n">
        <v>4572.36115</v>
      </c>
      <c r="W788" t="n">
        <v>4538.79615</v>
      </c>
      <c r="AB788" t="n">
        <v>4600.96576</v>
      </c>
      <c r="AC788" t="n">
        <v>4600.31919</v>
      </c>
      <c r="AD788" t="n">
        <v>0</v>
      </c>
      <c r="AK788" t="n">
        <v>786</v>
      </c>
      <c r="AL788" t="n">
        <v>785</v>
      </c>
      <c r="AM788" t="n">
        <v>4601.86</v>
      </c>
      <c r="AN788" t="n">
        <v>4607.3009</v>
      </c>
      <c r="AO788" t="n">
        <v>-5.4409</v>
      </c>
      <c r="AP788" t="n">
        <v>29.6036</v>
      </c>
      <c r="AQ788" t="n">
        <v>-0.003705</v>
      </c>
      <c r="AR788" t="n">
        <v>0.0005730000000000001</v>
      </c>
      <c r="AY788" t="n">
        <v>786</v>
      </c>
      <c r="AZ788" t="n">
        <v>785</v>
      </c>
      <c r="BA788" t="n">
        <v>4601.86</v>
      </c>
      <c r="BB788" t="n">
        <v>4607.3009</v>
      </c>
      <c r="BC788" t="n">
        <v>-5.4409</v>
      </c>
      <c r="BD788" t="n">
        <v>29.6036</v>
      </c>
      <c r="BE788" t="n">
        <v>616225</v>
      </c>
    </row>
    <row r="789">
      <c r="A789" t="n">
        <v>1777437002</v>
      </c>
      <c r="B789" t="inlineStr">
        <is>
          <t>XAUUSD</t>
        </is>
      </c>
      <c r="C789" t="inlineStr">
        <is>
          <t>M15</t>
        </is>
      </c>
      <c r="D789" t="n">
        <v>4602.15</v>
      </c>
      <c r="E789" t="n">
        <v>4518.59282</v>
      </c>
      <c r="F789" t="n">
        <v>4596.05595</v>
      </c>
      <c r="G789" t="n">
        <v>4755.40355</v>
      </c>
      <c r="H789" t="n">
        <v>4792.76972</v>
      </c>
      <c r="Q789" t="n">
        <v>4607.03331</v>
      </c>
      <c r="R789" t="n">
        <v>4636.39661</v>
      </c>
      <c r="S789" t="n">
        <v>4662.98538</v>
      </c>
      <c r="V789" t="n">
        <v>4572.09354</v>
      </c>
      <c r="W789" t="n">
        <v>4538.52855</v>
      </c>
      <c r="AB789" t="n">
        <v>4601.38659</v>
      </c>
      <c r="AC789" t="n">
        <v>4600.85289</v>
      </c>
      <c r="AD789" t="n">
        <v>0</v>
      </c>
      <c r="AK789" t="n">
        <v>787</v>
      </c>
      <c r="AL789" t="n">
        <v>786</v>
      </c>
      <c r="AM789" t="n">
        <v>4602.15</v>
      </c>
      <c r="AN789" t="n">
        <v>4607.0333</v>
      </c>
      <c r="AO789" t="n">
        <v>-4.8833</v>
      </c>
      <c r="AP789" t="n">
        <v>23.8467</v>
      </c>
      <c r="AQ789" t="n">
        <v>-0.002679</v>
      </c>
      <c r="AR789" t="n">
        <v>0.000372</v>
      </c>
      <c r="AY789" t="n">
        <v>787</v>
      </c>
      <c r="AZ789" t="n">
        <v>786</v>
      </c>
      <c r="BA789" t="n">
        <v>4602.15</v>
      </c>
      <c r="BB789" t="n">
        <v>4607.0333</v>
      </c>
      <c r="BC789" t="n">
        <v>-4.8833</v>
      </c>
      <c r="BD789" t="n">
        <v>23.8467</v>
      </c>
      <c r="BE789" t="n">
        <v>617796</v>
      </c>
    </row>
    <row r="790">
      <c r="A790" t="n">
        <v>1777437902</v>
      </c>
      <c r="B790" t="inlineStr">
        <is>
          <t>XAUUSD</t>
        </is>
      </c>
      <c r="C790" t="inlineStr">
        <is>
          <t>M15</t>
        </is>
      </c>
      <c r="D790" t="n">
        <v>4604.85</v>
      </c>
      <c r="E790" t="n">
        <v>4518.59282</v>
      </c>
      <c r="F790" t="n">
        <v>4596.05595</v>
      </c>
      <c r="G790" t="n">
        <v>4755.40355</v>
      </c>
      <c r="H790" t="n">
        <v>4792.76972</v>
      </c>
      <c r="Q790" t="n">
        <v>4606.76571</v>
      </c>
      <c r="R790" t="n">
        <v>4636.12901</v>
      </c>
      <c r="S790" t="n">
        <v>4662.71778</v>
      </c>
      <c r="V790" t="n">
        <v>4571.82594</v>
      </c>
      <c r="W790" t="n">
        <v>4538.26094</v>
      </c>
      <c r="AB790" t="n">
        <v>4601.43118</v>
      </c>
      <c r="AC790" t="n">
        <v>4601.14204</v>
      </c>
      <c r="AD790" t="n">
        <v>0</v>
      </c>
      <c r="AK790" t="n">
        <v>788</v>
      </c>
      <c r="AL790" t="n">
        <v>787</v>
      </c>
      <c r="AM790" t="n">
        <v>4604.85</v>
      </c>
      <c r="AN790" t="n">
        <v>4606.7657</v>
      </c>
      <c r="AO790" t="n">
        <v>-1.9157</v>
      </c>
      <c r="AP790" t="n">
        <v>3.6699</v>
      </c>
      <c r="AQ790" t="n">
        <v>-0.000162</v>
      </c>
      <c r="AR790" t="n">
        <v>9e-06</v>
      </c>
      <c r="AY790" t="n">
        <v>788</v>
      </c>
      <c r="AZ790" t="n">
        <v>787</v>
      </c>
      <c r="BA790" t="n">
        <v>4604.85</v>
      </c>
      <c r="BB790" t="n">
        <v>4606.7657</v>
      </c>
      <c r="BC790" t="n">
        <v>-1.9157</v>
      </c>
      <c r="BD790" t="n">
        <v>3.6699</v>
      </c>
      <c r="BE790" t="n">
        <v>619369</v>
      </c>
    </row>
    <row r="791">
      <c r="A791" t="n">
        <v>1777438802</v>
      </c>
      <c r="B791" t="inlineStr">
        <is>
          <t>XAUUSD</t>
        </is>
      </c>
      <c r="C791" t="inlineStr">
        <is>
          <t>M15</t>
        </is>
      </c>
      <c r="D791" t="n">
        <v>4601.15</v>
      </c>
      <c r="E791" t="n">
        <v>4518.59282</v>
      </c>
      <c r="F791" t="n">
        <v>4596.05595</v>
      </c>
      <c r="G791" t="n">
        <v>4755.40355</v>
      </c>
      <c r="H791" t="n">
        <v>4792.76972</v>
      </c>
      <c r="Q791" t="n">
        <v>4606.4981</v>
      </c>
      <c r="R791" t="n">
        <v>4635.8614</v>
      </c>
      <c r="S791" t="n">
        <v>4662.45017</v>
      </c>
      <c r="V791" t="n">
        <v>4571.55833</v>
      </c>
      <c r="W791" t="n">
        <v>4537.99334</v>
      </c>
      <c r="Z791" t="n">
        <v>4607.77</v>
      </c>
      <c r="AB791" t="n">
        <v>4600.84516</v>
      </c>
      <c r="AC791" t="n">
        <v>4600.9936</v>
      </c>
      <c r="AD791" t="n">
        <v>1</v>
      </c>
      <c r="AK791" t="n">
        <v>789</v>
      </c>
      <c r="AL791" t="n">
        <v>788</v>
      </c>
      <c r="AM791" t="n">
        <v>4601.15</v>
      </c>
      <c r="AN791" t="n">
        <v>4606.4981</v>
      </c>
      <c r="AO791" t="n">
        <v>-5.3481</v>
      </c>
      <c r="AP791" t="n">
        <v>28.6022</v>
      </c>
      <c r="AQ791" t="n">
        <v>-0.003519</v>
      </c>
      <c r="AR791" t="n">
        <v>0.000535</v>
      </c>
      <c r="AY791" t="n">
        <v>789</v>
      </c>
      <c r="AZ791" t="n">
        <v>788</v>
      </c>
      <c r="BA791" t="n">
        <v>4601.15</v>
      </c>
      <c r="BB791" t="n">
        <v>4606.4981</v>
      </c>
      <c r="BC791" t="n">
        <v>-5.3481</v>
      </c>
      <c r="BD791" t="n">
        <v>28.6022</v>
      </c>
      <c r="BE791" t="n">
        <v>620944</v>
      </c>
    </row>
    <row r="792">
      <c r="A792" t="n">
        <v>1777439702</v>
      </c>
      <c r="B792" t="inlineStr">
        <is>
          <t>XAUUSD</t>
        </is>
      </c>
      <c r="C792" t="inlineStr">
        <is>
          <t>M15</t>
        </is>
      </c>
      <c r="D792" t="n">
        <v>4600.72</v>
      </c>
      <c r="E792" t="n">
        <v>4518.59282</v>
      </c>
      <c r="F792" t="n">
        <v>4596.05595</v>
      </c>
      <c r="G792" t="n">
        <v>4755.40355</v>
      </c>
      <c r="H792" t="n">
        <v>4792.76972</v>
      </c>
      <c r="Q792" t="n">
        <v>4606.2305</v>
      </c>
      <c r="R792" t="n">
        <v>4635.5938</v>
      </c>
      <c r="S792" t="n">
        <v>4662.18257</v>
      </c>
      <c r="V792" t="n">
        <v>4571.29073</v>
      </c>
      <c r="W792" t="n">
        <v>4537.72573</v>
      </c>
      <c r="AB792" t="n">
        <v>4599.55498</v>
      </c>
      <c r="AC792" t="n">
        <v>4600.27429</v>
      </c>
      <c r="AD792" t="n">
        <v>0</v>
      </c>
      <c r="AK792" t="n">
        <v>790</v>
      </c>
      <c r="AL792" t="n">
        <v>789</v>
      </c>
      <c r="AM792" t="n">
        <v>4600.72</v>
      </c>
      <c r="AN792" t="n">
        <v>4606.2305</v>
      </c>
      <c r="AO792" t="n">
        <v>-5.5105</v>
      </c>
      <c r="AP792" t="n">
        <v>30.3656</v>
      </c>
      <c r="AQ792" t="n">
        <v>-0.003849</v>
      </c>
      <c r="AR792" t="n">
        <v>0.000603</v>
      </c>
      <c r="AY792" t="n">
        <v>790</v>
      </c>
      <c r="AZ792" t="n">
        <v>789</v>
      </c>
      <c r="BA792" t="n">
        <v>4600.72</v>
      </c>
      <c r="BB792" t="n">
        <v>4606.2305</v>
      </c>
      <c r="BC792" t="n">
        <v>-5.5105</v>
      </c>
      <c r="BD792" t="n">
        <v>30.3656</v>
      </c>
      <c r="BE792" t="n">
        <v>622521</v>
      </c>
    </row>
    <row r="793">
      <c r="A793" t="n">
        <v>1777440602</v>
      </c>
      <c r="B793" t="inlineStr">
        <is>
          <t>XAUUSD</t>
        </is>
      </c>
      <c r="C793" t="inlineStr">
        <is>
          <t>M15</t>
        </is>
      </c>
      <c r="D793" t="n">
        <v>4599.05</v>
      </c>
      <c r="E793" t="n">
        <v>4518.59282</v>
      </c>
      <c r="F793" t="n">
        <v>4596.05595</v>
      </c>
      <c r="G793" t="n">
        <v>4755.40355</v>
      </c>
      <c r="H793" t="n">
        <v>4792.76972</v>
      </c>
      <c r="Q793" t="n">
        <v>4605.9629</v>
      </c>
      <c r="R793" t="n">
        <v>4635.3262</v>
      </c>
      <c r="S793" t="n">
        <v>4661.91497</v>
      </c>
      <c r="V793" t="n">
        <v>4571.02313</v>
      </c>
      <c r="W793" t="n">
        <v>4537.45813</v>
      </c>
      <c r="AB793" t="n">
        <v>4597.46432</v>
      </c>
      <c r="AC793" t="n">
        <v>4598.86931</v>
      </c>
      <c r="AD793" t="n">
        <v>0</v>
      </c>
      <c r="AK793" t="n">
        <v>791</v>
      </c>
      <c r="AL793" t="n">
        <v>790</v>
      </c>
      <c r="AM793" t="n">
        <v>4599.05</v>
      </c>
      <c r="AN793" t="n">
        <v>4605.9629</v>
      </c>
      <c r="AO793" t="n">
        <v>-6.9129</v>
      </c>
      <c r="AP793" t="n">
        <v>47.7882</v>
      </c>
      <c r="AQ793" t="n">
        <v>-0.0076</v>
      </c>
      <c r="AR793" t="n">
        <v>0.001494</v>
      </c>
      <c r="AY793" t="n">
        <v>791</v>
      </c>
      <c r="AZ793" t="n">
        <v>790</v>
      </c>
      <c r="BA793" t="n">
        <v>4599.05</v>
      </c>
      <c r="BB793" t="n">
        <v>4605.9629</v>
      </c>
      <c r="BC793" t="n">
        <v>-6.9129</v>
      </c>
      <c r="BD793" t="n">
        <v>47.7882</v>
      </c>
      <c r="BE793" t="n">
        <v>624100</v>
      </c>
    </row>
    <row r="794">
      <c r="A794" t="n">
        <v>1777441502</v>
      </c>
      <c r="B794" t="inlineStr">
        <is>
          <t>XAUUSD</t>
        </is>
      </c>
      <c r="C794" t="inlineStr">
        <is>
          <t>M15</t>
        </is>
      </c>
      <c r="D794" t="n">
        <v>4590.9</v>
      </c>
      <c r="E794" t="n">
        <v>4518.59282</v>
      </c>
      <c r="F794" t="n">
        <v>4596.05595</v>
      </c>
      <c r="G794" t="n">
        <v>4755.40355</v>
      </c>
      <c r="H794" t="n">
        <v>4792.76972</v>
      </c>
      <c r="Q794" t="n">
        <v>4605.69529</v>
      </c>
      <c r="R794" t="n">
        <v>4635.05859</v>
      </c>
      <c r="S794" t="n">
        <v>4661.64736</v>
      </c>
      <c r="V794" t="n">
        <v>4570.75552</v>
      </c>
      <c r="W794" t="n">
        <v>4537.19053</v>
      </c>
      <c r="AB794" t="n">
        <v>4594.57734</v>
      </c>
      <c r="AC794" t="n">
        <v>4596.72332</v>
      </c>
      <c r="AD794" t="n">
        <v>0</v>
      </c>
      <c r="AK794" t="n">
        <v>792</v>
      </c>
      <c r="AL794" t="n">
        <v>791</v>
      </c>
      <c r="AM794" t="n">
        <v>4590.9</v>
      </c>
      <c r="AN794" t="n">
        <v>4605.6953</v>
      </c>
      <c r="AO794" t="n">
        <v>-14.7953</v>
      </c>
      <c r="AP794" t="n">
        <v>218.9006</v>
      </c>
      <c r="AQ794" t="n">
        <v>-0.074505</v>
      </c>
      <c r="AR794" t="n">
        <v>0.031351</v>
      </c>
      <c r="AY794" t="n">
        <v>792</v>
      </c>
      <c r="AZ794" t="n">
        <v>791</v>
      </c>
      <c r="BA794" t="n">
        <v>4590.9</v>
      </c>
      <c r="BB794" t="n">
        <v>4605.6953</v>
      </c>
      <c r="BC794" t="n">
        <v>-14.7953</v>
      </c>
      <c r="BD794" t="n">
        <v>218.9006</v>
      </c>
      <c r="BE794" t="n">
        <v>625681</v>
      </c>
    </row>
    <row r="795">
      <c r="A795" t="n">
        <v>1777442402</v>
      </c>
      <c r="B795" t="inlineStr">
        <is>
          <t>XAUUSD</t>
        </is>
      </c>
      <c r="C795" t="inlineStr">
        <is>
          <t>M15</t>
        </is>
      </c>
      <c r="D795" t="n">
        <v>4588.73</v>
      </c>
      <c r="E795" t="n">
        <v>4518.59282</v>
      </c>
      <c r="F795" t="n">
        <v>4596.05595</v>
      </c>
      <c r="G795" t="n">
        <v>4755.40355</v>
      </c>
      <c r="H795" t="n">
        <v>4792.76972</v>
      </c>
      <c r="Q795" t="n">
        <v>4605.42769</v>
      </c>
      <c r="R795" t="n">
        <v>4634.79099</v>
      </c>
      <c r="S795" t="n">
        <v>4661.37976</v>
      </c>
      <c r="V795" t="n">
        <v>4570.48792</v>
      </c>
      <c r="W795" t="n">
        <v>4536.92292</v>
      </c>
      <c r="AB795" t="n">
        <v>4591.20114</v>
      </c>
      <c r="AC795" t="n">
        <v>4593.96223</v>
      </c>
      <c r="AD795" t="n">
        <v>0</v>
      </c>
      <c r="AK795" t="n">
        <v>793</v>
      </c>
      <c r="AL795" t="n">
        <v>792</v>
      </c>
      <c r="AM795" t="n">
        <v>4588.73</v>
      </c>
      <c r="AN795" t="n">
        <v>4605.4277</v>
      </c>
      <c r="AO795" t="n">
        <v>-16.6977</v>
      </c>
      <c r="AP795" t="n">
        <v>278.8129</v>
      </c>
      <c r="AQ795" t="n">
        <v>-0.107099</v>
      </c>
      <c r="AR795" t="n">
        <v>0.05086</v>
      </c>
      <c r="AY795" t="n">
        <v>793</v>
      </c>
      <c r="AZ795" t="n">
        <v>792</v>
      </c>
      <c r="BA795" t="n">
        <v>4588.73</v>
      </c>
      <c r="BB795" t="n">
        <v>4605.4277</v>
      </c>
      <c r="BC795" t="n">
        <v>-16.6977</v>
      </c>
      <c r="BD795" t="n">
        <v>278.8129</v>
      </c>
      <c r="BE795" t="n">
        <v>627264</v>
      </c>
    </row>
    <row r="796">
      <c r="A796" t="n">
        <v>1777443302</v>
      </c>
      <c r="B796" t="inlineStr">
        <is>
          <t>XAUUSD</t>
        </is>
      </c>
      <c r="C796" t="inlineStr">
        <is>
          <t>M15</t>
        </is>
      </c>
      <c r="D796" t="n">
        <v>4585.04</v>
      </c>
      <c r="E796" t="n">
        <v>4518.59282</v>
      </c>
      <c r="F796" t="n">
        <v>4596.05595</v>
      </c>
      <c r="G796" t="n">
        <v>4755.40355</v>
      </c>
      <c r="H796" t="n">
        <v>4792.76972</v>
      </c>
      <c r="Q796" t="n">
        <v>4605.16008</v>
      </c>
      <c r="R796" t="n">
        <v>4634.52338</v>
      </c>
      <c r="S796" t="n">
        <v>4661.11215</v>
      </c>
      <c r="V796" t="n">
        <v>4570.22031</v>
      </c>
      <c r="W796" t="n">
        <v>4536.65532</v>
      </c>
      <c r="AB796" t="n">
        <v>4587.55405</v>
      </c>
      <c r="AC796" t="n">
        <v>4590.75814</v>
      </c>
      <c r="AD796" t="n">
        <v>0</v>
      </c>
      <c r="AK796" t="n">
        <v>794</v>
      </c>
      <c r="AL796" t="n">
        <v>793</v>
      </c>
      <c r="AM796" t="n">
        <v>4585.04</v>
      </c>
      <c r="AN796" t="n">
        <v>4605.1601</v>
      </c>
      <c r="AO796" t="n">
        <v>-20.1201</v>
      </c>
      <c r="AP796" t="n">
        <v>404.8176</v>
      </c>
      <c r="AQ796" t="n">
        <v>-0.187372</v>
      </c>
      <c r="AR796" t="n">
        <v>0.107219</v>
      </c>
      <c r="AY796" t="n">
        <v>794</v>
      </c>
      <c r="AZ796" t="n">
        <v>793</v>
      </c>
      <c r="BA796" t="n">
        <v>4585.04</v>
      </c>
      <c r="BB796" t="n">
        <v>4605.1601</v>
      </c>
      <c r="BC796" t="n">
        <v>-20.1201</v>
      </c>
      <c r="BD796" t="n">
        <v>404.8176</v>
      </c>
      <c r="BE796" t="n">
        <v>628849</v>
      </c>
    </row>
    <row r="797">
      <c r="A797" t="n">
        <v>1777444202</v>
      </c>
      <c r="B797" t="inlineStr">
        <is>
          <t>XAUUSD</t>
        </is>
      </c>
      <c r="C797" t="inlineStr">
        <is>
          <t>M15</t>
        </is>
      </c>
      <c r="D797" t="n">
        <v>4585.03</v>
      </c>
      <c r="E797" t="n">
        <v>4518.59282</v>
      </c>
      <c r="F797" t="n">
        <v>4596.05595</v>
      </c>
      <c r="G797" t="n">
        <v>4755.40355</v>
      </c>
      <c r="H797" t="n">
        <v>4792.76972</v>
      </c>
      <c r="Q797" t="n">
        <v>4604.89248</v>
      </c>
      <c r="R797" t="n">
        <v>4634.25578</v>
      </c>
      <c r="S797" t="n">
        <v>4660.84455</v>
      </c>
      <c r="V797" t="n">
        <v>4569.95271</v>
      </c>
      <c r="W797" t="n">
        <v>4536.38771</v>
      </c>
      <c r="AB797" t="n">
        <v>4583.86023</v>
      </c>
      <c r="AC797" t="n">
        <v>4587.30918</v>
      </c>
      <c r="AD797" t="n">
        <v>0</v>
      </c>
      <c r="AK797" t="n">
        <v>795</v>
      </c>
      <c r="AL797" t="n">
        <v>794</v>
      </c>
      <c r="AM797" t="n">
        <v>4585.03</v>
      </c>
      <c r="AN797" t="n">
        <v>4604.8925</v>
      </c>
      <c r="AO797" t="n">
        <v>-19.8625</v>
      </c>
      <c r="AP797" t="n">
        <v>394.5181</v>
      </c>
      <c r="AQ797" t="n">
        <v>-0.180267</v>
      </c>
      <c r="AR797" t="n">
        <v>0.101833</v>
      </c>
      <c r="AY797" t="n">
        <v>795</v>
      </c>
      <c r="AZ797" t="n">
        <v>794</v>
      </c>
      <c r="BA797" t="n">
        <v>4585.03</v>
      </c>
      <c r="BB797" t="n">
        <v>4604.8925</v>
      </c>
      <c r="BC797" t="n">
        <v>-19.8625</v>
      </c>
      <c r="BD797" t="n">
        <v>394.5181</v>
      </c>
      <c r="BE797" t="n">
        <v>630436</v>
      </c>
    </row>
    <row r="798">
      <c r="A798" t="n">
        <v>1777445102</v>
      </c>
      <c r="B798" t="inlineStr">
        <is>
          <t>XAUUSD</t>
        </is>
      </c>
      <c r="C798" t="inlineStr">
        <is>
          <t>M15</t>
        </is>
      </c>
      <c r="D798" t="n">
        <v>4584.52</v>
      </c>
      <c r="E798" t="n">
        <v>4518.59282</v>
      </c>
      <c r="F798" t="n">
        <v>4596.05595</v>
      </c>
      <c r="G798" t="n">
        <v>4755.40355</v>
      </c>
      <c r="H798" t="n">
        <v>4792.76972</v>
      </c>
      <c r="Q798" t="n">
        <v>4604.62488</v>
      </c>
      <c r="R798" t="n">
        <v>4633.98818</v>
      </c>
      <c r="S798" t="n">
        <v>4660.57695</v>
      </c>
      <c r="V798" t="n">
        <v>4569.68511</v>
      </c>
      <c r="W798" t="n">
        <v>4536.12011</v>
      </c>
      <c r="AB798" t="n">
        <v>4580.25654</v>
      </c>
      <c r="AC798" t="n">
        <v>4583.78286</v>
      </c>
      <c r="AD798" t="n">
        <v>0</v>
      </c>
      <c r="AK798" t="n">
        <v>796</v>
      </c>
      <c r="AL798" t="n">
        <v>795</v>
      </c>
      <c r="AM798" t="n">
        <v>4584.52</v>
      </c>
      <c r="AN798" t="n">
        <v>4604.6249</v>
      </c>
      <c r="AO798" t="n">
        <v>-20.1049</v>
      </c>
      <c r="AP798" t="n">
        <v>404.2062</v>
      </c>
      <c r="AQ798" t="n">
        <v>-0.186948</v>
      </c>
      <c r="AR798" t="n">
        <v>0.106896</v>
      </c>
      <c r="AY798" t="n">
        <v>796</v>
      </c>
      <c r="AZ798" t="n">
        <v>795</v>
      </c>
      <c r="BA798" t="n">
        <v>4584.52</v>
      </c>
      <c r="BB798" t="n">
        <v>4604.6249</v>
      </c>
      <c r="BC798" t="n">
        <v>-20.1049</v>
      </c>
      <c r="BD798" t="n">
        <v>404.2062</v>
      </c>
      <c r="BE798" t="n">
        <v>632025</v>
      </c>
    </row>
    <row r="799">
      <c r="A799" t="n">
        <v>1777446002</v>
      </c>
      <c r="B799" t="inlineStr">
        <is>
          <t>XAUUSD</t>
        </is>
      </c>
      <c r="C799" t="inlineStr">
        <is>
          <t>M15</t>
        </is>
      </c>
      <c r="D799" t="n">
        <v>4578.72</v>
      </c>
      <c r="E799" t="n">
        <v>4518.59282</v>
      </c>
      <c r="F799" t="n">
        <v>4596.05595</v>
      </c>
      <c r="G799" t="n">
        <v>4755.40355</v>
      </c>
      <c r="H799" t="n">
        <v>4792.76972</v>
      </c>
      <c r="Q799" t="n">
        <v>4604.35727</v>
      </c>
      <c r="R799" t="n">
        <v>4633.72057</v>
      </c>
      <c r="S799" t="n">
        <v>4660.30934</v>
      </c>
      <c r="V799" t="n">
        <v>4569.4175</v>
      </c>
      <c r="W799" t="n">
        <v>4535.85251</v>
      </c>
      <c r="AB799" t="n">
        <v>4576.87731</v>
      </c>
      <c r="AC799" t="n">
        <v>4580.33009</v>
      </c>
      <c r="AD799" t="n">
        <v>0</v>
      </c>
      <c r="AK799" t="n">
        <v>797</v>
      </c>
      <c r="AL799" t="n">
        <v>796</v>
      </c>
      <c r="AM799" t="n">
        <v>4578.72</v>
      </c>
      <c r="AN799" t="n">
        <v>4604.3573</v>
      </c>
      <c r="AO799" t="n">
        <v>-25.6373</v>
      </c>
      <c r="AP799" t="n">
        <v>657.2696</v>
      </c>
      <c r="AQ799" t="n">
        <v>-0.387642</v>
      </c>
      <c r="AR799" t="n">
        <v>0.282645</v>
      </c>
      <c r="AY799" t="n">
        <v>797</v>
      </c>
      <c r="AZ799" t="n">
        <v>796</v>
      </c>
      <c r="BA799" t="n">
        <v>4578.72</v>
      </c>
      <c r="BB799" t="n">
        <v>4604.3573</v>
      </c>
      <c r="BC799" t="n">
        <v>-25.6373</v>
      </c>
      <c r="BD799" t="n">
        <v>657.2696</v>
      </c>
      <c r="BE799" t="n">
        <v>633616</v>
      </c>
    </row>
    <row r="800">
      <c r="A800" t="n">
        <v>1777446902</v>
      </c>
      <c r="B800" t="inlineStr">
        <is>
          <t>XAUUSD</t>
        </is>
      </c>
      <c r="C800" t="inlineStr">
        <is>
          <t>M15</t>
        </is>
      </c>
      <c r="D800" t="n">
        <v>4575.11</v>
      </c>
      <c r="E800" t="n">
        <v>4518.59282</v>
      </c>
      <c r="F800" t="n">
        <v>4596.05595</v>
      </c>
      <c r="G800" t="n">
        <v>4755.40355</v>
      </c>
      <c r="H800" t="n">
        <v>4792.76972</v>
      </c>
      <c r="Q800" t="n">
        <v>4604.08967</v>
      </c>
      <c r="R800" t="n">
        <v>4633.45297</v>
      </c>
      <c r="S800" t="n">
        <v>4660.04174</v>
      </c>
      <c r="V800" t="n">
        <v>4569.1499</v>
      </c>
      <c r="W800" t="n">
        <v>4535.5849</v>
      </c>
      <c r="AB800" t="n">
        <v>4573.98749</v>
      </c>
      <c r="AC800" t="n">
        <v>4577.15879</v>
      </c>
      <c r="AD800" t="n">
        <v>0</v>
      </c>
      <c r="AK800" t="n">
        <v>798</v>
      </c>
      <c r="AL800" t="n">
        <v>797</v>
      </c>
      <c r="AM800" t="n">
        <v>4575.11</v>
      </c>
      <c r="AN800" t="n">
        <v>4604.0897</v>
      </c>
      <c r="AO800" t="n">
        <v>-28.9797</v>
      </c>
      <c r="AP800" t="n">
        <v>839.8213</v>
      </c>
      <c r="AQ800" t="n">
        <v>-0.559881</v>
      </c>
      <c r="AR800" t="n">
        <v>0.461453</v>
      </c>
      <c r="AY800" t="n">
        <v>798</v>
      </c>
      <c r="AZ800" t="n">
        <v>797</v>
      </c>
      <c r="BA800" t="n">
        <v>4575.11</v>
      </c>
      <c r="BB800" t="n">
        <v>4604.0897</v>
      </c>
      <c r="BC800" t="n">
        <v>-28.9797</v>
      </c>
      <c r="BD800" t="n">
        <v>839.8213</v>
      </c>
      <c r="BE800" t="n">
        <v>635209</v>
      </c>
    </row>
    <row r="801">
      <c r="A801" t="n">
        <v>1777447802</v>
      </c>
      <c r="B801" t="inlineStr">
        <is>
          <t>XAUUSD</t>
        </is>
      </c>
      <c r="C801" t="inlineStr">
        <is>
          <t>M15</t>
        </is>
      </c>
      <c r="D801" t="n">
        <v>4570.56</v>
      </c>
      <c r="E801" t="n">
        <v>4518.59282</v>
      </c>
      <c r="F801" t="n">
        <v>4596.05595</v>
      </c>
      <c r="G801" t="n">
        <v>4755.40355</v>
      </c>
      <c r="H801" t="n">
        <v>4792.76972</v>
      </c>
      <c r="Q801" t="n">
        <v>4603.82206</v>
      </c>
      <c r="R801" t="n">
        <v>4633.18536</v>
      </c>
      <c r="S801" t="n">
        <v>4659.77413</v>
      </c>
      <c r="V801" t="n">
        <v>4568.88229</v>
      </c>
      <c r="W801" t="n">
        <v>4535.3173</v>
      </c>
      <c r="AB801" t="n">
        <v>4571.72337</v>
      </c>
      <c r="AC801" t="n">
        <v>4574.44108</v>
      </c>
      <c r="AD801" t="n">
        <v>0</v>
      </c>
      <c r="AK801" t="n">
        <v>799</v>
      </c>
      <c r="AL801" t="n">
        <v>798</v>
      </c>
      <c r="AM801" t="n">
        <v>4570.56</v>
      </c>
      <c r="AN801" t="n">
        <v>4603.8221</v>
      </c>
      <c r="AO801" t="n">
        <v>-33.2621</v>
      </c>
      <c r="AP801" t="n">
        <v>1106.3646</v>
      </c>
      <c r="AQ801" t="n">
        <v>-0.84657</v>
      </c>
      <c r="AR801" t="n">
        <v>0.800849</v>
      </c>
      <c r="AY801" t="n">
        <v>799</v>
      </c>
      <c r="AZ801" t="n">
        <v>798</v>
      </c>
      <c r="BA801" t="n">
        <v>4570.56</v>
      </c>
      <c r="BB801" t="n">
        <v>4603.8221</v>
      </c>
      <c r="BC801" t="n">
        <v>-33.2621</v>
      </c>
      <c r="BD801" t="n">
        <v>1106.3646</v>
      </c>
      <c r="BE801" t="n">
        <v>636804</v>
      </c>
    </row>
    <row r="802">
      <c r="A802" t="n">
        <v>1777448702</v>
      </c>
      <c r="B802" t="inlineStr">
        <is>
          <t>XAUUSD</t>
        </is>
      </c>
      <c r="C802" t="inlineStr">
        <is>
          <t>M15</t>
        </is>
      </c>
      <c r="D802" t="n">
        <v>4567.92</v>
      </c>
      <c r="E802" t="n">
        <v>4518.59282</v>
      </c>
      <c r="F802" t="n">
        <v>4596.05595</v>
      </c>
      <c r="G802" t="n">
        <v>4755.40355</v>
      </c>
      <c r="H802" t="n">
        <v>4792.76972</v>
      </c>
      <c r="Q802" t="n">
        <v>4603.55446</v>
      </c>
      <c r="R802" t="n">
        <v>4632.91776</v>
      </c>
      <c r="S802" t="n">
        <v>4659.50653</v>
      </c>
      <c r="V802" t="n">
        <v>4568.61469</v>
      </c>
      <c r="W802" t="n">
        <v>4535.04969</v>
      </c>
      <c r="AB802" t="n">
        <v>4570.13884</v>
      </c>
      <c r="AC802" t="n">
        <v>4572.28996</v>
      </c>
      <c r="AD802" t="n">
        <v>0</v>
      </c>
      <c r="AK802" t="n">
        <v>800</v>
      </c>
      <c r="AL802" t="n">
        <v>799</v>
      </c>
      <c r="AM802" t="n">
        <v>4567.92</v>
      </c>
      <c r="AN802" t="n">
        <v>4603.5545</v>
      </c>
      <c r="AO802" t="n">
        <v>-35.6345</v>
      </c>
      <c r="AP802" t="n">
        <v>1269.8147</v>
      </c>
      <c r="AQ802" t="n">
        <v>-1.040941</v>
      </c>
      <c r="AR802" t="n">
        <v>1.054957</v>
      </c>
      <c r="AY802" t="n">
        <v>800</v>
      </c>
      <c r="AZ802" t="n">
        <v>799</v>
      </c>
      <c r="BA802" t="n">
        <v>4567.92</v>
      </c>
      <c r="BB802" t="n">
        <v>4603.5545</v>
      </c>
      <c r="BC802" t="n">
        <v>-35.6345</v>
      </c>
      <c r="BD802" t="n">
        <v>1269.8147</v>
      </c>
      <c r="BE802" t="n">
        <v>638401</v>
      </c>
    </row>
    <row r="803">
      <c r="A803" t="n">
        <v>1777449602</v>
      </c>
      <c r="B803" t="inlineStr">
        <is>
          <t>XAUUSD</t>
        </is>
      </c>
      <c r="C803" t="inlineStr">
        <is>
          <t>M15</t>
        </is>
      </c>
      <c r="D803" t="n">
        <v>4565.44</v>
      </c>
      <c r="E803" t="n">
        <v>4518.59282</v>
      </c>
      <c r="F803" t="n">
        <v>4596.05595</v>
      </c>
      <c r="G803" t="n">
        <v>4755.40355</v>
      </c>
      <c r="H803" t="n">
        <v>4792.76972</v>
      </c>
      <c r="Q803" t="n">
        <v>4603.28686</v>
      </c>
      <c r="R803" t="n">
        <v>4632.65015</v>
      </c>
      <c r="S803" t="n">
        <v>4659.23893</v>
      </c>
      <c r="V803" t="n">
        <v>4568.34709</v>
      </c>
      <c r="W803" t="n">
        <v>4534.78209</v>
      </c>
      <c r="AB803" t="n">
        <v>4569.16033</v>
      </c>
      <c r="AC803" t="n">
        <v>4570.72515</v>
      </c>
      <c r="AD803" t="n">
        <v>0</v>
      </c>
      <c r="AK803" t="n">
        <v>801</v>
      </c>
      <c r="AL803" t="n">
        <v>800</v>
      </c>
      <c r="AM803" t="n">
        <v>4565.44</v>
      </c>
      <c r="AN803" t="n">
        <v>4603.2869</v>
      </c>
      <c r="AO803" t="n">
        <v>-37.8469</v>
      </c>
      <c r="AP803" t="n">
        <v>1432.3848</v>
      </c>
      <c r="AQ803" t="n">
        <v>-1.247111</v>
      </c>
      <c r="AR803" t="n">
        <v>1.342374</v>
      </c>
      <c r="AY803" t="n">
        <v>801</v>
      </c>
      <c r="AZ803" t="n">
        <v>800</v>
      </c>
      <c r="BA803" t="n">
        <v>4565.44</v>
      </c>
      <c r="BB803" t="n">
        <v>4603.2869</v>
      </c>
      <c r="BC803" t="n">
        <v>-37.8469</v>
      </c>
      <c r="BD803" t="n">
        <v>1432.3848</v>
      </c>
      <c r="BE803" t="n">
        <v>640000</v>
      </c>
    </row>
    <row r="804">
      <c r="A804" t="n">
        <v>1777450502</v>
      </c>
      <c r="B804" t="inlineStr">
        <is>
          <t>XAUUSD</t>
        </is>
      </c>
      <c r="C804" t="inlineStr">
        <is>
          <t>M15</t>
        </is>
      </c>
      <c r="D804" t="n">
        <v>4566.65</v>
      </c>
      <c r="E804" t="n">
        <v>4518.59282</v>
      </c>
      <c r="F804" t="n">
        <v>4596.05595</v>
      </c>
      <c r="G804" t="n">
        <v>4755.40355</v>
      </c>
      <c r="H804" t="n">
        <v>4792.76972</v>
      </c>
      <c r="Q804" t="n">
        <v>4603.01925</v>
      </c>
      <c r="R804" t="n">
        <v>4632.38255</v>
      </c>
      <c r="S804" t="n">
        <v>4658.97132</v>
      </c>
      <c r="V804" t="n">
        <v>4568.07948</v>
      </c>
      <c r="W804" t="n">
        <v>4534.51449</v>
      </c>
      <c r="AB804" t="n">
        <v>4568.61557</v>
      </c>
      <c r="AC804" t="n">
        <v>4569.67036</v>
      </c>
      <c r="AD804" t="n">
        <v>0</v>
      </c>
      <c r="AK804" t="n">
        <v>802</v>
      </c>
      <c r="AL804" t="n">
        <v>801</v>
      </c>
      <c r="AM804" t="n">
        <v>4566.65</v>
      </c>
      <c r="AN804" t="n">
        <v>4603.0193</v>
      </c>
      <c r="AO804" t="n">
        <v>-36.3693</v>
      </c>
      <c r="AP804" t="n">
        <v>1322.7223</v>
      </c>
      <c r="AQ804" t="n">
        <v>-1.106671</v>
      </c>
      <c r="AR804" t="n">
        <v>1.1447</v>
      </c>
      <c r="AY804" t="n">
        <v>802</v>
      </c>
      <c r="AZ804" t="n">
        <v>801</v>
      </c>
      <c r="BA804" t="n">
        <v>4566.65</v>
      </c>
      <c r="BB804" t="n">
        <v>4603.0193</v>
      </c>
      <c r="BC804" t="n">
        <v>-36.3693</v>
      </c>
      <c r="BD804" t="n">
        <v>1322.7223</v>
      </c>
      <c r="BE804" t="n">
        <v>641601</v>
      </c>
    </row>
    <row r="805">
      <c r="A805" t="n">
        <v>1777451402</v>
      </c>
      <c r="B805" t="inlineStr">
        <is>
          <t>XAUUSD</t>
        </is>
      </c>
      <c r="C805" t="inlineStr">
        <is>
          <t>M15</t>
        </is>
      </c>
      <c r="D805" t="n">
        <v>4568.37</v>
      </c>
      <c r="E805" t="n">
        <v>4518.59282</v>
      </c>
      <c r="F805" t="n">
        <v>4596.05595</v>
      </c>
      <c r="G805" t="n">
        <v>4755.40355</v>
      </c>
      <c r="H805" t="n">
        <v>4792.76972</v>
      </c>
      <c r="Q805" t="n">
        <v>4602.75165</v>
      </c>
      <c r="R805" t="n">
        <v>4632.11495</v>
      </c>
      <c r="S805" t="n">
        <v>4658.70372</v>
      </c>
      <c r="V805" t="n">
        <v>4567.81188</v>
      </c>
      <c r="W805" t="n">
        <v>4534.24688</v>
      </c>
      <c r="AB805" t="n">
        <v>4568.24917</v>
      </c>
      <c r="AC805" t="n">
        <v>4568.95976</v>
      </c>
      <c r="AD805" t="n">
        <v>0</v>
      </c>
      <c r="AK805" t="n">
        <v>803</v>
      </c>
      <c r="AL805" t="n">
        <v>802</v>
      </c>
      <c r="AM805" t="n">
        <v>4568.37</v>
      </c>
      <c r="AN805" t="n">
        <v>4602.7517</v>
      </c>
      <c r="AO805" t="n">
        <v>-34.3817</v>
      </c>
      <c r="AP805" t="n">
        <v>1182.0979</v>
      </c>
      <c r="AQ805" t="n">
        <v>-0.934966</v>
      </c>
      <c r="AR805" t="n">
        <v>0.914242</v>
      </c>
      <c r="AY805" t="n">
        <v>803</v>
      </c>
      <c r="AZ805" t="n">
        <v>802</v>
      </c>
      <c r="BA805" t="n">
        <v>4568.37</v>
      </c>
      <c r="BB805" t="n">
        <v>4602.7517</v>
      </c>
      <c r="BC805" t="n">
        <v>-34.3817</v>
      </c>
      <c r="BD805" t="n">
        <v>1182.0979</v>
      </c>
      <c r="BE805" t="n">
        <v>643204</v>
      </c>
    </row>
    <row r="806">
      <c r="A806" t="n">
        <v>1777452302</v>
      </c>
      <c r="B806" t="inlineStr">
        <is>
          <t>XAUUSD</t>
        </is>
      </c>
      <c r="C806" t="inlineStr">
        <is>
          <t>M15</t>
        </is>
      </c>
      <c r="D806" t="n">
        <v>4573.2</v>
      </c>
      <c r="E806" t="n">
        <v>4518.59282</v>
      </c>
      <c r="F806" t="n">
        <v>4596.05595</v>
      </c>
      <c r="G806" t="n">
        <v>4755.40355</v>
      </c>
      <c r="H806" t="n">
        <v>4792.76972</v>
      </c>
      <c r="Q806" t="n">
        <v>4602.48404</v>
      </c>
      <c r="R806" t="n">
        <v>4631.84734</v>
      </c>
      <c r="S806" t="n">
        <v>4658.43611</v>
      </c>
      <c r="V806" t="n">
        <v>4567.54427</v>
      </c>
      <c r="W806" t="n">
        <v>4533.97928</v>
      </c>
      <c r="AB806" t="n">
        <v>4567.82815</v>
      </c>
      <c r="AC806" t="n">
        <v>4568.39395</v>
      </c>
      <c r="AD806" t="n">
        <v>0</v>
      </c>
      <c r="AK806" t="n">
        <v>804</v>
      </c>
      <c r="AL806" t="n">
        <v>803</v>
      </c>
      <c r="AM806" t="n">
        <v>4573.2</v>
      </c>
      <c r="AN806" t="n">
        <v>4602.484</v>
      </c>
      <c r="AO806" t="n">
        <v>-29.284</v>
      </c>
      <c r="AP806" t="n">
        <v>857.5549999999999</v>
      </c>
      <c r="AQ806" t="n">
        <v>-0.577708</v>
      </c>
      <c r="AR806" t="n">
        <v>0.481147</v>
      </c>
      <c r="AY806" t="n">
        <v>804</v>
      </c>
      <c r="AZ806" t="n">
        <v>803</v>
      </c>
      <c r="BA806" t="n">
        <v>4573.2</v>
      </c>
      <c r="BB806" t="n">
        <v>4602.484</v>
      </c>
      <c r="BC806" t="n">
        <v>-29.284</v>
      </c>
      <c r="BD806" t="n">
        <v>857.5549999999999</v>
      </c>
      <c r="BE806" t="n">
        <v>644809</v>
      </c>
    </row>
    <row r="807">
      <c r="A807" t="n">
        <v>1777453202</v>
      </c>
      <c r="B807" t="inlineStr">
        <is>
          <t>XAUUSD</t>
        </is>
      </c>
      <c r="C807" t="inlineStr">
        <is>
          <t>M15</t>
        </is>
      </c>
      <c r="D807" t="n">
        <v>4574.2</v>
      </c>
      <c r="E807" t="n">
        <v>4518.59282</v>
      </c>
      <c r="F807" t="n">
        <v>4596.05595</v>
      </c>
      <c r="G807" t="n">
        <v>4755.40355</v>
      </c>
      <c r="H807" t="n">
        <v>4792.76972</v>
      </c>
      <c r="Q807" t="n">
        <v>4602.21644</v>
      </c>
      <c r="R807" t="n">
        <v>4631.57974</v>
      </c>
      <c r="S807" t="n">
        <v>4658.16851</v>
      </c>
      <c r="V807" t="n">
        <v>4567.27667</v>
      </c>
      <c r="W807" t="n">
        <v>4533.71167</v>
      </c>
      <c r="AB807" t="n">
        <v>4567.12603</v>
      </c>
      <c r="AC807" t="n">
        <v>4567.75999</v>
      </c>
      <c r="AD807" t="n">
        <v>0</v>
      </c>
      <c r="AK807" t="n">
        <v>805</v>
      </c>
      <c r="AL807" t="n">
        <v>804</v>
      </c>
      <c r="AM807" t="n">
        <v>4574.2</v>
      </c>
      <c r="AN807" t="n">
        <v>4602.2164</v>
      </c>
      <c r="AO807" t="n">
        <v>-28.0164</v>
      </c>
      <c r="AP807" t="n">
        <v>784.9209</v>
      </c>
      <c r="AQ807" t="n">
        <v>-0.505888</v>
      </c>
      <c r="AR807" t="n">
        <v>0.403094</v>
      </c>
      <c r="AY807" t="n">
        <v>805</v>
      </c>
      <c r="AZ807" t="n">
        <v>804</v>
      </c>
      <c r="BA807" t="n">
        <v>4574.2</v>
      </c>
      <c r="BB807" t="n">
        <v>4602.2164</v>
      </c>
      <c r="BC807" t="n">
        <v>-28.0164</v>
      </c>
      <c r="BD807" t="n">
        <v>784.9209</v>
      </c>
      <c r="BE807" t="n">
        <v>646416</v>
      </c>
    </row>
    <row r="808">
      <c r="A808" t="n">
        <v>1777454102</v>
      </c>
      <c r="B808" t="inlineStr">
        <is>
          <t>XAUUSD</t>
        </is>
      </c>
      <c r="C808" t="inlineStr">
        <is>
          <t>M15</t>
        </is>
      </c>
      <c r="D808" t="n">
        <v>4565.69</v>
      </c>
      <c r="E808" t="n">
        <v>4518.59282</v>
      </c>
      <c r="F808" t="n">
        <v>4596.05595</v>
      </c>
      <c r="G808" t="n">
        <v>4755.40355</v>
      </c>
      <c r="H808" t="n">
        <v>4792.76972</v>
      </c>
      <c r="Q808" t="n">
        <v>4601.94884</v>
      </c>
      <c r="R808" t="n">
        <v>4631.31213</v>
      </c>
      <c r="S808" t="n">
        <v>4657.9009</v>
      </c>
      <c r="V808" t="n">
        <v>4567.00907</v>
      </c>
      <c r="W808" t="n">
        <v>4533.44407</v>
      </c>
      <c r="AB808" t="n">
        <v>4566.14866</v>
      </c>
      <c r="AC808" t="n">
        <v>4566.95433</v>
      </c>
      <c r="AD808" t="n">
        <v>0</v>
      </c>
      <c r="AK808" t="n">
        <v>806</v>
      </c>
      <c r="AL808" t="n">
        <v>805</v>
      </c>
      <c r="AM808" t="n">
        <v>4565.69</v>
      </c>
      <c r="AN808" t="n">
        <v>4601.9488</v>
      </c>
      <c r="AO808" t="n">
        <v>-36.2588</v>
      </c>
      <c r="AP808" t="n">
        <v>1314.7035</v>
      </c>
      <c r="AQ808" t="n">
        <v>-1.096623</v>
      </c>
      <c r="AR808" t="n">
        <v>1.130862</v>
      </c>
      <c r="AY808" t="n">
        <v>806</v>
      </c>
      <c r="AZ808" t="n">
        <v>805</v>
      </c>
      <c r="BA808" t="n">
        <v>4565.69</v>
      </c>
      <c r="BB808" t="n">
        <v>4601.9488</v>
      </c>
      <c r="BC808" t="n">
        <v>-36.2588</v>
      </c>
      <c r="BD808" t="n">
        <v>1314.7035</v>
      </c>
      <c r="BE808" t="n">
        <v>648025</v>
      </c>
    </row>
    <row r="809">
      <c r="A809" t="n">
        <v>1777455002</v>
      </c>
      <c r="B809" t="inlineStr">
        <is>
          <t>XAUUSD</t>
        </is>
      </c>
      <c r="C809" t="inlineStr">
        <is>
          <t>M15</t>
        </is>
      </c>
      <c r="D809" t="n">
        <v>4558.86</v>
      </c>
      <c r="E809" t="n">
        <v>4518.59282</v>
      </c>
      <c r="F809" t="n">
        <v>4596.05595</v>
      </c>
      <c r="G809" t="n">
        <v>4755.40355</v>
      </c>
      <c r="H809" t="n">
        <v>4792.76972</v>
      </c>
      <c r="Q809" t="n">
        <v>4601.68123</v>
      </c>
      <c r="R809" t="n">
        <v>4631.04453</v>
      </c>
      <c r="S809" t="n">
        <v>4657.6333</v>
      </c>
      <c r="V809" t="n">
        <v>4566.74146</v>
      </c>
      <c r="W809" t="n">
        <v>4533.17646</v>
      </c>
      <c r="AB809" t="n">
        <v>4565.28688</v>
      </c>
      <c r="AC809" t="n">
        <v>4566.1206</v>
      </c>
      <c r="AD809" t="n">
        <v>0</v>
      </c>
      <c r="AK809" t="n">
        <v>807</v>
      </c>
      <c r="AL809" t="n">
        <v>806</v>
      </c>
      <c r="AM809" t="n">
        <v>4558.86</v>
      </c>
      <c r="AN809" t="n">
        <v>4601.6812</v>
      </c>
      <c r="AO809" t="n">
        <v>-42.8212</v>
      </c>
      <c r="AP809" t="n">
        <v>1833.6577</v>
      </c>
      <c r="AQ809" t="n">
        <v>-1.806313</v>
      </c>
      <c r="AR809" t="n">
        <v>2.199838</v>
      </c>
      <c r="AY809" t="n">
        <v>807</v>
      </c>
      <c r="AZ809" t="n">
        <v>806</v>
      </c>
      <c r="BA809" t="n">
        <v>4558.86</v>
      </c>
      <c r="BB809" t="n">
        <v>4601.6812</v>
      </c>
      <c r="BC809" t="n">
        <v>-42.8212</v>
      </c>
      <c r="BD809" t="n">
        <v>1833.6577</v>
      </c>
      <c r="BE809" t="n">
        <v>649636</v>
      </c>
    </row>
    <row r="810">
      <c r="A810" t="n">
        <v>1777455902</v>
      </c>
      <c r="B810" t="inlineStr">
        <is>
          <t>XAUUSD</t>
        </is>
      </c>
      <c r="C810" t="inlineStr">
        <is>
          <t>M15</t>
        </is>
      </c>
      <c r="D810" t="n">
        <v>4555.94</v>
      </c>
      <c r="E810" t="n">
        <v>4518.59282</v>
      </c>
      <c r="F810" t="n">
        <v>4596.05595</v>
      </c>
      <c r="G810" t="n">
        <v>4755.40355</v>
      </c>
      <c r="H810" t="n">
        <v>4792.76972</v>
      </c>
      <c r="Q810" t="n">
        <v>4601.41363</v>
      </c>
      <c r="R810" t="n">
        <v>4630.77693</v>
      </c>
      <c r="S810" t="n">
        <v>4657.3657</v>
      </c>
      <c r="V810" t="n">
        <v>4566.47386</v>
      </c>
      <c r="W810" t="n">
        <v>4532.90886</v>
      </c>
      <c r="AB810" t="n">
        <v>4564.86135</v>
      </c>
      <c r="AC810" t="n">
        <v>4565.49098</v>
      </c>
      <c r="AD810" t="n">
        <v>0</v>
      </c>
      <c r="AK810" t="n">
        <v>808</v>
      </c>
      <c r="AL810" t="n">
        <v>807</v>
      </c>
      <c r="AM810" t="n">
        <v>4555.94</v>
      </c>
      <c r="AN810" t="n">
        <v>4601.4136</v>
      </c>
      <c r="AO810" t="n">
        <v>-45.4736</v>
      </c>
      <c r="AP810" t="n">
        <v>2067.851</v>
      </c>
      <c r="AQ810" t="n">
        <v>-2.163189</v>
      </c>
      <c r="AR810" t="n">
        <v>2.797645</v>
      </c>
      <c r="AY810" t="n">
        <v>808</v>
      </c>
      <c r="AZ810" t="n">
        <v>807</v>
      </c>
      <c r="BA810" t="n">
        <v>4555.94</v>
      </c>
      <c r="BB810" t="n">
        <v>4601.4136</v>
      </c>
      <c r="BC810" t="n">
        <v>-45.4736</v>
      </c>
      <c r="BD810" t="n">
        <v>2067.851</v>
      </c>
      <c r="BE810" t="n">
        <v>651249</v>
      </c>
    </row>
    <row r="811">
      <c r="A811" t="n">
        <v>1777456802</v>
      </c>
      <c r="B811" t="inlineStr">
        <is>
          <t>XAUUSD</t>
        </is>
      </c>
      <c r="C811" t="inlineStr">
        <is>
          <t>M15</t>
        </is>
      </c>
      <c r="D811" t="n">
        <v>4568.04</v>
      </c>
      <c r="E811" t="n">
        <v>4518.59282</v>
      </c>
      <c r="F811" t="n">
        <v>4596.05595</v>
      </c>
      <c r="G811" t="n">
        <v>4755.40355</v>
      </c>
      <c r="H811" t="n">
        <v>4792.76972</v>
      </c>
      <c r="Q811" t="n">
        <v>4601.14602</v>
      </c>
      <c r="R811" t="n">
        <v>4630.50932</v>
      </c>
      <c r="S811" t="n">
        <v>4657.09809</v>
      </c>
      <c r="V811" t="n">
        <v>4566.20625</v>
      </c>
      <c r="W811" t="n">
        <v>4532.64126</v>
      </c>
      <c r="AB811" t="n">
        <v>4565.07204</v>
      </c>
      <c r="AC811" t="n">
        <v>4565.28151</v>
      </c>
      <c r="AD811" t="n">
        <v>0</v>
      </c>
      <c r="AK811" t="n">
        <v>809</v>
      </c>
      <c r="AL811" t="n">
        <v>808</v>
      </c>
      <c r="AM811" t="n">
        <v>4568.04</v>
      </c>
      <c r="AN811" t="n">
        <v>4601.146</v>
      </c>
      <c r="AO811" t="n">
        <v>-33.106</v>
      </c>
      <c r="AP811" t="n">
        <v>1096.0086</v>
      </c>
      <c r="AQ811" t="n">
        <v>-0.834712</v>
      </c>
      <c r="AR811" t="n">
        <v>0.785927</v>
      </c>
      <c r="AY811" t="n">
        <v>809</v>
      </c>
      <c r="AZ811" t="n">
        <v>808</v>
      </c>
      <c r="BA811" t="n">
        <v>4568.04</v>
      </c>
      <c r="BB811" t="n">
        <v>4601.146</v>
      </c>
      <c r="BC811" t="n">
        <v>-33.106</v>
      </c>
      <c r="BD811" t="n">
        <v>1096.0086</v>
      </c>
      <c r="BE811" t="n">
        <v>652864</v>
      </c>
    </row>
    <row r="812">
      <c r="A812" t="n">
        <v>1777457702</v>
      </c>
      <c r="B812" t="inlineStr">
        <is>
          <t>XAUUSD</t>
        </is>
      </c>
      <c r="C812" t="inlineStr">
        <is>
          <t>M15</t>
        </is>
      </c>
      <c r="D812" t="n">
        <v>4571.78</v>
      </c>
      <c r="E812" t="n">
        <v>4518.59282</v>
      </c>
      <c r="F812" t="n">
        <v>4596.05595</v>
      </c>
      <c r="G812" t="n">
        <v>4755.40355</v>
      </c>
      <c r="H812" t="n">
        <v>4792.76972</v>
      </c>
      <c r="Q812" t="n">
        <v>4600.87842</v>
      </c>
      <c r="R812" t="n">
        <v>4630.24172</v>
      </c>
      <c r="S812" t="n">
        <v>4656.83049</v>
      </c>
      <c r="V812" t="n">
        <v>4565.93865</v>
      </c>
      <c r="W812" t="n">
        <v>4532.37365</v>
      </c>
      <c r="AB812" t="n">
        <v>4565.60789</v>
      </c>
      <c r="AC812" t="n">
        <v>4565.4447</v>
      </c>
      <c r="AD812" t="n">
        <v>1</v>
      </c>
      <c r="AK812" t="n">
        <v>810</v>
      </c>
      <c r="AL812" t="n">
        <v>809</v>
      </c>
      <c r="AM812" t="n">
        <v>4571.78</v>
      </c>
      <c r="AN812" t="n">
        <v>4600.8784</v>
      </c>
      <c r="AO812" t="n">
        <v>-29.0984</v>
      </c>
      <c r="AP812" t="n">
        <v>846.718</v>
      </c>
      <c r="AQ812" t="n">
        <v>-0.566792</v>
      </c>
      <c r="AR812" t="n">
        <v>0.469064</v>
      </c>
      <c r="AY812" t="n">
        <v>810</v>
      </c>
      <c r="AZ812" t="n">
        <v>809</v>
      </c>
      <c r="BA812" t="n">
        <v>4571.78</v>
      </c>
      <c r="BB812" t="n">
        <v>4600.8784</v>
      </c>
      <c r="BC812" t="n">
        <v>-29.0984</v>
      </c>
      <c r="BD812" t="n">
        <v>846.718</v>
      </c>
      <c r="BE812" t="n">
        <v>654481</v>
      </c>
    </row>
    <row r="813">
      <c r="A813" t="n">
        <v>1777458602</v>
      </c>
      <c r="B813" t="inlineStr">
        <is>
          <t>XAUUSD</t>
        </is>
      </c>
      <c r="C813" t="inlineStr">
        <is>
          <t>M15</t>
        </is>
      </c>
      <c r="D813" t="n">
        <v>4566.36</v>
      </c>
      <c r="E813" t="n">
        <v>4518.59282</v>
      </c>
      <c r="F813" t="n">
        <v>4596.05595</v>
      </c>
      <c r="G813" t="n">
        <v>4755.40355</v>
      </c>
      <c r="H813" t="n">
        <v>4792.76972</v>
      </c>
      <c r="Q813" t="n">
        <v>4600.61081</v>
      </c>
      <c r="R813" t="n">
        <v>4629.97411</v>
      </c>
      <c r="S813" t="n">
        <v>4656.56288</v>
      </c>
      <c r="V813" t="n">
        <v>4565.67104</v>
      </c>
      <c r="W813" t="n">
        <v>4532.10605</v>
      </c>
      <c r="AB813" t="n">
        <v>4566.29792</v>
      </c>
      <c r="AC813" t="n">
        <v>4565.87131</v>
      </c>
      <c r="AD813" t="n">
        <v>0</v>
      </c>
      <c r="AK813" t="n">
        <v>811</v>
      </c>
      <c r="AL813" t="n">
        <v>810</v>
      </c>
      <c r="AM813" t="n">
        <v>4566.36</v>
      </c>
      <c r="AN813" t="n">
        <v>4600.6108</v>
      </c>
      <c r="AO813" t="n">
        <v>-34.2508</v>
      </c>
      <c r="AP813" t="n">
        <v>1173.118</v>
      </c>
      <c r="AQ813" t="n">
        <v>-0.924332</v>
      </c>
      <c r="AR813" t="n">
        <v>0.900404</v>
      </c>
      <c r="AY813" t="n">
        <v>811</v>
      </c>
      <c r="AZ813" t="n">
        <v>810</v>
      </c>
      <c r="BA813" t="n">
        <v>4566.36</v>
      </c>
      <c r="BB813" t="n">
        <v>4600.6108</v>
      </c>
      <c r="BC813" t="n">
        <v>-34.2508</v>
      </c>
      <c r="BD813" t="n">
        <v>1173.118</v>
      </c>
      <c r="BE813" t="n">
        <v>656100</v>
      </c>
    </row>
    <row r="814">
      <c r="A814" t="n">
        <v>1777459502</v>
      </c>
      <c r="B814" t="inlineStr">
        <is>
          <t>XAUUSD</t>
        </is>
      </c>
      <c r="C814" t="inlineStr">
        <is>
          <t>M15</t>
        </is>
      </c>
      <c r="D814" t="n">
        <v>4569.98</v>
      </c>
      <c r="E814" t="n">
        <v>4518.59282</v>
      </c>
      <c r="F814" t="n">
        <v>4596.05595</v>
      </c>
      <c r="G814" t="n">
        <v>4755.40355</v>
      </c>
      <c r="H814" t="n">
        <v>4792.76972</v>
      </c>
      <c r="Q814" t="n">
        <v>4600.34321</v>
      </c>
      <c r="R814" t="n">
        <v>4629.70651</v>
      </c>
      <c r="S814" t="n">
        <v>4656.29528</v>
      </c>
      <c r="V814" t="n">
        <v>4565.40344</v>
      </c>
      <c r="W814" t="n">
        <v>4531.83844</v>
      </c>
      <c r="AB814" t="n">
        <v>4567.16354</v>
      </c>
      <c r="AC814" t="n">
        <v>4566.51742</v>
      </c>
      <c r="AD814" t="n">
        <v>0</v>
      </c>
      <c r="AK814" t="n">
        <v>812</v>
      </c>
      <c r="AL814" t="n">
        <v>811</v>
      </c>
      <c r="AM814" t="n">
        <v>4569.98</v>
      </c>
      <c r="AN814" t="n">
        <v>4600.3432</v>
      </c>
      <c r="AO814" t="n">
        <v>-30.3632</v>
      </c>
      <c r="AP814" t="n">
        <v>921.9245</v>
      </c>
      <c r="AQ814" t="n">
        <v>-0.64396</v>
      </c>
      <c r="AR814" t="n">
        <v>0.55609</v>
      </c>
      <c r="AY814" t="n">
        <v>812</v>
      </c>
      <c r="AZ814" t="n">
        <v>811</v>
      </c>
      <c r="BA814" t="n">
        <v>4569.98</v>
      </c>
      <c r="BB814" t="n">
        <v>4600.3432</v>
      </c>
      <c r="BC814" t="n">
        <v>-30.3632</v>
      </c>
      <c r="BD814" t="n">
        <v>921.9245</v>
      </c>
      <c r="BE814" t="n">
        <v>657721</v>
      </c>
    </row>
    <row r="815">
      <c r="A815" t="n">
        <v>1777460402</v>
      </c>
      <c r="B815" t="inlineStr">
        <is>
          <t>XAUUSD</t>
        </is>
      </c>
      <c r="C815" t="inlineStr">
        <is>
          <t>M15</t>
        </is>
      </c>
      <c r="D815" t="n">
        <v>4568.02</v>
      </c>
      <c r="E815" t="n">
        <v>4518.59282</v>
      </c>
      <c r="F815" t="n">
        <v>4596.05595</v>
      </c>
      <c r="G815" t="n">
        <v>4755.40355</v>
      </c>
      <c r="H815" t="n">
        <v>4792.76972</v>
      </c>
      <c r="Q815" t="n">
        <v>4600.07561</v>
      </c>
      <c r="R815" t="n">
        <v>4629.43891</v>
      </c>
      <c r="S815" t="n">
        <v>4656.02768</v>
      </c>
      <c r="V815" t="n">
        <v>4565.13584</v>
      </c>
      <c r="W815" t="n">
        <v>4531.57084</v>
      </c>
      <c r="AB815" t="n">
        <v>4567.85456</v>
      </c>
      <c r="AC815" t="n">
        <v>4567.18599</v>
      </c>
      <c r="AD815" t="n">
        <v>0</v>
      </c>
      <c r="AK815" t="n">
        <v>813</v>
      </c>
      <c r="AL815" t="n">
        <v>812</v>
      </c>
      <c r="AM815" t="n">
        <v>4568.02</v>
      </c>
      <c r="AN815" t="n">
        <v>4600.0756</v>
      </c>
      <c r="AO815" t="n">
        <v>-32.0556</v>
      </c>
      <c r="AP815" t="n">
        <v>1027.5621</v>
      </c>
      <c r="AQ815" t="n">
        <v>-0.757753</v>
      </c>
      <c r="AR815" t="n">
        <v>0.690829</v>
      </c>
      <c r="AY815" t="n">
        <v>813</v>
      </c>
      <c r="AZ815" t="n">
        <v>812</v>
      </c>
      <c r="BA815" t="n">
        <v>4568.02</v>
      </c>
      <c r="BB815" t="n">
        <v>4600.0756</v>
      </c>
      <c r="BC815" t="n">
        <v>-32.0556</v>
      </c>
      <c r="BD815" t="n">
        <v>1027.5621</v>
      </c>
      <c r="BE815" t="n">
        <v>659344</v>
      </c>
    </row>
    <row r="816">
      <c r="A816" t="n">
        <v>1777461302</v>
      </c>
      <c r="B816" t="inlineStr">
        <is>
          <t>XAUUSD</t>
        </is>
      </c>
      <c r="C816" t="inlineStr">
        <is>
          <t>M15</t>
        </is>
      </c>
      <c r="D816" t="n">
        <v>4564.76</v>
      </c>
      <c r="E816" t="n">
        <v>4518.59282</v>
      </c>
      <c r="F816" t="n">
        <v>4596.05595</v>
      </c>
      <c r="G816" t="n">
        <v>4755.40355</v>
      </c>
      <c r="H816" t="n">
        <v>4792.76972</v>
      </c>
      <c r="Q816" t="n">
        <v>4599.808</v>
      </c>
      <c r="R816" t="n">
        <v>4629.1713</v>
      </c>
      <c r="S816" t="n">
        <v>4655.76007</v>
      </c>
      <c r="V816" t="n">
        <v>4564.86823</v>
      </c>
      <c r="W816" t="n">
        <v>4531.30324</v>
      </c>
      <c r="AB816" t="n">
        <v>4568.1324</v>
      </c>
      <c r="AC816" t="n">
        <v>4567.65919</v>
      </c>
      <c r="AD816" t="n">
        <v>0</v>
      </c>
      <c r="AK816" t="n">
        <v>814</v>
      </c>
      <c r="AL816" t="n">
        <v>813</v>
      </c>
      <c r="AM816" t="n">
        <v>4564.76</v>
      </c>
      <c r="AN816" t="n">
        <v>4599.808</v>
      </c>
      <c r="AO816" t="n">
        <v>-35.048</v>
      </c>
      <c r="AP816" t="n">
        <v>1228.3623</v>
      </c>
      <c r="AQ816" t="n">
        <v>-0.990388</v>
      </c>
      <c r="AR816" t="n">
        <v>0.987204</v>
      </c>
      <c r="AY816" t="n">
        <v>814</v>
      </c>
      <c r="AZ816" t="n">
        <v>813</v>
      </c>
      <c r="BA816" t="n">
        <v>4564.76</v>
      </c>
      <c r="BB816" t="n">
        <v>4599.808</v>
      </c>
      <c r="BC816" t="n">
        <v>-35.048</v>
      </c>
      <c r="BD816" t="n">
        <v>1228.3623</v>
      </c>
      <c r="BE816" t="n">
        <v>660969</v>
      </c>
    </row>
    <row r="817">
      <c r="A817" t="n">
        <v>1777462202</v>
      </c>
      <c r="B817" t="inlineStr">
        <is>
          <t>XAUUSD</t>
        </is>
      </c>
      <c r="C817" t="inlineStr">
        <is>
          <t>M15</t>
        </is>
      </c>
      <c r="D817" t="n">
        <v>4567.03</v>
      </c>
      <c r="E817" t="n">
        <v>4518.59282</v>
      </c>
      <c r="F817" t="n">
        <v>4596.05595</v>
      </c>
      <c r="G817" t="n">
        <v>4755.40355</v>
      </c>
      <c r="H817" t="n">
        <v>4792.76972</v>
      </c>
      <c r="Q817" t="n">
        <v>4599.5404</v>
      </c>
      <c r="R817" t="n">
        <v>4628.9037</v>
      </c>
      <c r="S817" t="n">
        <v>4655.49247</v>
      </c>
      <c r="V817" t="n">
        <v>4564.60063</v>
      </c>
      <c r="W817" t="n">
        <v>4531.03563</v>
      </c>
      <c r="AB817" t="n">
        <v>4567.69281</v>
      </c>
      <c r="AC817" t="n">
        <v>4567.676</v>
      </c>
      <c r="AD817" t="n">
        <v>0</v>
      </c>
      <c r="AK817" t="n">
        <v>815</v>
      </c>
      <c r="AL817" t="n">
        <v>814</v>
      </c>
      <c r="AM817" t="n">
        <v>4567.03</v>
      </c>
      <c r="AN817" t="n">
        <v>4599.5404</v>
      </c>
      <c r="AO817" t="n">
        <v>-32.5104</v>
      </c>
      <c r="AP817" t="n">
        <v>1056.9261</v>
      </c>
      <c r="AQ817" t="n">
        <v>-0.790465</v>
      </c>
      <c r="AR817" t="n">
        <v>0.7308750000000001</v>
      </c>
      <c r="AY817" t="n">
        <v>815</v>
      </c>
      <c r="AZ817" t="n">
        <v>814</v>
      </c>
      <c r="BA817" t="n">
        <v>4567.03</v>
      </c>
      <c r="BB817" t="n">
        <v>4599.5404</v>
      </c>
      <c r="BC817" t="n">
        <v>-32.5104</v>
      </c>
      <c r="BD817" t="n">
        <v>1056.9261</v>
      </c>
      <c r="BE817" t="n">
        <v>662596</v>
      </c>
    </row>
    <row r="818">
      <c r="A818" t="n">
        <v>1777463102</v>
      </c>
      <c r="B818" t="inlineStr">
        <is>
          <t>XAUUSD</t>
        </is>
      </c>
      <c r="C818" t="inlineStr">
        <is>
          <t>M15</t>
        </is>
      </c>
      <c r="D818" t="n">
        <v>4561.87</v>
      </c>
      <c r="E818" t="n">
        <v>4518.59282</v>
      </c>
      <c r="F818" t="n">
        <v>4596.05595</v>
      </c>
      <c r="G818" t="n">
        <v>4755.40355</v>
      </c>
      <c r="H818" t="n">
        <v>4792.76972</v>
      </c>
      <c r="Q818" t="n">
        <v>4599.27279</v>
      </c>
      <c r="R818" t="n">
        <v>4628.63609</v>
      </c>
      <c r="S818" t="n">
        <v>4655.22486</v>
      </c>
      <c r="V818" t="n">
        <v>4564.33302</v>
      </c>
      <c r="W818" t="n">
        <v>4530.76803</v>
      </c>
      <c r="AB818" t="n">
        <v>4566.10145</v>
      </c>
      <c r="AC818" t="n">
        <v>4566.88873</v>
      </c>
      <c r="AD818" t="n">
        <v>1</v>
      </c>
      <c r="AK818" t="n">
        <v>816</v>
      </c>
      <c r="AL818" t="n">
        <v>815</v>
      </c>
      <c r="AM818" t="n">
        <v>4561.87</v>
      </c>
      <c r="AN818" t="n">
        <v>4599.2728</v>
      </c>
      <c r="AO818" t="n">
        <v>-37.4028</v>
      </c>
      <c r="AP818" t="n">
        <v>1398.9687</v>
      </c>
      <c r="AQ818" t="n">
        <v>-1.203726</v>
      </c>
      <c r="AR818" t="n">
        <v>1.280472</v>
      </c>
      <c r="AY818" t="n">
        <v>816</v>
      </c>
      <c r="AZ818" t="n">
        <v>815</v>
      </c>
      <c r="BA818" t="n">
        <v>4561.87</v>
      </c>
      <c r="BB818" t="n">
        <v>4599.2728</v>
      </c>
      <c r="BC818" t="n">
        <v>-37.4028</v>
      </c>
      <c r="BD818" t="n">
        <v>1398.9687</v>
      </c>
      <c r="BE818" t="n">
        <v>664225</v>
      </c>
    </row>
    <row r="819">
      <c r="A819" t="n">
        <v>1777464002</v>
      </c>
      <c r="B819" t="inlineStr">
        <is>
          <t>XAUUSD</t>
        </is>
      </c>
      <c r="C819" t="inlineStr">
        <is>
          <t>M15</t>
        </is>
      </c>
      <c r="D819" t="n">
        <v>4564.41</v>
      </c>
      <c r="E819" t="n">
        <v>4518.59282</v>
      </c>
      <c r="F819" t="n">
        <v>4596.05595</v>
      </c>
      <c r="G819" t="n">
        <v>4755.40355</v>
      </c>
      <c r="H819" t="n">
        <v>4792.76972</v>
      </c>
      <c r="Q819" t="n">
        <v>4599.00519</v>
      </c>
      <c r="R819" t="n">
        <v>4628.36849</v>
      </c>
      <c r="S819" t="n">
        <v>4654.95726</v>
      </c>
      <c r="V819" t="n">
        <v>4564.06542</v>
      </c>
      <c r="W819" t="n">
        <v>4530.50042</v>
      </c>
      <c r="AB819" t="n">
        <v>4563.24936</v>
      </c>
      <c r="AC819" t="n">
        <v>4565.06904</v>
      </c>
      <c r="AD819" t="n">
        <v>0</v>
      </c>
      <c r="AK819" t="n">
        <v>817</v>
      </c>
      <c r="AL819" t="n">
        <v>816</v>
      </c>
      <c r="AM819" t="n">
        <v>4564.41</v>
      </c>
      <c r="AN819" t="n">
        <v>4599.0052</v>
      </c>
      <c r="AO819" t="n">
        <v>-34.5952</v>
      </c>
      <c r="AP819" t="n">
        <v>1196.8272</v>
      </c>
      <c r="AQ819" t="n">
        <v>-0.952495</v>
      </c>
      <c r="AR819" t="n">
        <v>0.937167</v>
      </c>
      <c r="AY819" t="n">
        <v>817</v>
      </c>
      <c r="AZ819" t="n">
        <v>816</v>
      </c>
      <c r="BA819" t="n">
        <v>4564.41</v>
      </c>
      <c r="BB819" t="n">
        <v>4599.0052</v>
      </c>
      <c r="BC819" t="n">
        <v>-34.5952</v>
      </c>
      <c r="BD819" t="n">
        <v>1196.8272</v>
      </c>
      <c r="BE819" t="n">
        <v>665856</v>
      </c>
    </row>
    <row r="820">
      <c r="A820" t="n">
        <v>1777464902</v>
      </c>
      <c r="B820" t="inlineStr">
        <is>
          <t>XAUUSD</t>
        </is>
      </c>
      <c r="C820" t="inlineStr">
        <is>
          <t>M15</t>
        </is>
      </c>
      <c r="D820" t="n">
        <v>4559.4</v>
      </c>
      <c r="E820" t="n">
        <v>4518.59282</v>
      </c>
      <c r="F820" t="n">
        <v>4596.05595</v>
      </c>
      <c r="G820" t="n">
        <v>4755.40355</v>
      </c>
      <c r="H820" t="n">
        <v>4792.76972</v>
      </c>
      <c r="Q820" t="n">
        <v>4598.73759</v>
      </c>
      <c r="R820" t="n">
        <v>4628.10089</v>
      </c>
      <c r="S820" t="n">
        <v>4654.68966</v>
      </c>
      <c r="V820" t="n">
        <v>4563.79782</v>
      </c>
      <c r="W820" t="n">
        <v>4530.23282</v>
      </c>
      <c r="AB820" t="n">
        <v>4558.9607</v>
      </c>
      <c r="AC820" t="n">
        <v>4562.01487</v>
      </c>
      <c r="AD820" t="n">
        <v>0</v>
      </c>
      <c r="AK820" t="n">
        <v>818</v>
      </c>
      <c r="AL820" t="n">
        <v>817</v>
      </c>
      <c r="AM820" t="n">
        <v>4559.4</v>
      </c>
      <c r="AN820" t="n">
        <v>4598.7376</v>
      </c>
      <c r="AO820" t="n">
        <v>-39.3376</v>
      </c>
      <c r="AP820" t="n">
        <v>1547.446</v>
      </c>
      <c r="AQ820" t="n">
        <v>-1.400357</v>
      </c>
      <c r="AR820" t="n">
        <v>1.566697</v>
      </c>
      <c r="AY820" t="n">
        <v>818</v>
      </c>
      <c r="AZ820" t="n">
        <v>817</v>
      </c>
      <c r="BA820" t="n">
        <v>4559.4</v>
      </c>
      <c r="BB820" t="n">
        <v>4598.7376</v>
      </c>
      <c r="BC820" t="n">
        <v>-39.3376</v>
      </c>
      <c r="BD820" t="n">
        <v>1547.446</v>
      </c>
      <c r="BE820" t="n">
        <v>667489</v>
      </c>
    </row>
    <row r="821">
      <c r="A821" t="n">
        <v>1777465802</v>
      </c>
      <c r="B821" t="inlineStr">
        <is>
          <t>XAUUSD</t>
        </is>
      </c>
      <c r="C821" t="inlineStr">
        <is>
          <t>M15</t>
        </is>
      </c>
      <c r="D821" t="n">
        <v>4557.62</v>
      </c>
      <c r="E821" t="n">
        <v>4518.59282</v>
      </c>
      <c r="F821" t="n">
        <v>4596.05595</v>
      </c>
      <c r="G821" t="n">
        <v>4755.40355</v>
      </c>
      <c r="H821" t="n">
        <v>4792.76972</v>
      </c>
      <c r="Q821" t="n">
        <v>4598.46998</v>
      </c>
      <c r="R821" t="n">
        <v>4627.83328</v>
      </c>
      <c r="S821" t="n">
        <v>4654.42205</v>
      </c>
      <c r="V821" t="n">
        <v>4563.53021</v>
      </c>
      <c r="W821" t="n">
        <v>4529.96522</v>
      </c>
      <c r="AB821" t="n">
        <v>4553.43356</v>
      </c>
      <c r="AC821" t="n">
        <v>4557.72422</v>
      </c>
      <c r="AD821" t="n">
        <v>0</v>
      </c>
      <c r="AK821" t="n">
        <v>819</v>
      </c>
      <c r="AL821" t="n">
        <v>818</v>
      </c>
      <c r="AM821" t="n">
        <v>4557.62</v>
      </c>
      <c r="AN821" t="n">
        <v>4598.47</v>
      </c>
      <c r="AO821" t="n">
        <v>-40.85</v>
      </c>
      <c r="AP821" t="n">
        <v>1668.7209</v>
      </c>
      <c r="AQ821" t="n">
        <v>-1.568163</v>
      </c>
      <c r="AR821" t="n">
        <v>1.821887</v>
      </c>
      <c r="AY821" t="n">
        <v>819</v>
      </c>
      <c r="AZ821" t="n">
        <v>818</v>
      </c>
      <c r="BA821" t="n">
        <v>4557.62</v>
      </c>
      <c r="BB821" t="n">
        <v>4598.47</v>
      </c>
      <c r="BC821" t="n">
        <v>-40.85</v>
      </c>
      <c r="BD821" t="n">
        <v>1668.7209</v>
      </c>
      <c r="BE821" t="n">
        <v>669124</v>
      </c>
    </row>
    <row r="822">
      <c r="A822" t="n">
        <v>1777466702</v>
      </c>
      <c r="B822" t="inlineStr">
        <is>
          <t>XAUUSD</t>
        </is>
      </c>
      <c r="C822" t="inlineStr">
        <is>
          <t>M15</t>
        </is>
      </c>
      <c r="D822" t="n">
        <v>4544.9</v>
      </c>
      <c r="E822" t="n">
        <v>4518.59282</v>
      </c>
      <c r="F822" t="n">
        <v>4596.05595</v>
      </c>
      <c r="G822" t="n">
        <v>4755.40355</v>
      </c>
      <c r="H822" t="n">
        <v>4792.76972</v>
      </c>
      <c r="Q822" t="n">
        <v>4598.20238</v>
      </c>
      <c r="R822" t="n">
        <v>4627.56568</v>
      </c>
      <c r="S822" t="n">
        <v>4654.15445</v>
      </c>
      <c r="V822" t="n">
        <v>4563.26261</v>
      </c>
      <c r="W822" t="n">
        <v>4529.69761</v>
      </c>
      <c r="AB822" t="n">
        <v>4547.01485</v>
      </c>
      <c r="AC822" t="n">
        <v>4552.36953</v>
      </c>
      <c r="AD822" t="n">
        <v>0</v>
      </c>
      <c r="AK822" t="n">
        <v>820</v>
      </c>
      <c r="AL822" t="n">
        <v>819</v>
      </c>
      <c r="AM822" t="n">
        <v>4544.9</v>
      </c>
      <c r="AN822" t="n">
        <v>4598.2024</v>
      </c>
      <c r="AO822" t="n">
        <v>-53.3024</v>
      </c>
      <c r="AP822" t="n">
        <v>2841.1437</v>
      </c>
      <c r="AQ822" t="n">
        <v>-3.483817</v>
      </c>
      <c r="AR822" t="n">
        <v>5.281296</v>
      </c>
      <c r="AY822" t="n">
        <v>820</v>
      </c>
      <c r="AZ822" t="n">
        <v>819</v>
      </c>
      <c r="BA822" t="n">
        <v>4544.9</v>
      </c>
      <c r="BB822" t="n">
        <v>4598.2024</v>
      </c>
      <c r="BC822" t="n">
        <v>-53.3024</v>
      </c>
      <c r="BD822" t="n">
        <v>2841.1437</v>
      </c>
      <c r="BE822" t="n">
        <v>670761</v>
      </c>
    </row>
    <row r="823">
      <c r="A823" t="n">
        <v>1777467602</v>
      </c>
      <c r="B823" t="inlineStr">
        <is>
          <t>XAUUSD</t>
        </is>
      </c>
      <c r="C823" t="inlineStr">
        <is>
          <t>M15</t>
        </is>
      </c>
      <c r="D823" t="n">
        <v>4549.8</v>
      </c>
      <c r="E823" t="n">
        <v>4518.59282</v>
      </c>
      <c r="F823" t="n">
        <v>4596.05595</v>
      </c>
      <c r="G823" t="n">
        <v>4755.40355</v>
      </c>
      <c r="H823" t="n">
        <v>4792.76972</v>
      </c>
      <c r="Q823" t="n">
        <v>4597.93477</v>
      </c>
      <c r="R823" t="n">
        <v>4627.29807</v>
      </c>
      <c r="S823" t="n">
        <v>4653.88684</v>
      </c>
      <c r="V823" t="n">
        <v>4562.995</v>
      </c>
      <c r="W823" t="n">
        <v>4529.43001</v>
      </c>
      <c r="AB823" t="n">
        <v>4540.52002</v>
      </c>
      <c r="AC823" t="n">
        <v>4546.44477</v>
      </c>
      <c r="AD823" t="n">
        <v>0</v>
      </c>
      <c r="AK823" t="n">
        <v>821</v>
      </c>
      <c r="AL823" t="n">
        <v>820</v>
      </c>
      <c r="AM823" t="n">
        <v>4549.8</v>
      </c>
      <c r="AN823" t="n">
        <v>4597.9348</v>
      </c>
      <c r="AO823" t="n">
        <v>-48.1348</v>
      </c>
      <c r="AP823" t="n">
        <v>2316.9561</v>
      </c>
      <c r="AQ823" t="n">
        <v>-2.56562</v>
      </c>
      <c r="AR823" t="n">
        <v>3.512285</v>
      </c>
      <c r="AY823" t="n">
        <v>821</v>
      </c>
      <c r="AZ823" t="n">
        <v>820</v>
      </c>
      <c r="BA823" t="n">
        <v>4549.8</v>
      </c>
      <c r="BB823" t="n">
        <v>4597.9348</v>
      </c>
      <c r="BC823" t="n">
        <v>-48.1348</v>
      </c>
      <c r="BD823" t="n">
        <v>2316.9561</v>
      </c>
      <c r="BE823" t="n">
        <v>672400</v>
      </c>
    </row>
    <row r="824">
      <c r="A824" t="n">
        <v>1777468502</v>
      </c>
      <c r="B824" t="inlineStr">
        <is>
          <t>XAUUSD</t>
        </is>
      </c>
      <c r="C824" t="inlineStr">
        <is>
          <t>M15</t>
        </is>
      </c>
      <c r="D824" t="n">
        <v>4537.82</v>
      </c>
      <c r="E824" t="n">
        <v>4518.59282</v>
      </c>
      <c r="F824" t="n">
        <v>4596.05595</v>
      </c>
      <c r="G824" t="n">
        <v>4755.40355</v>
      </c>
      <c r="H824" t="n">
        <v>4792.76972</v>
      </c>
      <c r="Q824" t="n">
        <v>4597.66717</v>
      </c>
      <c r="R824" t="n">
        <v>4627.03047</v>
      </c>
      <c r="S824" t="n">
        <v>4653.61924</v>
      </c>
      <c r="V824" t="n">
        <v>4562.7274</v>
      </c>
      <c r="W824" t="n">
        <v>4529.1624</v>
      </c>
      <c r="AB824" t="n">
        <v>4534.37601</v>
      </c>
      <c r="AC824" t="n">
        <v>4540.41039</v>
      </c>
      <c r="AD824" t="n">
        <v>0</v>
      </c>
      <c r="AK824" t="n">
        <v>822</v>
      </c>
      <c r="AL824" t="n">
        <v>821</v>
      </c>
      <c r="AM824" t="n">
        <v>4537.82</v>
      </c>
      <c r="AN824" t="n">
        <v>4597.6672</v>
      </c>
      <c r="AO824" t="n">
        <v>-59.8472</v>
      </c>
      <c r="AP824" t="n">
        <v>3581.6838</v>
      </c>
      <c r="AQ824" t="n">
        <v>-4.93113</v>
      </c>
      <c r="AR824" t="n">
        <v>8.393219999999999</v>
      </c>
      <c r="AY824" t="n">
        <v>822</v>
      </c>
      <c r="AZ824" t="n">
        <v>821</v>
      </c>
      <c r="BA824" t="n">
        <v>4537.82</v>
      </c>
      <c r="BB824" t="n">
        <v>4597.6672</v>
      </c>
      <c r="BC824" t="n">
        <v>-59.8472</v>
      </c>
      <c r="BD824" t="n">
        <v>3581.6838</v>
      </c>
      <c r="BE824" t="n">
        <v>674041</v>
      </c>
    </row>
    <row r="825">
      <c r="A825" t="n">
        <v>1777469402</v>
      </c>
      <c r="B825" t="inlineStr">
        <is>
          <t>XAUUSD</t>
        </is>
      </c>
      <c r="C825" t="inlineStr">
        <is>
          <t>M15</t>
        </is>
      </c>
      <c r="D825" t="n">
        <v>4514.81</v>
      </c>
      <c r="E825" t="n">
        <v>4518.59282</v>
      </c>
      <c r="F825" t="n">
        <v>4596.05595</v>
      </c>
      <c r="G825" t="n">
        <v>4755.40355</v>
      </c>
      <c r="H825" t="n">
        <v>4792.76972</v>
      </c>
      <c r="Q825" t="n">
        <v>4597.39957</v>
      </c>
      <c r="R825" t="n">
        <v>4626.76286</v>
      </c>
      <c r="S825" t="n">
        <v>4653.35164</v>
      </c>
      <c r="V825" t="n">
        <v>4562.4598</v>
      </c>
      <c r="W825" t="n">
        <v>4528.8948</v>
      </c>
      <c r="AB825" t="n">
        <v>4529.49932</v>
      </c>
      <c r="AC825" t="n">
        <v>4534.95486</v>
      </c>
      <c r="AD825" t="n">
        <v>0</v>
      </c>
      <c r="AK825" t="n">
        <v>823</v>
      </c>
      <c r="AL825" t="n">
        <v>822</v>
      </c>
      <c r="AM825" t="n">
        <v>4514.81</v>
      </c>
      <c r="AN825" t="n">
        <v>4597.3996</v>
      </c>
      <c r="AO825" t="n">
        <v>-82.5896</v>
      </c>
      <c r="AP825" t="n">
        <v>6821.0371</v>
      </c>
      <c r="AQ825" t="n">
        <v>-12.959588</v>
      </c>
      <c r="AR825" t="n">
        <v>30.440721</v>
      </c>
      <c r="AY825" t="n">
        <v>823</v>
      </c>
      <c r="AZ825" t="n">
        <v>822</v>
      </c>
      <c r="BA825" t="n">
        <v>4514.81</v>
      </c>
      <c r="BB825" t="n">
        <v>4597.3996</v>
      </c>
      <c r="BC825" t="n">
        <v>-82.5896</v>
      </c>
      <c r="BD825" t="n">
        <v>6821.0371</v>
      </c>
      <c r="BE825" t="n">
        <v>675684</v>
      </c>
    </row>
    <row r="826">
      <c r="A826" t="n">
        <v>1777470302</v>
      </c>
      <c r="B826" t="inlineStr">
        <is>
          <t>XAUUSD</t>
        </is>
      </c>
      <c r="C826" t="inlineStr">
        <is>
          <t>M15</t>
        </is>
      </c>
      <c r="D826" t="n">
        <v>4521.71</v>
      </c>
      <c r="E826" t="n">
        <v>4518.59282</v>
      </c>
      <c r="F826" t="n">
        <v>4596.05595</v>
      </c>
      <c r="G826" t="n">
        <v>4755.40355</v>
      </c>
      <c r="H826" t="n">
        <v>4792.76972</v>
      </c>
      <c r="Q826" t="n">
        <v>4597.13196</v>
      </c>
      <c r="R826" t="n">
        <v>4626.49526</v>
      </c>
      <c r="S826" t="n">
        <v>4653.08403</v>
      </c>
      <c r="V826" t="n">
        <v>4562.19219</v>
      </c>
      <c r="W826" t="n">
        <v>4528.6272</v>
      </c>
      <c r="AA826" t="n">
        <v>4510.28</v>
      </c>
      <c r="AB826" t="n">
        <v>4526.96404</v>
      </c>
      <c r="AC826" t="n">
        <v>4530.95945</v>
      </c>
      <c r="AD826" t="n">
        <v>0</v>
      </c>
      <c r="AK826" t="n">
        <v>824</v>
      </c>
      <c r="AL826" t="n">
        <v>823</v>
      </c>
      <c r="AM826" t="n">
        <v>4521.71</v>
      </c>
      <c r="AN826" t="n">
        <v>4597.132</v>
      </c>
      <c r="AO826" t="n">
        <v>-75.422</v>
      </c>
      <c r="AP826" t="n">
        <v>5688.4721</v>
      </c>
      <c r="AQ826" t="n">
        <v>-9.869814999999999</v>
      </c>
      <c r="AR826" t="n">
        <v>21.171195</v>
      </c>
      <c r="AY826" t="n">
        <v>824</v>
      </c>
      <c r="AZ826" t="n">
        <v>823</v>
      </c>
      <c r="BA826" t="n">
        <v>4521.71</v>
      </c>
      <c r="BB826" t="n">
        <v>4597.132</v>
      </c>
      <c r="BC826" t="n">
        <v>-75.422</v>
      </c>
      <c r="BD826" t="n">
        <v>5688.4721</v>
      </c>
      <c r="BE826" t="n">
        <v>677329</v>
      </c>
    </row>
    <row r="827">
      <c r="A827" t="n">
        <v>1777471202</v>
      </c>
      <c r="B827" t="inlineStr">
        <is>
          <t>XAUUSD</t>
        </is>
      </c>
      <c r="C827" t="inlineStr">
        <is>
          <t>M15</t>
        </is>
      </c>
      <c r="D827" t="n">
        <v>4526.15</v>
      </c>
      <c r="E827" t="n">
        <v>4518.59282</v>
      </c>
      <c r="F827" t="n">
        <v>4596.05595</v>
      </c>
      <c r="G827" t="n">
        <v>4755.40355</v>
      </c>
      <c r="H827" t="n">
        <v>4792.76972</v>
      </c>
      <c r="Q827" t="n">
        <v>4596.86436</v>
      </c>
      <c r="R827" t="n">
        <v>4626.22766</v>
      </c>
      <c r="S827" t="n">
        <v>4652.81643</v>
      </c>
      <c r="V827" t="n">
        <v>4561.92459</v>
      </c>
      <c r="W827" t="n">
        <v>4528.35959</v>
      </c>
      <c r="AB827" t="n">
        <v>4526.75464</v>
      </c>
      <c r="AC827" t="n">
        <v>4528.85705</v>
      </c>
      <c r="AD827" t="n">
        <v>0</v>
      </c>
      <c r="AK827" t="n">
        <v>825</v>
      </c>
      <c r="AL827" t="n">
        <v>824</v>
      </c>
      <c r="AM827" t="n">
        <v>4526.15</v>
      </c>
      <c r="AN827" t="n">
        <v>4596.8644</v>
      </c>
      <c r="AO827" t="n">
        <v>-70.7144</v>
      </c>
      <c r="AP827" t="n">
        <v>5000.5207</v>
      </c>
      <c r="AQ827" t="n">
        <v>-8.134641999999999</v>
      </c>
      <c r="AR827" t="n">
        <v>16.360048</v>
      </c>
      <c r="AY827" t="n">
        <v>825</v>
      </c>
      <c r="AZ827" t="n">
        <v>824</v>
      </c>
      <c r="BA827" t="n">
        <v>4526.15</v>
      </c>
      <c r="BB827" t="n">
        <v>4596.8644</v>
      </c>
      <c r="BC827" t="n">
        <v>-70.7144</v>
      </c>
      <c r="BD827" t="n">
        <v>5000.5207</v>
      </c>
      <c r="BE827" t="n">
        <v>678976</v>
      </c>
    </row>
    <row r="828">
      <c r="A828" t="n">
        <v>1777472102</v>
      </c>
      <c r="B828" t="inlineStr">
        <is>
          <t>XAUUSD</t>
        </is>
      </c>
      <c r="C828" t="inlineStr">
        <is>
          <t>M15</t>
        </is>
      </c>
      <c r="D828" t="n">
        <v>4533.2</v>
      </c>
      <c r="E828" t="n">
        <v>4518.59282</v>
      </c>
      <c r="F828" t="n">
        <v>4596.05595</v>
      </c>
      <c r="G828" t="n">
        <v>4755.40355</v>
      </c>
      <c r="H828" t="n">
        <v>4792.76972</v>
      </c>
      <c r="Q828" t="n">
        <v>4596.59675</v>
      </c>
      <c r="R828" t="n">
        <v>4625.96005</v>
      </c>
      <c r="S828" t="n">
        <v>4652.54882</v>
      </c>
      <c r="V828" t="n">
        <v>4561.65698</v>
      </c>
      <c r="W828" t="n">
        <v>4528.09199</v>
      </c>
      <c r="AB828" t="n">
        <v>4528.6334</v>
      </c>
      <c r="AC828" t="n">
        <v>4528.74522</v>
      </c>
      <c r="AD828" t="n">
        <v>0</v>
      </c>
      <c r="AK828" t="n">
        <v>826</v>
      </c>
      <c r="AL828" t="n">
        <v>825</v>
      </c>
      <c r="AM828" t="n">
        <v>4533.2</v>
      </c>
      <c r="AN828" t="n">
        <v>4596.5967</v>
      </c>
      <c r="AO828" t="n">
        <v>-63.3967</v>
      </c>
      <c r="AP828" t="n">
        <v>4019.1479</v>
      </c>
      <c r="AQ828" t="n">
        <v>-5.861605</v>
      </c>
      <c r="AR828" t="n">
        <v>10.568713</v>
      </c>
      <c r="AY828" t="n">
        <v>826</v>
      </c>
      <c r="AZ828" t="n">
        <v>825</v>
      </c>
      <c r="BA828" t="n">
        <v>4533.2</v>
      </c>
      <c r="BB828" t="n">
        <v>4596.5967</v>
      </c>
      <c r="BC828" t="n">
        <v>-63.3967</v>
      </c>
      <c r="BD828" t="n">
        <v>4019.1479</v>
      </c>
      <c r="BE828" t="n">
        <v>680625</v>
      </c>
    </row>
    <row r="829">
      <c r="A829" t="n">
        <v>1777473002</v>
      </c>
      <c r="B829" t="inlineStr">
        <is>
          <t>XAUUSD</t>
        </is>
      </c>
      <c r="C829" t="inlineStr">
        <is>
          <t>M15</t>
        </is>
      </c>
      <c r="D829" t="n">
        <v>4538.69</v>
      </c>
      <c r="E829" t="n">
        <v>4518.59282</v>
      </c>
      <c r="F829" t="n">
        <v>4596.05595</v>
      </c>
      <c r="G829" t="n">
        <v>4755.40355</v>
      </c>
      <c r="H829" t="n">
        <v>4792.76972</v>
      </c>
      <c r="Q829" t="n">
        <v>4596.32915</v>
      </c>
      <c r="R829" t="n">
        <v>4625.69245</v>
      </c>
      <c r="S829" t="n">
        <v>4652.28122</v>
      </c>
      <c r="V829" t="n">
        <v>4561.38938</v>
      </c>
      <c r="W829" t="n">
        <v>4527.82438</v>
      </c>
      <c r="AB829" t="n">
        <v>4532.06776</v>
      </c>
      <c r="AC829" t="n">
        <v>4530.40649</v>
      </c>
      <c r="AD829" t="n">
        <v>1</v>
      </c>
      <c r="AK829" t="n">
        <v>827</v>
      </c>
      <c r="AL829" t="n">
        <v>826</v>
      </c>
      <c r="AM829" t="n">
        <v>4538.69</v>
      </c>
      <c r="AN829" t="n">
        <v>4596.3291</v>
      </c>
      <c r="AO829" t="n">
        <v>-57.6391</v>
      </c>
      <c r="AP829" t="n">
        <v>3322.2716</v>
      </c>
      <c r="AQ829" t="n">
        <v>-4.405227</v>
      </c>
      <c r="AR829" t="n">
        <v>7.22145</v>
      </c>
      <c r="AY829" t="n">
        <v>827</v>
      </c>
      <c r="AZ829" t="n">
        <v>826</v>
      </c>
      <c r="BA829" t="n">
        <v>4538.69</v>
      </c>
      <c r="BB829" t="n">
        <v>4596.3291</v>
      </c>
      <c r="BC829" t="n">
        <v>-57.6391</v>
      </c>
      <c r="BD829" t="n">
        <v>3322.2716</v>
      </c>
      <c r="BE829" t="n">
        <v>682276</v>
      </c>
    </row>
    <row r="830">
      <c r="A830" t="n">
        <v>1777473902</v>
      </c>
      <c r="B830" t="inlineStr">
        <is>
          <t>XAUUSD</t>
        </is>
      </c>
      <c r="C830" t="inlineStr">
        <is>
          <t>M15</t>
        </is>
      </c>
      <c r="D830" t="n">
        <v>4539.25</v>
      </c>
      <c r="E830" t="n">
        <v>4518.59282</v>
      </c>
      <c r="F830" t="n">
        <v>4596.05595</v>
      </c>
      <c r="G830" t="n">
        <v>4755.40355</v>
      </c>
      <c r="H830" t="n">
        <v>4792.76972</v>
      </c>
      <c r="Q830" t="n">
        <v>4596.06155</v>
      </c>
      <c r="R830" t="n">
        <v>4625.42484</v>
      </c>
      <c r="S830" t="n">
        <v>4652.01362</v>
      </c>
      <c r="V830" t="n">
        <v>4561.12178</v>
      </c>
      <c r="W830" t="n">
        <v>4527.55678</v>
      </c>
      <c r="AB830" t="n">
        <v>4536.46429</v>
      </c>
      <c r="AC830" t="n">
        <v>4533.43539</v>
      </c>
      <c r="AD830" t="n">
        <v>0</v>
      </c>
      <c r="AK830" t="n">
        <v>828</v>
      </c>
      <c r="AL830" t="n">
        <v>827</v>
      </c>
      <c r="AM830" t="n">
        <v>4539.25</v>
      </c>
      <c r="AN830" t="n">
        <v>4596.0616</v>
      </c>
      <c r="AO830" t="n">
        <v>-56.8116</v>
      </c>
      <c r="AP830" t="n">
        <v>3227.5522</v>
      </c>
      <c r="AQ830" t="n">
        <v>-4.218184</v>
      </c>
      <c r="AR830" t="n">
        <v>6.815546</v>
      </c>
      <c r="AY830" t="n">
        <v>828</v>
      </c>
      <c r="AZ830" t="n">
        <v>827</v>
      </c>
      <c r="BA830" t="n">
        <v>4539.25</v>
      </c>
      <c r="BB830" t="n">
        <v>4596.0616</v>
      </c>
      <c r="BC830" t="n">
        <v>-56.8116</v>
      </c>
      <c r="BD830" t="n">
        <v>3227.5522</v>
      </c>
      <c r="BE830" t="n">
        <v>683929</v>
      </c>
    </row>
    <row r="831">
      <c r="A831" t="n">
        <v>1777474802</v>
      </c>
      <c r="B831" t="inlineStr">
        <is>
          <t>XAUUSD</t>
        </is>
      </c>
      <c r="C831" t="inlineStr">
        <is>
          <t>M15</t>
        </is>
      </c>
      <c r="D831" t="n">
        <v>4538.08</v>
      </c>
      <c r="E831" t="n">
        <v>4518.59282</v>
      </c>
      <c r="F831" t="n">
        <v>4596.05595</v>
      </c>
      <c r="G831" t="n">
        <v>4755.40355</v>
      </c>
      <c r="H831" t="n">
        <v>4792.76972</v>
      </c>
      <c r="Q831" t="n">
        <v>4595.79394</v>
      </c>
      <c r="R831" t="n">
        <v>4625.15724</v>
      </c>
      <c r="S831" t="n">
        <v>4651.74601</v>
      </c>
      <c r="V831" t="n">
        <v>4560.85417</v>
      </c>
      <c r="W831" t="n">
        <v>4527.28917</v>
      </c>
      <c r="AB831" t="n">
        <v>4541.33113</v>
      </c>
      <c r="AC831" t="n">
        <v>4537.38326</v>
      </c>
      <c r="AD831" t="n">
        <v>0</v>
      </c>
      <c r="AK831" t="n">
        <v>829</v>
      </c>
      <c r="AL831" t="n">
        <v>828</v>
      </c>
      <c r="AM831" t="n">
        <v>4538.08</v>
      </c>
      <c r="AN831" t="n">
        <v>4595.7939</v>
      </c>
      <c r="AO831" t="n">
        <v>-57.7139</v>
      </c>
      <c r="AP831" t="n">
        <v>3330.8989</v>
      </c>
      <c r="AQ831" t="n">
        <v>-4.422397</v>
      </c>
      <c r="AR831" t="n">
        <v>7.259004</v>
      </c>
      <c r="AY831" t="n">
        <v>829</v>
      </c>
      <c r="AZ831" t="n">
        <v>828</v>
      </c>
      <c r="BA831" t="n">
        <v>4538.08</v>
      </c>
      <c r="BB831" t="n">
        <v>4595.7939</v>
      </c>
      <c r="BC831" t="n">
        <v>-57.7139</v>
      </c>
      <c r="BD831" t="n">
        <v>3330.8989</v>
      </c>
      <c r="BE831" t="n">
        <v>685584</v>
      </c>
    </row>
    <row r="832">
      <c r="A832" t="n">
        <v>1777475702</v>
      </c>
      <c r="B832" t="inlineStr">
        <is>
          <t>XAUUSD</t>
        </is>
      </c>
      <c r="C832" t="inlineStr">
        <is>
          <t>M15</t>
        </is>
      </c>
      <c r="D832" t="n">
        <v>4543.61</v>
      </c>
      <c r="E832" t="n">
        <v>4518.59282</v>
      </c>
      <c r="F832" t="n">
        <v>4596.05595</v>
      </c>
      <c r="G832" t="n">
        <v>4755.40355</v>
      </c>
      <c r="H832" t="n">
        <v>4792.76972</v>
      </c>
      <c r="Q832" t="n">
        <v>4595.52634</v>
      </c>
      <c r="R832" t="n">
        <v>4624.88964</v>
      </c>
      <c r="S832" t="n">
        <v>4651.47841</v>
      </c>
      <c r="V832" t="n">
        <v>4560.58657</v>
      </c>
      <c r="W832" t="n">
        <v>4527.02157</v>
      </c>
      <c r="AB832" t="n">
        <v>4546.2278</v>
      </c>
      <c r="AC832" t="n">
        <v>4541.80553</v>
      </c>
      <c r="AD832" t="n">
        <v>0</v>
      </c>
      <c r="AK832" t="n">
        <v>830</v>
      </c>
      <c r="AL832" t="n">
        <v>829</v>
      </c>
      <c r="AM832" t="n">
        <v>4543.61</v>
      </c>
      <c r="AN832" t="n">
        <v>4595.5263</v>
      </c>
      <c r="AO832" t="n">
        <v>-51.9163</v>
      </c>
      <c r="AP832" t="n">
        <v>2695.3064</v>
      </c>
      <c r="AQ832" t="n">
        <v>-3.21905</v>
      </c>
      <c r="AR832" t="n">
        <v>4.753028</v>
      </c>
      <c r="AY832" t="n">
        <v>830</v>
      </c>
      <c r="AZ832" t="n">
        <v>829</v>
      </c>
      <c r="BA832" t="n">
        <v>4543.61</v>
      </c>
      <c r="BB832" t="n">
        <v>4595.5263</v>
      </c>
      <c r="BC832" t="n">
        <v>-51.9163</v>
      </c>
      <c r="BD832" t="n">
        <v>2695.3064</v>
      </c>
      <c r="BE832" t="n">
        <v>687241</v>
      </c>
    </row>
    <row r="833">
      <c r="A833" t="n">
        <v>1777476602</v>
      </c>
      <c r="B833" t="inlineStr">
        <is>
          <t>XAUUSD</t>
        </is>
      </c>
      <c r="C833" t="inlineStr">
        <is>
          <t>M15</t>
        </is>
      </c>
      <c r="D833" t="n">
        <v>4553.17</v>
      </c>
      <c r="E833" t="n">
        <v>4518.59282</v>
      </c>
      <c r="F833" t="n">
        <v>4596.05595</v>
      </c>
      <c r="G833" t="n">
        <v>4755.40355</v>
      </c>
      <c r="H833" t="n">
        <v>4792.76972</v>
      </c>
      <c r="Q833" t="n">
        <v>4595.25873</v>
      </c>
      <c r="R833" t="n">
        <v>4624.62203</v>
      </c>
      <c r="S833" t="n">
        <v>4651.2108</v>
      </c>
      <c r="V833" t="n">
        <v>4560.31896</v>
      </c>
      <c r="W833" t="n">
        <v>4526.75397</v>
      </c>
      <c r="AB833" t="n">
        <v>4550.55587</v>
      </c>
      <c r="AC833" t="n">
        <v>4546.1807</v>
      </c>
      <c r="AD833" t="n">
        <v>0</v>
      </c>
      <c r="AK833" t="n">
        <v>831</v>
      </c>
      <c r="AL833" t="n">
        <v>830</v>
      </c>
      <c r="AM833" t="n">
        <v>4553.17</v>
      </c>
      <c r="AN833" t="n">
        <v>4595.2587</v>
      </c>
      <c r="AO833" t="n">
        <v>-42.0887</v>
      </c>
      <c r="AP833" t="n">
        <v>1771.4612</v>
      </c>
      <c r="AQ833" t="n">
        <v>-1.715193</v>
      </c>
      <c r="AR833" t="n">
        <v>2.053134</v>
      </c>
      <c r="AY833" t="n">
        <v>831</v>
      </c>
      <c r="AZ833" t="n">
        <v>830</v>
      </c>
      <c r="BA833" t="n">
        <v>4553.17</v>
      </c>
      <c r="BB833" t="n">
        <v>4595.2587</v>
      </c>
      <c r="BC833" t="n">
        <v>-42.0887</v>
      </c>
      <c r="BD833" t="n">
        <v>1771.4612</v>
      </c>
      <c r="BE833" t="n">
        <v>688900</v>
      </c>
    </row>
    <row r="834">
      <c r="A834" t="n">
        <v>1777477502</v>
      </c>
      <c r="B834" t="inlineStr">
        <is>
          <t>XAUUSD</t>
        </is>
      </c>
      <c r="C834" t="inlineStr">
        <is>
          <t>M15</t>
        </is>
      </c>
      <c r="D834" t="n">
        <v>4547.48</v>
      </c>
      <c r="E834" t="n">
        <v>4518.59282</v>
      </c>
      <c r="F834" t="n">
        <v>4596.05595</v>
      </c>
      <c r="G834" t="n">
        <v>4755.40355</v>
      </c>
      <c r="H834" t="n">
        <v>4792.76972</v>
      </c>
      <c r="Q834" t="n">
        <v>4594.99113</v>
      </c>
      <c r="R834" t="n">
        <v>4624.35443</v>
      </c>
      <c r="S834" t="n">
        <v>4650.9432</v>
      </c>
      <c r="V834" t="n">
        <v>4560.05136</v>
      </c>
      <c r="W834" t="n">
        <v>4526.48636</v>
      </c>
      <c r="AB834" t="n">
        <v>4553.70883</v>
      </c>
      <c r="AC834" t="n">
        <v>4549.94477</v>
      </c>
      <c r="AD834" t="n">
        <v>0</v>
      </c>
      <c r="AK834" t="n">
        <v>832</v>
      </c>
      <c r="AL834" t="n">
        <v>831</v>
      </c>
      <c r="AM834" t="n">
        <v>4547.48</v>
      </c>
      <c r="AN834" t="n">
        <v>4594.9911</v>
      </c>
      <c r="AO834" t="n">
        <v>-47.5111</v>
      </c>
      <c r="AP834" t="n">
        <v>2257.3075</v>
      </c>
      <c r="AQ834" t="n">
        <v>-2.467185</v>
      </c>
      <c r="AR834" t="n">
        <v>3.333769</v>
      </c>
      <c r="AY834" t="n">
        <v>832</v>
      </c>
      <c r="AZ834" t="n">
        <v>831</v>
      </c>
      <c r="BA834" t="n">
        <v>4547.48</v>
      </c>
      <c r="BB834" t="n">
        <v>4594.9911</v>
      </c>
      <c r="BC834" t="n">
        <v>-47.5111</v>
      </c>
      <c r="BD834" t="n">
        <v>2257.3075</v>
      </c>
      <c r="BE834" t="n">
        <v>690561</v>
      </c>
    </row>
    <row r="835">
      <c r="A835" t="n">
        <v>1777478402</v>
      </c>
      <c r="B835" t="inlineStr">
        <is>
          <t>XAUUSD</t>
        </is>
      </c>
      <c r="C835" t="inlineStr">
        <is>
          <t>M15</t>
        </is>
      </c>
      <c r="D835" t="n">
        <v>4559.1</v>
      </c>
      <c r="E835" t="n">
        <v>4518.59282</v>
      </c>
      <c r="F835" t="n">
        <v>4596.05595</v>
      </c>
      <c r="G835" t="n">
        <v>4755.40355</v>
      </c>
      <c r="H835" t="n">
        <v>4792.76972</v>
      </c>
      <c r="Q835" t="n">
        <v>4594.72352</v>
      </c>
      <c r="R835" t="n">
        <v>4624.08682</v>
      </c>
      <c r="S835" t="n">
        <v>4650.67559</v>
      </c>
      <c r="V835" t="n">
        <v>4559.78375</v>
      </c>
      <c r="W835" t="n">
        <v>4526.21876</v>
      </c>
      <c r="AB835" t="n">
        <v>4555.59548</v>
      </c>
      <c r="AC835" t="n">
        <v>4552.77012</v>
      </c>
      <c r="AD835" t="n">
        <v>0</v>
      </c>
      <c r="AK835" t="n">
        <v>833</v>
      </c>
      <c r="AL835" t="n">
        <v>832</v>
      </c>
      <c r="AM835" t="n">
        <v>4559.1</v>
      </c>
      <c r="AN835" t="n">
        <v>4594.7235</v>
      </c>
      <c r="AO835" t="n">
        <v>-35.6235</v>
      </c>
      <c r="AP835" t="n">
        <v>1269.0352</v>
      </c>
      <c r="AQ835" t="n">
        <v>-1.039983</v>
      </c>
      <c r="AR835" t="n">
        <v>1.053662</v>
      </c>
      <c r="AY835" t="n">
        <v>833</v>
      </c>
      <c r="AZ835" t="n">
        <v>832</v>
      </c>
      <c r="BA835" t="n">
        <v>4559.1</v>
      </c>
      <c r="BB835" t="n">
        <v>4594.7235</v>
      </c>
      <c r="BC835" t="n">
        <v>-35.6235</v>
      </c>
      <c r="BD835" t="n">
        <v>1269.0352</v>
      </c>
      <c r="BE835" t="n">
        <v>692224</v>
      </c>
    </row>
    <row r="836">
      <c r="A836" t="n">
        <v>1777479302</v>
      </c>
      <c r="B836" t="inlineStr">
        <is>
          <t>XAUUSD</t>
        </is>
      </c>
      <c r="C836" t="inlineStr">
        <is>
          <t>M15</t>
        </is>
      </c>
      <c r="D836" t="n">
        <v>4560.23</v>
      </c>
      <c r="E836" t="n">
        <v>4518.59282</v>
      </c>
      <c r="F836" t="n">
        <v>4596.05595</v>
      </c>
      <c r="G836" t="n">
        <v>4755.40355</v>
      </c>
      <c r="H836" t="n">
        <v>4792.76972</v>
      </c>
      <c r="Q836" t="n">
        <v>4594.45592</v>
      </c>
      <c r="R836" t="n">
        <v>4623.81922</v>
      </c>
      <c r="S836" t="n">
        <v>4650.40799</v>
      </c>
      <c r="V836" t="n">
        <v>4559.51615</v>
      </c>
      <c r="W836" t="n">
        <v>4525.95115</v>
      </c>
      <c r="AB836" t="n">
        <v>4555.7869</v>
      </c>
      <c r="AC836" t="n">
        <v>4554.27851</v>
      </c>
      <c r="AD836" t="n">
        <v>0</v>
      </c>
      <c r="AK836" t="n">
        <v>834</v>
      </c>
      <c r="AL836" t="n">
        <v>833</v>
      </c>
      <c r="AM836" t="n">
        <v>4560.23</v>
      </c>
      <c r="AN836" t="n">
        <v>4594.4559</v>
      </c>
      <c r="AO836" t="n">
        <v>-34.2259</v>
      </c>
      <c r="AP836" t="n">
        <v>1171.4136</v>
      </c>
      <c r="AQ836" t="n">
        <v>-0.922319</v>
      </c>
      <c r="AR836" t="n">
        <v>0.89779</v>
      </c>
      <c r="AY836" t="n">
        <v>834</v>
      </c>
      <c r="AZ836" t="n">
        <v>833</v>
      </c>
      <c r="BA836" t="n">
        <v>4560.23</v>
      </c>
      <c r="BB836" t="n">
        <v>4594.4559</v>
      </c>
      <c r="BC836" t="n">
        <v>-34.2259</v>
      </c>
      <c r="BD836" t="n">
        <v>1171.4136</v>
      </c>
      <c r="BE836" t="n">
        <v>693889</v>
      </c>
    </row>
    <row r="837">
      <c r="A837" t="n">
        <v>1777480202</v>
      </c>
      <c r="B837" t="inlineStr">
        <is>
          <t>XAUUSD</t>
        </is>
      </c>
      <c r="C837" t="inlineStr">
        <is>
          <t>M15</t>
        </is>
      </c>
      <c r="D837" t="n">
        <v>4550.51</v>
      </c>
      <c r="E837" t="n">
        <v>4518.59282</v>
      </c>
      <c r="F837" t="n">
        <v>4596.05595</v>
      </c>
      <c r="G837" t="n">
        <v>4755.40355</v>
      </c>
      <c r="H837" t="n">
        <v>4792.76972</v>
      </c>
      <c r="Q837" t="n">
        <v>4594.18832</v>
      </c>
      <c r="R837" t="n">
        <v>4623.55162</v>
      </c>
      <c r="S837" t="n">
        <v>4650.14039</v>
      </c>
      <c r="V837" t="n">
        <v>4559.24855</v>
      </c>
      <c r="W837" t="n">
        <v>4525.68355</v>
      </c>
      <c r="AB837" t="n">
        <v>4554.30816</v>
      </c>
      <c r="AC837" t="n">
        <v>4554.29334</v>
      </c>
      <c r="AD837" t="n">
        <v>0</v>
      </c>
      <c r="AK837" t="n">
        <v>835</v>
      </c>
      <c r="AL837" t="n">
        <v>834</v>
      </c>
      <c r="AM837" t="n">
        <v>4550.51</v>
      </c>
      <c r="AN837" t="n">
        <v>4594.1883</v>
      </c>
      <c r="AO837" t="n">
        <v>-43.6783</v>
      </c>
      <c r="AP837" t="n">
        <v>1907.7956</v>
      </c>
      <c r="AQ837" t="n">
        <v>-1.916961</v>
      </c>
      <c r="AR837" t="n">
        <v>2.38132</v>
      </c>
      <c r="AY837" t="n">
        <v>835</v>
      </c>
      <c r="AZ837" t="n">
        <v>834</v>
      </c>
      <c r="BA837" t="n">
        <v>4550.51</v>
      </c>
      <c r="BB837" t="n">
        <v>4594.1883</v>
      </c>
      <c r="BC837" t="n">
        <v>-43.6783</v>
      </c>
      <c r="BD837" t="n">
        <v>1907.7956</v>
      </c>
      <c r="BE837" t="n">
        <v>695556</v>
      </c>
    </row>
    <row r="838">
      <c r="A838" t="n">
        <v>1777481102</v>
      </c>
      <c r="B838" t="inlineStr">
        <is>
          <t>XAUUSD</t>
        </is>
      </c>
      <c r="C838" t="inlineStr">
        <is>
          <t>M15</t>
        </is>
      </c>
      <c r="D838" t="n">
        <v>4545.36</v>
      </c>
      <c r="E838" t="n">
        <v>4518.59282</v>
      </c>
      <c r="F838" t="n">
        <v>4596.05595</v>
      </c>
      <c r="G838" t="n">
        <v>4755.40355</v>
      </c>
      <c r="H838" t="n">
        <v>4792.76972</v>
      </c>
      <c r="Q838" t="n">
        <v>4593.92071</v>
      </c>
      <c r="R838" t="n">
        <v>4623.28401</v>
      </c>
      <c r="S838" t="n">
        <v>4649.87278</v>
      </c>
      <c r="V838" t="n">
        <v>4558.98094</v>
      </c>
      <c r="W838" t="n">
        <v>4525.41595</v>
      </c>
      <c r="AB838" t="n">
        <v>4551.6611</v>
      </c>
      <c r="AC838" t="n">
        <v>4552.97722</v>
      </c>
      <c r="AD838" t="n">
        <v>1</v>
      </c>
      <c r="AK838" t="n">
        <v>836</v>
      </c>
      <c r="AL838" t="n">
        <v>835</v>
      </c>
      <c r="AM838" t="n">
        <v>4545.36</v>
      </c>
      <c r="AN838" t="n">
        <v>4593.9207</v>
      </c>
      <c r="AO838" t="n">
        <v>-48.5607</v>
      </c>
      <c r="AP838" t="n">
        <v>2358.1426</v>
      </c>
      <c r="AQ838" t="n">
        <v>-2.634333</v>
      </c>
      <c r="AR838" t="n">
        <v>3.638264</v>
      </c>
      <c r="AY838" t="n">
        <v>836</v>
      </c>
      <c r="AZ838" t="n">
        <v>835</v>
      </c>
      <c r="BA838" t="n">
        <v>4545.36</v>
      </c>
      <c r="BB838" t="n">
        <v>4593.9207</v>
      </c>
      <c r="BC838" t="n">
        <v>-48.5607</v>
      </c>
      <c r="BD838" t="n">
        <v>2358.1426</v>
      </c>
      <c r="BE838" t="n">
        <v>697225</v>
      </c>
    </row>
    <row r="839">
      <c r="A839" t="n">
        <v>1777482002</v>
      </c>
      <c r="B839" t="inlineStr">
        <is>
          <t>XAUUSD</t>
        </is>
      </c>
      <c r="C839" t="inlineStr">
        <is>
          <t>M15</t>
        </is>
      </c>
      <c r="D839" t="n">
        <v>4550.68</v>
      </c>
      <c r="E839" t="n">
        <v>4518.59282</v>
      </c>
      <c r="F839" t="n">
        <v>4596.05595</v>
      </c>
      <c r="G839" t="n">
        <v>4755.40355</v>
      </c>
      <c r="H839" t="n">
        <v>4792.76972</v>
      </c>
      <c r="Q839" t="n">
        <v>4593.65311</v>
      </c>
      <c r="R839" t="n">
        <v>4623.01641</v>
      </c>
      <c r="S839" t="n">
        <v>4649.60518</v>
      </c>
      <c r="V839" t="n">
        <v>4558.71334</v>
      </c>
      <c r="W839" t="n">
        <v>4525.14834</v>
      </c>
      <c r="AB839" t="n">
        <v>4548.32138</v>
      </c>
      <c r="AC839" t="n">
        <v>4550.6493</v>
      </c>
      <c r="AD839" t="n">
        <v>0</v>
      </c>
      <c r="AK839" t="n">
        <v>837</v>
      </c>
      <c r="AL839" t="n">
        <v>836</v>
      </c>
      <c r="AM839" t="n">
        <v>4550.68</v>
      </c>
      <c r="AN839" t="n">
        <v>4593.6531</v>
      </c>
      <c r="AO839" t="n">
        <v>-42.9731</v>
      </c>
      <c r="AP839" t="n">
        <v>1846.6882</v>
      </c>
      <c r="AQ839" t="n">
        <v>-1.825601</v>
      </c>
      <c r="AR839" t="n">
        <v>2.231214</v>
      </c>
      <c r="AY839" t="n">
        <v>837</v>
      </c>
      <c r="AZ839" t="n">
        <v>836</v>
      </c>
      <c r="BA839" t="n">
        <v>4550.68</v>
      </c>
      <c r="BB839" t="n">
        <v>4593.6531</v>
      </c>
      <c r="BC839" t="n">
        <v>-42.9731</v>
      </c>
      <c r="BD839" t="n">
        <v>1846.6882</v>
      </c>
      <c r="BE839" t="n">
        <v>698896</v>
      </c>
    </row>
    <row r="840">
      <c r="A840" t="n">
        <v>1777482902</v>
      </c>
      <c r="B840" t="inlineStr">
        <is>
          <t>XAUUSD</t>
        </is>
      </c>
      <c r="C840" t="inlineStr">
        <is>
          <t>M15</t>
        </is>
      </c>
      <c r="D840" t="n">
        <v>4547.23</v>
      </c>
      <c r="E840" t="n">
        <v>4518.59282</v>
      </c>
      <c r="F840" t="n">
        <v>4596.05595</v>
      </c>
      <c r="G840" t="n">
        <v>4755.40355</v>
      </c>
      <c r="H840" t="n">
        <v>4792.76972</v>
      </c>
      <c r="Q840" t="n">
        <v>4593.3855</v>
      </c>
      <c r="R840" t="n">
        <v>4622.7488</v>
      </c>
      <c r="S840" t="n">
        <v>4649.33757</v>
      </c>
      <c r="V840" t="n">
        <v>4558.44573</v>
      </c>
      <c r="W840" t="n">
        <v>4524.88074</v>
      </c>
      <c r="AB840" t="n">
        <v>4544.54776</v>
      </c>
      <c r="AC840" t="n">
        <v>4547.59853</v>
      </c>
      <c r="AD840" t="n">
        <v>0</v>
      </c>
      <c r="AK840" t="n">
        <v>838</v>
      </c>
      <c r="AL840" t="n">
        <v>837</v>
      </c>
      <c r="AM840" t="n">
        <v>4547.23</v>
      </c>
      <c r="AN840" t="n">
        <v>4593.3855</v>
      </c>
      <c r="AO840" t="n">
        <v>-46.1555</v>
      </c>
      <c r="AP840" t="n">
        <v>2130.3302</v>
      </c>
      <c r="AQ840" t="n">
        <v>-2.261965</v>
      </c>
      <c r="AR840" t="n">
        <v>2.969258</v>
      </c>
      <c r="AY840" t="n">
        <v>838</v>
      </c>
      <c r="AZ840" t="n">
        <v>837</v>
      </c>
      <c r="BA840" t="n">
        <v>4547.23</v>
      </c>
      <c r="BB840" t="n">
        <v>4593.3855</v>
      </c>
      <c r="BC840" t="n">
        <v>-46.1555</v>
      </c>
      <c r="BD840" t="n">
        <v>2130.3302</v>
      </c>
      <c r="BE840" t="n">
        <v>700569</v>
      </c>
    </row>
    <row r="841">
      <c r="A841" t="n">
        <v>1777483802</v>
      </c>
      <c r="B841" t="inlineStr">
        <is>
          <t>XAUUSD</t>
        </is>
      </c>
      <c r="C841" t="inlineStr">
        <is>
          <t>M15</t>
        </is>
      </c>
      <c r="D841" t="n">
        <v>4544.75</v>
      </c>
      <c r="E841" t="n">
        <v>4518.59282</v>
      </c>
      <c r="F841" t="n">
        <v>4596.05595</v>
      </c>
      <c r="G841" t="n">
        <v>4755.40355</v>
      </c>
      <c r="H841" t="n">
        <v>4792.76972</v>
      </c>
      <c r="Q841" t="n">
        <v>4593.1179</v>
      </c>
      <c r="R841" t="n">
        <v>4622.4812</v>
      </c>
      <c r="S841" t="n">
        <v>4649.06997</v>
      </c>
      <c r="V841" t="n">
        <v>4558.17813</v>
      </c>
      <c r="W841" t="n">
        <v>4524.61313</v>
      </c>
      <c r="AB841" t="n">
        <v>4540.83178</v>
      </c>
      <c r="AC841" t="n">
        <v>4544.21516</v>
      </c>
      <c r="AD841" t="n">
        <v>0</v>
      </c>
      <c r="AK841" t="n">
        <v>839</v>
      </c>
      <c r="AL841" t="n">
        <v>838</v>
      </c>
      <c r="AM841" t="n">
        <v>4544.75</v>
      </c>
      <c r="AN841" t="n">
        <v>4593.1179</v>
      </c>
      <c r="AO841" t="n">
        <v>-48.3679</v>
      </c>
      <c r="AP841" t="n">
        <v>2339.4538</v>
      </c>
      <c r="AQ841" t="n">
        <v>-2.603079</v>
      </c>
      <c r="AR841" t="n">
        <v>3.580825</v>
      </c>
      <c r="AY841" t="n">
        <v>839</v>
      </c>
      <c r="AZ841" t="n">
        <v>838</v>
      </c>
      <c r="BA841" t="n">
        <v>4544.75</v>
      </c>
      <c r="BB841" t="n">
        <v>4593.1179</v>
      </c>
      <c r="BC841" t="n">
        <v>-48.3679</v>
      </c>
      <c r="BD841" t="n">
        <v>2339.4538</v>
      </c>
      <c r="BE841" t="n">
        <v>702244</v>
      </c>
    </row>
    <row r="842">
      <c r="A842" t="n">
        <v>1777484702</v>
      </c>
      <c r="B842" t="inlineStr">
        <is>
          <t>XAUUSD</t>
        </is>
      </c>
      <c r="C842" t="inlineStr">
        <is>
          <t>M15</t>
        </is>
      </c>
      <c r="D842" t="n">
        <v>4547.33</v>
      </c>
      <c r="E842" t="n">
        <v>4518.59282</v>
      </c>
      <c r="F842" t="n">
        <v>4596.05595</v>
      </c>
      <c r="G842" t="n">
        <v>4755.40355</v>
      </c>
      <c r="H842" t="n">
        <v>4792.76972</v>
      </c>
      <c r="Q842" t="n">
        <v>4592.8503</v>
      </c>
      <c r="R842" t="n">
        <v>4622.2136</v>
      </c>
      <c r="S842" t="n">
        <v>4648.80237</v>
      </c>
      <c r="V842" t="n">
        <v>4557.91053</v>
      </c>
      <c r="W842" t="n">
        <v>4524.34553</v>
      </c>
      <c r="AB842" t="n">
        <v>4537.58408</v>
      </c>
      <c r="AC842" t="n">
        <v>4540.89962</v>
      </c>
      <c r="AD842" t="n">
        <v>0</v>
      </c>
      <c r="AK842" t="n">
        <v>840</v>
      </c>
      <c r="AL842" t="n">
        <v>839</v>
      </c>
      <c r="AM842" t="n">
        <v>4547.33</v>
      </c>
      <c r="AN842" t="n">
        <v>4592.8503</v>
      </c>
      <c r="AO842" t="n">
        <v>-45.5203</v>
      </c>
      <c r="AP842" t="n">
        <v>2072.0977</v>
      </c>
      <c r="AQ842" t="n">
        <v>-2.169856</v>
      </c>
      <c r="AR842" t="n">
        <v>2.809148</v>
      </c>
      <c r="AY842" t="n">
        <v>840</v>
      </c>
      <c r="AZ842" t="n">
        <v>839</v>
      </c>
      <c r="BA842" t="n">
        <v>4547.33</v>
      </c>
      <c r="BB842" t="n">
        <v>4592.8503</v>
      </c>
      <c r="BC842" t="n">
        <v>-45.5203</v>
      </c>
      <c r="BD842" t="n">
        <v>2072.0977</v>
      </c>
      <c r="BE842" t="n">
        <v>703921</v>
      </c>
    </row>
    <row r="843">
      <c r="A843" t="n">
        <v>1777485602</v>
      </c>
      <c r="B843" t="inlineStr">
        <is>
          <t>XAUUSD</t>
        </is>
      </c>
      <c r="C843" t="inlineStr">
        <is>
          <t>M15</t>
        </is>
      </c>
      <c r="D843" t="n">
        <v>4525.75</v>
      </c>
      <c r="E843" t="n">
        <v>4518.59282</v>
      </c>
      <c r="F843" t="n">
        <v>4596.05595</v>
      </c>
      <c r="G843" t="n">
        <v>4755.40355</v>
      </c>
      <c r="H843" t="n">
        <v>4792.76972</v>
      </c>
      <c r="Q843" t="n">
        <v>4592.58269</v>
      </c>
      <c r="R843" t="n">
        <v>4621.94599</v>
      </c>
      <c r="S843" t="n">
        <v>4648.53476</v>
      </c>
      <c r="V843" t="n">
        <v>4557.64292</v>
      </c>
      <c r="W843" t="n">
        <v>4524.07793</v>
      </c>
      <c r="AB843" t="n">
        <v>4535.04299</v>
      </c>
      <c r="AC843" t="n">
        <v>4537.97131</v>
      </c>
      <c r="AD843" t="n">
        <v>0</v>
      </c>
      <c r="AK843" t="n">
        <v>841</v>
      </c>
      <c r="AL843" t="n">
        <v>840</v>
      </c>
      <c r="AM843" t="n">
        <v>4525.75</v>
      </c>
      <c r="AN843" t="n">
        <v>4592.5827</v>
      </c>
      <c r="AO843" t="n">
        <v>-66.8327</v>
      </c>
      <c r="AP843" t="n">
        <v>4466.6085</v>
      </c>
      <c r="AQ843" t="n">
        <v>-6.867243</v>
      </c>
      <c r="AR843" t="n">
        <v>13.052986</v>
      </c>
      <c r="AY843" t="n">
        <v>841</v>
      </c>
      <c r="AZ843" t="n">
        <v>840</v>
      </c>
      <c r="BA843" t="n">
        <v>4525.75</v>
      </c>
      <c r="BB843" t="n">
        <v>4592.5827</v>
      </c>
      <c r="BC843" t="n">
        <v>-66.8327</v>
      </c>
      <c r="BD843" t="n">
        <v>4466.6085</v>
      </c>
      <c r="BE843" t="n">
        <v>705600</v>
      </c>
    </row>
    <row r="844">
      <c r="A844" t="n">
        <v>1777486502</v>
      </c>
      <c r="B844" t="inlineStr">
        <is>
          <t>XAUUSD</t>
        </is>
      </c>
      <c r="C844" t="inlineStr">
        <is>
          <t>M15</t>
        </is>
      </c>
      <c r="D844" t="n">
        <v>4532.95</v>
      </c>
      <c r="E844" t="n">
        <v>4518.59282</v>
      </c>
      <c r="F844" t="n">
        <v>4596.05595</v>
      </c>
      <c r="G844" t="n">
        <v>4755.40355</v>
      </c>
      <c r="H844" t="n">
        <v>4792.76972</v>
      </c>
      <c r="Q844" t="n">
        <v>4592.31509</v>
      </c>
      <c r="R844" t="n">
        <v>4621.67839</v>
      </c>
      <c r="S844" t="n">
        <v>4648.26716</v>
      </c>
      <c r="V844" t="n">
        <v>4557.37532</v>
      </c>
      <c r="W844" t="n">
        <v>4523.81032</v>
      </c>
      <c r="AB844" t="n">
        <v>4534.01298</v>
      </c>
      <c r="AC844" t="n">
        <v>4535.99214</v>
      </c>
      <c r="AD844" t="n">
        <v>0</v>
      </c>
      <c r="AK844" t="n">
        <v>842</v>
      </c>
      <c r="AL844" t="n">
        <v>841</v>
      </c>
      <c r="AM844" t="n">
        <v>4532.95</v>
      </c>
      <c r="AN844" t="n">
        <v>4592.3151</v>
      </c>
      <c r="AO844" t="n">
        <v>-59.3651</v>
      </c>
      <c r="AP844" t="n">
        <v>3524.2139</v>
      </c>
      <c r="AQ844" t="n">
        <v>-4.812924</v>
      </c>
      <c r="AR844" t="n">
        <v>8.126034000000001</v>
      </c>
      <c r="AY844" t="n">
        <v>842</v>
      </c>
      <c r="AZ844" t="n">
        <v>841</v>
      </c>
      <c r="BA844" t="n">
        <v>4532.95</v>
      </c>
      <c r="BB844" t="n">
        <v>4592.3151</v>
      </c>
      <c r="BC844" t="n">
        <v>-59.3651</v>
      </c>
      <c r="BD844" t="n">
        <v>3524.2139</v>
      </c>
      <c r="BE844" t="n">
        <v>707281</v>
      </c>
    </row>
    <row r="845">
      <c r="A845" t="n">
        <v>1777487402</v>
      </c>
      <c r="B845" t="inlineStr">
        <is>
          <t>XAUUSD</t>
        </is>
      </c>
      <c r="C845" t="inlineStr">
        <is>
          <t>M15</t>
        </is>
      </c>
      <c r="D845" t="n">
        <v>4520.81</v>
      </c>
      <c r="E845" t="n">
        <v>4518.59282</v>
      </c>
      <c r="F845" t="n">
        <v>4596.05595</v>
      </c>
      <c r="G845" t="n">
        <v>4755.40355</v>
      </c>
      <c r="H845" t="n">
        <v>4792.76972</v>
      </c>
      <c r="Q845" t="n">
        <v>4592.04748</v>
      </c>
      <c r="R845" t="n">
        <v>4621.41078</v>
      </c>
      <c r="S845" t="n">
        <v>4647.99955</v>
      </c>
      <c r="V845" t="n">
        <v>4557.10771</v>
      </c>
      <c r="W845" t="n">
        <v>4523.54272</v>
      </c>
      <c r="AB845" t="n">
        <v>4534.27835</v>
      </c>
      <c r="AC845" t="n">
        <v>4535.13525</v>
      </c>
      <c r="AD845" t="n">
        <v>0</v>
      </c>
      <c r="AK845" t="n">
        <v>843</v>
      </c>
      <c r="AL845" t="n">
        <v>842</v>
      </c>
      <c r="AM845" t="n">
        <v>4520.81</v>
      </c>
      <c r="AN845" t="n">
        <v>4592.0475</v>
      </c>
      <c r="AO845" t="n">
        <v>-71.2375</v>
      </c>
      <c r="AP845" t="n">
        <v>5074.7786</v>
      </c>
      <c r="AQ845" t="n">
        <v>-8.316511999999999</v>
      </c>
      <c r="AR845" t="n">
        <v>16.84955</v>
      </c>
      <c r="AY845" t="n">
        <v>843</v>
      </c>
      <c r="AZ845" t="n">
        <v>842</v>
      </c>
      <c r="BA845" t="n">
        <v>4520.81</v>
      </c>
      <c r="BB845" t="n">
        <v>4592.0475</v>
      </c>
      <c r="BC845" t="n">
        <v>-71.2375</v>
      </c>
      <c r="BD845" t="n">
        <v>5074.7786</v>
      </c>
      <c r="BE845" t="n">
        <v>708964</v>
      </c>
    </row>
    <row r="846">
      <c r="A846" t="n">
        <v>1777488302</v>
      </c>
      <c r="B846" t="inlineStr">
        <is>
          <t>XAUUSD</t>
        </is>
      </c>
      <c r="C846" t="inlineStr">
        <is>
          <t>M15</t>
        </is>
      </c>
      <c r="D846" t="n">
        <v>4538.19</v>
      </c>
      <c r="E846" t="n">
        <v>4518.59282</v>
      </c>
      <c r="F846" t="n">
        <v>4596.05595</v>
      </c>
      <c r="G846" t="n">
        <v>4755.40355</v>
      </c>
      <c r="H846" t="n">
        <v>4792.76972</v>
      </c>
      <c r="Q846" t="n">
        <v>4591.77988</v>
      </c>
      <c r="R846" t="n">
        <v>4621.14318</v>
      </c>
      <c r="S846" t="n">
        <v>4647.73195</v>
      </c>
      <c r="V846" t="n">
        <v>4556.84011</v>
      </c>
      <c r="W846" t="n">
        <v>4523.27511</v>
      </c>
      <c r="AA846" t="n">
        <v>4518.41</v>
      </c>
      <c r="AB846" t="n">
        <v>4535.96113</v>
      </c>
      <c r="AC846" t="n">
        <v>4535.54819</v>
      </c>
      <c r="AD846" t="n">
        <v>1</v>
      </c>
      <c r="AK846" t="n">
        <v>844</v>
      </c>
      <c r="AL846" t="n">
        <v>843</v>
      </c>
      <c r="AM846" t="n">
        <v>4538.19</v>
      </c>
      <c r="AN846" t="n">
        <v>4591.7799</v>
      </c>
      <c r="AO846" t="n">
        <v>-53.5899</v>
      </c>
      <c r="AP846" t="n">
        <v>2871.8752</v>
      </c>
      <c r="AQ846" t="n">
        <v>-3.540495</v>
      </c>
      <c r="AR846" t="n">
        <v>5.396165</v>
      </c>
      <c r="AY846" t="n">
        <v>844</v>
      </c>
      <c r="AZ846" t="n">
        <v>843</v>
      </c>
      <c r="BA846" t="n">
        <v>4538.19</v>
      </c>
      <c r="BB846" t="n">
        <v>4591.7799</v>
      </c>
      <c r="BC846" t="n">
        <v>-53.5899</v>
      </c>
      <c r="BD846" t="n">
        <v>2871.8752</v>
      </c>
      <c r="BE846" t="n">
        <v>710649</v>
      </c>
    </row>
    <row r="847">
      <c r="A847" t="n">
        <v>1777489202</v>
      </c>
      <c r="B847" t="inlineStr">
        <is>
          <t>XAUUSD</t>
        </is>
      </c>
      <c r="C847" t="inlineStr">
        <is>
          <t>M15</t>
        </is>
      </c>
      <c r="D847" t="n">
        <v>4547.72</v>
      </c>
      <c r="E847" t="n">
        <v>4518.59282</v>
      </c>
      <c r="F847" t="n">
        <v>4596.05595</v>
      </c>
      <c r="G847" t="n">
        <v>4755.40355</v>
      </c>
      <c r="H847" t="n">
        <v>4792.76972</v>
      </c>
      <c r="Q847" t="n">
        <v>4591.51228</v>
      </c>
      <c r="R847" t="n">
        <v>4620.87557</v>
      </c>
      <c r="S847" t="n">
        <v>4647.46435</v>
      </c>
      <c r="V847" t="n">
        <v>4556.57251</v>
      </c>
      <c r="W847" t="n">
        <v>4523.00751</v>
      </c>
      <c r="AB847" t="n">
        <v>4538.22619</v>
      </c>
      <c r="AC847" t="n">
        <v>4536.88719</v>
      </c>
      <c r="AD847" t="n">
        <v>0</v>
      </c>
      <c r="AK847" t="n">
        <v>845</v>
      </c>
      <c r="AL847" t="n">
        <v>844</v>
      </c>
      <c r="AM847" t="n">
        <v>4547.72</v>
      </c>
      <c r="AN847" t="n">
        <v>4591.5123</v>
      </c>
      <c r="AO847" t="n">
        <v>-43.7923</v>
      </c>
      <c r="AP847" t="n">
        <v>1917.7638</v>
      </c>
      <c r="AQ847" t="n">
        <v>-1.932005</v>
      </c>
      <c r="AR847" t="n">
        <v>2.40627</v>
      </c>
      <c r="AY847" t="n">
        <v>845</v>
      </c>
      <c r="AZ847" t="n">
        <v>844</v>
      </c>
      <c r="BA847" t="n">
        <v>4547.72</v>
      </c>
      <c r="BB847" t="n">
        <v>4591.5123</v>
      </c>
      <c r="BC847" t="n">
        <v>-43.7923</v>
      </c>
      <c r="BD847" t="n">
        <v>1917.7638</v>
      </c>
      <c r="BE847" t="n">
        <v>712336</v>
      </c>
    </row>
    <row r="848">
      <c r="A848" t="n">
        <v>1777490102</v>
      </c>
      <c r="B848" t="inlineStr">
        <is>
          <t>XAUUSD</t>
        </is>
      </c>
      <c r="C848" t="inlineStr">
        <is>
          <t>M15</t>
        </is>
      </c>
      <c r="D848" t="n">
        <v>4542.84</v>
      </c>
      <c r="E848" t="n">
        <v>4518.59282</v>
      </c>
      <c r="F848" t="n">
        <v>4596.05595</v>
      </c>
      <c r="G848" t="n">
        <v>4755.40355</v>
      </c>
      <c r="H848" t="n">
        <v>4792.76972</v>
      </c>
      <c r="Q848" t="n">
        <v>4591.24467</v>
      </c>
      <c r="R848" t="n">
        <v>4620.60797</v>
      </c>
      <c r="S848" t="n">
        <v>4647.19674</v>
      </c>
      <c r="V848" t="n">
        <v>4556.3049</v>
      </c>
      <c r="W848" t="n">
        <v>4522.73991</v>
      </c>
      <c r="AB848" t="n">
        <v>4540.41526</v>
      </c>
      <c r="AC848" t="n">
        <v>4538.65123</v>
      </c>
      <c r="AD848" t="n">
        <v>0</v>
      </c>
      <c r="AK848" t="n">
        <v>846</v>
      </c>
      <c r="AL848" t="n">
        <v>845</v>
      </c>
      <c r="AM848" t="n">
        <v>4542.84</v>
      </c>
      <c r="AN848" t="n">
        <v>4591.2447</v>
      </c>
      <c r="AO848" t="n">
        <v>-48.4047</v>
      </c>
      <c r="AP848" t="n">
        <v>2343.0121</v>
      </c>
      <c r="AQ848" t="n">
        <v>-2.60902</v>
      </c>
      <c r="AR848" t="n">
        <v>3.591726</v>
      </c>
      <c r="AY848" t="n">
        <v>846</v>
      </c>
      <c r="AZ848" t="n">
        <v>845</v>
      </c>
      <c r="BA848" t="n">
        <v>4542.84</v>
      </c>
      <c r="BB848" t="n">
        <v>4591.2447</v>
      </c>
      <c r="BC848" t="n">
        <v>-48.4047</v>
      </c>
      <c r="BD848" t="n">
        <v>2343.0121</v>
      </c>
      <c r="BE848" t="n">
        <v>714025</v>
      </c>
    </row>
    <row r="849">
      <c r="A849" t="n">
        <v>1777491002</v>
      </c>
      <c r="B849" t="inlineStr">
        <is>
          <t>XAUUSD</t>
        </is>
      </c>
      <c r="C849" t="inlineStr">
        <is>
          <t>M15</t>
        </is>
      </c>
      <c r="D849" t="n">
        <v>4539.61</v>
      </c>
      <c r="E849" t="n">
        <v>4518.59282</v>
      </c>
      <c r="F849" t="n">
        <v>4596.05595</v>
      </c>
      <c r="G849" t="n">
        <v>4755.40355</v>
      </c>
      <c r="H849" t="n">
        <v>4792.76972</v>
      </c>
      <c r="Q849" t="n">
        <v>4590.97707</v>
      </c>
      <c r="R849" t="n">
        <v>4620.34037</v>
      </c>
      <c r="S849" t="n">
        <v>4646.92914</v>
      </c>
      <c r="V849" t="n">
        <v>4556.0373</v>
      </c>
      <c r="W849" t="n">
        <v>4522.4723</v>
      </c>
      <c r="AB849" t="n">
        <v>4542.37717</v>
      </c>
      <c r="AC849" t="n">
        <v>4540.5142</v>
      </c>
      <c r="AD849" t="n">
        <v>0</v>
      </c>
      <c r="AK849" t="n">
        <v>847</v>
      </c>
      <c r="AL849" t="n">
        <v>846</v>
      </c>
      <c r="AM849" t="n">
        <v>4539.61</v>
      </c>
      <c r="AN849" t="n">
        <v>4590.9771</v>
      </c>
      <c r="AO849" t="n">
        <v>-51.3671</v>
      </c>
      <c r="AP849" t="n">
        <v>2638.5759</v>
      </c>
      <c r="AQ849" t="n">
        <v>-3.117956</v>
      </c>
      <c r="AR849" t="n">
        <v>4.555051</v>
      </c>
      <c r="AY849" t="n">
        <v>847</v>
      </c>
      <c r="AZ849" t="n">
        <v>846</v>
      </c>
      <c r="BA849" t="n">
        <v>4539.61</v>
      </c>
      <c r="BB849" t="n">
        <v>4590.9771</v>
      </c>
      <c r="BC849" t="n">
        <v>-51.3671</v>
      </c>
      <c r="BD849" t="n">
        <v>2638.5759</v>
      </c>
      <c r="BE849" t="n">
        <v>715716</v>
      </c>
    </row>
    <row r="850">
      <c r="A850" t="n">
        <v>1777491902</v>
      </c>
      <c r="B850" t="inlineStr">
        <is>
          <t>XAUUSD</t>
        </is>
      </c>
      <c r="C850" t="inlineStr">
        <is>
          <t>M15</t>
        </is>
      </c>
      <c r="D850" t="n">
        <v>4547.05</v>
      </c>
      <c r="E850" t="n">
        <v>4518.59282</v>
      </c>
      <c r="F850" t="n">
        <v>4596.05595</v>
      </c>
      <c r="G850" t="n">
        <v>4755.40355</v>
      </c>
      <c r="H850" t="n">
        <v>4792.76972</v>
      </c>
      <c r="Q850" t="n">
        <v>4590.70946</v>
      </c>
      <c r="R850" t="n">
        <v>4620.07276</v>
      </c>
      <c r="S850" t="n">
        <v>4646.66153</v>
      </c>
      <c r="V850" t="n">
        <v>4555.76969</v>
      </c>
      <c r="W850" t="n">
        <v>4522.2047</v>
      </c>
      <c r="AB850" t="n">
        <v>4544.01563</v>
      </c>
      <c r="AC850" t="n">
        <v>4542.26491</v>
      </c>
      <c r="AD850" t="n">
        <v>0</v>
      </c>
      <c r="AK850" t="n">
        <v>848</v>
      </c>
      <c r="AL850" t="n">
        <v>847</v>
      </c>
      <c r="AM850" t="n">
        <v>4547.05</v>
      </c>
      <c r="AN850" t="n">
        <v>4590.7095</v>
      </c>
      <c r="AO850" t="n">
        <v>-43.6595</v>
      </c>
      <c r="AP850" t="n">
        <v>1906.1484</v>
      </c>
      <c r="AQ850" t="n">
        <v>-1.914479</v>
      </c>
      <c r="AR850" t="n">
        <v>2.37721</v>
      </c>
      <c r="AY850" t="n">
        <v>848</v>
      </c>
      <c r="AZ850" t="n">
        <v>847</v>
      </c>
      <c r="BA850" t="n">
        <v>4547.05</v>
      </c>
      <c r="BB850" t="n">
        <v>4590.7095</v>
      </c>
      <c r="BC850" t="n">
        <v>-43.6595</v>
      </c>
      <c r="BD850" t="n">
        <v>1906.1484</v>
      </c>
      <c r="BE850" t="n">
        <v>717409</v>
      </c>
    </row>
    <row r="851">
      <c r="A851" t="n">
        <v>1777492802</v>
      </c>
      <c r="B851" t="inlineStr">
        <is>
          <t>XAUUSD</t>
        </is>
      </c>
      <c r="C851" t="inlineStr">
        <is>
          <t>M15</t>
        </is>
      </c>
      <c r="D851" t="n">
        <v>4546.25</v>
      </c>
      <c r="E851" t="n">
        <v>4518.59282</v>
      </c>
      <c r="F851" t="n">
        <v>4596.05595</v>
      </c>
      <c r="G851" t="n">
        <v>4755.40355</v>
      </c>
      <c r="H851" t="n">
        <v>4792.76972</v>
      </c>
      <c r="Q851" t="n">
        <v>4590.44186</v>
      </c>
      <c r="R851" t="n">
        <v>4619.80516</v>
      </c>
      <c r="S851" t="n">
        <v>4646.39393</v>
      </c>
      <c r="V851" t="n">
        <v>4555.50209</v>
      </c>
      <c r="W851" t="n">
        <v>4521.93709</v>
      </c>
      <c r="AB851" t="n">
        <v>4545.08305</v>
      </c>
      <c r="AC851" t="n">
        <v>4543.67398</v>
      </c>
      <c r="AD851" t="n">
        <v>0</v>
      </c>
      <c r="AK851" t="n">
        <v>849</v>
      </c>
      <c r="AL851" t="n">
        <v>848</v>
      </c>
      <c r="AM851" t="n">
        <v>4546.25</v>
      </c>
      <c r="AN851" t="n">
        <v>4590.4419</v>
      </c>
      <c r="AO851" t="n">
        <v>-44.1919</v>
      </c>
      <c r="AP851" t="n">
        <v>1952.9205</v>
      </c>
      <c r="AQ851" t="n">
        <v>-1.985374</v>
      </c>
      <c r="AR851" t="n">
        <v>2.495303</v>
      </c>
      <c r="AY851" t="n">
        <v>849</v>
      </c>
      <c r="AZ851" t="n">
        <v>848</v>
      </c>
      <c r="BA851" t="n">
        <v>4546.25</v>
      </c>
      <c r="BB851" t="n">
        <v>4590.4419</v>
      </c>
      <c r="BC851" t="n">
        <v>-44.1919</v>
      </c>
      <c r="BD851" t="n">
        <v>1952.9205</v>
      </c>
      <c r="BE851" t="n">
        <v>719104</v>
      </c>
    </row>
    <row r="852">
      <c r="A852" t="n">
        <v>1777493702</v>
      </c>
      <c r="B852" t="inlineStr">
        <is>
          <t>XAUUSD</t>
        </is>
      </c>
      <c r="C852" t="inlineStr">
        <is>
          <t>M15</t>
        </is>
      </c>
      <c r="D852" t="n">
        <v>4543.25</v>
      </c>
      <c r="E852" t="n">
        <v>4518.59282</v>
      </c>
      <c r="F852" t="n">
        <v>4596.05595</v>
      </c>
      <c r="G852" t="n">
        <v>4755.40355</v>
      </c>
      <c r="H852" t="n">
        <v>4792.76972</v>
      </c>
      <c r="Q852" t="n">
        <v>4590.17426</v>
      </c>
      <c r="R852" t="n">
        <v>4619.53755</v>
      </c>
      <c r="S852" t="n">
        <v>4646.12633</v>
      </c>
      <c r="V852" t="n">
        <v>4555.23449</v>
      </c>
      <c r="W852" t="n">
        <v>4521.66949</v>
      </c>
      <c r="AB852" t="n">
        <v>4545.66618</v>
      </c>
      <c r="AC852" t="n">
        <v>4544.67008</v>
      </c>
      <c r="AD852" t="n">
        <v>0</v>
      </c>
      <c r="AK852" t="n">
        <v>850</v>
      </c>
      <c r="AL852" t="n">
        <v>849</v>
      </c>
      <c r="AM852" t="n">
        <v>4543.25</v>
      </c>
      <c r="AN852" t="n">
        <v>4590.1743</v>
      </c>
      <c r="AO852" t="n">
        <v>-46.9243</v>
      </c>
      <c r="AP852" t="n">
        <v>2201.8862</v>
      </c>
      <c r="AQ852" t="n">
        <v>-2.376883</v>
      </c>
      <c r="AR852" t="n">
        <v>3.172078</v>
      </c>
      <c r="AY852" t="n">
        <v>850</v>
      </c>
      <c r="AZ852" t="n">
        <v>849</v>
      </c>
      <c r="BA852" t="n">
        <v>4543.25</v>
      </c>
      <c r="BB852" t="n">
        <v>4590.1743</v>
      </c>
      <c r="BC852" t="n">
        <v>-46.9243</v>
      </c>
      <c r="BD852" t="n">
        <v>2201.8862</v>
      </c>
      <c r="BE852" t="n">
        <v>720801</v>
      </c>
    </row>
    <row r="853">
      <c r="A853" t="n">
        <v>1777494602</v>
      </c>
      <c r="B853" t="inlineStr">
        <is>
          <t>XAUUSD</t>
        </is>
      </c>
      <c r="C853" t="inlineStr">
        <is>
          <t>M15</t>
        </is>
      </c>
      <c r="D853" t="n">
        <v>4543.79</v>
      </c>
      <c r="E853" t="n">
        <v>4518.59282</v>
      </c>
      <c r="F853" t="n">
        <v>4596.05595</v>
      </c>
      <c r="G853" t="n">
        <v>4755.40355</v>
      </c>
      <c r="H853" t="n">
        <v>4792.76972</v>
      </c>
      <c r="Q853" t="n">
        <v>4589.90665</v>
      </c>
      <c r="R853" t="n">
        <v>4619.26995</v>
      </c>
      <c r="S853" t="n">
        <v>4645.85872</v>
      </c>
      <c r="V853" t="n">
        <v>4554.96688</v>
      </c>
      <c r="W853" t="n">
        <v>4521.40188</v>
      </c>
      <c r="AB853" t="n">
        <v>4546.02341</v>
      </c>
      <c r="AC853" t="n">
        <v>4545.34675</v>
      </c>
      <c r="AD853" t="n">
        <v>0</v>
      </c>
      <c r="AK853" t="n">
        <v>851</v>
      </c>
      <c r="AL853" t="n">
        <v>850</v>
      </c>
      <c r="AM853" t="n">
        <v>4543.79</v>
      </c>
      <c r="AN853" t="n">
        <v>4589.9066</v>
      </c>
      <c r="AO853" t="n">
        <v>-46.1166</v>
      </c>
      <c r="AP853" t="n">
        <v>2126.7454</v>
      </c>
      <c r="AQ853" t="n">
        <v>-2.256258</v>
      </c>
      <c r="AR853" t="n">
        <v>2.959274</v>
      </c>
      <c r="AY853" t="n">
        <v>851</v>
      </c>
      <c r="AZ853" t="n">
        <v>850</v>
      </c>
      <c r="BA853" t="n">
        <v>4543.79</v>
      </c>
      <c r="BB853" t="n">
        <v>4589.9066</v>
      </c>
      <c r="BC853" t="n">
        <v>-46.1166</v>
      </c>
      <c r="BD853" t="n">
        <v>2126.7454</v>
      </c>
      <c r="BE853" t="n">
        <v>722500</v>
      </c>
    </row>
    <row r="854">
      <c r="A854" t="n">
        <v>1777495502</v>
      </c>
      <c r="B854" t="inlineStr">
        <is>
          <t>XAUUSD</t>
        </is>
      </c>
      <c r="C854" t="inlineStr">
        <is>
          <t>M15</t>
        </is>
      </c>
      <c r="D854" t="n">
        <v>4543.57</v>
      </c>
      <c r="E854" t="n">
        <v>4518.59282</v>
      </c>
      <c r="F854" t="n">
        <v>4596.05595</v>
      </c>
      <c r="G854" t="n">
        <v>4755.40355</v>
      </c>
      <c r="H854" t="n">
        <v>4792.76972</v>
      </c>
      <c r="Q854" t="n">
        <v>4589.63905</v>
      </c>
      <c r="R854" t="n">
        <v>4619.00235</v>
      </c>
      <c r="S854" t="n">
        <v>4645.59112</v>
      </c>
      <c r="V854" t="n">
        <v>4554.69928</v>
      </c>
      <c r="W854" t="n">
        <v>4521.13428</v>
      </c>
      <c r="AB854" t="n">
        <v>4546.30255</v>
      </c>
      <c r="AC854" t="n">
        <v>4545.82465</v>
      </c>
      <c r="AD854" t="n">
        <v>0</v>
      </c>
      <c r="AK854" t="n">
        <v>852</v>
      </c>
      <c r="AL854" t="n">
        <v>851</v>
      </c>
      <c r="AM854" t="n">
        <v>4543.57</v>
      </c>
      <c r="AN854" t="n">
        <v>4589.639</v>
      </c>
      <c r="AO854" t="n">
        <v>-46.0691</v>
      </c>
      <c r="AP854" t="n">
        <v>2122.3574</v>
      </c>
      <c r="AQ854" t="n">
        <v>-2.249279</v>
      </c>
      <c r="AR854" t="n">
        <v>2.947075</v>
      </c>
      <c r="AY854" t="n">
        <v>852</v>
      </c>
      <c r="AZ854" t="n">
        <v>851</v>
      </c>
      <c r="BA854" t="n">
        <v>4543.57</v>
      </c>
      <c r="BB854" t="n">
        <v>4589.639</v>
      </c>
      <c r="BC854" t="n">
        <v>-46.0691</v>
      </c>
      <c r="BD854" t="n">
        <v>2122.3574</v>
      </c>
      <c r="BE854" t="n">
        <v>724201</v>
      </c>
    </row>
    <row r="855">
      <c r="A855" t="n">
        <v>1777500002</v>
      </c>
      <c r="B855" t="inlineStr">
        <is>
          <t>XAUUSD</t>
        </is>
      </c>
      <c r="C855" t="inlineStr">
        <is>
          <t>M15</t>
        </is>
      </c>
      <c r="D855" t="n">
        <v>4546.4</v>
      </c>
      <c r="E855" t="n">
        <v>4518.59282</v>
      </c>
      <c r="F855" t="n">
        <v>4596.05595</v>
      </c>
      <c r="G855" t="n">
        <v>4755.40355</v>
      </c>
      <c r="H855" t="n">
        <v>4792.76972</v>
      </c>
      <c r="Q855" t="n">
        <v>4589.37144</v>
      </c>
      <c r="R855" t="n">
        <v>4618.73474</v>
      </c>
      <c r="S855" t="n">
        <v>4645.32351</v>
      </c>
      <c r="V855" t="n">
        <v>4554.43167</v>
      </c>
      <c r="W855" t="n">
        <v>4520.86668</v>
      </c>
      <c r="AB855" t="n">
        <v>4546.72227</v>
      </c>
      <c r="AC855" t="n">
        <v>4546.27346</v>
      </c>
      <c r="AD855" t="n">
        <v>0</v>
      </c>
      <c r="AK855" t="n">
        <v>853</v>
      </c>
      <c r="AL855" t="n">
        <v>852</v>
      </c>
      <c r="AM855" t="n">
        <v>4546.4</v>
      </c>
      <c r="AN855" t="n">
        <v>4589.3714</v>
      </c>
      <c r="AO855" t="n">
        <v>-42.9714</v>
      </c>
      <c r="AP855" t="n">
        <v>1846.5447</v>
      </c>
      <c r="AQ855" t="n">
        <v>-1.825388</v>
      </c>
      <c r="AR855" t="n">
        <v>2.230867</v>
      </c>
      <c r="AY855" t="n">
        <v>853</v>
      </c>
      <c r="AZ855" t="n">
        <v>852</v>
      </c>
      <c r="BA855" t="n">
        <v>4546.4</v>
      </c>
      <c r="BB855" t="n">
        <v>4589.3714</v>
      </c>
      <c r="BC855" t="n">
        <v>-42.9714</v>
      </c>
      <c r="BD855" t="n">
        <v>1846.5447</v>
      </c>
      <c r="BE855" t="n">
        <v>725904</v>
      </c>
    </row>
    <row r="856">
      <c r="A856" t="n">
        <v>1777500902</v>
      </c>
      <c r="B856" t="inlineStr">
        <is>
          <t>XAUUSD</t>
        </is>
      </c>
      <c r="C856" t="inlineStr">
        <is>
          <t>M15</t>
        </is>
      </c>
      <c r="D856" t="n">
        <v>4549.14</v>
      </c>
      <c r="E856" t="n">
        <v>4518.59282</v>
      </c>
      <c r="F856" t="n">
        <v>4596.05595</v>
      </c>
      <c r="G856" t="n">
        <v>4755.40355</v>
      </c>
      <c r="H856" t="n">
        <v>4792.76972</v>
      </c>
      <c r="Q856" t="n">
        <v>4589.10384</v>
      </c>
      <c r="R856" t="n">
        <v>4618.46714</v>
      </c>
      <c r="S856" t="n">
        <v>4645.05591</v>
      </c>
      <c r="V856" t="n">
        <v>4554.16407</v>
      </c>
      <c r="W856" t="n">
        <v>4520.59907</v>
      </c>
      <c r="AB856" t="n">
        <v>4547.40233</v>
      </c>
      <c r="AC856" t="n">
        <v>4546.83789</v>
      </c>
      <c r="AD856" t="n">
        <v>0</v>
      </c>
      <c r="AK856" t="n">
        <v>854</v>
      </c>
      <c r="AL856" t="n">
        <v>853</v>
      </c>
      <c r="AM856" t="n">
        <v>4549.14</v>
      </c>
      <c r="AN856" t="n">
        <v>4589.1038</v>
      </c>
      <c r="AO856" t="n">
        <v>-39.9638</v>
      </c>
      <c r="AP856" t="n">
        <v>1597.1085</v>
      </c>
      <c r="AQ856" t="n">
        <v>-1.468308</v>
      </c>
      <c r="AR856" t="n">
        <v>1.668872</v>
      </c>
      <c r="AY856" t="n">
        <v>854</v>
      </c>
      <c r="AZ856" t="n">
        <v>853</v>
      </c>
      <c r="BA856" t="n">
        <v>4549.14</v>
      </c>
      <c r="BB856" t="n">
        <v>4589.1038</v>
      </c>
      <c r="BC856" t="n">
        <v>-39.9638</v>
      </c>
      <c r="BD856" t="n">
        <v>1597.1085</v>
      </c>
      <c r="BE856" t="n">
        <v>727609</v>
      </c>
    </row>
    <row r="857">
      <c r="A857" t="n">
        <v>1777501802</v>
      </c>
      <c r="B857" t="inlineStr">
        <is>
          <t>XAUUSD</t>
        </is>
      </c>
      <c r="C857" t="inlineStr">
        <is>
          <t>M15</t>
        </is>
      </c>
      <c r="D857" t="n">
        <v>4548.51</v>
      </c>
      <c r="E857" t="n">
        <v>4518.59282</v>
      </c>
      <c r="F857" t="n">
        <v>4596.05595</v>
      </c>
      <c r="G857" t="n">
        <v>4755.40355</v>
      </c>
      <c r="H857" t="n">
        <v>4792.76972</v>
      </c>
      <c r="Q857" t="n">
        <v>4588.83623</v>
      </c>
      <c r="R857" t="n">
        <v>4618.19953</v>
      </c>
      <c r="S857" t="n">
        <v>4644.7883</v>
      </c>
      <c r="V857" t="n">
        <v>4553.89646</v>
      </c>
      <c r="W857" t="n">
        <v>4520.33147</v>
      </c>
      <c r="AB857" t="n">
        <v>4548.38375</v>
      </c>
      <c r="AC857" t="n">
        <v>4547.61082</v>
      </c>
      <c r="AD857" t="n">
        <v>0</v>
      </c>
      <c r="AK857" t="n">
        <v>855</v>
      </c>
      <c r="AL857" t="n">
        <v>854</v>
      </c>
      <c r="AM857" t="n">
        <v>4548.51</v>
      </c>
      <c r="AN857" t="n">
        <v>4588.8362</v>
      </c>
      <c r="AO857" t="n">
        <v>-40.3262</v>
      </c>
      <c r="AP857" t="n">
        <v>1626.2048</v>
      </c>
      <c r="AQ857" t="n">
        <v>-1.508615</v>
      </c>
      <c r="AR857" t="n">
        <v>1.730233</v>
      </c>
      <c r="AY857" t="n">
        <v>855</v>
      </c>
      <c r="AZ857" t="n">
        <v>854</v>
      </c>
      <c r="BA857" t="n">
        <v>4548.51</v>
      </c>
      <c r="BB857" t="n">
        <v>4588.8362</v>
      </c>
      <c r="BC857" t="n">
        <v>-40.3262</v>
      </c>
      <c r="BD857" t="n">
        <v>1626.2048</v>
      </c>
      <c r="BE857" t="n">
        <v>729316</v>
      </c>
    </row>
    <row r="858">
      <c r="A858" t="n">
        <v>1777502702</v>
      </c>
      <c r="B858" t="inlineStr">
        <is>
          <t>XAUUSD</t>
        </is>
      </c>
      <c r="C858" t="inlineStr">
        <is>
          <t>M15</t>
        </is>
      </c>
      <c r="D858" t="n">
        <v>4552.08</v>
      </c>
      <c r="E858" t="n">
        <v>4518.59282</v>
      </c>
      <c r="F858" t="n">
        <v>4596.05595</v>
      </c>
      <c r="G858" t="n">
        <v>4755.40355</v>
      </c>
      <c r="H858" t="n">
        <v>4792.76972</v>
      </c>
      <c r="Q858" t="n">
        <v>4588.56863</v>
      </c>
      <c r="R858" t="n">
        <v>4617.93193</v>
      </c>
      <c r="S858" t="n">
        <v>4644.5207</v>
      </c>
      <c r="V858" t="n">
        <v>4553.62886</v>
      </c>
      <c r="W858" t="n">
        <v>4520.06386</v>
      </c>
      <c r="AB858" t="n">
        <v>4549.74619</v>
      </c>
      <c r="AC858" t="n">
        <v>4548.67851</v>
      </c>
      <c r="AD858" t="n">
        <v>0</v>
      </c>
      <c r="AK858" t="n">
        <v>856</v>
      </c>
      <c r="AL858" t="n">
        <v>855</v>
      </c>
      <c r="AM858" t="n">
        <v>4552.08</v>
      </c>
      <c r="AN858" t="n">
        <v>4588.5686</v>
      </c>
      <c r="AO858" t="n">
        <v>-36.4886</v>
      </c>
      <c r="AP858" t="n">
        <v>1331.4201</v>
      </c>
      <c r="AQ858" t="n">
        <v>-1.117605</v>
      </c>
      <c r="AR858" t="n">
        <v>1.159803</v>
      </c>
      <c r="AY858" t="n">
        <v>856</v>
      </c>
      <c r="AZ858" t="n">
        <v>855</v>
      </c>
      <c r="BA858" t="n">
        <v>4552.08</v>
      </c>
      <c r="BB858" t="n">
        <v>4588.5686</v>
      </c>
      <c r="BC858" t="n">
        <v>-36.4886</v>
      </c>
      <c r="BD858" t="n">
        <v>1331.4201</v>
      </c>
      <c r="BE858" t="n">
        <v>731025</v>
      </c>
    </row>
    <row r="859">
      <c r="A859" t="n">
        <v>1777503602</v>
      </c>
      <c r="B859" t="inlineStr">
        <is>
          <t>XAUUSD</t>
        </is>
      </c>
      <c r="C859" t="inlineStr">
        <is>
          <t>M15</t>
        </is>
      </c>
      <c r="D859" t="n">
        <v>4553.33</v>
      </c>
      <c r="E859" t="n">
        <v>4518.59282</v>
      </c>
      <c r="F859" t="n">
        <v>4596.05595</v>
      </c>
      <c r="G859" t="n">
        <v>4755.40355</v>
      </c>
      <c r="H859" t="n">
        <v>4792.76972</v>
      </c>
      <c r="Q859" t="n">
        <v>4588.30103</v>
      </c>
      <c r="R859" t="n">
        <v>4617.66433</v>
      </c>
      <c r="S859" t="n">
        <v>4644.2531</v>
      </c>
      <c r="V859" t="n">
        <v>4553.36126</v>
      </c>
      <c r="W859" t="n">
        <v>4519.79626</v>
      </c>
      <c r="AB859" t="n">
        <v>4551.41538</v>
      </c>
      <c r="AC859" t="n">
        <v>4550.04694</v>
      </c>
      <c r="AD859" t="n">
        <v>0</v>
      </c>
      <c r="AK859" t="n">
        <v>857</v>
      </c>
      <c r="AL859" t="n">
        <v>856</v>
      </c>
      <c r="AM859" t="n">
        <v>4553.33</v>
      </c>
      <c r="AN859" t="n">
        <v>4588.301</v>
      </c>
      <c r="AO859" t="n">
        <v>-34.971</v>
      </c>
      <c r="AP859" t="n">
        <v>1222.9729</v>
      </c>
      <c r="AQ859" t="n">
        <v>-0.983877</v>
      </c>
      <c r="AR859" t="n">
        <v>0.978561</v>
      </c>
      <c r="AY859" t="n">
        <v>857</v>
      </c>
      <c r="AZ859" t="n">
        <v>856</v>
      </c>
      <c r="BA859" t="n">
        <v>4553.33</v>
      </c>
      <c r="BB859" t="n">
        <v>4588.301</v>
      </c>
      <c r="BC859" t="n">
        <v>-34.971</v>
      </c>
      <c r="BD859" t="n">
        <v>1222.9729</v>
      </c>
      <c r="BE859" t="n">
        <v>732736</v>
      </c>
    </row>
    <row r="860">
      <c r="A860" t="n">
        <v>1777504502</v>
      </c>
      <c r="B860" t="inlineStr">
        <is>
          <t>XAUUSD</t>
        </is>
      </c>
      <c r="C860" t="inlineStr">
        <is>
          <t>M15</t>
        </is>
      </c>
      <c r="D860" t="n">
        <v>4551.63</v>
      </c>
      <c r="E860" t="n">
        <v>4518.59282</v>
      </c>
      <c r="F860" t="n">
        <v>4596.05595</v>
      </c>
      <c r="G860" t="n">
        <v>4755.40355</v>
      </c>
      <c r="H860" t="n">
        <v>4792.76972</v>
      </c>
      <c r="Q860" t="n">
        <v>4588.03342</v>
      </c>
      <c r="R860" t="n">
        <v>4617.39672</v>
      </c>
      <c r="S860" t="n">
        <v>4643.98549</v>
      </c>
      <c r="V860" t="n">
        <v>4553.09365</v>
      </c>
      <c r="W860" t="n">
        <v>4519.52866</v>
      </c>
      <c r="AB860" t="n">
        <v>4553.37157</v>
      </c>
      <c r="AC860" t="n">
        <v>4551.70926</v>
      </c>
      <c r="AD860" t="n">
        <v>0</v>
      </c>
      <c r="AK860" t="n">
        <v>858</v>
      </c>
      <c r="AL860" t="n">
        <v>857</v>
      </c>
      <c r="AM860" t="n">
        <v>4551.63</v>
      </c>
      <c r="AN860" t="n">
        <v>4588.0334</v>
      </c>
      <c r="AO860" t="n">
        <v>-36.4034</v>
      </c>
      <c r="AP860" t="n">
        <v>1325.209</v>
      </c>
      <c r="AQ860" t="n">
        <v>-1.109793</v>
      </c>
      <c r="AR860" t="n">
        <v>1.149007</v>
      </c>
      <c r="AY860" t="n">
        <v>858</v>
      </c>
      <c r="AZ860" t="n">
        <v>857</v>
      </c>
      <c r="BA860" t="n">
        <v>4551.63</v>
      </c>
      <c r="BB860" t="n">
        <v>4588.0334</v>
      </c>
      <c r="BC860" t="n">
        <v>-36.4034</v>
      </c>
      <c r="BD860" t="n">
        <v>1325.209</v>
      </c>
      <c r="BE860" t="n">
        <v>734449</v>
      </c>
    </row>
    <row r="861">
      <c r="A861" t="n">
        <v>1777505402</v>
      </c>
      <c r="B861" t="inlineStr">
        <is>
          <t>XAUUSD</t>
        </is>
      </c>
      <c r="C861" t="inlineStr">
        <is>
          <t>M15</t>
        </is>
      </c>
      <c r="D861" t="n">
        <v>4554.44</v>
      </c>
      <c r="E861" t="n">
        <v>4518.59282</v>
      </c>
      <c r="F861" t="n">
        <v>4596.05595</v>
      </c>
      <c r="G861" t="n">
        <v>4755.40355</v>
      </c>
      <c r="H861" t="n">
        <v>4792.76972</v>
      </c>
      <c r="Q861" t="n">
        <v>4587.76582</v>
      </c>
      <c r="R861" t="n">
        <v>4617.12912</v>
      </c>
      <c r="S861" t="n">
        <v>4643.71789</v>
      </c>
      <c r="V861" t="n">
        <v>4552.82605</v>
      </c>
      <c r="W861" t="n">
        <v>4519.26105</v>
      </c>
      <c r="AB861" t="n">
        <v>4555.67977</v>
      </c>
      <c r="AC861" t="n">
        <v>4553.69451</v>
      </c>
      <c r="AD861" t="n">
        <v>0</v>
      </c>
      <c r="AK861" t="n">
        <v>859</v>
      </c>
      <c r="AL861" t="n">
        <v>858</v>
      </c>
      <c r="AM861" t="n">
        <v>4554.44</v>
      </c>
      <c r="AN861" t="n">
        <v>4587.7658</v>
      </c>
      <c r="AO861" t="n">
        <v>-33.3258</v>
      </c>
      <c r="AP861" t="n">
        <v>1110.6103</v>
      </c>
      <c r="AQ861" t="n">
        <v>-0.851448</v>
      </c>
      <c r="AR861" t="n">
        <v>0.807007</v>
      </c>
      <c r="AY861" t="n">
        <v>859</v>
      </c>
      <c r="AZ861" t="n">
        <v>858</v>
      </c>
      <c r="BA861" t="n">
        <v>4554.44</v>
      </c>
      <c r="BB861" t="n">
        <v>4587.7658</v>
      </c>
      <c r="BC861" t="n">
        <v>-33.3258</v>
      </c>
      <c r="BD861" t="n">
        <v>1110.6103</v>
      </c>
      <c r="BE861" t="n">
        <v>736164</v>
      </c>
    </row>
    <row r="862">
      <c r="A862" t="n">
        <v>1777506302</v>
      </c>
      <c r="B862" t="inlineStr">
        <is>
          <t>XAUUSD</t>
        </is>
      </c>
      <c r="C862" t="inlineStr">
        <is>
          <t>M15</t>
        </is>
      </c>
      <c r="D862" t="n">
        <v>4561.66</v>
      </c>
      <c r="E862" t="n">
        <v>4518.59282</v>
      </c>
      <c r="F862" t="n">
        <v>4596.05595</v>
      </c>
      <c r="G862" t="n">
        <v>4755.40355</v>
      </c>
      <c r="H862" t="n">
        <v>4792.76972</v>
      </c>
      <c r="Q862" t="n">
        <v>4587.49821</v>
      </c>
      <c r="R862" t="n">
        <v>4616.86151</v>
      </c>
      <c r="S862" t="n">
        <v>4643.45028</v>
      </c>
      <c r="V862" t="n">
        <v>4552.55844</v>
      </c>
      <c r="W862" t="n">
        <v>4518.99345</v>
      </c>
      <c r="AB862" t="n">
        <v>4558.31079</v>
      </c>
      <c r="AC862" t="n">
        <v>4556.00265</v>
      </c>
      <c r="AD862" t="n">
        <v>0</v>
      </c>
      <c r="AK862" t="n">
        <v>860</v>
      </c>
      <c r="AL862" t="n">
        <v>859</v>
      </c>
      <c r="AM862" t="n">
        <v>4561.66</v>
      </c>
      <c r="AN862" t="n">
        <v>4587.4982</v>
      </c>
      <c r="AO862" t="n">
        <v>-25.8382</v>
      </c>
      <c r="AP862" t="n">
        <v>667.6131</v>
      </c>
      <c r="AQ862" t="n">
        <v>-0.396829</v>
      </c>
      <c r="AR862" t="n">
        <v>0.291611</v>
      </c>
      <c r="AY862" t="n">
        <v>860</v>
      </c>
      <c r="AZ862" t="n">
        <v>859</v>
      </c>
      <c r="BA862" t="n">
        <v>4561.66</v>
      </c>
      <c r="BB862" t="n">
        <v>4587.4982</v>
      </c>
      <c r="BC862" t="n">
        <v>-25.8382</v>
      </c>
      <c r="BD862" t="n">
        <v>667.6131</v>
      </c>
      <c r="BE862" t="n">
        <v>737881</v>
      </c>
    </row>
    <row r="863">
      <c r="A863" t="n">
        <v>1777507202</v>
      </c>
      <c r="B863" t="inlineStr">
        <is>
          <t>XAUUSD</t>
        </is>
      </c>
      <c r="C863" t="inlineStr">
        <is>
          <t>M15</t>
        </is>
      </c>
      <c r="D863" t="n">
        <v>4557.93</v>
      </c>
      <c r="E863" t="n">
        <v>4518.59282</v>
      </c>
      <c r="F863" t="n">
        <v>4596.05595</v>
      </c>
      <c r="G863" t="n">
        <v>4755.40355</v>
      </c>
      <c r="H863" t="n">
        <v>4792.76972</v>
      </c>
      <c r="Q863" t="n">
        <v>4587.23061</v>
      </c>
      <c r="R863" t="n">
        <v>4616.59391</v>
      </c>
      <c r="S863" t="n">
        <v>4643.18268</v>
      </c>
      <c r="V863" t="n">
        <v>4552.29084</v>
      </c>
      <c r="W863" t="n">
        <v>4518.72584</v>
      </c>
      <c r="AB863" t="n">
        <v>4561.09762</v>
      </c>
      <c r="AC863" t="n">
        <v>4558.55014</v>
      </c>
      <c r="AD863" t="n">
        <v>0</v>
      </c>
      <c r="AK863" t="n">
        <v>861</v>
      </c>
      <c r="AL863" t="n">
        <v>860</v>
      </c>
      <c r="AM863" t="n">
        <v>4557.93</v>
      </c>
      <c r="AN863" t="n">
        <v>4587.2306</v>
      </c>
      <c r="AO863" t="n">
        <v>-29.3006</v>
      </c>
      <c r="AP863" t="n">
        <v>858.5257</v>
      </c>
      <c r="AQ863" t="n">
        <v>-0.578689</v>
      </c>
      <c r="AR863" t="n">
        <v>0.482237</v>
      </c>
      <c r="AY863" t="n">
        <v>861</v>
      </c>
      <c r="AZ863" t="n">
        <v>860</v>
      </c>
      <c r="BA863" t="n">
        <v>4557.93</v>
      </c>
      <c r="BB863" t="n">
        <v>4587.2306</v>
      </c>
      <c r="BC863" t="n">
        <v>-29.3006</v>
      </c>
      <c r="BD863" t="n">
        <v>858.5257</v>
      </c>
      <c r="BE863" t="n">
        <v>739600</v>
      </c>
    </row>
    <row r="864">
      <c r="A864" t="n">
        <v>1777508102</v>
      </c>
      <c r="B864" t="inlineStr">
        <is>
          <t>XAUUSD</t>
        </is>
      </c>
      <c r="C864" t="inlineStr">
        <is>
          <t>M15</t>
        </is>
      </c>
      <c r="D864" t="n">
        <v>4563.57</v>
      </c>
      <c r="E864" t="n">
        <v>4518.59282</v>
      </c>
      <c r="F864" t="n">
        <v>4596.05595</v>
      </c>
      <c r="G864" t="n">
        <v>4755.40355</v>
      </c>
      <c r="H864" t="n">
        <v>4792.76972</v>
      </c>
      <c r="Q864" t="n">
        <v>4586.96301</v>
      </c>
      <c r="R864" t="n">
        <v>4616.32631</v>
      </c>
      <c r="S864" t="n">
        <v>4642.91508</v>
      </c>
      <c r="V864" t="n">
        <v>4552.02324</v>
      </c>
      <c r="W864" t="n">
        <v>4518.45824</v>
      </c>
      <c r="AB864" t="n">
        <v>4564.13434</v>
      </c>
      <c r="AC864" t="n">
        <v>4561.34224</v>
      </c>
      <c r="AD864" t="n">
        <v>0</v>
      </c>
      <c r="AK864" t="n">
        <v>862</v>
      </c>
      <c r="AL864" t="n">
        <v>861</v>
      </c>
      <c r="AM864" t="n">
        <v>4563.57</v>
      </c>
      <c r="AN864" t="n">
        <v>4586.963</v>
      </c>
      <c r="AO864" t="n">
        <v>-23.393</v>
      </c>
      <c r="AP864" t="n">
        <v>547.2329</v>
      </c>
      <c r="AQ864" t="n">
        <v>-0.294492</v>
      </c>
      <c r="AR864" t="n">
        <v>0.195929</v>
      </c>
      <c r="AY864" t="n">
        <v>862</v>
      </c>
      <c r="AZ864" t="n">
        <v>861</v>
      </c>
      <c r="BA864" t="n">
        <v>4563.57</v>
      </c>
      <c r="BB864" t="n">
        <v>4586.963</v>
      </c>
      <c r="BC864" t="n">
        <v>-23.393</v>
      </c>
      <c r="BD864" t="n">
        <v>547.2329</v>
      </c>
      <c r="BE864" t="n">
        <v>741321</v>
      </c>
    </row>
    <row r="865">
      <c r="A865" t="n">
        <v>1777509002</v>
      </c>
      <c r="B865" t="inlineStr">
        <is>
          <t>XAUUSD</t>
        </is>
      </c>
      <c r="C865" t="inlineStr">
        <is>
          <t>M15</t>
        </is>
      </c>
      <c r="D865" t="n">
        <v>4567.11</v>
      </c>
      <c r="E865" t="n">
        <v>4518.59282</v>
      </c>
      <c r="F865" t="n">
        <v>4596.05595</v>
      </c>
      <c r="G865" t="n">
        <v>4755.40355</v>
      </c>
      <c r="H865" t="n">
        <v>4792.76972</v>
      </c>
      <c r="Q865" t="n">
        <v>4586.6954</v>
      </c>
      <c r="R865" t="n">
        <v>4616.0587</v>
      </c>
      <c r="S865" t="n">
        <v>4642.64747</v>
      </c>
      <c r="V865" t="n">
        <v>4551.75563</v>
      </c>
      <c r="W865" t="n">
        <v>4518.19064</v>
      </c>
      <c r="AB865" t="n">
        <v>4567.24095</v>
      </c>
      <c r="AC865" t="n">
        <v>4564.29159</v>
      </c>
      <c r="AD865" t="n">
        <v>0</v>
      </c>
      <c r="AK865" t="n">
        <v>863</v>
      </c>
      <c r="AL865" t="n">
        <v>862</v>
      </c>
      <c r="AM865" t="n">
        <v>4567.11</v>
      </c>
      <c r="AN865" t="n">
        <v>4586.6954</v>
      </c>
      <c r="AO865" t="n">
        <v>-19.5854</v>
      </c>
      <c r="AP865" t="n">
        <v>383.5879</v>
      </c>
      <c r="AQ865" t="n">
        <v>-0.172828</v>
      </c>
      <c r="AR865" t="n">
        <v>0.09626800000000001</v>
      </c>
      <c r="AY865" t="n">
        <v>863</v>
      </c>
      <c r="AZ865" t="n">
        <v>862</v>
      </c>
      <c r="BA865" t="n">
        <v>4567.11</v>
      </c>
      <c r="BB865" t="n">
        <v>4586.6954</v>
      </c>
      <c r="BC865" t="n">
        <v>-19.5854</v>
      </c>
      <c r="BD865" t="n">
        <v>383.5879</v>
      </c>
      <c r="BE865" t="n">
        <v>743044</v>
      </c>
    </row>
    <row r="866">
      <c r="A866" t="n">
        <v>1777509902</v>
      </c>
      <c r="B866" t="inlineStr">
        <is>
          <t>XAUUSD</t>
        </is>
      </c>
      <c r="C866" t="inlineStr">
        <is>
          <t>M15</t>
        </is>
      </c>
      <c r="D866" t="n">
        <v>4569.83</v>
      </c>
      <c r="E866" t="n">
        <v>4518.59282</v>
      </c>
      <c r="F866" t="n">
        <v>4596.05595</v>
      </c>
      <c r="G866" t="n">
        <v>4755.40355</v>
      </c>
      <c r="H866" t="n">
        <v>4792.76972</v>
      </c>
      <c r="Q866" t="n">
        <v>4586.4278</v>
      </c>
      <c r="R866" t="n">
        <v>4615.7911</v>
      </c>
      <c r="S866" t="n">
        <v>4642.37987</v>
      </c>
      <c r="V866" t="n">
        <v>4551.48803</v>
      </c>
      <c r="W866" t="n">
        <v>4517.92303</v>
      </c>
      <c r="AB866" t="n">
        <v>4570.18189</v>
      </c>
      <c r="AC866" t="n">
        <v>4567.23674</v>
      </c>
      <c r="AD866" t="n">
        <v>0</v>
      </c>
      <c r="AK866" t="n">
        <v>864</v>
      </c>
      <c r="AL866" t="n">
        <v>863</v>
      </c>
      <c r="AM866" t="n">
        <v>4569.83</v>
      </c>
      <c r="AN866" t="n">
        <v>4586.4278</v>
      </c>
      <c r="AO866" t="n">
        <v>-16.5978</v>
      </c>
      <c r="AP866" t="n">
        <v>275.487</v>
      </c>
      <c r="AQ866" t="n">
        <v>-0.105188</v>
      </c>
      <c r="AR866" t="n">
        <v>0.049654</v>
      </c>
      <c r="AY866" t="n">
        <v>864</v>
      </c>
      <c r="AZ866" t="n">
        <v>863</v>
      </c>
      <c r="BA866" t="n">
        <v>4569.83</v>
      </c>
      <c r="BB866" t="n">
        <v>4586.4278</v>
      </c>
      <c r="BC866" t="n">
        <v>-16.5978</v>
      </c>
      <c r="BD866" t="n">
        <v>275.487</v>
      </c>
      <c r="BE866" t="n">
        <v>744769</v>
      </c>
    </row>
    <row r="867">
      <c r="A867" t="n">
        <v>1777510802</v>
      </c>
      <c r="B867" t="inlineStr">
        <is>
          <t>XAUUSD</t>
        </is>
      </c>
      <c r="C867" t="inlineStr">
        <is>
          <t>M15</t>
        </is>
      </c>
      <c r="D867" t="n">
        <v>4568.52</v>
      </c>
      <c r="E867" t="n">
        <v>4518.59282</v>
      </c>
      <c r="F867" t="n">
        <v>4596.05595</v>
      </c>
      <c r="G867" t="n">
        <v>4755.40355</v>
      </c>
      <c r="H867" t="n">
        <v>4792.76972</v>
      </c>
      <c r="Q867" t="n">
        <v>4586.16019</v>
      </c>
      <c r="R867" t="n">
        <v>4615.52349</v>
      </c>
      <c r="S867" t="n">
        <v>4642.11226</v>
      </c>
      <c r="V867" t="n">
        <v>4551.22042</v>
      </c>
      <c r="W867" t="n">
        <v>4517.65543</v>
      </c>
      <c r="AB867" t="n">
        <v>4572.76695</v>
      </c>
      <c r="AC867" t="n">
        <v>4570.00184</v>
      </c>
      <c r="AD867" t="n">
        <v>0</v>
      </c>
      <c r="AK867" t="n">
        <v>865</v>
      </c>
      <c r="AL867" t="n">
        <v>864</v>
      </c>
      <c r="AM867" t="n">
        <v>4568.52</v>
      </c>
      <c r="AN867" t="n">
        <v>4586.1602</v>
      </c>
      <c r="AO867" t="n">
        <v>-17.6402</v>
      </c>
      <c r="AP867" t="n">
        <v>311.1763</v>
      </c>
      <c r="AQ867" t="n">
        <v>-0.126277</v>
      </c>
      <c r="AR867" t="n">
        <v>0.06335300000000001</v>
      </c>
      <c r="AY867" t="n">
        <v>865</v>
      </c>
      <c r="AZ867" t="n">
        <v>864</v>
      </c>
      <c r="BA867" t="n">
        <v>4568.52</v>
      </c>
      <c r="BB867" t="n">
        <v>4586.1602</v>
      </c>
      <c r="BC867" t="n">
        <v>-17.6402</v>
      </c>
      <c r="BD867" t="n">
        <v>311.1763</v>
      </c>
      <c r="BE867" t="n">
        <v>746496</v>
      </c>
    </row>
    <row r="868">
      <c r="A868" t="n">
        <v>1777511702</v>
      </c>
      <c r="B868" t="inlineStr">
        <is>
          <t>XAUUSD</t>
        </is>
      </c>
      <c r="C868" t="inlineStr">
        <is>
          <t>M15</t>
        </is>
      </c>
      <c r="D868" t="n">
        <v>4579.79</v>
      </c>
      <c r="E868" t="n">
        <v>4518.59282</v>
      </c>
      <c r="F868" t="n">
        <v>4596.05595</v>
      </c>
      <c r="G868" t="n">
        <v>4755.40355</v>
      </c>
      <c r="H868" t="n">
        <v>4792.76972</v>
      </c>
      <c r="Q868" t="n">
        <v>4585.89259</v>
      </c>
      <c r="R868" t="n">
        <v>4615.25589</v>
      </c>
      <c r="S868" t="n">
        <v>4641.84466</v>
      </c>
      <c r="V868" t="n">
        <v>4550.95282</v>
      </c>
      <c r="W868" t="n">
        <v>4517.38782</v>
      </c>
      <c r="AB868" t="n">
        <v>4574.9109</v>
      </c>
      <c r="AC868" t="n">
        <v>4572.45637</v>
      </c>
      <c r="AD868" t="n">
        <v>0</v>
      </c>
      <c r="AK868" t="n">
        <v>866</v>
      </c>
      <c r="AL868" t="n">
        <v>865</v>
      </c>
      <c r="AM868" t="n">
        <v>4579.79</v>
      </c>
      <c r="AN868" t="n">
        <v>4585.8926</v>
      </c>
      <c r="AO868" t="n">
        <v>-6.1026</v>
      </c>
      <c r="AP868" t="n">
        <v>37.2416</v>
      </c>
      <c r="AQ868" t="n">
        <v>-0.005228</v>
      </c>
      <c r="AR868" t="n">
        <v>0.000907</v>
      </c>
      <c r="AY868" t="n">
        <v>866</v>
      </c>
      <c r="AZ868" t="n">
        <v>865</v>
      </c>
      <c r="BA868" t="n">
        <v>4579.79</v>
      </c>
      <c r="BB868" t="n">
        <v>4585.8926</v>
      </c>
      <c r="BC868" t="n">
        <v>-6.1026</v>
      </c>
      <c r="BD868" t="n">
        <v>37.2416</v>
      </c>
      <c r="BE868" t="n">
        <v>748225</v>
      </c>
    </row>
    <row r="869">
      <c r="A869" t="n">
        <v>1777512602</v>
      </c>
      <c r="B869" t="inlineStr">
        <is>
          <t>XAUUSD</t>
        </is>
      </c>
      <c r="C869" t="inlineStr">
        <is>
          <t>M15</t>
        </is>
      </c>
      <c r="D869" t="n">
        <v>4576.31</v>
      </c>
      <c r="E869" t="n">
        <v>4518.59282</v>
      </c>
      <c r="F869" t="n">
        <v>4596.05595</v>
      </c>
      <c r="G869" t="n">
        <v>4755.40355</v>
      </c>
      <c r="H869" t="n">
        <v>4792.76972</v>
      </c>
      <c r="Q869" t="n">
        <v>4585.62499</v>
      </c>
      <c r="R869" t="n">
        <v>4614.98828</v>
      </c>
      <c r="S869" t="n">
        <v>4641.57706</v>
      </c>
      <c r="V869" t="n">
        <v>4550.68522</v>
      </c>
      <c r="W869" t="n">
        <v>4517.12022</v>
      </c>
      <c r="AB869" t="n">
        <v>4576.15334</v>
      </c>
      <c r="AC869" t="n">
        <v>4574.30486</v>
      </c>
      <c r="AD869" t="n">
        <v>0</v>
      </c>
      <c r="AK869" t="n">
        <v>867</v>
      </c>
      <c r="AL869" t="n">
        <v>866</v>
      </c>
      <c r="AM869" t="n">
        <v>4576.31</v>
      </c>
      <c r="AN869" t="n">
        <v>4585.625</v>
      </c>
      <c r="AO869" t="n">
        <v>-9.315</v>
      </c>
      <c r="AP869" t="n">
        <v>86.76900000000001</v>
      </c>
      <c r="AQ869" t="n">
        <v>-0.018594</v>
      </c>
      <c r="AR869" t="n">
        <v>0.004926</v>
      </c>
      <c r="AY869" t="n">
        <v>867</v>
      </c>
      <c r="AZ869" t="n">
        <v>866</v>
      </c>
      <c r="BA869" t="n">
        <v>4576.31</v>
      </c>
      <c r="BB869" t="n">
        <v>4585.625</v>
      </c>
      <c r="BC869" t="n">
        <v>-9.315</v>
      </c>
      <c r="BD869" t="n">
        <v>86.76900000000001</v>
      </c>
      <c r="BE869" t="n">
        <v>749956</v>
      </c>
    </row>
    <row r="870">
      <c r="A870" t="n">
        <v>1777513502</v>
      </c>
      <c r="B870" t="inlineStr">
        <is>
          <t>XAUUSD</t>
        </is>
      </c>
      <c r="C870" t="inlineStr">
        <is>
          <t>M15</t>
        </is>
      </c>
      <c r="D870" t="n">
        <v>4579.13</v>
      </c>
      <c r="E870" t="n">
        <v>4518.59282</v>
      </c>
      <c r="F870" t="n">
        <v>4596.05595</v>
      </c>
      <c r="G870" t="n">
        <v>4755.40355</v>
      </c>
      <c r="H870" t="n">
        <v>4792.76972</v>
      </c>
      <c r="Q870" t="n">
        <v>4585.35738</v>
      </c>
      <c r="R870" t="n">
        <v>4614.72068</v>
      </c>
      <c r="S870" t="n">
        <v>4641.30945</v>
      </c>
      <c r="V870" t="n">
        <v>4550.41761</v>
      </c>
      <c r="W870" t="n">
        <v>4516.85262</v>
      </c>
      <c r="Z870" t="n">
        <v>4582.32</v>
      </c>
      <c r="AB870" t="n">
        <v>4576.44131</v>
      </c>
      <c r="AC870" t="n">
        <v>4575.37308</v>
      </c>
      <c r="AD870" t="n">
        <v>0</v>
      </c>
      <c r="AK870" t="n">
        <v>868</v>
      </c>
      <c r="AL870" t="n">
        <v>867</v>
      </c>
      <c r="AM870" t="n">
        <v>4579.13</v>
      </c>
      <c r="AN870" t="n">
        <v>4585.3574</v>
      </c>
      <c r="AO870" t="n">
        <v>-6.2274</v>
      </c>
      <c r="AP870" t="n">
        <v>38.7803</v>
      </c>
      <c r="AQ870" t="n">
        <v>-0.005556</v>
      </c>
      <c r="AR870" t="n">
        <v>0.0009840000000000001</v>
      </c>
      <c r="AY870" t="n">
        <v>868</v>
      </c>
      <c r="AZ870" t="n">
        <v>867</v>
      </c>
      <c r="BA870" t="n">
        <v>4579.13</v>
      </c>
      <c r="BB870" t="n">
        <v>4585.3574</v>
      </c>
      <c r="BC870" t="n">
        <v>-6.2274</v>
      </c>
      <c r="BD870" t="n">
        <v>38.7803</v>
      </c>
      <c r="BE870" t="n">
        <v>751689</v>
      </c>
    </row>
    <row r="871">
      <c r="A871" t="n">
        <v>1777514402</v>
      </c>
      <c r="B871" t="inlineStr">
        <is>
          <t>XAUUSD</t>
        </is>
      </c>
      <c r="C871" t="inlineStr">
        <is>
          <t>M15</t>
        </is>
      </c>
      <c r="D871" t="n">
        <v>4579.74</v>
      </c>
      <c r="E871" t="n">
        <v>4518.59282</v>
      </c>
      <c r="F871" t="n">
        <v>4596.05595</v>
      </c>
      <c r="G871" t="n">
        <v>4755.40355</v>
      </c>
      <c r="H871" t="n">
        <v>4792.76972</v>
      </c>
      <c r="Q871" t="n">
        <v>4585.08978</v>
      </c>
      <c r="R871" t="n">
        <v>4614.45308</v>
      </c>
      <c r="S871" t="n">
        <v>4641.04185</v>
      </c>
      <c r="V871" t="n">
        <v>4550.15001</v>
      </c>
      <c r="W871" t="n">
        <v>4516.58501</v>
      </c>
      <c r="AB871" t="n">
        <v>4575.62065</v>
      </c>
      <c r="AC871" t="n">
        <v>4575.49687</v>
      </c>
      <c r="AD871" t="n">
        <v>0</v>
      </c>
      <c r="AK871" t="n">
        <v>869</v>
      </c>
      <c r="AL871" t="n">
        <v>868</v>
      </c>
      <c r="AM871" t="n">
        <v>4579.74</v>
      </c>
      <c r="AN871" t="n">
        <v>4585.0898</v>
      </c>
      <c r="AO871" t="n">
        <v>-5.3498</v>
      </c>
      <c r="AP871" t="n">
        <v>28.6201</v>
      </c>
      <c r="AQ871" t="n">
        <v>-0.003522</v>
      </c>
      <c r="AR871" t="n">
        <v>0.000536</v>
      </c>
      <c r="AY871" t="n">
        <v>869</v>
      </c>
      <c r="AZ871" t="n">
        <v>868</v>
      </c>
      <c r="BA871" t="n">
        <v>4579.74</v>
      </c>
      <c r="BB871" t="n">
        <v>4585.0898</v>
      </c>
      <c r="BC871" t="n">
        <v>-5.3498</v>
      </c>
      <c r="BD871" t="n">
        <v>28.6201</v>
      </c>
      <c r="BE871" t="n">
        <v>753424</v>
      </c>
    </row>
    <row r="872">
      <c r="A872" t="n">
        <v>1777515302</v>
      </c>
      <c r="B872" t="inlineStr">
        <is>
          <t>XAUUSD</t>
        </is>
      </c>
      <c r="C872" t="inlineStr">
        <is>
          <t>M15</t>
        </is>
      </c>
      <c r="D872" t="n">
        <v>4573.13</v>
      </c>
      <c r="E872" t="n">
        <v>4518.59282</v>
      </c>
      <c r="F872" t="n">
        <v>4596.05595</v>
      </c>
      <c r="G872" t="n">
        <v>4755.40355</v>
      </c>
      <c r="H872" t="n">
        <v>4792.76972</v>
      </c>
      <c r="Q872" t="n">
        <v>4584.82217</v>
      </c>
      <c r="R872" t="n">
        <v>4614.18547</v>
      </c>
      <c r="S872" t="n">
        <v>4640.77424</v>
      </c>
      <c r="V872" t="n">
        <v>4549.8824</v>
      </c>
      <c r="W872" t="n">
        <v>4516.31741</v>
      </c>
      <c r="AB872" t="n">
        <v>4573.70372</v>
      </c>
      <c r="AC872" t="n">
        <v>4574.60029</v>
      </c>
      <c r="AD872" t="n">
        <v>1</v>
      </c>
      <c r="AK872" t="n">
        <v>870</v>
      </c>
      <c r="AL872" t="n">
        <v>869</v>
      </c>
      <c r="AM872" t="n">
        <v>4573.13</v>
      </c>
      <c r="AN872" t="n">
        <v>4584.8222</v>
      </c>
      <c r="AO872" t="n">
        <v>-11.6922</v>
      </c>
      <c r="AP872" t="n">
        <v>136.7068</v>
      </c>
      <c r="AQ872" t="n">
        <v>-0.036771</v>
      </c>
      <c r="AR872" t="n">
        <v>0.012227</v>
      </c>
      <c r="AY872" t="n">
        <v>870</v>
      </c>
      <c r="AZ872" t="n">
        <v>869</v>
      </c>
      <c r="BA872" t="n">
        <v>4573.13</v>
      </c>
      <c r="BB872" t="n">
        <v>4584.8222</v>
      </c>
      <c r="BC872" t="n">
        <v>-11.6922</v>
      </c>
      <c r="BD872" t="n">
        <v>136.7068</v>
      </c>
      <c r="BE872" t="n">
        <v>755161</v>
      </c>
    </row>
    <row r="873">
      <c r="A873" t="n">
        <v>1777516202</v>
      </c>
      <c r="B873" t="inlineStr">
        <is>
          <t>XAUUSD</t>
        </is>
      </c>
      <c r="C873" t="inlineStr">
        <is>
          <t>M15</t>
        </is>
      </c>
      <c r="D873" t="n">
        <v>4562.53</v>
      </c>
      <c r="E873" t="n">
        <v>4518.59282</v>
      </c>
      <c r="F873" t="n">
        <v>4596.05595</v>
      </c>
      <c r="G873" t="n">
        <v>4755.40355</v>
      </c>
      <c r="H873" t="n">
        <v>4792.76972</v>
      </c>
      <c r="Q873" t="n">
        <v>4584.55457</v>
      </c>
      <c r="R873" t="n">
        <v>4613.91787</v>
      </c>
      <c r="S873" t="n">
        <v>4640.50664</v>
      </c>
      <c r="V873" t="n">
        <v>4549.6148</v>
      </c>
      <c r="W873" t="n">
        <v>4516.0498</v>
      </c>
      <c r="AB873" t="n">
        <v>4570.96608</v>
      </c>
      <c r="AC873" t="n">
        <v>4572.78319</v>
      </c>
      <c r="AD873" t="n">
        <v>0</v>
      </c>
      <c r="AK873" t="n">
        <v>871</v>
      </c>
      <c r="AL873" t="n">
        <v>870</v>
      </c>
      <c r="AM873" t="n">
        <v>4562.53</v>
      </c>
      <c r="AN873" t="n">
        <v>4584.5546</v>
      </c>
      <c r="AO873" t="n">
        <v>-22.0246</v>
      </c>
      <c r="AP873" t="n">
        <v>485.0817</v>
      </c>
      <c r="AQ873" t="n">
        <v>-0.245775</v>
      </c>
      <c r="AR873" t="n">
        <v>0.153951</v>
      </c>
      <c r="AY873" t="n">
        <v>871</v>
      </c>
      <c r="AZ873" t="n">
        <v>870</v>
      </c>
      <c r="BA873" t="n">
        <v>4562.53</v>
      </c>
      <c r="BB873" t="n">
        <v>4584.5546</v>
      </c>
      <c r="BC873" t="n">
        <v>-22.0246</v>
      </c>
      <c r="BD873" t="n">
        <v>485.0817</v>
      </c>
      <c r="BE873" t="n">
        <v>756900</v>
      </c>
    </row>
    <row r="874">
      <c r="A874" t="n">
        <v>1777517102</v>
      </c>
      <c r="B874" t="inlineStr">
        <is>
          <t>XAUUSD</t>
        </is>
      </c>
      <c r="C874" t="inlineStr">
        <is>
          <t>M15</t>
        </is>
      </c>
      <c r="D874" t="n">
        <v>4565.02</v>
      </c>
      <c r="E874" t="n">
        <v>4518.59282</v>
      </c>
      <c r="F874" t="n">
        <v>4596.05595</v>
      </c>
      <c r="G874" t="n">
        <v>4755.40355</v>
      </c>
      <c r="H874" t="n">
        <v>4792.76972</v>
      </c>
      <c r="Q874" t="n">
        <v>4584.28697</v>
      </c>
      <c r="R874" t="n">
        <v>4613.65026</v>
      </c>
      <c r="S874" t="n">
        <v>4640.23904</v>
      </c>
      <c r="V874" t="n">
        <v>4549.3472</v>
      </c>
      <c r="W874" t="n">
        <v>4515.7822</v>
      </c>
      <c r="AB874" t="n">
        <v>4567.88808</v>
      </c>
      <c r="AC874" t="n">
        <v>4570.33563</v>
      </c>
      <c r="AD874" t="n">
        <v>0</v>
      </c>
      <c r="AK874" t="n">
        <v>872</v>
      </c>
      <c r="AL874" t="n">
        <v>871</v>
      </c>
      <c r="AM874" t="n">
        <v>4565.02</v>
      </c>
      <c r="AN874" t="n">
        <v>4584.287</v>
      </c>
      <c r="AO874" t="n">
        <v>-19.267</v>
      </c>
      <c r="AP874" t="n">
        <v>371.2161</v>
      </c>
      <c r="AQ874" t="n">
        <v>-0.164534</v>
      </c>
      <c r="AR874" t="n">
        <v>0.090159</v>
      </c>
      <c r="AY874" t="n">
        <v>872</v>
      </c>
      <c r="AZ874" t="n">
        <v>871</v>
      </c>
      <c r="BA874" t="n">
        <v>4565.02</v>
      </c>
      <c r="BB874" t="n">
        <v>4584.287</v>
      </c>
      <c r="BC874" t="n">
        <v>-19.267</v>
      </c>
      <c r="BD874" t="n">
        <v>371.2161</v>
      </c>
      <c r="BE874" t="n">
        <v>758641</v>
      </c>
    </row>
    <row r="875">
      <c r="A875" t="n">
        <v>1777518002</v>
      </c>
      <c r="B875" t="inlineStr">
        <is>
          <t>XAUUSD</t>
        </is>
      </c>
      <c r="C875" t="inlineStr">
        <is>
          <t>M15</t>
        </is>
      </c>
      <c r="D875" t="n">
        <v>4564.98</v>
      </c>
      <c r="E875" t="n">
        <v>4518.59282</v>
      </c>
      <c r="F875" t="n">
        <v>4596.05595</v>
      </c>
      <c r="G875" t="n">
        <v>4755.40355</v>
      </c>
      <c r="H875" t="n">
        <v>4792.76972</v>
      </c>
      <c r="Q875" t="n">
        <v>4584.01936</v>
      </c>
      <c r="R875" t="n">
        <v>4613.38266</v>
      </c>
      <c r="S875" t="n">
        <v>4639.97143</v>
      </c>
      <c r="V875" t="n">
        <v>4549.07959</v>
      </c>
      <c r="W875" t="n">
        <v>4515.51459</v>
      </c>
      <c r="AB875" t="n">
        <v>4564.51586</v>
      </c>
      <c r="AC875" t="n">
        <v>4567.42575</v>
      </c>
      <c r="AD875" t="n">
        <v>0</v>
      </c>
      <c r="AK875" t="n">
        <v>873</v>
      </c>
      <c r="AL875" t="n">
        <v>872</v>
      </c>
      <c r="AM875" t="n">
        <v>4564.98</v>
      </c>
      <c r="AN875" t="n">
        <v>4584.0194</v>
      </c>
      <c r="AO875" t="n">
        <v>-19.0394</v>
      </c>
      <c r="AP875" t="n">
        <v>362.4972</v>
      </c>
      <c r="AQ875" t="n">
        <v>-0.158772</v>
      </c>
      <c r="AR875" t="n">
        <v>0.08597299999999999</v>
      </c>
      <c r="AY875" t="n">
        <v>873</v>
      </c>
      <c r="AZ875" t="n">
        <v>872</v>
      </c>
      <c r="BA875" t="n">
        <v>4564.98</v>
      </c>
      <c r="BB875" t="n">
        <v>4584.0194</v>
      </c>
      <c r="BC875" t="n">
        <v>-19.0394</v>
      </c>
      <c r="BD875" t="n">
        <v>362.4972</v>
      </c>
      <c r="BE875" t="n">
        <v>760384</v>
      </c>
    </row>
    <row r="876">
      <c r="A876" t="n">
        <v>1777518902</v>
      </c>
      <c r="B876" t="inlineStr">
        <is>
          <t>XAUUSD</t>
        </is>
      </c>
      <c r="C876" t="inlineStr">
        <is>
          <t>M15</t>
        </is>
      </c>
      <c r="D876" t="n">
        <v>4563.32</v>
      </c>
      <c r="E876" t="n">
        <v>4518.59282</v>
      </c>
      <c r="F876" t="n">
        <v>4596.05595</v>
      </c>
      <c r="G876" t="n">
        <v>4755.40355</v>
      </c>
      <c r="H876" t="n">
        <v>4792.76972</v>
      </c>
      <c r="Q876" t="n">
        <v>4583.75176</v>
      </c>
      <c r="R876" t="n">
        <v>4613.11506</v>
      </c>
      <c r="S876" t="n">
        <v>4639.70383</v>
      </c>
      <c r="V876" t="n">
        <v>4548.81199</v>
      </c>
      <c r="W876" t="n">
        <v>4515.24699</v>
      </c>
      <c r="AB876" t="n">
        <v>4561.02691</v>
      </c>
      <c r="AC876" t="n">
        <v>4564.22633</v>
      </c>
      <c r="AD876" t="n">
        <v>0</v>
      </c>
      <c r="AK876" t="n">
        <v>874</v>
      </c>
      <c r="AL876" t="n">
        <v>873</v>
      </c>
      <c r="AM876" t="n">
        <v>4563.32</v>
      </c>
      <c r="AN876" t="n">
        <v>4583.7518</v>
      </c>
      <c r="AO876" t="n">
        <v>-20.4318</v>
      </c>
      <c r="AP876" t="n">
        <v>417.4568</v>
      </c>
      <c r="AQ876" t="n">
        <v>-0.196215</v>
      </c>
      <c r="AR876" t="n">
        <v>0.114019</v>
      </c>
      <c r="AY876" t="n">
        <v>874</v>
      </c>
      <c r="AZ876" t="n">
        <v>873</v>
      </c>
      <c r="BA876" t="n">
        <v>4563.32</v>
      </c>
      <c r="BB876" t="n">
        <v>4583.7518</v>
      </c>
      <c r="BC876" t="n">
        <v>-20.4318</v>
      </c>
      <c r="BD876" t="n">
        <v>417.4568</v>
      </c>
      <c r="BE876" t="n">
        <v>762129</v>
      </c>
    </row>
    <row r="877">
      <c r="A877" t="n">
        <v>1777519802</v>
      </c>
      <c r="B877" t="inlineStr">
        <is>
          <t>XAUUSD</t>
        </is>
      </c>
      <c r="C877" t="inlineStr">
        <is>
          <t>M15</t>
        </is>
      </c>
      <c r="D877" t="n">
        <v>4561.66</v>
      </c>
      <c r="E877" t="n">
        <v>4518.59282</v>
      </c>
      <c r="F877" t="n">
        <v>4596.05595</v>
      </c>
      <c r="G877" t="n">
        <v>4755.40355</v>
      </c>
      <c r="H877" t="n">
        <v>4792.76972</v>
      </c>
      <c r="Q877" t="n">
        <v>4583.48415</v>
      </c>
      <c r="R877" t="n">
        <v>4612.84745</v>
      </c>
      <c r="S877" t="n">
        <v>4639.43622</v>
      </c>
      <c r="V877" t="n">
        <v>4548.54438</v>
      </c>
      <c r="W877" t="n">
        <v>4514.97939</v>
      </c>
      <c r="AB877" t="n">
        <v>4557.5727</v>
      </c>
      <c r="AC877" t="n">
        <v>4560.89951</v>
      </c>
      <c r="AD877" t="n">
        <v>0</v>
      </c>
      <c r="AK877" t="n">
        <v>875</v>
      </c>
      <c r="AL877" t="n">
        <v>874</v>
      </c>
      <c r="AM877" t="n">
        <v>4561.66</v>
      </c>
      <c r="AN877" t="n">
        <v>4583.4842</v>
      </c>
      <c r="AO877" t="n">
        <v>-21.8242</v>
      </c>
      <c r="AP877" t="n">
        <v>476.2935</v>
      </c>
      <c r="AQ877" t="n">
        <v>-0.239126</v>
      </c>
      <c r="AR877" t="n">
        <v>0.148424</v>
      </c>
      <c r="AY877" t="n">
        <v>875</v>
      </c>
      <c r="AZ877" t="n">
        <v>874</v>
      </c>
      <c r="BA877" t="n">
        <v>4561.66</v>
      </c>
      <c r="BB877" t="n">
        <v>4583.4842</v>
      </c>
      <c r="BC877" t="n">
        <v>-21.8242</v>
      </c>
      <c r="BD877" t="n">
        <v>476.2935</v>
      </c>
      <c r="BE877" t="n">
        <v>763876</v>
      </c>
    </row>
    <row r="878">
      <c r="A878" t="n">
        <v>1777520702</v>
      </c>
      <c r="B878" t="inlineStr">
        <is>
          <t>XAUUSD</t>
        </is>
      </c>
      <c r="C878" t="inlineStr">
        <is>
          <t>M15</t>
        </is>
      </c>
      <c r="D878" t="n">
        <v>4556.09</v>
      </c>
      <c r="E878" t="n">
        <v>4518.59282</v>
      </c>
      <c r="F878" t="n">
        <v>4596.05595</v>
      </c>
      <c r="G878" t="n">
        <v>4755.40355</v>
      </c>
      <c r="H878" t="n">
        <v>4792.76972</v>
      </c>
      <c r="Q878" t="n">
        <v>4583.21655</v>
      </c>
      <c r="R878" t="n">
        <v>4612.57985</v>
      </c>
      <c r="S878" t="n">
        <v>4639.16862</v>
      </c>
      <c r="V878" t="n">
        <v>4548.27678</v>
      </c>
      <c r="W878" t="n">
        <v>4514.71178</v>
      </c>
      <c r="AB878" t="n">
        <v>4554.33844</v>
      </c>
      <c r="AC878" t="n">
        <v>4557.61898</v>
      </c>
      <c r="AD878" t="n">
        <v>0</v>
      </c>
      <c r="AK878" t="n">
        <v>876</v>
      </c>
      <c r="AL878" t="n">
        <v>875</v>
      </c>
      <c r="AM878" t="n">
        <v>4556.09</v>
      </c>
      <c r="AN878" t="n">
        <v>4583.2166</v>
      </c>
      <c r="AO878" t="n">
        <v>-27.1265</v>
      </c>
      <c r="AP878" t="n">
        <v>735.8497</v>
      </c>
      <c r="AQ878" t="n">
        <v>-0.459197</v>
      </c>
      <c r="AR878" t="n">
        <v>0.354268</v>
      </c>
      <c r="AY878" t="n">
        <v>876</v>
      </c>
      <c r="AZ878" t="n">
        <v>875</v>
      </c>
      <c r="BA878" t="n">
        <v>4556.09</v>
      </c>
      <c r="BB878" t="n">
        <v>4583.2166</v>
      </c>
      <c r="BC878" t="n">
        <v>-27.1265</v>
      </c>
      <c r="BD878" t="n">
        <v>735.8497</v>
      </c>
      <c r="BE878" t="n">
        <v>765625</v>
      </c>
    </row>
    <row r="879">
      <c r="A879" t="n">
        <v>1777521602</v>
      </c>
      <c r="B879" t="inlineStr">
        <is>
          <t>XAUUSD</t>
        </is>
      </c>
      <c r="C879" t="inlineStr">
        <is>
          <t>M15</t>
        </is>
      </c>
      <c r="D879" t="n">
        <v>4555.41</v>
      </c>
      <c r="E879" t="n">
        <v>4518.59282</v>
      </c>
      <c r="F879" t="n">
        <v>4596.05595</v>
      </c>
      <c r="G879" t="n">
        <v>4755.40355</v>
      </c>
      <c r="H879" t="n">
        <v>4792.76972</v>
      </c>
      <c r="Q879" t="n">
        <v>4582.94895</v>
      </c>
      <c r="R879" t="n">
        <v>4612.31224</v>
      </c>
      <c r="S879" t="n">
        <v>4638.90101</v>
      </c>
      <c r="V879" t="n">
        <v>4548.00917</v>
      </c>
      <c r="W879" t="n">
        <v>4514.44418</v>
      </c>
      <c r="AB879" t="n">
        <v>4551.65328</v>
      </c>
      <c r="AC879" t="n">
        <v>4554.63613</v>
      </c>
      <c r="AD879" t="n">
        <v>0</v>
      </c>
      <c r="AK879" t="n">
        <v>877</v>
      </c>
      <c r="AL879" t="n">
        <v>876</v>
      </c>
      <c r="AM879" t="n">
        <v>4555.41</v>
      </c>
      <c r="AN879" t="n">
        <v>4582.9489</v>
      </c>
      <c r="AO879" t="n">
        <v>-27.539</v>
      </c>
      <c r="AP879" t="n">
        <v>758.3938000000001</v>
      </c>
      <c r="AQ879" t="n">
        <v>-0.480461</v>
      </c>
      <c r="AR879" t="n">
        <v>0.376308</v>
      </c>
      <c r="AY879" t="n">
        <v>877</v>
      </c>
      <c r="AZ879" t="n">
        <v>876</v>
      </c>
      <c r="BA879" t="n">
        <v>4555.41</v>
      </c>
      <c r="BB879" t="n">
        <v>4582.9489</v>
      </c>
      <c r="BC879" t="n">
        <v>-27.539</v>
      </c>
      <c r="BD879" t="n">
        <v>758.3938000000001</v>
      </c>
      <c r="BE879" t="n">
        <v>767376</v>
      </c>
    </row>
    <row r="880">
      <c r="A880" t="n">
        <v>1777522502</v>
      </c>
      <c r="B880" t="inlineStr">
        <is>
          <t>XAUUSD</t>
        </is>
      </c>
      <c r="C880" t="inlineStr">
        <is>
          <t>M15</t>
        </is>
      </c>
      <c r="D880" t="n">
        <v>4547.28</v>
      </c>
      <c r="E880" t="n">
        <v>4518.59282</v>
      </c>
      <c r="F880" t="n">
        <v>4596.05595</v>
      </c>
      <c r="G880" t="n">
        <v>4755.40355</v>
      </c>
      <c r="H880" t="n">
        <v>4792.76972</v>
      </c>
      <c r="Q880" t="n">
        <v>4582.68134</v>
      </c>
      <c r="R880" t="n">
        <v>4612.04464</v>
      </c>
      <c r="S880" t="n">
        <v>4638.63341</v>
      </c>
      <c r="V880" t="n">
        <v>4547.74157</v>
      </c>
      <c r="W880" t="n">
        <v>4514.17657</v>
      </c>
      <c r="AB880" t="n">
        <v>4549.72842</v>
      </c>
      <c r="AC880" t="n">
        <v>4552.18228</v>
      </c>
      <c r="AD880" t="n">
        <v>0</v>
      </c>
      <c r="AK880" t="n">
        <v>878</v>
      </c>
      <c r="AL880" t="n">
        <v>877</v>
      </c>
      <c r="AM880" t="n">
        <v>4547.28</v>
      </c>
      <c r="AN880" t="n">
        <v>4582.6813</v>
      </c>
      <c r="AO880" t="n">
        <v>-35.4013</v>
      </c>
      <c r="AP880" t="n">
        <v>1253.2549</v>
      </c>
      <c r="AQ880" t="n">
        <v>-1.020645</v>
      </c>
      <c r="AR880" t="n">
        <v>1.027621</v>
      </c>
      <c r="AY880" t="n">
        <v>878</v>
      </c>
      <c r="AZ880" t="n">
        <v>877</v>
      </c>
      <c r="BA880" t="n">
        <v>4547.28</v>
      </c>
      <c r="BB880" t="n">
        <v>4582.6813</v>
      </c>
      <c r="BC880" t="n">
        <v>-35.4013</v>
      </c>
      <c r="BD880" t="n">
        <v>1253.2549</v>
      </c>
      <c r="BE880" t="n">
        <v>769129</v>
      </c>
    </row>
    <row r="881">
      <c r="A881" t="n">
        <v>1777523402</v>
      </c>
      <c r="B881" t="inlineStr">
        <is>
          <t>XAUUSD</t>
        </is>
      </c>
      <c r="C881" t="inlineStr">
        <is>
          <t>M15</t>
        </is>
      </c>
      <c r="D881" t="n">
        <v>4544.74</v>
      </c>
      <c r="E881" t="n">
        <v>4518.59282</v>
      </c>
      <c r="F881" t="n">
        <v>4596.05595</v>
      </c>
      <c r="G881" t="n">
        <v>4755.40355</v>
      </c>
      <c r="H881" t="n">
        <v>4792.76972</v>
      </c>
      <c r="Q881" t="n">
        <v>4582.41374</v>
      </c>
      <c r="R881" t="n">
        <v>4611.77704</v>
      </c>
      <c r="S881" t="n">
        <v>4638.36581</v>
      </c>
      <c r="V881" t="n">
        <v>4547.47397</v>
      </c>
      <c r="W881" t="n">
        <v>4513.90897</v>
      </c>
      <c r="AA881" t="n">
        <v>4540.82</v>
      </c>
      <c r="AB881" t="n">
        <v>4548.92114</v>
      </c>
      <c r="AC881" t="n">
        <v>4550.55171</v>
      </c>
      <c r="AD881" t="n">
        <v>0</v>
      </c>
      <c r="AK881" t="n">
        <v>879</v>
      </c>
      <c r="AL881" t="n">
        <v>878</v>
      </c>
      <c r="AM881" t="n">
        <v>4544.74</v>
      </c>
      <c r="AN881" t="n">
        <v>4582.4137</v>
      </c>
      <c r="AO881" t="n">
        <v>-37.6737</v>
      </c>
      <c r="AP881" t="n">
        <v>1419.3107</v>
      </c>
      <c r="AQ881" t="n">
        <v>-1.230076</v>
      </c>
      <c r="AR881" t="n">
        <v>1.317981</v>
      </c>
      <c r="AY881" t="n">
        <v>879</v>
      </c>
      <c r="AZ881" t="n">
        <v>878</v>
      </c>
      <c r="BA881" t="n">
        <v>4544.74</v>
      </c>
      <c r="BB881" t="n">
        <v>4582.4137</v>
      </c>
      <c r="BC881" t="n">
        <v>-37.6737</v>
      </c>
      <c r="BD881" t="n">
        <v>1419.3107</v>
      </c>
      <c r="BE881" t="n">
        <v>770884</v>
      </c>
    </row>
    <row r="882">
      <c r="A882" t="n">
        <v>1777524302</v>
      </c>
      <c r="B882" t="inlineStr">
        <is>
          <t>XAUUSD</t>
        </is>
      </c>
      <c r="C882" t="inlineStr">
        <is>
          <t>M15</t>
        </is>
      </c>
      <c r="D882" t="n">
        <v>4541.91</v>
      </c>
      <c r="E882" t="n">
        <v>4518.59282</v>
      </c>
      <c r="F882" t="n">
        <v>4596.05595</v>
      </c>
      <c r="G882" t="n">
        <v>4755.40355</v>
      </c>
      <c r="H882" t="n">
        <v>4792.76972</v>
      </c>
      <c r="Q882" t="n">
        <v>4582.14613</v>
      </c>
      <c r="R882" t="n">
        <v>4611.50943</v>
      </c>
      <c r="S882" t="n">
        <v>4638.0982</v>
      </c>
      <c r="V882" t="n">
        <v>4547.20636</v>
      </c>
      <c r="W882" t="n">
        <v>4513.64137</v>
      </c>
      <c r="AB882" t="n">
        <v>4549.3872</v>
      </c>
      <c r="AC882" t="n">
        <v>4549.96945</v>
      </c>
      <c r="AD882" t="n">
        <v>0</v>
      </c>
      <c r="AK882" t="n">
        <v>880</v>
      </c>
      <c r="AL882" t="n">
        <v>879</v>
      </c>
      <c r="AM882" t="n">
        <v>4541.91</v>
      </c>
      <c r="AN882" t="n">
        <v>4582.1461</v>
      </c>
      <c r="AO882" t="n">
        <v>-40.2361</v>
      </c>
      <c r="AP882" t="n">
        <v>1618.9462</v>
      </c>
      <c r="AQ882" t="n">
        <v>-1.498526</v>
      </c>
      <c r="AR882" t="n">
        <v>1.714822</v>
      </c>
      <c r="AY882" t="n">
        <v>880</v>
      </c>
      <c r="AZ882" t="n">
        <v>879</v>
      </c>
      <c r="BA882" t="n">
        <v>4541.91</v>
      </c>
      <c r="BB882" t="n">
        <v>4582.1461</v>
      </c>
      <c r="BC882" t="n">
        <v>-40.2361</v>
      </c>
      <c r="BD882" t="n">
        <v>1618.9462</v>
      </c>
      <c r="BE882" t="n">
        <v>772641</v>
      </c>
    </row>
    <row r="883">
      <c r="A883" t="n">
        <v>1777525202</v>
      </c>
      <c r="B883" t="inlineStr">
        <is>
          <t>XAUUSD</t>
        </is>
      </c>
      <c r="C883" t="inlineStr">
        <is>
          <t>M15</t>
        </is>
      </c>
      <c r="D883" t="n">
        <v>4553.22</v>
      </c>
      <c r="E883" t="n">
        <v>4518.59282</v>
      </c>
      <c r="F883" t="n">
        <v>4596.05595</v>
      </c>
      <c r="G883" t="n">
        <v>4755.40355</v>
      </c>
      <c r="H883" t="n">
        <v>4792.76972</v>
      </c>
      <c r="Q883" t="n">
        <v>4581.87853</v>
      </c>
      <c r="R883" t="n">
        <v>4611.24183</v>
      </c>
      <c r="S883" t="n">
        <v>4637.8306</v>
      </c>
      <c r="V883" t="n">
        <v>4546.93876</v>
      </c>
      <c r="W883" t="n">
        <v>4513.37376</v>
      </c>
      <c r="AB883" t="n">
        <v>4551.23411</v>
      </c>
      <c r="AC883" t="n">
        <v>4550.60178</v>
      </c>
      <c r="AD883" t="n">
        <v>1</v>
      </c>
      <c r="AK883" t="n">
        <v>881</v>
      </c>
      <c r="AL883" t="n">
        <v>880</v>
      </c>
      <c r="AM883" t="n">
        <v>4553.22</v>
      </c>
      <c r="AN883" t="n">
        <v>4581.8785</v>
      </c>
      <c r="AO883" t="n">
        <v>-28.6585</v>
      </c>
      <c r="AP883" t="n">
        <v>821.3113</v>
      </c>
      <c r="AQ883" t="n">
        <v>-0.541474</v>
      </c>
      <c r="AR883" t="n">
        <v>0.441336</v>
      </c>
      <c r="AY883" t="n">
        <v>881</v>
      </c>
      <c r="AZ883" t="n">
        <v>880</v>
      </c>
      <c r="BA883" t="n">
        <v>4553.22</v>
      </c>
      <c r="BB883" t="n">
        <v>4581.8785</v>
      </c>
      <c r="BC883" t="n">
        <v>-28.6585</v>
      </c>
      <c r="BD883" t="n">
        <v>821.3113</v>
      </c>
      <c r="BE883" t="n">
        <v>774400</v>
      </c>
    </row>
    <row r="884">
      <c r="A884" t="n">
        <v>1777526102</v>
      </c>
      <c r="B884" t="inlineStr">
        <is>
          <t>XAUUSD</t>
        </is>
      </c>
      <c r="C884" t="inlineStr">
        <is>
          <t>M15</t>
        </is>
      </c>
      <c r="D884" t="n">
        <v>4555.73</v>
      </c>
      <c r="E884" t="n">
        <v>4518.59282</v>
      </c>
      <c r="F884" t="n">
        <v>4596.05595</v>
      </c>
      <c r="G884" t="n">
        <v>4755.40355</v>
      </c>
      <c r="H884" t="n">
        <v>4792.76972</v>
      </c>
      <c r="Q884" t="n">
        <v>4581.61092</v>
      </c>
      <c r="R884" t="n">
        <v>4610.97422</v>
      </c>
      <c r="S884" t="n">
        <v>4637.56299</v>
      </c>
      <c r="V884" t="n">
        <v>4546.67115</v>
      </c>
      <c r="W884" t="n">
        <v>4513.10616</v>
      </c>
      <c r="AB884" t="n">
        <v>4554.10302</v>
      </c>
      <c r="AC884" t="n">
        <v>4552.3524</v>
      </c>
      <c r="AD884" t="n">
        <v>0</v>
      </c>
      <c r="AK884" t="n">
        <v>882</v>
      </c>
      <c r="AL884" t="n">
        <v>881</v>
      </c>
      <c r="AM884" t="n">
        <v>4555.73</v>
      </c>
      <c r="AN884" t="n">
        <v>4581.6109</v>
      </c>
      <c r="AO884" t="n">
        <v>-25.8809</v>
      </c>
      <c r="AP884" t="n">
        <v>669.822</v>
      </c>
      <c r="AQ884" t="n">
        <v>-0.3988</v>
      </c>
      <c r="AR884" t="n">
        <v>0.293544</v>
      </c>
      <c r="AY884" t="n">
        <v>882</v>
      </c>
      <c r="AZ884" t="n">
        <v>881</v>
      </c>
      <c r="BA884" t="n">
        <v>4555.73</v>
      </c>
      <c r="BB884" t="n">
        <v>4581.6109</v>
      </c>
      <c r="BC884" t="n">
        <v>-25.8809</v>
      </c>
      <c r="BD884" t="n">
        <v>669.822</v>
      </c>
      <c r="BE884" t="n">
        <v>776161</v>
      </c>
    </row>
    <row r="885">
      <c r="A885" t="n">
        <v>1777527002</v>
      </c>
      <c r="B885" t="inlineStr">
        <is>
          <t>XAUUSD</t>
        </is>
      </c>
      <c r="C885" t="inlineStr">
        <is>
          <t>M15</t>
        </is>
      </c>
      <c r="D885" t="n">
        <v>4564.04</v>
      </c>
      <c r="E885" t="n">
        <v>4518.59282</v>
      </c>
      <c r="F885" t="n">
        <v>4596.05595</v>
      </c>
      <c r="G885" t="n">
        <v>4755.40355</v>
      </c>
      <c r="H885" t="n">
        <v>4792.76972</v>
      </c>
      <c r="Q885" t="n">
        <v>4581.34332</v>
      </c>
      <c r="R885" t="n">
        <v>4610.70662</v>
      </c>
      <c r="S885" t="n">
        <v>4637.29539</v>
      </c>
      <c r="V885" t="n">
        <v>4546.40355</v>
      </c>
      <c r="W885" t="n">
        <v>4512.83855</v>
      </c>
      <c r="AB885" t="n">
        <v>4557.82199</v>
      </c>
      <c r="AC885" t="n">
        <v>4555.0872</v>
      </c>
      <c r="AD885" t="n">
        <v>0</v>
      </c>
      <c r="AK885" t="n">
        <v>883</v>
      </c>
      <c r="AL885" t="n">
        <v>882</v>
      </c>
      <c r="AM885" t="n">
        <v>4564.04</v>
      </c>
      <c r="AN885" t="n">
        <v>4581.3433</v>
      </c>
      <c r="AO885" t="n">
        <v>-17.3033</v>
      </c>
      <c r="AP885" t="n">
        <v>299.4049</v>
      </c>
      <c r="AQ885" t="n">
        <v>-0.11918</v>
      </c>
      <c r="AR885" t="n">
        <v>0.058651</v>
      </c>
      <c r="AY885" t="n">
        <v>883</v>
      </c>
      <c r="AZ885" t="n">
        <v>882</v>
      </c>
      <c r="BA885" t="n">
        <v>4564.04</v>
      </c>
      <c r="BB885" t="n">
        <v>4581.3433</v>
      </c>
      <c r="BC885" t="n">
        <v>-17.3033</v>
      </c>
      <c r="BD885" t="n">
        <v>299.4049</v>
      </c>
      <c r="BE885" t="n">
        <v>777924</v>
      </c>
    </row>
    <row r="886">
      <c r="A886" t="n">
        <v>1777527902</v>
      </c>
      <c r="B886" t="inlineStr">
        <is>
          <t>XAUUSD</t>
        </is>
      </c>
      <c r="C886" t="inlineStr">
        <is>
          <t>M15</t>
        </is>
      </c>
      <c r="D886" t="n">
        <v>4562.71</v>
      </c>
      <c r="E886" t="n">
        <v>4518.59282</v>
      </c>
      <c r="F886" t="n">
        <v>4596.05595</v>
      </c>
      <c r="G886" t="n">
        <v>4755.40355</v>
      </c>
      <c r="H886" t="n">
        <v>4792.76972</v>
      </c>
      <c r="Q886" t="n">
        <v>4581.07572</v>
      </c>
      <c r="R886" t="n">
        <v>4610.43902</v>
      </c>
      <c r="S886" t="n">
        <v>4637.02779</v>
      </c>
      <c r="V886" t="n">
        <v>4546.13595</v>
      </c>
      <c r="W886" t="n">
        <v>4512.57095</v>
      </c>
      <c r="AB886" t="n">
        <v>4562.10639</v>
      </c>
      <c r="AC886" t="n">
        <v>4558.59679</v>
      </c>
      <c r="AD886" t="n">
        <v>0</v>
      </c>
      <c r="AK886" t="n">
        <v>884</v>
      </c>
      <c r="AL886" t="n">
        <v>883</v>
      </c>
      <c r="AM886" t="n">
        <v>4562.71</v>
      </c>
      <c r="AN886" t="n">
        <v>4581.0757</v>
      </c>
      <c r="AO886" t="n">
        <v>-18.3657</v>
      </c>
      <c r="AP886" t="n">
        <v>337.2997</v>
      </c>
      <c r="AQ886" t="n">
        <v>-0.142508</v>
      </c>
      <c r="AR886" t="n">
        <v>0.074437</v>
      </c>
      <c r="AY886" t="n">
        <v>884</v>
      </c>
      <c r="AZ886" t="n">
        <v>883</v>
      </c>
      <c r="BA886" t="n">
        <v>4562.71</v>
      </c>
      <c r="BB886" t="n">
        <v>4581.0757</v>
      </c>
      <c r="BC886" t="n">
        <v>-18.3657</v>
      </c>
      <c r="BD886" t="n">
        <v>337.2997</v>
      </c>
      <c r="BE886" t="n">
        <v>779689</v>
      </c>
    </row>
    <row r="887">
      <c r="A887" t="n">
        <v>1777528802</v>
      </c>
      <c r="B887" t="inlineStr">
        <is>
          <t>XAUUSD</t>
        </is>
      </c>
      <c r="C887" t="inlineStr">
        <is>
          <t>M15</t>
        </is>
      </c>
      <c r="D887" t="n">
        <v>4566.21</v>
      </c>
      <c r="E887" t="n">
        <v>4518.59282</v>
      </c>
      <c r="F887" t="n">
        <v>4596.05595</v>
      </c>
      <c r="G887" t="n">
        <v>4755.40355</v>
      </c>
      <c r="H887" t="n">
        <v>4792.76972</v>
      </c>
      <c r="Q887" t="n">
        <v>4580.80811</v>
      </c>
      <c r="R887" t="n">
        <v>4610.17141</v>
      </c>
      <c r="S887" t="n">
        <v>4636.76018</v>
      </c>
      <c r="V887" t="n">
        <v>4545.86834</v>
      </c>
      <c r="W887" t="n">
        <v>4512.30335</v>
      </c>
      <c r="AB887" t="n">
        <v>4566.99173</v>
      </c>
      <c r="AC887" t="n">
        <v>4562.79426</v>
      </c>
      <c r="AD887" t="n">
        <v>0</v>
      </c>
      <c r="AK887" t="n">
        <v>885</v>
      </c>
      <c r="AL887" t="n">
        <v>884</v>
      </c>
      <c r="AM887" t="n">
        <v>4566.21</v>
      </c>
      <c r="AN887" t="n">
        <v>4580.8081</v>
      </c>
      <c r="AO887" t="n">
        <v>-14.5981</v>
      </c>
      <c r="AP887" t="n">
        <v>213.1048</v>
      </c>
      <c r="AQ887" t="n">
        <v>-0.071566</v>
      </c>
      <c r="AR887" t="n">
        <v>0.029713</v>
      </c>
      <c r="AY887" t="n">
        <v>885</v>
      </c>
      <c r="AZ887" t="n">
        <v>884</v>
      </c>
      <c r="BA887" t="n">
        <v>4566.21</v>
      </c>
      <c r="BB887" t="n">
        <v>4580.8081</v>
      </c>
      <c r="BC887" t="n">
        <v>-14.5981</v>
      </c>
      <c r="BD887" t="n">
        <v>213.1048</v>
      </c>
      <c r="BE887" t="n">
        <v>781456</v>
      </c>
    </row>
    <row r="888">
      <c r="A888" t="n">
        <v>1777529702</v>
      </c>
      <c r="B888" t="inlineStr">
        <is>
          <t>XAUUSD</t>
        </is>
      </c>
      <c r="C888" t="inlineStr">
        <is>
          <t>M15</t>
        </is>
      </c>
      <c r="D888" t="n">
        <v>4569.57</v>
      </c>
      <c r="E888" t="n">
        <v>4518.59282</v>
      </c>
      <c r="F888" t="n">
        <v>4596.05595</v>
      </c>
      <c r="G888" t="n">
        <v>4755.40355</v>
      </c>
      <c r="H888" t="n">
        <v>4792.76972</v>
      </c>
      <c r="Q888" t="n">
        <v>4580.54051</v>
      </c>
      <c r="R888" t="n">
        <v>4609.90381</v>
      </c>
      <c r="S888" t="n">
        <v>4636.49258</v>
      </c>
      <c r="V888" t="n">
        <v>4545.60074</v>
      </c>
      <c r="W888" t="n">
        <v>4512.03574</v>
      </c>
      <c r="AB888" t="n">
        <v>4572.40065</v>
      </c>
      <c r="AC888" t="n">
        <v>4567.59745</v>
      </c>
      <c r="AD888" t="n">
        <v>0</v>
      </c>
      <c r="AK888" t="n">
        <v>886</v>
      </c>
      <c r="AL888" t="n">
        <v>885</v>
      </c>
      <c r="AM888" t="n">
        <v>4569.57</v>
      </c>
      <c r="AN888" t="n">
        <v>4580.5405</v>
      </c>
      <c r="AO888" t="n">
        <v>-10.9705</v>
      </c>
      <c r="AP888" t="n">
        <v>120.3521</v>
      </c>
      <c r="AQ888" t="n">
        <v>-0.030374</v>
      </c>
      <c r="AR888" t="n">
        <v>0.009476999999999999</v>
      </c>
      <c r="AY888" t="n">
        <v>886</v>
      </c>
      <c r="AZ888" t="n">
        <v>885</v>
      </c>
      <c r="BA888" t="n">
        <v>4569.57</v>
      </c>
      <c r="BB888" t="n">
        <v>4580.5405</v>
      </c>
      <c r="BC888" t="n">
        <v>-10.9705</v>
      </c>
      <c r="BD888" t="n">
        <v>120.3521</v>
      </c>
      <c r="BE888" t="n">
        <v>783225</v>
      </c>
    </row>
    <row r="889">
      <c r="A889" t="n">
        <v>1777530602</v>
      </c>
      <c r="B889" t="inlineStr">
        <is>
          <t>XAUUSD</t>
        </is>
      </c>
      <c r="C889" t="inlineStr">
        <is>
          <t>M15</t>
        </is>
      </c>
      <c r="D889" t="n">
        <v>4575.23</v>
      </c>
      <c r="E889" t="n">
        <v>4518.59282</v>
      </c>
      <c r="F889" t="n">
        <v>4596.05595</v>
      </c>
      <c r="G889" t="n">
        <v>4755.40355</v>
      </c>
      <c r="H889" t="n">
        <v>4792.76972</v>
      </c>
      <c r="Q889" t="n">
        <v>4580.2729</v>
      </c>
      <c r="R889" t="n">
        <v>4609.6362</v>
      </c>
      <c r="S889" t="n">
        <v>4636.22497</v>
      </c>
      <c r="V889" t="n">
        <v>4545.33313</v>
      </c>
      <c r="W889" t="n">
        <v>4511.76814</v>
      </c>
      <c r="AB889" t="n">
        <v>4578.23145</v>
      </c>
      <c r="AC889" t="n">
        <v>4572.91445</v>
      </c>
      <c r="AD889" t="n">
        <v>0</v>
      </c>
      <c r="AK889" t="n">
        <v>887</v>
      </c>
      <c r="AL889" t="n">
        <v>886</v>
      </c>
      <c r="AM889" t="n">
        <v>4575.23</v>
      </c>
      <c r="AN889" t="n">
        <v>4580.2729</v>
      </c>
      <c r="AO889" t="n">
        <v>-5.0429</v>
      </c>
      <c r="AP889" t="n">
        <v>25.4308</v>
      </c>
      <c r="AQ889" t="n">
        <v>-0.00295</v>
      </c>
      <c r="AR889" t="n">
        <v>0.000423</v>
      </c>
      <c r="AY889" t="n">
        <v>887</v>
      </c>
      <c r="AZ889" t="n">
        <v>886</v>
      </c>
      <c r="BA889" t="n">
        <v>4575.23</v>
      </c>
      <c r="BB889" t="n">
        <v>4580.2729</v>
      </c>
      <c r="BC889" t="n">
        <v>-5.0429</v>
      </c>
      <c r="BD889" t="n">
        <v>25.4308</v>
      </c>
      <c r="BE889" t="n">
        <v>784996</v>
      </c>
    </row>
    <row r="890">
      <c r="A890" t="n">
        <v>1777531502</v>
      </c>
      <c r="B890" t="inlineStr">
        <is>
          <t>XAUUSD</t>
        </is>
      </c>
      <c r="C890" t="inlineStr">
        <is>
          <t>M15</t>
        </is>
      </c>
      <c r="D890" t="n">
        <v>4589.44</v>
      </c>
      <c r="E890" t="n">
        <v>4518.59282</v>
      </c>
      <c r="F890" t="n">
        <v>4596.05595</v>
      </c>
      <c r="G890" t="n">
        <v>4755.40355</v>
      </c>
      <c r="H890" t="n">
        <v>4792.76972</v>
      </c>
      <c r="Q890" t="n">
        <v>4580.0053</v>
      </c>
      <c r="R890" t="n">
        <v>4609.3686</v>
      </c>
      <c r="S890" t="n">
        <v>4635.95737</v>
      </c>
      <c r="V890" t="n">
        <v>4545.06553</v>
      </c>
      <c r="W890" t="n">
        <v>4511.50053</v>
      </c>
      <c r="AB890" t="n">
        <v>4584.24007</v>
      </c>
      <c r="AC890" t="n">
        <v>4578.57726</v>
      </c>
      <c r="AD890" t="n">
        <v>0</v>
      </c>
      <c r="AK890" t="n">
        <v>888</v>
      </c>
      <c r="AL890" t="n">
        <v>887</v>
      </c>
      <c r="AM890" t="n">
        <v>4589.44</v>
      </c>
      <c r="AN890" t="n">
        <v>4580.0053</v>
      </c>
      <c r="AO890" t="n">
        <v>9.434699999999999</v>
      </c>
      <c r="AP890" t="n">
        <v>89.0136</v>
      </c>
      <c r="AQ890" t="n">
        <v>0.01932</v>
      </c>
      <c r="AR890" t="n">
        <v>0.005184</v>
      </c>
      <c r="AY890" t="n">
        <v>888</v>
      </c>
      <c r="AZ890" t="n">
        <v>887</v>
      </c>
      <c r="BA890" t="n">
        <v>4589.44</v>
      </c>
      <c r="BB890" t="n">
        <v>4580.0053</v>
      </c>
      <c r="BC890" t="n">
        <v>9.434699999999999</v>
      </c>
      <c r="BD890" t="n">
        <v>89.0136</v>
      </c>
      <c r="BE890" t="n">
        <v>786769</v>
      </c>
    </row>
    <row r="891">
      <c r="A891" t="n">
        <v>1777532402</v>
      </c>
      <c r="B891" t="inlineStr">
        <is>
          <t>XAUUSD</t>
        </is>
      </c>
      <c r="C891" t="inlineStr">
        <is>
          <t>M15</t>
        </is>
      </c>
      <c r="D891" t="n">
        <v>4591.59</v>
      </c>
      <c r="E891" t="n">
        <v>4518.59282</v>
      </c>
      <c r="F891" t="n">
        <v>4596.05595</v>
      </c>
      <c r="G891" t="n">
        <v>4755.40355</v>
      </c>
      <c r="H891" t="n">
        <v>4792.76972</v>
      </c>
      <c r="Q891" t="n">
        <v>4579.7377</v>
      </c>
      <c r="R891" t="n">
        <v>4609.10099</v>
      </c>
      <c r="S891" t="n">
        <v>4635.68977</v>
      </c>
      <c r="V891" t="n">
        <v>4544.79793</v>
      </c>
      <c r="W891" t="n">
        <v>4511.23293</v>
      </c>
      <c r="AB891" t="n">
        <v>4589.9598</v>
      </c>
      <c r="AC891" t="n">
        <v>4584.26853</v>
      </c>
      <c r="AD891" t="n">
        <v>0</v>
      </c>
      <c r="AK891" t="n">
        <v>889</v>
      </c>
      <c r="AL891" t="n">
        <v>888</v>
      </c>
      <c r="AM891" t="n">
        <v>4591.59</v>
      </c>
      <c r="AN891" t="n">
        <v>4579.7377</v>
      </c>
      <c r="AO891" t="n">
        <v>11.8523</v>
      </c>
      <c r="AP891" t="n">
        <v>140.477</v>
      </c>
      <c r="AQ891" t="n">
        <v>0.038302</v>
      </c>
      <c r="AR891" t="n">
        <v>0.012911</v>
      </c>
      <c r="AY891" t="n">
        <v>889</v>
      </c>
      <c r="AZ891" t="n">
        <v>888</v>
      </c>
      <c r="BA891" t="n">
        <v>4591.59</v>
      </c>
      <c r="BB891" t="n">
        <v>4579.7377</v>
      </c>
      <c r="BC891" t="n">
        <v>11.8523</v>
      </c>
      <c r="BD891" t="n">
        <v>140.477</v>
      </c>
      <c r="BE891" t="n">
        <v>788544</v>
      </c>
    </row>
    <row r="892">
      <c r="A892" t="n">
        <v>1777533302</v>
      </c>
      <c r="B892" t="inlineStr">
        <is>
          <t>XAUUSD</t>
        </is>
      </c>
      <c r="C892" t="inlineStr">
        <is>
          <t>M15</t>
        </is>
      </c>
      <c r="D892" t="n">
        <v>4591.59</v>
      </c>
      <c r="E892" t="n">
        <v>4518.59282</v>
      </c>
      <c r="F892" t="n">
        <v>4596.05595</v>
      </c>
      <c r="G892" t="n">
        <v>4755.40355</v>
      </c>
      <c r="H892" t="n">
        <v>4792.76972</v>
      </c>
      <c r="Q892" t="n">
        <v>4579.47009</v>
      </c>
      <c r="R892" t="n">
        <v>4608.83339</v>
      </c>
      <c r="S892" t="n">
        <v>4635.42216</v>
      </c>
      <c r="V892" t="n">
        <v>4544.53032</v>
      </c>
      <c r="W892" t="n">
        <v>4510.96533</v>
      </c>
      <c r="AB892" t="n">
        <v>4595.30501</v>
      </c>
      <c r="AC892" t="n">
        <v>4589.78677</v>
      </c>
      <c r="AD892" t="n">
        <v>0</v>
      </c>
      <c r="AK892" t="n">
        <v>890</v>
      </c>
      <c r="AL892" t="n">
        <v>889</v>
      </c>
      <c r="AM892" t="n">
        <v>4591.59</v>
      </c>
      <c r="AN892" t="n">
        <v>4579.4701</v>
      </c>
      <c r="AO892" t="n">
        <v>12.1199</v>
      </c>
      <c r="AP892" t="n">
        <v>146.8922</v>
      </c>
      <c r="AQ892" t="n">
        <v>0.040956</v>
      </c>
      <c r="AR892" t="n">
        <v>0.014117</v>
      </c>
      <c r="AY892" t="n">
        <v>890</v>
      </c>
      <c r="AZ892" t="n">
        <v>889</v>
      </c>
      <c r="BA892" t="n">
        <v>4591.59</v>
      </c>
      <c r="BB892" t="n">
        <v>4579.4701</v>
      </c>
      <c r="BC892" t="n">
        <v>12.1199</v>
      </c>
      <c r="BD892" t="n">
        <v>146.8922</v>
      </c>
      <c r="BE892" t="n">
        <v>790321</v>
      </c>
    </row>
    <row r="893">
      <c r="A893" t="n">
        <v>1777534202</v>
      </c>
      <c r="B893" t="inlineStr">
        <is>
          <t>XAUUSD</t>
        </is>
      </c>
      <c r="C893" t="inlineStr">
        <is>
          <t>M15</t>
        </is>
      </c>
      <c r="D893" t="n">
        <v>4596.69</v>
      </c>
      <c r="E893" t="n">
        <v>4518.59282</v>
      </c>
      <c r="F893" t="n">
        <v>4596.05595</v>
      </c>
      <c r="G893" t="n">
        <v>4755.40355</v>
      </c>
      <c r="H893" t="n">
        <v>4792.76972</v>
      </c>
      <c r="Q893" t="n">
        <v>4579.20249</v>
      </c>
      <c r="R893" t="n">
        <v>4608.56579</v>
      </c>
      <c r="S893" t="n">
        <v>4635.15456</v>
      </c>
      <c r="V893" t="n">
        <v>4544.26272</v>
      </c>
      <c r="W893" t="n">
        <v>4510.69772</v>
      </c>
      <c r="AB893" t="n">
        <v>4600.28116</v>
      </c>
      <c r="AC893" t="n">
        <v>4595.03396</v>
      </c>
      <c r="AD893" t="n">
        <v>0</v>
      </c>
      <c r="AK893" t="n">
        <v>891</v>
      </c>
      <c r="AL893" t="n">
        <v>890</v>
      </c>
      <c r="AM893" t="n">
        <v>4596.69</v>
      </c>
      <c r="AN893" t="n">
        <v>4579.2025</v>
      </c>
      <c r="AO893" t="n">
        <v>17.4875</v>
      </c>
      <c r="AP893" t="n">
        <v>305.813</v>
      </c>
      <c r="AQ893" t="n">
        <v>0.123027</v>
      </c>
      <c r="AR893" t="n">
        <v>0.061188</v>
      </c>
      <c r="AY893" t="n">
        <v>891</v>
      </c>
      <c r="AZ893" t="n">
        <v>890</v>
      </c>
      <c r="BA893" t="n">
        <v>4596.69</v>
      </c>
      <c r="BB893" t="n">
        <v>4579.2025</v>
      </c>
      <c r="BC893" t="n">
        <v>17.4875</v>
      </c>
      <c r="BD893" t="n">
        <v>305.813</v>
      </c>
      <c r="BE893" t="n">
        <v>792100</v>
      </c>
    </row>
    <row r="894">
      <c r="A894" t="n">
        <v>1777535102</v>
      </c>
      <c r="B894" t="inlineStr">
        <is>
          <t>XAUUSD</t>
        </is>
      </c>
      <c r="C894" t="inlineStr">
        <is>
          <t>M15</t>
        </is>
      </c>
      <c r="D894" t="n">
        <v>4598.44</v>
      </c>
      <c r="E894" t="n">
        <v>4518.59282</v>
      </c>
      <c r="F894" t="n">
        <v>4596.05595</v>
      </c>
      <c r="G894" t="n">
        <v>4755.40355</v>
      </c>
      <c r="H894" t="n">
        <v>4792.76972</v>
      </c>
      <c r="Q894" t="n">
        <v>4578.93488</v>
      </c>
      <c r="R894" t="n">
        <v>4608.29818</v>
      </c>
      <c r="S894" t="n">
        <v>4634.88695</v>
      </c>
      <c r="V894" t="n">
        <v>4543.99511</v>
      </c>
      <c r="W894" t="n">
        <v>4510.43012</v>
      </c>
      <c r="AB894" t="n">
        <v>4604.81754</v>
      </c>
      <c r="AC894" t="n">
        <v>4599.92575</v>
      </c>
      <c r="AD894" t="n">
        <v>0</v>
      </c>
      <c r="AK894" t="n">
        <v>892</v>
      </c>
      <c r="AL894" t="n">
        <v>891</v>
      </c>
      <c r="AM894" t="n">
        <v>4598.44</v>
      </c>
      <c r="AN894" t="n">
        <v>4578.9349</v>
      </c>
      <c r="AO894" t="n">
        <v>19.5051</v>
      </c>
      <c r="AP894" t="n">
        <v>380.4497</v>
      </c>
      <c r="AQ894" t="n">
        <v>0.170711</v>
      </c>
      <c r="AR894" t="n">
        <v>0.09470000000000001</v>
      </c>
      <c r="AY894" t="n">
        <v>892</v>
      </c>
      <c r="AZ894" t="n">
        <v>891</v>
      </c>
      <c r="BA894" t="n">
        <v>4598.44</v>
      </c>
      <c r="BB894" t="n">
        <v>4578.9349</v>
      </c>
      <c r="BC894" t="n">
        <v>19.5051</v>
      </c>
      <c r="BD894" t="n">
        <v>380.4497</v>
      </c>
      <c r="BE894" t="n">
        <v>793881</v>
      </c>
    </row>
    <row r="895">
      <c r="A895" t="n">
        <v>1777536002</v>
      </c>
      <c r="B895" t="inlineStr">
        <is>
          <t>XAUUSD</t>
        </is>
      </c>
      <c r="C895" t="inlineStr">
        <is>
          <t>M15</t>
        </is>
      </c>
      <c r="D895" t="n">
        <v>4618.7</v>
      </c>
      <c r="E895" t="n">
        <v>4518.59282</v>
      </c>
      <c r="F895" t="n">
        <v>4596.05595</v>
      </c>
      <c r="G895" t="n">
        <v>4755.40355</v>
      </c>
      <c r="H895" t="n">
        <v>4792.76972</v>
      </c>
      <c r="Q895" t="n">
        <v>4578.66728</v>
      </c>
      <c r="R895" t="n">
        <v>4608.03058</v>
      </c>
      <c r="S895" t="n">
        <v>4634.61935</v>
      </c>
      <c r="V895" t="n">
        <v>4543.72751</v>
      </c>
      <c r="W895" t="n">
        <v>4510.16251</v>
      </c>
      <c r="AB895" t="n">
        <v>4608.94986</v>
      </c>
      <c r="AC895" t="n">
        <v>4604.43781</v>
      </c>
      <c r="AD895" t="n">
        <v>0</v>
      </c>
      <c r="AK895" t="n">
        <v>893</v>
      </c>
      <c r="AL895" t="n">
        <v>892</v>
      </c>
      <c r="AM895" t="n">
        <v>4618.7</v>
      </c>
      <c r="AN895" t="n">
        <v>4578.6673</v>
      </c>
      <c r="AO895" t="n">
        <v>40.0327</v>
      </c>
      <c r="AP895" t="n">
        <v>1602.6187</v>
      </c>
      <c r="AQ895" t="n">
        <v>1.475913</v>
      </c>
      <c r="AR895" t="n">
        <v>1.680407</v>
      </c>
      <c r="AY895" t="n">
        <v>893</v>
      </c>
      <c r="AZ895" t="n">
        <v>892</v>
      </c>
      <c r="BA895" t="n">
        <v>4618.7</v>
      </c>
      <c r="BB895" t="n">
        <v>4578.6673</v>
      </c>
      <c r="BC895" t="n">
        <v>40.0327</v>
      </c>
      <c r="BD895" t="n">
        <v>1602.6187</v>
      </c>
      <c r="BE895" t="n">
        <v>795664</v>
      </c>
    </row>
    <row r="896">
      <c r="A896" t="n">
        <v>1777536902</v>
      </c>
      <c r="B896" t="inlineStr">
        <is>
          <t>XAUUSD</t>
        </is>
      </c>
      <c r="C896" t="inlineStr">
        <is>
          <t>M15</t>
        </is>
      </c>
      <c r="D896" t="n">
        <v>4617.35</v>
      </c>
      <c r="E896" t="n">
        <v>4518.59282</v>
      </c>
      <c r="F896" t="n">
        <v>4596.05595</v>
      </c>
      <c r="G896" t="n">
        <v>4755.40355</v>
      </c>
      <c r="H896" t="n">
        <v>4792.76972</v>
      </c>
      <c r="Q896" t="n">
        <v>4578.39968</v>
      </c>
      <c r="R896" t="n">
        <v>4607.76297</v>
      </c>
      <c r="S896" t="n">
        <v>4634.35175</v>
      </c>
      <c r="V896" t="n">
        <v>4543.45991</v>
      </c>
      <c r="W896" t="n">
        <v>4509.89491</v>
      </c>
      <c r="AB896" t="n">
        <v>4612.27662</v>
      </c>
      <c r="AC896" t="n">
        <v>4608.35721</v>
      </c>
      <c r="AD896" t="n">
        <v>0</v>
      </c>
      <c r="AK896" t="n">
        <v>894</v>
      </c>
      <c r="AL896" t="n">
        <v>893</v>
      </c>
      <c r="AM896" t="n">
        <v>4617.35</v>
      </c>
      <c r="AN896" t="n">
        <v>4578.3997</v>
      </c>
      <c r="AO896" t="n">
        <v>38.9503</v>
      </c>
      <c r="AP896" t="n">
        <v>1517.1274</v>
      </c>
      <c r="AQ896" t="n">
        <v>1.359404</v>
      </c>
      <c r="AR896" t="n">
        <v>1.505907</v>
      </c>
      <c r="AY896" t="n">
        <v>894</v>
      </c>
      <c r="AZ896" t="n">
        <v>893</v>
      </c>
      <c r="BA896" t="n">
        <v>4617.35</v>
      </c>
      <c r="BB896" t="n">
        <v>4578.3997</v>
      </c>
      <c r="BC896" t="n">
        <v>38.9503</v>
      </c>
      <c r="BD896" t="n">
        <v>1517.1274</v>
      </c>
      <c r="BE896" t="n">
        <v>797449</v>
      </c>
    </row>
    <row r="897">
      <c r="A897" t="n">
        <v>1777537802</v>
      </c>
      <c r="B897" t="inlineStr">
        <is>
          <t>XAUUSD</t>
        </is>
      </c>
      <c r="C897" t="inlineStr">
        <is>
          <t>M15</t>
        </is>
      </c>
      <c r="D897" t="n">
        <v>4614.82</v>
      </c>
      <c r="E897" t="n">
        <v>4518.59282</v>
      </c>
      <c r="F897" t="n">
        <v>4596.05595</v>
      </c>
      <c r="G897" t="n">
        <v>4755.40355</v>
      </c>
      <c r="H897" t="n">
        <v>4792.76972</v>
      </c>
      <c r="Q897" t="n">
        <v>4578.13207</v>
      </c>
      <c r="R897" t="n">
        <v>4607.49537</v>
      </c>
      <c r="S897" t="n">
        <v>4634.08414</v>
      </c>
      <c r="V897" t="n">
        <v>4543.1923</v>
      </c>
      <c r="W897" t="n">
        <v>4509.6273</v>
      </c>
      <c r="AB897" t="n">
        <v>4615.05883</v>
      </c>
      <c r="AC897" t="n">
        <v>4611.70802</v>
      </c>
      <c r="AD897" t="n">
        <v>0</v>
      </c>
      <c r="AK897" t="n">
        <v>895</v>
      </c>
      <c r="AL897" t="n">
        <v>894</v>
      </c>
      <c r="AM897" t="n">
        <v>4614.82</v>
      </c>
      <c r="AN897" t="n">
        <v>4578.1321</v>
      </c>
      <c r="AO897" t="n">
        <v>36.6879</v>
      </c>
      <c r="AP897" t="n">
        <v>1346.0042</v>
      </c>
      <c r="AQ897" t="n">
        <v>1.136018</v>
      </c>
      <c r="AR897" t="n">
        <v>1.185351</v>
      </c>
      <c r="AY897" t="n">
        <v>895</v>
      </c>
      <c r="AZ897" t="n">
        <v>894</v>
      </c>
      <c r="BA897" t="n">
        <v>4614.82</v>
      </c>
      <c r="BB897" t="n">
        <v>4578.1321</v>
      </c>
      <c r="BC897" t="n">
        <v>36.6879</v>
      </c>
      <c r="BD897" t="n">
        <v>1346.0042</v>
      </c>
      <c r="BE897" t="n">
        <v>799236</v>
      </c>
    </row>
    <row r="898">
      <c r="A898" t="n">
        <v>1777538702</v>
      </c>
      <c r="B898" t="inlineStr">
        <is>
          <t>XAUUSD</t>
        </is>
      </c>
      <c r="C898" t="inlineStr">
        <is>
          <t>M15</t>
        </is>
      </c>
      <c r="D898" t="n">
        <v>4616</v>
      </c>
      <c r="E898" t="n">
        <v>4518.59282</v>
      </c>
      <c r="F898" t="n">
        <v>4596.05595</v>
      </c>
      <c r="G898" t="n">
        <v>4755.40355</v>
      </c>
      <c r="H898" t="n">
        <v>4792.76972</v>
      </c>
      <c r="Q898" t="n">
        <v>4577.86447</v>
      </c>
      <c r="R898" t="n">
        <v>4607.22777</v>
      </c>
      <c r="S898" t="n">
        <v>4633.81654</v>
      </c>
      <c r="V898" t="n">
        <v>4542.9247</v>
      </c>
      <c r="W898" t="n">
        <v>4509.3597</v>
      </c>
      <c r="AB898" t="n">
        <v>4617.65134</v>
      </c>
      <c r="AC898" t="n">
        <v>4614.67968</v>
      </c>
      <c r="AD898" t="n">
        <v>0</v>
      </c>
      <c r="AK898" t="n">
        <v>896</v>
      </c>
      <c r="AL898" t="n">
        <v>895</v>
      </c>
      <c r="AM898" t="n">
        <v>4616</v>
      </c>
      <c r="AN898" t="n">
        <v>4577.8645</v>
      </c>
      <c r="AO898" t="n">
        <v>38.1355</v>
      </c>
      <c r="AP898" t="n">
        <v>1454.3186</v>
      </c>
      <c r="AQ898" t="n">
        <v>1.275866</v>
      </c>
      <c r="AR898" t="n">
        <v>1.3838</v>
      </c>
      <c r="AY898" t="n">
        <v>896</v>
      </c>
      <c r="AZ898" t="n">
        <v>895</v>
      </c>
      <c r="BA898" t="n">
        <v>4616</v>
      </c>
      <c r="BB898" t="n">
        <v>4577.8645</v>
      </c>
      <c r="BC898" t="n">
        <v>38.1355</v>
      </c>
      <c r="BD898" t="n">
        <v>1454.3186</v>
      </c>
      <c r="BE898" t="n">
        <v>801025</v>
      </c>
    </row>
    <row r="899">
      <c r="A899" t="n">
        <v>1777539602</v>
      </c>
      <c r="B899" t="inlineStr">
        <is>
          <t>XAUUSD</t>
        </is>
      </c>
      <c r="C899" t="inlineStr">
        <is>
          <t>M15</t>
        </is>
      </c>
      <c r="D899" t="n">
        <v>4618.96</v>
      </c>
      <c r="E899" t="n">
        <v>4518.59282</v>
      </c>
      <c r="F899" t="n">
        <v>4596.05595</v>
      </c>
      <c r="G899" t="n">
        <v>4755.40355</v>
      </c>
      <c r="H899" t="n">
        <v>4792.76972</v>
      </c>
      <c r="Q899" t="n">
        <v>4577.59686</v>
      </c>
      <c r="R899" t="n">
        <v>4606.96016</v>
      </c>
      <c r="S899" t="n">
        <v>4633.54893</v>
      </c>
      <c r="V899" t="n">
        <v>4542.65709</v>
      </c>
      <c r="W899" t="n">
        <v>4509.0921</v>
      </c>
      <c r="AB899" t="n">
        <v>4620.25437</v>
      </c>
      <c r="AC899" t="n">
        <v>4617.46703</v>
      </c>
      <c r="AD899" t="n">
        <v>0</v>
      </c>
      <c r="AK899" t="n">
        <v>897</v>
      </c>
      <c r="AL899" t="n">
        <v>896</v>
      </c>
      <c r="AM899" t="n">
        <v>4618.96</v>
      </c>
      <c r="AN899" t="n">
        <v>4577.5969</v>
      </c>
      <c r="AO899" t="n">
        <v>41.3631</v>
      </c>
      <c r="AP899" t="n">
        <v>1710.9094</v>
      </c>
      <c r="AQ899" t="n">
        <v>1.628006</v>
      </c>
      <c r="AR899" t="n">
        <v>1.915173</v>
      </c>
      <c r="AY899" t="n">
        <v>897</v>
      </c>
      <c r="AZ899" t="n">
        <v>896</v>
      </c>
      <c r="BA899" t="n">
        <v>4618.96</v>
      </c>
      <c r="BB899" t="n">
        <v>4577.5969</v>
      </c>
      <c r="BC899" t="n">
        <v>41.3631</v>
      </c>
      <c r="BD899" t="n">
        <v>1710.9094</v>
      </c>
      <c r="BE899" t="n">
        <v>802816</v>
      </c>
    </row>
    <row r="900">
      <c r="A900" t="n">
        <v>1777540502</v>
      </c>
      <c r="B900" t="inlineStr">
        <is>
          <t>XAUUSD</t>
        </is>
      </c>
      <c r="C900" t="inlineStr">
        <is>
          <t>M15</t>
        </is>
      </c>
      <c r="D900" t="n">
        <v>4625.41</v>
      </c>
      <c r="E900" t="n">
        <v>4518.59282</v>
      </c>
      <c r="F900" t="n">
        <v>4596.05595</v>
      </c>
      <c r="G900" t="n">
        <v>4755.40355</v>
      </c>
      <c r="H900" t="n">
        <v>4792.76972</v>
      </c>
      <c r="Q900" t="n">
        <v>4577.32926</v>
      </c>
      <c r="R900" t="n">
        <v>4606.69256</v>
      </c>
      <c r="S900" t="n">
        <v>4633.28133</v>
      </c>
      <c r="V900" t="n">
        <v>4542.38949</v>
      </c>
      <c r="W900" t="n">
        <v>4508.82449</v>
      </c>
      <c r="AB900" t="n">
        <v>4622.95448</v>
      </c>
      <c r="AC900" t="n">
        <v>4620.21075</v>
      </c>
      <c r="AD900" t="n">
        <v>0</v>
      </c>
      <c r="AK900" t="n">
        <v>898</v>
      </c>
      <c r="AL900" t="n">
        <v>897</v>
      </c>
      <c r="AM900" t="n">
        <v>4625.41</v>
      </c>
      <c r="AN900" t="n">
        <v>4577.3293</v>
      </c>
      <c r="AO900" t="n">
        <v>48.0807</v>
      </c>
      <c r="AP900" t="n">
        <v>2311.7576</v>
      </c>
      <c r="AQ900" t="n">
        <v>2.55699</v>
      </c>
      <c r="AR900" t="n">
        <v>3.496541</v>
      </c>
      <c r="AY900" t="n">
        <v>898</v>
      </c>
      <c r="AZ900" t="n">
        <v>897</v>
      </c>
      <c r="BA900" t="n">
        <v>4625.41</v>
      </c>
      <c r="BB900" t="n">
        <v>4577.3293</v>
      </c>
      <c r="BC900" t="n">
        <v>48.0807</v>
      </c>
      <c r="BD900" t="n">
        <v>2311.7576</v>
      </c>
      <c r="BE900" t="n">
        <v>804609</v>
      </c>
    </row>
    <row r="901">
      <c r="A901" t="n">
        <v>1777541402</v>
      </c>
      <c r="B901" t="inlineStr">
        <is>
          <t>XAUUSD</t>
        </is>
      </c>
      <c r="C901" t="inlineStr">
        <is>
          <t>M15</t>
        </is>
      </c>
      <c r="D901" t="n">
        <v>4619.35</v>
      </c>
      <c r="E901" t="n">
        <v>4518.59282</v>
      </c>
      <c r="F901" t="n">
        <v>4596.05595</v>
      </c>
      <c r="G901" t="n">
        <v>4755.40355</v>
      </c>
      <c r="H901" t="n">
        <v>4792.76972</v>
      </c>
      <c r="Q901" t="n">
        <v>4577.06166</v>
      </c>
      <c r="R901" t="n">
        <v>4606.42495</v>
      </c>
      <c r="S901" t="n">
        <v>4633.01372</v>
      </c>
      <c r="V901" t="n">
        <v>4542.12188</v>
      </c>
      <c r="W901" t="n">
        <v>4508.55689</v>
      </c>
      <c r="AB901" t="n">
        <v>4625.64644</v>
      </c>
      <c r="AC901" t="n">
        <v>4622.9286</v>
      </c>
      <c r="AD901" t="n">
        <v>0</v>
      </c>
      <c r="AK901" t="n">
        <v>899</v>
      </c>
      <c r="AL901" t="n">
        <v>898</v>
      </c>
      <c r="AM901" t="n">
        <v>4619.35</v>
      </c>
      <c r="AN901" t="n">
        <v>4577.0617</v>
      </c>
      <c r="AO901" t="n">
        <v>42.2883</v>
      </c>
      <c r="AP901" t="n">
        <v>1788.3037</v>
      </c>
      <c r="AQ901" t="n">
        <v>1.739713</v>
      </c>
      <c r="AR901" t="n">
        <v>2.092361</v>
      </c>
      <c r="AY901" t="n">
        <v>899</v>
      </c>
      <c r="AZ901" t="n">
        <v>898</v>
      </c>
      <c r="BA901" t="n">
        <v>4619.35</v>
      </c>
      <c r="BB901" t="n">
        <v>4577.0617</v>
      </c>
      <c r="BC901" t="n">
        <v>42.2883</v>
      </c>
      <c r="BD901" t="n">
        <v>1788.3037</v>
      </c>
      <c r="BE901" t="n">
        <v>806404</v>
      </c>
    </row>
    <row r="902">
      <c r="A902" t="n">
        <v>1777542302</v>
      </c>
      <c r="B902" t="inlineStr">
        <is>
          <t>XAUUSD</t>
        </is>
      </c>
      <c r="C902" t="inlineStr">
        <is>
          <t>M15</t>
        </is>
      </c>
      <c r="D902" t="n">
        <v>4624.91</v>
      </c>
      <c r="E902" t="n">
        <v>4518.59282</v>
      </c>
      <c r="F902" t="n">
        <v>4596.05595</v>
      </c>
      <c r="G902" t="n">
        <v>4755.40355</v>
      </c>
      <c r="H902" t="n">
        <v>4792.76972</v>
      </c>
      <c r="Q902" t="n">
        <v>4576.79405</v>
      </c>
      <c r="R902" t="n">
        <v>4606.15735</v>
      </c>
      <c r="S902" t="n">
        <v>4632.74612</v>
      </c>
      <c r="V902" t="n">
        <v>4541.85428</v>
      </c>
      <c r="W902" t="n">
        <v>4508.28928</v>
      </c>
      <c r="AB902" t="n">
        <v>4628.46791</v>
      </c>
      <c r="AC902" t="n">
        <v>4625.69825</v>
      </c>
      <c r="AD902" t="n">
        <v>0</v>
      </c>
      <c r="AK902" t="n">
        <v>900</v>
      </c>
      <c r="AL902" t="n">
        <v>899</v>
      </c>
      <c r="AM902" t="n">
        <v>4624.91</v>
      </c>
      <c r="AN902" t="n">
        <v>4576.7941</v>
      </c>
      <c r="AO902" t="n">
        <v>48.1159</v>
      </c>
      <c r="AP902" t="n">
        <v>2315.1446</v>
      </c>
      <c r="AQ902" t="n">
        <v>2.562612</v>
      </c>
      <c r="AR902" t="n">
        <v>3.506795</v>
      </c>
      <c r="AY902" t="n">
        <v>900</v>
      </c>
      <c r="AZ902" t="n">
        <v>899</v>
      </c>
      <c r="BA902" t="n">
        <v>4624.91</v>
      </c>
      <c r="BB902" t="n">
        <v>4576.7941</v>
      </c>
      <c r="BC902" t="n">
        <v>48.1159</v>
      </c>
      <c r="BD902" t="n">
        <v>2315.1446</v>
      </c>
      <c r="BE902" t="n">
        <v>808201</v>
      </c>
    </row>
    <row r="903">
      <c r="A903" t="n">
        <v>1777543202</v>
      </c>
      <c r="B903" t="inlineStr">
        <is>
          <t>XAUUSD</t>
        </is>
      </c>
      <c r="C903" t="inlineStr">
        <is>
          <t>M15</t>
        </is>
      </c>
      <c r="D903" t="n">
        <v>4626.92</v>
      </c>
      <c r="E903" t="n">
        <v>4518.59282</v>
      </c>
      <c r="F903" t="n">
        <v>4596.05595</v>
      </c>
      <c r="G903" t="n">
        <v>4755.40355</v>
      </c>
      <c r="H903" t="n">
        <v>4792.76972</v>
      </c>
      <c r="Q903" t="n">
        <v>4576.52645</v>
      </c>
      <c r="R903" t="n">
        <v>4605.88975</v>
      </c>
      <c r="S903" t="n">
        <v>4632.47852</v>
      </c>
      <c r="V903" t="n">
        <v>4541.58668</v>
      </c>
      <c r="W903" t="n">
        <v>4508.02168</v>
      </c>
      <c r="AB903" t="n">
        <v>4631.18716</v>
      </c>
      <c r="AC903" t="n">
        <v>4628.44271</v>
      </c>
      <c r="AD903" t="n">
        <v>0</v>
      </c>
      <c r="AK903" t="n">
        <v>901</v>
      </c>
      <c r="AL903" t="n">
        <v>900</v>
      </c>
      <c r="AM903" t="n">
        <v>4626.92</v>
      </c>
      <c r="AN903" t="n">
        <v>4576.5265</v>
      </c>
      <c r="AO903" t="n">
        <v>50.3935</v>
      </c>
      <c r="AP903" t="n">
        <v>2539.5099</v>
      </c>
      <c r="AQ903" t="n">
        <v>2.944018</v>
      </c>
      <c r="AR903" t="n">
        <v>4.219431</v>
      </c>
      <c r="AY903" t="n">
        <v>901</v>
      </c>
      <c r="AZ903" t="n">
        <v>900</v>
      </c>
      <c r="BA903" t="n">
        <v>4626.92</v>
      </c>
      <c r="BB903" t="n">
        <v>4576.5265</v>
      </c>
      <c r="BC903" t="n">
        <v>50.3935</v>
      </c>
      <c r="BD903" t="n">
        <v>2539.5099</v>
      </c>
      <c r="BE903" t="n">
        <v>810000</v>
      </c>
    </row>
    <row r="904">
      <c r="A904" t="n">
        <v>1777544102</v>
      </c>
      <c r="B904" t="inlineStr">
        <is>
          <t>XAUUSD</t>
        </is>
      </c>
      <c r="C904" t="inlineStr">
        <is>
          <t>M15</t>
        </is>
      </c>
      <c r="D904" t="n">
        <v>4643.78</v>
      </c>
      <c r="E904" t="n">
        <v>4518.59282</v>
      </c>
      <c r="F904" t="n">
        <v>4596.05595</v>
      </c>
      <c r="G904" t="n">
        <v>4755.40355</v>
      </c>
      <c r="H904" t="n">
        <v>4792.76972</v>
      </c>
      <c r="Q904" t="n">
        <v>4576.25884</v>
      </c>
      <c r="R904" t="n">
        <v>4605.62214</v>
      </c>
      <c r="S904" t="n">
        <v>4632.21091</v>
      </c>
      <c r="V904" t="n">
        <v>4541.31907</v>
      </c>
      <c r="W904" t="n">
        <v>4507.75408</v>
      </c>
      <c r="AB904" t="n">
        <v>4633.63017</v>
      </c>
      <c r="AC904" t="n">
        <v>4631.03644</v>
      </c>
      <c r="AD904" t="n">
        <v>0</v>
      </c>
      <c r="AK904" t="n">
        <v>902</v>
      </c>
      <c r="AL904" t="n">
        <v>901</v>
      </c>
      <c r="AM904" t="n">
        <v>4643.78</v>
      </c>
      <c r="AN904" t="n">
        <v>4576.2588</v>
      </c>
      <c r="AO904" t="n">
        <v>67.52119999999999</v>
      </c>
      <c r="AP904" t="n">
        <v>4559.107</v>
      </c>
      <c r="AQ904" t="n">
        <v>7.081663</v>
      </c>
      <c r="AR904" t="n">
        <v>13.59921</v>
      </c>
      <c r="AY904" t="n">
        <v>902</v>
      </c>
      <c r="AZ904" t="n">
        <v>901</v>
      </c>
      <c r="BA904" t="n">
        <v>4643.78</v>
      </c>
      <c r="BB904" t="n">
        <v>4576.2588</v>
      </c>
      <c r="BC904" t="n">
        <v>67.52119999999999</v>
      </c>
      <c r="BD904" t="n">
        <v>4559.107</v>
      </c>
      <c r="BE904" t="n">
        <v>811801</v>
      </c>
    </row>
    <row r="905">
      <c r="A905" t="n">
        <v>1777545002</v>
      </c>
      <c r="B905" t="inlineStr">
        <is>
          <t>XAUUSD</t>
        </is>
      </c>
      <c r="C905" t="inlineStr">
        <is>
          <t>M15</t>
        </is>
      </c>
      <c r="D905" t="n">
        <v>4636.62</v>
      </c>
      <c r="E905" t="n">
        <v>4518.59282</v>
      </c>
      <c r="F905" t="n">
        <v>4596.05595</v>
      </c>
      <c r="G905" t="n">
        <v>4755.40355</v>
      </c>
      <c r="H905" t="n">
        <v>4792.76972</v>
      </c>
      <c r="Q905" t="n">
        <v>4575.99124</v>
      </c>
      <c r="R905" t="n">
        <v>4605.35454</v>
      </c>
      <c r="S905" t="n">
        <v>4631.94331</v>
      </c>
      <c r="V905" t="n">
        <v>4541.05147</v>
      </c>
      <c r="W905" t="n">
        <v>4507.48647</v>
      </c>
      <c r="Z905" t="n">
        <v>4647.1</v>
      </c>
      <c r="AB905" t="n">
        <v>4635.21014</v>
      </c>
      <c r="AC905" t="n">
        <v>4633.12329</v>
      </c>
      <c r="AD905" t="n">
        <v>0</v>
      </c>
      <c r="AK905" t="n">
        <v>903</v>
      </c>
      <c r="AL905" t="n">
        <v>902</v>
      </c>
      <c r="AM905" t="n">
        <v>4636.62</v>
      </c>
      <c r="AN905" t="n">
        <v>4575.9912</v>
      </c>
      <c r="AO905" t="n">
        <v>60.6288</v>
      </c>
      <c r="AP905" t="n">
        <v>3675.8465</v>
      </c>
      <c r="AQ905" t="n">
        <v>5.126862</v>
      </c>
      <c r="AR905" t="n">
        <v>8.840337999999999</v>
      </c>
      <c r="AY905" t="n">
        <v>903</v>
      </c>
      <c r="AZ905" t="n">
        <v>902</v>
      </c>
      <c r="BA905" t="n">
        <v>4636.62</v>
      </c>
      <c r="BB905" t="n">
        <v>4575.9912</v>
      </c>
      <c r="BC905" t="n">
        <v>60.6288</v>
      </c>
      <c r="BD905" t="n">
        <v>3675.8465</v>
      </c>
      <c r="BE905" t="n">
        <v>813604</v>
      </c>
    </row>
    <row r="906">
      <c r="A906" t="n">
        <v>1777545902</v>
      </c>
      <c r="B906" t="inlineStr">
        <is>
          <t>XAUUSD</t>
        </is>
      </c>
      <c r="C906" t="inlineStr">
        <is>
          <t>M15</t>
        </is>
      </c>
      <c r="D906" t="n">
        <v>4639.68</v>
      </c>
      <c r="E906" t="n">
        <v>4518.59282</v>
      </c>
      <c r="F906" t="n">
        <v>4596.05595</v>
      </c>
      <c r="G906" t="n">
        <v>4755.40355</v>
      </c>
      <c r="H906" t="n">
        <v>4792.76972</v>
      </c>
      <c r="Q906" t="n">
        <v>4575.72363</v>
      </c>
      <c r="R906" t="n">
        <v>4605.08693</v>
      </c>
      <c r="S906" t="n">
        <v>4631.6757</v>
      </c>
      <c r="V906" t="n">
        <v>4540.78386</v>
      </c>
      <c r="W906" t="n">
        <v>4507.21887</v>
      </c>
      <c r="AB906" t="n">
        <v>4636.08044</v>
      </c>
      <c r="AC906" t="n">
        <v>4634.60186</v>
      </c>
      <c r="AD906" t="n">
        <v>0</v>
      </c>
      <c r="AK906" t="n">
        <v>904</v>
      </c>
      <c r="AL906" t="n">
        <v>903</v>
      </c>
      <c r="AM906" t="n">
        <v>4639.68</v>
      </c>
      <c r="AN906" t="n">
        <v>4575.7236</v>
      </c>
      <c r="AO906" t="n">
        <v>63.9564</v>
      </c>
      <c r="AP906" t="n">
        <v>4090.4173</v>
      </c>
      <c r="AQ906" t="n">
        <v>6.018205</v>
      </c>
      <c r="AR906" t="n">
        <v>10.946854</v>
      </c>
      <c r="AY906" t="n">
        <v>904</v>
      </c>
      <c r="AZ906" t="n">
        <v>903</v>
      </c>
      <c r="BA906" t="n">
        <v>4639.68</v>
      </c>
      <c r="BB906" t="n">
        <v>4575.7236</v>
      </c>
      <c r="BC906" t="n">
        <v>63.9564</v>
      </c>
      <c r="BD906" t="n">
        <v>4090.4173</v>
      </c>
      <c r="BE906" t="n">
        <v>815409</v>
      </c>
    </row>
    <row r="907">
      <c r="A907" t="n">
        <v>1777546802</v>
      </c>
      <c r="B907" t="inlineStr">
        <is>
          <t>XAUUSD</t>
        </is>
      </c>
      <c r="C907" t="inlineStr">
        <is>
          <t>M15</t>
        </is>
      </c>
      <c r="D907" t="n">
        <v>4635.99</v>
      </c>
      <c r="E907" t="n">
        <v>4518.59282</v>
      </c>
      <c r="F907" t="n">
        <v>4596.05595</v>
      </c>
      <c r="G907" t="n">
        <v>4755.40355</v>
      </c>
      <c r="H907" t="n">
        <v>4792.76972</v>
      </c>
      <c r="Q907" t="n">
        <v>4575.45603</v>
      </c>
      <c r="R907" t="n">
        <v>4604.81933</v>
      </c>
      <c r="S907" t="n">
        <v>4631.4081</v>
      </c>
      <c r="V907" t="n">
        <v>4540.51626</v>
      </c>
      <c r="W907" t="n">
        <v>4506.95126</v>
      </c>
      <c r="AB907" t="n">
        <v>4636.22769</v>
      </c>
      <c r="AC907" t="n">
        <v>4635.41478</v>
      </c>
      <c r="AD907" t="n">
        <v>0</v>
      </c>
      <c r="AK907" t="n">
        <v>905</v>
      </c>
      <c r="AL907" t="n">
        <v>904</v>
      </c>
      <c r="AM907" t="n">
        <v>4635.99</v>
      </c>
      <c r="AN907" t="n">
        <v>4575.456</v>
      </c>
      <c r="AO907" t="n">
        <v>60.534</v>
      </c>
      <c r="AP907" t="n">
        <v>3664.3615</v>
      </c>
      <c r="AQ907" t="n">
        <v>5.102853</v>
      </c>
      <c r="AR907" t="n">
        <v>8.785182000000001</v>
      </c>
      <c r="AY907" t="n">
        <v>905</v>
      </c>
      <c r="AZ907" t="n">
        <v>904</v>
      </c>
      <c r="BA907" t="n">
        <v>4635.99</v>
      </c>
      <c r="BB907" t="n">
        <v>4575.456</v>
      </c>
      <c r="BC907" t="n">
        <v>60.534</v>
      </c>
      <c r="BD907" t="n">
        <v>3664.3615</v>
      </c>
      <c r="BE907" t="n">
        <v>817216</v>
      </c>
    </row>
    <row r="908">
      <c r="A908" t="n">
        <v>1777547702</v>
      </c>
      <c r="B908" t="inlineStr">
        <is>
          <t>XAUUSD</t>
        </is>
      </c>
      <c r="C908" t="inlineStr">
        <is>
          <t>M15</t>
        </is>
      </c>
      <c r="D908" t="n">
        <v>4637.7</v>
      </c>
      <c r="E908" t="n">
        <v>4518.59282</v>
      </c>
      <c r="F908" t="n">
        <v>4596.05595</v>
      </c>
      <c r="G908" t="n">
        <v>4755.40355</v>
      </c>
      <c r="H908" t="n">
        <v>4792.76972</v>
      </c>
      <c r="Q908" t="n">
        <v>4575.18843</v>
      </c>
      <c r="R908" t="n">
        <v>4604.55173</v>
      </c>
      <c r="S908" t="n">
        <v>4631.1405</v>
      </c>
      <c r="V908" t="n">
        <v>4540.24866</v>
      </c>
      <c r="W908" t="n">
        <v>4506.68366</v>
      </c>
      <c r="AB908" t="n">
        <v>4635.89963</v>
      </c>
      <c r="AC908" t="n">
        <v>4635.6572</v>
      </c>
      <c r="AD908" t="n">
        <v>0</v>
      </c>
      <c r="AK908" t="n">
        <v>906</v>
      </c>
      <c r="AL908" t="n">
        <v>905</v>
      </c>
      <c r="AM908" t="n">
        <v>4637.7</v>
      </c>
      <c r="AN908" t="n">
        <v>4575.1884</v>
      </c>
      <c r="AO908" t="n">
        <v>62.5116</v>
      </c>
      <c r="AP908" t="n">
        <v>3907.6964</v>
      </c>
      <c r="AQ908" t="n">
        <v>5.619489</v>
      </c>
      <c r="AR908" t="n">
        <v>9.990696</v>
      </c>
      <c r="AY908" t="n">
        <v>906</v>
      </c>
      <c r="AZ908" t="n">
        <v>905</v>
      </c>
      <c r="BA908" t="n">
        <v>4637.7</v>
      </c>
      <c r="BB908" t="n">
        <v>4575.1884</v>
      </c>
      <c r="BC908" t="n">
        <v>62.5116</v>
      </c>
      <c r="BD908" t="n">
        <v>3907.6964</v>
      </c>
      <c r="BE908" t="n">
        <v>819025</v>
      </c>
    </row>
    <row r="909">
      <c r="A909" t="n">
        <v>1777548602</v>
      </c>
      <c r="B909" t="inlineStr">
        <is>
          <t>XAUUSD</t>
        </is>
      </c>
      <c r="C909" t="inlineStr">
        <is>
          <t>M15</t>
        </is>
      </c>
      <c r="D909" t="n">
        <v>4629.82</v>
      </c>
      <c r="E909" t="n">
        <v>4518.59282</v>
      </c>
      <c r="F909" t="n">
        <v>4596.05595</v>
      </c>
      <c r="G909" t="n">
        <v>4755.40355</v>
      </c>
      <c r="H909" t="n">
        <v>4792.76972</v>
      </c>
      <c r="Q909" t="n">
        <v>4574.92082</v>
      </c>
      <c r="R909" t="n">
        <v>4604.28412</v>
      </c>
      <c r="S909" t="n">
        <v>4630.87289</v>
      </c>
      <c r="V909" t="n">
        <v>4539.98105</v>
      </c>
      <c r="W909" t="n">
        <v>4506.41606</v>
      </c>
      <c r="AB909" t="n">
        <v>4635.23039</v>
      </c>
      <c r="AC909" t="n">
        <v>4635.4438</v>
      </c>
      <c r="AD909" t="n">
        <v>1</v>
      </c>
      <c r="AK909" t="n">
        <v>907</v>
      </c>
      <c r="AL909" t="n">
        <v>906</v>
      </c>
      <c r="AM909" t="n">
        <v>4629.82</v>
      </c>
      <c r="AN909" t="n">
        <v>4574.9208</v>
      </c>
      <c r="AO909" t="n">
        <v>54.8992</v>
      </c>
      <c r="AP909" t="n">
        <v>3013.92</v>
      </c>
      <c r="AQ909" t="n">
        <v>3.806389</v>
      </c>
      <c r="AR909" t="n">
        <v>5.943162</v>
      </c>
      <c r="AY909" t="n">
        <v>907</v>
      </c>
      <c r="AZ909" t="n">
        <v>906</v>
      </c>
      <c r="BA909" t="n">
        <v>4629.82</v>
      </c>
      <c r="BB909" t="n">
        <v>4574.9208</v>
      </c>
      <c r="BC909" t="n">
        <v>54.8992</v>
      </c>
      <c r="BD909" t="n">
        <v>3013.92</v>
      </c>
      <c r="BE909" t="n">
        <v>820836</v>
      </c>
    </row>
    <row r="910">
      <c r="A910" t="n">
        <v>1777549502</v>
      </c>
      <c r="B910" t="inlineStr">
        <is>
          <t>XAUUSD</t>
        </is>
      </c>
      <c r="C910" t="inlineStr">
        <is>
          <t>M15</t>
        </is>
      </c>
      <c r="D910" t="n">
        <v>4630.21</v>
      </c>
      <c r="E910" t="n">
        <v>4518.59282</v>
      </c>
      <c r="F910" t="n">
        <v>4596.05595</v>
      </c>
      <c r="G910" t="n">
        <v>4755.40355</v>
      </c>
      <c r="H910" t="n">
        <v>4792.76972</v>
      </c>
      <c r="Q910" t="n">
        <v>4574.65322</v>
      </c>
      <c r="R910" t="n">
        <v>4604.01652</v>
      </c>
      <c r="S910" t="n">
        <v>4630.60529</v>
      </c>
      <c r="V910" t="n">
        <v>4539.71345</v>
      </c>
      <c r="W910" t="n">
        <v>4506.14845</v>
      </c>
      <c r="AB910" t="n">
        <v>4634.58541</v>
      </c>
      <c r="AC910" t="n">
        <v>4635.01461</v>
      </c>
      <c r="AD910" t="n">
        <v>0</v>
      </c>
      <c r="AK910" t="n">
        <v>908</v>
      </c>
      <c r="AL910" t="n">
        <v>907</v>
      </c>
      <c r="AM910" t="n">
        <v>4630.21</v>
      </c>
      <c r="AN910" t="n">
        <v>4574.6532</v>
      </c>
      <c r="AO910" t="n">
        <v>55.5568</v>
      </c>
      <c r="AP910" t="n">
        <v>3086.5558</v>
      </c>
      <c r="AQ910" t="n">
        <v>3.944816</v>
      </c>
      <c r="AR910" t="n">
        <v>6.233075</v>
      </c>
      <c r="AY910" t="n">
        <v>908</v>
      </c>
      <c r="AZ910" t="n">
        <v>907</v>
      </c>
      <c r="BA910" t="n">
        <v>4630.21</v>
      </c>
      <c r="BB910" t="n">
        <v>4574.6532</v>
      </c>
      <c r="BC910" t="n">
        <v>55.5568</v>
      </c>
      <c r="BD910" t="n">
        <v>3086.5558</v>
      </c>
      <c r="BE910" t="n">
        <v>822649</v>
      </c>
    </row>
    <row r="911">
      <c r="A911" t="n">
        <v>1777550402</v>
      </c>
      <c r="B911" t="inlineStr">
        <is>
          <t>XAUUSD</t>
        </is>
      </c>
      <c r="C911" t="inlineStr">
        <is>
          <t>M15</t>
        </is>
      </c>
      <c r="D911" t="n">
        <v>4635.81</v>
      </c>
      <c r="E911" t="n">
        <v>4518.59282</v>
      </c>
      <c r="F911" t="n">
        <v>4596.05595</v>
      </c>
      <c r="G911" t="n">
        <v>4755.40355</v>
      </c>
      <c r="H911" t="n">
        <v>4792.76972</v>
      </c>
      <c r="Q911" t="n">
        <v>4574.38561</v>
      </c>
      <c r="R911" t="n">
        <v>4603.74891</v>
      </c>
      <c r="S911" t="n">
        <v>4630.33768</v>
      </c>
      <c r="V911" t="n">
        <v>4539.44584</v>
      </c>
      <c r="W911" t="n">
        <v>4505.88085</v>
      </c>
      <c r="AB911" t="n">
        <v>4634.04899</v>
      </c>
      <c r="AC911" t="n">
        <v>4634.5318</v>
      </c>
      <c r="AD911" t="n">
        <v>0</v>
      </c>
      <c r="AK911" t="n">
        <v>909</v>
      </c>
      <c r="AL911" t="n">
        <v>908</v>
      </c>
      <c r="AM911" t="n">
        <v>4635.81</v>
      </c>
      <c r="AN911" t="n">
        <v>4574.3856</v>
      </c>
      <c r="AO911" t="n">
        <v>61.4244</v>
      </c>
      <c r="AP911" t="n">
        <v>3772.9557</v>
      </c>
      <c r="AQ911" t="n">
        <v>5.331362</v>
      </c>
      <c r="AR911" t="n">
        <v>9.313599</v>
      </c>
      <c r="AY911" t="n">
        <v>909</v>
      </c>
      <c r="AZ911" t="n">
        <v>908</v>
      </c>
      <c r="BA911" t="n">
        <v>4635.81</v>
      </c>
      <c r="BB911" t="n">
        <v>4574.3856</v>
      </c>
      <c r="BC911" t="n">
        <v>61.4244</v>
      </c>
      <c r="BD911" t="n">
        <v>3772.9557</v>
      </c>
      <c r="BE911" t="n">
        <v>824464</v>
      </c>
    </row>
    <row r="912">
      <c r="A912" t="n">
        <v>1777551302</v>
      </c>
      <c r="B912" t="inlineStr">
        <is>
          <t>XAUUSD</t>
        </is>
      </c>
      <c r="C912" t="inlineStr">
        <is>
          <t>M15</t>
        </is>
      </c>
      <c r="D912" t="n">
        <v>4630.51</v>
      </c>
      <c r="E912" t="n">
        <v>4518.59282</v>
      </c>
      <c r="F912" t="n">
        <v>4596.05595</v>
      </c>
      <c r="G912" t="n">
        <v>4755.40355</v>
      </c>
      <c r="H912" t="n">
        <v>4792.76972</v>
      </c>
      <c r="Q912" t="n">
        <v>4574.11801</v>
      </c>
      <c r="R912" t="n">
        <v>4603.48131</v>
      </c>
      <c r="S912" t="n">
        <v>4630.07008</v>
      </c>
      <c r="V912" t="n">
        <v>4539.17824</v>
      </c>
      <c r="W912" t="n">
        <v>4505.61324</v>
      </c>
      <c r="AB912" t="n">
        <v>4633.43639</v>
      </c>
      <c r="AC912" t="n">
        <v>4633.98409</v>
      </c>
      <c r="AD912" t="n">
        <v>0</v>
      </c>
      <c r="AK912" t="n">
        <v>910</v>
      </c>
      <c r="AL912" t="n">
        <v>909</v>
      </c>
      <c r="AM912" t="n">
        <v>4630.51</v>
      </c>
      <c r="AN912" t="n">
        <v>4574.118</v>
      </c>
      <c r="AO912" t="n">
        <v>56.392</v>
      </c>
      <c r="AP912" t="n">
        <v>3180.0565</v>
      </c>
      <c r="AQ912" t="n">
        <v>4.125417</v>
      </c>
      <c r="AR912" t="n">
        <v>6.616431</v>
      </c>
      <c r="AY912" t="n">
        <v>910</v>
      </c>
      <c r="AZ912" t="n">
        <v>909</v>
      </c>
      <c r="BA912" t="n">
        <v>4630.51</v>
      </c>
      <c r="BB912" t="n">
        <v>4574.118</v>
      </c>
      <c r="BC912" t="n">
        <v>56.392</v>
      </c>
      <c r="BD912" t="n">
        <v>3180.0565</v>
      </c>
      <c r="BE912" t="n">
        <v>826281</v>
      </c>
    </row>
    <row r="913">
      <c r="A913" t="n">
        <v>1777552202</v>
      </c>
      <c r="B913" t="inlineStr">
        <is>
          <t>XAUUSD</t>
        </is>
      </c>
      <c r="C913" t="inlineStr">
        <is>
          <t>M15</t>
        </is>
      </c>
      <c r="D913" t="n">
        <v>4625.92</v>
      </c>
      <c r="E913" t="n">
        <v>4518.59282</v>
      </c>
      <c r="F913" t="n">
        <v>4596.05595</v>
      </c>
      <c r="G913" t="n">
        <v>4755.40355</v>
      </c>
      <c r="H913" t="n">
        <v>4792.76972</v>
      </c>
      <c r="Q913" t="n">
        <v>4573.85041</v>
      </c>
      <c r="R913" t="n">
        <v>4603.2137</v>
      </c>
      <c r="S913" t="n">
        <v>4629.80248</v>
      </c>
      <c r="V913" t="n">
        <v>4538.91064</v>
      </c>
      <c r="W913" t="n">
        <v>4505.34564</v>
      </c>
      <c r="AB913" t="n">
        <v>4632.80607</v>
      </c>
      <c r="AC913" t="n">
        <v>4633.39508</v>
      </c>
      <c r="AD913" t="n">
        <v>0</v>
      </c>
      <c r="AK913" t="n">
        <v>911</v>
      </c>
      <c r="AL913" t="n">
        <v>910</v>
      </c>
      <c r="AM913" t="n">
        <v>4625.92</v>
      </c>
      <c r="AN913" t="n">
        <v>4573.8504</v>
      </c>
      <c r="AO913" t="n">
        <v>52.0696</v>
      </c>
      <c r="AP913" t="n">
        <v>2711.2422</v>
      </c>
      <c r="AQ913" t="n">
        <v>3.247641</v>
      </c>
      <c r="AR913" t="n">
        <v>4.809398</v>
      </c>
      <c r="AY913" t="n">
        <v>911</v>
      </c>
      <c r="AZ913" t="n">
        <v>910</v>
      </c>
      <c r="BA913" t="n">
        <v>4625.92</v>
      </c>
      <c r="BB913" t="n">
        <v>4573.8504</v>
      </c>
      <c r="BC913" t="n">
        <v>52.0696</v>
      </c>
      <c r="BD913" t="n">
        <v>2711.2422</v>
      </c>
      <c r="BE913" t="n">
        <v>828100</v>
      </c>
    </row>
    <row r="914">
      <c r="A914" t="n">
        <v>1777553102</v>
      </c>
      <c r="B914" t="inlineStr">
        <is>
          <t>XAUUSD</t>
        </is>
      </c>
      <c r="C914" t="inlineStr">
        <is>
          <t>M15</t>
        </is>
      </c>
      <c r="D914" t="n">
        <v>4639.57</v>
      </c>
      <c r="E914" t="n">
        <v>4518.59282</v>
      </c>
      <c r="F914" t="n">
        <v>4596.05595</v>
      </c>
      <c r="G914" t="n">
        <v>4755.40355</v>
      </c>
      <c r="H914" t="n">
        <v>4792.76972</v>
      </c>
      <c r="Q914" t="n">
        <v>4573.5828</v>
      </c>
      <c r="R914" t="n">
        <v>4602.9461</v>
      </c>
      <c r="S914" t="n">
        <v>4629.53487</v>
      </c>
      <c r="V914" t="n">
        <v>4538.64303</v>
      </c>
      <c r="W914" t="n">
        <v>4505.07804</v>
      </c>
      <c r="AB914" t="n">
        <v>4632.1084</v>
      </c>
      <c r="AC914" t="n">
        <v>4632.75174</v>
      </c>
      <c r="AD914" t="n">
        <v>0</v>
      </c>
      <c r="AK914" t="n">
        <v>912</v>
      </c>
      <c r="AL914" t="n">
        <v>911</v>
      </c>
      <c r="AM914" t="n">
        <v>4639.57</v>
      </c>
      <c r="AN914" t="n">
        <v>4573.5828</v>
      </c>
      <c r="AO914" t="n">
        <v>65.9872</v>
      </c>
      <c r="AP914" t="n">
        <v>4354.3106</v>
      </c>
      <c r="AQ914" t="n">
        <v>6.609897</v>
      </c>
      <c r="AR914" t="n">
        <v>12.40489</v>
      </c>
      <c r="AY914" t="n">
        <v>912</v>
      </c>
      <c r="AZ914" t="n">
        <v>911</v>
      </c>
      <c r="BA914" t="n">
        <v>4639.57</v>
      </c>
      <c r="BB914" t="n">
        <v>4573.5828</v>
      </c>
      <c r="BC914" t="n">
        <v>65.9872</v>
      </c>
      <c r="BD914" t="n">
        <v>4354.3106</v>
      </c>
      <c r="BE914" t="n">
        <v>829921</v>
      </c>
    </row>
    <row r="915">
      <c r="A915" t="n">
        <v>1777554002</v>
      </c>
      <c r="B915" t="inlineStr">
        <is>
          <t>XAUUSD</t>
        </is>
      </c>
      <c r="C915" t="inlineStr">
        <is>
          <t>M15</t>
        </is>
      </c>
      <c r="D915" t="n">
        <v>4641.5</v>
      </c>
      <c r="E915" t="n">
        <v>4518.59282</v>
      </c>
      <c r="F915" t="n">
        <v>4596.05595</v>
      </c>
      <c r="G915" t="n">
        <v>4755.40355</v>
      </c>
      <c r="H915" t="n">
        <v>4792.76972</v>
      </c>
      <c r="Q915" t="n">
        <v>4573.3152</v>
      </c>
      <c r="R915" t="n">
        <v>4602.6785</v>
      </c>
      <c r="S915" t="n">
        <v>4629.26727</v>
      </c>
      <c r="V915" t="n">
        <v>4538.37543</v>
      </c>
      <c r="W915" t="n">
        <v>4504.81043</v>
      </c>
      <c r="AB915" t="n">
        <v>4630.81082</v>
      </c>
      <c r="AC915" t="n">
        <v>4631.78128</v>
      </c>
      <c r="AD915" t="n">
        <v>0</v>
      </c>
      <c r="AK915" t="n">
        <v>913</v>
      </c>
      <c r="AL915" t="n">
        <v>912</v>
      </c>
      <c r="AM915" t="n">
        <v>4641.5</v>
      </c>
      <c r="AN915" t="n">
        <v>4573.3152</v>
      </c>
      <c r="AO915" t="n">
        <v>68.1848</v>
      </c>
      <c r="AP915" t="n">
        <v>4649.167</v>
      </c>
      <c r="AQ915" t="n">
        <v>7.292531</v>
      </c>
      <c r="AR915" t="n">
        <v>14.14179</v>
      </c>
      <c r="AY915" t="n">
        <v>913</v>
      </c>
      <c r="AZ915" t="n">
        <v>912</v>
      </c>
      <c r="BA915" t="n">
        <v>4641.5</v>
      </c>
      <c r="BB915" t="n">
        <v>4573.3152</v>
      </c>
      <c r="BC915" t="n">
        <v>68.1848</v>
      </c>
      <c r="BD915" t="n">
        <v>4649.167</v>
      </c>
      <c r="BE915" t="n">
        <v>831744</v>
      </c>
    </row>
    <row r="916">
      <c r="A916" t="n">
        <v>1777554902</v>
      </c>
      <c r="B916" t="inlineStr">
        <is>
          <t>XAUUSD</t>
        </is>
      </c>
      <c r="C916" t="inlineStr">
        <is>
          <t>M15</t>
        </is>
      </c>
      <c r="D916" t="n">
        <v>4633.5</v>
      </c>
      <c r="E916" t="n">
        <v>4518.59282</v>
      </c>
      <c r="F916" t="n">
        <v>4596.05595</v>
      </c>
      <c r="G916" t="n">
        <v>4755.40355</v>
      </c>
      <c r="H916" t="n">
        <v>4792.76972</v>
      </c>
      <c r="Q916" t="n">
        <v>4573.04759</v>
      </c>
      <c r="R916" t="n">
        <v>4602.41089</v>
      </c>
      <c r="S916" t="n">
        <v>4628.99966</v>
      </c>
      <c r="V916" t="n">
        <v>4538.10782</v>
      </c>
      <c r="W916" t="n">
        <v>4504.54283</v>
      </c>
      <c r="AB916" t="n">
        <v>4628.8019</v>
      </c>
      <c r="AC916" t="n">
        <v>4630.29159</v>
      </c>
      <c r="AD916" t="n">
        <v>0</v>
      </c>
      <c r="AK916" t="n">
        <v>914</v>
      </c>
      <c r="AL916" t="n">
        <v>913</v>
      </c>
      <c r="AM916" t="n">
        <v>4633.5</v>
      </c>
      <c r="AN916" t="n">
        <v>4573.0476</v>
      </c>
      <c r="AO916" t="n">
        <v>60.4524</v>
      </c>
      <c r="AP916" t="n">
        <v>3654.4939</v>
      </c>
      <c r="AQ916" t="n">
        <v>5.082255</v>
      </c>
      <c r="AR916" t="n">
        <v>8.737931</v>
      </c>
      <c r="AY916" t="n">
        <v>914</v>
      </c>
      <c r="AZ916" t="n">
        <v>913</v>
      </c>
      <c r="BA916" t="n">
        <v>4633.5</v>
      </c>
      <c r="BB916" t="n">
        <v>4573.0476</v>
      </c>
      <c r="BC916" t="n">
        <v>60.4524</v>
      </c>
      <c r="BD916" t="n">
        <v>3654.4939</v>
      </c>
      <c r="BE916" t="n">
        <v>833569</v>
      </c>
    </row>
    <row r="917">
      <c r="A917" t="n">
        <v>1777555802</v>
      </c>
      <c r="B917" t="inlineStr">
        <is>
          <t>XAUUSD</t>
        </is>
      </c>
      <c r="C917" t="inlineStr">
        <is>
          <t>M15</t>
        </is>
      </c>
      <c r="D917" t="n">
        <v>4625.44</v>
      </c>
      <c r="E917" t="n">
        <v>4518.59282</v>
      </c>
      <c r="F917" t="n">
        <v>4596.05595</v>
      </c>
      <c r="G917" t="n">
        <v>4755.40355</v>
      </c>
      <c r="H917" t="n">
        <v>4792.76972</v>
      </c>
      <c r="Q917" t="n">
        <v>4572.77999</v>
      </c>
      <c r="R917" t="n">
        <v>4602.14329</v>
      </c>
      <c r="S917" t="n">
        <v>4628.73206</v>
      </c>
      <c r="V917" t="n">
        <v>4537.84022</v>
      </c>
      <c r="W917" t="n">
        <v>4504.27522</v>
      </c>
      <c r="AB917" t="n">
        <v>4626.40722</v>
      </c>
      <c r="AC917" t="n">
        <v>4628.3494</v>
      </c>
      <c r="AD917" t="n">
        <v>0</v>
      </c>
      <c r="AK917" t="n">
        <v>915</v>
      </c>
      <c r="AL917" t="n">
        <v>914</v>
      </c>
      <c r="AM917" t="n">
        <v>4625.44</v>
      </c>
      <c r="AN917" t="n">
        <v>4572.78</v>
      </c>
      <c r="AO917" t="n">
        <v>52.66</v>
      </c>
      <c r="AP917" t="n">
        <v>2773.0767</v>
      </c>
      <c r="AQ917" t="n">
        <v>3.359374</v>
      </c>
      <c r="AR917" t="n">
        <v>5.031273</v>
      </c>
      <c r="AY917" t="n">
        <v>915</v>
      </c>
      <c r="AZ917" t="n">
        <v>914</v>
      </c>
      <c r="BA917" t="n">
        <v>4625.44</v>
      </c>
      <c r="BB917" t="n">
        <v>4572.78</v>
      </c>
      <c r="BC917" t="n">
        <v>52.66</v>
      </c>
      <c r="BD917" t="n">
        <v>2773.0767</v>
      </c>
      <c r="BE917" t="n">
        <v>835396</v>
      </c>
    </row>
    <row r="918">
      <c r="A918" t="n">
        <v>1777556702</v>
      </c>
      <c r="B918" t="inlineStr">
        <is>
          <t>XAUUSD</t>
        </is>
      </c>
      <c r="C918" t="inlineStr">
        <is>
          <t>M15</t>
        </is>
      </c>
      <c r="D918" t="n">
        <v>4610.99</v>
      </c>
      <c r="E918" t="n">
        <v>4518.59282</v>
      </c>
      <c r="F918" t="n">
        <v>4596.05595</v>
      </c>
      <c r="G918" t="n">
        <v>4755.40355</v>
      </c>
      <c r="H918" t="n">
        <v>4792.76972</v>
      </c>
      <c r="Q918" t="n">
        <v>4572.51239</v>
      </c>
      <c r="R918" t="n">
        <v>4601.87568</v>
      </c>
      <c r="S918" t="n">
        <v>4628.46446</v>
      </c>
      <c r="V918" t="n">
        <v>4537.57262</v>
      </c>
      <c r="W918" t="n">
        <v>4504.00762</v>
      </c>
      <c r="AB918" t="n">
        <v>4624.03612</v>
      </c>
      <c r="AC918" t="n">
        <v>4626.19276</v>
      </c>
      <c r="AD918" t="n">
        <v>0</v>
      </c>
      <c r="AK918" t="n">
        <v>916</v>
      </c>
      <c r="AL918" t="n">
        <v>915</v>
      </c>
      <c r="AM918" t="n">
        <v>4610.99</v>
      </c>
      <c r="AN918" t="n">
        <v>4572.5124</v>
      </c>
      <c r="AO918" t="n">
        <v>38.4776</v>
      </c>
      <c r="AP918" t="n">
        <v>1480.5265</v>
      </c>
      <c r="AQ918" t="n">
        <v>1.310509</v>
      </c>
      <c r="AR918" t="n">
        <v>1.434123</v>
      </c>
      <c r="AY918" t="n">
        <v>916</v>
      </c>
      <c r="AZ918" t="n">
        <v>915</v>
      </c>
      <c r="BA918" t="n">
        <v>4610.99</v>
      </c>
      <c r="BB918" t="n">
        <v>4572.5124</v>
      </c>
      <c r="BC918" t="n">
        <v>38.4776</v>
      </c>
      <c r="BD918" t="n">
        <v>1480.5265</v>
      </c>
      <c r="BE918" t="n">
        <v>837225</v>
      </c>
    </row>
    <row r="919">
      <c r="A919" t="n">
        <v>1777557602</v>
      </c>
      <c r="B919" t="inlineStr">
        <is>
          <t>XAUUSD</t>
        </is>
      </c>
      <c r="C919" t="inlineStr">
        <is>
          <t>M15</t>
        </is>
      </c>
      <c r="D919" t="n">
        <v>4620.39</v>
      </c>
      <c r="E919" t="n">
        <v>4518.59282</v>
      </c>
      <c r="F919" t="n">
        <v>4596.05595</v>
      </c>
      <c r="G919" t="n">
        <v>4755.40355</v>
      </c>
      <c r="H919" t="n">
        <v>4792.76972</v>
      </c>
      <c r="Q919" t="n">
        <v>4572.24478</v>
      </c>
      <c r="R919" t="n">
        <v>4601.60808</v>
      </c>
      <c r="S919" t="n">
        <v>4628.19685</v>
      </c>
      <c r="V919" t="n">
        <v>4537.30501</v>
      </c>
      <c r="W919" t="n">
        <v>4503.74001</v>
      </c>
      <c r="AB919" t="n">
        <v>4622.27171</v>
      </c>
      <c r="AC919" t="n">
        <v>4624.23224</v>
      </c>
      <c r="AD919" t="n">
        <v>0</v>
      </c>
      <c r="AK919" t="n">
        <v>917</v>
      </c>
      <c r="AL919" t="n">
        <v>916</v>
      </c>
      <c r="AM919" t="n">
        <v>4620.39</v>
      </c>
      <c r="AN919" t="n">
        <v>4572.2448</v>
      </c>
      <c r="AO919" t="n">
        <v>48.1452</v>
      </c>
      <c r="AP919" t="n">
        <v>2317.9622</v>
      </c>
      <c r="AQ919" t="n">
        <v>2.567291</v>
      </c>
      <c r="AR919" t="n">
        <v>3.515336</v>
      </c>
      <c r="AY919" t="n">
        <v>917</v>
      </c>
      <c r="AZ919" t="n">
        <v>916</v>
      </c>
      <c r="BA919" t="n">
        <v>4620.39</v>
      </c>
      <c r="BB919" t="n">
        <v>4572.2448</v>
      </c>
      <c r="BC919" t="n">
        <v>48.1452</v>
      </c>
      <c r="BD919" t="n">
        <v>2317.9622</v>
      </c>
      <c r="BE919" t="n">
        <v>839056</v>
      </c>
    </row>
    <row r="920">
      <c r="A920" t="n">
        <v>1777558502</v>
      </c>
      <c r="B920" t="inlineStr">
        <is>
          <t>XAUUSD</t>
        </is>
      </c>
      <c r="C920" t="inlineStr">
        <is>
          <t>M15</t>
        </is>
      </c>
      <c r="D920" t="n">
        <v>4622.81</v>
      </c>
      <c r="E920" t="n">
        <v>4518.59282</v>
      </c>
      <c r="F920" t="n">
        <v>4596.05595</v>
      </c>
      <c r="G920" t="n">
        <v>4755.40355</v>
      </c>
      <c r="H920" t="n">
        <v>4792.76972</v>
      </c>
      <c r="Q920" t="n">
        <v>4571.97718</v>
      </c>
      <c r="R920" t="n">
        <v>4601.34048</v>
      </c>
      <c r="S920" t="n">
        <v>4627.92925</v>
      </c>
      <c r="V920" t="n">
        <v>4537.03741</v>
      </c>
      <c r="W920" t="n">
        <v>4503.47241</v>
      </c>
      <c r="AB920" t="n">
        <v>4620.92027</v>
      </c>
      <c r="AC920" t="n">
        <v>4622.57625</v>
      </c>
      <c r="AD920" t="n">
        <v>0</v>
      </c>
      <c r="AK920" t="n">
        <v>918</v>
      </c>
      <c r="AL920" t="n">
        <v>917</v>
      </c>
      <c r="AM920" t="n">
        <v>4622.81</v>
      </c>
      <c r="AN920" t="n">
        <v>4571.9772</v>
      </c>
      <c r="AO920" t="n">
        <v>50.8328</v>
      </c>
      <c r="AP920" t="n">
        <v>2583.9756</v>
      </c>
      <c r="AQ920" t="n">
        <v>3.021678</v>
      </c>
      <c r="AR920" t="n">
        <v>4.368486</v>
      </c>
      <c r="AY920" t="n">
        <v>918</v>
      </c>
      <c r="AZ920" t="n">
        <v>917</v>
      </c>
      <c r="BA920" t="n">
        <v>4622.81</v>
      </c>
      <c r="BB920" t="n">
        <v>4571.9772</v>
      </c>
      <c r="BC920" t="n">
        <v>50.8328</v>
      </c>
      <c r="BD920" t="n">
        <v>2583.9756</v>
      </c>
      <c r="BE920" t="n">
        <v>840889</v>
      </c>
    </row>
    <row r="921">
      <c r="A921" t="n">
        <v>1777559402</v>
      </c>
      <c r="B921" t="inlineStr">
        <is>
          <t>XAUUSD</t>
        </is>
      </c>
      <c r="C921" t="inlineStr">
        <is>
          <t>M15</t>
        </is>
      </c>
      <c r="D921" t="n">
        <v>4617.7</v>
      </c>
      <c r="E921" t="n">
        <v>4518.59282</v>
      </c>
      <c r="F921" t="n">
        <v>4596.05595</v>
      </c>
      <c r="G921" t="n">
        <v>4755.40355</v>
      </c>
      <c r="H921" t="n">
        <v>4792.76972</v>
      </c>
      <c r="Q921" t="n">
        <v>4571.70957</v>
      </c>
      <c r="R921" t="n">
        <v>4601.07287</v>
      </c>
      <c r="S921" t="n">
        <v>4627.66164</v>
      </c>
      <c r="V921" t="n">
        <v>4536.7698</v>
      </c>
      <c r="W921" t="n">
        <v>4503.20481</v>
      </c>
      <c r="AB921" t="n">
        <v>4619.83949</v>
      </c>
      <c r="AC921" t="n">
        <v>4621.20787</v>
      </c>
      <c r="AD921" t="n">
        <v>0</v>
      </c>
      <c r="AK921" t="n">
        <v>919</v>
      </c>
      <c r="AL921" t="n">
        <v>918</v>
      </c>
      <c r="AM921" t="n">
        <v>4617.7</v>
      </c>
      <c r="AN921" t="n">
        <v>4571.7096</v>
      </c>
      <c r="AO921" t="n">
        <v>45.9904</v>
      </c>
      <c r="AP921" t="n">
        <v>2115.1197</v>
      </c>
      <c r="AQ921" t="n">
        <v>2.237783</v>
      </c>
      <c r="AR921" t="n">
        <v>2.927009</v>
      </c>
      <c r="AY921" t="n">
        <v>919</v>
      </c>
      <c r="AZ921" t="n">
        <v>918</v>
      </c>
      <c r="BA921" t="n">
        <v>4617.7</v>
      </c>
      <c r="BB921" t="n">
        <v>4571.7096</v>
      </c>
      <c r="BC921" t="n">
        <v>45.9904</v>
      </c>
      <c r="BD921" t="n">
        <v>2115.1197</v>
      </c>
      <c r="BE921" t="n">
        <v>842724</v>
      </c>
    </row>
    <row r="922">
      <c r="A922" t="n">
        <v>1777560302</v>
      </c>
      <c r="B922" t="inlineStr">
        <is>
          <t>XAUUSD</t>
        </is>
      </c>
      <c r="C922" t="inlineStr">
        <is>
          <t>M15</t>
        </is>
      </c>
      <c r="D922" t="n">
        <v>4619.59</v>
      </c>
      <c r="E922" t="n">
        <v>4518.59282</v>
      </c>
      <c r="F922" t="n">
        <v>4596.05595</v>
      </c>
      <c r="G922" t="n">
        <v>4755.40355</v>
      </c>
      <c r="H922" t="n">
        <v>4792.76972</v>
      </c>
      <c r="Q922" t="n">
        <v>4571.44197</v>
      </c>
      <c r="R922" t="n">
        <v>4600.80527</v>
      </c>
      <c r="S922" t="n">
        <v>4627.39404</v>
      </c>
      <c r="V922" t="n">
        <v>4536.5022</v>
      </c>
      <c r="W922" t="n">
        <v>4502.9372</v>
      </c>
      <c r="AB922" t="n">
        <v>4619.02569</v>
      </c>
      <c r="AC922" t="n">
        <v>4620.11678</v>
      </c>
      <c r="AD922" t="n">
        <v>0</v>
      </c>
      <c r="AK922" t="n">
        <v>920</v>
      </c>
      <c r="AL922" t="n">
        <v>919</v>
      </c>
      <c r="AM922" t="n">
        <v>4619.59</v>
      </c>
      <c r="AN922" t="n">
        <v>4571.442</v>
      </c>
      <c r="AO922" t="n">
        <v>48.148</v>
      </c>
      <c r="AP922" t="n">
        <v>2318.2328</v>
      </c>
      <c r="AQ922" t="n">
        <v>2.567741</v>
      </c>
      <c r="AR922" t="n">
        <v>3.516157</v>
      </c>
      <c r="AY922" t="n">
        <v>920</v>
      </c>
      <c r="AZ922" t="n">
        <v>919</v>
      </c>
      <c r="BA922" t="n">
        <v>4619.59</v>
      </c>
      <c r="BB922" t="n">
        <v>4571.442</v>
      </c>
      <c r="BC922" t="n">
        <v>48.148</v>
      </c>
      <c r="BD922" t="n">
        <v>2318.2328</v>
      </c>
      <c r="BE922" t="n">
        <v>844561</v>
      </c>
    </row>
    <row r="923">
      <c r="A923" t="n">
        <v>1777561202</v>
      </c>
      <c r="B923" t="inlineStr">
        <is>
          <t>XAUUSD</t>
        </is>
      </c>
      <c r="C923" t="inlineStr">
        <is>
          <t>M15</t>
        </is>
      </c>
      <c r="D923" t="n">
        <v>4620.13</v>
      </c>
      <c r="E923" t="n">
        <v>4518.59282</v>
      </c>
      <c r="F923" t="n">
        <v>4596.05595</v>
      </c>
      <c r="G923" t="n">
        <v>4755.40355</v>
      </c>
      <c r="H923" t="n">
        <v>4792.76972</v>
      </c>
      <c r="Q923" t="n">
        <v>4571.17437</v>
      </c>
      <c r="R923" t="n">
        <v>4600.53766</v>
      </c>
      <c r="S923" t="n">
        <v>4627.12643</v>
      </c>
      <c r="V923" t="n">
        <v>4536.23459</v>
      </c>
      <c r="W923" t="n">
        <v>4502.6696</v>
      </c>
      <c r="AB923" t="n">
        <v>4618.23207</v>
      </c>
      <c r="AC923" t="n">
        <v>4619.17443</v>
      </c>
      <c r="AD923" t="n">
        <v>0</v>
      </c>
      <c r="AK923" t="n">
        <v>921</v>
      </c>
      <c r="AL923" t="n">
        <v>920</v>
      </c>
      <c r="AM923" t="n">
        <v>4620.13</v>
      </c>
      <c r="AN923" t="n">
        <v>4571.1744</v>
      </c>
      <c r="AO923" t="n">
        <v>48.9556</v>
      </c>
      <c r="AP923" t="n">
        <v>2396.6537</v>
      </c>
      <c r="AQ923" t="n">
        <v>2.699128</v>
      </c>
      <c r="AR923" t="n">
        <v>3.758068</v>
      </c>
      <c r="AY923" t="n">
        <v>921</v>
      </c>
      <c r="AZ923" t="n">
        <v>920</v>
      </c>
      <c r="BA923" t="n">
        <v>4620.13</v>
      </c>
      <c r="BB923" t="n">
        <v>4571.1744</v>
      </c>
      <c r="BC923" t="n">
        <v>48.9556</v>
      </c>
      <c r="BD923" t="n">
        <v>2396.6537</v>
      </c>
      <c r="BE923" t="n">
        <v>846400</v>
      </c>
    </row>
    <row r="924">
      <c r="A924" t="n">
        <v>1777562102</v>
      </c>
      <c r="B924" t="inlineStr">
        <is>
          <t>XAUUSD</t>
        </is>
      </c>
      <c r="C924" t="inlineStr">
        <is>
          <t>M15</t>
        </is>
      </c>
      <c r="D924" t="n">
        <v>4623.09</v>
      </c>
      <c r="E924" t="n">
        <v>4518.59282</v>
      </c>
      <c r="F924" t="n">
        <v>4596.05595</v>
      </c>
      <c r="G924" t="n">
        <v>4755.40355</v>
      </c>
      <c r="H924" t="n">
        <v>4792.76972</v>
      </c>
      <c r="Q924" t="n">
        <v>4570.90676</v>
      </c>
      <c r="R924" t="n">
        <v>4600.27006</v>
      </c>
      <c r="S924" t="n">
        <v>4626.85883</v>
      </c>
      <c r="V924" t="n">
        <v>4535.96699</v>
      </c>
      <c r="W924" t="n">
        <v>4502.40199</v>
      </c>
      <c r="AB924" t="n">
        <v>4617.24817</v>
      </c>
      <c r="AC924" t="n">
        <v>4618.2113</v>
      </c>
      <c r="AD924" t="n">
        <v>0</v>
      </c>
      <c r="AK924" t="n">
        <v>922</v>
      </c>
      <c r="AL924" t="n">
        <v>921</v>
      </c>
      <c r="AM924" t="n">
        <v>4623.09</v>
      </c>
      <c r="AN924" t="n">
        <v>4570.9068</v>
      </c>
      <c r="AO924" t="n">
        <v>52.1832</v>
      </c>
      <c r="AP924" t="n">
        <v>2723.0905</v>
      </c>
      <c r="AQ924" t="n">
        <v>3.268953</v>
      </c>
      <c r="AR924" t="n">
        <v>4.851525</v>
      </c>
      <c r="AY924" t="n">
        <v>922</v>
      </c>
      <c r="AZ924" t="n">
        <v>921</v>
      </c>
      <c r="BA924" t="n">
        <v>4623.09</v>
      </c>
      <c r="BB924" t="n">
        <v>4570.9068</v>
      </c>
      <c r="BC924" t="n">
        <v>52.1832</v>
      </c>
      <c r="BD924" t="n">
        <v>2723.0905</v>
      </c>
      <c r="BE924" t="n">
        <v>848241</v>
      </c>
    </row>
    <row r="925">
      <c r="A925" t="n">
        <v>1777563002</v>
      </c>
      <c r="B925" t="inlineStr">
        <is>
          <t>XAUUSD</t>
        </is>
      </c>
      <c r="C925" t="inlineStr">
        <is>
          <t>M15</t>
        </is>
      </c>
      <c r="D925" t="n">
        <v>4615.65</v>
      </c>
      <c r="E925" t="n">
        <v>4518.59282</v>
      </c>
      <c r="F925" t="n">
        <v>4596.05595</v>
      </c>
      <c r="G925" t="n">
        <v>4755.40355</v>
      </c>
      <c r="H925" t="n">
        <v>4792.76972</v>
      </c>
      <c r="Q925" t="n">
        <v>4570.63916</v>
      </c>
      <c r="R925" t="n">
        <v>4600.00246</v>
      </c>
      <c r="S925" t="n">
        <v>4626.59123</v>
      </c>
      <c r="V925" t="n">
        <v>4535.69939</v>
      </c>
      <c r="W925" t="n">
        <v>4502.13439</v>
      </c>
      <c r="AB925" t="n">
        <v>4615.89207</v>
      </c>
      <c r="AC925" t="n">
        <v>4617.05168</v>
      </c>
      <c r="AD925" t="n">
        <v>0</v>
      </c>
      <c r="AK925" t="n">
        <v>923</v>
      </c>
      <c r="AL925" t="n">
        <v>922</v>
      </c>
      <c r="AM925" t="n">
        <v>4615.65</v>
      </c>
      <c r="AN925" t="n">
        <v>4570.6392</v>
      </c>
      <c r="AO925" t="n">
        <v>45.0108</v>
      </c>
      <c r="AP925" t="n">
        <v>2025.9757</v>
      </c>
      <c r="AQ925" t="n">
        <v>2.097814</v>
      </c>
      <c r="AR925" t="n">
        <v>2.685484</v>
      </c>
      <c r="AY925" t="n">
        <v>923</v>
      </c>
      <c r="AZ925" t="n">
        <v>922</v>
      </c>
      <c r="BA925" t="n">
        <v>4615.65</v>
      </c>
      <c r="BB925" t="n">
        <v>4570.6392</v>
      </c>
      <c r="BC925" t="n">
        <v>45.0108</v>
      </c>
      <c r="BD925" t="n">
        <v>2025.9757</v>
      </c>
      <c r="BE925" t="n">
        <v>850084</v>
      </c>
    </row>
    <row r="926">
      <c r="A926" t="n">
        <v>1777563902</v>
      </c>
      <c r="B926" t="inlineStr">
        <is>
          <t>XAUUSD</t>
        </is>
      </c>
      <c r="C926" t="inlineStr">
        <is>
          <t>M15</t>
        </is>
      </c>
      <c r="D926" t="n">
        <v>4615.35</v>
      </c>
      <c r="E926" t="n">
        <v>4518.59282</v>
      </c>
      <c r="F926" t="n">
        <v>4596.05595</v>
      </c>
      <c r="G926" t="n">
        <v>4755.40355</v>
      </c>
      <c r="H926" t="n">
        <v>4792.76972</v>
      </c>
      <c r="Q926" t="n">
        <v>4570.37155</v>
      </c>
      <c r="R926" t="n">
        <v>4599.73485</v>
      </c>
      <c r="S926" t="n">
        <v>4626.32362</v>
      </c>
      <c r="V926" t="n">
        <v>4535.43178</v>
      </c>
      <c r="W926" t="n">
        <v>4501.86679</v>
      </c>
      <c r="AB926" t="n">
        <v>4614.35706</v>
      </c>
      <c r="AC926" t="n">
        <v>4615.70437</v>
      </c>
      <c r="AD926" t="n">
        <v>0</v>
      </c>
      <c r="AK926" t="n">
        <v>924</v>
      </c>
      <c r="AL926" t="n">
        <v>923</v>
      </c>
      <c r="AM926" t="n">
        <v>4615.35</v>
      </c>
      <c r="AN926" t="n">
        <v>4570.3715</v>
      </c>
      <c r="AO926" t="n">
        <v>44.9785</v>
      </c>
      <c r="AP926" t="n">
        <v>2023.061</v>
      </c>
      <c r="AQ926" t="n">
        <v>2.093288</v>
      </c>
      <c r="AR926" t="n">
        <v>2.677762</v>
      </c>
      <c r="AY926" t="n">
        <v>924</v>
      </c>
      <c r="AZ926" t="n">
        <v>923</v>
      </c>
      <c r="BA926" t="n">
        <v>4615.35</v>
      </c>
      <c r="BB926" t="n">
        <v>4570.3715</v>
      </c>
      <c r="BC926" t="n">
        <v>44.9785</v>
      </c>
      <c r="BD926" t="n">
        <v>2023.061</v>
      </c>
      <c r="BE926" t="n">
        <v>851929</v>
      </c>
    </row>
    <row r="927">
      <c r="A927" t="n">
        <v>1777564802</v>
      </c>
      <c r="B927" t="inlineStr">
        <is>
          <t>XAUUSD</t>
        </is>
      </c>
      <c r="C927" t="inlineStr">
        <is>
          <t>M15</t>
        </is>
      </c>
      <c r="D927" t="n">
        <v>4611.63</v>
      </c>
      <c r="E927" t="n">
        <v>4518.59282</v>
      </c>
      <c r="F927" t="n">
        <v>4596.05595</v>
      </c>
      <c r="G927" t="n">
        <v>4755.40355</v>
      </c>
      <c r="H927" t="n">
        <v>4792.76972</v>
      </c>
      <c r="Q927" t="n">
        <v>4570.10395</v>
      </c>
      <c r="R927" t="n">
        <v>4599.46725</v>
      </c>
      <c r="S927" t="n">
        <v>4626.05602</v>
      </c>
      <c r="V927" t="n">
        <v>4535.16418</v>
      </c>
      <c r="W927" t="n">
        <v>4501.59918</v>
      </c>
      <c r="AB927" t="n">
        <v>4612.79631</v>
      </c>
      <c r="AC927" t="n">
        <v>4614.25034</v>
      </c>
      <c r="AD927" t="n">
        <v>0</v>
      </c>
      <c r="AK927" t="n">
        <v>925</v>
      </c>
      <c r="AL927" t="n">
        <v>924</v>
      </c>
      <c r="AM927" t="n">
        <v>4611.63</v>
      </c>
      <c r="AN927" t="n">
        <v>4570.1039</v>
      </c>
      <c r="AO927" t="n">
        <v>41.5261</v>
      </c>
      <c r="AP927" t="n">
        <v>1724.4128</v>
      </c>
      <c r="AQ927" t="n">
        <v>1.647318</v>
      </c>
      <c r="AR927" t="n">
        <v>1.945524</v>
      </c>
      <c r="AY927" t="n">
        <v>925</v>
      </c>
      <c r="AZ927" t="n">
        <v>924</v>
      </c>
      <c r="BA927" t="n">
        <v>4611.63</v>
      </c>
      <c r="BB927" t="n">
        <v>4570.1039</v>
      </c>
      <c r="BC927" t="n">
        <v>41.5261</v>
      </c>
      <c r="BD927" t="n">
        <v>1724.4128</v>
      </c>
      <c r="BE927" t="n">
        <v>853776</v>
      </c>
    </row>
    <row r="928">
      <c r="A928" t="n">
        <v>1777565702</v>
      </c>
      <c r="B928" t="inlineStr">
        <is>
          <t>XAUUSD</t>
        </is>
      </c>
      <c r="C928" t="inlineStr">
        <is>
          <t>M15</t>
        </is>
      </c>
      <c r="D928" t="n">
        <v>4608.08</v>
      </c>
      <c r="E928" t="n">
        <v>4518.59282</v>
      </c>
      <c r="F928" t="n">
        <v>4596.05595</v>
      </c>
      <c r="G928" t="n">
        <v>4755.40355</v>
      </c>
      <c r="H928" t="n">
        <v>4792.76972</v>
      </c>
      <c r="Q928" t="n">
        <v>4569.83634</v>
      </c>
      <c r="R928" t="n">
        <v>4599.19964</v>
      </c>
      <c r="S928" t="n">
        <v>4625.78841</v>
      </c>
      <c r="V928" t="n">
        <v>4534.89657</v>
      </c>
      <c r="W928" t="n">
        <v>4501.33158</v>
      </c>
      <c r="AB928" t="n">
        <v>4611.55884</v>
      </c>
      <c r="AC928" t="n">
        <v>4612.90459</v>
      </c>
      <c r="AD928" t="n">
        <v>0</v>
      </c>
      <c r="AK928" t="n">
        <v>926</v>
      </c>
      <c r="AL928" t="n">
        <v>925</v>
      </c>
      <c r="AM928" t="n">
        <v>4608.08</v>
      </c>
      <c r="AN928" t="n">
        <v>4569.8363</v>
      </c>
      <c r="AO928" t="n">
        <v>38.2437</v>
      </c>
      <c r="AP928" t="n">
        <v>1462.5775</v>
      </c>
      <c r="AQ928" t="n">
        <v>1.286749</v>
      </c>
      <c r="AR928" t="n">
        <v>1.399561</v>
      </c>
      <c r="AY928" t="n">
        <v>926</v>
      </c>
      <c r="AZ928" t="n">
        <v>925</v>
      </c>
      <c r="BA928" t="n">
        <v>4608.08</v>
      </c>
      <c r="BB928" t="n">
        <v>4569.8363</v>
      </c>
      <c r="BC928" t="n">
        <v>38.2437</v>
      </c>
      <c r="BD928" t="n">
        <v>1462.5775</v>
      </c>
      <c r="BE928" t="n">
        <v>855625</v>
      </c>
    </row>
    <row r="929">
      <c r="A929" t="n">
        <v>1777566602</v>
      </c>
      <c r="B929" t="inlineStr">
        <is>
          <t>XAUUSD</t>
        </is>
      </c>
      <c r="C929" t="inlineStr">
        <is>
          <t>M15</t>
        </is>
      </c>
      <c r="D929" t="n">
        <v>4609.12</v>
      </c>
      <c r="E929" t="n">
        <v>4518.59282</v>
      </c>
      <c r="F929" t="n">
        <v>4596.05595</v>
      </c>
      <c r="G929" t="n">
        <v>4755.40355</v>
      </c>
      <c r="H929" t="n">
        <v>4792.76972</v>
      </c>
      <c r="Q929" t="n">
        <v>4569.56874</v>
      </c>
      <c r="R929" t="n">
        <v>4598.93204</v>
      </c>
      <c r="S929" t="n">
        <v>4625.52081</v>
      </c>
      <c r="V929" t="n">
        <v>4534.62897</v>
      </c>
      <c r="W929" t="n">
        <v>4501.06397</v>
      </c>
      <c r="AB929" t="n">
        <v>4610.99644</v>
      </c>
      <c r="AC929" t="n">
        <v>4611.95051</v>
      </c>
      <c r="AD929" t="n">
        <v>0</v>
      </c>
      <c r="AK929" t="n">
        <v>927</v>
      </c>
      <c r="AL929" t="n">
        <v>926</v>
      </c>
      <c r="AM929" t="n">
        <v>4609.12</v>
      </c>
      <c r="AN929" t="n">
        <v>4569.5687</v>
      </c>
      <c r="AO929" t="n">
        <v>39.5513</v>
      </c>
      <c r="AP929" t="n">
        <v>1564.3022</v>
      </c>
      <c r="AQ929" t="n">
        <v>1.4233</v>
      </c>
      <c r="AR929" t="n">
        <v>1.601015</v>
      </c>
      <c r="AY929" t="n">
        <v>927</v>
      </c>
      <c r="AZ929" t="n">
        <v>926</v>
      </c>
      <c r="BA929" t="n">
        <v>4609.12</v>
      </c>
      <c r="BB929" t="n">
        <v>4569.5687</v>
      </c>
      <c r="BC929" t="n">
        <v>39.5513</v>
      </c>
      <c r="BD929" t="n">
        <v>1564.3022</v>
      </c>
      <c r="BE929" t="n">
        <v>857476</v>
      </c>
    </row>
    <row r="930">
      <c r="A930" t="n">
        <v>1777567502</v>
      </c>
      <c r="B930" t="inlineStr">
        <is>
          <t>XAUUSD</t>
        </is>
      </c>
      <c r="C930" t="inlineStr">
        <is>
          <t>M15</t>
        </is>
      </c>
      <c r="D930" t="n">
        <v>4607.62</v>
      </c>
      <c r="E930" t="n">
        <v>4518.59282</v>
      </c>
      <c r="F930" t="n">
        <v>4596.05595</v>
      </c>
      <c r="G930" t="n">
        <v>4755.40355</v>
      </c>
      <c r="H930" t="n">
        <v>4792.76972</v>
      </c>
      <c r="Q930" t="n">
        <v>4569.30114</v>
      </c>
      <c r="R930" t="n">
        <v>4598.66444</v>
      </c>
      <c r="S930" t="n">
        <v>4625.25321</v>
      </c>
      <c r="V930" t="n">
        <v>4534.36137</v>
      </c>
      <c r="W930" t="n">
        <v>4500.79637</v>
      </c>
      <c r="AA930" t="n">
        <v>4605.56</v>
      </c>
      <c r="AB930" t="n">
        <v>4611.26795</v>
      </c>
      <c r="AC930" t="n">
        <v>4611.60923</v>
      </c>
      <c r="AD930" t="n">
        <v>0</v>
      </c>
      <c r="AK930" t="n">
        <v>928</v>
      </c>
      <c r="AL930" t="n">
        <v>927</v>
      </c>
      <c r="AM930" t="n">
        <v>4607.62</v>
      </c>
      <c r="AN930" t="n">
        <v>4569.3011</v>
      </c>
      <c r="AO930" t="n">
        <v>38.3189</v>
      </c>
      <c r="AP930" t="n">
        <v>1468.335</v>
      </c>
      <c r="AQ930" t="n">
        <v>1.294355</v>
      </c>
      <c r="AR930" t="n">
        <v>1.410602</v>
      </c>
      <c r="AY930" t="n">
        <v>928</v>
      </c>
      <c r="AZ930" t="n">
        <v>927</v>
      </c>
      <c r="BA930" t="n">
        <v>4607.62</v>
      </c>
      <c r="BB930" t="n">
        <v>4569.3011</v>
      </c>
      <c r="BC930" t="n">
        <v>38.3189</v>
      </c>
      <c r="BD930" t="n">
        <v>1468.335</v>
      </c>
      <c r="BE930" t="n">
        <v>859329</v>
      </c>
    </row>
    <row r="931">
      <c r="A931" t="n">
        <v>1777568402</v>
      </c>
      <c r="B931" t="inlineStr">
        <is>
          <t>XAUUSD</t>
        </is>
      </c>
      <c r="C931" t="inlineStr">
        <is>
          <t>M15</t>
        </is>
      </c>
      <c r="D931" t="n">
        <v>4615.95</v>
      </c>
      <c r="E931" t="n">
        <v>4518.59282</v>
      </c>
      <c r="F931" t="n">
        <v>4596.05595</v>
      </c>
      <c r="G931" t="n">
        <v>4755.40355</v>
      </c>
      <c r="H931" t="n">
        <v>4792.76972</v>
      </c>
      <c r="Q931" t="n">
        <v>4569.03353</v>
      </c>
      <c r="R931" t="n">
        <v>4598.39683</v>
      </c>
      <c r="S931" t="n">
        <v>4624.9856</v>
      </c>
      <c r="V931" t="n">
        <v>4534.09376</v>
      </c>
      <c r="W931" t="n">
        <v>4500.52877</v>
      </c>
      <c r="AB931" t="n">
        <v>4612.47026</v>
      </c>
      <c r="AC931" t="n">
        <v>4612.03975</v>
      </c>
      <c r="AD931" t="n">
        <v>1</v>
      </c>
      <c r="AK931" t="n">
        <v>929</v>
      </c>
      <c r="AL931" t="n">
        <v>928</v>
      </c>
      <c r="AM931" t="n">
        <v>4615.95</v>
      </c>
      <c r="AN931" t="n">
        <v>4569.0335</v>
      </c>
      <c r="AO931" t="n">
        <v>46.9165</v>
      </c>
      <c r="AP931" t="n">
        <v>2201.1552</v>
      </c>
      <c r="AQ931" t="n">
        <v>2.3757</v>
      </c>
      <c r="AR931" t="n">
        <v>3.169972</v>
      </c>
      <c r="AY931" t="n">
        <v>929</v>
      </c>
      <c r="AZ931" t="n">
        <v>928</v>
      </c>
      <c r="BA931" t="n">
        <v>4615.95</v>
      </c>
      <c r="BB931" t="n">
        <v>4569.0335</v>
      </c>
      <c r="BC931" t="n">
        <v>46.9165</v>
      </c>
      <c r="BD931" t="n">
        <v>2201.1552</v>
      </c>
      <c r="BE931" t="n">
        <v>861184</v>
      </c>
    </row>
    <row r="932">
      <c r="A932" t="n">
        <v>1777569302</v>
      </c>
      <c r="B932" t="inlineStr">
        <is>
          <t>XAUUSD</t>
        </is>
      </c>
      <c r="C932" t="inlineStr">
        <is>
          <t>M15</t>
        </is>
      </c>
      <c r="D932" t="n">
        <v>4618</v>
      </c>
      <c r="E932" t="n">
        <v>4518.59282</v>
      </c>
      <c r="F932" t="n">
        <v>4596.05595</v>
      </c>
      <c r="G932" t="n">
        <v>4755.40355</v>
      </c>
      <c r="H932" t="n">
        <v>4792.76972</v>
      </c>
      <c r="Q932" t="n">
        <v>4568.76593</v>
      </c>
      <c r="R932" t="n">
        <v>4598.12923</v>
      </c>
      <c r="S932" t="n">
        <v>4624.718</v>
      </c>
      <c r="V932" t="n">
        <v>4533.82616</v>
      </c>
      <c r="W932" t="n">
        <v>4500.26116</v>
      </c>
      <c r="AB932" t="n">
        <v>4614.29549</v>
      </c>
      <c r="AC932" t="n">
        <v>4613.16762</v>
      </c>
      <c r="AD932" t="n">
        <v>0</v>
      </c>
      <c r="AK932" t="n">
        <v>930</v>
      </c>
      <c r="AL932" t="n">
        <v>929</v>
      </c>
      <c r="AM932" t="n">
        <v>4618</v>
      </c>
      <c r="AN932" t="n">
        <v>4568.7659</v>
      </c>
      <c r="AO932" t="n">
        <v>49.2341</v>
      </c>
      <c r="AP932" t="n">
        <v>2423.9936</v>
      </c>
      <c r="AQ932" t="n">
        <v>2.745445</v>
      </c>
      <c r="AR932" t="n">
        <v>3.844298</v>
      </c>
      <c r="AY932" t="n">
        <v>930</v>
      </c>
      <c r="AZ932" t="n">
        <v>929</v>
      </c>
      <c r="BA932" t="n">
        <v>4618</v>
      </c>
      <c r="BB932" t="n">
        <v>4568.7659</v>
      </c>
      <c r="BC932" t="n">
        <v>49.2341</v>
      </c>
      <c r="BD932" t="n">
        <v>2423.9936</v>
      </c>
      <c r="BE932" t="n">
        <v>863041</v>
      </c>
    </row>
    <row r="933">
      <c r="A933" t="n">
        <v>1777570202</v>
      </c>
      <c r="B933" t="inlineStr">
        <is>
          <t>XAUUSD</t>
        </is>
      </c>
      <c r="C933" t="inlineStr">
        <is>
          <t>M15</t>
        </is>
      </c>
      <c r="D933" t="n">
        <v>4617.86</v>
      </c>
      <c r="E933" t="n">
        <v>4518.59282</v>
      </c>
      <c r="F933" t="n">
        <v>4596.05595</v>
      </c>
      <c r="G933" t="n">
        <v>4755.40355</v>
      </c>
      <c r="H933" t="n">
        <v>4792.76972</v>
      </c>
      <c r="Q933" t="n">
        <v>4568.49832</v>
      </c>
      <c r="R933" t="n">
        <v>4597.86162</v>
      </c>
      <c r="S933" t="n">
        <v>4624.45039</v>
      </c>
      <c r="V933" t="n">
        <v>4533.55855</v>
      </c>
      <c r="W933" t="n">
        <v>4499.99356</v>
      </c>
      <c r="AB933" t="n">
        <v>4616.46912</v>
      </c>
      <c r="AC933" t="n">
        <v>4614.81837</v>
      </c>
      <c r="AD933" t="n">
        <v>0</v>
      </c>
      <c r="AK933" t="n">
        <v>931</v>
      </c>
      <c r="AL933" t="n">
        <v>930</v>
      </c>
      <c r="AM933" t="n">
        <v>4617.86</v>
      </c>
      <c r="AN933" t="n">
        <v>4568.4983</v>
      </c>
      <c r="AO933" t="n">
        <v>49.3617</v>
      </c>
      <c r="AP933" t="n">
        <v>2436.5755</v>
      </c>
      <c r="AQ933" t="n">
        <v>2.766849</v>
      </c>
      <c r="AR933" t="n">
        <v>3.88431</v>
      </c>
      <c r="AY933" t="n">
        <v>931</v>
      </c>
      <c r="AZ933" t="n">
        <v>930</v>
      </c>
      <c r="BA933" t="n">
        <v>4617.86</v>
      </c>
      <c r="BB933" t="n">
        <v>4568.4983</v>
      </c>
      <c r="BC933" t="n">
        <v>49.3617</v>
      </c>
      <c r="BD933" t="n">
        <v>2436.5755</v>
      </c>
      <c r="BE933" t="n">
        <v>864900</v>
      </c>
    </row>
    <row r="934">
      <c r="A934" t="n">
        <v>1777571102</v>
      </c>
      <c r="B934" t="inlineStr">
        <is>
          <t>XAUUSD</t>
        </is>
      </c>
      <c r="C934" t="inlineStr">
        <is>
          <t>M15</t>
        </is>
      </c>
      <c r="D934" t="n">
        <v>4616.86</v>
      </c>
      <c r="E934" t="n">
        <v>4518.59282</v>
      </c>
      <c r="F934" t="n">
        <v>4596.05595</v>
      </c>
      <c r="G934" t="n">
        <v>4755.40355</v>
      </c>
      <c r="H934" t="n">
        <v>4792.76972</v>
      </c>
      <c r="Q934" t="n">
        <v>4568.23072</v>
      </c>
      <c r="R934" t="n">
        <v>4597.59402</v>
      </c>
      <c r="S934" t="n">
        <v>4624.18279</v>
      </c>
      <c r="V934" t="n">
        <v>4533.29095</v>
      </c>
      <c r="W934" t="n">
        <v>4499.72595</v>
      </c>
      <c r="AB934" t="n">
        <v>4618.69063</v>
      </c>
      <c r="AC934" t="n">
        <v>4616.7545</v>
      </c>
      <c r="AD934" t="n">
        <v>0</v>
      </c>
      <c r="AK934" t="n">
        <v>932</v>
      </c>
      <c r="AL934" t="n">
        <v>931</v>
      </c>
      <c r="AM934" t="n">
        <v>4616.86</v>
      </c>
      <c r="AN934" t="n">
        <v>4568.2307</v>
      </c>
      <c r="AO934" t="n">
        <v>48.6293</v>
      </c>
      <c r="AP934" t="n">
        <v>2364.8069</v>
      </c>
      <c r="AQ934" t="n">
        <v>2.645508</v>
      </c>
      <c r="AR934" t="n">
        <v>3.658857</v>
      </c>
      <c r="AY934" t="n">
        <v>932</v>
      </c>
      <c r="AZ934" t="n">
        <v>931</v>
      </c>
      <c r="BA934" t="n">
        <v>4616.86</v>
      </c>
      <c r="BB934" t="n">
        <v>4568.2307</v>
      </c>
      <c r="BC934" t="n">
        <v>48.6293</v>
      </c>
      <c r="BD934" t="n">
        <v>2364.8069</v>
      </c>
      <c r="BE934" t="n">
        <v>866761</v>
      </c>
    </row>
    <row r="935">
      <c r="A935" t="n">
        <v>1777572002</v>
      </c>
      <c r="B935" t="inlineStr">
        <is>
          <t>XAUUSD</t>
        </is>
      </c>
      <c r="C935" t="inlineStr">
        <is>
          <t>M15</t>
        </is>
      </c>
      <c r="D935" t="n">
        <v>4620.57</v>
      </c>
      <c r="E935" t="n">
        <v>4518.59282</v>
      </c>
      <c r="F935" t="n">
        <v>4596.05595</v>
      </c>
      <c r="G935" t="n">
        <v>4755.40355</v>
      </c>
      <c r="H935" t="n">
        <v>4792.76972</v>
      </c>
      <c r="Q935" t="n">
        <v>4567.96312</v>
      </c>
      <c r="R935" t="n">
        <v>4597.32641</v>
      </c>
      <c r="S935" t="n">
        <v>4623.91519</v>
      </c>
      <c r="V935" t="n">
        <v>4533.02335</v>
      </c>
      <c r="W935" t="n">
        <v>4499.45835</v>
      </c>
      <c r="AB935" t="n">
        <v>4620.65316</v>
      </c>
      <c r="AC935" t="n">
        <v>4618.70383</v>
      </c>
      <c r="AD935" t="n">
        <v>0</v>
      </c>
      <c r="AK935" t="n">
        <v>933</v>
      </c>
      <c r="AL935" t="n">
        <v>932</v>
      </c>
      <c r="AM935" t="n">
        <v>4620.57</v>
      </c>
      <c r="AN935" t="n">
        <v>4567.9631</v>
      </c>
      <c r="AO935" t="n">
        <v>52.6069</v>
      </c>
      <c r="AP935" t="n">
        <v>2767.4838</v>
      </c>
      <c r="AQ935" t="n">
        <v>3.349216</v>
      </c>
      <c r="AR935" t="n">
        <v>5.010999</v>
      </c>
      <c r="AY935" t="n">
        <v>933</v>
      </c>
      <c r="AZ935" t="n">
        <v>932</v>
      </c>
      <c r="BA935" t="n">
        <v>4620.57</v>
      </c>
      <c r="BB935" t="n">
        <v>4567.9631</v>
      </c>
      <c r="BC935" t="n">
        <v>52.6069</v>
      </c>
      <c r="BD935" t="n">
        <v>2767.4838</v>
      </c>
      <c r="BE935" t="n">
        <v>868624</v>
      </c>
    </row>
    <row r="936">
      <c r="A936" t="n">
        <v>1777572902</v>
      </c>
      <c r="B936" t="inlineStr">
        <is>
          <t>XAUUSD</t>
        </is>
      </c>
      <c r="C936" t="inlineStr">
        <is>
          <t>M15</t>
        </is>
      </c>
      <c r="D936" t="n">
        <v>4620.79</v>
      </c>
      <c r="E936" t="n">
        <v>4518.59282</v>
      </c>
      <c r="F936" t="n">
        <v>4596.05595</v>
      </c>
      <c r="G936" t="n">
        <v>4755.40355</v>
      </c>
      <c r="H936" t="n">
        <v>4792.76972</v>
      </c>
      <c r="Q936" t="n">
        <v>4567.69551</v>
      </c>
      <c r="R936" t="n">
        <v>4597.05881</v>
      </c>
      <c r="S936" t="n">
        <v>4623.64758</v>
      </c>
      <c r="V936" t="n">
        <v>4532.75574</v>
      </c>
      <c r="W936" t="n">
        <v>4499.19075</v>
      </c>
      <c r="AB936" t="n">
        <v>4622.00271</v>
      </c>
      <c r="AC936" t="n">
        <v>4620.35327</v>
      </c>
      <c r="AD936" t="n">
        <v>0</v>
      </c>
      <c r="AK936" t="n">
        <v>934</v>
      </c>
      <c r="AL936" t="n">
        <v>933</v>
      </c>
      <c r="AM936" t="n">
        <v>4620.79</v>
      </c>
      <c r="AN936" t="n">
        <v>4567.6955</v>
      </c>
      <c r="AO936" t="n">
        <v>53.0945</v>
      </c>
      <c r="AP936" t="n">
        <v>2819.0249</v>
      </c>
      <c r="AQ936" t="n">
        <v>3.443213</v>
      </c>
      <c r="AR936" t="n">
        <v>5.199384</v>
      </c>
      <c r="AY936" t="n">
        <v>934</v>
      </c>
      <c r="AZ936" t="n">
        <v>933</v>
      </c>
      <c r="BA936" t="n">
        <v>4620.79</v>
      </c>
      <c r="BB936" t="n">
        <v>4567.6955</v>
      </c>
      <c r="BC936" t="n">
        <v>53.0945</v>
      </c>
      <c r="BD936" t="n">
        <v>2819.0249</v>
      </c>
      <c r="BE936" t="n">
        <v>870489</v>
      </c>
    </row>
    <row r="937">
      <c r="A937" t="n">
        <v>1777573802</v>
      </c>
      <c r="B937" t="inlineStr">
        <is>
          <t>XAUUSD</t>
        </is>
      </c>
      <c r="C937" t="inlineStr">
        <is>
          <t>M15</t>
        </is>
      </c>
      <c r="D937" t="n">
        <v>4620.7</v>
      </c>
      <c r="E937" t="n">
        <v>4518.59282</v>
      </c>
      <c r="F937" t="n">
        <v>4596.05595</v>
      </c>
      <c r="G937" t="n">
        <v>4755.40355</v>
      </c>
      <c r="H937" t="n">
        <v>4792.76972</v>
      </c>
      <c r="Q937" t="n">
        <v>4567.42791</v>
      </c>
      <c r="R937" t="n">
        <v>4596.79121</v>
      </c>
      <c r="S937" t="n">
        <v>4623.37998</v>
      </c>
      <c r="V937" t="n">
        <v>4532.48814</v>
      </c>
      <c r="W937" t="n">
        <v>4498.92314</v>
      </c>
      <c r="AB937" t="n">
        <v>4622.56406</v>
      </c>
      <c r="AC937" t="n">
        <v>4621.45866</v>
      </c>
      <c r="AD937" t="n">
        <v>0</v>
      </c>
      <c r="AK937" t="n">
        <v>935</v>
      </c>
      <c r="AL937" t="n">
        <v>934</v>
      </c>
      <c r="AM937" t="n">
        <v>4620.7</v>
      </c>
      <c r="AN937" t="n">
        <v>4567.4279</v>
      </c>
      <c r="AO937" t="n">
        <v>53.2721</v>
      </c>
      <c r="AP937" t="n">
        <v>2837.9156</v>
      </c>
      <c r="AQ937" t="n">
        <v>3.477882</v>
      </c>
      <c r="AR937" t="n">
        <v>5.269302</v>
      </c>
      <c r="AY937" t="n">
        <v>935</v>
      </c>
      <c r="AZ937" t="n">
        <v>934</v>
      </c>
      <c r="BA937" t="n">
        <v>4620.7</v>
      </c>
      <c r="BB937" t="n">
        <v>4567.4279</v>
      </c>
      <c r="BC937" t="n">
        <v>53.2721</v>
      </c>
      <c r="BD937" t="n">
        <v>2837.9156</v>
      </c>
      <c r="BE937" t="n">
        <v>872356</v>
      </c>
    </row>
    <row r="938">
      <c r="A938" t="n">
        <v>1777574702</v>
      </c>
      <c r="B938" t="inlineStr">
        <is>
          <t>XAUUSD</t>
        </is>
      </c>
      <c r="C938" t="inlineStr">
        <is>
          <t>M15</t>
        </is>
      </c>
      <c r="D938" t="n">
        <v>4622.48</v>
      </c>
      <c r="E938" t="n">
        <v>4518.59282</v>
      </c>
      <c r="F938" t="n">
        <v>4596.05595</v>
      </c>
      <c r="G938" t="n">
        <v>4755.40355</v>
      </c>
      <c r="H938" t="n">
        <v>4792.76972</v>
      </c>
      <c r="Q938" t="n">
        <v>4567.1603</v>
      </c>
      <c r="R938" t="n">
        <v>4596.5236</v>
      </c>
      <c r="S938" t="n">
        <v>4623.11237</v>
      </c>
      <c r="V938" t="n">
        <v>4532.22053</v>
      </c>
      <c r="W938" t="n">
        <v>4498.65554</v>
      </c>
      <c r="AB938" t="n">
        <v>4622.31167</v>
      </c>
      <c r="AC938" t="n">
        <v>4621.88517</v>
      </c>
      <c r="AD938" t="n">
        <v>0</v>
      </c>
      <c r="AK938" t="n">
        <v>936</v>
      </c>
      <c r="AL938" t="n">
        <v>935</v>
      </c>
      <c r="AM938" t="n">
        <v>4622.48</v>
      </c>
      <c r="AN938" t="n">
        <v>4567.1603</v>
      </c>
      <c r="AO938" t="n">
        <v>55.3197</v>
      </c>
      <c r="AP938" t="n">
        <v>3060.2692</v>
      </c>
      <c r="AQ938" t="n">
        <v>3.89453</v>
      </c>
      <c r="AR938" t="n">
        <v>6.12736</v>
      </c>
      <c r="AY938" t="n">
        <v>936</v>
      </c>
      <c r="AZ938" t="n">
        <v>935</v>
      </c>
      <c r="BA938" t="n">
        <v>4622.48</v>
      </c>
      <c r="BB938" t="n">
        <v>4567.1603</v>
      </c>
      <c r="BC938" t="n">
        <v>55.3197</v>
      </c>
      <c r="BD938" t="n">
        <v>3060.2692</v>
      </c>
      <c r="BE938" t="n">
        <v>874225</v>
      </c>
    </row>
    <row r="939">
      <c r="A939" t="n">
        <v>1777575602</v>
      </c>
      <c r="B939" t="inlineStr">
        <is>
          <t>XAUUSD</t>
        </is>
      </c>
      <c r="C939" t="inlineStr">
        <is>
          <t>M15</t>
        </is>
      </c>
      <c r="D939" t="n">
        <v>4624.33</v>
      </c>
      <c r="E939" t="n">
        <v>4518.59282</v>
      </c>
      <c r="F939" t="n">
        <v>4596.05595</v>
      </c>
      <c r="G939" t="n">
        <v>4755.40355</v>
      </c>
      <c r="H939" t="n">
        <v>4792.76972</v>
      </c>
      <c r="Q939" t="n">
        <v>4566.8927</v>
      </c>
      <c r="R939" t="n">
        <v>4596.256</v>
      </c>
      <c r="S939" t="n">
        <v>4622.84477</v>
      </c>
      <c r="V939" t="n">
        <v>4531.95293</v>
      </c>
      <c r="W939" t="n">
        <v>4498.38793</v>
      </c>
      <c r="AB939" t="n">
        <v>4621.3179</v>
      </c>
      <c r="AC939" t="n">
        <v>4621.60153</v>
      </c>
      <c r="AD939" t="n">
        <v>1</v>
      </c>
      <c r="AK939" t="n">
        <v>937</v>
      </c>
      <c r="AL939" t="n">
        <v>936</v>
      </c>
      <c r="AM939" t="n">
        <v>4624.33</v>
      </c>
      <c r="AN939" t="n">
        <v>4566.8927</v>
      </c>
      <c r="AO939" t="n">
        <v>57.4373</v>
      </c>
      <c r="AP939" t="n">
        <v>3299.0434</v>
      </c>
      <c r="AQ939" t="n">
        <v>4.359108</v>
      </c>
      <c r="AR939" t="n">
        <v>7.120823</v>
      </c>
      <c r="AY939" t="n">
        <v>937</v>
      </c>
      <c r="AZ939" t="n">
        <v>936</v>
      </c>
      <c r="BA939" t="n">
        <v>4624.33</v>
      </c>
      <c r="BB939" t="n">
        <v>4566.8927</v>
      </c>
      <c r="BC939" t="n">
        <v>57.4373</v>
      </c>
      <c r="BD939" t="n">
        <v>3299.0434</v>
      </c>
      <c r="BE939" t="n">
        <v>876096</v>
      </c>
    </row>
    <row r="940">
      <c r="A940" t="n">
        <v>1777576502</v>
      </c>
      <c r="B940" t="inlineStr">
        <is>
          <t>XAUUSD</t>
        </is>
      </c>
      <c r="C940" t="inlineStr">
        <is>
          <t>M15</t>
        </is>
      </c>
      <c r="D940" t="n">
        <v>4617.77</v>
      </c>
      <c r="E940" t="n">
        <v>4518.59282</v>
      </c>
      <c r="F940" t="n">
        <v>4596.05595</v>
      </c>
      <c r="G940" t="n">
        <v>4755.40355</v>
      </c>
      <c r="H940" t="n">
        <v>4792.76972</v>
      </c>
      <c r="Q940" t="n">
        <v>4566.6251</v>
      </c>
      <c r="R940" t="n">
        <v>4595.98839</v>
      </c>
      <c r="S940" t="n">
        <v>4622.57717</v>
      </c>
      <c r="V940" t="n">
        <v>4531.68533</v>
      </c>
      <c r="W940" t="n">
        <v>4498.12033</v>
      </c>
      <c r="AB940" t="n">
        <v>4619.84251</v>
      </c>
      <c r="AC940" t="n">
        <v>4620.72202</v>
      </c>
      <c r="AD940" t="n">
        <v>0</v>
      </c>
      <c r="AK940" t="n">
        <v>938</v>
      </c>
      <c r="AL940" t="n">
        <v>937</v>
      </c>
      <c r="AM940" t="n">
        <v>4617.77</v>
      </c>
      <c r="AN940" t="n">
        <v>4566.6251</v>
      </c>
      <c r="AO940" t="n">
        <v>51.1449</v>
      </c>
      <c r="AP940" t="n">
        <v>2615.8008</v>
      </c>
      <c r="AQ940" t="n">
        <v>3.077674</v>
      </c>
      <c r="AR940" t="n">
        <v>4.476756</v>
      </c>
      <c r="AY940" t="n">
        <v>938</v>
      </c>
      <c r="AZ940" t="n">
        <v>937</v>
      </c>
      <c r="BA940" t="n">
        <v>4617.77</v>
      </c>
      <c r="BB940" t="n">
        <v>4566.6251</v>
      </c>
      <c r="BC940" t="n">
        <v>51.1449</v>
      </c>
      <c r="BD940" t="n">
        <v>2615.8008</v>
      </c>
      <c r="BE940" t="n">
        <v>877969</v>
      </c>
    </row>
    <row r="941">
      <c r="A941" t="n">
        <v>1777577402</v>
      </c>
      <c r="B941" t="inlineStr">
        <is>
          <t>XAUUSD</t>
        </is>
      </c>
      <c r="C941" t="inlineStr">
        <is>
          <t>M15</t>
        </is>
      </c>
      <c r="D941" t="n">
        <v>4622.49</v>
      </c>
      <c r="E941" t="n">
        <v>4518.59282</v>
      </c>
      <c r="F941" t="n">
        <v>4596.05595</v>
      </c>
      <c r="G941" t="n">
        <v>4755.40355</v>
      </c>
      <c r="H941" t="n">
        <v>4792.76972</v>
      </c>
      <c r="Q941" t="n">
        <v>4566.35749</v>
      </c>
      <c r="R941" t="n">
        <v>4595.72079</v>
      </c>
      <c r="S941" t="n">
        <v>4622.30956</v>
      </c>
      <c r="V941" t="n">
        <v>4531.41772</v>
      </c>
      <c r="W941" t="n">
        <v>4497.85273</v>
      </c>
      <c r="AB941" t="n">
        <v>4618.46841</v>
      </c>
      <c r="AC941" t="n">
        <v>4619.59522</v>
      </c>
      <c r="AD941" t="n">
        <v>0</v>
      </c>
      <c r="AK941" t="n">
        <v>939</v>
      </c>
      <c r="AL941" t="n">
        <v>938</v>
      </c>
      <c r="AM941" t="n">
        <v>4622.49</v>
      </c>
      <c r="AN941" t="n">
        <v>4566.3575</v>
      </c>
      <c r="AO941" t="n">
        <v>56.1325</v>
      </c>
      <c r="AP941" t="n">
        <v>3150.8587</v>
      </c>
      <c r="AQ941" t="n">
        <v>4.068731</v>
      </c>
      <c r="AR941" t="n">
        <v>6.495491</v>
      </c>
      <c r="AY941" t="n">
        <v>939</v>
      </c>
      <c r="AZ941" t="n">
        <v>938</v>
      </c>
      <c r="BA941" t="n">
        <v>4622.49</v>
      </c>
      <c r="BB941" t="n">
        <v>4566.3575</v>
      </c>
      <c r="BC941" t="n">
        <v>56.1325</v>
      </c>
      <c r="BD941" t="n">
        <v>3150.8587</v>
      </c>
      <c r="BE941" t="n">
        <v>879844</v>
      </c>
    </row>
    <row r="942">
      <c r="A942" t="n">
        <v>1777578302</v>
      </c>
      <c r="B942" t="inlineStr">
        <is>
          <t>XAUUSD</t>
        </is>
      </c>
      <c r="C942" t="inlineStr">
        <is>
          <t>M15</t>
        </is>
      </c>
      <c r="D942" t="n">
        <v>4617.07</v>
      </c>
      <c r="E942" t="n">
        <v>4518.59282</v>
      </c>
      <c r="F942" t="n">
        <v>4596.05595</v>
      </c>
      <c r="G942" t="n">
        <v>4755.40355</v>
      </c>
      <c r="H942" t="n">
        <v>4792.76972</v>
      </c>
      <c r="Q942" t="n">
        <v>4566.08989</v>
      </c>
      <c r="R942" t="n">
        <v>4595.45319</v>
      </c>
      <c r="S942" t="n">
        <v>4622.04196</v>
      </c>
      <c r="V942" t="n">
        <v>4531.15012</v>
      </c>
      <c r="W942" t="n">
        <v>4497.58512</v>
      </c>
      <c r="AB942" t="n">
        <v>4617.48319</v>
      </c>
      <c r="AC942" t="n">
        <v>4618.5392</v>
      </c>
      <c r="AD942" t="n">
        <v>0</v>
      </c>
      <c r="AK942" t="n">
        <v>940</v>
      </c>
      <c r="AL942" t="n">
        <v>939</v>
      </c>
      <c r="AM942" t="n">
        <v>4617.07</v>
      </c>
      <c r="AN942" t="n">
        <v>4566.0899</v>
      </c>
      <c r="AO942" t="n">
        <v>50.9801</v>
      </c>
      <c r="AP942" t="n">
        <v>2598.9716</v>
      </c>
      <c r="AQ942" t="n">
        <v>3.048021</v>
      </c>
      <c r="AR942" t="n">
        <v>4.419338</v>
      </c>
      <c r="AY942" t="n">
        <v>940</v>
      </c>
      <c r="AZ942" t="n">
        <v>939</v>
      </c>
      <c r="BA942" t="n">
        <v>4617.07</v>
      </c>
      <c r="BB942" t="n">
        <v>4566.0899</v>
      </c>
      <c r="BC942" t="n">
        <v>50.9801</v>
      </c>
      <c r="BD942" t="n">
        <v>2598.9716</v>
      </c>
      <c r="BE942" t="n">
        <v>881721</v>
      </c>
    </row>
    <row r="943">
      <c r="A943" t="n">
        <v>1777579202</v>
      </c>
      <c r="B943" t="inlineStr">
        <is>
          <t>XAUUSD</t>
        </is>
      </c>
      <c r="C943" t="inlineStr">
        <is>
          <t>M15</t>
        </is>
      </c>
      <c r="D943" t="n">
        <v>4616.16</v>
      </c>
      <c r="E943" t="n">
        <v>4518.59282</v>
      </c>
      <c r="F943" t="n">
        <v>4596.05595</v>
      </c>
      <c r="G943" t="n">
        <v>4755.40355</v>
      </c>
      <c r="H943" t="n">
        <v>4792.76972</v>
      </c>
      <c r="Q943" t="n">
        <v>4565.82228</v>
      </c>
      <c r="R943" t="n">
        <v>4595.18558</v>
      </c>
      <c r="S943" t="n">
        <v>4621.77435</v>
      </c>
      <c r="V943" t="n">
        <v>4530.88251</v>
      </c>
      <c r="W943" t="n">
        <v>4497.31752</v>
      </c>
      <c r="AB943" t="n">
        <v>4617.39455</v>
      </c>
      <c r="AC943" t="n">
        <v>4617.96688</v>
      </c>
      <c r="AD943" t="n">
        <v>0</v>
      </c>
      <c r="AK943" t="n">
        <v>941</v>
      </c>
      <c r="AL943" t="n">
        <v>940</v>
      </c>
      <c r="AM943" t="n">
        <v>4616.16</v>
      </c>
      <c r="AN943" t="n">
        <v>4565.8223</v>
      </c>
      <c r="AO943" t="n">
        <v>50.3377</v>
      </c>
      <c r="AP943" t="n">
        <v>2533.8861</v>
      </c>
      <c r="AQ943" t="n">
        <v>2.934244</v>
      </c>
      <c r="AR943" t="n">
        <v>4.200764</v>
      </c>
      <c r="AY943" t="n">
        <v>941</v>
      </c>
      <c r="AZ943" t="n">
        <v>940</v>
      </c>
      <c r="BA943" t="n">
        <v>4616.16</v>
      </c>
      <c r="BB943" t="n">
        <v>4565.8223</v>
      </c>
      <c r="BC943" t="n">
        <v>50.3377</v>
      </c>
      <c r="BD943" t="n">
        <v>2533.8861</v>
      </c>
      <c r="BE943" t="n">
        <v>883600</v>
      </c>
    </row>
    <row r="944">
      <c r="A944" t="n">
        <v>1777580102</v>
      </c>
      <c r="B944" t="inlineStr">
        <is>
          <t>XAUUSD</t>
        </is>
      </c>
      <c r="C944" t="inlineStr">
        <is>
          <t>M15</t>
        </is>
      </c>
      <c r="D944" t="n">
        <v>4616.72</v>
      </c>
      <c r="E944" t="n">
        <v>4518.59282</v>
      </c>
      <c r="F944" t="n">
        <v>4596.05595</v>
      </c>
      <c r="G944" t="n">
        <v>4755.40355</v>
      </c>
      <c r="H944" t="n">
        <v>4792.76972</v>
      </c>
      <c r="Q944" t="n">
        <v>4565.55468</v>
      </c>
      <c r="R944" t="n">
        <v>4594.91798</v>
      </c>
      <c r="S944" t="n">
        <v>4621.50675</v>
      </c>
      <c r="V944" t="n">
        <v>4530.61491</v>
      </c>
      <c r="W944" t="n">
        <v>4497.04991</v>
      </c>
      <c r="AB944" t="n">
        <v>4618.42066</v>
      </c>
      <c r="AC944" t="n">
        <v>4618.19377</v>
      </c>
      <c r="AD944" t="n">
        <v>1</v>
      </c>
      <c r="AK944" t="n">
        <v>942</v>
      </c>
      <c r="AL944" t="n">
        <v>941</v>
      </c>
      <c r="AM944" t="n">
        <v>4616.72</v>
      </c>
      <c r="AN944" t="n">
        <v>4565.5547</v>
      </c>
      <c r="AO944" t="n">
        <v>51.1653</v>
      </c>
      <c r="AP944" t="n">
        <v>2617.89</v>
      </c>
      <c r="AQ944" t="n">
        <v>3.081362</v>
      </c>
      <c r="AR944" t="n">
        <v>4.48391</v>
      </c>
      <c r="AY944" t="n">
        <v>942</v>
      </c>
      <c r="AZ944" t="n">
        <v>941</v>
      </c>
      <c r="BA944" t="n">
        <v>4616.72</v>
      </c>
      <c r="BB944" t="n">
        <v>4565.5547</v>
      </c>
      <c r="BC944" t="n">
        <v>51.1653</v>
      </c>
      <c r="BD944" t="n">
        <v>2617.89</v>
      </c>
      <c r="BE944" t="n">
        <v>885481</v>
      </c>
    </row>
    <row r="945">
      <c r="A945" t="n">
        <v>1777581002</v>
      </c>
      <c r="B945" t="inlineStr">
        <is>
          <t>XAUUSD</t>
        </is>
      </c>
      <c r="C945" t="inlineStr">
        <is>
          <t>M15</t>
        </is>
      </c>
      <c r="D945" t="n">
        <v>4617.33</v>
      </c>
      <c r="E945" t="n">
        <v>4518.59282</v>
      </c>
      <c r="F945" t="n">
        <v>4596.05595</v>
      </c>
      <c r="G945" t="n">
        <v>4755.40355</v>
      </c>
      <c r="H945" t="n">
        <v>4792.76972</v>
      </c>
      <c r="Q945" t="n">
        <v>4565.28708</v>
      </c>
      <c r="R945" t="n">
        <v>4594.65037</v>
      </c>
      <c r="S945" t="n">
        <v>4621.23914</v>
      </c>
      <c r="V945" t="n">
        <v>4530.3473</v>
      </c>
      <c r="W945" t="n">
        <v>4496.78231</v>
      </c>
      <c r="AB945" t="n">
        <v>4620.48777</v>
      </c>
      <c r="AC945" t="n">
        <v>4619.34077</v>
      </c>
      <c r="AD945" t="n">
        <v>0</v>
      </c>
      <c r="AK945" t="n">
        <v>943</v>
      </c>
      <c r="AL945" t="n">
        <v>942</v>
      </c>
      <c r="AM945" t="n">
        <v>4617.33</v>
      </c>
      <c r="AN945" t="n">
        <v>4565.2871</v>
      </c>
      <c r="AO945" t="n">
        <v>52.0429</v>
      </c>
      <c r="AP945" t="n">
        <v>2708.4655</v>
      </c>
      <c r="AQ945" t="n">
        <v>3.242654</v>
      </c>
      <c r="AR945" t="n">
        <v>4.799552</v>
      </c>
      <c r="AY945" t="n">
        <v>943</v>
      </c>
      <c r="AZ945" t="n">
        <v>942</v>
      </c>
      <c r="BA945" t="n">
        <v>4617.33</v>
      </c>
      <c r="BB945" t="n">
        <v>4565.2871</v>
      </c>
      <c r="BC945" t="n">
        <v>52.0429</v>
      </c>
      <c r="BD945" t="n">
        <v>2708.4655</v>
      </c>
      <c r="BE945" t="n">
        <v>887364</v>
      </c>
    </row>
    <row r="946">
      <c r="A946" t="n">
        <v>1777581902</v>
      </c>
      <c r="B946" t="inlineStr">
        <is>
          <t>XAUUSD</t>
        </is>
      </c>
      <c r="C946" t="inlineStr">
        <is>
          <t>M15</t>
        </is>
      </c>
      <c r="D946" t="n">
        <v>4621.81</v>
      </c>
      <c r="E946" t="n">
        <v>4518.59282</v>
      </c>
      <c r="F946" t="n">
        <v>4596.05595</v>
      </c>
      <c r="G946" t="n">
        <v>4755.40355</v>
      </c>
      <c r="H946" t="n">
        <v>4792.76972</v>
      </c>
      <c r="Q946" t="n">
        <v>4565.01947</v>
      </c>
      <c r="R946" t="n">
        <v>4594.38277</v>
      </c>
      <c r="S946" t="n">
        <v>4620.97154</v>
      </c>
      <c r="V946" t="n">
        <v>4530.0797</v>
      </c>
      <c r="W946" t="n">
        <v>4496.5147</v>
      </c>
      <c r="AB946" t="n">
        <v>4623.32065</v>
      </c>
      <c r="AC946" t="n">
        <v>4621.33071</v>
      </c>
      <c r="AD946" t="n">
        <v>0</v>
      </c>
      <c r="AK946" t="n">
        <v>944</v>
      </c>
      <c r="AL946" t="n">
        <v>943</v>
      </c>
      <c r="AM946" t="n">
        <v>4621.81</v>
      </c>
      <c r="AN946" t="n">
        <v>4565.0195</v>
      </c>
      <c r="AO946" t="n">
        <v>56.7905</v>
      </c>
      <c r="AP946" t="n">
        <v>3225.1643</v>
      </c>
      <c r="AQ946" t="n">
        <v>4.213503</v>
      </c>
      <c r="AR946" t="n">
        <v>6.805465</v>
      </c>
      <c r="AY946" t="n">
        <v>944</v>
      </c>
      <c r="AZ946" t="n">
        <v>943</v>
      </c>
      <c r="BA946" t="n">
        <v>4621.81</v>
      </c>
      <c r="BB946" t="n">
        <v>4565.0195</v>
      </c>
      <c r="BC946" t="n">
        <v>56.7905</v>
      </c>
      <c r="BD946" t="n">
        <v>3225.1643</v>
      </c>
      <c r="BE946" t="n">
        <v>889249</v>
      </c>
    </row>
    <row r="947">
      <c r="A947" t="n">
        <v>1777586402</v>
      </c>
      <c r="B947" t="inlineStr">
        <is>
          <t>XAUUSD</t>
        </is>
      </c>
      <c r="C947" t="inlineStr">
        <is>
          <t>M15</t>
        </is>
      </c>
      <c r="D947" t="n">
        <v>4631.38</v>
      </c>
      <c r="E947" t="n">
        <v>4518.59282</v>
      </c>
      <c r="F947" t="n">
        <v>4596.05595</v>
      </c>
      <c r="G947" t="n">
        <v>4755.40355</v>
      </c>
      <c r="H947" t="n">
        <v>4792.76972</v>
      </c>
      <c r="Q947" t="n">
        <v>4564.75187</v>
      </c>
      <c r="R947" t="n">
        <v>4594.11517</v>
      </c>
      <c r="S947" t="n">
        <v>4620.70394</v>
      </c>
      <c r="V947" t="n">
        <v>4529.8121</v>
      </c>
      <c r="W947" t="n">
        <v>4496.2471</v>
      </c>
      <c r="AB947" t="n">
        <v>4626.42762</v>
      </c>
      <c r="AC947" t="n">
        <v>4623.87917</v>
      </c>
      <c r="AD947" t="n">
        <v>0</v>
      </c>
      <c r="AK947" t="n">
        <v>945</v>
      </c>
      <c r="AL947" t="n">
        <v>944</v>
      </c>
      <c r="AM947" t="n">
        <v>4631.38</v>
      </c>
      <c r="AN947" t="n">
        <v>4564.7519</v>
      </c>
      <c r="AO947" t="n">
        <v>66.6281</v>
      </c>
      <c r="AP947" t="n">
        <v>4439.3077</v>
      </c>
      <c r="AQ947" t="n">
        <v>6.804378</v>
      </c>
      <c r="AR947" t="n">
        <v>12.893909</v>
      </c>
      <c r="AY947" t="n">
        <v>945</v>
      </c>
      <c r="AZ947" t="n">
        <v>944</v>
      </c>
      <c r="BA947" t="n">
        <v>4631.38</v>
      </c>
      <c r="BB947" t="n">
        <v>4564.7519</v>
      </c>
      <c r="BC947" t="n">
        <v>66.6281</v>
      </c>
      <c r="BD947" t="n">
        <v>4439.3077</v>
      </c>
      <c r="BE947" t="n">
        <v>891136</v>
      </c>
    </row>
    <row r="948">
      <c r="A948" t="n">
        <v>1777587302</v>
      </c>
      <c r="B948" t="inlineStr">
        <is>
          <t>XAUUSD</t>
        </is>
      </c>
      <c r="C948" t="inlineStr">
        <is>
          <t>M15</t>
        </is>
      </c>
      <c r="D948" t="n">
        <v>4631.38</v>
      </c>
      <c r="E948" t="n">
        <v>4518.59282</v>
      </c>
      <c r="F948" t="n">
        <v>4596.05595</v>
      </c>
      <c r="G948" t="n">
        <v>4755.40355</v>
      </c>
      <c r="H948" t="n">
        <v>4792.76972</v>
      </c>
      <c r="Q948" t="n">
        <v>4564.48426</v>
      </c>
      <c r="R948" t="n">
        <v>4593.84756</v>
      </c>
      <c r="S948" t="n">
        <v>4620.43633</v>
      </c>
      <c r="V948" t="n">
        <v>4529.54449</v>
      </c>
      <c r="W948" t="n">
        <v>4495.9795</v>
      </c>
      <c r="AB948" t="n">
        <v>4629.1488</v>
      </c>
      <c r="AC948" t="n">
        <v>4626.51398</v>
      </c>
      <c r="AD948" t="n">
        <v>0</v>
      </c>
      <c r="AK948" t="n">
        <v>946</v>
      </c>
      <c r="AL948" t="n">
        <v>945</v>
      </c>
      <c r="AM948" t="n">
        <v>4631.38</v>
      </c>
      <c r="AN948" t="n">
        <v>4564.4843</v>
      </c>
      <c r="AO948" t="n">
        <v>66.89570000000001</v>
      </c>
      <c r="AP948" t="n">
        <v>4475.04</v>
      </c>
      <c r="AQ948" t="n">
        <v>6.886697</v>
      </c>
      <c r="AR948" t="n">
        <v>13.102313</v>
      </c>
      <c r="AY948" t="n">
        <v>946</v>
      </c>
      <c r="AZ948" t="n">
        <v>945</v>
      </c>
      <c r="BA948" t="n">
        <v>4631.38</v>
      </c>
      <c r="BB948" t="n">
        <v>4564.4843</v>
      </c>
      <c r="BC948" t="n">
        <v>66.89570000000001</v>
      </c>
      <c r="BD948" t="n">
        <v>4475.04</v>
      </c>
      <c r="BE948" t="n">
        <v>893025</v>
      </c>
    </row>
    <row r="949">
      <c r="A949" t="n">
        <v>1777588202</v>
      </c>
      <c r="B949" t="inlineStr">
        <is>
          <t>XAUUSD</t>
        </is>
      </c>
      <c r="C949" t="inlineStr">
        <is>
          <t>M15</t>
        </is>
      </c>
      <c r="D949" t="n">
        <v>4631.75</v>
      </c>
      <c r="E949" t="n">
        <v>4518.59282</v>
      </c>
      <c r="F949" t="n">
        <v>4596.05595</v>
      </c>
      <c r="G949" t="n">
        <v>4755.40355</v>
      </c>
      <c r="H949" t="n">
        <v>4792.76972</v>
      </c>
      <c r="Q949" t="n">
        <v>4564.21666</v>
      </c>
      <c r="R949" t="n">
        <v>4593.57996</v>
      </c>
      <c r="S949" t="n">
        <v>4620.16873</v>
      </c>
      <c r="V949" t="n">
        <v>4529.27689</v>
      </c>
      <c r="W949" t="n">
        <v>4495.71189</v>
      </c>
      <c r="AB949" t="n">
        <v>4631.15873</v>
      </c>
      <c r="AC949" t="n">
        <v>4628.83636</v>
      </c>
      <c r="AD949" t="n">
        <v>0</v>
      </c>
      <c r="AK949" t="n">
        <v>947</v>
      </c>
      <c r="AL949" t="n">
        <v>946</v>
      </c>
      <c r="AM949" t="n">
        <v>4631.75</v>
      </c>
      <c r="AN949" t="n">
        <v>4564.2167</v>
      </c>
      <c r="AO949" t="n">
        <v>67.5333</v>
      </c>
      <c r="AP949" t="n">
        <v>4560.752</v>
      </c>
      <c r="AQ949" t="n">
        <v>7.085496</v>
      </c>
      <c r="AR949" t="n">
        <v>13.609026</v>
      </c>
      <c r="AY949" t="n">
        <v>947</v>
      </c>
      <c r="AZ949" t="n">
        <v>946</v>
      </c>
      <c r="BA949" t="n">
        <v>4631.75</v>
      </c>
      <c r="BB949" t="n">
        <v>4564.2167</v>
      </c>
      <c r="BC949" t="n">
        <v>67.5333</v>
      </c>
      <c r="BD949" t="n">
        <v>4560.752</v>
      </c>
      <c r="BE949" t="n">
        <v>894916</v>
      </c>
    </row>
    <row r="950">
      <c r="A950" t="n">
        <v>1777589102</v>
      </c>
      <c r="B950" t="inlineStr">
        <is>
          <t>XAUUSD</t>
        </is>
      </c>
      <c r="C950" t="inlineStr">
        <is>
          <t>M15</t>
        </is>
      </c>
      <c r="D950" t="n">
        <v>4630.51</v>
      </c>
      <c r="E950" t="n">
        <v>4518.59282</v>
      </c>
      <c r="F950" t="n">
        <v>4596.05595</v>
      </c>
      <c r="G950" t="n">
        <v>4755.40355</v>
      </c>
      <c r="H950" t="n">
        <v>4792.76972</v>
      </c>
      <c r="Q950" t="n">
        <v>4563.94905</v>
      </c>
      <c r="R950" t="n">
        <v>4593.31235</v>
      </c>
      <c r="S950" t="n">
        <v>4619.90112</v>
      </c>
      <c r="V950" t="n">
        <v>4529.00928</v>
      </c>
      <c r="W950" t="n">
        <v>4495.44429</v>
      </c>
      <c r="AB950" t="n">
        <v>4632.1927</v>
      </c>
      <c r="AC950" t="n">
        <v>4630.51453</v>
      </c>
      <c r="AD950" t="n">
        <v>0</v>
      </c>
      <c r="AK950" t="n">
        <v>948</v>
      </c>
      <c r="AL950" t="n">
        <v>947</v>
      </c>
      <c r="AM950" t="n">
        <v>4630.51</v>
      </c>
      <c r="AN950" t="n">
        <v>4563.9491</v>
      </c>
      <c r="AO950" t="n">
        <v>66.56100000000001</v>
      </c>
      <c r="AP950" t="n">
        <v>4430.3601</v>
      </c>
      <c r="AQ950" t="n">
        <v>6.783817</v>
      </c>
      <c r="AR950" t="n">
        <v>12.841985</v>
      </c>
      <c r="AY950" t="n">
        <v>948</v>
      </c>
      <c r="AZ950" t="n">
        <v>947</v>
      </c>
      <c r="BA950" t="n">
        <v>4630.51</v>
      </c>
      <c r="BB950" t="n">
        <v>4563.9491</v>
      </c>
      <c r="BC950" t="n">
        <v>66.56100000000001</v>
      </c>
      <c r="BD950" t="n">
        <v>4430.3601</v>
      </c>
      <c r="BE950" t="n">
        <v>896809</v>
      </c>
    </row>
    <row r="951">
      <c r="A951" t="n">
        <v>1777590002</v>
      </c>
      <c r="B951" t="inlineStr">
        <is>
          <t>XAUUSD</t>
        </is>
      </c>
      <c r="C951" t="inlineStr">
        <is>
          <t>M15</t>
        </is>
      </c>
      <c r="D951" t="n">
        <v>4630.26</v>
      </c>
      <c r="E951" t="n">
        <v>4518.59282</v>
      </c>
      <c r="F951" t="n">
        <v>4596.05595</v>
      </c>
      <c r="G951" t="n">
        <v>4755.40355</v>
      </c>
      <c r="H951" t="n">
        <v>4792.76972</v>
      </c>
      <c r="Q951" t="n">
        <v>4563.68145</v>
      </c>
      <c r="R951" t="n">
        <v>4593.04475</v>
      </c>
      <c r="S951" t="n">
        <v>4619.63352</v>
      </c>
      <c r="V951" t="n">
        <v>4528.74168</v>
      </c>
      <c r="W951" t="n">
        <v>4495.17668</v>
      </c>
      <c r="AB951" t="n">
        <v>4632.18551</v>
      </c>
      <c r="AC951" t="n">
        <v>4631.35002</v>
      </c>
      <c r="AD951" t="n">
        <v>0</v>
      </c>
      <c r="AK951" t="n">
        <v>949</v>
      </c>
      <c r="AL951" t="n">
        <v>948</v>
      </c>
      <c r="AM951" t="n">
        <v>4630.26</v>
      </c>
      <c r="AN951" t="n">
        <v>4563.6815</v>
      </c>
      <c r="AO951" t="n">
        <v>66.57859999999999</v>
      </c>
      <c r="AP951" t="n">
        <v>4432.7033</v>
      </c>
      <c r="AQ951" t="n">
        <v>6.7892</v>
      </c>
      <c r="AR951" t="n">
        <v>12.855573</v>
      </c>
      <c r="AY951" t="n">
        <v>949</v>
      </c>
      <c r="AZ951" t="n">
        <v>948</v>
      </c>
      <c r="BA951" t="n">
        <v>4630.26</v>
      </c>
      <c r="BB951" t="n">
        <v>4563.6815</v>
      </c>
      <c r="BC951" t="n">
        <v>66.57859999999999</v>
      </c>
      <c r="BD951" t="n">
        <v>4432.7033</v>
      </c>
      <c r="BE951" t="n">
        <v>898704</v>
      </c>
    </row>
    <row r="952">
      <c r="A952" t="n">
        <v>1777590902</v>
      </c>
      <c r="B952" t="inlineStr">
        <is>
          <t>XAUUSD</t>
        </is>
      </c>
      <c r="C952" t="inlineStr">
        <is>
          <t>M15</t>
        </is>
      </c>
      <c r="D952" t="n">
        <v>4630.75</v>
      </c>
      <c r="E952" t="n">
        <v>4518.59282</v>
      </c>
      <c r="F952" t="n">
        <v>4596.05595</v>
      </c>
      <c r="G952" t="n">
        <v>4755.40355</v>
      </c>
      <c r="H952" t="n">
        <v>4792.76972</v>
      </c>
      <c r="Q952" t="n">
        <v>4563.41385</v>
      </c>
      <c r="R952" t="n">
        <v>4592.77715</v>
      </c>
      <c r="S952" t="n">
        <v>4619.36592</v>
      </c>
      <c r="V952" t="n">
        <v>4528.47408</v>
      </c>
      <c r="W952" t="n">
        <v>4494.90908</v>
      </c>
      <c r="AB952" t="n">
        <v>4631.18623</v>
      </c>
      <c r="AC952" t="n">
        <v>4631.26813</v>
      </c>
      <c r="AD952" t="n">
        <v>1</v>
      </c>
      <c r="AK952" t="n">
        <v>950</v>
      </c>
      <c r="AL952" t="n">
        <v>949</v>
      </c>
      <c r="AM952" t="n">
        <v>4630.75</v>
      </c>
      <c r="AN952" t="n">
        <v>4563.4138</v>
      </c>
      <c r="AO952" t="n">
        <v>67.33620000000001</v>
      </c>
      <c r="AP952" t="n">
        <v>4534.1571</v>
      </c>
      <c r="AQ952" t="n">
        <v>7.023611</v>
      </c>
      <c r="AR952" t="n">
        <v>13.450773</v>
      </c>
      <c r="AY952" t="n">
        <v>950</v>
      </c>
      <c r="AZ952" t="n">
        <v>949</v>
      </c>
      <c r="BA952" t="n">
        <v>4630.75</v>
      </c>
      <c r="BB952" t="n">
        <v>4563.4138</v>
      </c>
      <c r="BC952" t="n">
        <v>67.33620000000001</v>
      </c>
      <c r="BD952" t="n">
        <v>4534.1571</v>
      </c>
      <c r="BE952" t="n">
        <v>900601</v>
      </c>
    </row>
    <row r="953">
      <c r="A953" t="n">
        <v>1777591802</v>
      </c>
      <c r="B953" t="inlineStr">
        <is>
          <t>XAUUSD</t>
        </is>
      </c>
      <c r="C953" t="inlineStr">
        <is>
          <t>M15</t>
        </is>
      </c>
      <c r="D953" t="n">
        <v>4631.31</v>
      </c>
      <c r="E953" t="n">
        <v>4518.59282</v>
      </c>
      <c r="F953" t="n">
        <v>4596.05595</v>
      </c>
      <c r="G953" t="n">
        <v>4755.40355</v>
      </c>
      <c r="H953" t="n">
        <v>4792.76972</v>
      </c>
      <c r="Q953" t="n">
        <v>4563.14624</v>
      </c>
      <c r="R953" t="n">
        <v>4592.50954</v>
      </c>
      <c r="S953" t="n">
        <v>4619.09831</v>
      </c>
      <c r="V953" t="n">
        <v>4528.20647</v>
      </c>
      <c r="W953" t="n">
        <v>4494.64148</v>
      </c>
      <c r="AB953" t="n">
        <v>4629.33694</v>
      </c>
      <c r="AC953" t="n">
        <v>4630.30253</v>
      </c>
      <c r="AD953" t="n">
        <v>0</v>
      </c>
      <c r="AK953" t="n">
        <v>951</v>
      </c>
      <c r="AL953" t="n">
        <v>950</v>
      </c>
      <c r="AM953" t="n">
        <v>4631.31</v>
      </c>
      <c r="AN953" t="n">
        <v>4563.1462</v>
      </c>
      <c r="AO953" t="n">
        <v>68.16379999999999</v>
      </c>
      <c r="AP953" t="n">
        <v>4646.2982</v>
      </c>
      <c r="AQ953" t="n">
        <v>7.285782</v>
      </c>
      <c r="AR953" t="n">
        <v>14.124343</v>
      </c>
      <c r="AY953" t="n">
        <v>951</v>
      </c>
      <c r="AZ953" t="n">
        <v>950</v>
      </c>
      <c r="BA953" t="n">
        <v>4631.31</v>
      </c>
      <c r="BB953" t="n">
        <v>4563.1462</v>
      </c>
      <c r="BC953" t="n">
        <v>68.16379999999999</v>
      </c>
      <c r="BD953" t="n">
        <v>4646.2982</v>
      </c>
      <c r="BE953" t="n">
        <v>902500</v>
      </c>
    </row>
    <row r="954">
      <c r="A954" t="n">
        <v>1777592702</v>
      </c>
      <c r="B954" t="inlineStr">
        <is>
          <t>XAUUSD</t>
        </is>
      </c>
      <c r="C954" t="inlineStr">
        <is>
          <t>M15</t>
        </is>
      </c>
      <c r="D954" t="n">
        <v>4626.71</v>
      </c>
      <c r="E954" t="n">
        <v>4518.59282</v>
      </c>
      <c r="F954" t="n">
        <v>4596.05595</v>
      </c>
      <c r="G954" t="n">
        <v>4755.40355</v>
      </c>
      <c r="H954" t="n">
        <v>4792.76972</v>
      </c>
      <c r="Q954" t="n">
        <v>4562.87864</v>
      </c>
      <c r="R954" t="n">
        <v>4592.24194</v>
      </c>
      <c r="S954" t="n">
        <v>4618.83071</v>
      </c>
      <c r="V954" t="n">
        <v>4527.93887</v>
      </c>
      <c r="W954" t="n">
        <v>4494.37387</v>
      </c>
      <c r="AB954" t="n">
        <v>4626.8861</v>
      </c>
      <c r="AC954" t="n">
        <v>4628.59431</v>
      </c>
      <c r="AD954" t="n">
        <v>0</v>
      </c>
      <c r="AK954" t="n">
        <v>952</v>
      </c>
      <c r="AL954" t="n">
        <v>951</v>
      </c>
      <c r="AM954" t="n">
        <v>4626.71</v>
      </c>
      <c r="AN954" t="n">
        <v>4562.8786</v>
      </c>
      <c r="AO954" t="n">
        <v>63.8314</v>
      </c>
      <c r="AP954" t="n">
        <v>4074.4425</v>
      </c>
      <c r="AQ954" t="n">
        <v>5.982984</v>
      </c>
      <c r="AR954" t="n">
        <v>10.861517</v>
      </c>
      <c r="AY954" t="n">
        <v>952</v>
      </c>
      <c r="AZ954" t="n">
        <v>951</v>
      </c>
      <c r="BA954" t="n">
        <v>4626.71</v>
      </c>
      <c r="BB954" t="n">
        <v>4562.8786</v>
      </c>
      <c r="BC954" t="n">
        <v>63.8314</v>
      </c>
      <c r="BD954" t="n">
        <v>4074.4425</v>
      </c>
      <c r="BE954" t="n">
        <v>904401</v>
      </c>
    </row>
    <row r="955">
      <c r="A955" t="n">
        <v>1777593602</v>
      </c>
      <c r="B955" t="inlineStr">
        <is>
          <t>XAUUSD</t>
        </is>
      </c>
      <c r="C955" t="inlineStr">
        <is>
          <t>M15</t>
        </is>
      </c>
      <c r="D955" t="n">
        <v>4622.55</v>
      </c>
      <c r="E955" t="n">
        <v>4518.59282</v>
      </c>
      <c r="F955" t="n">
        <v>4596.05595</v>
      </c>
      <c r="G955" t="n">
        <v>4755.40355</v>
      </c>
      <c r="H955" t="n">
        <v>4792.76972</v>
      </c>
      <c r="Q955" t="n">
        <v>4562.61103</v>
      </c>
      <c r="R955" t="n">
        <v>4591.97433</v>
      </c>
      <c r="S955" t="n">
        <v>4618.5631</v>
      </c>
      <c r="V955" t="n">
        <v>4527.67126</v>
      </c>
      <c r="W955" t="n">
        <v>4494.10627</v>
      </c>
      <c r="AB955" t="n">
        <v>4624.29223</v>
      </c>
      <c r="AC955" t="n">
        <v>4626.44327</v>
      </c>
      <c r="AD955" t="n">
        <v>0</v>
      </c>
      <c r="AK955" t="n">
        <v>953</v>
      </c>
      <c r="AL955" t="n">
        <v>952</v>
      </c>
      <c r="AM955" t="n">
        <v>4622.55</v>
      </c>
      <c r="AN955" t="n">
        <v>4562.611</v>
      </c>
      <c r="AO955" t="n">
        <v>59.939</v>
      </c>
      <c r="AP955" t="n">
        <v>3592.6801</v>
      </c>
      <c r="AQ955" t="n">
        <v>4.953856</v>
      </c>
      <c r="AR955" t="n">
        <v>8.444836</v>
      </c>
      <c r="AY955" t="n">
        <v>953</v>
      </c>
      <c r="AZ955" t="n">
        <v>952</v>
      </c>
      <c r="BA955" t="n">
        <v>4622.55</v>
      </c>
      <c r="BB955" t="n">
        <v>4562.611</v>
      </c>
      <c r="BC955" t="n">
        <v>59.939</v>
      </c>
      <c r="BD955" t="n">
        <v>3592.6801</v>
      </c>
      <c r="BE955" t="n">
        <v>906304</v>
      </c>
    </row>
    <row r="956">
      <c r="A956" t="n">
        <v>1777594502</v>
      </c>
      <c r="B956" t="inlineStr">
        <is>
          <t>XAUUSD</t>
        </is>
      </c>
      <c r="C956" t="inlineStr">
        <is>
          <t>M15</t>
        </is>
      </c>
      <c r="D956" t="n">
        <v>4623.65</v>
      </c>
      <c r="E956" t="n">
        <v>4518.59282</v>
      </c>
      <c r="F956" t="n">
        <v>4596.05595</v>
      </c>
      <c r="G956" t="n">
        <v>4755.40355</v>
      </c>
      <c r="H956" t="n">
        <v>4792.76972</v>
      </c>
      <c r="Q956" t="n">
        <v>4562.34343</v>
      </c>
      <c r="R956" t="n">
        <v>4591.70673</v>
      </c>
      <c r="S956" t="n">
        <v>4618.2955</v>
      </c>
      <c r="V956" t="n">
        <v>4527.40366</v>
      </c>
      <c r="W956" t="n">
        <v>4493.83866</v>
      </c>
      <c r="AB956" t="n">
        <v>4622.01892</v>
      </c>
      <c r="AC956" t="n">
        <v>4624.2311</v>
      </c>
      <c r="AD956" t="n">
        <v>0</v>
      </c>
      <c r="AK956" t="n">
        <v>954</v>
      </c>
      <c r="AL956" t="n">
        <v>953</v>
      </c>
      <c r="AM956" t="n">
        <v>4623.65</v>
      </c>
      <c r="AN956" t="n">
        <v>4562.3434</v>
      </c>
      <c r="AO956" t="n">
        <v>61.3066</v>
      </c>
      <c r="AP956" t="n">
        <v>3758.4955</v>
      </c>
      <c r="AQ956" t="n">
        <v>5.300742</v>
      </c>
      <c r="AR956" t="n">
        <v>9.242345</v>
      </c>
      <c r="AY956" t="n">
        <v>954</v>
      </c>
      <c r="AZ956" t="n">
        <v>953</v>
      </c>
      <c r="BA956" t="n">
        <v>4623.65</v>
      </c>
      <c r="BB956" t="n">
        <v>4562.3434</v>
      </c>
      <c r="BC956" t="n">
        <v>61.3066</v>
      </c>
      <c r="BD956" t="n">
        <v>3758.4955</v>
      </c>
      <c r="BE956" t="n">
        <v>908209</v>
      </c>
    </row>
    <row r="957">
      <c r="A957" t="n">
        <v>1777595402</v>
      </c>
      <c r="B957" t="inlineStr">
        <is>
          <t>XAUUSD</t>
        </is>
      </c>
      <c r="C957" t="inlineStr">
        <is>
          <t>M15</t>
        </is>
      </c>
      <c r="D957" t="n">
        <v>4620.9</v>
      </c>
      <c r="E957" t="n">
        <v>4518.59282</v>
      </c>
      <c r="F957" t="n">
        <v>4596.05595</v>
      </c>
      <c r="G957" t="n">
        <v>4755.40355</v>
      </c>
      <c r="H957" t="n">
        <v>4792.76972</v>
      </c>
      <c r="Q957" t="n">
        <v>4562.07583</v>
      </c>
      <c r="R957" t="n">
        <v>4591.43912</v>
      </c>
      <c r="S957" t="n">
        <v>4618.0279</v>
      </c>
      <c r="V957" t="n">
        <v>4527.13606</v>
      </c>
      <c r="W957" t="n">
        <v>4493.57106</v>
      </c>
      <c r="AB957" t="n">
        <v>4620.30067</v>
      </c>
      <c r="AC957" t="n">
        <v>4622.26588</v>
      </c>
      <c r="AD957" t="n">
        <v>0</v>
      </c>
      <c r="AK957" t="n">
        <v>955</v>
      </c>
      <c r="AL957" t="n">
        <v>954</v>
      </c>
      <c r="AM957" t="n">
        <v>4620.9</v>
      </c>
      <c r="AN957" t="n">
        <v>4562.0758</v>
      </c>
      <c r="AO957" t="n">
        <v>58.8242</v>
      </c>
      <c r="AP957" t="n">
        <v>3460.283</v>
      </c>
      <c r="AQ957" t="n">
        <v>4.682556</v>
      </c>
      <c r="AR957" t="n">
        <v>7.833888</v>
      </c>
      <c r="AY957" t="n">
        <v>955</v>
      </c>
      <c r="AZ957" t="n">
        <v>954</v>
      </c>
      <c r="BA957" t="n">
        <v>4620.9</v>
      </c>
      <c r="BB957" t="n">
        <v>4562.0758</v>
      </c>
      <c r="BC957" t="n">
        <v>58.8242</v>
      </c>
      <c r="BD957" t="n">
        <v>3460.283</v>
      </c>
      <c r="BE957" t="n">
        <v>910116</v>
      </c>
    </row>
    <row r="958">
      <c r="A958" t="n">
        <v>1777596302</v>
      </c>
      <c r="B958" t="inlineStr">
        <is>
          <t>XAUUSD</t>
        </is>
      </c>
      <c r="C958" t="inlineStr">
        <is>
          <t>M15</t>
        </is>
      </c>
      <c r="D958" t="n">
        <v>4620.02</v>
      </c>
      <c r="E958" t="n">
        <v>4518.59282</v>
      </c>
      <c r="F958" t="n">
        <v>4596.05595</v>
      </c>
      <c r="G958" t="n">
        <v>4755.40355</v>
      </c>
      <c r="H958" t="n">
        <v>4792.76972</v>
      </c>
      <c r="Q958" t="n">
        <v>4561.80822</v>
      </c>
      <c r="R958" t="n">
        <v>4591.17152</v>
      </c>
      <c r="S958" t="n">
        <v>4617.76029</v>
      </c>
      <c r="V958" t="n">
        <v>4526.86845</v>
      </c>
      <c r="W958" t="n">
        <v>4493.30346</v>
      </c>
      <c r="AB958" t="n">
        <v>4619.3652</v>
      </c>
      <c r="AC958" t="n">
        <v>4620.81554</v>
      </c>
      <c r="AD958" t="n">
        <v>0</v>
      </c>
      <c r="AK958" t="n">
        <v>956</v>
      </c>
      <c r="AL958" t="n">
        <v>955</v>
      </c>
      <c r="AM958" t="n">
        <v>4620.02</v>
      </c>
      <c r="AN958" t="n">
        <v>4561.8082</v>
      </c>
      <c r="AO958" t="n">
        <v>58.2118</v>
      </c>
      <c r="AP958" t="n">
        <v>3388.6113</v>
      </c>
      <c r="AQ958" t="n">
        <v>4.53783</v>
      </c>
      <c r="AR958" t="n">
        <v>7.512727</v>
      </c>
      <c r="AY958" t="n">
        <v>956</v>
      </c>
      <c r="AZ958" t="n">
        <v>955</v>
      </c>
      <c r="BA958" t="n">
        <v>4620.02</v>
      </c>
      <c r="BB958" t="n">
        <v>4561.8082</v>
      </c>
      <c r="BC958" t="n">
        <v>58.2118</v>
      </c>
      <c r="BD958" t="n">
        <v>3388.6113</v>
      </c>
      <c r="BE958" t="n">
        <v>912025</v>
      </c>
    </row>
    <row r="959">
      <c r="A959" t="n">
        <v>1777597202</v>
      </c>
      <c r="B959" t="inlineStr">
        <is>
          <t>XAUUSD</t>
        </is>
      </c>
      <c r="C959" t="inlineStr">
        <is>
          <t>M15</t>
        </is>
      </c>
      <c r="D959" t="n">
        <v>4618.7</v>
      </c>
      <c r="E959" t="n">
        <v>4518.59282</v>
      </c>
      <c r="F959" t="n">
        <v>4596.05595</v>
      </c>
      <c r="G959" t="n">
        <v>4755.40355</v>
      </c>
      <c r="H959" t="n">
        <v>4792.76972</v>
      </c>
      <c r="Q959" t="n">
        <v>4561.54062</v>
      </c>
      <c r="R959" t="n">
        <v>4590.90392</v>
      </c>
      <c r="S959" t="n">
        <v>4617.49269</v>
      </c>
      <c r="V959" t="n">
        <v>4526.60085</v>
      </c>
      <c r="W959" t="n">
        <v>4493.03585</v>
      </c>
      <c r="AB959" t="n">
        <v>4619.26545</v>
      </c>
      <c r="AC959" t="n">
        <v>4620.04049</v>
      </c>
      <c r="AD959" t="n">
        <v>0</v>
      </c>
      <c r="AK959" t="n">
        <v>957</v>
      </c>
      <c r="AL959" t="n">
        <v>956</v>
      </c>
      <c r="AM959" t="n">
        <v>4618.7</v>
      </c>
      <c r="AN959" t="n">
        <v>4561.5406</v>
      </c>
      <c r="AO959" t="n">
        <v>57.1594</v>
      </c>
      <c r="AP959" t="n">
        <v>3267.1947</v>
      </c>
      <c r="AQ959" t="n">
        <v>4.296137</v>
      </c>
      <c r="AR959" t="n">
        <v>6.983999</v>
      </c>
      <c r="AY959" t="n">
        <v>957</v>
      </c>
      <c r="AZ959" t="n">
        <v>956</v>
      </c>
      <c r="BA959" t="n">
        <v>4618.7</v>
      </c>
      <c r="BB959" t="n">
        <v>4561.5406</v>
      </c>
      <c r="BC959" t="n">
        <v>57.1594</v>
      </c>
      <c r="BD959" t="n">
        <v>3267.1947</v>
      </c>
      <c r="BE959" t="n">
        <v>913936</v>
      </c>
    </row>
    <row r="960">
      <c r="A960" t="n">
        <v>1777598102</v>
      </c>
      <c r="B960" t="inlineStr">
        <is>
          <t>XAUUSD</t>
        </is>
      </c>
      <c r="C960" t="inlineStr">
        <is>
          <t>M15</t>
        </is>
      </c>
      <c r="D960" t="n">
        <v>4616.68</v>
      </c>
      <c r="E960" t="n">
        <v>4518.59282</v>
      </c>
      <c r="F960" t="n">
        <v>4596.05595</v>
      </c>
      <c r="G960" t="n">
        <v>4755.40355</v>
      </c>
      <c r="H960" t="n">
        <v>4792.76972</v>
      </c>
      <c r="Q960" t="n">
        <v>4561.27301</v>
      </c>
      <c r="R960" t="n">
        <v>4590.63631</v>
      </c>
      <c r="S960" t="n">
        <v>4617.22508</v>
      </c>
      <c r="V960" t="n">
        <v>4526.33324</v>
      </c>
      <c r="W960" t="n">
        <v>4492.76825</v>
      </c>
      <c r="AB960" t="n">
        <v>4619.91773</v>
      </c>
      <c r="AC960" t="n">
        <v>4619.97911</v>
      </c>
      <c r="AD960" t="n">
        <v>0</v>
      </c>
      <c r="AK960" t="n">
        <v>958</v>
      </c>
      <c r="AL960" t="n">
        <v>957</v>
      </c>
      <c r="AM960" t="n">
        <v>4616.68</v>
      </c>
      <c r="AN960" t="n">
        <v>4561.273</v>
      </c>
      <c r="AO960" t="n">
        <v>55.407</v>
      </c>
      <c r="AP960" t="n">
        <v>3069.9345</v>
      </c>
      <c r="AQ960" t="n">
        <v>3.912995</v>
      </c>
      <c r="AR960" t="n">
        <v>6.166125</v>
      </c>
      <c r="AY960" t="n">
        <v>958</v>
      </c>
      <c r="AZ960" t="n">
        <v>957</v>
      </c>
      <c r="BA960" t="n">
        <v>4616.68</v>
      </c>
      <c r="BB960" t="n">
        <v>4561.273</v>
      </c>
      <c r="BC960" t="n">
        <v>55.407</v>
      </c>
      <c r="BD960" t="n">
        <v>3069.9345</v>
      </c>
      <c r="BE960" t="n">
        <v>915849</v>
      </c>
    </row>
    <row r="961">
      <c r="A961" t="n">
        <v>1777599002</v>
      </c>
      <c r="B961" t="inlineStr">
        <is>
          <t>XAUUSD</t>
        </is>
      </c>
      <c r="C961" t="inlineStr">
        <is>
          <t>M15</t>
        </is>
      </c>
      <c r="D961" t="n">
        <v>4620.2</v>
      </c>
      <c r="E961" t="n">
        <v>4518.59282</v>
      </c>
      <c r="F961" t="n">
        <v>4596.05595</v>
      </c>
      <c r="G961" t="n">
        <v>4755.40355</v>
      </c>
      <c r="H961" t="n">
        <v>4792.76972</v>
      </c>
      <c r="Q961" t="n">
        <v>4561.00541</v>
      </c>
      <c r="R961" t="n">
        <v>4590.36871</v>
      </c>
      <c r="S961" t="n">
        <v>4616.95748</v>
      </c>
      <c r="V961" t="n">
        <v>4526.06564</v>
      </c>
      <c r="W961" t="n">
        <v>4492.50064</v>
      </c>
      <c r="AB961" t="n">
        <v>4621.17664</v>
      </c>
      <c r="AC961" t="n">
        <v>4620.57787</v>
      </c>
      <c r="AD961" t="n">
        <v>1</v>
      </c>
      <c r="AK961" t="n">
        <v>959</v>
      </c>
      <c r="AL961" t="n">
        <v>958</v>
      </c>
      <c r="AM961" t="n">
        <v>4620.2</v>
      </c>
      <c r="AN961" t="n">
        <v>4561.0054</v>
      </c>
      <c r="AO961" t="n">
        <v>59.1946</v>
      </c>
      <c r="AP961" t="n">
        <v>3503.9995</v>
      </c>
      <c r="AQ961" t="n">
        <v>4.771574</v>
      </c>
      <c r="AR961" t="n">
        <v>8.033082</v>
      </c>
      <c r="AY961" t="n">
        <v>959</v>
      </c>
      <c r="AZ961" t="n">
        <v>958</v>
      </c>
      <c r="BA961" t="n">
        <v>4620.2</v>
      </c>
      <c r="BB961" t="n">
        <v>4561.0054</v>
      </c>
      <c r="BC961" t="n">
        <v>59.1946</v>
      </c>
      <c r="BD961" t="n">
        <v>3503.9995</v>
      </c>
      <c r="BE961" t="n">
        <v>917764</v>
      </c>
    </row>
    <row r="962">
      <c r="A962" t="n">
        <v>1777599902</v>
      </c>
      <c r="B962" t="inlineStr">
        <is>
          <t>XAUUSD</t>
        </is>
      </c>
      <c r="C962" t="inlineStr">
        <is>
          <t>M15</t>
        </is>
      </c>
      <c r="D962" t="n">
        <v>4621.05</v>
      </c>
      <c r="E962" t="n">
        <v>4518.59282</v>
      </c>
      <c r="F962" t="n">
        <v>4596.05595</v>
      </c>
      <c r="G962" t="n">
        <v>4755.40355</v>
      </c>
      <c r="H962" t="n">
        <v>4792.76972</v>
      </c>
      <c r="Q962" t="n">
        <v>4560.73781</v>
      </c>
      <c r="R962" t="n">
        <v>4590.1011</v>
      </c>
      <c r="S962" t="n">
        <v>4616.68988</v>
      </c>
      <c r="V962" t="n">
        <v>4525.79804</v>
      </c>
      <c r="W962" t="n">
        <v>4492.23304</v>
      </c>
      <c r="AB962" t="n">
        <v>4622.67109</v>
      </c>
      <c r="AC962" t="n">
        <v>4621.62448</v>
      </c>
      <c r="AD962" t="n">
        <v>0</v>
      </c>
      <c r="AK962" t="n">
        <v>960</v>
      </c>
      <c r="AL962" t="n">
        <v>959</v>
      </c>
      <c r="AM962" t="n">
        <v>4621.05</v>
      </c>
      <c r="AN962" t="n">
        <v>4560.7378</v>
      </c>
      <c r="AO962" t="n">
        <v>60.3122</v>
      </c>
      <c r="AP962" t="n">
        <v>3637.5603</v>
      </c>
      <c r="AQ962" t="n">
        <v>5.046972</v>
      </c>
      <c r="AR962" t="n">
        <v>8.657140999999999</v>
      </c>
      <c r="AY962" t="n">
        <v>960</v>
      </c>
      <c r="AZ962" t="n">
        <v>959</v>
      </c>
      <c r="BA962" t="n">
        <v>4621.05</v>
      </c>
      <c r="BB962" t="n">
        <v>4560.7378</v>
      </c>
      <c r="BC962" t="n">
        <v>60.3122</v>
      </c>
      <c r="BD962" t="n">
        <v>3637.5603</v>
      </c>
      <c r="BE962" t="n">
        <v>919681</v>
      </c>
    </row>
    <row r="963">
      <c r="A963" t="n">
        <v>1777600802</v>
      </c>
      <c r="B963" t="inlineStr">
        <is>
          <t>XAUUSD</t>
        </is>
      </c>
      <c r="C963" t="inlineStr">
        <is>
          <t>M15</t>
        </is>
      </c>
      <c r="D963" t="n">
        <v>4630.89</v>
      </c>
      <c r="E963" t="n">
        <v>4518.59282</v>
      </c>
      <c r="F963" t="n">
        <v>4596.05595</v>
      </c>
      <c r="G963" t="n">
        <v>4755.40355</v>
      </c>
      <c r="H963" t="n">
        <v>4792.76972</v>
      </c>
      <c r="Q963" t="n">
        <v>4560.4702</v>
      </c>
      <c r="R963" t="n">
        <v>4589.8335</v>
      </c>
      <c r="S963" t="n">
        <v>4616.42227</v>
      </c>
      <c r="V963" t="n">
        <v>4525.53043</v>
      </c>
      <c r="W963" t="n">
        <v>4491.96544</v>
      </c>
      <c r="AB963" t="n">
        <v>4624.1071</v>
      </c>
      <c r="AC963" t="n">
        <v>4622.86579</v>
      </c>
      <c r="AD963" t="n">
        <v>0</v>
      </c>
      <c r="AK963" t="n">
        <v>961</v>
      </c>
      <c r="AL963" t="n">
        <v>960</v>
      </c>
      <c r="AM963" t="n">
        <v>4630.89</v>
      </c>
      <c r="AN963" t="n">
        <v>4560.4702</v>
      </c>
      <c r="AO963" t="n">
        <v>70.4198</v>
      </c>
      <c r="AP963" t="n">
        <v>4958.9482</v>
      </c>
      <c r="AQ963" t="n">
        <v>8.03341</v>
      </c>
      <c r="AR963" t="n">
        <v>16.089156</v>
      </c>
      <c r="AY963" t="n">
        <v>961</v>
      </c>
      <c r="AZ963" t="n">
        <v>960</v>
      </c>
      <c r="BA963" t="n">
        <v>4630.89</v>
      </c>
      <c r="BB963" t="n">
        <v>4560.4702</v>
      </c>
      <c r="BC963" t="n">
        <v>70.4198</v>
      </c>
      <c r="BD963" t="n">
        <v>4958.9482</v>
      </c>
      <c r="BE963" t="n">
        <v>921600</v>
      </c>
    </row>
    <row r="964">
      <c r="A964" t="n">
        <v>1777601702</v>
      </c>
      <c r="B964" t="inlineStr">
        <is>
          <t>XAUUSD</t>
        </is>
      </c>
      <c r="C964" t="inlineStr">
        <is>
          <t>M15</t>
        </is>
      </c>
      <c r="D964" t="n">
        <v>4629.39</v>
      </c>
      <c r="E964" t="n">
        <v>4518.59282</v>
      </c>
      <c r="F964" t="n">
        <v>4596.05595</v>
      </c>
      <c r="G964" t="n">
        <v>4755.40355</v>
      </c>
      <c r="H964" t="n">
        <v>4792.76972</v>
      </c>
      <c r="Q964" t="n">
        <v>4560.2026</v>
      </c>
      <c r="R964" t="n">
        <v>4589.5659</v>
      </c>
      <c r="S964" t="n">
        <v>4616.15467</v>
      </c>
      <c r="V964" t="n">
        <v>4525.26283</v>
      </c>
      <c r="W964" t="n">
        <v>4491.69783</v>
      </c>
      <c r="Z964" t="n">
        <v>4635.83</v>
      </c>
      <c r="AB964" t="n">
        <v>4625.02416</v>
      </c>
      <c r="AC964" t="n">
        <v>4623.94497</v>
      </c>
      <c r="AD964" t="n">
        <v>0</v>
      </c>
      <c r="AK964" t="n">
        <v>962</v>
      </c>
      <c r="AL964" t="n">
        <v>961</v>
      </c>
      <c r="AM964" t="n">
        <v>4629.39</v>
      </c>
      <c r="AN964" t="n">
        <v>4560.2026</v>
      </c>
      <c r="AO964" t="n">
        <v>69.1874</v>
      </c>
      <c r="AP964" t="n">
        <v>4786.8963</v>
      </c>
      <c r="AQ964" t="n">
        <v>7.618976</v>
      </c>
      <c r="AR964" t="n">
        <v>14.992089</v>
      </c>
      <c r="AY964" t="n">
        <v>962</v>
      </c>
      <c r="AZ964" t="n">
        <v>961</v>
      </c>
      <c r="BA964" t="n">
        <v>4629.39</v>
      </c>
      <c r="BB964" t="n">
        <v>4560.2026</v>
      </c>
      <c r="BC964" t="n">
        <v>69.1874</v>
      </c>
      <c r="BD964" t="n">
        <v>4786.8963</v>
      </c>
      <c r="BE964" t="n">
        <v>923521</v>
      </c>
    </row>
    <row r="965">
      <c r="A965" t="n">
        <v>1777602602</v>
      </c>
      <c r="B965" t="inlineStr">
        <is>
          <t>XAUUSD</t>
        </is>
      </c>
      <c r="C965" t="inlineStr">
        <is>
          <t>M15</t>
        </is>
      </c>
      <c r="D965" t="n">
        <v>4624.38</v>
      </c>
      <c r="E965" t="n">
        <v>4518.59282</v>
      </c>
      <c r="F965" t="n">
        <v>4596.05595</v>
      </c>
      <c r="G965" t="n">
        <v>4755.40355</v>
      </c>
      <c r="H965" t="n">
        <v>4792.76972</v>
      </c>
      <c r="Q965" t="n">
        <v>4559.93499</v>
      </c>
      <c r="R965" t="n">
        <v>4589.29829</v>
      </c>
      <c r="S965" t="n">
        <v>4615.88706</v>
      </c>
      <c r="V965" t="n">
        <v>4524.99522</v>
      </c>
      <c r="W965" t="n">
        <v>4491.43023</v>
      </c>
      <c r="AB965" t="n">
        <v>4625.40267</v>
      </c>
      <c r="AC965" t="n">
        <v>4624.67382</v>
      </c>
      <c r="AD965" t="n">
        <v>0</v>
      </c>
      <c r="AK965" t="n">
        <v>963</v>
      </c>
      <c r="AL965" t="n">
        <v>962</v>
      </c>
      <c r="AM965" t="n">
        <v>4624.38</v>
      </c>
      <c r="AN965" t="n">
        <v>4559.935</v>
      </c>
      <c r="AO965" t="n">
        <v>64.44499999999999</v>
      </c>
      <c r="AP965" t="n">
        <v>4153.1593</v>
      </c>
      <c r="AQ965" t="n">
        <v>6.157203</v>
      </c>
      <c r="AR965" t="n">
        <v>11.285253</v>
      </c>
      <c r="AY965" t="n">
        <v>963</v>
      </c>
      <c r="AZ965" t="n">
        <v>962</v>
      </c>
      <c r="BA965" t="n">
        <v>4624.38</v>
      </c>
      <c r="BB965" t="n">
        <v>4559.935</v>
      </c>
      <c r="BC965" t="n">
        <v>64.44499999999999</v>
      </c>
      <c r="BD965" t="n">
        <v>4153.1593</v>
      </c>
      <c r="BE965" t="n">
        <v>925444</v>
      </c>
    </row>
    <row r="966">
      <c r="A966" t="n">
        <v>1777603502</v>
      </c>
      <c r="B966" t="inlineStr">
        <is>
          <t>XAUUSD</t>
        </is>
      </c>
      <c r="C966" t="inlineStr">
        <is>
          <t>M15</t>
        </is>
      </c>
      <c r="D966" t="n">
        <v>4619.15</v>
      </c>
      <c r="E966" t="n">
        <v>4518.59282</v>
      </c>
      <c r="F966" t="n">
        <v>4596.05595</v>
      </c>
      <c r="G966" t="n">
        <v>4755.40355</v>
      </c>
      <c r="H966" t="n">
        <v>4792.76972</v>
      </c>
      <c r="Q966" t="n">
        <v>4559.66739</v>
      </c>
      <c r="R966" t="n">
        <v>4589.03069</v>
      </c>
      <c r="S966" t="n">
        <v>4615.61946</v>
      </c>
      <c r="V966" t="n">
        <v>4524.72762</v>
      </c>
      <c r="W966" t="n">
        <v>4491.16262</v>
      </c>
      <c r="AB966" t="n">
        <v>4625.38626</v>
      </c>
      <c r="AC966" t="n">
        <v>4625.03004</v>
      </c>
      <c r="AD966" t="n">
        <v>0</v>
      </c>
      <c r="AK966" t="n">
        <v>964</v>
      </c>
      <c r="AL966" t="n">
        <v>963</v>
      </c>
      <c r="AM966" t="n">
        <v>4619.15</v>
      </c>
      <c r="AN966" t="n">
        <v>4559.6674</v>
      </c>
      <c r="AO966" t="n">
        <v>59.4826</v>
      </c>
      <c r="AP966" t="n">
        <v>3538.1809</v>
      </c>
      <c r="AQ966" t="n">
        <v>4.841564</v>
      </c>
      <c r="AR966" t="n">
        <v>8.190571</v>
      </c>
      <c r="AY966" t="n">
        <v>964</v>
      </c>
      <c r="AZ966" t="n">
        <v>963</v>
      </c>
      <c r="BA966" t="n">
        <v>4619.15</v>
      </c>
      <c r="BB966" t="n">
        <v>4559.6674</v>
      </c>
      <c r="BC966" t="n">
        <v>59.4826</v>
      </c>
      <c r="BD966" t="n">
        <v>3538.1809</v>
      </c>
      <c r="BE966" t="n">
        <v>927369</v>
      </c>
    </row>
    <row r="967">
      <c r="A967" t="n">
        <v>1777604402</v>
      </c>
      <c r="B967" t="inlineStr">
        <is>
          <t>XAUUSD</t>
        </is>
      </c>
      <c r="C967" t="inlineStr">
        <is>
          <t>M15</t>
        </is>
      </c>
      <c r="D967" t="n">
        <v>4620.85</v>
      </c>
      <c r="E967" t="n">
        <v>4518.59282</v>
      </c>
      <c r="F967" t="n">
        <v>4596.05595</v>
      </c>
      <c r="G967" t="n">
        <v>4755.40355</v>
      </c>
      <c r="H967" t="n">
        <v>4792.76972</v>
      </c>
      <c r="Q967" t="n">
        <v>4559.39979</v>
      </c>
      <c r="R967" t="n">
        <v>4588.76308</v>
      </c>
      <c r="S967" t="n">
        <v>4615.35185</v>
      </c>
      <c r="V967" t="n">
        <v>4524.46001</v>
      </c>
      <c r="W967" t="n">
        <v>4490.89502</v>
      </c>
      <c r="AB967" t="n">
        <v>4625.15934</v>
      </c>
      <c r="AC967" t="n">
        <v>4625.09469</v>
      </c>
      <c r="AD967" t="n">
        <v>0</v>
      </c>
      <c r="AK967" t="n">
        <v>965</v>
      </c>
      <c r="AL967" t="n">
        <v>964</v>
      </c>
      <c r="AM967" t="n">
        <v>4620.85</v>
      </c>
      <c r="AN967" t="n">
        <v>4559.3998</v>
      </c>
      <c r="AO967" t="n">
        <v>61.4502</v>
      </c>
      <c r="AP967" t="n">
        <v>3776.1283</v>
      </c>
      <c r="AQ967" t="n">
        <v>5.338088</v>
      </c>
      <c r="AR967" t="n">
        <v>9.329269</v>
      </c>
      <c r="AY967" t="n">
        <v>965</v>
      </c>
      <c r="AZ967" t="n">
        <v>964</v>
      </c>
      <c r="BA967" t="n">
        <v>4620.85</v>
      </c>
      <c r="BB967" t="n">
        <v>4559.3998</v>
      </c>
      <c r="BC967" t="n">
        <v>61.4502</v>
      </c>
      <c r="BD967" t="n">
        <v>3776.1283</v>
      </c>
      <c r="BE967" t="n">
        <v>929296</v>
      </c>
    </row>
    <row r="968">
      <c r="A968" t="n">
        <v>1777605302</v>
      </c>
      <c r="B968" t="inlineStr">
        <is>
          <t>XAUUSD</t>
        </is>
      </c>
      <c r="C968" t="inlineStr">
        <is>
          <t>M15</t>
        </is>
      </c>
      <c r="D968" t="n">
        <v>4626.13</v>
      </c>
      <c r="E968" t="n">
        <v>4518.59282</v>
      </c>
      <c r="F968" t="n">
        <v>4596.05595</v>
      </c>
      <c r="G968" t="n">
        <v>4755.40355</v>
      </c>
      <c r="H968" t="n">
        <v>4792.76972</v>
      </c>
      <c r="Q968" t="n">
        <v>4559.13218</v>
      </c>
      <c r="R968" t="n">
        <v>4588.49548</v>
      </c>
      <c r="S968" t="n">
        <v>4615.08425</v>
      </c>
      <c r="V968" t="n">
        <v>4524.19241</v>
      </c>
      <c r="W968" t="n">
        <v>4490.62741</v>
      </c>
      <c r="AB968" t="n">
        <v>4624.70187</v>
      </c>
      <c r="AC968" t="n">
        <v>4624.89828</v>
      </c>
      <c r="AD968" t="n">
        <v>1</v>
      </c>
      <c r="AK968" t="n">
        <v>966</v>
      </c>
      <c r="AL968" t="n">
        <v>965</v>
      </c>
      <c r="AM968" t="n">
        <v>4626.13</v>
      </c>
      <c r="AN968" t="n">
        <v>4559.1322</v>
      </c>
      <c r="AO968" t="n">
        <v>66.9978</v>
      </c>
      <c r="AP968" t="n">
        <v>4488.7079</v>
      </c>
      <c r="AQ968" t="n">
        <v>6.918271</v>
      </c>
      <c r="AR968" t="n">
        <v>13.18247</v>
      </c>
      <c r="AY968" t="n">
        <v>966</v>
      </c>
      <c r="AZ968" t="n">
        <v>965</v>
      </c>
      <c r="BA968" t="n">
        <v>4626.13</v>
      </c>
      <c r="BB968" t="n">
        <v>4559.1322</v>
      </c>
      <c r="BC968" t="n">
        <v>66.9978</v>
      </c>
      <c r="BD968" t="n">
        <v>4488.7079</v>
      </c>
      <c r="BE968" t="n">
        <v>931225</v>
      </c>
    </row>
    <row r="969">
      <c r="A969" t="n">
        <v>1777606202</v>
      </c>
      <c r="B969" t="inlineStr">
        <is>
          <t>XAUUSD</t>
        </is>
      </c>
      <c r="C969" t="inlineStr">
        <is>
          <t>M15</t>
        </is>
      </c>
      <c r="D969" t="n">
        <v>4626.21</v>
      </c>
      <c r="E969" t="n">
        <v>4518.59282</v>
      </c>
      <c r="F969" t="n">
        <v>4596.05595</v>
      </c>
      <c r="G969" t="n">
        <v>4755.40355</v>
      </c>
      <c r="H969" t="n">
        <v>4792.76972</v>
      </c>
      <c r="Q969" t="n">
        <v>4558.86458</v>
      </c>
      <c r="R969" t="n">
        <v>4588.22788</v>
      </c>
      <c r="S969" t="n">
        <v>4614.81665</v>
      </c>
      <c r="V969" t="n">
        <v>4523.92481</v>
      </c>
      <c r="W969" t="n">
        <v>4490.35981</v>
      </c>
      <c r="AB969" t="n">
        <v>4623.85411</v>
      </c>
      <c r="AC969" t="n">
        <v>4624.37619</v>
      </c>
      <c r="AD969" t="n">
        <v>0</v>
      </c>
      <c r="AK969" t="n">
        <v>967</v>
      </c>
      <c r="AL969" t="n">
        <v>966</v>
      </c>
      <c r="AM969" t="n">
        <v>4626.21</v>
      </c>
      <c r="AN969" t="n">
        <v>4558.8646</v>
      </c>
      <c r="AO969" t="n">
        <v>67.3454</v>
      </c>
      <c r="AP969" t="n">
        <v>4535.4056</v>
      </c>
      <c r="AQ969" t="n">
        <v>7.026512</v>
      </c>
      <c r="AR969" t="n">
        <v>13.458181</v>
      </c>
      <c r="AY969" t="n">
        <v>967</v>
      </c>
      <c r="AZ969" t="n">
        <v>966</v>
      </c>
      <c r="BA969" t="n">
        <v>4626.21</v>
      </c>
      <c r="BB969" t="n">
        <v>4558.8646</v>
      </c>
      <c r="BC969" t="n">
        <v>67.3454</v>
      </c>
      <c r="BD969" t="n">
        <v>4535.4056</v>
      </c>
      <c r="BE969" t="n">
        <v>933156</v>
      </c>
    </row>
    <row r="970">
      <c r="A970" t="n">
        <v>1777607102</v>
      </c>
      <c r="B970" t="inlineStr">
        <is>
          <t>XAUUSD</t>
        </is>
      </c>
      <c r="C970" t="inlineStr">
        <is>
          <t>M15</t>
        </is>
      </c>
      <c r="D970" t="n">
        <v>4626.67</v>
      </c>
      <c r="E970" t="n">
        <v>4518.59282</v>
      </c>
      <c r="F970" t="n">
        <v>4596.05595</v>
      </c>
      <c r="G970" t="n">
        <v>4755.40355</v>
      </c>
      <c r="H970" t="n">
        <v>4792.76972</v>
      </c>
      <c r="Q970" t="n">
        <v>4558.59697</v>
      </c>
      <c r="R970" t="n">
        <v>4587.96027</v>
      </c>
      <c r="S970" t="n">
        <v>4614.54904</v>
      </c>
      <c r="V970" t="n">
        <v>4523.6572</v>
      </c>
      <c r="W970" t="n">
        <v>4490.09221</v>
      </c>
      <c r="AB970" t="n">
        <v>4622.57556</v>
      </c>
      <c r="AC970" t="n">
        <v>4623.47588</v>
      </c>
      <c r="AD970" t="n">
        <v>0</v>
      </c>
      <c r="AK970" t="n">
        <v>968</v>
      </c>
      <c r="AL970" t="n">
        <v>967</v>
      </c>
      <c r="AM970" t="n">
        <v>4626.67</v>
      </c>
      <c r="AN970" t="n">
        <v>4558.597</v>
      </c>
      <c r="AO970" t="n">
        <v>68.07299999999999</v>
      </c>
      <c r="AP970" t="n">
        <v>4633.9374</v>
      </c>
      <c r="AQ970" t="n">
        <v>7.256728</v>
      </c>
      <c r="AR970" t="n">
        <v>14.049292</v>
      </c>
      <c r="AY970" t="n">
        <v>968</v>
      </c>
      <c r="AZ970" t="n">
        <v>967</v>
      </c>
      <c r="BA970" t="n">
        <v>4626.67</v>
      </c>
      <c r="BB970" t="n">
        <v>4558.597</v>
      </c>
      <c r="BC970" t="n">
        <v>68.07299999999999</v>
      </c>
      <c r="BD970" t="n">
        <v>4633.9374</v>
      </c>
      <c r="BE970" t="n">
        <v>935089</v>
      </c>
    </row>
    <row r="971">
      <c r="A971" t="n">
        <v>1777608002</v>
      </c>
      <c r="B971" t="inlineStr">
        <is>
          <t>XAUUSD</t>
        </is>
      </c>
      <c r="C971" t="inlineStr">
        <is>
          <t>M15</t>
        </is>
      </c>
      <c r="D971" t="n">
        <v>4621.93</v>
      </c>
      <c r="E971" t="n">
        <v>4518.59282</v>
      </c>
      <c r="F971" t="n">
        <v>4596.05595</v>
      </c>
      <c r="G971" t="n">
        <v>4755.40355</v>
      </c>
      <c r="H971" t="n">
        <v>4792.76972</v>
      </c>
      <c r="Q971" t="n">
        <v>4558.32937</v>
      </c>
      <c r="R971" t="n">
        <v>4587.69267</v>
      </c>
      <c r="S971" t="n">
        <v>4614.28144</v>
      </c>
      <c r="V971" t="n">
        <v>4523.3896</v>
      </c>
      <c r="W971" t="n">
        <v>4489.8246</v>
      </c>
      <c r="AB971" t="n">
        <v>4620.83276</v>
      </c>
      <c r="AC971" t="n">
        <v>4622.15432</v>
      </c>
      <c r="AD971" t="n">
        <v>0</v>
      </c>
      <c r="AK971" t="n">
        <v>969</v>
      </c>
      <c r="AL971" t="n">
        <v>968</v>
      </c>
      <c r="AM971" t="n">
        <v>4621.93</v>
      </c>
      <c r="AN971" t="n">
        <v>4558.3294</v>
      </c>
      <c r="AO971" t="n">
        <v>63.6006</v>
      </c>
      <c r="AP971" t="n">
        <v>4045.0401</v>
      </c>
      <c r="AQ971" t="n">
        <v>5.918339</v>
      </c>
      <c r="AR971" t="n">
        <v>10.705323</v>
      </c>
      <c r="AY971" t="n">
        <v>969</v>
      </c>
      <c r="AZ971" t="n">
        <v>968</v>
      </c>
      <c r="BA971" t="n">
        <v>4621.93</v>
      </c>
      <c r="BB971" t="n">
        <v>4558.3294</v>
      </c>
      <c r="BC971" t="n">
        <v>63.6006</v>
      </c>
      <c r="BD971" t="n">
        <v>4045.0401</v>
      </c>
      <c r="BE971" t="n">
        <v>937024</v>
      </c>
    </row>
    <row r="972">
      <c r="A972" t="n">
        <v>1777608902</v>
      </c>
      <c r="B972" t="inlineStr">
        <is>
          <t>XAUUSD</t>
        </is>
      </c>
      <c r="C972" t="inlineStr">
        <is>
          <t>M15</t>
        </is>
      </c>
      <c r="D972" t="n">
        <v>4617.53</v>
      </c>
      <c r="E972" t="n">
        <v>4518.59282</v>
      </c>
      <c r="F972" t="n">
        <v>4596.05595</v>
      </c>
      <c r="G972" t="n">
        <v>4755.40355</v>
      </c>
      <c r="H972" t="n">
        <v>4792.76972</v>
      </c>
      <c r="Q972" t="n">
        <v>4558.06176</v>
      </c>
      <c r="R972" t="n">
        <v>4587.42506</v>
      </c>
      <c r="S972" t="n">
        <v>4614.01383</v>
      </c>
      <c r="V972" t="n">
        <v>4523.12199</v>
      </c>
      <c r="W972" t="n">
        <v>4489.557</v>
      </c>
      <c r="AB972" t="n">
        <v>4618.75149</v>
      </c>
      <c r="AC972" t="n">
        <v>4620.4529</v>
      </c>
      <c r="AD972" t="n">
        <v>0</v>
      </c>
      <c r="AK972" t="n">
        <v>970</v>
      </c>
      <c r="AL972" t="n">
        <v>969</v>
      </c>
      <c r="AM972" t="n">
        <v>4617.53</v>
      </c>
      <c r="AN972" t="n">
        <v>4558.0618</v>
      </c>
      <c r="AO972" t="n">
        <v>59.4682</v>
      </c>
      <c r="AP972" t="n">
        <v>3536.4716</v>
      </c>
      <c r="AQ972" t="n">
        <v>4.838055</v>
      </c>
      <c r="AR972" t="n">
        <v>8.182658999999999</v>
      </c>
      <c r="AY972" t="n">
        <v>970</v>
      </c>
      <c r="AZ972" t="n">
        <v>969</v>
      </c>
      <c r="BA972" t="n">
        <v>4617.53</v>
      </c>
      <c r="BB972" t="n">
        <v>4558.0618</v>
      </c>
      <c r="BC972" t="n">
        <v>59.4682</v>
      </c>
      <c r="BD972" t="n">
        <v>3536.4716</v>
      </c>
      <c r="BE972" t="n">
        <v>938961</v>
      </c>
    </row>
    <row r="973">
      <c r="A973" t="n">
        <v>1777609802</v>
      </c>
      <c r="B973" t="inlineStr">
        <is>
          <t>XAUUSD</t>
        </is>
      </c>
      <c r="C973" t="inlineStr">
        <is>
          <t>M15</t>
        </is>
      </c>
      <c r="D973" t="n">
        <v>4613.51</v>
      </c>
      <c r="E973" t="n">
        <v>4518.59282</v>
      </c>
      <c r="F973" t="n">
        <v>4596.05595</v>
      </c>
      <c r="G973" t="n">
        <v>4755.40355</v>
      </c>
      <c r="H973" t="n">
        <v>4792.76972</v>
      </c>
      <c r="Q973" t="n">
        <v>4557.79416</v>
      </c>
      <c r="R973" t="n">
        <v>4587.15746</v>
      </c>
      <c r="S973" t="n">
        <v>4613.74623</v>
      </c>
      <c r="V973" t="n">
        <v>4522.85439</v>
      </c>
      <c r="W973" t="n">
        <v>4489.28939</v>
      </c>
      <c r="AB973" t="n">
        <v>4616.49328</v>
      </c>
      <c r="AC973" t="n">
        <v>4618.47309</v>
      </c>
      <c r="AD973" t="n">
        <v>0</v>
      </c>
      <c r="AK973" t="n">
        <v>971</v>
      </c>
      <c r="AL973" t="n">
        <v>970</v>
      </c>
      <c r="AM973" t="n">
        <v>4613.51</v>
      </c>
      <c r="AN973" t="n">
        <v>4557.7942</v>
      </c>
      <c r="AO973" t="n">
        <v>55.7158</v>
      </c>
      <c r="AP973" t="n">
        <v>3104.2548</v>
      </c>
      <c r="AQ973" t="n">
        <v>3.978796</v>
      </c>
      <c r="AR973" t="n">
        <v>6.304764</v>
      </c>
      <c r="AY973" t="n">
        <v>971</v>
      </c>
      <c r="AZ973" t="n">
        <v>970</v>
      </c>
      <c r="BA973" t="n">
        <v>4613.51</v>
      </c>
      <c r="BB973" t="n">
        <v>4557.7942</v>
      </c>
      <c r="BC973" t="n">
        <v>55.7158</v>
      </c>
      <c r="BD973" t="n">
        <v>3104.2548</v>
      </c>
      <c r="BE973" t="n">
        <v>940900</v>
      </c>
    </row>
    <row r="974">
      <c r="A974" t="n">
        <v>1777610702</v>
      </c>
      <c r="B974" t="inlineStr">
        <is>
          <t>XAUUSD</t>
        </is>
      </c>
      <c r="C974" t="inlineStr">
        <is>
          <t>M15</t>
        </is>
      </c>
      <c r="D974" t="n">
        <v>4609.18</v>
      </c>
      <c r="E974" t="n">
        <v>4518.59282</v>
      </c>
      <c r="F974" t="n">
        <v>4596.05595</v>
      </c>
      <c r="G974" t="n">
        <v>4755.40355</v>
      </c>
      <c r="H974" t="n">
        <v>4792.76972</v>
      </c>
      <c r="Q974" t="n">
        <v>4557.52656</v>
      </c>
      <c r="R974" t="n">
        <v>4586.88986</v>
      </c>
      <c r="S974" t="n">
        <v>4613.47863</v>
      </c>
      <c r="V974" t="n">
        <v>4522.58679</v>
      </c>
      <c r="W974" t="n">
        <v>4489.02179</v>
      </c>
      <c r="AB974" t="n">
        <v>4614.20071</v>
      </c>
      <c r="AC974" t="n">
        <v>4616.3369</v>
      </c>
      <c r="AD974" t="n">
        <v>0</v>
      </c>
      <c r="AK974" t="n">
        <v>972</v>
      </c>
      <c r="AL974" t="n">
        <v>971</v>
      </c>
      <c r="AM974" t="n">
        <v>4609.18</v>
      </c>
      <c r="AN974" t="n">
        <v>4557.5266</v>
      </c>
      <c r="AO974" t="n">
        <v>51.6534</v>
      </c>
      <c r="AP974" t="n">
        <v>2668.0779</v>
      </c>
      <c r="AQ974" t="n">
        <v>3.170395</v>
      </c>
      <c r="AR974" t="n">
        <v>4.657481</v>
      </c>
      <c r="AY974" t="n">
        <v>972</v>
      </c>
      <c r="AZ974" t="n">
        <v>971</v>
      </c>
      <c r="BA974" t="n">
        <v>4609.18</v>
      </c>
      <c r="BB974" t="n">
        <v>4557.5266</v>
      </c>
      <c r="BC974" t="n">
        <v>51.6534</v>
      </c>
      <c r="BD974" t="n">
        <v>2668.0779</v>
      </c>
      <c r="BE974" t="n">
        <v>942841</v>
      </c>
    </row>
    <row r="975">
      <c r="A975" t="n">
        <v>1777611602</v>
      </c>
      <c r="B975" t="inlineStr">
        <is>
          <t>XAUUSD</t>
        </is>
      </c>
      <c r="C975" t="inlineStr">
        <is>
          <t>M15</t>
        </is>
      </c>
      <c r="D975" t="n">
        <v>4614.29</v>
      </c>
      <c r="E975" t="n">
        <v>4518.59282</v>
      </c>
      <c r="F975" t="n">
        <v>4596.05595</v>
      </c>
      <c r="G975" t="n">
        <v>4755.40355</v>
      </c>
      <c r="H975" t="n">
        <v>4792.76972</v>
      </c>
      <c r="Q975" t="n">
        <v>4557.25895</v>
      </c>
      <c r="R975" t="n">
        <v>4586.62225</v>
      </c>
      <c r="S975" t="n">
        <v>4613.21102</v>
      </c>
      <c r="V975" t="n">
        <v>4522.31918</v>
      </c>
      <c r="W975" t="n">
        <v>4488.75419</v>
      </c>
      <c r="AB975" t="n">
        <v>4611.98192</v>
      </c>
      <c r="AC975" t="n">
        <v>4614.15941</v>
      </c>
      <c r="AD975" t="n">
        <v>0</v>
      </c>
      <c r="AK975" t="n">
        <v>973</v>
      </c>
      <c r="AL975" t="n">
        <v>972</v>
      </c>
      <c r="AM975" t="n">
        <v>4614.29</v>
      </c>
      <c r="AN975" t="n">
        <v>4557.259</v>
      </c>
      <c r="AO975" t="n">
        <v>57.031</v>
      </c>
      <c r="AP975" t="n">
        <v>3252.5407</v>
      </c>
      <c r="AQ975" t="n">
        <v>4.267266</v>
      </c>
      <c r="AR975" t="n">
        <v>6.92149</v>
      </c>
      <c r="AY975" t="n">
        <v>973</v>
      </c>
      <c r="AZ975" t="n">
        <v>972</v>
      </c>
      <c r="BA975" t="n">
        <v>4614.29</v>
      </c>
      <c r="BB975" t="n">
        <v>4557.259</v>
      </c>
      <c r="BC975" t="n">
        <v>57.031</v>
      </c>
      <c r="BD975" t="n">
        <v>3252.5407</v>
      </c>
      <c r="BE975" t="n">
        <v>944784</v>
      </c>
    </row>
    <row r="976">
      <c r="A976" t="n">
        <v>1777612502</v>
      </c>
      <c r="B976" t="inlineStr">
        <is>
          <t>XAUUSD</t>
        </is>
      </c>
      <c r="C976" t="inlineStr">
        <is>
          <t>M15</t>
        </is>
      </c>
      <c r="D976" t="n">
        <v>4614.64</v>
      </c>
      <c r="E976" t="n">
        <v>4518.59282</v>
      </c>
      <c r="F976" t="n">
        <v>4596.05595</v>
      </c>
      <c r="G976" t="n">
        <v>4755.40355</v>
      </c>
      <c r="H976" t="n">
        <v>4792.76972</v>
      </c>
      <c r="Q976" t="n">
        <v>4556.99135</v>
      </c>
      <c r="R976" t="n">
        <v>4586.35465</v>
      </c>
      <c r="S976" t="n">
        <v>4612.94342</v>
      </c>
      <c r="V976" t="n">
        <v>4522.05158</v>
      </c>
      <c r="W976" t="n">
        <v>4488.48658</v>
      </c>
      <c r="AB976" t="n">
        <v>4609.70218</v>
      </c>
      <c r="AC976" t="n">
        <v>4611.9308</v>
      </c>
      <c r="AD976" t="n">
        <v>0</v>
      </c>
      <c r="AK976" t="n">
        <v>974</v>
      </c>
      <c r="AL976" t="n">
        <v>973</v>
      </c>
      <c r="AM976" t="n">
        <v>4614.64</v>
      </c>
      <c r="AN976" t="n">
        <v>4556.9914</v>
      </c>
      <c r="AO976" t="n">
        <v>57.6487</v>
      </c>
      <c r="AP976" t="n">
        <v>3323.3668</v>
      </c>
      <c r="AQ976" t="n">
        <v>4.407405</v>
      </c>
      <c r="AR976" t="n">
        <v>7.226212</v>
      </c>
      <c r="AY976" t="n">
        <v>974</v>
      </c>
      <c r="AZ976" t="n">
        <v>973</v>
      </c>
      <c r="BA976" t="n">
        <v>4614.64</v>
      </c>
      <c r="BB976" t="n">
        <v>4556.9914</v>
      </c>
      <c r="BC976" t="n">
        <v>57.6487</v>
      </c>
      <c r="BD976" t="n">
        <v>3323.3668</v>
      </c>
      <c r="BE976" t="n">
        <v>946729</v>
      </c>
    </row>
    <row r="977">
      <c r="A977" t="n">
        <v>1777613402</v>
      </c>
      <c r="B977" t="inlineStr">
        <is>
          <t>XAUUSD</t>
        </is>
      </c>
      <c r="C977" t="inlineStr">
        <is>
          <t>M15</t>
        </is>
      </c>
      <c r="D977" t="n">
        <v>4610</v>
      </c>
      <c r="E977" t="n">
        <v>4518.59282</v>
      </c>
      <c r="F977" t="n">
        <v>4596.05595</v>
      </c>
      <c r="G977" t="n">
        <v>4755.40355</v>
      </c>
      <c r="H977" t="n">
        <v>4792.76972</v>
      </c>
      <c r="Q977" t="n">
        <v>4556.72374</v>
      </c>
      <c r="R977" t="n">
        <v>4586.08704</v>
      </c>
      <c r="S977" t="n">
        <v>4612.67581</v>
      </c>
      <c r="V977" t="n">
        <v>4521.78397</v>
      </c>
      <c r="W977" t="n">
        <v>4488.21898</v>
      </c>
      <c r="AB977" t="n">
        <v>4607.30397</v>
      </c>
      <c r="AC977" t="n">
        <v>4609.61738</v>
      </c>
      <c r="AD977" t="n">
        <v>0</v>
      </c>
      <c r="AK977" t="n">
        <v>975</v>
      </c>
      <c r="AL977" t="n">
        <v>974</v>
      </c>
      <c r="AM977" t="n">
        <v>4610</v>
      </c>
      <c r="AN977" t="n">
        <v>4556.7237</v>
      </c>
      <c r="AO977" t="n">
        <v>53.2763</v>
      </c>
      <c r="AP977" t="n">
        <v>2838.3599</v>
      </c>
      <c r="AQ977" t="n">
        <v>3.478698</v>
      </c>
      <c r="AR977" t="n">
        <v>5.270952</v>
      </c>
      <c r="AY977" t="n">
        <v>975</v>
      </c>
      <c r="AZ977" t="n">
        <v>974</v>
      </c>
      <c r="BA977" t="n">
        <v>4610</v>
      </c>
      <c r="BB977" t="n">
        <v>4556.7237</v>
      </c>
      <c r="BC977" t="n">
        <v>53.2763</v>
      </c>
      <c r="BD977" t="n">
        <v>2838.3599</v>
      </c>
      <c r="BE977" t="n">
        <v>948676</v>
      </c>
    </row>
    <row r="978">
      <c r="A978" t="n">
        <v>1777614302</v>
      </c>
      <c r="B978" t="inlineStr">
        <is>
          <t>XAUUSD</t>
        </is>
      </c>
      <c r="C978" t="inlineStr">
        <is>
          <t>M15</t>
        </is>
      </c>
      <c r="D978" t="n">
        <v>4605.03</v>
      </c>
      <c r="E978" t="n">
        <v>4518.59282</v>
      </c>
      <c r="F978" t="n">
        <v>4596.05595</v>
      </c>
      <c r="G978" t="n">
        <v>4755.40355</v>
      </c>
      <c r="H978" t="n">
        <v>4792.76972</v>
      </c>
      <c r="Q978" t="n">
        <v>4556.45614</v>
      </c>
      <c r="R978" t="n">
        <v>4585.81944</v>
      </c>
      <c r="S978" t="n">
        <v>4612.40821</v>
      </c>
      <c r="V978" t="n">
        <v>4521.51637</v>
      </c>
      <c r="W978" t="n">
        <v>4487.95137</v>
      </c>
      <c r="AB978" t="n">
        <v>4604.83316</v>
      </c>
      <c r="AC978" t="n">
        <v>4607.22527</v>
      </c>
      <c r="AD978" t="n">
        <v>0</v>
      </c>
      <c r="AK978" t="n">
        <v>976</v>
      </c>
      <c r="AL978" t="n">
        <v>975</v>
      </c>
      <c r="AM978" t="n">
        <v>4605.03</v>
      </c>
      <c r="AN978" t="n">
        <v>4556.4561</v>
      </c>
      <c r="AO978" t="n">
        <v>48.5739</v>
      </c>
      <c r="AP978" t="n">
        <v>2359.4199</v>
      </c>
      <c r="AQ978" t="n">
        <v>2.636474</v>
      </c>
      <c r="AR978" t="n">
        <v>3.642207</v>
      </c>
      <c r="AY978" t="n">
        <v>976</v>
      </c>
      <c r="AZ978" t="n">
        <v>975</v>
      </c>
      <c r="BA978" t="n">
        <v>4605.03</v>
      </c>
      <c r="BB978" t="n">
        <v>4556.4561</v>
      </c>
      <c r="BC978" t="n">
        <v>48.5739</v>
      </c>
      <c r="BD978" t="n">
        <v>2359.4199</v>
      </c>
      <c r="BE978" t="n">
        <v>950625</v>
      </c>
    </row>
    <row r="979">
      <c r="A979" t="n">
        <v>1777615202</v>
      </c>
      <c r="B979" t="inlineStr">
        <is>
          <t>XAUUSD</t>
        </is>
      </c>
      <c r="C979" t="inlineStr">
        <is>
          <t>M15</t>
        </is>
      </c>
      <c r="D979" t="n">
        <v>4601.49</v>
      </c>
      <c r="E979" t="n">
        <v>4518.59282</v>
      </c>
      <c r="F979" t="n">
        <v>4596.05595</v>
      </c>
      <c r="G979" t="n">
        <v>4755.40355</v>
      </c>
      <c r="H979" t="n">
        <v>4792.76972</v>
      </c>
      <c r="Q979" t="n">
        <v>4556.18854</v>
      </c>
      <c r="R979" t="n">
        <v>4585.55183</v>
      </c>
      <c r="S979" t="n">
        <v>4612.14061</v>
      </c>
      <c r="V979" t="n">
        <v>4521.24877</v>
      </c>
      <c r="W979" t="n">
        <v>4487.68377</v>
      </c>
      <c r="AB979" t="n">
        <v>4602.33592</v>
      </c>
      <c r="AC979" t="n">
        <v>4604.7806</v>
      </c>
      <c r="AD979" t="n">
        <v>0</v>
      </c>
      <c r="AK979" t="n">
        <v>977</v>
      </c>
      <c r="AL979" t="n">
        <v>976</v>
      </c>
      <c r="AM979" t="n">
        <v>4601.49</v>
      </c>
      <c r="AN979" t="n">
        <v>4556.1885</v>
      </c>
      <c r="AO979" t="n">
        <v>45.3015</v>
      </c>
      <c r="AP979" t="n">
        <v>2052.2223</v>
      </c>
      <c r="AQ979" t="n">
        <v>2.138711</v>
      </c>
      <c r="AR979" t="n">
        <v>2.755516</v>
      </c>
      <c r="AY979" t="n">
        <v>977</v>
      </c>
      <c r="AZ979" t="n">
        <v>976</v>
      </c>
      <c r="BA979" t="n">
        <v>4601.49</v>
      </c>
      <c r="BB979" t="n">
        <v>4556.1885</v>
      </c>
      <c r="BC979" t="n">
        <v>45.3015</v>
      </c>
      <c r="BD979" t="n">
        <v>2052.2223</v>
      </c>
      <c r="BE979" t="n">
        <v>952576</v>
      </c>
    </row>
    <row r="980">
      <c r="A980" t="n">
        <v>1777616102</v>
      </c>
      <c r="B980" t="inlineStr">
        <is>
          <t>XAUUSD</t>
        </is>
      </c>
      <c r="C980" t="inlineStr">
        <is>
          <t>M15</t>
        </is>
      </c>
      <c r="D980" t="n">
        <v>4593.44</v>
      </c>
      <c r="E980" t="n">
        <v>4518.59282</v>
      </c>
      <c r="F980" t="n">
        <v>4596.05595</v>
      </c>
      <c r="G980" t="n">
        <v>4755.40355</v>
      </c>
      <c r="H980" t="n">
        <v>4792.76972</v>
      </c>
      <c r="Q980" t="n">
        <v>4555.92093</v>
      </c>
      <c r="R980" t="n">
        <v>4585.28423</v>
      </c>
      <c r="S980" t="n">
        <v>4611.873</v>
      </c>
      <c r="V980" t="n">
        <v>4520.98116</v>
      </c>
      <c r="W980" t="n">
        <v>4487.41617</v>
      </c>
      <c r="AB980" t="n">
        <v>4599.75347</v>
      </c>
      <c r="AC980" t="n">
        <v>4602.26703</v>
      </c>
      <c r="AD980" t="n">
        <v>0</v>
      </c>
      <c r="AK980" t="n">
        <v>978</v>
      </c>
      <c r="AL980" t="n">
        <v>977</v>
      </c>
      <c r="AM980" t="n">
        <v>4593.44</v>
      </c>
      <c r="AN980" t="n">
        <v>4555.9209</v>
      </c>
      <c r="AO980" t="n">
        <v>37.5191</v>
      </c>
      <c r="AP980" t="n">
        <v>1407.6806</v>
      </c>
      <c r="AQ980" t="n">
        <v>1.214987</v>
      </c>
      <c r="AR980" t="n">
        <v>1.29647</v>
      </c>
      <c r="AY980" t="n">
        <v>978</v>
      </c>
      <c r="AZ980" t="n">
        <v>977</v>
      </c>
      <c r="BA980" t="n">
        <v>4593.44</v>
      </c>
      <c r="BB980" t="n">
        <v>4555.9209</v>
      </c>
      <c r="BC980" t="n">
        <v>37.5191</v>
      </c>
      <c r="BD980" t="n">
        <v>1407.6806</v>
      </c>
      <c r="BE980" t="n">
        <v>954529</v>
      </c>
    </row>
    <row r="981">
      <c r="A981" t="n">
        <v>1777617002</v>
      </c>
      <c r="B981" t="inlineStr">
        <is>
          <t>XAUUSD</t>
        </is>
      </c>
      <c r="C981" t="inlineStr">
        <is>
          <t>M15</t>
        </is>
      </c>
      <c r="D981" t="n">
        <v>4593.36</v>
      </c>
      <c r="E981" t="n">
        <v>4518.59282</v>
      </c>
      <c r="F981" t="n">
        <v>4596.05595</v>
      </c>
      <c r="G981" t="n">
        <v>4755.40355</v>
      </c>
      <c r="H981" t="n">
        <v>4792.76972</v>
      </c>
      <c r="Q981" t="n">
        <v>4555.65333</v>
      </c>
      <c r="R981" t="n">
        <v>4585.01663</v>
      </c>
      <c r="S981" t="n">
        <v>4611.6054</v>
      </c>
      <c r="V981" t="n">
        <v>4520.71356</v>
      </c>
      <c r="W981" t="n">
        <v>4487.14856</v>
      </c>
      <c r="AB981" t="n">
        <v>4597.13603</v>
      </c>
      <c r="AC981" t="n">
        <v>4599.70153</v>
      </c>
      <c r="AD981" t="n">
        <v>0</v>
      </c>
      <c r="AK981" t="n">
        <v>979</v>
      </c>
      <c r="AL981" t="n">
        <v>978</v>
      </c>
      <c r="AM981" t="n">
        <v>4593.36</v>
      </c>
      <c r="AN981" t="n">
        <v>4555.6533</v>
      </c>
      <c r="AO981" t="n">
        <v>37.7067</v>
      </c>
      <c r="AP981" t="n">
        <v>1421.793</v>
      </c>
      <c r="AQ981" t="n">
        <v>1.233304</v>
      </c>
      <c r="AR981" t="n">
        <v>1.322595</v>
      </c>
      <c r="AY981" t="n">
        <v>979</v>
      </c>
      <c r="AZ981" t="n">
        <v>978</v>
      </c>
      <c r="BA981" t="n">
        <v>4593.36</v>
      </c>
      <c r="BB981" t="n">
        <v>4555.6533</v>
      </c>
      <c r="BC981" t="n">
        <v>37.7067</v>
      </c>
      <c r="BD981" t="n">
        <v>1421.793</v>
      </c>
      <c r="BE981" t="n">
        <v>956484</v>
      </c>
    </row>
    <row r="982">
      <c r="A982" t="n">
        <v>1777617902</v>
      </c>
      <c r="B982" t="inlineStr">
        <is>
          <t>XAUUSD</t>
        </is>
      </c>
      <c r="C982" t="inlineStr">
        <is>
          <t>M15</t>
        </is>
      </c>
      <c r="D982" t="n">
        <v>4594.77</v>
      </c>
      <c r="E982" t="n">
        <v>4518.59282</v>
      </c>
      <c r="F982" t="n">
        <v>4596.05595</v>
      </c>
      <c r="G982" t="n">
        <v>4755.40355</v>
      </c>
      <c r="H982" t="n">
        <v>4792.76972</v>
      </c>
      <c r="Q982" t="n">
        <v>4555.38572</v>
      </c>
      <c r="R982" t="n">
        <v>4584.74902</v>
      </c>
      <c r="S982" t="n">
        <v>4611.33779</v>
      </c>
      <c r="V982" t="n">
        <v>4520.44595</v>
      </c>
      <c r="W982" t="n">
        <v>4486.88096</v>
      </c>
      <c r="AB982" t="n">
        <v>4594.29338</v>
      </c>
      <c r="AC982" t="n">
        <v>4596.99745</v>
      </c>
      <c r="AD982" t="n">
        <v>0</v>
      </c>
      <c r="AK982" t="n">
        <v>980</v>
      </c>
      <c r="AL982" t="n">
        <v>979</v>
      </c>
      <c r="AM982" t="n">
        <v>4594.77</v>
      </c>
      <c r="AN982" t="n">
        <v>4555.3857</v>
      </c>
      <c r="AO982" t="n">
        <v>39.3843</v>
      </c>
      <c r="AP982" t="n">
        <v>1551.1215</v>
      </c>
      <c r="AQ982" t="n">
        <v>1.405349</v>
      </c>
      <c r="AR982" t="n">
        <v>1.574149</v>
      </c>
      <c r="AY982" t="n">
        <v>980</v>
      </c>
      <c r="AZ982" t="n">
        <v>979</v>
      </c>
      <c r="BA982" t="n">
        <v>4594.77</v>
      </c>
      <c r="BB982" t="n">
        <v>4555.3857</v>
      </c>
      <c r="BC982" t="n">
        <v>39.3843</v>
      </c>
      <c r="BD982" t="n">
        <v>1551.1215</v>
      </c>
      <c r="BE982" t="n">
        <v>958441</v>
      </c>
    </row>
    <row r="983">
      <c r="A983" t="n">
        <v>1777618802</v>
      </c>
      <c r="B983" t="inlineStr">
        <is>
          <t>XAUUSD</t>
        </is>
      </c>
      <c r="C983" t="inlineStr">
        <is>
          <t>M15</t>
        </is>
      </c>
      <c r="D983" t="n">
        <v>4595.97</v>
      </c>
      <c r="E983" t="n">
        <v>4518.59282</v>
      </c>
      <c r="F983" t="n">
        <v>4596.05595</v>
      </c>
      <c r="G983" t="n">
        <v>4755.40355</v>
      </c>
      <c r="H983" t="n">
        <v>4792.76972</v>
      </c>
      <c r="Q983" t="n">
        <v>4555.11812</v>
      </c>
      <c r="R983" t="n">
        <v>4584.48142</v>
      </c>
      <c r="S983" t="n">
        <v>4611.07019</v>
      </c>
      <c r="V983" t="n">
        <v>4520.17835</v>
      </c>
      <c r="W983" t="n">
        <v>4486.61335</v>
      </c>
      <c r="AB983" t="n">
        <v>4591.09649</v>
      </c>
      <c r="AC983" t="n">
        <v>4594.04697</v>
      </c>
      <c r="AD983" t="n">
        <v>0</v>
      </c>
      <c r="AK983" t="n">
        <v>981</v>
      </c>
      <c r="AL983" t="n">
        <v>980</v>
      </c>
      <c r="AM983" t="n">
        <v>4595.97</v>
      </c>
      <c r="AN983" t="n">
        <v>4555.1181</v>
      </c>
      <c r="AO983" t="n">
        <v>40.8519</v>
      </c>
      <c r="AP983" t="n">
        <v>1668.8761</v>
      </c>
      <c r="AQ983" t="n">
        <v>1.568382</v>
      </c>
      <c r="AR983" t="n">
        <v>1.822226</v>
      </c>
      <c r="AY983" t="n">
        <v>981</v>
      </c>
      <c r="AZ983" t="n">
        <v>980</v>
      </c>
      <c r="BA983" t="n">
        <v>4595.97</v>
      </c>
      <c r="BB983" t="n">
        <v>4555.1181</v>
      </c>
      <c r="BC983" t="n">
        <v>40.8519</v>
      </c>
      <c r="BD983" t="n">
        <v>1668.8761</v>
      </c>
      <c r="BE983" t="n">
        <v>960400</v>
      </c>
    </row>
    <row r="984">
      <c r="A984" t="n">
        <v>1777619702</v>
      </c>
      <c r="B984" t="inlineStr">
        <is>
          <t>XAUUSD</t>
        </is>
      </c>
      <c r="C984" t="inlineStr">
        <is>
          <t>M15</t>
        </is>
      </c>
      <c r="D984" t="n">
        <v>4592.32</v>
      </c>
      <c r="E984" t="n">
        <v>4518.59282</v>
      </c>
      <c r="F984" t="n">
        <v>4596.05595</v>
      </c>
      <c r="G984" t="n">
        <v>4755.40355</v>
      </c>
      <c r="H984" t="n">
        <v>4792.76972</v>
      </c>
      <c r="Q984" t="n">
        <v>4554.85052</v>
      </c>
      <c r="R984" t="n">
        <v>4584.21381</v>
      </c>
      <c r="S984" t="n">
        <v>4610.80259</v>
      </c>
      <c r="V984" t="n">
        <v>4519.91075</v>
      </c>
      <c r="W984" t="n">
        <v>4486.34575</v>
      </c>
      <c r="AB984" t="n">
        <v>4587.48142</v>
      </c>
      <c r="AC984" t="n">
        <v>4590.7642</v>
      </c>
      <c r="AD984" t="n">
        <v>0</v>
      </c>
      <c r="AK984" t="n">
        <v>982</v>
      </c>
      <c r="AL984" t="n">
        <v>981</v>
      </c>
      <c r="AM984" t="n">
        <v>4592.32</v>
      </c>
      <c r="AN984" t="n">
        <v>4554.8505</v>
      </c>
      <c r="AO984" t="n">
        <v>37.4695</v>
      </c>
      <c r="AP984" t="n">
        <v>1403.9619</v>
      </c>
      <c r="AQ984" t="n">
        <v>1.210176</v>
      </c>
      <c r="AR984" t="n">
        <v>1.289629</v>
      </c>
      <c r="AY984" t="n">
        <v>982</v>
      </c>
      <c r="AZ984" t="n">
        <v>981</v>
      </c>
      <c r="BA984" t="n">
        <v>4592.32</v>
      </c>
      <c r="BB984" t="n">
        <v>4554.8505</v>
      </c>
      <c r="BC984" t="n">
        <v>37.4695</v>
      </c>
      <c r="BD984" t="n">
        <v>1403.9619</v>
      </c>
      <c r="BE984" t="n">
        <v>962361</v>
      </c>
    </row>
    <row r="985">
      <c r="A985" t="n">
        <v>1777620602</v>
      </c>
      <c r="B985" t="inlineStr">
        <is>
          <t>XAUUSD</t>
        </is>
      </c>
      <c r="C985" t="inlineStr">
        <is>
          <t>M15</t>
        </is>
      </c>
      <c r="D985" t="n">
        <v>4585.41</v>
      </c>
      <c r="E985" t="n">
        <v>4518.59282</v>
      </c>
      <c r="F985" t="n">
        <v>4596.05595</v>
      </c>
      <c r="G985" t="n">
        <v>4755.40355</v>
      </c>
      <c r="H985" t="n">
        <v>4792.76972</v>
      </c>
      <c r="Q985" t="n">
        <v>4554.58291</v>
      </c>
      <c r="R985" t="n">
        <v>4583.94621</v>
      </c>
      <c r="S985" t="n">
        <v>4610.53498</v>
      </c>
      <c r="V985" t="n">
        <v>4519.64314</v>
      </c>
      <c r="W985" t="n">
        <v>4486.07815</v>
      </c>
      <c r="AB985" t="n">
        <v>4583.57847</v>
      </c>
      <c r="AC985" t="n">
        <v>4587.17133</v>
      </c>
      <c r="AD985" t="n">
        <v>0</v>
      </c>
      <c r="AK985" t="n">
        <v>983</v>
      </c>
      <c r="AL985" t="n">
        <v>982</v>
      </c>
      <c r="AM985" t="n">
        <v>4585.41</v>
      </c>
      <c r="AN985" t="n">
        <v>4554.5829</v>
      </c>
      <c r="AO985" t="n">
        <v>30.8271</v>
      </c>
      <c r="AP985" t="n">
        <v>950.3095</v>
      </c>
      <c r="AQ985" t="n">
        <v>0.6739270000000001</v>
      </c>
      <c r="AR985" t="n">
        <v>0.5908600000000001</v>
      </c>
      <c r="AY985" t="n">
        <v>983</v>
      </c>
      <c r="AZ985" t="n">
        <v>982</v>
      </c>
      <c r="BA985" t="n">
        <v>4585.41</v>
      </c>
      <c r="BB985" t="n">
        <v>4554.5829</v>
      </c>
      <c r="BC985" t="n">
        <v>30.8271</v>
      </c>
      <c r="BD985" t="n">
        <v>950.3095</v>
      </c>
      <c r="BE985" t="n">
        <v>964324</v>
      </c>
    </row>
    <row r="986">
      <c r="A986" t="n">
        <v>1777621502</v>
      </c>
      <c r="B986" t="inlineStr">
        <is>
          <t>XAUUSD</t>
        </is>
      </c>
      <c r="C986" t="inlineStr">
        <is>
          <t>M15</t>
        </is>
      </c>
      <c r="D986" t="n">
        <v>4578.16</v>
      </c>
      <c r="E986" t="n">
        <v>4518.59282</v>
      </c>
      <c r="F986" t="n">
        <v>4596.05595</v>
      </c>
      <c r="G986" t="n">
        <v>4755.40355</v>
      </c>
      <c r="H986" t="n">
        <v>4792.76972</v>
      </c>
      <c r="Q986" t="n">
        <v>4554.31531</v>
      </c>
      <c r="R986" t="n">
        <v>4583.67861</v>
      </c>
      <c r="S986" t="n">
        <v>4610.26738</v>
      </c>
      <c r="V986" t="n">
        <v>4519.37554</v>
      </c>
      <c r="W986" t="n">
        <v>4485.81054</v>
      </c>
      <c r="AB986" t="n">
        <v>4579.65779</v>
      </c>
      <c r="AC986" t="n">
        <v>4583.41456</v>
      </c>
      <c r="AD986" t="n">
        <v>0</v>
      </c>
      <c r="AK986" t="n">
        <v>984</v>
      </c>
      <c r="AL986" t="n">
        <v>983</v>
      </c>
      <c r="AM986" t="n">
        <v>4578.16</v>
      </c>
      <c r="AN986" t="n">
        <v>4554.3153</v>
      </c>
      <c r="AO986" t="n">
        <v>23.8447</v>
      </c>
      <c r="AP986" t="n">
        <v>568.5692</v>
      </c>
      <c r="AQ986" t="n">
        <v>0.311882</v>
      </c>
      <c r="AR986" t="n">
        <v>0.211505</v>
      </c>
      <c r="AY986" t="n">
        <v>984</v>
      </c>
      <c r="AZ986" t="n">
        <v>983</v>
      </c>
      <c r="BA986" t="n">
        <v>4578.16</v>
      </c>
      <c r="BB986" t="n">
        <v>4554.3153</v>
      </c>
      <c r="BC986" t="n">
        <v>23.8447</v>
      </c>
      <c r="BD986" t="n">
        <v>568.5692</v>
      </c>
      <c r="BE986" t="n">
        <v>966289</v>
      </c>
    </row>
    <row r="987">
      <c r="A987" t="n">
        <v>1777622402</v>
      </c>
      <c r="B987" t="inlineStr">
        <is>
          <t>XAUUSD</t>
        </is>
      </c>
      <c r="C987" t="inlineStr">
        <is>
          <t>M15</t>
        </is>
      </c>
      <c r="D987" t="n">
        <v>4574.06</v>
      </c>
      <c r="E987" t="n">
        <v>4518.59282</v>
      </c>
      <c r="F987" t="n">
        <v>4596.05595</v>
      </c>
      <c r="G987" t="n">
        <v>4755.40355</v>
      </c>
      <c r="H987" t="n">
        <v>4792.76972</v>
      </c>
      <c r="Q987" t="n">
        <v>4554.0477</v>
      </c>
      <c r="R987" t="n">
        <v>4583.411</v>
      </c>
      <c r="S987" t="n">
        <v>4609.99977</v>
      </c>
      <c r="V987" t="n">
        <v>4519.10793</v>
      </c>
      <c r="W987" t="n">
        <v>4485.54294</v>
      </c>
      <c r="AB987" t="n">
        <v>4576.01848</v>
      </c>
      <c r="AC987" t="n">
        <v>4579.71652</v>
      </c>
      <c r="AD987" t="n">
        <v>0</v>
      </c>
      <c r="AK987" t="n">
        <v>985</v>
      </c>
      <c r="AL987" t="n">
        <v>984</v>
      </c>
      <c r="AM987" t="n">
        <v>4574.06</v>
      </c>
      <c r="AN987" t="n">
        <v>4554.0477</v>
      </c>
      <c r="AO987" t="n">
        <v>20.0123</v>
      </c>
      <c r="AP987" t="n">
        <v>400.4922</v>
      </c>
      <c r="AQ987" t="n">
        <v>0.184377</v>
      </c>
      <c r="AR987" t="n">
        <v>0.10494</v>
      </c>
      <c r="AY987" t="n">
        <v>985</v>
      </c>
      <c r="AZ987" t="n">
        <v>984</v>
      </c>
      <c r="BA987" t="n">
        <v>4574.06</v>
      </c>
      <c r="BB987" t="n">
        <v>4554.0477</v>
      </c>
      <c r="BC987" t="n">
        <v>20.0123</v>
      </c>
      <c r="BD987" t="n">
        <v>400.4922</v>
      </c>
      <c r="BE987" t="n">
        <v>968256</v>
      </c>
    </row>
    <row r="988">
      <c r="A988" t="n">
        <v>1777623302</v>
      </c>
      <c r="B988" t="inlineStr">
        <is>
          <t>XAUUSD</t>
        </is>
      </c>
      <c r="C988" t="inlineStr">
        <is>
          <t>M15</t>
        </is>
      </c>
      <c r="D988" t="n">
        <v>4567.37</v>
      </c>
      <c r="E988" t="n">
        <v>4518.59282</v>
      </c>
      <c r="F988" t="n">
        <v>4596.05595</v>
      </c>
      <c r="G988" t="n">
        <v>4755.40355</v>
      </c>
      <c r="H988" t="n">
        <v>4792.76972</v>
      </c>
      <c r="Q988" t="n">
        <v>4553.7801</v>
      </c>
      <c r="R988" t="n">
        <v>4583.1434</v>
      </c>
      <c r="S988" t="n">
        <v>4609.73217</v>
      </c>
      <c r="V988" t="n">
        <v>4518.84033</v>
      </c>
      <c r="W988" t="n">
        <v>4485.27533</v>
      </c>
      <c r="AB988" t="n">
        <v>4572.85269</v>
      </c>
      <c r="AC988" t="n">
        <v>4576.2846</v>
      </c>
      <c r="AD988" t="n">
        <v>0</v>
      </c>
      <c r="AK988" t="n">
        <v>986</v>
      </c>
      <c r="AL988" t="n">
        <v>985</v>
      </c>
      <c r="AM988" t="n">
        <v>4567.37</v>
      </c>
      <c r="AN988" t="n">
        <v>4553.7801</v>
      </c>
      <c r="AO988" t="n">
        <v>13.5899</v>
      </c>
      <c r="AP988" t="n">
        <v>184.6854</v>
      </c>
      <c r="AQ988" t="n">
        <v>0.057738</v>
      </c>
      <c r="AR988" t="n">
        <v>0.022316</v>
      </c>
      <c r="AY988" t="n">
        <v>986</v>
      </c>
      <c r="AZ988" t="n">
        <v>985</v>
      </c>
      <c r="BA988" t="n">
        <v>4567.37</v>
      </c>
      <c r="BB988" t="n">
        <v>4553.7801</v>
      </c>
      <c r="BC988" t="n">
        <v>13.5899</v>
      </c>
      <c r="BD988" t="n">
        <v>184.6854</v>
      </c>
      <c r="BE988" t="n">
        <v>970225</v>
      </c>
    </row>
    <row r="989">
      <c r="A989" t="n">
        <v>1777624202</v>
      </c>
      <c r="B989" t="inlineStr">
        <is>
          <t>XAUUSD</t>
        </is>
      </c>
      <c r="C989" t="inlineStr">
        <is>
          <t>M15</t>
        </is>
      </c>
      <c r="D989" t="n">
        <v>4571.29</v>
      </c>
      <c r="E989" t="n">
        <v>4518.59282</v>
      </c>
      <c r="F989" t="n">
        <v>4596.05595</v>
      </c>
      <c r="G989" t="n">
        <v>4755.40355</v>
      </c>
      <c r="H989" t="n">
        <v>4792.76972</v>
      </c>
      <c r="Q989" t="n">
        <v>4553.5125</v>
      </c>
      <c r="R989" t="n">
        <v>4582.87579</v>
      </c>
      <c r="S989" t="n">
        <v>4609.46456</v>
      </c>
      <c r="V989" t="n">
        <v>4518.57273</v>
      </c>
      <c r="W989" t="n">
        <v>4485.00773</v>
      </c>
      <c r="AB989" t="n">
        <v>4570.38966</v>
      </c>
      <c r="AC989" t="n">
        <v>4573.33713</v>
      </c>
      <c r="AD989" t="n">
        <v>0</v>
      </c>
      <c r="AK989" t="n">
        <v>987</v>
      </c>
      <c r="AL989" t="n">
        <v>986</v>
      </c>
      <c r="AM989" t="n">
        <v>4571.29</v>
      </c>
      <c r="AN989" t="n">
        <v>4553.5125</v>
      </c>
      <c r="AO989" t="n">
        <v>17.7775</v>
      </c>
      <c r="AP989" t="n">
        <v>316.0395</v>
      </c>
      <c r="AQ989" t="n">
        <v>0.129249</v>
      </c>
      <c r="AR989" t="n">
        <v>0.065349</v>
      </c>
      <c r="AY989" t="n">
        <v>987</v>
      </c>
      <c r="AZ989" t="n">
        <v>986</v>
      </c>
      <c r="BA989" t="n">
        <v>4571.29</v>
      </c>
      <c r="BB989" t="n">
        <v>4553.5125</v>
      </c>
      <c r="BC989" t="n">
        <v>17.7775</v>
      </c>
      <c r="BD989" t="n">
        <v>316.0395</v>
      </c>
      <c r="BE989" t="n">
        <v>972196</v>
      </c>
    </row>
    <row r="990">
      <c r="A990" t="n">
        <v>1777625102</v>
      </c>
      <c r="B990" t="inlineStr">
        <is>
          <t>XAUUSD</t>
        </is>
      </c>
      <c r="C990" t="inlineStr">
        <is>
          <t>M15</t>
        </is>
      </c>
      <c r="D990" t="n">
        <v>4568.51</v>
      </c>
      <c r="E990" t="n">
        <v>4518.59282</v>
      </c>
      <c r="F990" t="n">
        <v>4596.05595</v>
      </c>
      <c r="G990" t="n">
        <v>4755.40355</v>
      </c>
      <c r="H990" t="n">
        <v>4792.76972</v>
      </c>
      <c r="Q990" t="n">
        <v>4553.24489</v>
      </c>
      <c r="R990" t="n">
        <v>4582.60819</v>
      </c>
      <c r="S990" t="n">
        <v>4609.19696</v>
      </c>
      <c r="V990" t="n">
        <v>4518.30512</v>
      </c>
      <c r="W990" t="n">
        <v>4484.74012</v>
      </c>
      <c r="AB990" t="n">
        <v>4568.51331</v>
      </c>
      <c r="AC990" t="n">
        <v>4570.92522</v>
      </c>
      <c r="AD990" t="n">
        <v>0</v>
      </c>
      <c r="AK990" t="n">
        <v>988</v>
      </c>
      <c r="AL990" t="n">
        <v>987</v>
      </c>
      <c r="AM990" t="n">
        <v>4568.51</v>
      </c>
      <c r="AN990" t="n">
        <v>4553.2449</v>
      </c>
      <c r="AO990" t="n">
        <v>15.2651</v>
      </c>
      <c r="AP990" t="n">
        <v>233.0236</v>
      </c>
      <c r="AQ990" t="n">
        <v>0.081831</v>
      </c>
      <c r="AR990" t="n">
        <v>0.035527</v>
      </c>
      <c r="AY990" t="n">
        <v>988</v>
      </c>
      <c r="AZ990" t="n">
        <v>987</v>
      </c>
      <c r="BA990" t="n">
        <v>4568.51</v>
      </c>
      <c r="BB990" t="n">
        <v>4553.2449</v>
      </c>
      <c r="BC990" t="n">
        <v>15.2651</v>
      </c>
      <c r="BD990" t="n">
        <v>233.0236</v>
      </c>
      <c r="BE990" t="n">
        <v>974169</v>
      </c>
    </row>
    <row r="991">
      <c r="A991" t="n">
        <v>1777626002</v>
      </c>
      <c r="B991" t="inlineStr">
        <is>
          <t>XAUUSD</t>
        </is>
      </c>
      <c r="C991" t="inlineStr">
        <is>
          <t>M15</t>
        </is>
      </c>
      <c r="D991" t="n">
        <v>4565.87</v>
      </c>
      <c r="E991" t="n">
        <v>4518.59282</v>
      </c>
      <c r="F991" t="n">
        <v>4596.05595</v>
      </c>
      <c r="G991" t="n">
        <v>4755.40355</v>
      </c>
      <c r="H991" t="n">
        <v>4792.76972</v>
      </c>
      <c r="Q991" t="n">
        <v>4552.97729</v>
      </c>
      <c r="R991" t="n">
        <v>4582.34059</v>
      </c>
      <c r="S991" t="n">
        <v>4608.92936</v>
      </c>
      <c r="V991" t="n">
        <v>4518.03752</v>
      </c>
      <c r="W991" t="n">
        <v>4484.47252</v>
      </c>
      <c r="AB991" t="n">
        <v>4567.25655</v>
      </c>
      <c r="AC991" t="n">
        <v>4569.09088</v>
      </c>
      <c r="AD991" t="n">
        <v>0</v>
      </c>
      <c r="AK991" t="n">
        <v>989</v>
      </c>
      <c r="AL991" t="n">
        <v>988</v>
      </c>
      <c r="AM991" t="n">
        <v>4565.87</v>
      </c>
      <c r="AN991" t="n">
        <v>4552.9773</v>
      </c>
      <c r="AO991" t="n">
        <v>12.8927</v>
      </c>
      <c r="AP991" t="n">
        <v>166.222</v>
      </c>
      <c r="AQ991" t="n">
        <v>0.0493</v>
      </c>
      <c r="AR991" t="n">
        <v>0.018077</v>
      </c>
      <c r="AY991" t="n">
        <v>989</v>
      </c>
      <c r="AZ991" t="n">
        <v>988</v>
      </c>
      <c r="BA991" t="n">
        <v>4565.87</v>
      </c>
      <c r="BB991" t="n">
        <v>4552.9773</v>
      </c>
      <c r="BC991" t="n">
        <v>12.8927</v>
      </c>
      <c r="BD991" t="n">
        <v>166.222</v>
      </c>
      <c r="BE991" t="n">
        <v>976144</v>
      </c>
    </row>
    <row r="992">
      <c r="A992" t="n">
        <v>1777626902</v>
      </c>
      <c r="B992" t="inlineStr">
        <is>
          <t>XAUUSD</t>
        </is>
      </c>
      <c r="C992" t="inlineStr">
        <is>
          <t>M15</t>
        </is>
      </c>
      <c r="D992" t="n">
        <v>4569.29</v>
      </c>
      <c r="E992" t="n">
        <v>4518.59282</v>
      </c>
      <c r="F992" t="n">
        <v>4596.05595</v>
      </c>
      <c r="G992" t="n">
        <v>4755.40355</v>
      </c>
      <c r="H992" t="n">
        <v>4792.76972</v>
      </c>
      <c r="Q992" t="n">
        <v>4552.70968</v>
      </c>
      <c r="R992" t="n">
        <v>4582.07298</v>
      </c>
      <c r="S992" t="n">
        <v>4608.66175</v>
      </c>
      <c r="V992" t="n">
        <v>4517.76991</v>
      </c>
      <c r="W992" t="n">
        <v>4484.20492</v>
      </c>
      <c r="AB992" t="n">
        <v>4566.60201</v>
      </c>
      <c r="AC992" t="n">
        <v>4567.84645</v>
      </c>
      <c r="AD992" t="n">
        <v>0</v>
      </c>
      <c r="AK992" t="n">
        <v>990</v>
      </c>
      <c r="AL992" t="n">
        <v>989</v>
      </c>
      <c r="AM992" t="n">
        <v>4569.29</v>
      </c>
      <c r="AN992" t="n">
        <v>4552.7097</v>
      </c>
      <c r="AO992" t="n">
        <v>16.5803</v>
      </c>
      <c r="AP992" t="n">
        <v>274.907</v>
      </c>
      <c r="AQ992" t="n">
        <v>0.104856</v>
      </c>
      <c r="AR992" t="n">
        <v>0.049445</v>
      </c>
      <c r="AY992" t="n">
        <v>990</v>
      </c>
      <c r="AZ992" t="n">
        <v>989</v>
      </c>
      <c r="BA992" t="n">
        <v>4569.29</v>
      </c>
      <c r="BB992" t="n">
        <v>4552.7097</v>
      </c>
      <c r="BC992" t="n">
        <v>16.5803</v>
      </c>
      <c r="BD992" t="n">
        <v>274.907</v>
      </c>
      <c r="BE992" t="n">
        <v>978121</v>
      </c>
    </row>
    <row r="993">
      <c r="A993" t="n">
        <v>1777627802</v>
      </c>
      <c r="B993" t="inlineStr">
        <is>
          <t>XAUUSD</t>
        </is>
      </c>
      <c r="C993" t="inlineStr">
        <is>
          <t>M15</t>
        </is>
      </c>
      <c r="D993" t="n">
        <v>4570.62</v>
      </c>
      <c r="E993" t="n">
        <v>4518.59282</v>
      </c>
      <c r="F993" t="n">
        <v>4596.05595</v>
      </c>
      <c r="G993" t="n">
        <v>4755.40355</v>
      </c>
      <c r="H993" t="n">
        <v>4792.76972</v>
      </c>
      <c r="Q993" t="n">
        <v>4552.44208</v>
      </c>
      <c r="R993" t="n">
        <v>4581.80538</v>
      </c>
      <c r="S993" t="n">
        <v>4608.39415</v>
      </c>
      <c r="V993" t="n">
        <v>4517.50231</v>
      </c>
      <c r="W993" t="n">
        <v>4483.93731</v>
      </c>
      <c r="AB993" t="n">
        <v>4566.36135</v>
      </c>
      <c r="AC993" t="n">
        <v>4567.1039</v>
      </c>
      <c r="AD993" t="n">
        <v>0</v>
      </c>
      <c r="AK993" t="n">
        <v>991</v>
      </c>
      <c r="AL993" t="n">
        <v>990</v>
      </c>
      <c r="AM993" t="n">
        <v>4570.62</v>
      </c>
      <c r="AN993" t="n">
        <v>4552.4421</v>
      </c>
      <c r="AO993" t="n">
        <v>18.1779</v>
      </c>
      <c r="AP993" t="n">
        <v>330.4368</v>
      </c>
      <c r="AQ993" t="n">
        <v>0.138181</v>
      </c>
      <c r="AR993" t="n">
        <v>0.071438</v>
      </c>
      <c r="AY993" t="n">
        <v>991</v>
      </c>
      <c r="AZ993" t="n">
        <v>990</v>
      </c>
      <c r="BA993" t="n">
        <v>4570.62</v>
      </c>
      <c r="BB993" t="n">
        <v>4552.4421</v>
      </c>
      <c r="BC993" t="n">
        <v>18.1779</v>
      </c>
      <c r="BD993" t="n">
        <v>330.4368</v>
      </c>
      <c r="BE993" t="n">
        <v>980100</v>
      </c>
    </row>
    <row r="994">
      <c r="A994" t="n">
        <v>1777628702</v>
      </c>
      <c r="B994" t="inlineStr">
        <is>
          <t>XAUUSD</t>
        </is>
      </c>
      <c r="C994" t="inlineStr">
        <is>
          <t>M15</t>
        </is>
      </c>
      <c r="D994" t="n">
        <v>4563.12</v>
      </c>
      <c r="E994" t="n">
        <v>4518.59282</v>
      </c>
      <c r="F994" t="n">
        <v>4596.05595</v>
      </c>
      <c r="G994" t="n">
        <v>4755.40355</v>
      </c>
      <c r="H994" t="n">
        <v>4792.76972</v>
      </c>
      <c r="Q994" t="n">
        <v>4552.17447</v>
      </c>
      <c r="R994" t="n">
        <v>4581.53777</v>
      </c>
      <c r="S994" t="n">
        <v>4608.12654</v>
      </c>
      <c r="V994" t="n">
        <v>4517.2347</v>
      </c>
      <c r="W994" t="n">
        <v>4483.66971</v>
      </c>
      <c r="AA994" t="n">
        <v>4560.44</v>
      </c>
      <c r="AB994" t="n">
        <v>4566.40961</v>
      </c>
      <c r="AC994" t="n">
        <v>4566.75676</v>
      </c>
      <c r="AD994" t="n">
        <v>0</v>
      </c>
      <c r="AK994" t="n">
        <v>992</v>
      </c>
      <c r="AL994" t="n">
        <v>991</v>
      </c>
      <c r="AM994" t="n">
        <v>4563.12</v>
      </c>
      <c r="AN994" t="n">
        <v>4552.1745</v>
      </c>
      <c r="AO994" t="n">
        <v>10.9455</v>
      </c>
      <c r="AP994" t="n">
        <v>119.8046</v>
      </c>
      <c r="AQ994" t="n">
        <v>0.030167</v>
      </c>
      <c r="AR994" t="n">
        <v>0.009391</v>
      </c>
      <c r="AY994" t="n">
        <v>992</v>
      </c>
      <c r="AZ994" t="n">
        <v>991</v>
      </c>
      <c r="BA994" t="n">
        <v>4563.12</v>
      </c>
      <c r="BB994" t="n">
        <v>4552.1745</v>
      </c>
      <c r="BC994" t="n">
        <v>10.9455</v>
      </c>
      <c r="BD994" t="n">
        <v>119.8046</v>
      </c>
      <c r="BE994" t="n">
        <v>982081</v>
      </c>
    </row>
    <row r="995">
      <c r="A995" t="n">
        <v>1777629602</v>
      </c>
      <c r="B995" t="inlineStr">
        <is>
          <t>XAUUSD</t>
        </is>
      </c>
      <c r="C995" t="inlineStr">
        <is>
          <t>M15</t>
        </is>
      </c>
      <c r="D995" t="n">
        <v>4566.78</v>
      </c>
      <c r="E995" t="n">
        <v>4518.59282</v>
      </c>
      <c r="F995" t="n">
        <v>4596.05595</v>
      </c>
      <c r="G995" t="n">
        <v>4755.40355</v>
      </c>
      <c r="H995" t="n">
        <v>4792.76972</v>
      </c>
      <c r="Q995" t="n">
        <v>4551.90687</v>
      </c>
      <c r="R995" t="n">
        <v>4581.27017</v>
      </c>
      <c r="S995" t="n">
        <v>4607.85894</v>
      </c>
      <c r="V995" t="n">
        <v>4516.9671</v>
      </c>
      <c r="W995" t="n">
        <v>4483.4021</v>
      </c>
      <c r="AB995" t="n">
        <v>4566.93363</v>
      </c>
      <c r="AC995" t="n">
        <v>4566.84519</v>
      </c>
      <c r="AD995" t="n">
        <v>1</v>
      </c>
      <c r="AK995" t="n">
        <v>993</v>
      </c>
      <c r="AL995" t="n">
        <v>992</v>
      </c>
      <c r="AM995" t="n">
        <v>4566.78</v>
      </c>
      <c r="AN995" t="n">
        <v>4551.9069</v>
      </c>
      <c r="AO995" t="n">
        <v>14.8731</v>
      </c>
      <c r="AP995" t="n">
        <v>221.21</v>
      </c>
      <c r="AQ995" t="n">
        <v>0.075687</v>
      </c>
      <c r="AR995" t="n">
        <v>0.032016</v>
      </c>
      <c r="AY995" t="n">
        <v>993</v>
      </c>
      <c r="AZ995" t="n">
        <v>992</v>
      </c>
      <c r="BA995" t="n">
        <v>4566.78</v>
      </c>
      <c r="BB995" t="n">
        <v>4551.9069</v>
      </c>
      <c r="BC995" t="n">
        <v>14.8731</v>
      </c>
      <c r="BD995" t="n">
        <v>221.21</v>
      </c>
      <c r="BE995" t="n">
        <v>984064</v>
      </c>
    </row>
    <row r="996">
      <c r="A996" t="n">
        <v>1777630502</v>
      </c>
      <c r="B996" t="inlineStr">
        <is>
          <t>XAUUSD</t>
        </is>
      </c>
      <c r="C996" t="inlineStr">
        <is>
          <t>M15</t>
        </is>
      </c>
      <c r="D996" t="n">
        <v>4572.18</v>
      </c>
      <c r="E996" t="n">
        <v>4518.59282</v>
      </c>
      <c r="F996" t="n">
        <v>4596.05595</v>
      </c>
      <c r="G996" t="n">
        <v>4755.40355</v>
      </c>
      <c r="H996" t="n">
        <v>4792.76972</v>
      </c>
      <c r="Q996" t="n">
        <v>4551.63927</v>
      </c>
      <c r="R996" t="n">
        <v>4581.00257</v>
      </c>
      <c r="S996" t="n">
        <v>4607.59134</v>
      </c>
      <c r="V996" t="n">
        <v>4516.6995</v>
      </c>
      <c r="W996" t="n">
        <v>4483.1345</v>
      </c>
      <c r="AB996" t="n">
        <v>4567.82184</v>
      </c>
      <c r="AC996" t="n">
        <v>4567.33352</v>
      </c>
      <c r="AD996" t="n">
        <v>0</v>
      </c>
      <c r="AK996" t="n">
        <v>994</v>
      </c>
      <c r="AL996" t="n">
        <v>993</v>
      </c>
      <c r="AM996" t="n">
        <v>4572.18</v>
      </c>
      <c r="AN996" t="n">
        <v>4551.6393</v>
      </c>
      <c r="AO996" t="n">
        <v>20.5407</v>
      </c>
      <c r="AP996" t="n">
        <v>421.9216</v>
      </c>
      <c r="AQ996" t="n">
        <v>0.199372</v>
      </c>
      <c r="AR996" t="n">
        <v>0.116471</v>
      </c>
      <c r="AY996" t="n">
        <v>994</v>
      </c>
      <c r="AZ996" t="n">
        <v>993</v>
      </c>
      <c r="BA996" t="n">
        <v>4572.18</v>
      </c>
      <c r="BB996" t="n">
        <v>4551.6393</v>
      </c>
      <c r="BC996" t="n">
        <v>20.5407</v>
      </c>
      <c r="BD996" t="n">
        <v>421.9216</v>
      </c>
      <c r="BE996" t="n">
        <v>986049</v>
      </c>
    </row>
    <row r="997">
      <c r="A997" t="n">
        <v>1777631402</v>
      </c>
      <c r="B997" t="inlineStr">
        <is>
          <t>XAUUSD</t>
        </is>
      </c>
      <c r="C997" t="inlineStr">
        <is>
          <t>M15</t>
        </is>
      </c>
      <c r="D997" t="n">
        <v>4570.49</v>
      </c>
      <c r="E997" t="n">
        <v>4518.59282</v>
      </c>
      <c r="F997" t="n">
        <v>4596.05595</v>
      </c>
      <c r="G997" t="n">
        <v>4755.40355</v>
      </c>
      <c r="H997" t="n">
        <v>4792.76972</v>
      </c>
      <c r="Q997" t="n">
        <v>4551.37166</v>
      </c>
      <c r="R997" t="n">
        <v>4580.73496</v>
      </c>
      <c r="S997" t="n">
        <v>4607.32373</v>
      </c>
      <c r="V997" t="n">
        <v>4516.43189</v>
      </c>
      <c r="W997" t="n">
        <v>4482.8669</v>
      </c>
      <c r="AB997" t="n">
        <v>4568.91827</v>
      </c>
      <c r="AC997" t="n">
        <v>4568.12589</v>
      </c>
      <c r="AD997" t="n">
        <v>0</v>
      </c>
      <c r="AK997" t="n">
        <v>995</v>
      </c>
      <c r="AL997" t="n">
        <v>994</v>
      </c>
      <c r="AM997" t="n">
        <v>4570.49</v>
      </c>
      <c r="AN997" t="n">
        <v>4551.3717</v>
      </c>
      <c r="AO997" t="n">
        <v>19.1183</v>
      </c>
      <c r="AP997" t="n">
        <v>365.5109</v>
      </c>
      <c r="AQ997" t="n">
        <v>0.160756</v>
      </c>
      <c r="AR997" t="n">
        <v>0.087409</v>
      </c>
      <c r="AY997" t="n">
        <v>995</v>
      </c>
      <c r="AZ997" t="n">
        <v>994</v>
      </c>
      <c r="BA997" t="n">
        <v>4570.49</v>
      </c>
      <c r="BB997" t="n">
        <v>4551.3717</v>
      </c>
      <c r="BC997" t="n">
        <v>19.1183</v>
      </c>
      <c r="BD997" t="n">
        <v>365.5109</v>
      </c>
      <c r="BE997" t="n">
        <v>988036</v>
      </c>
    </row>
    <row r="998">
      <c r="A998" t="n">
        <v>1777632302</v>
      </c>
      <c r="B998" t="inlineStr">
        <is>
          <t>XAUUSD</t>
        </is>
      </c>
      <c r="C998" t="inlineStr">
        <is>
          <t>M15</t>
        </is>
      </c>
      <c r="D998" t="n">
        <v>4566.67</v>
      </c>
      <c r="E998" t="n">
        <v>4518.59282</v>
      </c>
      <c r="F998" t="n">
        <v>4596.05595</v>
      </c>
      <c r="G998" t="n">
        <v>4755.40355</v>
      </c>
      <c r="H998" t="n">
        <v>4792.76972</v>
      </c>
      <c r="Q998" t="n">
        <v>4551.10406</v>
      </c>
      <c r="R998" t="n">
        <v>4580.46736</v>
      </c>
      <c r="S998" t="n">
        <v>4607.05613</v>
      </c>
      <c r="V998" t="n">
        <v>4516.16429</v>
      </c>
      <c r="W998" t="n">
        <v>4482.59929</v>
      </c>
      <c r="AB998" t="n">
        <v>4570.29255</v>
      </c>
      <c r="AC998" t="n">
        <v>4569.20922</v>
      </c>
      <c r="AD998" t="n">
        <v>0</v>
      </c>
      <c r="AK998" t="n">
        <v>996</v>
      </c>
      <c r="AL998" t="n">
        <v>995</v>
      </c>
      <c r="AM998" t="n">
        <v>4566.67</v>
      </c>
      <c r="AN998" t="n">
        <v>4551.1041</v>
      </c>
      <c r="AO998" t="n">
        <v>15.5659</v>
      </c>
      <c r="AP998" t="n">
        <v>242.2985</v>
      </c>
      <c r="AQ998" t="n">
        <v>0.08676399999999999</v>
      </c>
      <c r="AR998" t="n">
        <v>0.038411</v>
      </c>
      <c r="AY998" t="n">
        <v>996</v>
      </c>
      <c r="AZ998" t="n">
        <v>995</v>
      </c>
      <c r="BA998" t="n">
        <v>4566.67</v>
      </c>
      <c r="BB998" t="n">
        <v>4551.1041</v>
      </c>
      <c r="BC998" t="n">
        <v>15.5659</v>
      </c>
      <c r="BD998" t="n">
        <v>242.2985</v>
      </c>
      <c r="BE998" t="n">
        <v>990025</v>
      </c>
    </row>
    <row r="999">
      <c r="A999" t="n">
        <v>1777633202</v>
      </c>
      <c r="B999" t="inlineStr">
        <is>
          <t>XAUUSD</t>
        </is>
      </c>
      <c r="C999" t="inlineStr">
        <is>
          <t>M15</t>
        </is>
      </c>
      <c r="D999" t="n">
        <v>4565.94</v>
      </c>
      <c r="E999" t="n">
        <v>4518.59282</v>
      </c>
      <c r="F999" t="n">
        <v>4596.05595</v>
      </c>
      <c r="G999" t="n">
        <v>4755.40355</v>
      </c>
      <c r="H999" t="n">
        <v>4792.76972</v>
      </c>
      <c r="Q999" t="n">
        <v>4550.83645</v>
      </c>
      <c r="R999" t="n">
        <v>4580.19975</v>
      </c>
      <c r="S999" t="n">
        <v>4606.78852</v>
      </c>
      <c r="V999" t="n">
        <v>4515.89668</v>
      </c>
      <c r="W999" t="n">
        <v>4482.33169</v>
      </c>
      <c r="AB999" t="n">
        <v>4572.03909</v>
      </c>
      <c r="AC999" t="n">
        <v>4570.62416</v>
      </c>
      <c r="AD999" t="n">
        <v>0</v>
      </c>
      <c r="AK999" t="n">
        <v>997</v>
      </c>
      <c r="AL999" t="n">
        <v>996</v>
      </c>
      <c r="AM999" t="n">
        <v>4565.94</v>
      </c>
      <c r="AN999" t="n">
        <v>4550.8364</v>
      </c>
      <c r="AO999" t="n">
        <v>15.1035</v>
      </c>
      <c r="AP999" t="n">
        <v>228.1172</v>
      </c>
      <c r="AQ999" t="n">
        <v>0.07926</v>
      </c>
      <c r="AR999" t="n">
        <v>0.034046</v>
      </c>
      <c r="AY999" t="n">
        <v>997</v>
      </c>
      <c r="AZ999" t="n">
        <v>996</v>
      </c>
      <c r="BA999" t="n">
        <v>4565.94</v>
      </c>
      <c r="BB999" t="n">
        <v>4550.8364</v>
      </c>
      <c r="BC999" t="n">
        <v>15.1035</v>
      </c>
      <c r="BD999" t="n">
        <v>228.1172</v>
      </c>
      <c r="BE999" t="n">
        <v>992016</v>
      </c>
    </row>
    <row r="1000">
      <c r="A1000" t="n">
        <v>1777634102</v>
      </c>
      <c r="B1000" t="inlineStr">
        <is>
          <t>XAUUSD</t>
        </is>
      </c>
      <c r="C1000" t="inlineStr">
        <is>
          <t>M15</t>
        </is>
      </c>
      <c r="D1000" t="n">
        <v>4572.03</v>
      </c>
      <c r="E1000" t="n">
        <v>4518.59282</v>
      </c>
      <c r="F1000" t="n">
        <v>4596.05595</v>
      </c>
      <c r="G1000" t="n">
        <v>4755.40355</v>
      </c>
      <c r="H1000" t="n">
        <v>4792.76972</v>
      </c>
      <c r="Q1000" t="n">
        <v>4550.56885</v>
      </c>
      <c r="R1000" t="n">
        <v>4579.93215</v>
      </c>
      <c r="S1000" t="n">
        <v>4606.52092</v>
      </c>
      <c r="V1000" t="n">
        <v>4515.62908</v>
      </c>
      <c r="W1000" t="n">
        <v>4482.06408</v>
      </c>
      <c r="AB1000" t="n">
        <v>4574.19344</v>
      </c>
      <c r="AC1000" t="n">
        <v>4572.4088</v>
      </c>
      <c r="AD1000" t="n">
        <v>0</v>
      </c>
      <c r="AK1000" t="n">
        <v>998</v>
      </c>
      <c r="AL1000" t="n">
        <v>997</v>
      </c>
      <c r="AM1000" t="n">
        <v>4572.03</v>
      </c>
      <c r="AN1000" t="n">
        <v>4550.5688</v>
      </c>
      <c r="AO1000" t="n">
        <v>21.4612</v>
      </c>
      <c r="AP1000" t="n">
        <v>460.581</v>
      </c>
      <c r="AQ1000" t="n">
        <v>0.227392</v>
      </c>
      <c r="AR1000" t="n">
        <v>0.138793</v>
      </c>
      <c r="AY1000" t="n">
        <v>998</v>
      </c>
      <c r="AZ1000" t="n">
        <v>997</v>
      </c>
      <c r="BA1000" t="n">
        <v>4572.03</v>
      </c>
      <c r="BB1000" t="n">
        <v>4550.5688</v>
      </c>
      <c r="BC1000" t="n">
        <v>21.4612</v>
      </c>
      <c r="BD1000" t="n">
        <v>460.581</v>
      </c>
      <c r="BE1000" t="n">
        <v>994009</v>
      </c>
    </row>
    <row r="1001">
      <c r="A1001" t="n">
        <v>1777635002</v>
      </c>
      <c r="B1001" t="inlineStr">
        <is>
          <t>XAUUSD</t>
        </is>
      </c>
      <c r="C1001" t="inlineStr">
        <is>
          <t>M15</t>
        </is>
      </c>
      <c r="D1001" t="n">
        <v>4575.75</v>
      </c>
      <c r="E1001" t="n">
        <v>4518.59282</v>
      </c>
      <c r="F1001" t="n">
        <v>4596.05595</v>
      </c>
      <c r="G1001" t="n">
        <v>4755.40355</v>
      </c>
      <c r="H1001" t="n">
        <v>4792.76972</v>
      </c>
      <c r="Q1001" t="n">
        <v>4550.30125</v>
      </c>
      <c r="R1001" t="n">
        <v>4579.66455</v>
      </c>
      <c r="S1001" t="n">
        <v>4606.25332</v>
      </c>
      <c r="V1001" t="n">
        <v>4515.36148</v>
      </c>
      <c r="W1001" t="n">
        <v>4481.79648</v>
      </c>
      <c r="AB1001" t="n">
        <v>4576.61592</v>
      </c>
      <c r="AC1001" t="n">
        <v>4574.51236</v>
      </c>
      <c r="AD1001" t="n">
        <v>0</v>
      </c>
      <c r="AK1001" t="n">
        <v>999</v>
      </c>
      <c r="AL1001" t="n">
        <v>998</v>
      </c>
      <c r="AM1001" t="n">
        <v>4575.75</v>
      </c>
      <c r="AN1001" t="n">
        <v>4550.3013</v>
      </c>
      <c r="AO1001" t="n">
        <v>25.4487</v>
      </c>
      <c r="AP1001" t="n">
        <v>647.6389</v>
      </c>
      <c r="AQ1001" t="n">
        <v>0.379153</v>
      </c>
      <c r="AR1001" t="n">
        <v>0.274423</v>
      </c>
      <c r="AY1001" t="n">
        <v>999</v>
      </c>
      <c r="AZ1001" t="n">
        <v>998</v>
      </c>
      <c r="BA1001" t="n">
        <v>4575.75</v>
      </c>
      <c r="BB1001" t="n">
        <v>4550.3013</v>
      </c>
      <c r="BC1001" t="n">
        <v>25.4487</v>
      </c>
      <c r="BD1001" t="n">
        <v>647.6389</v>
      </c>
      <c r="BE1001" t="n">
        <v>996004</v>
      </c>
    </row>
    <row r="1002">
      <c r="A1002" t="n">
        <v>1777635902</v>
      </c>
      <c r="B1002" t="inlineStr">
        <is>
          <t>XAUUSD</t>
        </is>
      </c>
      <c r="C1002" t="inlineStr">
        <is>
          <t>M15</t>
        </is>
      </c>
      <c r="D1002" t="n">
        <v>4578.84</v>
      </c>
      <c r="E1002" t="n">
        <v>4518.59282</v>
      </c>
      <c r="F1002" t="n">
        <v>4596.05595</v>
      </c>
      <c r="G1002" t="n">
        <v>4755.40355</v>
      </c>
      <c r="H1002" t="n">
        <v>4792.76972</v>
      </c>
      <c r="Q1002" t="n">
        <v>4550.03364</v>
      </c>
      <c r="R1002" t="n">
        <v>4579.39694</v>
      </c>
      <c r="S1002" t="n">
        <v>4605.98571</v>
      </c>
      <c r="V1002" t="n">
        <v>4515.09387</v>
      </c>
      <c r="W1002" t="n">
        <v>4481.52888</v>
      </c>
      <c r="AB1002" t="n">
        <v>4579.29706</v>
      </c>
      <c r="AC1002" t="n">
        <v>4576.90471</v>
      </c>
      <c r="AD1002" t="n">
        <v>0</v>
      </c>
      <c r="AK1002" t="n">
        <v>1000</v>
      </c>
      <c r="AL1002" t="n">
        <v>999</v>
      </c>
      <c r="AM1002" t="n">
        <v>4578.84</v>
      </c>
      <c r="AN1002" t="n">
        <v>4550.0336</v>
      </c>
      <c r="AO1002" t="n">
        <v>28.8064</v>
      </c>
      <c r="AP1002" t="n">
        <v>829.8064000000001</v>
      </c>
      <c r="AQ1002" t="n">
        <v>0.5498960000000001</v>
      </c>
      <c r="AR1002" t="n">
        <v>0.450513</v>
      </c>
      <c r="AY1002" t="n">
        <v>1000</v>
      </c>
      <c r="AZ1002" t="n">
        <v>999</v>
      </c>
      <c r="BA1002" t="n">
        <v>4578.84</v>
      </c>
      <c r="BB1002" t="n">
        <v>4550.0336</v>
      </c>
      <c r="BC1002" t="n">
        <v>28.8064</v>
      </c>
      <c r="BD1002" t="n">
        <v>829.8064000000001</v>
      </c>
      <c r="BE1002" t="n">
        <v>998001</v>
      </c>
    </row>
    <row r="1003">
      <c r="A1003" t="n">
        <v>1777636802</v>
      </c>
      <c r="B1003" t="inlineStr">
        <is>
          <t>XAUUSD</t>
        </is>
      </c>
      <c r="C1003" t="inlineStr">
        <is>
          <t>M15</t>
        </is>
      </c>
      <c r="D1003" t="n">
        <v>4584.86</v>
      </c>
      <c r="E1003" t="n">
        <v>4518.59282</v>
      </c>
      <c r="F1003" t="n">
        <v>4596.05595</v>
      </c>
      <c r="G1003" t="n">
        <v>4755.40355</v>
      </c>
      <c r="H1003" t="n">
        <v>4792.76972</v>
      </c>
      <c r="Q1003" t="n">
        <v>4549.76604</v>
      </c>
      <c r="R1003" t="n">
        <v>4579.12934</v>
      </c>
      <c r="S1003" t="n">
        <v>4605.71811</v>
      </c>
      <c r="V1003" t="n">
        <v>4514.82627</v>
      </c>
      <c r="W1003" t="n">
        <v>4481.26127</v>
      </c>
      <c r="AB1003" t="n">
        <v>4582.33157</v>
      </c>
      <c r="AC1003" t="n">
        <v>4579.61814</v>
      </c>
      <c r="AD1003" t="n">
        <v>0</v>
      </c>
      <c r="AK1003" t="n">
        <v>1001</v>
      </c>
      <c r="AL1003" t="n">
        <v>1000</v>
      </c>
      <c r="AM1003" t="n">
        <v>4584.86</v>
      </c>
      <c r="AN1003" t="n">
        <v>4549.766</v>
      </c>
      <c r="AO1003" t="n">
        <v>35.094</v>
      </c>
      <c r="AP1003" t="n">
        <v>1231.586</v>
      </c>
      <c r="AQ1003" t="n">
        <v>0.994289</v>
      </c>
      <c r="AR1003" t="n">
        <v>0.992393</v>
      </c>
      <c r="AY1003" t="n">
        <v>1001</v>
      </c>
      <c r="AZ1003" t="n">
        <v>1000</v>
      </c>
      <c r="BA1003" t="n">
        <v>4584.86</v>
      </c>
      <c r="BB1003" t="n">
        <v>4549.766</v>
      </c>
      <c r="BC1003" t="n">
        <v>35.094</v>
      </c>
      <c r="BD1003" t="n">
        <v>1231.586</v>
      </c>
      <c r="BE1003" t="n">
        <v>1000000</v>
      </c>
    </row>
    <row r="1004">
      <c r="A1004" t="n">
        <v>1777637702</v>
      </c>
      <c r="B1004" t="inlineStr">
        <is>
          <t>XAUUSD</t>
        </is>
      </c>
      <c r="C1004" t="inlineStr">
        <is>
          <t>M15</t>
        </is>
      </c>
      <c r="D1004" t="n">
        <v>4602.95</v>
      </c>
      <c r="E1004" t="n">
        <v>4518.59282</v>
      </c>
      <c r="F1004" t="n">
        <v>4596.05595</v>
      </c>
      <c r="G1004" t="n">
        <v>4755.40355</v>
      </c>
      <c r="H1004" t="n">
        <v>4792.76972</v>
      </c>
      <c r="Q1004" t="n">
        <v>4549.49843</v>
      </c>
      <c r="R1004" t="n">
        <v>4578.86173</v>
      </c>
      <c r="S1004" t="n">
        <v>4605.4505</v>
      </c>
      <c r="V1004" t="n">
        <v>4514.55866</v>
      </c>
      <c r="W1004" t="n">
        <v>4480.99367</v>
      </c>
      <c r="AB1004" t="n">
        <v>4585.81697</v>
      </c>
      <c r="AC1004" t="n">
        <v>4582.71755</v>
      </c>
      <c r="AD1004" t="n">
        <v>0</v>
      </c>
      <c r="AK1004" t="n">
        <v>1002</v>
      </c>
      <c r="AL1004" t="n">
        <v>1001</v>
      </c>
      <c r="AM1004" t="n">
        <v>4602.95</v>
      </c>
      <c r="AN1004" t="n">
        <v>4549.4984</v>
      </c>
      <c r="AO1004" t="n">
        <v>53.4516</v>
      </c>
      <c r="AP1004" t="n">
        <v>2857.0703</v>
      </c>
      <c r="AQ1004" t="n">
        <v>3.513152</v>
      </c>
      <c r="AR1004" t="n">
        <v>5.340673</v>
      </c>
      <c r="AY1004" t="n">
        <v>1002</v>
      </c>
      <c r="AZ1004" t="n">
        <v>1001</v>
      </c>
      <c r="BA1004" t="n">
        <v>4602.95</v>
      </c>
      <c r="BB1004" t="n">
        <v>4549.4984</v>
      </c>
      <c r="BC1004" t="n">
        <v>53.4516</v>
      </c>
      <c r="BD1004" t="n">
        <v>2857.0703</v>
      </c>
      <c r="BE1004" t="n">
        <v>1002001</v>
      </c>
    </row>
    <row r="1005">
      <c r="A1005" t="n">
        <v>1777638602</v>
      </c>
      <c r="B1005" t="inlineStr">
        <is>
          <t>XAUUSD</t>
        </is>
      </c>
      <c r="C1005" t="inlineStr">
        <is>
          <t>M15</t>
        </is>
      </c>
      <c r="D1005" t="n">
        <v>4591.95</v>
      </c>
      <c r="E1005" t="n">
        <v>4518.59282</v>
      </c>
      <c r="F1005" t="n">
        <v>4596.05595</v>
      </c>
      <c r="G1005" t="n">
        <v>4755.40355</v>
      </c>
      <c r="H1005" t="n">
        <v>4792.76972</v>
      </c>
      <c r="Q1005" t="n">
        <v>4549.23083</v>
      </c>
      <c r="R1005" t="n">
        <v>4578.59413</v>
      </c>
      <c r="S1005" t="n">
        <v>4605.1829</v>
      </c>
      <c r="V1005" t="n">
        <v>4514.29106</v>
      </c>
      <c r="W1005" t="n">
        <v>4480.72606</v>
      </c>
      <c r="AB1005" t="n">
        <v>4589.55893</v>
      </c>
      <c r="AC1005" t="n">
        <v>4586.13824</v>
      </c>
      <c r="AD1005" t="n">
        <v>0</v>
      </c>
      <c r="AK1005" t="n">
        <v>1003</v>
      </c>
      <c r="AL1005" t="n">
        <v>1002</v>
      </c>
      <c r="AM1005" t="n">
        <v>4591.95</v>
      </c>
      <c r="AN1005" t="n">
        <v>4549.2308</v>
      </c>
      <c r="AO1005" t="n">
        <v>42.7192</v>
      </c>
      <c r="AP1005" t="n">
        <v>1824.9275</v>
      </c>
      <c r="AQ1005" t="n">
        <v>1.793428</v>
      </c>
      <c r="AR1005" t="n">
        <v>2.17894</v>
      </c>
      <c r="AY1005" t="n">
        <v>1003</v>
      </c>
      <c r="AZ1005" t="n">
        <v>1002</v>
      </c>
      <c r="BA1005" t="n">
        <v>4591.95</v>
      </c>
      <c r="BB1005" t="n">
        <v>4549.2308</v>
      </c>
      <c r="BC1005" t="n">
        <v>42.7192</v>
      </c>
      <c r="BD1005" t="n">
        <v>1824.9275</v>
      </c>
      <c r="BE1005" t="n">
        <v>1004004</v>
      </c>
    </row>
    <row r="1006">
      <c r="A1006" t="n">
        <v>1777639502</v>
      </c>
      <c r="B1006" t="inlineStr">
        <is>
          <t>XAUUSD</t>
        </is>
      </c>
      <c r="C1006" t="inlineStr">
        <is>
          <t>M15</t>
        </is>
      </c>
      <c r="D1006" t="n">
        <v>4591.18</v>
      </c>
      <c r="E1006" t="n">
        <v>4518.59282</v>
      </c>
      <c r="F1006" t="n">
        <v>4596.05595</v>
      </c>
      <c r="G1006" t="n">
        <v>4755.40355</v>
      </c>
      <c r="H1006" t="n">
        <v>4792.76972</v>
      </c>
      <c r="Q1006" t="n">
        <v>4548.96323</v>
      </c>
      <c r="R1006" t="n">
        <v>4578.32652</v>
      </c>
      <c r="S1006" t="n">
        <v>4604.9153</v>
      </c>
      <c r="V1006" t="n">
        <v>4514.02346</v>
      </c>
      <c r="W1006" t="n">
        <v>4480.45846</v>
      </c>
      <c r="AB1006" t="n">
        <v>4594.16412</v>
      </c>
      <c r="AC1006" t="n">
        <v>4590.15118</v>
      </c>
      <c r="AD1006" t="n">
        <v>0</v>
      </c>
      <c r="AK1006" t="n">
        <v>1004</v>
      </c>
      <c r="AL1006" t="n">
        <v>1003</v>
      </c>
      <c r="AM1006" t="n">
        <v>4591.18</v>
      </c>
      <c r="AN1006" t="n">
        <v>4548.9632</v>
      </c>
      <c r="AO1006" t="n">
        <v>42.2168</v>
      </c>
      <c r="AP1006" t="n">
        <v>1782.2557</v>
      </c>
      <c r="AQ1006" t="n">
        <v>1.730894</v>
      </c>
      <c r="AR1006" t="n">
        <v>2.078232</v>
      </c>
      <c r="AY1006" t="n">
        <v>1004</v>
      </c>
      <c r="AZ1006" t="n">
        <v>1003</v>
      </c>
      <c r="BA1006" t="n">
        <v>4591.18</v>
      </c>
      <c r="BB1006" t="n">
        <v>4548.9632</v>
      </c>
      <c r="BC1006" t="n">
        <v>42.2168</v>
      </c>
      <c r="BD1006" t="n">
        <v>1782.2557</v>
      </c>
      <c r="BE1006" t="n">
        <v>1006009</v>
      </c>
    </row>
    <row r="1007">
      <c r="A1007" t="n">
        <v>1777640402</v>
      </c>
      <c r="B1007" t="inlineStr">
        <is>
          <t>XAUUSD</t>
        </is>
      </c>
      <c r="C1007" t="inlineStr">
        <is>
          <t>M15</t>
        </is>
      </c>
      <c r="D1007" t="n">
        <v>4591.32</v>
      </c>
      <c r="E1007" t="n">
        <v>4518.59282</v>
      </c>
      <c r="F1007" t="n">
        <v>4596.05595</v>
      </c>
      <c r="G1007" t="n">
        <v>4755.40355</v>
      </c>
      <c r="H1007" t="n">
        <v>4792.76972</v>
      </c>
      <c r="Q1007" t="n">
        <v>4548.69562</v>
      </c>
      <c r="R1007" t="n">
        <v>4578.05892</v>
      </c>
      <c r="S1007" t="n">
        <v>4604.64769</v>
      </c>
      <c r="V1007" t="n">
        <v>4513.75585</v>
      </c>
      <c r="W1007" t="n">
        <v>4480.19086</v>
      </c>
      <c r="AB1007" t="n">
        <v>4599.89016</v>
      </c>
      <c r="AC1007" t="n">
        <v>4595.02067</v>
      </c>
      <c r="AD1007" t="n">
        <v>0</v>
      </c>
      <c r="AK1007" t="n">
        <v>1005</v>
      </c>
      <c r="AL1007" t="n">
        <v>1004</v>
      </c>
      <c r="AM1007" t="n">
        <v>4591.32</v>
      </c>
      <c r="AN1007" t="n">
        <v>4548.6956</v>
      </c>
      <c r="AO1007" t="n">
        <v>42.6244</v>
      </c>
      <c r="AP1007" t="n">
        <v>1816.8378</v>
      </c>
      <c r="AQ1007" t="n">
        <v>1.781516</v>
      </c>
      <c r="AR1007" t="n">
        <v>2.159665</v>
      </c>
      <c r="AY1007" t="n">
        <v>1005</v>
      </c>
      <c r="AZ1007" t="n">
        <v>1004</v>
      </c>
      <c r="BA1007" t="n">
        <v>4591.32</v>
      </c>
      <c r="BB1007" t="n">
        <v>4548.6956</v>
      </c>
      <c r="BC1007" t="n">
        <v>42.6244</v>
      </c>
      <c r="BD1007" t="n">
        <v>1816.8378</v>
      </c>
      <c r="BE1007" t="n">
        <v>1008016</v>
      </c>
    </row>
    <row r="1008">
      <c r="A1008" t="n">
        <v>1777641302</v>
      </c>
      <c r="B1008" t="inlineStr">
        <is>
          <t>XAUUSD</t>
        </is>
      </c>
      <c r="C1008" t="inlineStr">
        <is>
          <t>M15</t>
        </is>
      </c>
      <c r="D1008" t="n">
        <v>4589.2</v>
      </c>
      <c r="E1008" t="n">
        <v>4518.59282</v>
      </c>
      <c r="F1008" t="n">
        <v>4596.05595</v>
      </c>
      <c r="G1008" t="n">
        <v>4755.40355</v>
      </c>
      <c r="H1008" t="n">
        <v>4792.76972</v>
      </c>
      <c r="Q1008" t="n">
        <v>4548.42802</v>
      </c>
      <c r="R1008" t="n">
        <v>4577.79132</v>
      </c>
      <c r="S1008" t="n">
        <v>4604.38009</v>
      </c>
      <c r="V1008" t="n">
        <v>4513.48825</v>
      </c>
      <c r="W1008" t="n">
        <v>4479.92325</v>
      </c>
      <c r="AB1008" t="n">
        <v>4606.79485</v>
      </c>
      <c r="AC1008" t="n">
        <v>4600.90776</v>
      </c>
      <c r="AD1008" t="n">
        <v>0</v>
      </c>
      <c r="AK1008" t="n">
        <v>1006</v>
      </c>
      <c r="AL1008" t="n">
        <v>1005</v>
      </c>
      <c r="AM1008" t="n">
        <v>4589.2</v>
      </c>
      <c r="AN1008" t="n">
        <v>4548.428</v>
      </c>
      <c r="AO1008" t="n">
        <v>40.772</v>
      </c>
      <c r="AP1008" t="n">
        <v>1662.3544</v>
      </c>
      <c r="AQ1008" t="n">
        <v>1.559197</v>
      </c>
      <c r="AR1008" t="n">
        <v>1.808012</v>
      </c>
      <c r="AY1008" t="n">
        <v>1006</v>
      </c>
      <c r="AZ1008" t="n">
        <v>1005</v>
      </c>
      <c r="BA1008" t="n">
        <v>4589.2</v>
      </c>
      <c r="BB1008" t="n">
        <v>4548.428</v>
      </c>
      <c r="BC1008" t="n">
        <v>40.772</v>
      </c>
      <c r="BD1008" t="n">
        <v>1662.3544</v>
      </c>
      <c r="BE1008" t="n">
        <v>1010025</v>
      </c>
    </row>
    <row r="1009">
      <c r="A1009" t="n">
        <v>1777642202</v>
      </c>
      <c r="B1009" t="inlineStr">
        <is>
          <t>XAUUSD</t>
        </is>
      </c>
      <c r="C1009" t="inlineStr">
        <is>
          <t>M15</t>
        </is>
      </c>
      <c r="D1009" t="n">
        <v>4608.07</v>
      </c>
      <c r="E1009" t="n">
        <v>4518.59282</v>
      </c>
      <c r="F1009" t="n">
        <v>4596.05595</v>
      </c>
      <c r="G1009" t="n">
        <v>4755.40355</v>
      </c>
      <c r="H1009" t="n">
        <v>4792.76972</v>
      </c>
      <c r="Q1009" t="n">
        <v>4548.16041</v>
      </c>
      <c r="R1009" t="n">
        <v>4577.52371</v>
      </c>
      <c r="S1009" t="n">
        <v>4604.11248</v>
      </c>
      <c r="V1009" t="n">
        <v>4513.22064</v>
      </c>
      <c r="W1009" t="n">
        <v>4479.65565</v>
      </c>
      <c r="AB1009" t="n">
        <v>4614.75087</v>
      </c>
      <c r="AC1009" t="n">
        <v>4607.82932</v>
      </c>
      <c r="AD1009" t="n">
        <v>0</v>
      </c>
      <c r="AK1009" t="n">
        <v>1007</v>
      </c>
      <c r="AL1009" t="n">
        <v>1006</v>
      </c>
      <c r="AM1009" t="n">
        <v>4608.07</v>
      </c>
      <c r="AN1009" t="n">
        <v>4548.1604</v>
      </c>
      <c r="AO1009" t="n">
        <v>59.9096</v>
      </c>
      <c r="AP1009" t="n">
        <v>3589.159</v>
      </c>
      <c r="AQ1009" t="n">
        <v>4.946575</v>
      </c>
      <c r="AR1009" t="n">
        <v>8.428291</v>
      </c>
      <c r="AY1009" t="n">
        <v>1007</v>
      </c>
      <c r="AZ1009" t="n">
        <v>1006</v>
      </c>
      <c r="BA1009" t="n">
        <v>4608.07</v>
      </c>
      <c r="BB1009" t="n">
        <v>4548.1604</v>
      </c>
      <c r="BC1009" t="n">
        <v>59.9096</v>
      </c>
      <c r="BD1009" t="n">
        <v>3589.159</v>
      </c>
      <c r="BE1009" t="n">
        <v>1012036</v>
      </c>
    </row>
    <row r="1010">
      <c r="A1010" t="n">
        <v>1777643102</v>
      </c>
      <c r="B1010" t="inlineStr">
        <is>
          <t>XAUUSD</t>
        </is>
      </c>
      <c r="C1010" t="inlineStr">
        <is>
          <t>M15</t>
        </is>
      </c>
      <c r="D1010" t="n">
        <v>4625.7</v>
      </c>
      <c r="E1010" t="n">
        <v>4518.59282</v>
      </c>
      <c r="F1010" t="n">
        <v>4596.05595</v>
      </c>
      <c r="G1010" t="n">
        <v>4755.40355</v>
      </c>
      <c r="H1010" t="n">
        <v>4792.76972</v>
      </c>
      <c r="Q1010" t="n">
        <v>4547.89281</v>
      </c>
      <c r="R1010" t="n">
        <v>4577.25611</v>
      </c>
      <c r="S1010" t="n">
        <v>4603.84488</v>
      </c>
      <c r="V1010" t="n">
        <v>4512.95304</v>
      </c>
      <c r="W1010" t="n">
        <v>4479.38804</v>
      </c>
      <c r="AB1010" t="n">
        <v>4622.81406</v>
      </c>
      <c r="AC1010" t="n">
        <v>4615.32169</v>
      </c>
      <c r="AD1010" t="n">
        <v>0</v>
      </c>
      <c r="AK1010" t="n">
        <v>1008</v>
      </c>
      <c r="AL1010" t="n">
        <v>1007</v>
      </c>
      <c r="AM1010" t="n">
        <v>4625.7</v>
      </c>
      <c r="AN1010" t="n">
        <v>4547.8928</v>
      </c>
      <c r="AO1010" t="n">
        <v>77.80719999999999</v>
      </c>
      <c r="AP1010" t="n">
        <v>6053.9588</v>
      </c>
      <c r="AQ1010" t="n">
        <v>10.836144</v>
      </c>
      <c r="AR1010" t="n">
        <v>23.979109</v>
      </c>
      <c r="AY1010" t="n">
        <v>1008</v>
      </c>
      <c r="AZ1010" t="n">
        <v>1007</v>
      </c>
      <c r="BA1010" t="n">
        <v>4625.7</v>
      </c>
      <c r="BB1010" t="n">
        <v>4547.8928</v>
      </c>
      <c r="BC1010" t="n">
        <v>77.80719999999999</v>
      </c>
      <c r="BD1010" t="n">
        <v>6053.9588</v>
      </c>
      <c r="BE1010" t="n">
        <v>1014049</v>
      </c>
    </row>
    <row r="1011">
      <c r="A1011" t="n">
        <v>1777644002</v>
      </c>
      <c r="B1011" t="inlineStr">
        <is>
          <t>XAUUSD</t>
        </is>
      </c>
      <c r="C1011" t="inlineStr">
        <is>
          <t>M15</t>
        </is>
      </c>
      <c r="D1011" t="n">
        <v>4656.06</v>
      </c>
      <c r="E1011" t="n">
        <v>4518.59282</v>
      </c>
      <c r="F1011" t="n">
        <v>4596.05595</v>
      </c>
      <c r="G1011" t="n">
        <v>4755.40355</v>
      </c>
      <c r="H1011" t="n">
        <v>4792.76972</v>
      </c>
      <c r="Q1011" t="n">
        <v>4547.62521</v>
      </c>
      <c r="R1011" t="n">
        <v>4576.9885</v>
      </c>
      <c r="S1011" t="n">
        <v>4603.57727</v>
      </c>
      <c r="V1011" t="n">
        <v>4512.68544</v>
      </c>
      <c r="W1011" t="n">
        <v>4479.12044</v>
      </c>
      <c r="AB1011" t="n">
        <v>4630.01888</v>
      </c>
      <c r="AC1011" t="n">
        <v>4622.67028</v>
      </c>
      <c r="AD1011" t="n">
        <v>0</v>
      </c>
      <c r="AK1011" t="n">
        <v>1009</v>
      </c>
      <c r="AL1011" t="n">
        <v>1008</v>
      </c>
      <c r="AM1011" t="n">
        <v>4656.06</v>
      </c>
      <c r="AN1011" t="n">
        <v>4547.6252</v>
      </c>
      <c r="AO1011" t="n">
        <v>108.4348</v>
      </c>
      <c r="AP1011" t="n">
        <v>11758.1037</v>
      </c>
      <c r="AQ1011" t="n">
        <v>29.330638</v>
      </c>
      <c r="AR1011" t="n">
        <v>90.454189</v>
      </c>
      <c r="AY1011" t="n">
        <v>1009</v>
      </c>
      <c r="AZ1011" t="n">
        <v>1008</v>
      </c>
      <c r="BA1011" t="n">
        <v>4656.06</v>
      </c>
      <c r="BB1011" t="n">
        <v>4547.6252</v>
      </c>
      <c r="BC1011" t="n">
        <v>108.4348</v>
      </c>
      <c r="BD1011" t="n">
        <v>11758.1037</v>
      </c>
      <c r="BE1011" t="n">
        <v>1016064</v>
      </c>
    </row>
    <row r="1012">
      <c r="A1012" t="n">
        <v>1777644902</v>
      </c>
      <c r="B1012" t="inlineStr">
        <is>
          <t>XAUUSD</t>
        </is>
      </c>
      <c r="C1012" t="inlineStr">
        <is>
          <t>M15</t>
        </is>
      </c>
      <c r="D1012" t="n">
        <v>4644.67</v>
      </c>
      <c r="E1012" t="n">
        <v>4518.59282</v>
      </c>
      <c r="F1012" t="n">
        <v>4596.05595</v>
      </c>
      <c r="G1012" t="n">
        <v>4755.40355</v>
      </c>
      <c r="H1012" t="n">
        <v>4792.76972</v>
      </c>
      <c r="Q1012" t="n">
        <v>4547.3576</v>
      </c>
      <c r="R1012" t="n">
        <v>4576.7209</v>
      </c>
      <c r="S1012" t="n">
        <v>4603.30967</v>
      </c>
      <c r="V1012" t="n">
        <v>4512.41783</v>
      </c>
      <c r="W1012" t="n">
        <v>4478.85283</v>
      </c>
      <c r="Z1012" t="n">
        <v>4660.32</v>
      </c>
      <c r="AB1012" t="n">
        <v>4635.15975</v>
      </c>
      <c r="AC1012" t="n">
        <v>4628.91501</v>
      </c>
      <c r="AD1012" t="n">
        <v>0</v>
      </c>
      <c r="AK1012" t="n">
        <v>1010</v>
      </c>
      <c r="AL1012" t="n">
        <v>1009</v>
      </c>
      <c r="AM1012" t="n">
        <v>4644.67</v>
      </c>
      <c r="AN1012" t="n">
        <v>4547.3576</v>
      </c>
      <c r="AO1012" t="n">
        <v>97.3124</v>
      </c>
      <c r="AP1012" t="n">
        <v>9469.7032</v>
      </c>
      <c r="AQ1012" t="n">
        <v>21.199232</v>
      </c>
      <c r="AR1012" t="n">
        <v>58.671453</v>
      </c>
      <c r="AY1012" t="n">
        <v>1010</v>
      </c>
      <c r="AZ1012" t="n">
        <v>1009</v>
      </c>
      <c r="BA1012" t="n">
        <v>4644.67</v>
      </c>
      <c r="BB1012" t="n">
        <v>4547.3576</v>
      </c>
      <c r="BC1012" t="n">
        <v>97.3124</v>
      </c>
      <c r="BD1012" t="n">
        <v>9469.7032</v>
      </c>
      <c r="BE1012" t="n">
        <v>1018081</v>
      </c>
    </row>
    <row r="1013">
      <c r="A1013" t="n">
        <v>1777645802</v>
      </c>
      <c r="B1013" t="inlineStr">
        <is>
          <t>XAUUSD</t>
        </is>
      </c>
      <c r="C1013" t="inlineStr">
        <is>
          <t>M15</t>
        </is>
      </c>
      <c r="D1013" t="n">
        <v>4633.23</v>
      </c>
      <c r="E1013" t="n">
        <v>4518.59282</v>
      </c>
      <c r="F1013" t="n">
        <v>4596.05595</v>
      </c>
      <c r="G1013" t="n">
        <v>4755.40355</v>
      </c>
      <c r="H1013" t="n">
        <v>4792.76972</v>
      </c>
      <c r="Q1013" t="n">
        <v>4547.09</v>
      </c>
      <c r="R1013" t="n">
        <v>4576.4533</v>
      </c>
      <c r="S1013" t="n">
        <v>4603.04207</v>
      </c>
      <c r="V1013" t="n">
        <v>4512.15023</v>
      </c>
      <c r="W1013" t="n">
        <v>4478.58523</v>
      </c>
      <c r="AB1013" t="n">
        <v>4638.49104</v>
      </c>
      <c r="AC1013" t="n">
        <v>4633.70303</v>
      </c>
      <c r="AD1013" t="n">
        <v>0</v>
      </c>
      <c r="AK1013" t="n">
        <v>1011</v>
      </c>
      <c r="AL1013" t="n">
        <v>1010</v>
      </c>
      <c r="AM1013" t="n">
        <v>4633.23</v>
      </c>
      <c r="AN1013" t="n">
        <v>4547.09</v>
      </c>
      <c r="AO1013" t="n">
        <v>86.14</v>
      </c>
      <c r="AP1013" t="n">
        <v>7420.0996</v>
      </c>
      <c r="AQ1013" t="n">
        <v>14.70382</v>
      </c>
      <c r="AR1013" t="n">
        <v>36.022478</v>
      </c>
      <c r="AY1013" t="n">
        <v>1011</v>
      </c>
      <c r="AZ1013" t="n">
        <v>1010</v>
      </c>
      <c r="BA1013" t="n">
        <v>4633.23</v>
      </c>
      <c r="BB1013" t="n">
        <v>4547.09</v>
      </c>
      <c r="BC1013" t="n">
        <v>86.14</v>
      </c>
      <c r="BD1013" t="n">
        <v>7420.0996</v>
      </c>
      <c r="BE1013" t="n">
        <v>1020100</v>
      </c>
    </row>
    <row r="1014">
      <c r="A1014" t="n">
        <v>1777646702</v>
      </c>
      <c r="B1014" t="inlineStr">
        <is>
          <t>XAUUSD</t>
        </is>
      </c>
      <c r="C1014" t="inlineStr">
        <is>
          <t>M15</t>
        </is>
      </c>
      <c r="D1014" t="n">
        <v>4632.21</v>
      </c>
      <c r="E1014" t="n">
        <v>4518.59282</v>
      </c>
      <c r="F1014" t="n">
        <v>4596.05595</v>
      </c>
      <c r="G1014" t="n">
        <v>4755.40355</v>
      </c>
      <c r="H1014" t="n">
        <v>4792.76972</v>
      </c>
      <c r="Q1014" t="n">
        <v>4546.82239</v>
      </c>
      <c r="R1014" t="n">
        <v>4576.18569</v>
      </c>
      <c r="S1014" t="n">
        <v>4602.77446</v>
      </c>
      <c r="V1014" t="n">
        <v>4511.88262</v>
      </c>
      <c r="W1014" t="n">
        <v>4478.31763</v>
      </c>
      <c r="AB1014" t="n">
        <v>4640.51928</v>
      </c>
      <c r="AC1014" t="n">
        <v>4637.11115</v>
      </c>
      <c r="AD1014" t="n">
        <v>0</v>
      </c>
      <c r="AK1014" t="n">
        <v>1012</v>
      </c>
      <c r="AL1014" t="n">
        <v>1011</v>
      </c>
      <c r="AM1014" t="n">
        <v>4632.21</v>
      </c>
      <c r="AN1014" t="n">
        <v>4546.8224</v>
      </c>
      <c r="AO1014" t="n">
        <v>85.38760000000001</v>
      </c>
      <c r="AP1014" t="n">
        <v>7291.0439</v>
      </c>
      <c r="AQ1014" t="n">
        <v>14.321884</v>
      </c>
      <c r="AR1014" t="n">
        <v>34.780318</v>
      </c>
      <c r="AY1014" t="n">
        <v>1012</v>
      </c>
      <c r="AZ1014" t="n">
        <v>1011</v>
      </c>
      <c r="BA1014" t="n">
        <v>4632.21</v>
      </c>
      <c r="BB1014" t="n">
        <v>4546.8224</v>
      </c>
      <c r="BC1014" t="n">
        <v>85.38760000000001</v>
      </c>
      <c r="BD1014" t="n">
        <v>7291.0439</v>
      </c>
      <c r="BE1014" t="n">
        <v>1022121</v>
      </c>
    </row>
    <row r="1015">
      <c r="A1015" t="n">
        <v>1777647602</v>
      </c>
      <c r="B1015" t="inlineStr">
        <is>
          <t>XAUUSD</t>
        </is>
      </c>
      <c r="C1015" t="inlineStr">
        <is>
          <t>M15</t>
        </is>
      </c>
      <c r="D1015" t="n">
        <v>4636.58</v>
      </c>
      <c r="E1015" t="n">
        <v>4518.59282</v>
      </c>
      <c r="F1015" t="n">
        <v>4596.05595</v>
      </c>
      <c r="G1015" t="n">
        <v>4755.40355</v>
      </c>
      <c r="H1015" t="n">
        <v>4792.76972</v>
      </c>
      <c r="Q1015" t="n">
        <v>4546.55479</v>
      </c>
      <c r="R1015" t="n">
        <v>4575.91809</v>
      </c>
      <c r="S1015" t="n">
        <v>4602.50686</v>
      </c>
      <c r="V1015" t="n">
        <v>4511.61502</v>
      </c>
      <c r="W1015" t="n">
        <v>4478.05002</v>
      </c>
      <c r="AB1015" t="n">
        <v>4641.58542</v>
      </c>
      <c r="AC1015" t="n">
        <v>4639.34829</v>
      </c>
      <c r="AD1015" t="n">
        <v>0</v>
      </c>
      <c r="AK1015" t="n">
        <v>1013</v>
      </c>
      <c r="AL1015" t="n">
        <v>1012</v>
      </c>
      <c r="AM1015" t="n">
        <v>4636.58</v>
      </c>
      <c r="AN1015" t="n">
        <v>4546.5548</v>
      </c>
      <c r="AO1015" t="n">
        <v>90.0252</v>
      </c>
      <c r="AP1015" t="n">
        <v>8104.5384</v>
      </c>
      <c r="AQ1015" t="n">
        <v>16.784485</v>
      </c>
      <c r="AR1015" t="n">
        <v>42.974485</v>
      </c>
      <c r="AY1015" t="n">
        <v>1013</v>
      </c>
      <c r="AZ1015" t="n">
        <v>1012</v>
      </c>
      <c r="BA1015" t="n">
        <v>4636.58</v>
      </c>
      <c r="BB1015" t="n">
        <v>4546.5548</v>
      </c>
      <c r="BC1015" t="n">
        <v>90.0252</v>
      </c>
      <c r="BD1015" t="n">
        <v>8104.5384</v>
      </c>
      <c r="BE1015" t="n">
        <v>1024144</v>
      </c>
    </row>
    <row r="1016">
      <c r="A1016" t="n">
        <v>1777648502</v>
      </c>
      <c r="B1016" t="inlineStr">
        <is>
          <t>XAUUSD</t>
        </is>
      </c>
      <c r="C1016" t="inlineStr">
        <is>
          <t>M15</t>
        </is>
      </c>
      <c r="D1016" t="n">
        <v>4636.46</v>
      </c>
      <c r="E1016" t="n">
        <v>4518.59282</v>
      </c>
      <c r="F1016" t="n">
        <v>4596.05595</v>
      </c>
      <c r="G1016" t="n">
        <v>4755.40355</v>
      </c>
      <c r="H1016" t="n">
        <v>4792.76972</v>
      </c>
      <c r="Q1016" t="n">
        <v>4546.28718</v>
      </c>
      <c r="R1016" t="n">
        <v>4575.65048</v>
      </c>
      <c r="S1016" t="n">
        <v>4602.23925</v>
      </c>
      <c r="V1016" t="n">
        <v>4511.34741</v>
      </c>
      <c r="W1016" t="n">
        <v>4477.78242</v>
      </c>
      <c r="AB1016" t="n">
        <v>4641.91621</v>
      </c>
      <c r="AC1016" t="n">
        <v>4640.63225</v>
      </c>
      <c r="AD1016" t="n">
        <v>0</v>
      </c>
      <c r="AK1016" t="n">
        <v>1014</v>
      </c>
      <c r="AL1016" t="n">
        <v>1013</v>
      </c>
      <c r="AM1016" t="n">
        <v>4636.46</v>
      </c>
      <c r="AN1016" t="n">
        <v>4546.2872</v>
      </c>
      <c r="AO1016" t="n">
        <v>90.1728</v>
      </c>
      <c r="AP1016" t="n">
        <v>8131.1375</v>
      </c>
      <c r="AQ1016" t="n">
        <v>16.867182</v>
      </c>
      <c r="AR1016" t="n">
        <v>43.257032</v>
      </c>
      <c r="AY1016" t="n">
        <v>1014</v>
      </c>
      <c r="AZ1016" t="n">
        <v>1013</v>
      </c>
      <c r="BA1016" t="n">
        <v>4636.46</v>
      </c>
      <c r="BB1016" t="n">
        <v>4546.2872</v>
      </c>
      <c r="BC1016" t="n">
        <v>90.1728</v>
      </c>
      <c r="BD1016" t="n">
        <v>8131.1375</v>
      </c>
      <c r="BE1016" t="n">
        <v>1026169</v>
      </c>
    </row>
    <row r="1017">
      <c r="A1017" t="n">
        <v>1777649402</v>
      </c>
      <c r="B1017" t="inlineStr">
        <is>
          <t>XAUUSD</t>
        </is>
      </c>
      <c r="C1017" t="inlineStr">
        <is>
          <t>M15</t>
        </is>
      </c>
      <c r="D1017" t="n">
        <v>4643.6</v>
      </c>
      <c r="E1017" t="n">
        <v>4518.59282</v>
      </c>
      <c r="F1017" t="n">
        <v>4596.05595</v>
      </c>
      <c r="G1017" t="n">
        <v>4755.40355</v>
      </c>
      <c r="H1017" t="n">
        <v>4792.76972</v>
      </c>
      <c r="Q1017" t="n">
        <v>4546.01958</v>
      </c>
      <c r="R1017" t="n">
        <v>4575.38288</v>
      </c>
      <c r="S1017" t="n">
        <v>4601.97165</v>
      </c>
      <c r="V1017" t="n">
        <v>4511.07981</v>
      </c>
      <c r="W1017" t="n">
        <v>4477.51481</v>
      </c>
      <c r="AB1017" t="n">
        <v>4641.80579</v>
      </c>
      <c r="AC1017" t="n">
        <v>4641.21902</v>
      </c>
      <c r="AD1017" t="n">
        <v>0</v>
      </c>
      <c r="AK1017" t="n">
        <v>1015</v>
      </c>
      <c r="AL1017" t="n">
        <v>1014</v>
      </c>
      <c r="AM1017" t="n">
        <v>4643.6</v>
      </c>
      <c r="AN1017" t="n">
        <v>4546.0196</v>
      </c>
      <c r="AO1017" t="n">
        <v>97.5804</v>
      </c>
      <c r="AP1017" t="n">
        <v>9521.938399999999</v>
      </c>
      <c r="AQ1017" t="n">
        <v>21.374877</v>
      </c>
      <c r="AR1017" t="n">
        <v>59.320506</v>
      </c>
      <c r="AY1017" t="n">
        <v>1015</v>
      </c>
      <c r="AZ1017" t="n">
        <v>1014</v>
      </c>
      <c r="BA1017" t="n">
        <v>4643.6</v>
      </c>
      <c r="BB1017" t="n">
        <v>4546.0196</v>
      </c>
      <c r="BC1017" t="n">
        <v>97.5804</v>
      </c>
      <c r="BD1017" t="n">
        <v>9521.938399999999</v>
      </c>
      <c r="BE1017" t="n">
        <v>1028196</v>
      </c>
    </row>
    <row r="1018">
      <c r="A1018" t="n">
        <v>1777650302</v>
      </c>
      <c r="B1018" t="inlineStr">
        <is>
          <t>XAUUSD</t>
        </is>
      </c>
      <c r="C1018" t="inlineStr">
        <is>
          <t>M15</t>
        </is>
      </c>
      <c r="D1018" t="n">
        <v>4643.3</v>
      </c>
      <c r="E1018" t="n">
        <v>4518.59282</v>
      </c>
      <c r="F1018" t="n">
        <v>4596.05595</v>
      </c>
      <c r="G1018" t="n">
        <v>4755.40355</v>
      </c>
      <c r="H1018" t="n">
        <v>4792.76972</v>
      </c>
      <c r="Q1018" t="n">
        <v>4545.75198</v>
      </c>
      <c r="R1018" t="n">
        <v>4575.11528</v>
      </c>
      <c r="S1018" t="n">
        <v>4601.70405</v>
      </c>
      <c r="V1018" t="n">
        <v>4510.81221</v>
      </c>
      <c r="W1018" t="n">
        <v>4477.24721</v>
      </c>
      <c r="AB1018" t="n">
        <v>4641.25997</v>
      </c>
      <c r="AC1018" t="n">
        <v>4641.23949</v>
      </c>
      <c r="AD1018" t="n">
        <v>0</v>
      </c>
      <c r="AK1018" t="n">
        <v>1016</v>
      </c>
      <c r="AL1018" t="n">
        <v>1015</v>
      </c>
      <c r="AM1018" t="n">
        <v>4643.3</v>
      </c>
      <c r="AN1018" t="n">
        <v>4545.752</v>
      </c>
      <c r="AO1018" t="n">
        <v>97.548</v>
      </c>
      <c r="AP1018" t="n">
        <v>9515.6162</v>
      </c>
      <c r="AQ1018" t="n">
        <v>21.353593</v>
      </c>
      <c r="AR1018" t="n">
        <v>59.241759</v>
      </c>
      <c r="AY1018" t="n">
        <v>1016</v>
      </c>
      <c r="AZ1018" t="n">
        <v>1015</v>
      </c>
      <c r="BA1018" t="n">
        <v>4643.3</v>
      </c>
      <c r="BB1018" t="n">
        <v>4545.752</v>
      </c>
      <c r="BC1018" t="n">
        <v>97.548</v>
      </c>
      <c r="BD1018" t="n">
        <v>9515.6162</v>
      </c>
      <c r="BE1018" t="n">
        <v>1030225</v>
      </c>
    </row>
    <row r="1019">
      <c r="A1019" t="n">
        <v>1777651202</v>
      </c>
      <c r="B1019" t="inlineStr">
        <is>
          <t>XAUUSD</t>
        </is>
      </c>
      <c r="C1019" t="inlineStr">
        <is>
          <t>M15</t>
        </is>
      </c>
      <c r="D1019" t="n">
        <v>4642.75</v>
      </c>
      <c r="E1019" t="n">
        <v>4518.59282</v>
      </c>
      <c r="F1019" t="n">
        <v>4596.05595</v>
      </c>
      <c r="G1019" t="n">
        <v>4755.40355</v>
      </c>
      <c r="H1019" t="n">
        <v>4792.76972</v>
      </c>
      <c r="Q1019" t="n">
        <v>4545.48437</v>
      </c>
      <c r="R1019" t="n">
        <v>4574.84767</v>
      </c>
      <c r="S1019" t="n">
        <v>4601.43644</v>
      </c>
      <c r="V1019" t="n">
        <v>4510.5446</v>
      </c>
      <c r="W1019" t="n">
        <v>4476.97961</v>
      </c>
      <c r="AB1019" t="n">
        <v>4640.41346</v>
      </c>
      <c r="AC1019" t="n">
        <v>4640.82648</v>
      </c>
      <c r="AD1019" t="n">
        <v>1</v>
      </c>
      <c r="AK1019" t="n">
        <v>1017</v>
      </c>
      <c r="AL1019" t="n">
        <v>1016</v>
      </c>
      <c r="AM1019" t="n">
        <v>4642.75</v>
      </c>
      <c r="AN1019" t="n">
        <v>4545.4844</v>
      </c>
      <c r="AO1019" t="n">
        <v>97.26560000000001</v>
      </c>
      <c r="AP1019" t="n">
        <v>9460.602800000001</v>
      </c>
      <c r="AQ1019" t="n">
        <v>21.168681</v>
      </c>
      <c r="AR1019" t="n">
        <v>58.558741</v>
      </c>
      <c r="AY1019" t="n">
        <v>1017</v>
      </c>
      <c r="AZ1019" t="n">
        <v>1016</v>
      </c>
      <c r="BA1019" t="n">
        <v>4642.75</v>
      </c>
      <c r="BB1019" t="n">
        <v>4545.4844</v>
      </c>
      <c r="BC1019" t="n">
        <v>97.26560000000001</v>
      </c>
      <c r="BD1019" t="n">
        <v>9460.602800000001</v>
      </c>
      <c r="BE1019" t="n">
        <v>1032256</v>
      </c>
    </row>
    <row r="1020">
      <c r="A1020" t="n">
        <v>1777652102</v>
      </c>
      <c r="B1020" t="inlineStr">
        <is>
          <t>XAUUSD</t>
        </is>
      </c>
      <c r="C1020" t="inlineStr">
        <is>
          <t>M15</t>
        </is>
      </c>
      <c r="D1020" t="n">
        <v>4637.96</v>
      </c>
      <c r="E1020" t="n">
        <v>4518.59282</v>
      </c>
      <c r="F1020" t="n">
        <v>4596.05595</v>
      </c>
      <c r="G1020" t="n">
        <v>4755.40355</v>
      </c>
      <c r="H1020" t="n">
        <v>4792.76972</v>
      </c>
      <c r="Q1020" t="n">
        <v>4545.21677</v>
      </c>
      <c r="R1020" t="n">
        <v>4574.58007</v>
      </c>
      <c r="S1020" t="n">
        <v>4601.16884</v>
      </c>
      <c r="V1020" t="n">
        <v>4510.277</v>
      </c>
      <c r="W1020" t="n">
        <v>4476.712</v>
      </c>
      <c r="AB1020" t="n">
        <v>4639.30238</v>
      </c>
      <c r="AC1020" t="n">
        <v>4640.06443</v>
      </c>
      <c r="AD1020" t="n">
        <v>0</v>
      </c>
      <c r="AK1020" t="n">
        <v>1018</v>
      </c>
      <c r="AL1020" t="n">
        <v>1017</v>
      </c>
      <c r="AM1020" t="n">
        <v>4637.96</v>
      </c>
      <c r="AN1020" t="n">
        <v>4545.2168</v>
      </c>
      <c r="AO1020" t="n">
        <v>92.7432</v>
      </c>
      <c r="AP1020" t="n">
        <v>8601.306699999999</v>
      </c>
      <c r="AQ1020" t="n">
        <v>18.351106</v>
      </c>
      <c r="AR1020" t="n">
        <v>48.404193</v>
      </c>
      <c r="AY1020" t="n">
        <v>1018</v>
      </c>
      <c r="AZ1020" t="n">
        <v>1017</v>
      </c>
      <c r="BA1020" t="n">
        <v>4637.96</v>
      </c>
      <c r="BB1020" t="n">
        <v>4545.2168</v>
      </c>
      <c r="BC1020" t="n">
        <v>92.7432</v>
      </c>
      <c r="BD1020" t="n">
        <v>8601.306699999999</v>
      </c>
      <c r="BE1020" t="n">
        <v>1034289</v>
      </c>
    </row>
    <row r="1021">
      <c r="A1021" t="n">
        <v>1777653002</v>
      </c>
      <c r="B1021" t="inlineStr">
        <is>
          <t>XAUUSD</t>
        </is>
      </c>
      <c r="C1021" t="inlineStr">
        <is>
          <t>M15</t>
        </is>
      </c>
      <c r="D1021" t="n">
        <v>4638.86</v>
      </c>
      <c r="E1021" t="n">
        <v>4518.59282</v>
      </c>
      <c r="F1021" t="n">
        <v>4596.05595</v>
      </c>
      <c r="G1021" t="n">
        <v>4755.40355</v>
      </c>
      <c r="H1021" t="n">
        <v>4792.76972</v>
      </c>
      <c r="Q1021" t="n">
        <v>4544.94916</v>
      </c>
      <c r="R1021" t="n">
        <v>4574.31246</v>
      </c>
      <c r="S1021" t="n">
        <v>4600.90123</v>
      </c>
      <c r="V1021" t="n">
        <v>4510.00939</v>
      </c>
      <c r="W1021" t="n">
        <v>4476.4444</v>
      </c>
      <c r="AB1021" t="n">
        <v>4638.02024</v>
      </c>
      <c r="AC1021" t="n">
        <v>4639.04233</v>
      </c>
      <c r="AD1021" t="n">
        <v>0</v>
      </c>
      <c r="AK1021" t="n">
        <v>1019</v>
      </c>
      <c r="AL1021" t="n">
        <v>1018</v>
      </c>
      <c r="AM1021" t="n">
        <v>4638.86</v>
      </c>
      <c r="AN1021" t="n">
        <v>4544.9492</v>
      </c>
      <c r="AO1021" t="n">
        <v>93.91079999999999</v>
      </c>
      <c r="AP1021" t="n">
        <v>8819.2459</v>
      </c>
      <c r="AQ1021" t="n">
        <v>19.052973</v>
      </c>
      <c r="AR1021" t="n">
        <v>50.888191</v>
      </c>
      <c r="AY1021" t="n">
        <v>1019</v>
      </c>
      <c r="AZ1021" t="n">
        <v>1018</v>
      </c>
      <c r="BA1021" t="n">
        <v>4638.86</v>
      </c>
      <c r="BB1021" t="n">
        <v>4544.9492</v>
      </c>
      <c r="BC1021" t="n">
        <v>93.91079999999999</v>
      </c>
      <c r="BD1021" t="n">
        <v>8819.2459</v>
      </c>
      <c r="BE1021" t="n">
        <v>1036324</v>
      </c>
    </row>
    <row r="1022">
      <c r="A1022" t="n">
        <v>1777653902</v>
      </c>
      <c r="B1022" t="inlineStr">
        <is>
          <t>XAUUSD</t>
        </is>
      </c>
      <c r="C1022" t="inlineStr">
        <is>
          <t>M15</t>
        </is>
      </c>
      <c r="D1022" t="n">
        <v>4638.72</v>
      </c>
      <c r="E1022" t="n">
        <v>4518.59282</v>
      </c>
      <c r="F1022" t="n">
        <v>4596.05595</v>
      </c>
      <c r="G1022" t="n">
        <v>4755.40355</v>
      </c>
      <c r="H1022" t="n">
        <v>4792.76972</v>
      </c>
      <c r="Q1022" t="n">
        <v>4544.68156</v>
      </c>
      <c r="R1022" t="n">
        <v>4574.04486</v>
      </c>
      <c r="S1022" t="n">
        <v>4600.63363</v>
      </c>
      <c r="V1022" t="n">
        <v>4509.74179</v>
      </c>
      <c r="W1022" t="n">
        <v>4476.17679</v>
      </c>
      <c r="AB1022" t="n">
        <v>4636.50939</v>
      </c>
      <c r="AC1022" t="n">
        <v>4637.77586</v>
      </c>
      <c r="AD1022" t="n">
        <v>0</v>
      </c>
      <c r="AK1022" t="n">
        <v>1020</v>
      </c>
      <c r="AL1022" t="n">
        <v>1019</v>
      </c>
      <c r="AM1022" t="n">
        <v>4638.72</v>
      </c>
      <c r="AN1022" t="n">
        <v>4544.6816</v>
      </c>
      <c r="AO1022" t="n">
        <v>94.0384</v>
      </c>
      <c r="AP1022" t="n">
        <v>8843.2282</v>
      </c>
      <c r="AQ1022" t="n">
        <v>19.130743</v>
      </c>
      <c r="AR1022" t="n">
        <v>51.16533</v>
      </c>
      <c r="AY1022" t="n">
        <v>1020</v>
      </c>
      <c r="AZ1022" t="n">
        <v>1019</v>
      </c>
      <c r="BA1022" t="n">
        <v>4638.72</v>
      </c>
      <c r="BB1022" t="n">
        <v>4544.6816</v>
      </c>
      <c r="BC1022" t="n">
        <v>94.0384</v>
      </c>
      <c r="BD1022" t="n">
        <v>8843.2282</v>
      </c>
      <c r="BE1022" t="n">
        <v>1038361</v>
      </c>
    </row>
    <row r="1023">
      <c r="A1023" t="n">
        <v>1777654802</v>
      </c>
      <c r="B1023" t="inlineStr">
        <is>
          <t>XAUUSD</t>
        </is>
      </c>
      <c r="C1023" t="inlineStr">
        <is>
          <t>M15</t>
        </is>
      </c>
      <c r="D1023" t="n">
        <v>4639.73</v>
      </c>
      <c r="E1023" t="n">
        <v>4518.59282</v>
      </c>
      <c r="F1023" t="n">
        <v>4596.05595</v>
      </c>
      <c r="G1023" t="n">
        <v>4755.40355</v>
      </c>
      <c r="H1023" t="n">
        <v>4792.76972</v>
      </c>
      <c r="Q1023" t="n">
        <v>4544.41396</v>
      </c>
      <c r="R1023" t="n">
        <v>4573.77726</v>
      </c>
      <c r="S1023" t="n">
        <v>4600.36603</v>
      </c>
      <c r="V1023" t="n">
        <v>4509.47419</v>
      </c>
      <c r="W1023" t="n">
        <v>4475.90919</v>
      </c>
      <c r="AB1023" t="n">
        <v>4634.714</v>
      </c>
      <c r="AC1023" t="n">
        <v>4636.24493</v>
      </c>
      <c r="AD1023" t="n">
        <v>0</v>
      </c>
      <c r="AK1023" t="n">
        <v>1021</v>
      </c>
      <c r="AL1023" t="n">
        <v>1020</v>
      </c>
      <c r="AM1023" t="n">
        <v>4639.73</v>
      </c>
      <c r="AN1023" t="n">
        <v>4544.414</v>
      </c>
      <c r="AO1023" t="n">
        <v>95.316</v>
      </c>
      <c r="AP1023" t="n">
        <v>9085.147499999999</v>
      </c>
      <c r="AQ1023" t="n">
        <v>19.921111</v>
      </c>
      <c r="AR1023" t="n">
        <v>54.003024</v>
      </c>
      <c r="AY1023" t="n">
        <v>1021</v>
      </c>
      <c r="AZ1023" t="n">
        <v>1020</v>
      </c>
      <c r="BA1023" t="n">
        <v>4639.73</v>
      </c>
      <c r="BB1023" t="n">
        <v>4544.414</v>
      </c>
      <c r="BC1023" t="n">
        <v>95.316</v>
      </c>
      <c r="BD1023" t="n">
        <v>9085.147499999999</v>
      </c>
      <c r="BE1023" t="n">
        <v>1040400</v>
      </c>
    </row>
    <row r="1024">
      <c r="A1024" t="n">
        <v>1777655702</v>
      </c>
      <c r="B1024" t="inlineStr">
        <is>
          <t>XAUUSD</t>
        </is>
      </c>
      <c r="C1024" t="inlineStr">
        <is>
          <t>M15</t>
        </is>
      </c>
      <c r="D1024" t="n">
        <v>4631.67</v>
      </c>
      <c r="E1024" t="n">
        <v>4518.59282</v>
      </c>
      <c r="F1024" t="n">
        <v>4596.05595</v>
      </c>
      <c r="G1024" t="n">
        <v>4755.40355</v>
      </c>
      <c r="H1024" t="n">
        <v>4792.76972</v>
      </c>
      <c r="Q1024" t="n">
        <v>4544.14635</v>
      </c>
      <c r="R1024" t="n">
        <v>4573.50965</v>
      </c>
      <c r="S1024" t="n">
        <v>4600.09842</v>
      </c>
      <c r="V1024" t="n">
        <v>4509.20658</v>
      </c>
      <c r="W1024" t="n">
        <v>4475.64159</v>
      </c>
      <c r="AB1024" t="n">
        <v>4632.56488</v>
      </c>
      <c r="AC1024" t="n">
        <v>4634.40491</v>
      </c>
      <c r="AD1024" t="n">
        <v>0</v>
      </c>
      <c r="AK1024" t="n">
        <v>1022</v>
      </c>
      <c r="AL1024" t="n">
        <v>1021</v>
      </c>
      <c r="AM1024" t="n">
        <v>4631.67</v>
      </c>
      <c r="AN1024" t="n">
        <v>4544.1463</v>
      </c>
      <c r="AO1024" t="n">
        <v>87.52370000000001</v>
      </c>
      <c r="AP1024" t="n">
        <v>7660.3893</v>
      </c>
      <c r="AQ1024" t="n">
        <v>15.423816</v>
      </c>
      <c r="AR1024" t="n">
        <v>38.393331</v>
      </c>
      <c r="AY1024" t="n">
        <v>1022</v>
      </c>
      <c r="AZ1024" t="n">
        <v>1021</v>
      </c>
      <c r="BA1024" t="n">
        <v>4631.67</v>
      </c>
      <c r="BB1024" t="n">
        <v>4544.1463</v>
      </c>
      <c r="BC1024" t="n">
        <v>87.52370000000001</v>
      </c>
      <c r="BD1024" t="n">
        <v>7660.3893</v>
      </c>
      <c r="BE1024" t="n">
        <v>1042441</v>
      </c>
    </row>
    <row r="1025">
      <c r="A1025" t="n">
        <v>1777656602</v>
      </c>
      <c r="B1025" t="inlineStr">
        <is>
          <t>XAUUSD</t>
        </is>
      </c>
      <c r="C1025" t="inlineStr">
        <is>
          <t>M15</t>
        </is>
      </c>
      <c r="D1025" t="n">
        <v>4628</v>
      </c>
      <c r="E1025" t="n">
        <v>4518.59282</v>
      </c>
      <c r="F1025" t="n">
        <v>4596.05595</v>
      </c>
      <c r="G1025" t="n">
        <v>4755.40355</v>
      </c>
      <c r="H1025" t="n">
        <v>4792.76972</v>
      </c>
      <c r="Q1025" t="n">
        <v>4543.87875</v>
      </c>
      <c r="R1025" t="n">
        <v>4573.24205</v>
      </c>
      <c r="S1025" t="n">
        <v>4599.83082</v>
      </c>
      <c r="V1025" t="n">
        <v>4508.93898</v>
      </c>
      <c r="W1025" t="n">
        <v>4475.37398</v>
      </c>
      <c r="AB1025" t="n">
        <v>4630.30637</v>
      </c>
      <c r="AC1025" t="n">
        <v>4632.35564</v>
      </c>
      <c r="AD1025" t="n">
        <v>0</v>
      </c>
      <c r="AK1025" t="n">
        <v>1023</v>
      </c>
      <c r="AL1025" t="n">
        <v>1022</v>
      </c>
      <c r="AM1025" t="n">
        <v>4628</v>
      </c>
      <c r="AN1025" t="n">
        <v>4543.8787</v>
      </c>
      <c r="AO1025" t="n">
        <v>84.12130000000001</v>
      </c>
      <c r="AP1025" t="n">
        <v>7076.3847</v>
      </c>
      <c r="AQ1025" t="n">
        <v>13.694076</v>
      </c>
      <c r="AR1025" t="n">
        <v>32.762496</v>
      </c>
      <c r="AY1025" t="n">
        <v>1023</v>
      </c>
      <c r="AZ1025" t="n">
        <v>1022</v>
      </c>
      <c r="BA1025" t="n">
        <v>4628</v>
      </c>
      <c r="BB1025" t="n">
        <v>4543.8787</v>
      </c>
      <c r="BC1025" t="n">
        <v>84.12130000000001</v>
      </c>
      <c r="BD1025" t="n">
        <v>7076.3847</v>
      </c>
      <c r="BE1025" t="n">
        <v>1044484</v>
      </c>
    </row>
    <row r="1026">
      <c r="A1026" t="n">
        <v>1777657502</v>
      </c>
      <c r="B1026" t="inlineStr">
        <is>
          <t>XAUUSD</t>
        </is>
      </c>
      <c r="C1026" t="inlineStr">
        <is>
          <t>M15</t>
        </is>
      </c>
      <c r="D1026" t="n">
        <v>4629.43</v>
      </c>
      <c r="E1026" t="n">
        <v>4518.59282</v>
      </c>
      <c r="F1026" t="n">
        <v>4596.05595</v>
      </c>
      <c r="G1026" t="n">
        <v>4755.40355</v>
      </c>
      <c r="H1026" t="n">
        <v>4792.76972</v>
      </c>
      <c r="Q1026" t="n">
        <v>4543.61114</v>
      </c>
      <c r="R1026" t="n">
        <v>4572.97444</v>
      </c>
      <c r="S1026" t="n">
        <v>4599.56321</v>
      </c>
      <c r="V1026" t="n">
        <v>4508.67137</v>
      </c>
      <c r="W1026" t="n">
        <v>4475.10638</v>
      </c>
      <c r="AB1026" t="n">
        <v>4628.09334</v>
      </c>
      <c r="AC1026" t="n">
        <v>4630.22449</v>
      </c>
      <c r="AD1026" t="n">
        <v>0</v>
      </c>
      <c r="AK1026" t="n">
        <v>1024</v>
      </c>
      <c r="AL1026" t="n">
        <v>1023</v>
      </c>
      <c r="AM1026" t="n">
        <v>4629.43</v>
      </c>
      <c r="AN1026" t="n">
        <v>4543.6111</v>
      </c>
      <c r="AO1026" t="n">
        <v>85.8189</v>
      </c>
      <c r="AP1026" t="n">
        <v>7364.8767</v>
      </c>
      <c r="AQ1026" t="n">
        <v>14.53998</v>
      </c>
      <c r="AR1026" t="n">
        <v>35.48829</v>
      </c>
      <c r="AY1026" t="n">
        <v>1024</v>
      </c>
      <c r="AZ1026" t="n">
        <v>1023</v>
      </c>
      <c r="BA1026" t="n">
        <v>4629.43</v>
      </c>
      <c r="BB1026" t="n">
        <v>4543.6111</v>
      </c>
      <c r="BC1026" t="n">
        <v>85.8189</v>
      </c>
      <c r="BD1026" t="n">
        <v>7364.8767</v>
      </c>
      <c r="BE1026" t="n">
        <v>1046529</v>
      </c>
    </row>
    <row r="1027">
      <c r="A1027" t="n">
        <v>1777658402</v>
      </c>
      <c r="B1027" t="inlineStr">
        <is>
          <t>XAUUSD</t>
        </is>
      </c>
      <c r="C1027" t="inlineStr">
        <is>
          <t>M15</t>
        </is>
      </c>
      <c r="D1027" t="n">
        <v>4615.72</v>
      </c>
      <c r="E1027" t="n">
        <v>4518.59282</v>
      </c>
      <c r="F1027" t="n">
        <v>4596.05595</v>
      </c>
      <c r="G1027" t="n">
        <v>4755.40355</v>
      </c>
      <c r="H1027" t="n">
        <v>4792.76972</v>
      </c>
      <c r="Q1027" t="n">
        <v>4543.34354</v>
      </c>
      <c r="R1027" t="n">
        <v>4572.70684</v>
      </c>
      <c r="S1027" t="n">
        <v>4599.29561</v>
      </c>
      <c r="V1027" t="n">
        <v>4508.40377</v>
      </c>
      <c r="W1027" t="n">
        <v>4474.83877</v>
      </c>
      <c r="AB1027" t="n">
        <v>4625.93992</v>
      </c>
      <c r="AC1027" t="n">
        <v>4628.08221</v>
      </c>
      <c r="AD1027" t="n">
        <v>0</v>
      </c>
      <c r="AK1027" t="n">
        <v>1025</v>
      </c>
      <c r="AL1027" t="n">
        <v>1024</v>
      </c>
      <c r="AM1027" t="n">
        <v>4615.72</v>
      </c>
      <c r="AN1027" t="n">
        <v>4543.3435</v>
      </c>
      <c r="AO1027" t="n">
        <v>72.37649999999999</v>
      </c>
      <c r="AP1027" t="n">
        <v>5238.352</v>
      </c>
      <c r="AQ1027" t="n">
        <v>8.721830000000001</v>
      </c>
      <c r="AR1027" t="n">
        <v>17.953266</v>
      </c>
      <c r="AY1027" t="n">
        <v>1025</v>
      </c>
      <c r="AZ1027" t="n">
        <v>1024</v>
      </c>
      <c r="BA1027" t="n">
        <v>4615.72</v>
      </c>
      <c r="BB1027" t="n">
        <v>4543.3435</v>
      </c>
      <c r="BC1027" t="n">
        <v>72.37649999999999</v>
      </c>
      <c r="BD1027" t="n">
        <v>5238.352</v>
      </c>
      <c r="BE1027" t="n">
        <v>1048576</v>
      </c>
    </row>
    <row r="1028">
      <c r="A1028" t="n">
        <v>1777659302</v>
      </c>
      <c r="B1028" t="inlineStr">
        <is>
          <t>XAUUSD</t>
        </is>
      </c>
      <c r="C1028" t="inlineStr">
        <is>
          <t>M15</t>
        </is>
      </c>
      <c r="D1028" t="n">
        <v>4623.48</v>
      </c>
      <c r="E1028" t="n">
        <v>4518.59282</v>
      </c>
      <c r="F1028" t="n">
        <v>4596.05595</v>
      </c>
      <c r="G1028" t="n">
        <v>4755.40355</v>
      </c>
      <c r="H1028" t="n">
        <v>4792.76972</v>
      </c>
      <c r="Q1028" t="n">
        <v>4543.07594</v>
      </c>
      <c r="R1028" t="n">
        <v>4572.43923</v>
      </c>
      <c r="S1028" t="n">
        <v>4599.02801</v>
      </c>
      <c r="V1028" t="n">
        <v>4508.13617</v>
      </c>
      <c r="W1028" t="n">
        <v>4474.57117</v>
      </c>
      <c r="AB1028" t="n">
        <v>4624.1975</v>
      </c>
      <c r="AC1028" t="n">
        <v>4626.13985</v>
      </c>
      <c r="AD1028" t="n">
        <v>0</v>
      </c>
      <c r="AK1028" t="n">
        <v>1026</v>
      </c>
      <c r="AL1028" t="n">
        <v>1025</v>
      </c>
      <c r="AM1028" t="n">
        <v>4623.48</v>
      </c>
      <c r="AN1028" t="n">
        <v>4543.0759</v>
      </c>
      <c r="AO1028" t="n">
        <v>80.4041</v>
      </c>
      <c r="AP1028" t="n">
        <v>6464.8129</v>
      </c>
      <c r="AQ1028" t="n">
        <v>11.957751</v>
      </c>
      <c r="AR1028" t="n">
        <v>27.344251</v>
      </c>
      <c r="AY1028" t="n">
        <v>1026</v>
      </c>
      <c r="AZ1028" t="n">
        <v>1025</v>
      </c>
      <c r="BA1028" t="n">
        <v>4623.48</v>
      </c>
      <c r="BB1028" t="n">
        <v>4543.0759</v>
      </c>
      <c r="BC1028" t="n">
        <v>80.4041</v>
      </c>
      <c r="BD1028" t="n">
        <v>6464.8129</v>
      </c>
      <c r="BE1028" t="n">
        <v>1050625</v>
      </c>
    </row>
    <row r="1029">
      <c r="A1029" t="n">
        <v>1777660202</v>
      </c>
      <c r="B1029" t="inlineStr">
        <is>
          <t>XAUUSD</t>
        </is>
      </c>
      <c r="C1029" t="inlineStr">
        <is>
          <t>M15</t>
        </is>
      </c>
      <c r="D1029" t="n">
        <v>4622.32</v>
      </c>
      <c r="E1029" t="n">
        <v>4518.59282</v>
      </c>
      <c r="F1029" t="n">
        <v>4596.05595</v>
      </c>
      <c r="G1029" t="n">
        <v>4755.40355</v>
      </c>
      <c r="H1029" t="n">
        <v>4792.76972</v>
      </c>
      <c r="Q1029" t="n">
        <v>4542.80833</v>
      </c>
      <c r="R1029" t="n">
        <v>4572.17163</v>
      </c>
      <c r="S1029" t="n">
        <v>4598.7604</v>
      </c>
      <c r="V1029" t="n">
        <v>4507.86856</v>
      </c>
      <c r="W1029" t="n">
        <v>4474.30357</v>
      </c>
      <c r="AB1029" t="n">
        <v>4622.58442</v>
      </c>
      <c r="AC1029" t="n">
        <v>4624.36214</v>
      </c>
      <c r="AD1029" t="n">
        <v>0</v>
      </c>
      <c r="AK1029" t="n">
        <v>1027</v>
      </c>
      <c r="AL1029" t="n">
        <v>1026</v>
      </c>
      <c r="AM1029" t="n">
        <v>4622.32</v>
      </c>
      <c r="AN1029" t="n">
        <v>4542.8083</v>
      </c>
      <c r="AO1029" t="n">
        <v>79.5117</v>
      </c>
      <c r="AP1029" t="n">
        <v>6322.1057</v>
      </c>
      <c r="AQ1029" t="n">
        <v>11.564003</v>
      </c>
      <c r="AR1029" t="n">
        <v>26.150356</v>
      </c>
      <c r="AY1029" t="n">
        <v>1027</v>
      </c>
      <c r="AZ1029" t="n">
        <v>1026</v>
      </c>
      <c r="BA1029" t="n">
        <v>4622.32</v>
      </c>
      <c r="BB1029" t="n">
        <v>4542.8083</v>
      </c>
      <c r="BC1029" t="n">
        <v>79.5117</v>
      </c>
      <c r="BD1029" t="n">
        <v>6322.1057</v>
      </c>
      <c r="BE1029" t="n">
        <v>1052676</v>
      </c>
    </row>
    <row r="1030">
      <c r="A1030" t="n">
        <v>1777661102</v>
      </c>
      <c r="B1030" t="inlineStr">
        <is>
          <t>XAUUSD</t>
        </is>
      </c>
      <c r="C1030" t="inlineStr">
        <is>
          <t>M15</t>
        </is>
      </c>
      <c r="D1030" t="n">
        <v>4624.35</v>
      </c>
      <c r="E1030" t="n">
        <v>4518.59282</v>
      </c>
      <c r="F1030" t="n">
        <v>4596.05595</v>
      </c>
      <c r="G1030" t="n">
        <v>4755.40355</v>
      </c>
      <c r="H1030" t="n">
        <v>4792.76972</v>
      </c>
      <c r="Q1030" t="n">
        <v>4542.54073</v>
      </c>
      <c r="R1030" t="n">
        <v>4571.90403</v>
      </c>
      <c r="S1030" t="n">
        <v>4598.4928</v>
      </c>
      <c r="V1030" t="n">
        <v>4507.60096</v>
      </c>
      <c r="W1030" t="n">
        <v>4474.03596</v>
      </c>
      <c r="AB1030" t="n">
        <v>4621.02677</v>
      </c>
      <c r="AC1030" t="n">
        <v>4622.69445</v>
      </c>
      <c r="AD1030" t="n">
        <v>0</v>
      </c>
      <c r="AK1030" t="n">
        <v>1028</v>
      </c>
      <c r="AL1030" t="n">
        <v>1027</v>
      </c>
      <c r="AM1030" t="n">
        <v>4624.35</v>
      </c>
      <c r="AN1030" t="n">
        <v>4542.5407</v>
      </c>
      <c r="AO1030" t="n">
        <v>81.80929999999999</v>
      </c>
      <c r="AP1030" t="n">
        <v>6692.7567</v>
      </c>
      <c r="AQ1030" t="n">
        <v>12.595724</v>
      </c>
      <c r="AR1030" t="n">
        <v>29.306515</v>
      </c>
      <c r="AY1030" t="n">
        <v>1028</v>
      </c>
      <c r="AZ1030" t="n">
        <v>1027</v>
      </c>
      <c r="BA1030" t="n">
        <v>4624.35</v>
      </c>
      <c r="BB1030" t="n">
        <v>4542.5407</v>
      </c>
      <c r="BC1030" t="n">
        <v>81.80929999999999</v>
      </c>
      <c r="BD1030" t="n">
        <v>6692.7567</v>
      </c>
      <c r="BE1030" t="n">
        <v>1054729</v>
      </c>
    </row>
    <row r="1031">
      <c r="A1031" t="n">
        <v>1777662002</v>
      </c>
      <c r="B1031" t="inlineStr">
        <is>
          <t>XAUUSD</t>
        </is>
      </c>
      <c r="C1031" t="inlineStr">
        <is>
          <t>M15</t>
        </is>
      </c>
      <c r="D1031" t="n">
        <v>4626.3</v>
      </c>
      <c r="E1031" t="n">
        <v>4518.59282</v>
      </c>
      <c r="F1031" t="n">
        <v>4596.05595</v>
      </c>
      <c r="G1031" t="n">
        <v>4755.40355</v>
      </c>
      <c r="H1031" t="n">
        <v>4792.76972</v>
      </c>
      <c r="Q1031" t="n">
        <v>4542.27312</v>
      </c>
      <c r="R1031" t="n">
        <v>4571.63642</v>
      </c>
      <c r="S1031" t="n">
        <v>4598.22519</v>
      </c>
      <c r="V1031" t="n">
        <v>4507.33335</v>
      </c>
      <c r="W1031" t="n">
        <v>4473.76836</v>
      </c>
      <c r="AB1031" t="n">
        <v>4619.38731</v>
      </c>
      <c r="AC1031" t="n">
        <v>4621.04088</v>
      </c>
      <c r="AD1031" t="n">
        <v>0</v>
      </c>
      <c r="AK1031" t="n">
        <v>1029</v>
      </c>
      <c r="AL1031" t="n">
        <v>1028</v>
      </c>
      <c r="AM1031" t="n">
        <v>4626.3</v>
      </c>
      <c r="AN1031" t="n">
        <v>4542.2731</v>
      </c>
      <c r="AO1031" t="n">
        <v>84.0269</v>
      </c>
      <c r="AP1031" t="n">
        <v>7060.5166</v>
      </c>
      <c r="AQ1031" t="n">
        <v>13.64804</v>
      </c>
      <c r="AR1031" t="n">
        <v>32.615727</v>
      </c>
      <c r="AY1031" t="n">
        <v>1029</v>
      </c>
      <c r="AZ1031" t="n">
        <v>1028</v>
      </c>
      <c r="BA1031" t="n">
        <v>4626.3</v>
      </c>
      <c r="BB1031" t="n">
        <v>4542.2731</v>
      </c>
      <c r="BC1031" t="n">
        <v>84.0269</v>
      </c>
      <c r="BD1031" t="n">
        <v>7060.5166</v>
      </c>
      <c r="BE1031" t="n">
        <v>1056784</v>
      </c>
    </row>
    <row r="1032">
      <c r="A1032" t="n">
        <v>1777662902</v>
      </c>
      <c r="B1032" t="inlineStr">
        <is>
          <t>XAUUSD</t>
        </is>
      </c>
      <c r="C1032" t="inlineStr">
        <is>
          <t>M15</t>
        </is>
      </c>
      <c r="D1032" t="n">
        <v>4624.4</v>
      </c>
      <c r="E1032" t="n">
        <v>4518.59282</v>
      </c>
      <c r="F1032" t="n">
        <v>4596.05595</v>
      </c>
      <c r="G1032" t="n">
        <v>4755.40355</v>
      </c>
      <c r="H1032" t="n">
        <v>4792.76972</v>
      </c>
      <c r="Q1032" t="n">
        <v>4542.00552</v>
      </c>
      <c r="R1032" t="n">
        <v>4571.36882</v>
      </c>
      <c r="S1032" t="n">
        <v>4597.95759</v>
      </c>
      <c r="V1032" t="n">
        <v>4507.06575</v>
      </c>
      <c r="W1032" t="n">
        <v>4473.50075</v>
      </c>
      <c r="AB1032" t="n">
        <v>4617.61764</v>
      </c>
      <c r="AC1032" t="n">
        <v>4619.32926</v>
      </c>
      <c r="AD1032" t="n">
        <v>0</v>
      </c>
      <c r="AK1032" t="n">
        <v>1030</v>
      </c>
      <c r="AL1032" t="n">
        <v>1029</v>
      </c>
      <c r="AM1032" t="n">
        <v>4624.4</v>
      </c>
      <c r="AN1032" t="n">
        <v>4542.0055</v>
      </c>
      <c r="AO1032" t="n">
        <v>82.39449999999999</v>
      </c>
      <c r="AP1032" t="n">
        <v>6788.8503</v>
      </c>
      <c r="AQ1032" t="n">
        <v>12.867967</v>
      </c>
      <c r="AR1032" t="n">
        <v>30.154115</v>
      </c>
      <c r="AY1032" t="n">
        <v>1030</v>
      </c>
      <c r="AZ1032" t="n">
        <v>1029</v>
      </c>
      <c r="BA1032" t="n">
        <v>4624.4</v>
      </c>
      <c r="BB1032" t="n">
        <v>4542.0055</v>
      </c>
      <c r="BC1032" t="n">
        <v>82.39449999999999</v>
      </c>
      <c r="BD1032" t="n">
        <v>6788.8503</v>
      </c>
      <c r="BE1032" t="n">
        <v>1058841</v>
      </c>
    </row>
    <row r="1033">
      <c r="A1033" t="n">
        <v>1777663802</v>
      </c>
      <c r="B1033" t="inlineStr">
        <is>
          <t>XAUUSD</t>
        </is>
      </c>
      <c r="C1033" t="inlineStr">
        <is>
          <t>M15</t>
        </is>
      </c>
      <c r="D1033" t="n">
        <v>4611.78</v>
      </c>
      <c r="E1033" t="n">
        <v>4518.59282</v>
      </c>
      <c r="F1033" t="n">
        <v>4596.05595</v>
      </c>
      <c r="G1033" t="n">
        <v>4755.40355</v>
      </c>
      <c r="H1033" t="n">
        <v>4792.76972</v>
      </c>
      <c r="Q1033" t="n">
        <v>4541.73792</v>
      </c>
      <c r="R1033" t="n">
        <v>4571.10121</v>
      </c>
      <c r="S1033" t="n">
        <v>4597.68999</v>
      </c>
      <c r="V1033" t="n">
        <v>4506.79815</v>
      </c>
      <c r="W1033" t="n">
        <v>4473.23315</v>
      </c>
      <c r="AB1033" t="n">
        <v>4615.85239</v>
      </c>
      <c r="AC1033" t="n">
        <v>4617.59082</v>
      </c>
      <c r="AD1033" t="n">
        <v>0</v>
      </c>
      <c r="AK1033" t="n">
        <v>1031</v>
      </c>
      <c r="AL1033" t="n">
        <v>1030</v>
      </c>
      <c r="AM1033" t="n">
        <v>4611.78</v>
      </c>
      <c r="AN1033" t="n">
        <v>4541.7379</v>
      </c>
      <c r="AO1033" t="n">
        <v>70.0421</v>
      </c>
      <c r="AP1033" t="n">
        <v>4905.893</v>
      </c>
      <c r="AQ1033" t="n">
        <v>7.904833</v>
      </c>
      <c r="AR1033" t="n">
        <v>15.746725</v>
      </c>
      <c r="AY1033" t="n">
        <v>1031</v>
      </c>
      <c r="AZ1033" t="n">
        <v>1030</v>
      </c>
      <c r="BA1033" t="n">
        <v>4611.78</v>
      </c>
      <c r="BB1033" t="n">
        <v>4541.7379</v>
      </c>
      <c r="BC1033" t="n">
        <v>70.0421</v>
      </c>
      <c r="BD1033" t="n">
        <v>4905.893</v>
      </c>
      <c r="BE1033" t="n">
        <v>1060900</v>
      </c>
    </row>
    <row r="1034">
      <c r="A1034" t="n">
        <v>1777664702</v>
      </c>
      <c r="B1034" t="inlineStr">
        <is>
          <t>XAUUSD</t>
        </is>
      </c>
      <c r="C1034" t="inlineStr">
        <is>
          <t>M15</t>
        </is>
      </c>
      <c r="D1034" t="n">
        <v>4610.06</v>
      </c>
      <c r="E1034" t="n">
        <v>4518.59282</v>
      </c>
      <c r="F1034" t="n">
        <v>4596.05595</v>
      </c>
      <c r="G1034" t="n">
        <v>4755.40355</v>
      </c>
      <c r="H1034" t="n">
        <v>4792.76972</v>
      </c>
      <c r="Q1034" t="n">
        <v>4541.47031</v>
      </c>
      <c r="R1034" t="n">
        <v>4570.83361</v>
      </c>
      <c r="S1034" t="n">
        <v>4597.42238</v>
      </c>
      <c r="V1034" t="n">
        <v>4506.53054</v>
      </c>
      <c r="W1034" t="n">
        <v>4472.96554</v>
      </c>
      <c r="AB1034" t="n">
        <v>4614.60638</v>
      </c>
      <c r="AC1034" t="n">
        <v>4616.0986</v>
      </c>
      <c r="AD1034" t="n">
        <v>0</v>
      </c>
      <c r="AK1034" t="n">
        <v>1032</v>
      </c>
      <c r="AL1034" t="n">
        <v>1031</v>
      </c>
      <c r="AM1034" t="n">
        <v>4610.06</v>
      </c>
      <c r="AN1034" t="n">
        <v>4541.4703</v>
      </c>
      <c r="AO1034" t="n">
        <v>68.58969999999999</v>
      </c>
      <c r="AP1034" t="n">
        <v>4704.5456</v>
      </c>
      <c r="AQ1034" t="n">
        <v>7.423216</v>
      </c>
      <c r="AR1034" t="n">
        <v>14.480697</v>
      </c>
      <c r="AY1034" t="n">
        <v>1032</v>
      </c>
      <c r="AZ1034" t="n">
        <v>1031</v>
      </c>
      <c r="BA1034" t="n">
        <v>4610.06</v>
      </c>
      <c r="BB1034" t="n">
        <v>4541.4703</v>
      </c>
      <c r="BC1034" t="n">
        <v>68.58969999999999</v>
      </c>
      <c r="BD1034" t="n">
        <v>4704.5456</v>
      </c>
      <c r="BE1034" t="n">
        <v>1062961</v>
      </c>
    </row>
    <row r="1035">
      <c r="A1035" t="n">
        <v>1777665602</v>
      </c>
      <c r="B1035" t="inlineStr">
        <is>
          <t>XAUUSD</t>
        </is>
      </c>
      <c r="C1035" t="inlineStr">
        <is>
          <t>M15</t>
        </is>
      </c>
      <c r="D1035" t="n">
        <v>4611.41</v>
      </c>
      <c r="E1035" t="n">
        <v>4518.59282</v>
      </c>
      <c r="F1035" t="n">
        <v>4596.05595</v>
      </c>
      <c r="G1035" t="n">
        <v>4755.40355</v>
      </c>
      <c r="H1035" t="n">
        <v>4792.76972</v>
      </c>
      <c r="Q1035" t="n">
        <v>4541.20271</v>
      </c>
      <c r="R1035" t="n">
        <v>4570.56601</v>
      </c>
      <c r="S1035" t="n">
        <v>4597.15478</v>
      </c>
      <c r="V1035" t="n">
        <v>4506.26294</v>
      </c>
      <c r="W1035" t="n">
        <v>4472.69794</v>
      </c>
      <c r="AB1035" t="n">
        <v>4614.05923</v>
      </c>
      <c r="AC1035" t="n">
        <v>4615.07892</v>
      </c>
      <c r="AD1035" t="n">
        <v>0</v>
      </c>
      <c r="AK1035" t="n">
        <v>1033</v>
      </c>
      <c r="AL1035" t="n">
        <v>1032</v>
      </c>
      <c r="AM1035" t="n">
        <v>4611.41</v>
      </c>
      <c r="AN1035" t="n">
        <v>4541.2027</v>
      </c>
      <c r="AO1035" t="n">
        <v>70.2073</v>
      </c>
      <c r="AP1035" t="n">
        <v>4929.0636</v>
      </c>
      <c r="AQ1035" t="n">
        <v>7.960901</v>
      </c>
      <c r="AR1035" t="n">
        <v>15.895821</v>
      </c>
      <c r="AY1035" t="n">
        <v>1033</v>
      </c>
      <c r="AZ1035" t="n">
        <v>1032</v>
      </c>
      <c r="BA1035" t="n">
        <v>4611.41</v>
      </c>
      <c r="BB1035" t="n">
        <v>4541.2027</v>
      </c>
      <c r="BC1035" t="n">
        <v>70.2073</v>
      </c>
      <c r="BD1035" t="n">
        <v>4929.0636</v>
      </c>
      <c r="BE1035" t="n">
        <v>1065024</v>
      </c>
    </row>
    <row r="1036">
      <c r="A1036" t="n">
        <v>1777666502</v>
      </c>
      <c r="B1036" t="inlineStr">
        <is>
          <t>XAUUSD</t>
        </is>
      </c>
      <c r="C1036" t="inlineStr">
        <is>
          <t>M15</t>
        </is>
      </c>
      <c r="D1036" t="n">
        <v>4613.3</v>
      </c>
      <c r="E1036" t="n">
        <v>4518.59282</v>
      </c>
      <c r="F1036" t="n">
        <v>4596.05595</v>
      </c>
      <c r="G1036" t="n">
        <v>4755.40355</v>
      </c>
      <c r="H1036" t="n">
        <v>4792.76972</v>
      </c>
      <c r="Q1036" t="n">
        <v>4540.9351</v>
      </c>
      <c r="R1036" t="n">
        <v>4570.2984</v>
      </c>
      <c r="S1036" t="n">
        <v>4596.88717</v>
      </c>
      <c r="V1036" t="n">
        <v>4505.99533</v>
      </c>
      <c r="W1036" t="n">
        <v>4472.43034</v>
      </c>
      <c r="AB1036" t="n">
        <v>4614.27441</v>
      </c>
      <c r="AC1036" t="n">
        <v>4614.67666</v>
      </c>
      <c r="AD1036" t="n">
        <v>0</v>
      </c>
      <c r="AK1036" t="n">
        <v>1034</v>
      </c>
      <c r="AL1036" t="n">
        <v>1033</v>
      </c>
      <c r="AM1036" t="n">
        <v>4613.3</v>
      </c>
      <c r="AN1036" t="n">
        <v>4540.9351</v>
      </c>
      <c r="AO1036" t="n">
        <v>72.36490000000001</v>
      </c>
      <c r="AP1036" t="n">
        <v>5236.6788</v>
      </c>
      <c r="AQ1036" t="n">
        <v>8.717651</v>
      </c>
      <c r="AR1036" t="n">
        <v>17.941799</v>
      </c>
      <c r="AY1036" t="n">
        <v>1034</v>
      </c>
      <c r="AZ1036" t="n">
        <v>1033</v>
      </c>
      <c r="BA1036" t="n">
        <v>4613.3</v>
      </c>
      <c r="BB1036" t="n">
        <v>4540.9351</v>
      </c>
      <c r="BC1036" t="n">
        <v>72.36490000000001</v>
      </c>
      <c r="BD1036" t="n">
        <v>5236.6788</v>
      </c>
      <c r="BE1036" t="n">
        <v>1067089</v>
      </c>
    </row>
    <row r="1037">
      <c r="A1037" t="n">
        <v>1777667402</v>
      </c>
      <c r="B1037" t="inlineStr">
        <is>
          <t>XAUUSD</t>
        </is>
      </c>
      <c r="C1037" t="inlineStr">
        <is>
          <t>M15</t>
        </is>
      </c>
      <c r="D1037" t="n">
        <v>4613.77</v>
      </c>
      <c r="E1037" t="n">
        <v>4518.59282</v>
      </c>
      <c r="F1037" t="n">
        <v>4596.05595</v>
      </c>
      <c r="G1037" t="n">
        <v>4755.40355</v>
      </c>
      <c r="H1037" t="n">
        <v>4792.76972</v>
      </c>
      <c r="Q1037" t="n">
        <v>4540.6675</v>
      </c>
      <c r="R1037" t="n">
        <v>4570.0308</v>
      </c>
      <c r="S1037" t="n">
        <v>4596.61957</v>
      </c>
      <c r="V1037" t="n">
        <v>4505.72773</v>
      </c>
      <c r="W1037" t="n">
        <v>4472.16273</v>
      </c>
      <c r="AB1037" t="n">
        <v>4615.19343</v>
      </c>
      <c r="AC1037" t="n">
        <v>4614.93505</v>
      </c>
      <c r="AD1037" t="n">
        <v>1</v>
      </c>
      <c r="AK1037" t="n">
        <v>1035</v>
      </c>
      <c r="AL1037" t="n">
        <v>1034</v>
      </c>
      <c r="AM1037" t="n">
        <v>4613.77</v>
      </c>
      <c r="AN1037" t="n">
        <v>4540.6675</v>
      </c>
      <c r="AO1037" t="n">
        <v>73.10250000000001</v>
      </c>
      <c r="AP1037" t="n">
        <v>5343.9755</v>
      </c>
      <c r="AQ1037" t="n">
        <v>8.986948999999999</v>
      </c>
      <c r="AR1037" t="n">
        <v>18.684567</v>
      </c>
      <c r="AY1037" t="n">
        <v>1035</v>
      </c>
      <c r="AZ1037" t="n">
        <v>1034</v>
      </c>
      <c r="BA1037" t="n">
        <v>4613.77</v>
      </c>
      <c r="BB1037" t="n">
        <v>4540.6675</v>
      </c>
      <c r="BC1037" t="n">
        <v>73.10250000000001</v>
      </c>
      <c r="BD1037" t="n">
        <v>5343.9755</v>
      </c>
      <c r="BE1037" t="n">
        <v>1069156</v>
      </c>
    </row>
    <row r="1038">
      <c r="A1038" t="n">
        <v>1777668302</v>
      </c>
      <c r="B1038" t="inlineStr">
        <is>
          <t>XAUUSD</t>
        </is>
      </c>
      <c r="C1038" t="inlineStr">
        <is>
          <t>M15</t>
        </is>
      </c>
      <c r="D1038" t="n">
        <v>4613.98</v>
      </c>
      <c r="E1038" t="n">
        <v>4518.59282</v>
      </c>
      <c r="F1038" t="n">
        <v>4596.05595</v>
      </c>
      <c r="G1038" t="n">
        <v>4755.40355</v>
      </c>
      <c r="H1038" t="n">
        <v>4792.76972</v>
      </c>
      <c r="Q1038" t="n">
        <v>4540.39989</v>
      </c>
      <c r="R1038" t="n">
        <v>4569.76319</v>
      </c>
      <c r="S1038" t="n">
        <v>4596.35196</v>
      </c>
      <c r="V1038" t="n">
        <v>4505.46012</v>
      </c>
      <c r="W1038" t="n">
        <v>4471.89513</v>
      </c>
      <c r="AB1038" t="n">
        <v>4616.67455</v>
      </c>
      <c r="AC1038" t="n">
        <v>4615.8048</v>
      </c>
      <c r="AD1038" t="n">
        <v>0</v>
      </c>
      <c r="AK1038" t="n">
        <v>1036</v>
      </c>
      <c r="AL1038" t="n">
        <v>1035</v>
      </c>
      <c r="AM1038" t="n">
        <v>4613.98</v>
      </c>
      <c r="AN1038" t="n">
        <v>4540.3999</v>
      </c>
      <c r="AO1038" t="n">
        <v>73.5801</v>
      </c>
      <c r="AP1038" t="n">
        <v>5414.0326</v>
      </c>
      <c r="AQ1038" t="n">
        <v>9.164249</v>
      </c>
      <c r="AR1038" t="n">
        <v>19.17767</v>
      </c>
      <c r="AY1038" t="n">
        <v>1036</v>
      </c>
      <c r="AZ1038" t="n">
        <v>1035</v>
      </c>
      <c r="BA1038" t="n">
        <v>4613.98</v>
      </c>
      <c r="BB1038" t="n">
        <v>4540.3999</v>
      </c>
      <c r="BC1038" t="n">
        <v>73.5801</v>
      </c>
      <c r="BD1038" t="n">
        <v>5414.0326</v>
      </c>
      <c r="BE1038" t="n">
        <v>1071225</v>
      </c>
    </row>
    <row r="1039">
      <c r="A1039" t="n">
        <v>1777845602</v>
      </c>
      <c r="B1039" t="inlineStr">
        <is>
          <t>XAUUSD</t>
        </is>
      </c>
      <c r="C1039" t="inlineStr">
        <is>
          <t>M15</t>
        </is>
      </c>
      <c r="D1039" t="n">
        <v>4623.11</v>
      </c>
      <c r="E1039" t="n">
        <v>4518.59282</v>
      </c>
      <c r="F1039" t="n">
        <v>4596.05595</v>
      </c>
      <c r="G1039" t="n">
        <v>4755.40355</v>
      </c>
      <c r="H1039" t="n">
        <v>4792.76972</v>
      </c>
      <c r="Q1039" t="n">
        <v>4540.13229</v>
      </c>
      <c r="R1039" t="n">
        <v>4569.49559</v>
      </c>
      <c r="S1039" t="n">
        <v>4596.08436</v>
      </c>
      <c r="V1039" t="n">
        <v>4505.19252</v>
      </c>
      <c r="W1039" t="n">
        <v>4471.62752</v>
      </c>
      <c r="AB1039" t="n">
        <v>4618.47149</v>
      </c>
      <c r="AC1039" t="n">
        <v>4617.13815</v>
      </c>
      <c r="AD1039" t="n">
        <v>0</v>
      </c>
      <c r="AK1039" t="n">
        <v>1037</v>
      </c>
      <c r="AL1039" t="n">
        <v>1036</v>
      </c>
      <c r="AM1039" t="n">
        <v>4623.11</v>
      </c>
      <c r="AN1039" t="n">
        <v>4540.1323</v>
      </c>
      <c r="AO1039" t="n">
        <v>82.9777</v>
      </c>
      <c r="AP1039" t="n">
        <v>6885.3004</v>
      </c>
      <c r="AQ1039" t="n">
        <v>13.143164</v>
      </c>
      <c r="AR1039" t="n">
        <v>31.017007</v>
      </c>
      <c r="AY1039" t="n">
        <v>1037</v>
      </c>
      <c r="AZ1039" t="n">
        <v>1036</v>
      </c>
      <c r="BA1039" t="n">
        <v>4623.11</v>
      </c>
      <c r="BB1039" t="n">
        <v>4540.1323</v>
      </c>
      <c r="BC1039" t="n">
        <v>82.9777</v>
      </c>
      <c r="BD1039" t="n">
        <v>6885.3004</v>
      </c>
      <c r="BE1039" t="n">
        <v>1073296</v>
      </c>
    </row>
    <row r="1040">
      <c r="A1040" t="n">
        <v>1777846502</v>
      </c>
      <c r="B1040" t="inlineStr">
        <is>
          <t>XAUUSD</t>
        </is>
      </c>
      <c r="C1040" t="inlineStr">
        <is>
          <t>M15</t>
        </is>
      </c>
      <c r="D1040" t="n">
        <v>4620.91</v>
      </c>
      <c r="E1040" t="n">
        <v>4518.59282</v>
      </c>
      <c r="F1040" t="n">
        <v>4596.05595</v>
      </c>
      <c r="G1040" t="n">
        <v>4755.40355</v>
      </c>
      <c r="H1040" t="n">
        <v>4792.76972</v>
      </c>
      <c r="Q1040" t="n">
        <v>4539.86469</v>
      </c>
      <c r="R1040" t="n">
        <v>4569.22799</v>
      </c>
      <c r="S1040" t="n">
        <v>4595.81676</v>
      </c>
      <c r="V1040" t="n">
        <v>4504.92492</v>
      </c>
      <c r="W1040" t="n">
        <v>4471.35992</v>
      </c>
      <c r="AB1040" t="n">
        <v>4619.95768</v>
      </c>
      <c r="AC1040" t="n">
        <v>4618.54791</v>
      </c>
      <c r="AD1040" t="n">
        <v>0</v>
      </c>
      <c r="AK1040" t="n">
        <v>1038</v>
      </c>
      <c r="AL1040" t="n">
        <v>1037</v>
      </c>
      <c r="AM1040" t="n">
        <v>4620.91</v>
      </c>
      <c r="AN1040" t="n">
        <v>4539.8647</v>
      </c>
      <c r="AO1040" t="n">
        <v>81.0453</v>
      </c>
      <c r="AP1040" t="n">
        <v>6568.3423</v>
      </c>
      <c r="AQ1040" t="n">
        <v>12.246141</v>
      </c>
      <c r="AR1040" t="n">
        <v>28.227061</v>
      </c>
      <c r="AY1040" t="n">
        <v>1038</v>
      </c>
      <c r="AZ1040" t="n">
        <v>1037</v>
      </c>
      <c r="BA1040" t="n">
        <v>4620.91</v>
      </c>
      <c r="BB1040" t="n">
        <v>4539.8647</v>
      </c>
      <c r="BC1040" t="n">
        <v>81.0453</v>
      </c>
      <c r="BD1040" t="n">
        <v>6568.3423</v>
      </c>
      <c r="BE1040" t="n">
        <v>1075369</v>
      </c>
    </row>
    <row r="1041">
      <c r="A1041" t="n">
        <v>1777847402</v>
      </c>
      <c r="B1041" t="inlineStr">
        <is>
          <t>XAUUSD</t>
        </is>
      </c>
      <c r="C1041" t="inlineStr">
        <is>
          <t>M15</t>
        </is>
      </c>
      <c r="D1041" t="n">
        <v>4628.2</v>
      </c>
      <c r="E1041" t="n">
        <v>4518.59282</v>
      </c>
      <c r="F1041" t="n">
        <v>4596.05595</v>
      </c>
      <c r="G1041" t="n">
        <v>4755.40355</v>
      </c>
      <c r="H1041" t="n">
        <v>4792.76972</v>
      </c>
      <c r="Q1041" t="n">
        <v>4539.59708</v>
      </c>
      <c r="R1041" t="n">
        <v>4568.96038</v>
      </c>
      <c r="S1041" t="n">
        <v>4595.54915</v>
      </c>
      <c r="V1041" t="n">
        <v>4504.65731</v>
      </c>
      <c r="W1041" t="n">
        <v>4471.09232</v>
      </c>
      <c r="AB1041" t="n">
        <v>4620.82973</v>
      </c>
      <c r="AC1041" t="n">
        <v>4619.68882</v>
      </c>
      <c r="AD1041" t="n">
        <v>0</v>
      </c>
      <c r="AK1041" t="n">
        <v>1039</v>
      </c>
      <c r="AL1041" t="n">
        <v>1038</v>
      </c>
      <c r="AM1041" t="n">
        <v>4628.2</v>
      </c>
      <c r="AN1041" t="n">
        <v>4539.5971</v>
      </c>
      <c r="AO1041" t="n">
        <v>88.60290000000001</v>
      </c>
      <c r="AP1041" t="n">
        <v>7850.4774</v>
      </c>
      <c r="AQ1041" t="n">
        <v>16.001463</v>
      </c>
      <c r="AR1041" t="n">
        <v>40.322389</v>
      </c>
      <c r="AY1041" t="n">
        <v>1039</v>
      </c>
      <c r="AZ1041" t="n">
        <v>1038</v>
      </c>
      <c r="BA1041" t="n">
        <v>4628.2</v>
      </c>
      <c r="BB1041" t="n">
        <v>4539.5971</v>
      </c>
      <c r="BC1041" t="n">
        <v>88.60290000000001</v>
      </c>
      <c r="BD1041" t="n">
        <v>7850.4774</v>
      </c>
      <c r="BE1041" t="n">
        <v>1077444</v>
      </c>
    </row>
    <row r="1042">
      <c r="A1042" t="n">
        <v>1777848302</v>
      </c>
      <c r="B1042" t="inlineStr">
        <is>
          <t>XAUUSD</t>
        </is>
      </c>
      <c r="C1042" t="inlineStr">
        <is>
          <t>M15</t>
        </is>
      </c>
      <c r="D1042" t="n">
        <v>4618.95</v>
      </c>
      <c r="E1042" t="n">
        <v>4518.59282</v>
      </c>
      <c r="F1042" t="n">
        <v>4596.05595</v>
      </c>
      <c r="G1042" t="n">
        <v>4755.40355</v>
      </c>
      <c r="H1042" t="n">
        <v>4792.76972</v>
      </c>
      <c r="Q1042" t="n">
        <v>4539.32948</v>
      </c>
      <c r="R1042" t="n">
        <v>4568.69278</v>
      </c>
      <c r="S1042" t="n">
        <v>4595.28155</v>
      </c>
      <c r="V1042" t="n">
        <v>4504.38971</v>
      </c>
      <c r="W1042" t="n">
        <v>4470.82471</v>
      </c>
      <c r="AB1042" t="n">
        <v>4620.61267</v>
      </c>
      <c r="AC1042" t="n">
        <v>4620.15074</v>
      </c>
      <c r="AD1042" t="n">
        <v>0</v>
      </c>
      <c r="AK1042" t="n">
        <v>1040</v>
      </c>
      <c r="AL1042" t="n">
        <v>1039</v>
      </c>
      <c r="AM1042" t="n">
        <v>4618.95</v>
      </c>
      <c r="AN1042" t="n">
        <v>4539.3295</v>
      </c>
      <c r="AO1042" t="n">
        <v>79.62050000000001</v>
      </c>
      <c r="AP1042" t="n">
        <v>6339.4272</v>
      </c>
      <c r="AQ1042" t="n">
        <v>11.611561</v>
      </c>
      <c r="AR1042" t="n">
        <v>26.293848</v>
      </c>
      <c r="AY1042" t="n">
        <v>1040</v>
      </c>
      <c r="AZ1042" t="n">
        <v>1039</v>
      </c>
      <c r="BA1042" t="n">
        <v>4618.95</v>
      </c>
      <c r="BB1042" t="n">
        <v>4539.3295</v>
      </c>
      <c r="BC1042" t="n">
        <v>79.62050000000001</v>
      </c>
      <c r="BD1042" t="n">
        <v>6339.4272</v>
      </c>
      <c r="BE1042" t="n">
        <v>1079521</v>
      </c>
    </row>
    <row r="1043">
      <c r="A1043" t="n">
        <v>1777849202</v>
      </c>
      <c r="B1043" t="inlineStr">
        <is>
          <t>XAUUSD</t>
        </is>
      </c>
      <c r="C1043" t="inlineStr">
        <is>
          <t>M15</t>
        </is>
      </c>
      <c r="D1043" t="n">
        <v>4615.08</v>
      </c>
      <c r="E1043" t="n">
        <v>4518.59282</v>
      </c>
      <c r="F1043" t="n">
        <v>4596.05595</v>
      </c>
      <c r="G1043" t="n">
        <v>4755.40355</v>
      </c>
      <c r="H1043" t="n">
        <v>4792.76972</v>
      </c>
      <c r="Q1043" t="n">
        <v>4539.06187</v>
      </c>
      <c r="R1043" t="n">
        <v>4568.42517</v>
      </c>
      <c r="S1043" t="n">
        <v>4595.01394</v>
      </c>
      <c r="V1043" t="n">
        <v>4504.1221</v>
      </c>
      <c r="W1043" t="n">
        <v>4470.55711</v>
      </c>
      <c r="AB1043" t="n">
        <v>4619.52983</v>
      </c>
      <c r="AC1043" t="n">
        <v>4619.84029</v>
      </c>
      <c r="AD1043" t="n">
        <v>1</v>
      </c>
      <c r="AK1043" t="n">
        <v>1041</v>
      </c>
      <c r="AL1043" t="n">
        <v>1040</v>
      </c>
      <c r="AM1043" t="n">
        <v>4615.08</v>
      </c>
      <c r="AN1043" t="n">
        <v>4539.0619</v>
      </c>
      <c r="AO1043" t="n">
        <v>76.0181</v>
      </c>
      <c r="AP1043" t="n">
        <v>5778.7561</v>
      </c>
      <c r="AQ1043" t="n">
        <v>10.105717</v>
      </c>
      <c r="AR1043" t="n">
        <v>21.848561</v>
      </c>
      <c r="AY1043" t="n">
        <v>1041</v>
      </c>
      <c r="AZ1043" t="n">
        <v>1040</v>
      </c>
      <c r="BA1043" t="n">
        <v>4615.08</v>
      </c>
      <c r="BB1043" t="n">
        <v>4539.0619</v>
      </c>
      <c r="BC1043" t="n">
        <v>76.0181</v>
      </c>
      <c r="BD1043" t="n">
        <v>5778.7561</v>
      </c>
      <c r="BE1043" t="n">
        <v>1081600</v>
      </c>
    </row>
    <row r="1044">
      <c r="A1044" t="n">
        <v>1777850102</v>
      </c>
      <c r="B1044" t="inlineStr">
        <is>
          <t>XAUUSD</t>
        </is>
      </c>
      <c r="C1044" t="inlineStr">
        <is>
          <t>M15</t>
        </is>
      </c>
      <c r="D1044" t="n">
        <v>4617.09</v>
      </c>
      <c r="E1044" t="n">
        <v>4518.59282</v>
      </c>
      <c r="F1044" t="n">
        <v>4596.05595</v>
      </c>
      <c r="G1044" t="n">
        <v>4755.40355</v>
      </c>
      <c r="H1044" t="n">
        <v>4792.76972</v>
      </c>
      <c r="Q1044" t="n">
        <v>4538.79427</v>
      </c>
      <c r="R1044" t="n">
        <v>4568.15757</v>
      </c>
      <c r="S1044" t="n">
        <v>4594.74634</v>
      </c>
      <c r="V1044" t="n">
        <v>4503.8545</v>
      </c>
      <c r="W1044" t="n">
        <v>4470.2895</v>
      </c>
      <c r="AB1044" t="n">
        <v>4617.81383</v>
      </c>
      <c r="AC1044" t="n">
        <v>4618.82706</v>
      </c>
      <c r="AD1044" t="n">
        <v>0</v>
      </c>
      <c r="AK1044" t="n">
        <v>1042</v>
      </c>
      <c r="AL1044" t="n">
        <v>1041</v>
      </c>
      <c r="AM1044" t="n">
        <v>4617.09</v>
      </c>
      <c r="AN1044" t="n">
        <v>4538.7943</v>
      </c>
      <c r="AO1044" t="n">
        <v>78.2957</v>
      </c>
      <c r="AP1044" t="n">
        <v>6130.2213</v>
      </c>
      <c r="AQ1044" t="n">
        <v>11.041544</v>
      </c>
      <c r="AR1044" t="n">
        <v>24.58705</v>
      </c>
      <c r="AY1044" t="n">
        <v>1042</v>
      </c>
      <c r="AZ1044" t="n">
        <v>1041</v>
      </c>
      <c r="BA1044" t="n">
        <v>4617.09</v>
      </c>
      <c r="BB1044" t="n">
        <v>4538.7943</v>
      </c>
      <c r="BC1044" t="n">
        <v>78.2957</v>
      </c>
      <c r="BD1044" t="n">
        <v>6130.2213</v>
      </c>
      <c r="BE1044" t="n">
        <v>1083681</v>
      </c>
    </row>
    <row r="1045">
      <c r="A1045" t="n">
        <v>1777851002</v>
      </c>
      <c r="B1045" t="inlineStr">
        <is>
          <t>XAUUSD</t>
        </is>
      </c>
      <c r="C1045" t="inlineStr">
        <is>
          <t>M15</t>
        </is>
      </c>
      <c r="D1045" t="n">
        <v>4613.63</v>
      </c>
      <c r="E1045" t="n">
        <v>4518.59282</v>
      </c>
      <c r="F1045" t="n">
        <v>4596.05595</v>
      </c>
      <c r="G1045" t="n">
        <v>4755.40355</v>
      </c>
      <c r="H1045" t="n">
        <v>4792.76972</v>
      </c>
      <c r="Q1045" t="n">
        <v>4538.52667</v>
      </c>
      <c r="R1045" t="n">
        <v>4567.88997</v>
      </c>
      <c r="S1045" t="n">
        <v>4594.47874</v>
      </c>
      <c r="V1045" t="n">
        <v>4503.5869</v>
      </c>
      <c r="W1045" t="n">
        <v>4470.0219</v>
      </c>
      <c r="AB1045" t="n">
        <v>4615.57777</v>
      </c>
      <c r="AC1045" t="n">
        <v>4617.20241</v>
      </c>
      <c r="AD1045" t="n">
        <v>0</v>
      </c>
      <c r="AK1045" t="n">
        <v>1043</v>
      </c>
      <c r="AL1045" t="n">
        <v>1042</v>
      </c>
      <c r="AM1045" t="n">
        <v>4613.63</v>
      </c>
      <c r="AN1045" t="n">
        <v>4538.5267</v>
      </c>
      <c r="AO1045" t="n">
        <v>75.1033</v>
      </c>
      <c r="AP1045" t="n">
        <v>5640.5102</v>
      </c>
      <c r="AQ1045" t="n">
        <v>9.745253999999999</v>
      </c>
      <c r="AR1045" t="n">
        <v>20.815694</v>
      </c>
      <c r="AY1045" t="n">
        <v>1043</v>
      </c>
      <c r="AZ1045" t="n">
        <v>1042</v>
      </c>
      <c r="BA1045" t="n">
        <v>4613.63</v>
      </c>
      <c r="BB1045" t="n">
        <v>4538.5267</v>
      </c>
      <c r="BC1045" t="n">
        <v>75.1033</v>
      </c>
      <c r="BD1045" t="n">
        <v>5640.5102</v>
      </c>
      <c r="BE1045" t="n">
        <v>1085764</v>
      </c>
    </row>
    <row r="1046">
      <c r="A1046" t="n">
        <v>1777851902</v>
      </c>
      <c r="B1046" t="inlineStr">
        <is>
          <t>XAUUSD</t>
        </is>
      </c>
      <c r="C1046" t="inlineStr">
        <is>
          <t>M15</t>
        </is>
      </c>
      <c r="D1046" t="n">
        <v>4613.86</v>
      </c>
      <c r="E1046" t="n">
        <v>4518.59282</v>
      </c>
      <c r="F1046" t="n">
        <v>4596.05595</v>
      </c>
      <c r="G1046" t="n">
        <v>4755.40355</v>
      </c>
      <c r="H1046" t="n">
        <v>4792.76972</v>
      </c>
      <c r="Q1046" t="n">
        <v>4538.25906</v>
      </c>
      <c r="R1046" t="n">
        <v>4567.62236</v>
      </c>
      <c r="S1046" t="n">
        <v>4594.21113</v>
      </c>
      <c r="V1046" t="n">
        <v>4503.31929</v>
      </c>
      <c r="W1046" t="n">
        <v>4469.7543</v>
      </c>
      <c r="AB1046" t="n">
        <v>4613.10995</v>
      </c>
      <c r="AC1046" t="n">
        <v>4615.15618</v>
      </c>
      <c r="AD1046" t="n">
        <v>0</v>
      </c>
      <c r="AK1046" t="n">
        <v>1044</v>
      </c>
      <c r="AL1046" t="n">
        <v>1043</v>
      </c>
      <c r="AM1046" t="n">
        <v>4613.86</v>
      </c>
      <c r="AN1046" t="n">
        <v>4538.2591</v>
      </c>
      <c r="AO1046" t="n">
        <v>75.6009</v>
      </c>
      <c r="AP1046" t="n">
        <v>5715.5021</v>
      </c>
      <c r="AQ1046" t="n">
        <v>9.940246999999999</v>
      </c>
      <c r="AR1046" t="n">
        <v>21.372872</v>
      </c>
      <c r="AY1046" t="n">
        <v>1044</v>
      </c>
      <c r="AZ1046" t="n">
        <v>1043</v>
      </c>
      <c r="BA1046" t="n">
        <v>4613.86</v>
      </c>
      <c r="BB1046" t="n">
        <v>4538.2591</v>
      </c>
      <c r="BC1046" t="n">
        <v>75.6009</v>
      </c>
      <c r="BD1046" t="n">
        <v>5715.5021</v>
      </c>
      <c r="BE1046" t="n">
        <v>1087849</v>
      </c>
    </row>
    <row r="1047">
      <c r="A1047" t="n">
        <v>1777852802</v>
      </c>
      <c r="B1047" t="inlineStr">
        <is>
          <t>XAUUSD</t>
        </is>
      </c>
      <c r="C1047" t="inlineStr">
        <is>
          <t>M15</t>
        </is>
      </c>
      <c r="D1047" t="n">
        <v>4612.3</v>
      </c>
      <c r="E1047" t="n">
        <v>4518.59282</v>
      </c>
      <c r="F1047" t="n">
        <v>4596.05595</v>
      </c>
      <c r="G1047" t="n">
        <v>4755.40355</v>
      </c>
      <c r="H1047" t="n">
        <v>4792.76972</v>
      </c>
      <c r="Q1047" t="n">
        <v>4537.99146</v>
      </c>
      <c r="R1047" t="n">
        <v>4567.35476</v>
      </c>
      <c r="S1047" t="n">
        <v>4593.94353</v>
      </c>
      <c r="V1047" t="n">
        <v>4503.05169</v>
      </c>
      <c r="W1047" t="n">
        <v>4469.48669</v>
      </c>
      <c r="AB1047" t="n">
        <v>4610.61196</v>
      </c>
      <c r="AC1047" t="n">
        <v>4612.88407</v>
      </c>
      <c r="AD1047" t="n">
        <v>0</v>
      </c>
      <c r="AK1047" t="n">
        <v>1045</v>
      </c>
      <c r="AL1047" t="n">
        <v>1044</v>
      </c>
      <c r="AM1047" t="n">
        <v>4612.3</v>
      </c>
      <c r="AN1047" t="n">
        <v>4537.9915</v>
      </c>
      <c r="AO1047" t="n">
        <v>74.3085</v>
      </c>
      <c r="AP1047" t="n">
        <v>5521.7591</v>
      </c>
      <c r="AQ1047" t="n">
        <v>9.439126</v>
      </c>
      <c r="AR1047" t="n">
        <v>19.948444</v>
      </c>
      <c r="AY1047" t="n">
        <v>1045</v>
      </c>
      <c r="AZ1047" t="n">
        <v>1044</v>
      </c>
      <c r="BA1047" t="n">
        <v>4612.3</v>
      </c>
      <c r="BB1047" t="n">
        <v>4537.9915</v>
      </c>
      <c r="BC1047" t="n">
        <v>74.3085</v>
      </c>
      <c r="BD1047" t="n">
        <v>5521.7591</v>
      </c>
      <c r="BE1047" t="n">
        <v>1089936</v>
      </c>
    </row>
    <row r="1048">
      <c r="A1048" t="n">
        <v>1777853702</v>
      </c>
      <c r="B1048" t="inlineStr">
        <is>
          <t>XAUUSD</t>
        </is>
      </c>
      <c r="C1048" t="inlineStr">
        <is>
          <t>M15</t>
        </is>
      </c>
      <c r="D1048" t="n">
        <v>4606.13</v>
      </c>
      <c r="E1048" t="n">
        <v>4518.59282</v>
      </c>
      <c r="F1048" t="n">
        <v>4596.05595</v>
      </c>
      <c r="G1048" t="n">
        <v>4755.40355</v>
      </c>
      <c r="H1048" t="n">
        <v>4792.76972</v>
      </c>
      <c r="Q1048" t="n">
        <v>4537.72385</v>
      </c>
      <c r="R1048" t="n">
        <v>4567.08715</v>
      </c>
      <c r="S1048" t="n">
        <v>4593.67592</v>
      </c>
      <c r="V1048" t="n">
        <v>4502.78408</v>
      </c>
      <c r="W1048" t="n">
        <v>4469.21909</v>
      </c>
      <c r="AB1048" t="n">
        <v>4608.26458</v>
      </c>
      <c r="AC1048" t="n">
        <v>4610.57432</v>
      </c>
      <c r="AD1048" t="n">
        <v>0</v>
      </c>
      <c r="AK1048" t="n">
        <v>1046</v>
      </c>
      <c r="AL1048" t="n">
        <v>1045</v>
      </c>
      <c r="AM1048" t="n">
        <v>4606.13</v>
      </c>
      <c r="AN1048" t="n">
        <v>4537.7239</v>
      </c>
      <c r="AO1048" t="n">
        <v>68.4061</v>
      </c>
      <c r="AP1048" t="n">
        <v>4679.4014</v>
      </c>
      <c r="AQ1048" t="n">
        <v>7.363784</v>
      </c>
      <c r="AR1048" t="n">
        <v>14.326322</v>
      </c>
      <c r="AY1048" t="n">
        <v>1046</v>
      </c>
      <c r="AZ1048" t="n">
        <v>1045</v>
      </c>
      <c r="BA1048" t="n">
        <v>4606.13</v>
      </c>
      <c r="BB1048" t="n">
        <v>4537.7239</v>
      </c>
      <c r="BC1048" t="n">
        <v>68.4061</v>
      </c>
      <c r="BD1048" t="n">
        <v>4679.4014</v>
      </c>
      <c r="BE1048" t="n">
        <v>1092025</v>
      </c>
    </row>
    <row r="1049">
      <c r="A1049" t="n">
        <v>1777854602</v>
      </c>
      <c r="B1049" t="inlineStr">
        <is>
          <t>XAUUSD</t>
        </is>
      </c>
      <c r="C1049" t="inlineStr">
        <is>
          <t>M15</t>
        </is>
      </c>
      <c r="D1049" t="n">
        <v>4605.86</v>
      </c>
      <c r="E1049" t="n">
        <v>4518.59282</v>
      </c>
      <c r="F1049" t="n">
        <v>4596.05595</v>
      </c>
      <c r="G1049" t="n">
        <v>4755.40355</v>
      </c>
      <c r="H1049" t="n">
        <v>4792.76972</v>
      </c>
      <c r="Q1049" t="n">
        <v>4537.45625</v>
      </c>
      <c r="R1049" t="n">
        <v>4566.81955</v>
      </c>
      <c r="S1049" t="n">
        <v>4593.40832</v>
      </c>
      <c r="V1049" t="n">
        <v>4502.51648</v>
      </c>
      <c r="W1049" t="n">
        <v>4468.95148</v>
      </c>
      <c r="AB1049" t="n">
        <v>4606.33898</v>
      </c>
      <c r="AC1049" t="n">
        <v>4608.45665</v>
      </c>
      <c r="AD1049" t="n">
        <v>0</v>
      </c>
      <c r="AK1049" t="n">
        <v>1047</v>
      </c>
      <c r="AL1049" t="n">
        <v>1046</v>
      </c>
      <c r="AM1049" t="n">
        <v>4605.86</v>
      </c>
      <c r="AN1049" t="n">
        <v>4537.4563</v>
      </c>
      <c r="AO1049" t="n">
        <v>68.4037</v>
      </c>
      <c r="AP1049" t="n">
        <v>4679.073</v>
      </c>
      <c r="AQ1049" t="n">
        <v>7.363009</v>
      </c>
      <c r="AR1049" t="n">
        <v>14.324312</v>
      </c>
      <c r="AY1049" t="n">
        <v>1047</v>
      </c>
      <c r="AZ1049" t="n">
        <v>1046</v>
      </c>
      <c r="BA1049" t="n">
        <v>4605.86</v>
      </c>
      <c r="BB1049" t="n">
        <v>4537.4563</v>
      </c>
      <c r="BC1049" t="n">
        <v>68.4037</v>
      </c>
      <c r="BD1049" t="n">
        <v>4679.073</v>
      </c>
      <c r="BE1049" t="n">
        <v>1094116</v>
      </c>
    </row>
    <row r="1050">
      <c r="A1050" t="n">
        <v>1777855502</v>
      </c>
      <c r="B1050" t="inlineStr">
        <is>
          <t>XAUUSD</t>
        </is>
      </c>
      <c r="C1050" t="inlineStr">
        <is>
          <t>M15</t>
        </is>
      </c>
      <c r="D1050" t="n">
        <v>4613.01</v>
      </c>
      <c r="E1050" t="n">
        <v>4518.59282</v>
      </c>
      <c r="F1050" t="n">
        <v>4596.05595</v>
      </c>
      <c r="G1050" t="n">
        <v>4755.40355</v>
      </c>
      <c r="H1050" t="n">
        <v>4792.76972</v>
      </c>
      <c r="Q1050" t="n">
        <v>4537.18865</v>
      </c>
      <c r="R1050" t="n">
        <v>4566.55194</v>
      </c>
      <c r="S1050" t="n">
        <v>4593.14072</v>
      </c>
      <c r="V1050" t="n">
        <v>4502.24888</v>
      </c>
      <c r="W1050" t="n">
        <v>4468.68388</v>
      </c>
      <c r="AB1050" t="n">
        <v>4604.85083</v>
      </c>
      <c r="AC1050" t="n">
        <v>4606.65374</v>
      </c>
      <c r="AD1050" t="n">
        <v>0</v>
      </c>
      <c r="AK1050" t="n">
        <v>1048</v>
      </c>
      <c r="AL1050" t="n">
        <v>1047</v>
      </c>
      <c r="AM1050" t="n">
        <v>4613.01</v>
      </c>
      <c r="AN1050" t="n">
        <v>4537.1887</v>
      </c>
      <c r="AO1050" t="n">
        <v>75.8214</v>
      </c>
      <c r="AP1050" t="n">
        <v>5748.8771</v>
      </c>
      <c r="AQ1050" t="n">
        <v>10.027441</v>
      </c>
      <c r="AR1050" t="n">
        <v>21.62321</v>
      </c>
      <c r="AY1050" t="n">
        <v>1048</v>
      </c>
      <c r="AZ1050" t="n">
        <v>1047</v>
      </c>
      <c r="BA1050" t="n">
        <v>4613.01</v>
      </c>
      <c r="BB1050" t="n">
        <v>4537.1887</v>
      </c>
      <c r="BC1050" t="n">
        <v>75.8214</v>
      </c>
      <c r="BD1050" t="n">
        <v>5748.8771</v>
      </c>
      <c r="BE1050" t="n">
        <v>1096209</v>
      </c>
    </row>
    <row r="1051">
      <c r="A1051" t="n">
        <v>1777856402</v>
      </c>
      <c r="B1051" t="inlineStr">
        <is>
          <t>XAUUSD</t>
        </is>
      </c>
      <c r="C1051" t="inlineStr">
        <is>
          <t>M15</t>
        </is>
      </c>
      <c r="D1051" t="n">
        <v>4600.58</v>
      </c>
      <c r="E1051" t="n">
        <v>4518.59282</v>
      </c>
      <c r="F1051" t="n">
        <v>4596.05595</v>
      </c>
      <c r="G1051" t="n">
        <v>4755.40355</v>
      </c>
      <c r="H1051" t="n">
        <v>4792.76972</v>
      </c>
      <c r="Q1051" t="n">
        <v>4536.92104</v>
      </c>
      <c r="R1051" t="n">
        <v>4566.28434</v>
      </c>
      <c r="S1051" t="n">
        <v>4592.87311</v>
      </c>
      <c r="V1051" t="n">
        <v>4501.98127</v>
      </c>
      <c r="W1051" t="n">
        <v>4468.41628</v>
      </c>
      <c r="AB1051" t="n">
        <v>4603.58268</v>
      </c>
      <c r="AC1051" t="n">
        <v>4605.11821</v>
      </c>
      <c r="AD1051" t="n">
        <v>0</v>
      </c>
      <c r="AK1051" t="n">
        <v>1049</v>
      </c>
      <c r="AL1051" t="n">
        <v>1048</v>
      </c>
      <c r="AM1051" t="n">
        <v>4600.58</v>
      </c>
      <c r="AN1051" t="n">
        <v>4536.921</v>
      </c>
      <c r="AO1051" t="n">
        <v>63.659</v>
      </c>
      <c r="AP1051" t="n">
        <v>4052.4632</v>
      </c>
      <c r="AQ1051" t="n">
        <v>5.934638</v>
      </c>
      <c r="AR1051" t="n">
        <v>10.74465</v>
      </c>
      <c r="AY1051" t="n">
        <v>1049</v>
      </c>
      <c r="AZ1051" t="n">
        <v>1048</v>
      </c>
      <c r="BA1051" t="n">
        <v>4600.58</v>
      </c>
      <c r="BB1051" t="n">
        <v>4536.921</v>
      </c>
      <c r="BC1051" t="n">
        <v>63.659</v>
      </c>
      <c r="BD1051" t="n">
        <v>4052.4632</v>
      </c>
      <c r="BE1051" t="n">
        <v>1098304</v>
      </c>
    </row>
    <row r="1052">
      <c r="A1052" t="n">
        <v>1777857302</v>
      </c>
      <c r="B1052" t="inlineStr">
        <is>
          <t>XAUUSD</t>
        </is>
      </c>
      <c r="C1052" t="inlineStr">
        <is>
          <t>M15</t>
        </is>
      </c>
      <c r="D1052" t="n">
        <v>4594.65</v>
      </c>
      <c r="E1052" t="n">
        <v>4518.59282</v>
      </c>
      <c r="F1052" t="n">
        <v>4596.05595</v>
      </c>
      <c r="G1052" t="n">
        <v>4755.40355</v>
      </c>
      <c r="H1052" t="n">
        <v>4792.76972</v>
      </c>
      <c r="Q1052" t="n">
        <v>4536.65344</v>
      </c>
      <c r="R1052" t="n">
        <v>4566.01674</v>
      </c>
      <c r="S1052" t="n">
        <v>4592.60551</v>
      </c>
      <c r="V1052" t="n">
        <v>4501.71367</v>
      </c>
      <c r="W1052" t="n">
        <v>4468.14867</v>
      </c>
      <c r="AB1052" t="n">
        <v>4602.82428</v>
      </c>
      <c r="AC1052" t="n">
        <v>4603.97125</v>
      </c>
      <c r="AD1052" t="n">
        <v>0</v>
      </c>
      <c r="AK1052" t="n">
        <v>1050</v>
      </c>
      <c r="AL1052" t="n">
        <v>1049</v>
      </c>
      <c r="AM1052" t="n">
        <v>4594.65</v>
      </c>
      <c r="AN1052" t="n">
        <v>4536.6534</v>
      </c>
      <c r="AO1052" t="n">
        <v>57.9966</v>
      </c>
      <c r="AP1052" t="n">
        <v>3363.601</v>
      </c>
      <c r="AQ1052" t="n">
        <v>4.487684</v>
      </c>
      <c r="AR1052" t="n">
        <v>7.402238</v>
      </c>
      <c r="AY1052" t="n">
        <v>1050</v>
      </c>
      <c r="AZ1052" t="n">
        <v>1049</v>
      </c>
      <c r="BA1052" t="n">
        <v>4594.65</v>
      </c>
      <c r="BB1052" t="n">
        <v>4536.6534</v>
      </c>
      <c r="BC1052" t="n">
        <v>57.9966</v>
      </c>
      <c r="BD1052" t="n">
        <v>3363.601</v>
      </c>
      <c r="BE1052" t="n">
        <v>1100401</v>
      </c>
    </row>
    <row r="1053">
      <c r="A1053" t="n">
        <v>1777858202</v>
      </c>
      <c r="B1053" t="inlineStr">
        <is>
          <t>XAUUSD</t>
        </is>
      </c>
      <c r="C1053" t="inlineStr">
        <is>
          <t>M15</t>
        </is>
      </c>
      <c r="D1053" t="n">
        <v>4601.59</v>
      </c>
      <c r="E1053" t="n">
        <v>4518.59282</v>
      </c>
      <c r="F1053" t="n">
        <v>4596.05595</v>
      </c>
      <c r="G1053" t="n">
        <v>4755.40355</v>
      </c>
      <c r="H1053" t="n">
        <v>4792.76972</v>
      </c>
      <c r="Q1053" t="n">
        <v>4536.38583</v>
      </c>
      <c r="R1053" t="n">
        <v>4565.74913</v>
      </c>
      <c r="S1053" t="n">
        <v>4592.3379</v>
      </c>
      <c r="V1053" t="n">
        <v>4501.44606</v>
      </c>
      <c r="W1053" t="n">
        <v>4467.88107</v>
      </c>
      <c r="AB1053" t="n">
        <v>4602.68068</v>
      </c>
      <c r="AC1053" t="n">
        <v>4603.32596</v>
      </c>
      <c r="AD1053" t="n">
        <v>0</v>
      </c>
      <c r="AK1053" t="n">
        <v>1051</v>
      </c>
      <c r="AL1053" t="n">
        <v>1050</v>
      </c>
      <c r="AM1053" t="n">
        <v>4601.59</v>
      </c>
      <c r="AN1053" t="n">
        <v>4536.3858</v>
      </c>
      <c r="AO1053" t="n">
        <v>65.2042</v>
      </c>
      <c r="AP1053" t="n">
        <v>4251.5838</v>
      </c>
      <c r="AQ1053" t="n">
        <v>6.377371</v>
      </c>
      <c r="AR1053" t="n">
        <v>11.826483</v>
      </c>
      <c r="AY1053" t="n">
        <v>1051</v>
      </c>
      <c r="AZ1053" t="n">
        <v>1050</v>
      </c>
      <c r="BA1053" t="n">
        <v>4601.59</v>
      </c>
      <c r="BB1053" t="n">
        <v>4536.3858</v>
      </c>
      <c r="BC1053" t="n">
        <v>65.2042</v>
      </c>
      <c r="BD1053" t="n">
        <v>4251.5838</v>
      </c>
      <c r="BE1053" t="n">
        <v>1102500</v>
      </c>
    </row>
    <row r="1054">
      <c r="A1054" t="n">
        <v>1777859102</v>
      </c>
      <c r="B1054" t="inlineStr">
        <is>
          <t>XAUUSD</t>
        </is>
      </c>
      <c r="C1054" t="inlineStr">
        <is>
          <t>M15</t>
        </is>
      </c>
      <c r="D1054" t="n">
        <v>4613.14</v>
      </c>
      <c r="E1054" t="n">
        <v>4518.59282</v>
      </c>
      <c r="F1054" t="n">
        <v>4596.05595</v>
      </c>
      <c r="G1054" t="n">
        <v>4755.40355</v>
      </c>
      <c r="H1054" t="n">
        <v>4792.76972</v>
      </c>
      <c r="Q1054" t="n">
        <v>4536.11823</v>
      </c>
      <c r="R1054" t="n">
        <v>4565.48153</v>
      </c>
      <c r="S1054" t="n">
        <v>4592.0703</v>
      </c>
      <c r="V1054" t="n">
        <v>4501.17846</v>
      </c>
      <c r="W1054" t="n">
        <v>4467.61346</v>
      </c>
      <c r="AB1054" t="n">
        <v>4602.87373</v>
      </c>
      <c r="AC1054" t="n">
        <v>4603.09985</v>
      </c>
      <c r="AD1054" t="n">
        <v>0</v>
      </c>
      <c r="AK1054" t="n">
        <v>1052</v>
      </c>
      <c r="AL1054" t="n">
        <v>1051</v>
      </c>
      <c r="AM1054" t="n">
        <v>4613.14</v>
      </c>
      <c r="AN1054" t="n">
        <v>4536.1182</v>
      </c>
      <c r="AO1054" t="n">
        <v>77.0218</v>
      </c>
      <c r="AP1054" t="n">
        <v>5932.3531</v>
      </c>
      <c r="AQ1054" t="n">
        <v>10.511291</v>
      </c>
      <c r="AR1054" t="n">
        <v>23.025448</v>
      </c>
      <c r="AY1054" t="n">
        <v>1052</v>
      </c>
      <c r="AZ1054" t="n">
        <v>1051</v>
      </c>
      <c r="BA1054" t="n">
        <v>4613.14</v>
      </c>
      <c r="BB1054" t="n">
        <v>4536.1182</v>
      </c>
      <c r="BC1054" t="n">
        <v>77.0218</v>
      </c>
      <c r="BD1054" t="n">
        <v>5932.3531</v>
      </c>
      <c r="BE1054" t="n">
        <v>1104601</v>
      </c>
    </row>
    <row r="1055">
      <c r="A1055" t="n">
        <v>1777860002</v>
      </c>
      <c r="B1055" t="inlineStr">
        <is>
          <t>XAUUSD</t>
        </is>
      </c>
      <c r="C1055" t="inlineStr">
        <is>
          <t>M15</t>
        </is>
      </c>
      <c r="D1055" t="n">
        <v>4608.34</v>
      </c>
      <c r="E1055" t="n">
        <v>4518.59282</v>
      </c>
      <c r="F1055" t="n">
        <v>4596.05595</v>
      </c>
      <c r="G1055" t="n">
        <v>4755.40355</v>
      </c>
      <c r="H1055" t="n">
        <v>4792.76972</v>
      </c>
      <c r="Q1055" t="n">
        <v>4535.85063</v>
      </c>
      <c r="R1055" t="n">
        <v>4565.21392</v>
      </c>
      <c r="S1055" t="n">
        <v>4591.8027</v>
      </c>
      <c r="V1055" t="n">
        <v>4500.91086</v>
      </c>
      <c r="W1055" t="n">
        <v>4467.34586</v>
      </c>
      <c r="AB1055" t="n">
        <v>4603.07433</v>
      </c>
      <c r="AC1055" t="n">
        <v>4603.08709</v>
      </c>
      <c r="AD1055" t="n">
        <v>0</v>
      </c>
      <c r="AK1055" t="n">
        <v>1053</v>
      </c>
      <c r="AL1055" t="n">
        <v>1052</v>
      </c>
      <c r="AM1055" t="n">
        <v>4608.34</v>
      </c>
      <c r="AN1055" t="n">
        <v>4535.8506</v>
      </c>
      <c r="AO1055" t="n">
        <v>72.4894</v>
      </c>
      <c r="AP1055" t="n">
        <v>5254.7088</v>
      </c>
      <c r="AQ1055" t="n">
        <v>8.762712000000001</v>
      </c>
      <c r="AR1055" t="n">
        <v>18.065559</v>
      </c>
      <c r="AY1055" t="n">
        <v>1053</v>
      </c>
      <c r="AZ1055" t="n">
        <v>1052</v>
      </c>
      <c r="BA1055" t="n">
        <v>4608.34</v>
      </c>
      <c r="BB1055" t="n">
        <v>4535.8506</v>
      </c>
      <c r="BC1055" t="n">
        <v>72.4894</v>
      </c>
      <c r="BD1055" t="n">
        <v>5254.7088</v>
      </c>
      <c r="BE1055" t="n">
        <v>1106704</v>
      </c>
    </row>
    <row r="1056">
      <c r="A1056" t="n">
        <v>1777860902</v>
      </c>
      <c r="B1056" t="inlineStr">
        <is>
          <t>XAUUSD</t>
        </is>
      </c>
      <c r="C1056" t="inlineStr">
        <is>
          <t>M15</t>
        </is>
      </c>
      <c r="D1056" t="n">
        <v>4593.09</v>
      </c>
      <c r="E1056" t="n">
        <v>4518.59282</v>
      </c>
      <c r="F1056" t="n">
        <v>4596.05595</v>
      </c>
      <c r="G1056" t="n">
        <v>4755.40355</v>
      </c>
      <c r="H1056" t="n">
        <v>4792.76972</v>
      </c>
      <c r="Q1056" t="n">
        <v>4535.58302</v>
      </c>
      <c r="R1056" t="n">
        <v>4564.94632</v>
      </c>
      <c r="S1056" t="n">
        <v>4591.53509</v>
      </c>
      <c r="V1056" t="n">
        <v>4500.64325</v>
      </c>
      <c r="W1056" t="n">
        <v>4467.07825</v>
      </c>
      <c r="AB1056" t="n">
        <v>4603.46313</v>
      </c>
      <c r="AC1056" t="n">
        <v>4603.27511</v>
      </c>
      <c r="AD1056" t="n">
        <v>1</v>
      </c>
      <c r="AK1056" t="n">
        <v>1054</v>
      </c>
      <c r="AL1056" t="n">
        <v>1053</v>
      </c>
      <c r="AM1056" t="n">
        <v>4593.09</v>
      </c>
      <c r="AN1056" t="n">
        <v>4535.583</v>
      </c>
      <c r="AO1056" t="n">
        <v>57.507</v>
      </c>
      <c r="AP1056" t="n">
        <v>3307.0527</v>
      </c>
      <c r="AQ1056" t="n">
        <v>4.374992</v>
      </c>
      <c r="AR1056" t="n">
        <v>7.15544</v>
      </c>
      <c r="AY1056" t="n">
        <v>1054</v>
      </c>
      <c r="AZ1056" t="n">
        <v>1053</v>
      </c>
      <c r="BA1056" t="n">
        <v>4593.09</v>
      </c>
      <c r="BB1056" t="n">
        <v>4535.583</v>
      </c>
      <c r="BC1056" t="n">
        <v>57.507</v>
      </c>
      <c r="BD1056" t="n">
        <v>3307.0527</v>
      </c>
      <c r="BE1056" t="n">
        <v>1108809</v>
      </c>
    </row>
    <row r="1057">
      <c r="A1057" t="n">
        <v>1777861802</v>
      </c>
      <c r="B1057" t="inlineStr">
        <is>
          <t>XAUUSD</t>
        </is>
      </c>
      <c r="C1057" t="inlineStr">
        <is>
          <t>M15</t>
        </is>
      </c>
      <c r="D1057" t="n">
        <v>4603.32</v>
      </c>
      <c r="E1057" t="n">
        <v>4518.59282</v>
      </c>
      <c r="F1057" t="n">
        <v>4596.05595</v>
      </c>
      <c r="G1057" t="n">
        <v>4755.40355</v>
      </c>
      <c r="H1057" t="n">
        <v>4792.76972</v>
      </c>
      <c r="Q1057" t="n">
        <v>4535.31542</v>
      </c>
      <c r="R1057" t="n">
        <v>4564.67872</v>
      </c>
      <c r="S1057" t="n">
        <v>4591.26749</v>
      </c>
      <c r="V1057" t="n">
        <v>4500.37565</v>
      </c>
      <c r="W1057" t="n">
        <v>4466.81065</v>
      </c>
      <c r="AB1057" t="n">
        <v>4604.51814</v>
      </c>
      <c r="AC1057" t="n">
        <v>4603.89663</v>
      </c>
      <c r="AD1057" t="n">
        <v>0</v>
      </c>
      <c r="AK1057" t="n">
        <v>1055</v>
      </c>
      <c r="AL1057" t="n">
        <v>1054</v>
      </c>
      <c r="AM1057" t="n">
        <v>4603.32</v>
      </c>
      <c r="AN1057" t="n">
        <v>4535.3154</v>
      </c>
      <c r="AO1057" t="n">
        <v>68.0046</v>
      </c>
      <c r="AP1057" t="n">
        <v>4624.6229</v>
      </c>
      <c r="AQ1057" t="n">
        <v>7.234859</v>
      </c>
      <c r="AR1057" t="n">
        <v>13.992869</v>
      </c>
      <c r="AY1057" t="n">
        <v>1055</v>
      </c>
      <c r="AZ1057" t="n">
        <v>1054</v>
      </c>
      <c r="BA1057" t="n">
        <v>4603.32</v>
      </c>
      <c r="BB1057" t="n">
        <v>4535.3154</v>
      </c>
      <c r="BC1057" t="n">
        <v>68.0046</v>
      </c>
      <c r="BD1057" t="n">
        <v>4624.6229</v>
      </c>
      <c r="BE1057" t="n">
        <v>1110916</v>
      </c>
    </row>
    <row r="1058">
      <c r="A1058" t="n">
        <v>1777862702</v>
      </c>
      <c r="B1058" t="inlineStr">
        <is>
          <t>XAUUSD</t>
        </is>
      </c>
      <c r="C1058" t="inlineStr">
        <is>
          <t>M15</t>
        </is>
      </c>
      <c r="D1058" t="n">
        <v>4605.77</v>
      </c>
      <c r="E1058" t="n">
        <v>4518.59282</v>
      </c>
      <c r="F1058" t="n">
        <v>4596.05595</v>
      </c>
      <c r="G1058" t="n">
        <v>4755.40355</v>
      </c>
      <c r="H1058" t="n">
        <v>4792.76972</v>
      </c>
      <c r="Q1058" t="n">
        <v>4535.04781</v>
      </c>
      <c r="R1058" t="n">
        <v>4564.41111</v>
      </c>
      <c r="S1058" t="n">
        <v>4590.99988</v>
      </c>
      <c r="V1058" t="n">
        <v>4500.10804</v>
      </c>
      <c r="W1058" t="n">
        <v>4466.54305</v>
      </c>
      <c r="AB1058" t="n">
        <v>4605.99584</v>
      </c>
      <c r="AC1058" t="n">
        <v>4604.94624</v>
      </c>
      <c r="AD1058" t="n">
        <v>0</v>
      </c>
      <c r="AK1058" t="n">
        <v>1056</v>
      </c>
      <c r="AL1058" t="n">
        <v>1055</v>
      </c>
      <c r="AM1058" t="n">
        <v>4605.77</v>
      </c>
      <c r="AN1058" t="n">
        <v>4535.0478</v>
      </c>
      <c r="AO1058" t="n">
        <v>70.7222</v>
      </c>
      <c r="AP1058" t="n">
        <v>5001.6282</v>
      </c>
      <c r="AQ1058" t="n">
        <v>8.137344000000001</v>
      </c>
      <c r="AR1058" t="n">
        <v>16.367295</v>
      </c>
      <c r="AY1058" t="n">
        <v>1056</v>
      </c>
      <c r="AZ1058" t="n">
        <v>1055</v>
      </c>
      <c r="BA1058" t="n">
        <v>4605.77</v>
      </c>
      <c r="BB1058" t="n">
        <v>4535.0478</v>
      </c>
      <c r="BC1058" t="n">
        <v>70.7222</v>
      </c>
      <c r="BD1058" t="n">
        <v>5001.6282</v>
      </c>
      <c r="BE1058" t="n">
        <v>1113025</v>
      </c>
    </row>
    <row r="1059">
      <c r="A1059" t="n">
        <v>1777863602</v>
      </c>
      <c r="B1059" t="inlineStr">
        <is>
          <t>XAUUSD</t>
        </is>
      </c>
      <c r="C1059" t="inlineStr">
        <is>
          <t>M15</t>
        </is>
      </c>
      <c r="D1059" t="n">
        <v>4610.07</v>
      </c>
      <c r="E1059" t="n">
        <v>4518.59282</v>
      </c>
      <c r="F1059" t="n">
        <v>4596.05595</v>
      </c>
      <c r="G1059" t="n">
        <v>4755.40355</v>
      </c>
      <c r="H1059" t="n">
        <v>4792.76972</v>
      </c>
      <c r="Q1059" t="n">
        <v>4534.78021</v>
      </c>
      <c r="R1059" t="n">
        <v>4564.14351</v>
      </c>
      <c r="S1059" t="n">
        <v>4590.73228</v>
      </c>
      <c r="V1059" t="n">
        <v>4499.84044</v>
      </c>
      <c r="W1059" t="n">
        <v>4466.27544</v>
      </c>
      <c r="AB1059" t="n">
        <v>4607.64179</v>
      </c>
      <c r="AC1059" t="n">
        <v>4606.29401</v>
      </c>
      <c r="AD1059" t="n">
        <v>0</v>
      </c>
      <c r="AK1059" t="n">
        <v>1057</v>
      </c>
      <c r="AL1059" t="n">
        <v>1056</v>
      </c>
      <c r="AM1059" t="n">
        <v>4610.07</v>
      </c>
      <c r="AN1059" t="n">
        <v>4534.7802</v>
      </c>
      <c r="AO1059" t="n">
        <v>75.2898</v>
      </c>
      <c r="AP1059" t="n">
        <v>5668.5525</v>
      </c>
      <c r="AQ1059" t="n">
        <v>9.818018</v>
      </c>
      <c r="AR1059" t="n">
        <v>21.023182</v>
      </c>
      <c r="AY1059" t="n">
        <v>1057</v>
      </c>
      <c r="AZ1059" t="n">
        <v>1056</v>
      </c>
      <c r="BA1059" t="n">
        <v>4610.07</v>
      </c>
      <c r="BB1059" t="n">
        <v>4534.7802</v>
      </c>
      <c r="BC1059" t="n">
        <v>75.2898</v>
      </c>
      <c r="BD1059" t="n">
        <v>5668.5525</v>
      </c>
      <c r="BE1059" t="n">
        <v>1115136</v>
      </c>
    </row>
    <row r="1060">
      <c r="A1060" t="n">
        <v>1777864502</v>
      </c>
      <c r="B1060" t="inlineStr">
        <is>
          <t>XAUUSD</t>
        </is>
      </c>
      <c r="C1060" t="inlineStr">
        <is>
          <t>M15</t>
        </is>
      </c>
      <c r="D1060" t="n">
        <v>4610.27</v>
      </c>
      <c r="E1060" t="n">
        <v>4518.59282</v>
      </c>
      <c r="F1060" t="n">
        <v>4596.05595</v>
      </c>
      <c r="G1060" t="n">
        <v>4755.40355</v>
      </c>
      <c r="H1060" t="n">
        <v>4792.76972</v>
      </c>
      <c r="Q1060" t="n">
        <v>4534.5126</v>
      </c>
      <c r="R1060" t="n">
        <v>4563.8759</v>
      </c>
      <c r="S1060" t="n">
        <v>4590.46467</v>
      </c>
      <c r="V1060" t="n">
        <v>4499.57283</v>
      </c>
      <c r="W1060" t="n">
        <v>4466.00784</v>
      </c>
      <c r="AB1060" t="n">
        <v>4609.07942</v>
      </c>
      <c r="AC1060" t="n">
        <v>4607.68672</v>
      </c>
      <c r="AD1060" t="n">
        <v>0</v>
      </c>
      <c r="AK1060" t="n">
        <v>1058</v>
      </c>
      <c r="AL1060" t="n">
        <v>1057</v>
      </c>
      <c r="AM1060" t="n">
        <v>4610.27</v>
      </c>
      <c r="AN1060" t="n">
        <v>4534.5126</v>
      </c>
      <c r="AO1060" t="n">
        <v>75.7574</v>
      </c>
      <c r="AP1060" t="n">
        <v>5739.1837</v>
      </c>
      <c r="AQ1060" t="n">
        <v>10.00209</v>
      </c>
      <c r="AR1060" t="n">
        <v>21.550351</v>
      </c>
      <c r="AY1060" t="n">
        <v>1058</v>
      </c>
      <c r="AZ1060" t="n">
        <v>1057</v>
      </c>
      <c r="BA1060" t="n">
        <v>4610.27</v>
      </c>
      <c r="BB1060" t="n">
        <v>4534.5126</v>
      </c>
      <c r="BC1060" t="n">
        <v>75.7574</v>
      </c>
      <c r="BD1060" t="n">
        <v>5739.1837</v>
      </c>
      <c r="BE1060" t="n">
        <v>1117249</v>
      </c>
    </row>
    <row r="1061">
      <c r="A1061" t="n">
        <v>1777865402</v>
      </c>
      <c r="B1061" t="inlineStr">
        <is>
          <t>XAUUSD</t>
        </is>
      </c>
      <c r="C1061" t="inlineStr">
        <is>
          <t>M15</t>
        </is>
      </c>
      <c r="D1061" t="n">
        <v>4605.07</v>
      </c>
      <c r="E1061" t="n">
        <v>4518.59282</v>
      </c>
      <c r="F1061" t="n">
        <v>4596.05595</v>
      </c>
      <c r="G1061" t="n">
        <v>4755.40355</v>
      </c>
      <c r="H1061" t="n">
        <v>4792.76972</v>
      </c>
      <c r="Q1061" t="n">
        <v>4534.245</v>
      </c>
      <c r="R1061" t="n">
        <v>4563.6083</v>
      </c>
      <c r="S1061" t="n">
        <v>4590.19707</v>
      </c>
      <c r="V1061" t="n">
        <v>4499.30523</v>
      </c>
      <c r="W1061" t="n">
        <v>4465.74023</v>
      </c>
      <c r="AB1061" t="n">
        <v>4610.0652</v>
      </c>
      <c r="AC1061" t="n">
        <v>4608.87596</v>
      </c>
      <c r="AD1061" t="n">
        <v>0</v>
      </c>
      <c r="AK1061" t="n">
        <v>1059</v>
      </c>
      <c r="AL1061" t="n">
        <v>1058</v>
      </c>
      <c r="AM1061" t="n">
        <v>4605.07</v>
      </c>
      <c r="AN1061" t="n">
        <v>4534.245</v>
      </c>
      <c r="AO1061" t="n">
        <v>70.825</v>
      </c>
      <c r="AP1061" t="n">
        <v>5016.1806</v>
      </c>
      <c r="AQ1061" t="n">
        <v>8.172884</v>
      </c>
      <c r="AR1061" t="n">
        <v>16.462677</v>
      </c>
      <c r="AY1061" t="n">
        <v>1059</v>
      </c>
      <c r="AZ1061" t="n">
        <v>1058</v>
      </c>
      <c r="BA1061" t="n">
        <v>4605.07</v>
      </c>
      <c r="BB1061" t="n">
        <v>4534.245</v>
      </c>
      <c r="BC1061" t="n">
        <v>70.825</v>
      </c>
      <c r="BD1061" t="n">
        <v>5016.1806</v>
      </c>
      <c r="BE1061" t="n">
        <v>1119364</v>
      </c>
    </row>
    <row r="1062">
      <c r="A1062" t="n">
        <v>1777866302</v>
      </c>
      <c r="B1062" t="inlineStr">
        <is>
          <t>XAUUSD</t>
        </is>
      </c>
      <c r="C1062" t="inlineStr">
        <is>
          <t>M15</t>
        </is>
      </c>
      <c r="D1062" t="n">
        <v>4615.09</v>
      </c>
      <c r="E1062" t="n">
        <v>4518.59282</v>
      </c>
      <c r="F1062" t="n">
        <v>4596.05595</v>
      </c>
      <c r="G1062" t="n">
        <v>4755.40355</v>
      </c>
      <c r="H1062" t="n">
        <v>4792.76972</v>
      </c>
      <c r="Q1062" t="n">
        <v>4533.9774</v>
      </c>
      <c r="R1062" t="n">
        <v>4563.3407</v>
      </c>
      <c r="S1062" t="n">
        <v>4589.92947</v>
      </c>
      <c r="V1062" t="n">
        <v>4499.03763</v>
      </c>
      <c r="W1062" t="n">
        <v>4465.47263</v>
      </c>
      <c r="AB1062" t="n">
        <v>4610.55983</v>
      </c>
      <c r="AC1062" t="n">
        <v>4609.71789</v>
      </c>
      <c r="AD1062" t="n">
        <v>0</v>
      </c>
      <c r="AK1062" t="n">
        <v>1060</v>
      </c>
      <c r="AL1062" t="n">
        <v>1059</v>
      </c>
      <c r="AM1062" t="n">
        <v>4615.09</v>
      </c>
      <c r="AN1062" t="n">
        <v>4533.9774</v>
      </c>
      <c r="AO1062" t="n">
        <v>81.1126</v>
      </c>
      <c r="AP1062" t="n">
        <v>6579.2539</v>
      </c>
      <c r="AQ1062" t="n">
        <v>12.276669</v>
      </c>
      <c r="AR1062" t="n">
        <v>28.320923</v>
      </c>
      <c r="AY1062" t="n">
        <v>1060</v>
      </c>
      <c r="AZ1062" t="n">
        <v>1059</v>
      </c>
      <c r="BA1062" t="n">
        <v>4615.09</v>
      </c>
      <c r="BB1062" t="n">
        <v>4533.9774</v>
      </c>
      <c r="BC1062" t="n">
        <v>81.1126</v>
      </c>
      <c r="BD1062" t="n">
        <v>6579.2539</v>
      </c>
      <c r="BE1062" t="n">
        <v>1121481</v>
      </c>
    </row>
    <row r="1063">
      <c r="A1063" t="n">
        <v>1777867202</v>
      </c>
      <c r="B1063" t="inlineStr">
        <is>
          <t>XAUUSD</t>
        </is>
      </c>
      <c r="C1063" t="inlineStr">
        <is>
          <t>M15</t>
        </is>
      </c>
      <c r="D1063" t="n">
        <v>4611.19</v>
      </c>
      <c r="E1063" t="n">
        <v>4518.59282</v>
      </c>
      <c r="F1063" t="n">
        <v>4596.05595</v>
      </c>
      <c r="G1063" t="n">
        <v>4755.40355</v>
      </c>
      <c r="H1063" t="n">
        <v>4792.76972</v>
      </c>
      <c r="Q1063" t="n">
        <v>4533.70979</v>
      </c>
      <c r="R1063" t="n">
        <v>4563.07309</v>
      </c>
      <c r="S1063" t="n">
        <v>4589.66186</v>
      </c>
      <c r="V1063" t="n">
        <v>4498.77002</v>
      </c>
      <c r="W1063" t="n">
        <v>4465.20503</v>
      </c>
      <c r="AB1063" t="n">
        <v>4610.21073</v>
      </c>
      <c r="AC1063" t="n">
        <v>4609.96431</v>
      </c>
      <c r="AD1063" t="n">
        <v>0</v>
      </c>
      <c r="AK1063" t="n">
        <v>1061</v>
      </c>
      <c r="AL1063" t="n">
        <v>1060</v>
      </c>
      <c r="AM1063" t="n">
        <v>4611.19</v>
      </c>
      <c r="AN1063" t="n">
        <v>4533.7098</v>
      </c>
      <c r="AO1063" t="n">
        <v>77.4802</v>
      </c>
      <c r="AP1063" t="n">
        <v>6003.1829</v>
      </c>
      <c r="AQ1063" t="n">
        <v>10.700103</v>
      </c>
      <c r="AR1063" t="n">
        <v>23.57856</v>
      </c>
      <c r="AY1063" t="n">
        <v>1061</v>
      </c>
      <c r="AZ1063" t="n">
        <v>1060</v>
      </c>
      <c r="BA1063" t="n">
        <v>4611.19</v>
      </c>
      <c r="BB1063" t="n">
        <v>4533.7098</v>
      </c>
      <c r="BC1063" t="n">
        <v>77.4802</v>
      </c>
      <c r="BD1063" t="n">
        <v>6003.1829</v>
      </c>
      <c r="BE1063" t="n">
        <v>1123600</v>
      </c>
    </row>
    <row r="1064">
      <c r="A1064" t="n">
        <v>1777868102</v>
      </c>
      <c r="B1064" t="inlineStr">
        <is>
          <t>XAUUSD</t>
        </is>
      </c>
      <c r="C1064" t="inlineStr">
        <is>
          <t>M15</t>
        </is>
      </c>
      <c r="D1064" t="n">
        <v>4608.12</v>
      </c>
      <c r="E1064" t="n">
        <v>4518.59282</v>
      </c>
      <c r="F1064" t="n">
        <v>4596.05595</v>
      </c>
      <c r="G1064" t="n">
        <v>4755.40355</v>
      </c>
      <c r="H1064" t="n">
        <v>4792.76972</v>
      </c>
      <c r="Q1064" t="n">
        <v>4533.44219</v>
      </c>
      <c r="R1064" t="n">
        <v>4562.80549</v>
      </c>
      <c r="S1064" t="n">
        <v>4589.39426</v>
      </c>
      <c r="V1064" t="n">
        <v>4498.50242</v>
      </c>
      <c r="W1064" t="n">
        <v>4464.93742</v>
      </c>
      <c r="AB1064" t="n">
        <v>4609.17869</v>
      </c>
      <c r="AC1064" t="n">
        <v>4609.5715</v>
      </c>
      <c r="AD1064" t="n">
        <v>1</v>
      </c>
      <c r="AK1064" t="n">
        <v>1062</v>
      </c>
      <c r="AL1064" t="n">
        <v>1061</v>
      </c>
      <c r="AM1064" t="n">
        <v>4608.12</v>
      </c>
      <c r="AN1064" t="n">
        <v>4533.4422</v>
      </c>
      <c r="AO1064" t="n">
        <v>74.6778</v>
      </c>
      <c r="AP1064" t="n">
        <v>5576.7753</v>
      </c>
      <c r="AQ1064" t="n">
        <v>9.580546999999999</v>
      </c>
      <c r="AR1064" t="n">
        <v>20.347938</v>
      </c>
      <c r="AY1064" t="n">
        <v>1062</v>
      </c>
      <c r="AZ1064" t="n">
        <v>1061</v>
      </c>
      <c r="BA1064" t="n">
        <v>4608.12</v>
      </c>
      <c r="BB1064" t="n">
        <v>4533.4422</v>
      </c>
      <c r="BC1064" t="n">
        <v>74.6778</v>
      </c>
      <c r="BD1064" t="n">
        <v>5576.7753</v>
      </c>
      <c r="BE1064" t="n">
        <v>1125721</v>
      </c>
    </row>
    <row r="1065">
      <c r="A1065" t="n">
        <v>1777869002</v>
      </c>
      <c r="B1065" t="inlineStr">
        <is>
          <t>XAUUSD</t>
        </is>
      </c>
      <c r="C1065" t="inlineStr">
        <is>
          <t>M15</t>
        </is>
      </c>
      <c r="D1065" t="n">
        <v>4609.32</v>
      </c>
      <c r="E1065" t="n">
        <v>4518.59282</v>
      </c>
      <c r="F1065" t="n">
        <v>4596.05595</v>
      </c>
      <c r="G1065" t="n">
        <v>4755.40355</v>
      </c>
      <c r="H1065" t="n">
        <v>4792.76972</v>
      </c>
      <c r="Q1065" t="n">
        <v>4533.17458</v>
      </c>
      <c r="R1065" t="n">
        <v>4562.53788</v>
      </c>
      <c r="S1065" t="n">
        <v>4589.12665</v>
      </c>
      <c r="V1065" t="n">
        <v>4498.23481</v>
      </c>
      <c r="W1065" t="n">
        <v>4464.66982</v>
      </c>
      <c r="AB1065" t="n">
        <v>4607.63961</v>
      </c>
      <c r="AC1065" t="n">
        <v>4608.60555</v>
      </c>
      <c r="AD1065" t="n">
        <v>0</v>
      </c>
      <c r="AK1065" t="n">
        <v>1063</v>
      </c>
      <c r="AL1065" t="n">
        <v>1062</v>
      </c>
      <c r="AM1065" t="n">
        <v>4609.32</v>
      </c>
      <c r="AN1065" t="n">
        <v>4533.1746</v>
      </c>
      <c r="AO1065" t="n">
        <v>76.1454</v>
      </c>
      <c r="AP1065" t="n">
        <v>5798.125</v>
      </c>
      <c r="AQ1065" t="n">
        <v>10.156567</v>
      </c>
      <c r="AR1065" t="n">
        <v>21.995268</v>
      </c>
      <c r="AY1065" t="n">
        <v>1063</v>
      </c>
      <c r="AZ1065" t="n">
        <v>1062</v>
      </c>
      <c r="BA1065" t="n">
        <v>4609.32</v>
      </c>
      <c r="BB1065" t="n">
        <v>4533.1746</v>
      </c>
      <c r="BC1065" t="n">
        <v>76.1454</v>
      </c>
      <c r="BD1065" t="n">
        <v>5798.125</v>
      </c>
      <c r="BE1065" t="n">
        <v>1127844</v>
      </c>
    </row>
    <row r="1066">
      <c r="A1066" t="n">
        <v>1777869902</v>
      </c>
      <c r="B1066" t="inlineStr">
        <is>
          <t>XAUUSD</t>
        </is>
      </c>
      <c r="C1066" t="inlineStr">
        <is>
          <t>M15</t>
        </is>
      </c>
      <c r="D1066" t="n">
        <v>4606</v>
      </c>
      <c r="E1066" t="n">
        <v>4518.59282</v>
      </c>
      <c r="F1066" t="n">
        <v>4596.05595</v>
      </c>
      <c r="G1066" t="n">
        <v>4755.40355</v>
      </c>
      <c r="H1066" t="n">
        <v>4792.76972</v>
      </c>
      <c r="Q1066" t="n">
        <v>4532.90698</v>
      </c>
      <c r="R1066" t="n">
        <v>4562.27028</v>
      </c>
      <c r="S1066" t="n">
        <v>4588.85905</v>
      </c>
      <c r="V1066" t="n">
        <v>4497.96721</v>
      </c>
      <c r="W1066" t="n">
        <v>4464.40221</v>
      </c>
      <c r="AB1066" t="n">
        <v>4605.68574</v>
      </c>
      <c r="AC1066" t="n">
        <v>4607.14565</v>
      </c>
      <c r="AD1066" t="n">
        <v>0</v>
      </c>
      <c r="AK1066" t="n">
        <v>1064</v>
      </c>
      <c r="AL1066" t="n">
        <v>1063</v>
      </c>
      <c r="AM1066" t="n">
        <v>4606</v>
      </c>
      <c r="AN1066" t="n">
        <v>4532.907</v>
      </c>
      <c r="AO1066" t="n">
        <v>73.093</v>
      </c>
      <c r="AP1066" t="n">
        <v>5342.5896</v>
      </c>
      <c r="AQ1066" t="n">
        <v>8.983453000000001</v>
      </c>
      <c r="AR1066" t="n">
        <v>18.674876</v>
      </c>
      <c r="AY1066" t="n">
        <v>1064</v>
      </c>
      <c r="AZ1066" t="n">
        <v>1063</v>
      </c>
      <c r="BA1066" t="n">
        <v>4606</v>
      </c>
      <c r="BB1066" t="n">
        <v>4532.907</v>
      </c>
      <c r="BC1066" t="n">
        <v>73.093</v>
      </c>
      <c r="BD1066" t="n">
        <v>5342.5896</v>
      </c>
      <c r="BE1066" t="n">
        <v>1129969</v>
      </c>
    </row>
    <row r="1067">
      <c r="A1067" t="n">
        <v>1777870802</v>
      </c>
      <c r="B1067" t="inlineStr">
        <is>
          <t>XAUUSD</t>
        </is>
      </c>
      <c r="C1067" t="inlineStr">
        <is>
          <t>M15</t>
        </is>
      </c>
      <c r="D1067" t="n">
        <v>4603.74</v>
      </c>
      <c r="E1067" t="n">
        <v>4518.59282</v>
      </c>
      <c r="F1067" t="n">
        <v>4596.05595</v>
      </c>
      <c r="G1067" t="n">
        <v>4755.40355</v>
      </c>
      <c r="H1067" t="n">
        <v>4792.76972</v>
      </c>
      <c r="Q1067" t="n">
        <v>4532.63938</v>
      </c>
      <c r="R1067" t="n">
        <v>4562.00268</v>
      </c>
      <c r="S1067" t="n">
        <v>4588.59145</v>
      </c>
      <c r="V1067" t="n">
        <v>4497.69961</v>
      </c>
      <c r="W1067" t="n">
        <v>4464.13461</v>
      </c>
      <c r="AB1067" t="n">
        <v>4603.53031</v>
      </c>
      <c r="AC1067" t="n">
        <v>4605.33798</v>
      </c>
      <c r="AD1067" t="n">
        <v>0</v>
      </c>
      <c r="AK1067" t="n">
        <v>1065</v>
      </c>
      <c r="AL1067" t="n">
        <v>1064</v>
      </c>
      <c r="AM1067" t="n">
        <v>4603.74</v>
      </c>
      <c r="AN1067" t="n">
        <v>4532.6394</v>
      </c>
      <c r="AO1067" t="n">
        <v>71.1006</v>
      </c>
      <c r="AP1067" t="n">
        <v>5055.2982</v>
      </c>
      <c r="AQ1067" t="n">
        <v>8.268672</v>
      </c>
      <c r="AR1067" t="n">
        <v>16.720439</v>
      </c>
      <c r="AY1067" t="n">
        <v>1065</v>
      </c>
      <c r="AZ1067" t="n">
        <v>1064</v>
      </c>
      <c r="BA1067" t="n">
        <v>4603.74</v>
      </c>
      <c r="BB1067" t="n">
        <v>4532.6394</v>
      </c>
      <c r="BC1067" t="n">
        <v>71.1006</v>
      </c>
      <c r="BD1067" t="n">
        <v>5055.2982</v>
      </c>
      <c r="BE1067" t="n">
        <v>1132096</v>
      </c>
    </row>
    <row r="1068">
      <c r="A1068" t="n">
        <v>1777871702</v>
      </c>
      <c r="B1068" t="inlineStr">
        <is>
          <t>XAUUSD</t>
        </is>
      </c>
      <c r="C1068" t="inlineStr">
        <is>
          <t>M15</t>
        </is>
      </c>
      <c r="D1068" t="n">
        <v>4596.32</v>
      </c>
      <c r="E1068" t="n">
        <v>4518.59282</v>
      </c>
      <c r="F1068" t="n">
        <v>4596.05595</v>
      </c>
      <c r="G1068" t="n">
        <v>4755.40355</v>
      </c>
      <c r="H1068" t="n">
        <v>4792.76972</v>
      </c>
      <c r="Q1068" t="n">
        <v>4532.37177</v>
      </c>
      <c r="R1068" t="n">
        <v>4561.73507</v>
      </c>
      <c r="S1068" t="n">
        <v>4588.32384</v>
      </c>
      <c r="V1068" t="n">
        <v>4497.432</v>
      </c>
      <c r="W1068" t="n">
        <v>4463.86701</v>
      </c>
      <c r="AB1068" t="n">
        <v>4601.33061</v>
      </c>
      <c r="AC1068" t="n">
        <v>4603.33429</v>
      </c>
      <c r="AD1068" t="n">
        <v>0</v>
      </c>
      <c r="AK1068" t="n">
        <v>1066</v>
      </c>
      <c r="AL1068" t="n">
        <v>1065</v>
      </c>
      <c r="AM1068" t="n">
        <v>4596.32</v>
      </c>
      <c r="AN1068" t="n">
        <v>4532.3718</v>
      </c>
      <c r="AO1068" t="n">
        <v>63.9482</v>
      </c>
      <c r="AP1068" t="n">
        <v>4089.3761</v>
      </c>
      <c r="AQ1068" t="n">
        <v>6.015908</v>
      </c>
      <c r="AR1068" t="n">
        <v>10.941282</v>
      </c>
      <c r="AY1068" t="n">
        <v>1066</v>
      </c>
      <c r="AZ1068" t="n">
        <v>1065</v>
      </c>
      <c r="BA1068" t="n">
        <v>4596.32</v>
      </c>
      <c r="BB1068" t="n">
        <v>4532.3718</v>
      </c>
      <c r="BC1068" t="n">
        <v>63.9482</v>
      </c>
      <c r="BD1068" t="n">
        <v>4089.3761</v>
      </c>
      <c r="BE1068" t="n">
        <v>1134225</v>
      </c>
    </row>
    <row r="1069">
      <c r="A1069" t="n">
        <v>1777872602</v>
      </c>
      <c r="B1069" t="inlineStr">
        <is>
          <t>XAUUSD</t>
        </is>
      </c>
      <c r="C1069" t="inlineStr">
        <is>
          <t>M15</t>
        </is>
      </c>
      <c r="D1069" t="n">
        <v>4598.85</v>
      </c>
      <c r="E1069" t="n">
        <v>4518.59282</v>
      </c>
      <c r="F1069" t="n">
        <v>4596.05595</v>
      </c>
      <c r="G1069" t="n">
        <v>4755.40355</v>
      </c>
      <c r="H1069" t="n">
        <v>4792.76972</v>
      </c>
      <c r="Q1069" t="n">
        <v>4532.10417</v>
      </c>
      <c r="R1069" t="n">
        <v>4561.46747</v>
      </c>
      <c r="S1069" t="n">
        <v>4588.05624</v>
      </c>
      <c r="V1069" t="n">
        <v>4497.1644</v>
      </c>
      <c r="W1069" t="n">
        <v>4463.5994</v>
      </c>
      <c r="AB1069" t="n">
        <v>4599.31382</v>
      </c>
      <c r="AC1069" t="n">
        <v>4601.32406</v>
      </c>
      <c r="AD1069" t="n">
        <v>0</v>
      </c>
      <c r="AK1069" t="n">
        <v>1067</v>
      </c>
      <c r="AL1069" t="n">
        <v>1066</v>
      </c>
      <c r="AM1069" t="n">
        <v>4598.85</v>
      </c>
      <c r="AN1069" t="n">
        <v>4532.1042</v>
      </c>
      <c r="AO1069" t="n">
        <v>66.7458</v>
      </c>
      <c r="AP1069" t="n">
        <v>4455.0058</v>
      </c>
      <c r="AQ1069" t="n">
        <v>6.840502</v>
      </c>
      <c r="AR1069" t="n">
        <v>12.98526</v>
      </c>
      <c r="AY1069" t="n">
        <v>1067</v>
      </c>
      <c r="AZ1069" t="n">
        <v>1066</v>
      </c>
      <c r="BA1069" t="n">
        <v>4598.85</v>
      </c>
      <c r="BB1069" t="n">
        <v>4532.1042</v>
      </c>
      <c r="BC1069" t="n">
        <v>66.7458</v>
      </c>
      <c r="BD1069" t="n">
        <v>4455.0058</v>
      </c>
      <c r="BE1069" t="n">
        <v>1136356</v>
      </c>
    </row>
    <row r="1070">
      <c r="A1070" t="n">
        <v>1777873502</v>
      </c>
      <c r="B1070" t="inlineStr">
        <is>
          <t>XAUUSD</t>
        </is>
      </c>
      <c r="C1070" t="inlineStr">
        <is>
          <t>M15</t>
        </is>
      </c>
      <c r="D1070" t="n">
        <v>4599.12</v>
      </c>
      <c r="E1070" t="n">
        <v>4518.59282</v>
      </c>
      <c r="F1070" t="n">
        <v>4596.05595</v>
      </c>
      <c r="G1070" t="n">
        <v>4755.40355</v>
      </c>
      <c r="H1070" t="n">
        <v>4792.76972</v>
      </c>
      <c r="Q1070" t="n">
        <v>4531.83656</v>
      </c>
      <c r="R1070" t="n">
        <v>4561.19986</v>
      </c>
      <c r="S1070" t="n">
        <v>4587.78863</v>
      </c>
      <c r="V1070" t="n">
        <v>4496.89679</v>
      </c>
      <c r="W1070" t="n">
        <v>4463.3318</v>
      </c>
      <c r="AB1070" t="n">
        <v>4597.33706</v>
      </c>
      <c r="AC1070" t="n">
        <v>4599.33056</v>
      </c>
      <c r="AD1070" t="n">
        <v>0</v>
      </c>
      <c r="AK1070" t="n">
        <v>1068</v>
      </c>
      <c r="AL1070" t="n">
        <v>1067</v>
      </c>
      <c r="AM1070" t="n">
        <v>4599.12</v>
      </c>
      <c r="AN1070" t="n">
        <v>4531.8366</v>
      </c>
      <c r="AO1070" t="n">
        <v>67.2834</v>
      </c>
      <c r="AP1070" t="n">
        <v>4527.0613</v>
      </c>
      <c r="AQ1070" t="n">
        <v>7.00713</v>
      </c>
      <c r="AR1070" t="n">
        <v>13.408706</v>
      </c>
      <c r="AY1070" t="n">
        <v>1068</v>
      </c>
      <c r="AZ1070" t="n">
        <v>1067</v>
      </c>
      <c r="BA1070" t="n">
        <v>4599.12</v>
      </c>
      <c r="BB1070" t="n">
        <v>4531.8366</v>
      </c>
      <c r="BC1070" t="n">
        <v>67.2834</v>
      </c>
      <c r="BD1070" t="n">
        <v>4527.0613</v>
      </c>
      <c r="BE1070" t="n">
        <v>1138489</v>
      </c>
    </row>
    <row r="1071">
      <c r="A1071" t="n">
        <v>1777874402</v>
      </c>
      <c r="B1071" t="inlineStr">
        <is>
          <t>XAUUSD</t>
        </is>
      </c>
      <c r="C1071" t="inlineStr">
        <is>
          <t>M15</t>
        </is>
      </c>
      <c r="D1071" t="n">
        <v>4597.44</v>
      </c>
      <c r="E1071" t="n">
        <v>4518.59282</v>
      </c>
      <c r="F1071" t="n">
        <v>4596.05595</v>
      </c>
      <c r="G1071" t="n">
        <v>4755.40355</v>
      </c>
      <c r="H1071" t="n">
        <v>4792.76972</v>
      </c>
      <c r="Q1071" t="n">
        <v>4531.56896</v>
      </c>
      <c r="R1071" t="n">
        <v>4560.93226</v>
      </c>
      <c r="S1071" t="n">
        <v>4587.52103</v>
      </c>
      <c r="V1071" t="n">
        <v>4496.62919</v>
      </c>
      <c r="W1071" t="n">
        <v>4463.06419</v>
      </c>
      <c r="AB1071" t="n">
        <v>4595.29208</v>
      </c>
      <c r="AC1071" t="n">
        <v>4597.31132</v>
      </c>
      <c r="AD1071" t="n">
        <v>0</v>
      </c>
      <c r="AK1071" t="n">
        <v>1069</v>
      </c>
      <c r="AL1071" t="n">
        <v>1068</v>
      </c>
      <c r="AM1071" t="n">
        <v>4597.44</v>
      </c>
      <c r="AN1071" t="n">
        <v>4531.569</v>
      </c>
      <c r="AO1071" t="n">
        <v>65.871</v>
      </c>
      <c r="AP1071" t="n">
        <v>4338.9939</v>
      </c>
      <c r="AQ1071" t="n">
        <v>6.575051</v>
      </c>
      <c r="AR1071" t="n">
        <v>12.317773</v>
      </c>
      <c r="AY1071" t="n">
        <v>1069</v>
      </c>
      <c r="AZ1071" t="n">
        <v>1068</v>
      </c>
      <c r="BA1071" t="n">
        <v>4597.44</v>
      </c>
      <c r="BB1071" t="n">
        <v>4531.569</v>
      </c>
      <c r="BC1071" t="n">
        <v>65.871</v>
      </c>
      <c r="BD1071" t="n">
        <v>4338.9939</v>
      </c>
      <c r="BE1071" t="n">
        <v>1140624</v>
      </c>
    </row>
    <row r="1072">
      <c r="A1072" t="n">
        <v>1777875302</v>
      </c>
      <c r="B1072" t="inlineStr">
        <is>
          <t>XAUUSD</t>
        </is>
      </c>
      <c r="C1072" t="inlineStr">
        <is>
          <t>M15</t>
        </is>
      </c>
      <c r="D1072" t="n">
        <v>4594.08</v>
      </c>
      <c r="E1072" t="n">
        <v>4518.59282</v>
      </c>
      <c r="F1072" t="n">
        <v>4596.05595</v>
      </c>
      <c r="G1072" t="n">
        <v>4755.40355</v>
      </c>
      <c r="H1072" t="n">
        <v>4792.76972</v>
      </c>
      <c r="Q1072" t="n">
        <v>4531.30136</v>
      </c>
      <c r="R1072" t="n">
        <v>4560.66465</v>
      </c>
      <c r="S1072" t="n">
        <v>4587.25343</v>
      </c>
      <c r="V1072" t="n">
        <v>4496.36159</v>
      </c>
      <c r="W1072" t="n">
        <v>4462.79659</v>
      </c>
      <c r="AB1072" t="n">
        <v>4593.10538</v>
      </c>
      <c r="AC1072" t="n">
        <v>4595.20835</v>
      </c>
      <c r="AD1072" t="n">
        <v>0</v>
      </c>
      <c r="AK1072" t="n">
        <v>1070</v>
      </c>
      <c r="AL1072" t="n">
        <v>1069</v>
      </c>
      <c r="AM1072" t="n">
        <v>4594.08</v>
      </c>
      <c r="AN1072" t="n">
        <v>4531.3014</v>
      </c>
      <c r="AO1072" t="n">
        <v>62.7786</v>
      </c>
      <c r="AP1072" t="n">
        <v>3941.1576</v>
      </c>
      <c r="AQ1072" t="n">
        <v>5.691822</v>
      </c>
      <c r="AR1072" t="n">
        <v>10.162527</v>
      </c>
      <c r="AY1072" t="n">
        <v>1070</v>
      </c>
      <c r="AZ1072" t="n">
        <v>1069</v>
      </c>
      <c r="BA1072" t="n">
        <v>4594.08</v>
      </c>
      <c r="BB1072" t="n">
        <v>4531.3014</v>
      </c>
      <c r="BC1072" t="n">
        <v>62.7786</v>
      </c>
      <c r="BD1072" t="n">
        <v>3941.1576</v>
      </c>
      <c r="BE1072" t="n">
        <v>1142761</v>
      </c>
    </row>
    <row r="1073">
      <c r="A1073" t="n">
        <v>1777876202</v>
      </c>
      <c r="B1073" t="inlineStr">
        <is>
          <t>XAUUSD</t>
        </is>
      </c>
      <c r="C1073" t="inlineStr">
        <is>
          <t>M15</t>
        </is>
      </c>
      <c r="D1073" t="n">
        <v>4585.46</v>
      </c>
      <c r="E1073" t="n">
        <v>4518.59282</v>
      </c>
      <c r="F1073" t="n">
        <v>4596.05595</v>
      </c>
      <c r="G1073" t="n">
        <v>4755.40355</v>
      </c>
      <c r="H1073" t="n">
        <v>4792.76972</v>
      </c>
      <c r="Q1073" t="n">
        <v>4531.03375</v>
      </c>
      <c r="R1073" t="n">
        <v>4560.39705</v>
      </c>
      <c r="S1073" t="n">
        <v>4586.98582</v>
      </c>
      <c r="V1073" t="n">
        <v>4496.09398</v>
      </c>
      <c r="W1073" t="n">
        <v>4462.52899</v>
      </c>
      <c r="AB1073" t="n">
        <v>4590.84735</v>
      </c>
      <c r="AC1073" t="n">
        <v>4593.02785</v>
      </c>
      <c r="AD1073" t="n">
        <v>0</v>
      </c>
      <c r="AK1073" t="n">
        <v>1071</v>
      </c>
      <c r="AL1073" t="n">
        <v>1070</v>
      </c>
      <c r="AM1073" t="n">
        <v>4585.46</v>
      </c>
      <c r="AN1073" t="n">
        <v>4531.0337</v>
      </c>
      <c r="AO1073" t="n">
        <v>54.4263</v>
      </c>
      <c r="AP1073" t="n">
        <v>2962.2167</v>
      </c>
      <c r="AQ1073" t="n">
        <v>3.708863</v>
      </c>
      <c r="AR1073" t="n">
        <v>5.741003</v>
      </c>
      <c r="AY1073" t="n">
        <v>1071</v>
      </c>
      <c r="AZ1073" t="n">
        <v>1070</v>
      </c>
      <c r="BA1073" t="n">
        <v>4585.46</v>
      </c>
      <c r="BB1073" t="n">
        <v>4531.0337</v>
      </c>
      <c r="BC1073" t="n">
        <v>54.4263</v>
      </c>
      <c r="BD1073" t="n">
        <v>2962.2167</v>
      </c>
      <c r="BE1073" t="n">
        <v>1144900</v>
      </c>
    </row>
    <row r="1074">
      <c r="A1074" t="n">
        <v>1777877102</v>
      </c>
      <c r="B1074" t="inlineStr">
        <is>
          <t>XAUUSD</t>
        </is>
      </c>
      <c r="C1074" t="inlineStr">
        <is>
          <t>M15</t>
        </is>
      </c>
      <c r="D1074" t="n">
        <v>4588.54</v>
      </c>
      <c r="E1074" t="n">
        <v>4518.59282</v>
      </c>
      <c r="F1074" t="n">
        <v>4596.05595</v>
      </c>
      <c r="G1074" t="n">
        <v>4755.40355</v>
      </c>
      <c r="H1074" t="n">
        <v>4792.76972</v>
      </c>
      <c r="Q1074" t="n">
        <v>4530.76615</v>
      </c>
      <c r="R1074" t="n">
        <v>4560.12945</v>
      </c>
      <c r="S1074" t="n">
        <v>4586.71822</v>
      </c>
      <c r="V1074" t="n">
        <v>4495.82638</v>
      </c>
      <c r="W1074" t="n">
        <v>4462.26138</v>
      </c>
      <c r="AB1074" t="n">
        <v>4588.78298</v>
      </c>
      <c r="AC1074" t="n">
        <v>4590.90542</v>
      </c>
      <c r="AD1074" t="n">
        <v>0</v>
      </c>
      <c r="AK1074" t="n">
        <v>1072</v>
      </c>
      <c r="AL1074" t="n">
        <v>1071</v>
      </c>
      <c r="AM1074" t="n">
        <v>4588.54</v>
      </c>
      <c r="AN1074" t="n">
        <v>4530.7662</v>
      </c>
      <c r="AO1074" t="n">
        <v>57.7738</v>
      </c>
      <c r="AP1074" t="n">
        <v>3337.8177</v>
      </c>
      <c r="AQ1074" t="n">
        <v>4.436184</v>
      </c>
      <c r="AR1074" t="n">
        <v>7.289191</v>
      </c>
      <c r="AY1074" t="n">
        <v>1072</v>
      </c>
      <c r="AZ1074" t="n">
        <v>1071</v>
      </c>
      <c r="BA1074" t="n">
        <v>4588.54</v>
      </c>
      <c r="BB1074" t="n">
        <v>4530.7662</v>
      </c>
      <c r="BC1074" t="n">
        <v>57.7738</v>
      </c>
      <c r="BD1074" t="n">
        <v>3337.8177</v>
      </c>
      <c r="BE1074" t="n">
        <v>1147041</v>
      </c>
    </row>
    <row r="1075">
      <c r="A1075" t="n">
        <v>1777878002</v>
      </c>
      <c r="B1075" t="inlineStr">
        <is>
          <t>XAUUSD</t>
        </is>
      </c>
      <c r="C1075" t="inlineStr">
        <is>
          <t>M15</t>
        </is>
      </c>
      <c r="D1075" t="n">
        <v>4592.16</v>
      </c>
      <c r="E1075" t="n">
        <v>4518.59282</v>
      </c>
      <c r="F1075" t="n">
        <v>4596.05595</v>
      </c>
      <c r="G1075" t="n">
        <v>4755.40355</v>
      </c>
      <c r="H1075" t="n">
        <v>4792.76972</v>
      </c>
      <c r="Q1075" t="n">
        <v>4530.49854</v>
      </c>
      <c r="R1075" t="n">
        <v>4559.86184</v>
      </c>
      <c r="S1075" t="n">
        <v>4586.45061</v>
      </c>
      <c r="V1075" t="n">
        <v>4495.55877</v>
      </c>
      <c r="W1075" t="n">
        <v>4461.99378</v>
      </c>
      <c r="AB1075" t="n">
        <v>4586.85043</v>
      </c>
      <c r="AC1075" t="n">
        <v>4588.87792</v>
      </c>
      <c r="AD1075" t="n">
        <v>0</v>
      </c>
      <c r="AK1075" t="n">
        <v>1073</v>
      </c>
      <c r="AL1075" t="n">
        <v>1072</v>
      </c>
      <c r="AM1075" t="n">
        <v>4592.16</v>
      </c>
      <c r="AN1075" t="n">
        <v>4530.4985</v>
      </c>
      <c r="AO1075" t="n">
        <v>61.6615</v>
      </c>
      <c r="AP1075" t="n">
        <v>3802.1356</v>
      </c>
      <c r="AQ1075" t="n">
        <v>5.39333</v>
      </c>
      <c r="AR1075" t="n">
        <v>9.458218</v>
      </c>
      <c r="AY1075" t="n">
        <v>1073</v>
      </c>
      <c r="AZ1075" t="n">
        <v>1072</v>
      </c>
      <c r="BA1075" t="n">
        <v>4592.16</v>
      </c>
      <c r="BB1075" t="n">
        <v>4530.4985</v>
      </c>
      <c r="BC1075" t="n">
        <v>61.6615</v>
      </c>
      <c r="BD1075" t="n">
        <v>3802.1356</v>
      </c>
      <c r="BE1075" t="n">
        <v>1149184</v>
      </c>
    </row>
    <row r="1076">
      <c r="A1076" t="n">
        <v>1777878902</v>
      </c>
      <c r="B1076" t="inlineStr">
        <is>
          <t>XAUUSD</t>
        </is>
      </c>
      <c r="C1076" t="inlineStr">
        <is>
          <t>M15</t>
        </is>
      </c>
      <c r="D1076" t="n">
        <v>4585.82</v>
      </c>
      <c r="E1076" t="n">
        <v>4518.59282</v>
      </c>
      <c r="F1076" t="n">
        <v>4596.05595</v>
      </c>
      <c r="G1076" t="n">
        <v>4755.40355</v>
      </c>
      <c r="H1076" t="n">
        <v>4792.76972</v>
      </c>
      <c r="Q1076" t="n">
        <v>4530.23094</v>
      </c>
      <c r="R1076" t="n">
        <v>4559.59424</v>
      </c>
      <c r="S1076" t="n">
        <v>4586.18301</v>
      </c>
      <c r="V1076" t="n">
        <v>4495.29117</v>
      </c>
      <c r="W1076" t="n">
        <v>4461.72617</v>
      </c>
      <c r="AB1076" t="n">
        <v>4585.02155</v>
      </c>
      <c r="AC1076" t="n">
        <v>4586.94974</v>
      </c>
      <c r="AD1076" t="n">
        <v>0</v>
      </c>
      <c r="AK1076" t="n">
        <v>1074</v>
      </c>
      <c r="AL1076" t="n">
        <v>1073</v>
      </c>
      <c r="AM1076" t="n">
        <v>4585.82</v>
      </c>
      <c r="AN1076" t="n">
        <v>4530.2309</v>
      </c>
      <c r="AO1076" t="n">
        <v>55.5891</v>
      </c>
      <c r="AP1076" t="n">
        <v>3090.1436</v>
      </c>
      <c r="AQ1076" t="n">
        <v>3.951696</v>
      </c>
      <c r="AR1076" t="n">
        <v>6.247574</v>
      </c>
      <c r="AY1076" t="n">
        <v>1074</v>
      </c>
      <c r="AZ1076" t="n">
        <v>1073</v>
      </c>
      <c r="BA1076" t="n">
        <v>4585.82</v>
      </c>
      <c r="BB1076" t="n">
        <v>4530.2309</v>
      </c>
      <c r="BC1076" t="n">
        <v>55.5891</v>
      </c>
      <c r="BD1076" t="n">
        <v>3090.1436</v>
      </c>
      <c r="BE1076" t="n">
        <v>1151329</v>
      </c>
    </row>
    <row r="1077">
      <c r="A1077" t="n">
        <v>1777879802</v>
      </c>
      <c r="B1077" t="inlineStr">
        <is>
          <t>XAUUSD</t>
        </is>
      </c>
      <c r="C1077" t="inlineStr">
        <is>
          <t>M15</t>
        </is>
      </c>
      <c r="D1077" t="n">
        <v>4587.99</v>
      </c>
      <c r="E1077" t="n">
        <v>4518.59282</v>
      </c>
      <c r="F1077" t="n">
        <v>4596.05595</v>
      </c>
      <c r="G1077" t="n">
        <v>4755.40355</v>
      </c>
      <c r="H1077" t="n">
        <v>4792.76972</v>
      </c>
      <c r="Q1077" t="n">
        <v>4529.96334</v>
      </c>
      <c r="R1077" t="n">
        <v>4559.32663</v>
      </c>
      <c r="S1077" t="n">
        <v>4585.91541</v>
      </c>
      <c r="V1077" t="n">
        <v>4495.02357</v>
      </c>
      <c r="W1077" t="n">
        <v>4461.45857</v>
      </c>
      <c r="AB1077" t="n">
        <v>4583.56213</v>
      </c>
      <c r="AC1077" t="n">
        <v>4585.25593</v>
      </c>
      <c r="AD1077" t="n">
        <v>0</v>
      </c>
      <c r="AK1077" t="n">
        <v>1075</v>
      </c>
      <c r="AL1077" t="n">
        <v>1074</v>
      </c>
      <c r="AM1077" t="n">
        <v>4587.99</v>
      </c>
      <c r="AN1077" t="n">
        <v>4529.9633</v>
      </c>
      <c r="AO1077" t="n">
        <v>58.0267</v>
      </c>
      <c r="AP1077" t="n">
        <v>3367.0933</v>
      </c>
      <c r="AQ1077" t="n">
        <v>4.494675</v>
      </c>
      <c r="AR1077" t="n">
        <v>7.417617</v>
      </c>
      <c r="AY1077" t="n">
        <v>1075</v>
      </c>
      <c r="AZ1077" t="n">
        <v>1074</v>
      </c>
      <c r="BA1077" t="n">
        <v>4587.99</v>
      </c>
      <c r="BB1077" t="n">
        <v>4529.9633</v>
      </c>
      <c r="BC1077" t="n">
        <v>58.0267</v>
      </c>
      <c r="BD1077" t="n">
        <v>3367.0933</v>
      </c>
      <c r="BE1077" t="n">
        <v>1153476</v>
      </c>
    </row>
    <row r="1078">
      <c r="A1078" t="n">
        <v>1777880702</v>
      </c>
      <c r="B1078" t="inlineStr">
        <is>
          <t>XAUUSD</t>
        </is>
      </c>
      <c r="C1078" t="inlineStr">
        <is>
          <t>M15</t>
        </is>
      </c>
      <c r="D1078" t="n">
        <v>4579.06</v>
      </c>
      <c r="E1078" t="n">
        <v>4518.59282</v>
      </c>
      <c r="F1078" t="n">
        <v>4596.05595</v>
      </c>
      <c r="G1078" t="n">
        <v>4755.40355</v>
      </c>
      <c r="H1078" t="n">
        <v>4792.76972</v>
      </c>
      <c r="Q1078" t="n">
        <v>4529.69573</v>
      </c>
      <c r="R1078" t="n">
        <v>4559.05903</v>
      </c>
      <c r="S1078" t="n">
        <v>4585.6478</v>
      </c>
      <c r="V1078" t="n">
        <v>4494.75596</v>
      </c>
      <c r="W1078" t="n">
        <v>4461.19096</v>
      </c>
      <c r="AB1078" t="n">
        <v>4582.44301</v>
      </c>
      <c r="AC1078" t="n">
        <v>4583.84947</v>
      </c>
      <c r="AD1078" t="n">
        <v>0</v>
      </c>
      <c r="AK1078" t="n">
        <v>1076</v>
      </c>
      <c r="AL1078" t="n">
        <v>1075</v>
      </c>
      <c r="AM1078" t="n">
        <v>4579.06</v>
      </c>
      <c r="AN1078" t="n">
        <v>4529.6957</v>
      </c>
      <c r="AO1078" t="n">
        <v>49.3643</v>
      </c>
      <c r="AP1078" t="n">
        <v>2436.8312</v>
      </c>
      <c r="AQ1078" t="n">
        <v>2.767284</v>
      </c>
      <c r="AR1078" t="n">
        <v>3.885125</v>
      </c>
      <c r="AY1078" t="n">
        <v>1076</v>
      </c>
      <c r="AZ1078" t="n">
        <v>1075</v>
      </c>
      <c r="BA1078" t="n">
        <v>4579.06</v>
      </c>
      <c r="BB1078" t="n">
        <v>4529.6957</v>
      </c>
      <c r="BC1078" t="n">
        <v>49.3643</v>
      </c>
      <c r="BD1078" t="n">
        <v>2436.8312</v>
      </c>
      <c r="BE1078" t="n">
        <v>1155625</v>
      </c>
    </row>
    <row r="1079">
      <c r="A1079" t="n">
        <v>1777881602</v>
      </c>
      <c r="B1079" t="inlineStr">
        <is>
          <t>XAUUSD</t>
        </is>
      </c>
      <c r="C1079" t="inlineStr">
        <is>
          <t>M15</t>
        </is>
      </c>
      <c r="D1079" t="n">
        <v>4580.25</v>
      </c>
      <c r="E1079" t="n">
        <v>4518.59282</v>
      </c>
      <c r="F1079" t="n">
        <v>4596.05595</v>
      </c>
      <c r="G1079" t="n">
        <v>4755.40355</v>
      </c>
      <c r="H1079" t="n">
        <v>4792.76972</v>
      </c>
      <c r="Q1079" t="n">
        <v>4529.42813</v>
      </c>
      <c r="R1079" t="n">
        <v>4558.79143</v>
      </c>
      <c r="S1079" t="n">
        <v>4585.3802</v>
      </c>
      <c r="V1079" t="n">
        <v>4494.48836</v>
      </c>
      <c r="W1079" t="n">
        <v>4460.92336</v>
      </c>
      <c r="AB1079" t="n">
        <v>4581.82346</v>
      </c>
      <c r="AC1079" t="n">
        <v>4582.83646</v>
      </c>
      <c r="AD1079" t="n">
        <v>0</v>
      </c>
      <c r="AK1079" t="n">
        <v>1077</v>
      </c>
      <c r="AL1079" t="n">
        <v>1076</v>
      </c>
      <c r="AM1079" t="n">
        <v>4580.25</v>
      </c>
      <c r="AN1079" t="n">
        <v>4529.4281</v>
      </c>
      <c r="AO1079" t="n">
        <v>50.8219</v>
      </c>
      <c r="AP1079" t="n">
        <v>2582.8625</v>
      </c>
      <c r="AQ1079" t="n">
        <v>3.019726</v>
      </c>
      <c r="AR1079" t="n">
        <v>4.364723</v>
      </c>
      <c r="AY1079" t="n">
        <v>1077</v>
      </c>
      <c r="AZ1079" t="n">
        <v>1076</v>
      </c>
      <c r="BA1079" t="n">
        <v>4580.25</v>
      </c>
      <c r="BB1079" t="n">
        <v>4529.4281</v>
      </c>
      <c r="BC1079" t="n">
        <v>50.8219</v>
      </c>
      <c r="BD1079" t="n">
        <v>2582.8625</v>
      </c>
      <c r="BE1079" t="n">
        <v>1157776</v>
      </c>
    </row>
    <row r="1080">
      <c r="A1080" t="n">
        <v>1777882502</v>
      </c>
      <c r="B1080" t="inlineStr">
        <is>
          <t>XAUUSD</t>
        </is>
      </c>
      <c r="C1080" t="inlineStr">
        <is>
          <t>M15</t>
        </is>
      </c>
      <c r="D1080" t="n">
        <v>4575.07</v>
      </c>
      <c r="E1080" t="n">
        <v>4518.59282</v>
      </c>
      <c r="F1080" t="n">
        <v>4596.05595</v>
      </c>
      <c r="G1080" t="n">
        <v>4755.40355</v>
      </c>
      <c r="H1080" t="n">
        <v>4792.76972</v>
      </c>
      <c r="Q1080" t="n">
        <v>4529.16052</v>
      </c>
      <c r="R1080" t="n">
        <v>4558.52382</v>
      </c>
      <c r="S1080" t="n">
        <v>4585.11259</v>
      </c>
      <c r="V1080" t="n">
        <v>4494.22075</v>
      </c>
      <c r="W1080" t="n">
        <v>4460.65576</v>
      </c>
      <c r="AB1080" t="n">
        <v>4581.41462</v>
      </c>
      <c r="AC1080" t="n">
        <v>4582.12554</v>
      </c>
      <c r="AD1080" t="n">
        <v>0</v>
      </c>
      <c r="AK1080" t="n">
        <v>1078</v>
      </c>
      <c r="AL1080" t="n">
        <v>1077</v>
      </c>
      <c r="AM1080" t="n">
        <v>4575.07</v>
      </c>
      <c r="AN1080" t="n">
        <v>4529.1605</v>
      </c>
      <c r="AO1080" t="n">
        <v>45.9095</v>
      </c>
      <c r="AP1080" t="n">
        <v>2107.6804</v>
      </c>
      <c r="AQ1080" t="n">
        <v>2.225987</v>
      </c>
      <c r="AR1080" t="n">
        <v>2.906455</v>
      </c>
      <c r="AY1080" t="n">
        <v>1078</v>
      </c>
      <c r="AZ1080" t="n">
        <v>1077</v>
      </c>
      <c r="BA1080" t="n">
        <v>4575.07</v>
      </c>
      <c r="BB1080" t="n">
        <v>4529.1605</v>
      </c>
      <c r="BC1080" t="n">
        <v>45.9095</v>
      </c>
      <c r="BD1080" t="n">
        <v>2107.6804</v>
      </c>
      <c r="BE1080" t="n">
        <v>1159929</v>
      </c>
    </row>
    <row r="1081">
      <c r="A1081" t="n">
        <v>1777883402</v>
      </c>
      <c r="B1081" t="inlineStr">
        <is>
          <t>XAUUSD</t>
        </is>
      </c>
      <c r="C1081" t="inlineStr">
        <is>
          <t>M15</t>
        </is>
      </c>
      <c r="D1081" t="n">
        <v>4578.09</v>
      </c>
      <c r="E1081" t="n">
        <v>4518.59282</v>
      </c>
      <c r="F1081" t="n">
        <v>4596.05595</v>
      </c>
      <c r="G1081" t="n">
        <v>4755.40355</v>
      </c>
      <c r="H1081" t="n">
        <v>4792.76972</v>
      </c>
      <c r="Q1081" t="n">
        <v>4528.89292</v>
      </c>
      <c r="R1081" t="n">
        <v>4558.25622</v>
      </c>
      <c r="S1081" t="n">
        <v>4584.84499</v>
      </c>
      <c r="V1081" t="n">
        <v>4493.95315</v>
      </c>
      <c r="W1081" t="n">
        <v>4460.38815</v>
      </c>
      <c r="AB1081" t="n">
        <v>4580.98161</v>
      </c>
      <c r="AC1081" t="n">
        <v>4581.55357</v>
      </c>
      <c r="AD1081" t="n">
        <v>0</v>
      </c>
      <c r="AK1081" t="n">
        <v>1079</v>
      </c>
      <c r="AL1081" t="n">
        <v>1078</v>
      </c>
      <c r="AM1081" t="n">
        <v>4578.09</v>
      </c>
      <c r="AN1081" t="n">
        <v>4528.8929</v>
      </c>
      <c r="AO1081" t="n">
        <v>49.1971</v>
      </c>
      <c r="AP1081" t="n">
        <v>2420.3527</v>
      </c>
      <c r="AQ1081" t="n">
        <v>2.739262</v>
      </c>
      <c r="AR1081" t="n">
        <v>3.832758</v>
      </c>
      <c r="AY1081" t="n">
        <v>1079</v>
      </c>
      <c r="AZ1081" t="n">
        <v>1078</v>
      </c>
      <c r="BA1081" t="n">
        <v>4578.09</v>
      </c>
      <c r="BB1081" t="n">
        <v>4528.8929</v>
      </c>
      <c r="BC1081" t="n">
        <v>49.1971</v>
      </c>
      <c r="BD1081" t="n">
        <v>2420.3527</v>
      </c>
      <c r="BE1081" t="n">
        <v>1162084</v>
      </c>
    </row>
    <row r="1082">
      <c r="A1082" t="n">
        <v>1777884302</v>
      </c>
      <c r="B1082" t="inlineStr">
        <is>
          <t>XAUUSD</t>
        </is>
      </c>
      <c r="C1082" t="inlineStr">
        <is>
          <t>M15</t>
        </is>
      </c>
      <c r="D1082" t="n">
        <v>4577.11</v>
      </c>
      <c r="E1082" t="n">
        <v>4518.59282</v>
      </c>
      <c r="F1082" t="n">
        <v>4596.05595</v>
      </c>
      <c r="G1082" t="n">
        <v>4755.40355</v>
      </c>
      <c r="H1082" t="n">
        <v>4792.76972</v>
      </c>
      <c r="Q1082" t="n">
        <v>4528.62531</v>
      </c>
      <c r="R1082" t="n">
        <v>4557.98861</v>
      </c>
      <c r="S1082" t="n">
        <v>4584.57738</v>
      </c>
      <c r="V1082" t="n">
        <v>4493.68554</v>
      </c>
      <c r="W1082" t="n">
        <v>4460.12055</v>
      </c>
      <c r="AB1082" t="n">
        <v>4580.04908</v>
      </c>
      <c r="AC1082" t="n">
        <v>4580.80133</v>
      </c>
      <c r="AD1082" t="n">
        <v>0</v>
      </c>
      <c r="AK1082" t="n">
        <v>1080</v>
      </c>
      <c r="AL1082" t="n">
        <v>1079</v>
      </c>
      <c r="AM1082" t="n">
        <v>4577.11</v>
      </c>
      <c r="AN1082" t="n">
        <v>4528.6253</v>
      </c>
      <c r="AO1082" t="n">
        <v>48.4847</v>
      </c>
      <c r="AP1082" t="n">
        <v>2350.7652</v>
      </c>
      <c r="AQ1082" t="n">
        <v>2.62198</v>
      </c>
      <c r="AR1082" t="n">
        <v>3.615535</v>
      </c>
      <c r="AY1082" t="n">
        <v>1080</v>
      </c>
      <c r="AZ1082" t="n">
        <v>1079</v>
      </c>
      <c r="BA1082" t="n">
        <v>4577.11</v>
      </c>
      <c r="BB1082" t="n">
        <v>4528.6253</v>
      </c>
      <c r="BC1082" t="n">
        <v>48.4847</v>
      </c>
      <c r="BD1082" t="n">
        <v>2350.7652</v>
      </c>
      <c r="BE1082" t="n">
        <v>1164241</v>
      </c>
    </row>
    <row r="1083">
      <c r="A1083" t="n">
        <v>1777885202</v>
      </c>
      <c r="B1083" t="inlineStr">
        <is>
          <t>XAUUSD</t>
        </is>
      </c>
      <c r="C1083" t="inlineStr">
        <is>
          <t>M15</t>
        </is>
      </c>
      <c r="D1083" t="n">
        <v>4584.21</v>
      </c>
      <c r="E1083" t="n">
        <v>4518.59282</v>
      </c>
      <c r="F1083" t="n">
        <v>4596.05595</v>
      </c>
      <c r="G1083" t="n">
        <v>4755.40355</v>
      </c>
      <c r="H1083" t="n">
        <v>4792.76972</v>
      </c>
      <c r="Q1083" t="n">
        <v>4528.35771</v>
      </c>
      <c r="R1083" t="n">
        <v>4557.72101</v>
      </c>
      <c r="S1083" t="n">
        <v>4584.30978</v>
      </c>
      <c r="V1083" t="n">
        <v>4493.41794</v>
      </c>
      <c r="W1083" t="n">
        <v>4459.85294</v>
      </c>
      <c r="AB1083" t="n">
        <v>4578.27299</v>
      </c>
      <c r="AC1083" t="n">
        <v>4579.53716</v>
      </c>
      <c r="AD1083" t="n">
        <v>0</v>
      </c>
      <c r="AK1083" t="n">
        <v>1081</v>
      </c>
      <c r="AL1083" t="n">
        <v>1080</v>
      </c>
      <c r="AM1083" t="n">
        <v>4584.21</v>
      </c>
      <c r="AN1083" t="n">
        <v>4528.3577</v>
      </c>
      <c r="AO1083" t="n">
        <v>55.8523</v>
      </c>
      <c r="AP1083" t="n">
        <v>3119.4783</v>
      </c>
      <c r="AQ1083" t="n">
        <v>4.0081</v>
      </c>
      <c r="AR1083" t="n">
        <v>6.366754</v>
      </c>
      <c r="AY1083" t="n">
        <v>1081</v>
      </c>
      <c r="AZ1083" t="n">
        <v>1080</v>
      </c>
      <c r="BA1083" t="n">
        <v>4584.21</v>
      </c>
      <c r="BB1083" t="n">
        <v>4528.3577</v>
      </c>
      <c r="BC1083" t="n">
        <v>55.8523</v>
      </c>
      <c r="BD1083" t="n">
        <v>3119.4783</v>
      </c>
      <c r="BE1083" t="n">
        <v>1166400</v>
      </c>
    </row>
    <row r="1084">
      <c r="A1084" t="n">
        <v>1777886102</v>
      </c>
      <c r="B1084" t="inlineStr">
        <is>
          <t>XAUUSD</t>
        </is>
      </c>
      <c r="C1084" t="inlineStr">
        <is>
          <t>M15</t>
        </is>
      </c>
      <c r="D1084" t="n">
        <v>4581.15</v>
      </c>
      <c r="E1084" t="n">
        <v>4518.59282</v>
      </c>
      <c r="F1084" t="n">
        <v>4596.05595</v>
      </c>
      <c r="G1084" t="n">
        <v>4755.40355</v>
      </c>
      <c r="H1084" t="n">
        <v>4792.76972</v>
      </c>
      <c r="Q1084" t="n">
        <v>4528.09011</v>
      </c>
      <c r="R1084" t="n">
        <v>4557.45341</v>
      </c>
      <c r="S1084" t="n">
        <v>4584.04218</v>
      </c>
      <c r="V1084" t="n">
        <v>4493.15034</v>
      </c>
      <c r="W1084" t="n">
        <v>4459.58534</v>
      </c>
      <c r="AB1084" t="n">
        <v>4575.25669</v>
      </c>
      <c r="AC1084" t="n">
        <v>4577.39692</v>
      </c>
      <c r="AD1084" t="n">
        <v>0</v>
      </c>
      <c r="AK1084" t="n">
        <v>1082</v>
      </c>
      <c r="AL1084" t="n">
        <v>1081</v>
      </c>
      <c r="AM1084" t="n">
        <v>4581.15</v>
      </c>
      <c r="AN1084" t="n">
        <v>4528.0901</v>
      </c>
      <c r="AO1084" t="n">
        <v>53.0599</v>
      </c>
      <c r="AP1084" t="n">
        <v>2815.3519</v>
      </c>
      <c r="AQ1084" t="n">
        <v>3.436486</v>
      </c>
      <c r="AR1084" t="n">
        <v>5.185845</v>
      </c>
      <c r="AY1084" t="n">
        <v>1082</v>
      </c>
      <c r="AZ1084" t="n">
        <v>1081</v>
      </c>
      <c r="BA1084" t="n">
        <v>4581.15</v>
      </c>
      <c r="BB1084" t="n">
        <v>4528.0901</v>
      </c>
      <c r="BC1084" t="n">
        <v>53.0599</v>
      </c>
      <c r="BD1084" t="n">
        <v>2815.3519</v>
      </c>
      <c r="BE1084" t="n">
        <v>1168561</v>
      </c>
    </row>
    <row r="1085">
      <c r="A1085" t="n">
        <v>1777887002</v>
      </c>
      <c r="B1085" t="inlineStr">
        <is>
          <t>XAUUSD</t>
        </is>
      </c>
      <c r="C1085" t="inlineStr">
        <is>
          <t>M15</t>
        </is>
      </c>
      <c r="D1085" t="n">
        <v>4581.26</v>
      </c>
      <c r="E1085" t="n">
        <v>4518.59282</v>
      </c>
      <c r="F1085" t="n">
        <v>4596.05595</v>
      </c>
      <c r="G1085" t="n">
        <v>4755.40355</v>
      </c>
      <c r="H1085" t="n">
        <v>4792.76972</v>
      </c>
      <c r="Q1085" t="n">
        <v>4527.8225</v>
      </c>
      <c r="R1085" t="n">
        <v>4557.1858</v>
      </c>
      <c r="S1085" t="n">
        <v>4583.77457</v>
      </c>
      <c r="V1085" t="n">
        <v>4492.88273</v>
      </c>
      <c r="W1085" t="n">
        <v>4459.31774</v>
      </c>
      <c r="AB1085" t="n">
        <v>4571.14583</v>
      </c>
      <c r="AC1085" t="n">
        <v>4574.27138</v>
      </c>
      <c r="AD1085" t="n">
        <v>0</v>
      </c>
      <c r="AK1085" t="n">
        <v>1083</v>
      </c>
      <c r="AL1085" t="n">
        <v>1082</v>
      </c>
      <c r="AM1085" t="n">
        <v>4581.26</v>
      </c>
      <c r="AN1085" t="n">
        <v>4527.8225</v>
      </c>
      <c r="AO1085" t="n">
        <v>53.4375</v>
      </c>
      <c r="AP1085" t="n">
        <v>2855.5664</v>
      </c>
      <c r="AQ1085" t="n">
        <v>3.510379</v>
      </c>
      <c r="AR1085" t="n">
        <v>5.335052</v>
      </c>
      <c r="AY1085" t="n">
        <v>1083</v>
      </c>
      <c r="AZ1085" t="n">
        <v>1082</v>
      </c>
      <c r="BA1085" t="n">
        <v>4581.26</v>
      </c>
      <c r="BB1085" t="n">
        <v>4527.8225</v>
      </c>
      <c r="BC1085" t="n">
        <v>53.4375</v>
      </c>
      <c r="BD1085" t="n">
        <v>2855.5664</v>
      </c>
      <c r="BE1085" t="n">
        <v>1170724</v>
      </c>
    </row>
    <row r="1086">
      <c r="A1086" t="n">
        <v>1777887902</v>
      </c>
      <c r="B1086" t="inlineStr">
        <is>
          <t>XAUUSD</t>
        </is>
      </c>
      <c r="C1086" t="inlineStr">
        <is>
          <t>M15</t>
        </is>
      </c>
      <c r="D1086" t="n">
        <v>4575.47</v>
      </c>
      <c r="E1086" t="n">
        <v>4518.59282</v>
      </c>
      <c r="F1086" t="n">
        <v>4596.05595</v>
      </c>
      <c r="G1086" t="n">
        <v>4755.40355</v>
      </c>
      <c r="H1086" t="n">
        <v>4792.76972</v>
      </c>
      <c r="Q1086" t="n">
        <v>4527.5549</v>
      </c>
      <c r="R1086" t="n">
        <v>4556.9182</v>
      </c>
      <c r="S1086" t="n">
        <v>4583.50697</v>
      </c>
      <c r="V1086" t="n">
        <v>4492.61513</v>
      </c>
      <c r="W1086" t="n">
        <v>4459.05013</v>
      </c>
      <c r="AB1086" t="n">
        <v>4566.29874</v>
      </c>
      <c r="AC1086" t="n">
        <v>4570.28506</v>
      </c>
      <c r="AD1086" t="n">
        <v>0</v>
      </c>
      <c r="AK1086" t="n">
        <v>1084</v>
      </c>
      <c r="AL1086" t="n">
        <v>1083</v>
      </c>
      <c r="AM1086" t="n">
        <v>4575.47</v>
      </c>
      <c r="AN1086" t="n">
        <v>4527.5549</v>
      </c>
      <c r="AO1086" t="n">
        <v>47.9151</v>
      </c>
      <c r="AP1086" t="n">
        <v>2295.8568</v>
      </c>
      <c r="AQ1086" t="n">
        <v>2.530654</v>
      </c>
      <c r="AR1086" t="n">
        <v>3.448607</v>
      </c>
      <c r="AY1086" t="n">
        <v>1084</v>
      </c>
      <c r="AZ1086" t="n">
        <v>1083</v>
      </c>
      <c r="BA1086" t="n">
        <v>4575.47</v>
      </c>
      <c r="BB1086" t="n">
        <v>4527.5549</v>
      </c>
      <c r="BC1086" t="n">
        <v>47.9151</v>
      </c>
      <c r="BD1086" t="n">
        <v>2295.8568</v>
      </c>
      <c r="BE1086" t="n">
        <v>1172889</v>
      </c>
    </row>
    <row r="1087">
      <c r="A1087" t="n">
        <v>1777888802</v>
      </c>
      <c r="B1087" t="inlineStr">
        <is>
          <t>XAUUSD</t>
        </is>
      </c>
      <c r="C1087" t="inlineStr">
        <is>
          <t>M15</t>
        </is>
      </c>
      <c r="D1087" t="n">
        <v>4541.79</v>
      </c>
      <c r="E1087" t="n">
        <v>4518.59282</v>
      </c>
      <c r="F1087" t="n">
        <v>4596.05595</v>
      </c>
      <c r="G1087" t="n">
        <v>4755.40355</v>
      </c>
      <c r="H1087" t="n">
        <v>4792.76972</v>
      </c>
      <c r="Q1087" t="n">
        <v>4527.28729</v>
      </c>
      <c r="R1087" t="n">
        <v>4556.65059</v>
      </c>
      <c r="S1087" t="n">
        <v>4583.23936</v>
      </c>
      <c r="V1087" t="n">
        <v>4492.34752</v>
      </c>
      <c r="W1087" t="n">
        <v>4458.78253</v>
      </c>
      <c r="AB1087" t="n">
        <v>4561.49005</v>
      </c>
      <c r="AC1087" t="n">
        <v>4565.88755</v>
      </c>
      <c r="AD1087" t="n">
        <v>0</v>
      </c>
      <c r="AK1087" t="n">
        <v>1085</v>
      </c>
      <c r="AL1087" t="n">
        <v>1084</v>
      </c>
      <c r="AM1087" t="n">
        <v>4541.79</v>
      </c>
      <c r="AN1087" t="n">
        <v>4527.2873</v>
      </c>
      <c r="AO1087" t="n">
        <v>14.5027</v>
      </c>
      <c r="AP1087" t="n">
        <v>210.3286</v>
      </c>
      <c r="AQ1087" t="n">
        <v>0.070172</v>
      </c>
      <c r="AR1087" t="n">
        <v>0.028943</v>
      </c>
      <c r="AY1087" t="n">
        <v>1085</v>
      </c>
      <c r="AZ1087" t="n">
        <v>1084</v>
      </c>
      <c r="BA1087" t="n">
        <v>4541.79</v>
      </c>
      <c r="BB1087" t="n">
        <v>4527.2873</v>
      </c>
      <c r="BC1087" t="n">
        <v>14.5027</v>
      </c>
      <c r="BD1087" t="n">
        <v>210.3286</v>
      </c>
      <c r="BE1087" t="n">
        <v>1175056</v>
      </c>
    </row>
    <row r="1088">
      <c r="A1088" t="n">
        <v>1777889702</v>
      </c>
      <c r="B1088" t="inlineStr">
        <is>
          <t>XAUUSD</t>
        </is>
      </c>
      <c r="C1088" t="inlineStr">
        <is>
          <t>M15</t>
        </is>
      </c>
      <c r="D1088" t="n">
        <v>4545</v>
      </c>
      <c r="E1088" t="n">
        <v>4518.59282</v>
      </c>
      <c r="F1088" t="n">
        <v>4596.05595</v>
      </c>
      <c r="G1088" t="n">
        <v>4755.40355</v>
      </c>
      <c r="H1088" t="n">
        <v>4792.76972</v>
      </c>
      <c r="Q1088" t="n">
        <v>4527.01969</v>
      </c>
      <c r="R1088" t="n">
        <v>4556.38299</v>
      </c>
      <c r="S1088" t="n">
        <v>4582.97176</v>
      </c>
      <c r="V1088" t="n">
        <v>4492.07992</v>
      </c>
      <c r="W1088" t="n">
        <v>4458.51492</v>
      </c>
      <c r="AA1088" t="n">
        <v>4526.4</v>
      </c>
      <c r="AB1088" t="n">
        <v>4558.22146</v>
      </c>
      <c r="AC1088" t="n">
        <v>4562.05451</v>
      </c>
      <c r="AD1088" t="n">
        <v>0</v>
      </c>
      <c r="AK1088" t="n">
        <v>1086</v>
      </c>
      <c r="AL1088" t="n">
        <v>1085</v>
      </c>
      <c r="AM1088" t="n">
        <v>4545</v>
      </c>
      <c r="AN1088" t="n">
        <v>4527.0197</v>
      </c>
      <c r="AO1088" t="n">
        <v>17.9803</v>
      </c>
      <c r="AP1088" t="n">
        <v>323.2915</v>
      </c>
      <c r="AQ1088" t="n">
        <v>0.133723</v>
      </c>
      <c r="AR1088" t="n">
        <v>0.068382</v>
      </c>
      <c r="AY1088" t="n">
        <v>1086</v>
      </c>
      <c r="AZ1088" t="n">
        <v>1085</v>
      </c>
      <c r="BA1088" t="n">
        <v>4545</v>
      </c>
      <c r="BB1088" t="n">
        <v>4527.0197</v>
      </c>
      <c r="BC1088" t="n">
        <v>17.9803</v>
      </c>
      <c r="BD1088" t="n">
        <v>323.2915</v>
      </c>
      <c r="BE1088" t="n">
        <v>1177225</v>
      </c>
    </row>
    <row r="1089">
      <c r="A1089" t="n">
        <v>1777890602</v>
      </c>
      <c r="B1089" t="inlineStr">
        <is>
          <t>XAUUSD</t>
        </is>
      </c>
      <c r="C1089" t="inlineStr">
        <is>
          <t>M15</t>
        </is>
      </c>
      <c r="D1089" t="n">
        <v>4558.64</v>
      </c>
      <c r="E1089" t="n">
        <v>4518.59282</v>
      </c>
      <c r="F1089" t="n">
        <v>4596.05595</v>
      </c>
      <c r="G1089" t="n">
        <v>4755.40355</v>
      </c>
      <c r="H1089" t="n">
        <v>4792.76972</v>
      </c>
      <c r="Q1089" t="n">
        <v>4526.75209</v>
      </c>
      <c r="R1089" t="n">
        <v>4556.11539</v>
      </c>
      <c r="S1089" t="n">
        <v>4582.70416</v>
      </c>
      <c r="V1089" t="n">
        <v>4491.81232</v>
      </c>
      <c r="W1089" t="n">
        <v>4458.24732</v>
      </c>
      <c r="AB1089" t="n">
        <v>4556.75146</v>
      </c>
      <c r="AC1089" t="n">
        <v>4559.40298</v>
      </c>
      <c r="AD1089" t="n">
        <v>0</v>
      </c>
      <c r="AK1089" t="n">
        <v>1087</v>
      </c>
      <c r="AL1089" t="n">
        <v>1086</v>
      </c>
      <c r="AM1089" t="n">
        <v>4558.64</v>
      </c>
      <c r="AN1089" t="n">
        <v>4526.7521</v>
      </c>
      <c r="AO1089" t="n">
        <v>31.8879</v>
      </c>
      <c r="AP1089" t="n">
        <v>1016.8388</v>
      </c>
      <c r="AQ1089" t="n">
        <v>0.745923</v>
      </c>
      <c r="AR1089" t="n">
        <v>0.676485</v>
      </c>
      <c r="AY1089" t="n">
        <v>1087</v>
      </c>
      <c r="AZ1089" t="n">
        <v>1086</v>
      </c>
      <c r="BA1089" t="n">
        <v>4558.64</v>
      </c>
      <c r="BB1089" t="n">
        <v>4526.7521</v>
      </c>
      <c r="BC1089" t="n">
        <v>31.8879</v>
      </c>
      <c r="BD1089" t="n">
        <v>1016.8388</v>
      </c>
      <c r="BE1089" t="n">
        <v>1179396</v>
      </c>
    </row>
    <row r="1090">
      <c r="A1090" t="n">
        <v>1777891502</v>
      </c>
      <c r="B1090" t="inlineStr">
        <is>
          <t>XAUUSD</t>
        </is>
      </c>
      <c r="C1090" t="inlineStr">
        <is>
          <t>M15</t>
        </is>
      </c>
      <c r="D1090" t="n">
        <v>4562.67</v>
      </c>
      <c r="E1090" t="n">
        <v>4518.59282</v>
      </c>
      <c r="F1090" t="n">
        <v>4596.05595</v>
      </c>
      <c r="G1090" t="n">
        <v>4755.40355</v>
      </c>
      <c r="H1090" t="n">
        <v>4792.76972</v>
      </c>
      <c r="Q1090" t="n">
        <v>4526.48448</v>
      </c>
      <c r="R1090" t="n">
        <v>4555.84778</v>
      </c>
      <c r="S1090" t="n">
        <v>4582.43655</v>
      </c>
      <c r="V1090" t="n">
        <v>4491.54471</v>
      </c>
      <c r="W1090" t="n">
        <v>4457.97972</v>
      </c>
      <c r="AB1090" t="n">
        <v>4556.70054</v>
      </c>
      <c r="AC1090" t="n">
        <v>4558.05176</v>
      </c>
      <c r="AD1090" t="n">
        <v>0</v>
      </c>
      <c r="AK1090" t="n">
        <v>1088</v>
      </c>
      <c r="AL1090" t="n">
        <v>1087</v>
      </c>
      <c r="AM1090" t="n">
        <v>4562.67</v>
      </c>
      <c r="AN1090" t="n">
        <v>4526.4845</v>
      </c>
      <c r="AO1090" t="n">
        <v>36.1855</v>
      </c>
      <c r="AP1090" t="n">
        <v>1309.3919</v>
      </c>
      <c r="AQ1090" t="n">
        <v>1.089984</v>
      </c>
      <c r="AR1090" t="n">
        <v>1.121743</v>
      </c>
      <c r="AY1090" t="n">
        <v>1088</v>
      </c>
      <c r="AZ1090" t="n">
        <v>1087</v>
      </c>
      <c r="BA1090" t="n">
        <v>4562.67</v>
      </c>
      <c r="BB1090" t="n">
        <v>4526.4845</v>
      </c>
      <c r="BC1090" t="n">
        <v>36.1855</v>
      </c>
      <c r="BD1090" t="n">
        <v>1309.3919</v>
      </c>
      <c r="BE1090" t="n">
        <v>1181569</v>
      </c>
    </row>
    <row r="1091">
      <c r="A1091" t="n">
        <v>1777892402</v>
      </c>
      <c r="B1091" t="inlineStr">
        <is>
          <t>XAUUSD</t>
        </is>
      </c>
      <c r="C1091" t="inlineStr">
        <is>
          <t>M15</t>
        </is>
      </c>
      <c r="D1091" t="n">
        <v>4565.34</v>
      </c>
      <c r="E1091" t="n">
        <v>4518.59282</v>
      </c>
      <c r="F1091" t="n">
        <v>4596.05595</v>
      </c>
      <c r="G1091" t="n">
        <v>4755.40355</v>
      </c>
      <c r="H1091" t="n">
        <v>4792.76972</v>
      </c>
      <c r="Q1091" t="n">
        <v>4526.21688</v>
      </c>
      <c r="R1091" t="n">
        <v>4555.58018</v>
      </c>
      <c r="S1091" t="n">
        <v>4582.16895</v>
      </c>
      <c r="V1091" t="n">
        <v>4491.27711</v>
      </c>
      <c r="W1091" t="n">
        <v>4457.71211</v>
      </c>
      <c r="AB1091" t="n">
        <v>4557.69867</v>
      </c>
      <c r="AC1091" t="n">
        <v>4557.87521</v>
      </c>
      <c r="AD1091" t="n">
        <v>0</v>
      </c>
      <c r="AK1091" t="n">
        <v>1089</v>
      </c>
      <c r="AL1091" t="n">
        <v>1088</v>
      </c>
      <c r="AM1091" t="n">
        <v>4565.34</v>
      </c>
      <c r="AN1091" t="n">
        <v>4526.2169</v>
      </c>
      <c r="AO1091" t="n">
        <v>39.1231</v>
      </c>
      <c r="AP1091" t="n">
        <v>1530.6185</v>
      </c>
      <c r="AQ1091" t="n">
        <v>1.377577</v>
      </c>
      <c r="AR1091" t="n">
        <v>1.532809</v>
      </c>
      <c r="AY1091" t="n">
        <v>1089</v>
      </c>
      <c r="AZ1091" t="n">
        <v>1088</v>
      </c>
      <c r="BA1091" t="n">
        <v>4565.34</v>
      </c>
      <c r="BB1091" t="n">
        <v>4526.2169</v>
      </c>
      <c r="BC1091" t="n">
        <v>39.1231</v>
      </c>
      <c r="BD1091" t="n">
        <v>1530.6185</v>
      </c>
      <c r="BE1091" t="n">
        <v>1183744</v>
      </c>
    </row>
    <row r="1092">
      <c r="A1092" t="n">
        <v>1777893302</v>
      </c>
      <c r="B1092" t="inlineStr">
        <is>
          <t>XAUUSD</t>
        </is>
      </c>
      <c r="C1092" t="inlineStr">
        <is>
          <t>M15</t>
        </is>
      </c>
      <c r="D1092" t="n">
        <v>4562.26</v>
      </c>
      <c r="E1092" t="n">
        <v>4518.59282</v>
      </c>
      <c r="F1092" t="n">
        <v>4596.05595</v>
      </c>
      <c r="G1092" t="n">
        <v>4755.40355</v>
      </c>
      <c r="H1092" t="n">
        <v>4792.76972</v>
      </c>
      <c r="Q1092" t="n">
        <v>4525.94927</v>
      </c>
      <c r="R1092" t="n">
        <v>4555.31257</v>
      </c>
      <c r="S1092" t="n">
        <v>4581.90134</v>
      </c>
      <c r="V1092" t="n">
        <v>4491.0095</v>
      </c>
      <c r="W1092" t="n">
        <v>4457.44451</v>
      </c>
      <c r="AB1092" t="n">
        <v>4559.26237</v>
      </c>
      <c r="AC1092" t="n">
        <v>4558.56879</v>
      </c>
      <c r="AD1092" t="n">
        <v>1</v>
      </c>
      <c r="AK1092" t="n">
        <v>1090</v>
      </c>
      <c r="AL1092" t="n">
        <v>1089</v>
      </c>
      <c r="AM1092" t="n">
        <v>4562.26</v>
      </c>
      <c r="AN1092" t="n">
        <v>4525.9493</v>
      </c>
      <c r="AO1092" t="n">
        <v>36.3107</v>
      </c>
      <c r="AP1092" t="n">
        <v>1318.4691</v>
      </c>
      <c r="AQ1092" t="n">
        <v>1.101338</v>
      </c>
      <c r="AR1092" t="n">
        <v>1.13735</v>
      </c>
      <c r="AY1092" t="n">
        <v>1090</v>
      </c>
      <c r="AZ1092" t="n">
        <v>1089</v>
      </c>
      <c r="BA1092" t="n">
        <v>4562.26</v>
      </c>
      <c r="BB1092" t="n">
        <v>4525.9493</v>
      </c>
      <c r="BC1092" t="n">
        <v>36.3107</v>
      </c>
      <c r="BD1092" t="n">
        <v>1318.4691</v>
      </c>
      <c r="BE1092" t="n">
        <v>1185921</v>
      </c>
    </row>
    <row r="1093">
      <c r="A1093" t="n">
        <v>1777894202</v>
      </c>
      <c r="B1093" t="inlineStr">
        <is>
          <t>XAUUSD</t>
        </is>
      </c>
      <c r="C1093" t="inlineStr">
        <is>
          <t>M15</t>
        </is>
      </c>
      <c r="D1093" t="n">
        <v>4553.65</v>
      </c>
      <c r="E1093" t="n">
        <v>4518.59282</v>
      </c>
      <c r="F1093" t="n">
        <v>4596.05595</v>
      </c>
      <c r="G1093" t="n">
        <v>4755.40355</v>
      </c>
      <c r="H1093" t="n">
        <v>4792.76972</v>
      </c>
      <c r="Q1093" t="n">
        <v>4525.68167</v>
      </c>
      <c r="R1093" t="n">
        <v>4555.04497</v>
      </c>
      <c r="S1093" t="n">
        <v>4581.63374</v>
      </c>
      <c r="V1093" t="n">
        <v>4490.7419</v>
      </c>
      <c r="W1093" t="n">
        <v>4457.1769</v>
      </c>
      <c r="AB1093" t="n">
        <v>4561.01172</v>
      </c>
      <c r="AC1093" t="n">
        <v>4559.79026</v>
      </c>
      <c r="AD1093" t="n">
        <v>0</v>
      </c>
      <c r="AK1093" t="n">
        <v>1091</v>
      </c>
      <c r="AL1093" t="n">
        <v>1090</v>
      </c>
      <c r="AM1093" t="n">
        <v>4553.65</v>
      </c>
      <c r="AN1093" t="n">
        <v>4525.6817</v>
      </c>
      <c r="AO1093" t="n">
        <v>27.9683</v>
      </c>
      <c r="AP1093" t="n">
        <v>782.2275</v>
      </c>
      <c r="AQ1093" t="n">
        <v>0.503286</v>
      </c>
      <c r="AR1093" t="n">
        <v>0.400332</v>
      </c>
      <c r="AY1093" t="n">
        <v>1091</v>
      </c>
      <c r="AZ1093" t="n">
        <v>1090</v>
      </c>
      <c r="BA1093" t="n">
        <v>4553.65</v>
      </c>
      <c r="BB1093" t="n">
        <v>4525.6817</v>
      </c>
      <c r="BC1093" t="n">
        <v>27.9683</v>
      </c>
      <c r="BD1093" t="n">
        <v>782.2275</v>
      </c>
      <c r="BE1093" t="n">
        <v>1188100</v>
      </c>
    </row>
    <row r="1094">
      <c r="A1094" t="n">
        <v>1777895102</v>
      </c>
      <c r="B1094" t="inlineStr">
        <is>
          <t>XAUUSD</t>
        </is>
      </c>
      <c r="C1094" t="inlineStr">
        <is>
          <t>M15</t>
        </is>
      </c>
      <c r="D1094" t="n">
        <v>4559.94</v>
      </c>
      <c r="E1094" t="n">
        <v>4518.59282</v>
      </c>
      <c r="F1094" t="n">
        <v>4596.05595</v>
      </c>
      <c r="G1094" t="n">
        <v>4755.40355</v>
      </c>
      <c r="H1094" t="n">
        <v>4792.76972</v>
      </c>
      <c r="Q1094" t="n">
        <v>4525.41407</v>
      </c>
      <c r="R1094" t="n">
        <v>4554.77736</v>
      </c>
      <c r="S1094" t="n">
        <v>4581.36614</v>
      </c>
      <c r="V1094" t="n">
        <v>4490.4743</v>
      </c>
      <c r="W1094" t="n">
        <v>4456.9093</v>
      </c>
      <c r="AB1094" t="n">
        <v>4562.81704</v>
      </c>
      <c r="AC1094" t="n">
        <v>4561.30365</v>
      </c>
      <c r="AD1094" t="n">
        <v>0</v>
      </c>
      <c r="AK1094" t="n">
        <v>1092</v>
      </c>
      <c r="AL1094" t="n">
        <v>1091</v>
      </c>
      <c r="AM1094" t="n">
        <v>4559.94</v>
      </c>
      <c r="AN1094" t="n">
        <v>4525.4141</v>
      </c>
      <c r="AO1094" t="n">
        <v>34.5259</v>
      </c>
      <c r="AP1094" t="n">
        <v>1192.0398</v>
      </c>
      <c r="AQ1094" t="n">
        <v>0.946786</v>
      </c>
      <c r="AR1094" t="n">
        <v>0.929685</v>
      </c>
      <c r="AY1094" t="n">
        <v>1092</v>
      </c>
      <c r="AZ1094" t="n">
        <v>1091</v>
      </c>
      <c r="BA1094" t="n">
        <v>4559.94</v>
      </c>
      <c r="BB1094" t="n">
        <v>4525.4141</v>
      </c>
      <c r="BC1094" t="n">
        <v>34.5259</v>
      </c>
      <c r="BD1094" t="n">
        <v>1192.0398</v>
      </c>
      <c r="BE1094" t="n">
        <v>1190281</v>
      </c>
    </row>
    <row r="1095">
      <c r="A1095" t="n">
        <v>1777896002</v>
      </c>
      <c r="B1095" t="inlineStr">
        <is>
          <t>XAUUSD</t>
        </is>
      </c>
      <c r="C1095" t="inlineStr">
        <is>
          <t>M15</t>
        </is>
      </c>
      <c r="D1095" t="n">
        <v>4563.67</v>
      </c>
      <c r="E1095" t="n">
        <v>4518.59282</v>
      </c>
      <c r="F1095" t="n">
        <v>4596.05595</v>
      </c>
      <c r="G1095" t="n">
        <v>4755.40355</v>
      </c>
      <c r="H1095" t="n">
        <v>4792.76972</v>
      </c>
      <c r="Q1095" t="n">
        <v>4525.14646</v>
      </c>
      <c r="R1095" t="n">
        <v>4554.50976</v>
      </c>
      <c r="S1095" t="n">
        <v>4581.09853</v>
      </c>
      <c r="V1095" t="n">
        <v>4490.20669</v>
      </c>
      <c r="W1095" t="n">
        <v>4456.6417</v>
      </c>
      <c r="AB1095" t="n">
        <v>4564.27067</v>
      </c>
      <c r="AC1095" t="n">
        <v>4562.78716</v>
      </c>
      <c r="AD1095" t="n">
        <v>0</v>
      </c>
      <c r="AK1095" t="n">
        <v>1093</v>
      </c>
      <c r="AL1095" t="n">
        <v>1092</v>
      </c>
      <c r="AM1095" t="n">
        <v>4563.67</v>
      </c>
      <c r="AN1095" t="n">
        <v>4525.1465</v>
      </c>
      <c r="AO1095" t="n">
        <v>38.5235</v>
      </c>
      <c r="AP1095" t="n">
        <v>1484.0631</v>
      </c>
      <c r="AQ1095" t="n">
        <v>1.315207</v>
      </c>
      <c r="AR1095" t="n">
        <v>1.440983</v>
      </c>
      <c r="AY1095" t="n">
        <v>1093</v>
      </c>
      <c r="AZ1095" t="n">
        <v>1092</v>
      </c>
      <c r="BA1095" t="n">
        <v>4563.67</v>
      </c>
      <c r="BB1095" t="n">
        <v>4525.1465</v>
      </c>
      <c r="BC1095" t="n">
        <v>38.5235</v>
      </c>
      <c r="BD1095" t="n">
        <v>1484.0631</v>
      </c>
      <c r="BE1095" t="n">
        <v>1192464</v>
      </c>
    </row>
    <row r="1096">
      <c r="A1096" t="n">
        <v>1777896902</v>
      </c>
      <c r="B1096" t="inlineStr">
        <is>
          <t>XAUUSD</t>
        </is>
      </c>
      <c r="C1096" t="inlineStr">
        <is>
          <t>M15</t>
        </is>
      </c>
      <c r="D1096" t="n">
        <v>4568.68</v>
      </c>
      <c r="E1096" t="n">
        <v>4518.59282</v>
      </c>
      <c r="F1096" t="n">
        <v>4596.05595</v>
      </c>
      <c r="G1096" t="n">
        <v>4755.40355</v>
      </c>
      <c r="H1096" t="n">
        <v>4792.76972</v>
      </c>
      <c r="Q1096" t="n">
        <v>4524.87886</v>
      </c>
      <c r="R1096" t="n">
        <v>4554.24216</v>
      </c>
      <c r="S1096" t="n">
        <v>4580.83093</v>
      </c>
      <c r="V1096" t="n">
        <v>4489.93909</v>
      </c>
      <c r="W1096" t="n">
        <v>4456.37409</v>
      </c>
      <c r="AB1096" t="n">
        <v>4565.21562</v>
      </c>
      <c r="AC1096" t="n">
        <v>4564.00139</v>
      </c>
      <c r="AD1096" t="n">
        <v>0</v>
      </c>
      <c r="AK1096" t="n">
        <v>1094</v>
      </c>
      <c r="AL1096" t="n">
        <v>1093</v>
      </c>
      <c r="AM1096" t="n">
        <v>4568.68</v>
      </c>
      <c r="AN1096" t="n">
        <v>4524.8789</v>
      </c>
      <c r="AO1096" t="n">
        <v>43.8011</v>
      </c>
      <c r="AP1096" t="n">
        <v>1918.5399</v>
      </c>
      <c r="AQ1096" t="n">
        <v>1.933178</v>
      </c>
      <c r="AR1096" t="n">
        <v>2.408218</v>
      </c>
      <c r="AY1096" t="n">
        <v>1094</v>
      </c>
      <c r="AZ1096" t="n">
        <v>1093</v>
      </c>
      <c r="BA1096" t="n">
        <v>4568.68</v>
      </c>
      <c r="BB1096" t="n">
        <v>4524.8789</v>
      </c>
      <c r="BC1096" t="n">
        <v>43.8011</v>
      </c>
      <c r="BD1096" t="n">
        <v>1918.5399</v>
      </c>
      <c r="BE1096" t="n">
        <v>1194649</v>
      </c>
    </row>
    <row r="1097">
      <c r="A1097" t="n">
        <v>1777897802</v>
      </c>
      <c r="B1097" t="inlineStr">
        <is>
          <t>XAUUSD</t>
        </is>
      </c>
      <c r="C1097" t="inlineStr">
        <is>
          <t>M15</t>
        </is>
      </c>
      <c r="D1097" t="n">
        <v>4570.1</v>
      </c>
      <c r="E1097" t="n">
        <v>4518.59282</v>
      </c>
      <c r="F1097" t="n">
        <v>4596.05595</v>
      </c>
      <c r="G1097" t="n">
        <v>4755.40355</v>
      </c>
      <c r="H1097" t="n">
        <v>4792.76972</v>
      </c>
      <c r="Q1097" t="n">
        <v>4524.61125</v>
      </c>
      <c r="R1097" t="n">
        <v>4553.97455</v>
      </c>
      <c r="S1097" t="n">
        <v>4580.56332</v>
      </c>
      <c r="V1097" t="n">
        <v>4489.67148</v>
      </c>
      <c r="W1097" t="n">
        <v>4456.10649</v>
      </c>
      <c r="AB1097" t="n">
        <v>4565.65915</v>
      </c>
      <c r="AC1097" t="n">
        <v>4564.83027</v>
      </c>
      <c r="AD1097" t="n">
        <v>0</v>
      </c>
      <c r="AK1097" t="n">
        <v>1095</v>
      </c>
      <c r="AL1097" t="n">
        <v>1094</v>
      </c>
      <c r="AM1097" t="n">
        <v>4570.1</v>
      </c>
      <c r="AN1097" t="n">
        <v>4524.6112</v>
      </c>
      <c r="AO1097" t="n">
        <v>45.4888</v>
      </c>
      <c r="AP1097" t="n">
        <v>2069.2264</v>
      </c>
      <c r="AQ1097" t="n">
        <v>2.165347</v>
      </c>
      <c r="AR1097" t="n">
        <v>2.801368</v>
      </c>
      <c r="AY1097" t="n">
        <v>1095</v>
      </c>
      <c r="AZ1097" t="n">
        <v>1094</v>
      </c>
      <c r="BA1097" t="n">
        <v>4570.1</v>
      </c>
      <c r="BB1097" t="n">
        <v>4524.6112</v>
      </c>
      <c r="BC1097" t="n">
        <v>45.4888</v>
      </c>
      <c r="BD1097" t="n">
        <v>2069.2264</v>
      </c>
      <c r="BE1097" t="n">
        <v>1196836</v>
      </c>
    </row>
    <row r="1098">
      <c r="A1098" t="n">
        <v>1777898702</v>
      </c>
      <c r="B1098" t="inlineStr">
        <is>
          <t>XAUUSD</t>
        </is>
      </c>
      <c r="C1098" t="inlineStr">
        <is>
          <t>M15</t>
        </is>
      </c>
      <c r="D1098" t="n">
        <v>4568.79</v>
      </c>
      <c r="E1098" t="n">
        <v>4518.59282</v>
      </c>
      <c r="F1098" t="n">
        <v>4596.05595</v>
      </c>
      <c r="G1098" t="n">
        <v>4755.40355</v>
      </c>
      <c r="H1098" t="n">
        <v>4792.76972</v>
      </c>
      <c r="Q1098" t="n">
        <v>4524.34365</v>
      </c>
      <c r="R1098" t="n">
        <v>4553.70695</v>
      </c>
      <c r="S1098" t="n">
        <v>4580.29572</v>
      </c>
      <c r="V1098" t="n">
        <v>4489.40388</v>
      </c>
      <c r="W1098" t="n">
        <v>4455.83888</v>
      </c>
      <c r="AB1098" t="n">
        <v>4565.82801</v>
      </c>
      <c r="AC1098" t="n">
        <v>4565.32914</v>
      </c>
      <c r="AD1098" t="n">
        <v>0</v>
      </c>
      <c r="AK1098" t="n">
        <v>1096</v>
      </c>
      <c r="AL1098" t="n">
        <v>1095</v>
      </c>
      <c r="AM1098" t="n">
        <v>4568.79</v>
      </c>
      <c r="AN1098" t="n">
        <v>4524.3436</v>
      </c>
      <c r="AO1098" t="n">
        <v>44.4464</v>
      </c>
      <c r="AP1098" t="n">
        <v>1975.478</v>
      </c>
      <c r="AQ1098" t="n">
        <v>2.019872</v>
      </c>
      <c r="AR1098" t="n">
        <v>2.55328</v>
      </c>
      <c r="AY1098" t="n">
        <v>1096</v>
      </c>
      <c r="AZ1098" t="n">
        <v>1095</v>
      </c>
      <c r="BA1098" t="n">
        <v>4568.79</v>
      </c>
      <c r="BB1098" t="n">
        <v>4524.3436</v>
      </c>
      <c r="BC1098" t="n">
        <v>44.4464</v>
      </c>
      <c r="BD1098" t="n">
        <v>1975.478</v>
      </c>
      <c r="BE1098" t="n">
        <v>1199025</v>
      </c>
    </row>
    <row r="1099">
      <c r="A1099" t="n">
        <v>1777899602</v>
      </c>
      <c r="B1099" t="inlineStr">
        <is>
          <t>XAUUSD</t>
        </is>
      </c>
      <c r="C1099" t="inlineStr">
        <is>
          <t>M15</t>
        </is>
      </c>
      <c r="D1099" t="n">
        <v>4565.98</v>
      </c>
      <c r="E1099" t="n">
        <v>4518.59282</v>
      </c>
      <c r="F1099" t="n">
        <v>4596.05595</v>
      </c>
      <c r="G1099" t="n">
        <v>4755.40355</v>
      </c>
      <c r="H1099" t="n">
        <v>4792.76972</v>
      </c>
      <c r="Q1099" t="n">
        <v>4524.07605</v>
      </c>
      <c r="R1099" t="n">
        <v>4553.43934</v>
      </c>
      <c r="S1099" t="n">
        <v>4580.02812</v>
      </c>
      <c r="V1099" t="n">
        <v>4489.13628</v>
      </c>
      <c r="W1099" t="n">
        <v>4455.57128</v>
      </c>
      <c r="AB1099" t="n">
        <v>4566.04079</v>
      </c>
      <c r="AC1099" t="n">
        <v>4565.68496</v>
      </c>
      <c r="AD1099" t="n">
        <v>0</v>
      </c>
      <c r="AK1099" t="n">
        <v>1097</v>
      </c>
      <c r="AL1099" t="n">
        <v>1096</v>
      </c>
      <c r="AM1099" t="n">
        <v>4565.98</v>
      </c>
      <c r="AN1099" t="n">
        <v>4524.076</v>
      </c>
      <c r="AO1099" t="n">
        <v>41.9039</v>
      </c>
      <c r="AP1099" t="n">
        <v>1755.941</v>
      </c>
      <c r="AQ1099" t="n">
        <v>1.692702</v>
      </c>
      <c r="AR1099" t="n">
        <v>2.017316</v>
      </c>
      <c r="AY1099" t="n">
        <v>1097</v>
      </c>
      <c r="AZ1099" t="n">
        <v>1096</v>
      </c>
      <c r="BA1099" t="n">
        <v>4565.98</v>
      </c>
      <c r="BB1099" t="n">
        <v>4524.076</v>
      </c>
      <c r="BC1099" t="n">
        <v>41.9039</v>
      </c>
      <c r="BD1099" t="n">
        <v>1755.941</v>
      </c>
      <c r="BE1099" t="n">
        <v>1201216</v>
      </c>
    </row>
    <row r="1100">
      <c r="A1100" t="n">
        <v>1777900502</v>
      </c>
      <c r="B1100" t="inlineStr">
        <is>
          <t>XAUUSD</t>
        </is>
      </c>
      <c r="C1100" t="inlineStr">
        <is>
          <t>M15</t>
        </is>
      </c>
      <c r="D1100" t="n">
        <v>4561.09</v>
      </c>
      <c r="E1100" t="n">
        <v>4518.59282</v>
      </c>
      <c r="F1100" t="n">
        <v>4596.05595</v>
      </c>
      <c r="G1100" t="n">
        <v>4755.40355</v>
      </c>
      <c r="H1100" t="n">
        <v>4792.76972</v>
      </c>
      <c r="Q1100" t="n">
        <v>4523.80844</v>
      </c>
      <c r="R1100" t="n">
        <v>4553.17174</v>
      </c>
      <c r="S1100" t="n">
        <v>4579.76051</v>
      </c>
      <c r="V1100" t="n">
        <v>4488.86867</v>
      </c>
      <c r="W1100" t="n">
        <v>4455.30367</v>
      </c>
      <c r="AB1100" t="n">
        <v>4566.51181</v>
      </c>
      <c r="AC1100" t="n">
        <v>4566.09838</v>
      </c>
      <c r="AD1100" t="n">
        <v>0</v>
      </c>
      <c r="AK1100" t="n">
        <v>1098</v>
      </c>
      <c r="AL1100" t="n">
        <v>1097</v>
      </c>
      <c r="AM1100" t="n">
        <v>4561.09</v>
      </c>
      <c r="AN1100" t="n">
        <v>4523.8084</v>
      </c>
      <c r="AO1100" t="n">
        <v>37.2816</v>
      </c>
      <c r="AP1100" t="n">
        <v>1389.9147</v>
      </c>
      <c r="AQ1100" t="n">
        <v>1.192059</v>
      </c>
      <c r="AR1100" t="n">
        <v>1.263952</v>
      </c>
      <c r="AY1100" t="n">
        <v>1098</v>
      </c>
      <c r="AZ1100" t="n">
        <v>1097</v>
      </c>
      <c r="BA1100" t="n">
        <v>4561.09</v>
      </c>
      <c r="BB1100" t="n">
        <v>4523.8084</v>
      </c>
      <c r="BC1100" t="n">
        <v>37.2816</v>
      </c>
      <c r="BD1100" t="n">
        <v>1389.9147</v>
      </c>
      <c r="BE1100" t="n">
        <v>1203409</v>
      </c>
    </row>
    <row r="1101">
      <c r="A1101" t="n">
        <v>1777901402</v>
      </c>
      <c r="B1101" t="inlineStr">
        <is>
          <t>XAUUSD</t>
        </is>
      </c>
      <c r="C1101" t="inlineStr">
        <is>
          <t>M15</t>
        </is>
      </c>
      <c r="D1101" t="n">
        <v>4565.51</v>
      </c>
      <c r="E1101" t="n">
        <v>4518.59282</v>
      </c>
      <c r="F1101" t="n">
        <v>4596.05595</v>
      </c>
      <c r="G1101" t="n">
        <v>4755.40355</v>
      </c>
      <c r="H1101" t="n">
        <v>4792.76972</v>
      </c>
      <c r="Q1101" t="n">
        <v>4523.54084</v>
      </c>
      <c r="R1101" t="n">
        <v>4552.90414</v>
      </c>
      <c r="S1101" t="n">
        <v>4579.49291</v>
      </c>
      <c r="V1101" t="n">
        <v>4488.60107</v>
      </c>
      <c r="W1101" t="n">
        <v>4455.03607</v>
      </c>
      <c r="AB1101" t="n">
        <v>4567.28242</v>
      </c>
      <c r="AC1101" t="n">
        <v>4566.6904</v>
      </c>
      <c r="AD1101" t="n">
        <v>0</v>
      </c>
      <c r="AK1101" t="n">
        <v>1099</v>
      </c>
      <c r="AL1101" t="n">
        <v>1098</v>
      </c>
      <c r="AM1101" t="n">
        <v>4565.51</v>
      </c>
      <c r="AN1101" t="n">
        <v>4523.5408</v>
      </c>
      <c r="AO1101" t="n">
        <v>41.9692</v>
      </c>
      <c r="AP1101" t="n">
        <v>1761.4104</v>
      </c>
      <c r="AQ1101" t="n">
        <v>1.700617</v>
      </c>
      <c r="AR1101" t="n">
        <v>2.029903</v>
      </c>
      <c r="AY1101" t="n">
        <v>1099</v>
      </c>
      <c r="AZ1101" t="n">
        <v>1098</v>
      </c>
      <c r="BA1101" t="n">
        <v>4565.51</v>
      </c>
      <c r="BB1101" t="n">
        <v>4523.5408</v>
      </c>
      <c r="BC1101" t="n">
        <v>41.9692</v>
      </c>
      <c r="BD1101" t="n">
        <v>1761.4104</v>
      </c>
      <c r="BE1101" t="n">
        <v>1205604</v>
      </c>
    </row>
    <row r="1102">
      <c r="A1102" t="n">
        <v>1777902302</v>
      </c>
      <c r="B1102" t="inlineStr">
        <is>
          <t>XAUUSD</t>
        </is>
      </c>
      <c r="C1102" t="inlineStr">
        <is>
          <t>M15</t>
        </is>
      </c>
      <c r="D1102" t="n">
        <v>4563.85</v>
      </c>
      <c r="E1102" t="n">
        <v>4518.59282</v>
      </c>
      <c r="F1102" t="n">
        <v>4596.05595</v>
      </c>
      <c r="G1102" t="n">
        <v>4755.40355</v>
      </c>
      <c r="H1102" t="n">
        <v>4792.76972</v>
      </c>
      <c r="Q1102" t="n">
        <v>4523.27323</v>
      </c>
      <c r="R1102" t="n">
        <v>4552.63653</v>
      </c>
      <c r="S1102" t="n">
        <v>4579.2253</v>
      </c>
      <c r="V1102" t="n">
        <v>4488.33346</v>
      </c>
      <c r="W1102" t="n">
        <v>4454.76847</v>
      </c>
      <c r="AB1102" t="n">
        <v>4567.88901</v>
      </c>
      <c r="AC1102" t="n">
        <v>4567.2897</v>
      </c>
      <c r="AD1102" t="n">
        <v>0</v>
      </c>
      <c r="AK1102" t="n">
        <v>1100</v>
      </c>
      <c r="AL1102" t="n">
        <v>1099</v>
      </c>
      <c r="AM1102" t="n">
        <v>4563.85</v>
      </c>
      <c r="AN1102" t="n">
        <v>4523.2732</v>
      </c>
      <c r="AO1102" t="n">
        <v>40.5768</v>
      </c>
      <c r="AP1102" t="n">
        <v>1646.4743</v>
      </c>
      <c r="AQ1102" t="n">
        <v>1.536908</v>
      </c>
      <c r="AR1102" t="n">
        <v>1.773634</v>
      </c>
      <c r="AY1102" t="n">
        <v>1100</v>
      </c>
      <c r="AZ1102" t="n">
        <v>1099</v>
      </c>
      <c r="BA1102" t="n">
        <v>4563.85</v>
      </c>
      <c r="BB1102" t="n">
        <v>4523.2732</v>
      </c>
      <c r="BC1102" t="n">
        <v>40.5768</v>
      </c>
      <c r="BD1102" t="n">
        <v>1646.4743</v>
      </c>
      <c r="BE1102" t="n">
        <v>1207801</v>
      </c>
    </row>
    <row r="1103">
      <c r="A1103" t="n">
        <v>1777903202</v>
      </c>
      <c r="B1103" t="inlineStr">
        <is>
          <t>XAUUSD</t>
        </is>
      </c>
      <c r="C1103" t="inlineStr">
        <is>
          <t>M15</t>
        </is>
      </c>
      <c r="D1103" t="n">
        <v>4560.18</v>
      </c>
      <c r="E1103" t="n">
        <v>4518.59282</v>
      </c>
      <c r="F1103" t="n">
        <v>4596.05595</v>
      </c>
      <c r="G1103" t="n">
        <v>4755.40355</v>
      </c>
      <c r="H1103" t="n">
        <v>4792.76972</v>
      </c>
      <c r="Q1103" t="n">
        <v>4523.00563</v>
      </c>
      <c r="R1103" t="n">
        <v>4552.36893</v>
      </c>
      <c r="S1103" t="n">
        <v>4578.9577</v>
      </c>
      <c r="V1103" t="n">
        <v>4488.06586</v>
      </c>
      <c r="W1103" t="n">
        <v>4454.50086</v>
      </c>
      <c r="AB1103" t="n">
        <v>4567.82539</v>
      </c>
      <c r="AC1103" t="n">
        <v>4567.55755</v>
      </c>
      <c r="AD1103" t="n">
        <v>0</v>
      </c>
      <c r="AK1103" t="n">
        <v>1101</v>
      </c>
      <c r="AL1103" t="n">
        <v>1100</v>
      </c>
      <c r="AM1103" t="n">
        <v>4560.18</v>
      </c>
      <c r="AN1103" t="n">
        <v>4523.0056</v>
      </c>
      <c r="AO1103" t="n">
        <v>37.1744</v>
      </c>
      <c r="AP1103" t="n">
        <v>1381.9338</v>
      </c>
      <c r="AQ1103" t="n">
        <v>1.181807</v>
      </c>
      <c r="AR1103" t="n">
        <v>1.249478</v>
      </c>
      <c r="AY1103" t="n">
        <v>1101</v>
      </c>
      <c r="AZ1103" t="n">
        <v>1100</v>
      </c>
      <c r="BA1103" t="n">
        <v>4560.18</v>
      </c>
      <c r="BB1103" t="n">
        <v>4523.0056</v>
      </c>
      <c r="BC1103" t="n">
        <v>37.1744</v>
      </c>
      <c r="BD1103" t="n">
        <v>1381.9338</v>
      </c>
      <c r="BE1103" t="n">
        <v>1210000</v>
      </c>
    </row>
    <row r="1104">
      <c r="A1104" t="n">
        <v>1777904102</v>
      </c>
      <c r="B1104" t="inlineStr">
        <is>
          <t>XAUUSD</t>
        </is>
      </c>
      <c r="C1104" t="inlineStr">
        <is>
          <t>M15</t>
        </is>
      </c>
      <c r="D1104" t="n">
        <v>4571.2</v>
      </c>
      <c r="E1104" t="n">
        <v>4518.59282</v>
      </c>
      <c r="F1104" t="n">
        <v>4596.05595</v>
      </c>
      <c r="G1104" t="n">
        <v>4755.40355</v>
      </c>
      <c r="H1104" t="n">
        <v>4792.76972</v>
      </c>
      <c r="Q1104" t="n">
        <v>4522.73803</v>
      </c>
      <c r="R1104" t="n">
        <v>4552.10132</v>
      </c>
      <c r="S1104" t="n">
        <v>4578.69009</v>
      </c>
      <c r="V1104" t="n">
        <v>4487.79825</v>
      </c>
      <c r="W1104" t="n">
        <v>4454.23326</v>
      </c>
      <c r="AB1104" t="n">
        <v>4566.55373</v>
      </c>
      <c r="AC1104" t="n">
        <v>4567.05564</v>
      </c>
      <c r="AD1104" t="n">
        <v>1</v>
      </c>
      <c r="AK1104" t="n">
        <v>1102</v>
      </c>
      <c r="AL1104" t="n">
        <v>1101</v>
      </c>
      <c r="AM1104" t="n">
        <v>4571.2</v>
      </c>
      <c r="AN1104" t="n">
        <v>4522.738</v>
      </c>
      <c r="AO1104" t="n">
        <v>48.462</v>
      </c>
      <c r="AP1104" t="n">
        <v>2348.5625</v>
      </c>
      <c r="AQ1104" t="n">
        <v>2.618296</v>
      </c>
      <c r="AR1104" t="n">
        <v>3.608763</v>
      </c>
      <c r="AY1104" t="n">
        <v>1102</v>
      </c>
      <c r="AZ1104" t="n">
        <v>1101</v>
      </c>
      <c r="BA1104" t="n">
        <v>4571.2</v>
      </c>
      <c r="BB1104" t="n">
        <v>4522.738</v>
      </c>
      <c r="BC1104" t="n">
        <v>48.462</v>
      </c>
      <c r="BD1104" t="n">
        <v>2348.5625</v>
      </c>
      <c r="BE1104" t="n">
        <v>1212201</v>
      </c>
    </row>
    <row r="1105">
      <c r="A1105" t="n">
        <v>1777905002</v>
      </c>
      <c r="B1105" t="inlineStr">
        <is>
          <t>XAUUSD</t>
        </is>
      </c>
      <c r="C1105" t="inlineStr">
        <is>
          <t>M15</t>
        </is>
      </c>
      <c r="D1105" t="n">
        <v>4574.38</v>
      </c>
      <c r="E1105" t="n">
        <v>4518.59282</v>
      </c>
      <c r="F1105" t="n">
        <v>4596.05595</v>
      </c>
      <c r="G1105" t="n">
        <v>4755.40355</v>
      </c>
      <c r="H1105" t="n">
        <v>4792.76972</v>
      </c>
      <c r="Q1105" t="n">
        <v>4522.47042</v>
      </c>
      <c r="R1105" t="n">
        <v>4551.83372</v>
      </c>
      <c r="S1105" t="n">
        <v>4578.42249</v>
      </c>
      <c r="V1105" t="n">
        <v>4487.53065</v>
      </c>
      <c r="W1105" t="n">
        <v>4453.96565</v>
      </c>
      <c r="Z1105" t="n">
        <v>4583.16</v>
      </c>
      <c r="AB1105" t="n">
        <v>4563.19435</v>
      </c>
      <c r="AC1105" t="n">
        <v>4565.12499</v>
      </c>
      <c r="AD1105" t="n">
        <v>0</v>
      </c>
      <c r="AK1105" t="n">
        <v>1103</v>
      </c>
      <c r="AL1105" t="n">
        <v>1102</v>
      </c>
      <c r="AM1105" t="n">
        <v>4574.38</v>
      </c>
      <c r="AN1105" t="n">
        <v>4522.4704</v>
      </c>
      <c r="AO1105" t="n">
        <v>51.9096</v>
      </c>
      <c r="AP1105" t="n">
        <v>2694.6045</v>
      </c>
      <c r="AQ1105" t="n">
        <v>3.217793</v>
      </c>
      <c r="AR1105" t="n">
        <v>4.750553</v>
      </c>
      <c r="AY1105" t="n">
        <v>1103</v>
      </c>
      <c r="AZ1105" t="n">
        <v>1102</v>
      </c>
      <c r="BA1105" t="n">
        <v>4574.38</v>
      </c>
      <c r="BB1105" t="n">
        <v>4522.4704</v>
      </c>
      <c r="BC1105" t="n">
        <v>51.9096</v>
      </c>
      <c r="BD1105" t="n">
        <v>2694.6045</v>
      </c>
      <c r="BE1105" t="n">
        <v>1214404</v>
      </c>
    </row>
    <row r="1106">
      <c r="A1106" t="n">
        <v>1777905902</v>
      </c>
      <c r="B1106" t="inlineStr">
        <is>
          <t>XAUUSD</t>
        </is>
      </c>
      <c r="C1106" t="inlineStr">
        <is>
          <t>M15</t>
        </is>
      </c>
      <c r="D1106" t="n">
        <v>4561.26</v>
      </c>
      <c r="E1106" t="n">
        <v>4518.59282</v>
      </c>
      <c r="F1106" t="n">
        <v>4596.05595</v>
      </c>
      <c r="G1106" t="n">
        <v>4755.40355</v>
      </c>
      <c r="H1106" t="n">
        <v>4792.76972</v>
      </c>
      <c r="Q1106" t="n">
        <v>4522.20282</v>
      </c>
      <c r="R1106" t="n">
        <v>4551.56612</v>
      </c>
      <c r="S1106" t="n">
        <v>4578.15489</v>
      </c>
      <c r="V1106" t="n">
        <v>4487.26305</v>
      </c>
      <c r="W1106" t="n">
        <v>4453.69805</v>
      </c>
      <c r="AB1106" t="n">
        <v>4557.36864</v>
      </c>
      <c r="AC1106" t="n">
        <v>4561.24682</v>
      </c>
      <c r="AD1106" t="n">
        <v>0</v>
      </c>
      <c r="AK1106" t="n">
        <v>1104</v>
      </c>
      <c r="AL1106" t="n">
        <v>1103</v>
      </c>
      <c r="AM1106" t="n">
        <v>4561.26</v>
      </c>
      <c r="AN1106" t="n">
        <v>4522.2028</v>
      </c>
      <c r="AO1106" t="n">
        <v>39.0572</v>
      </c>
      <c r="AP1106" t="n">
        <v>1525.4633</v>
      </c>
      <c r="AQ1106" t="n">
        <v>1.370624</v>
      </c>
      <c r="AR1106" t="n">
        <v>1.522501</v>
      </c>
      <c r="AY1106" t="n">
        <v>1104</v>
      </c>
      <c r="AZ1106" t="n">
        <v>1103</v>
      </c>
      <c r="BA1106" t="n">
        <v>4561.26</v>
      </c>
      <c r="BB1106" t="n">
        <v>4522.2028</v>
      </c>
      <c r="BC1106" t="n">
        <v>39.0572</v>
      </c>
      <c r="BD1106" t="n">
        <v>1525.4633</v>
      </c>
      <c r="BE1106" t="n">
        <v>1216609</v>
      </c>
    </row>
    <row r="1107">
      <c r="A1107" t="n">
        <v>1777906802</v>
      </c>
      <c r="B1107" t="inlineStr">
        <is>
          <t>XAUUSD</t>
        </is>
      </c>
      <c r="C1107" t="inlineStr">
        <is>
          <t>M15</t>
        </is>
      </c>
      <c r="D1107" t="n">
        <v>4548.46</v>
      </c>
      <c r="E1107" t="n">
        <v>4518.59282</v>
      </c>
      <c r="F1107" t="n">
        <v>4596.05595</v>
      </c>
      <c r="G1107" t="n">
        <v>4755.40355</v>
      </c>
      <c r="H1107" t="n">
        <v>4792.76972</v>
      </c>
      <c r="Q1107" t="n">
        <v>4521.93521</v>
      </c>
      <c r="R1107" t="n">
        <v>4551.29851</v>
      </c>
      <c r="S1107" t="n">
        <v>4577.88728</v>
      </c>
      <c r="V1107" t="n">
        <v>4486.99544</v>
      </c>
      <c r="W1107" t="n">
        <v>4453.43045</v>
      </c>
      <c r="AB1107" t="n">
        <v>4549.59106</v>
      </c>
      <c r="AC1107" t="n">
        <v>4555.41894</v>
      </c>
      <c r="AD1107" t="n">
        <v>0</v>
      </c>
      <c r="AK1107" t="n">
        <v>1105</v>
      </c>
      <c r="AL1107" t="n">
        <v>1104</v>
      </c>
      <c r="AM1107" t="n">
        <v>4548.46</v>
      </c>
      <c r="AN1107" t="n">
        <v>4521.9352</v>
      </c>
      <c r="AO1107" t="n">
        <v>26.5248</v>
      </c>
      <c r="AP1107" t="n">
        <v>703.5645</v>
      </c>
      <c r="AQ1107" t="n">
        <v>0.42931</v>
      </c>
      <c r="AR1107" t="n">
        <v>0.323863</v>
      </c>
      <c r="AY1107" t="n">
        <v>1105</v>
      </c>
      <c r="AZ1107" t="n">
        <v>1104</v>
      </c>
      <c r="BA1107" t="n">
        <v>4548.46</v>
      </c>
      <c r="BB1107" t="n">
        <v>4521.9352</v>
      </c>
      <c r="BC1107" t="n">
        <v>26.5248</v>
      </c>
      <c r="BD1107" t="n">
        <v>703.5645</v>
      </c>
      <c r="BE1107" t="n">
        <v>1218816</v>
      </c>
    </row>
    <row r="1108">
      <c r="A1108" t="n">
        <v>1777907702</v>
      </c>
      <c r="B1108" t="inlineStr">
        <is>
          <t>XAUUSD</t>
        </is>
      </c>
      <c r="C1108" t="inlineStr">
        <is>
          <t>M15</t>
        </is>
      </c>
      <c r="D1108" t="n">
        <v>4537.95</v>
      </c>
      <c r="E1108" t="n">
        <v>4518.59282</v>
      </c>
      <c r="F1108" t="n">
        <v>4596.05595</v>
      </c>
      <c r="G1108" t="n">
        <v>4755.40355</v>
      </c>
      <c r="H1108" t="n">
        <v>4792.76972</v>
      </c>
      <c r="Q1108" t="n">
        <v>4521.66761</v>
      </c>
      <c r="R1108" t="n">
        <v>4551.03091</v>
      </c>
      <c r="S1108" t="n">
        <v>4577.61968</v>
      </c>
      <c r="V1108" t="n">
        <v>4486.72784</v>
      </c>
      <c r="W1108" t="n">
        <v>4453.16284</v>
      </c>
      <c r="AB1108" t="n">
        <v>4540.74889</v>
      </c>
      <c r="AC1108" t="n">
        <v>4548.08392</v>
      </c>
      <c r="AD1108" t="n">
        <v>0</v>
      </c>
      <c r="AK1108" t="n">
        <v>1106</v>
      </c>
      <c r="AL1108" t="n">
        <v>1105</v>
      </c>
      <c r="AM1108" t="n">
        <v>4537.95</v>
      </c>
      <c r="AN1108" t="n">
        <v>4521.6676</v>
      </c>
      <c r="AO1108" t="n">
        <v>16.2824</v>
      </c>
      <c r="AP1108" t="n">
        <v>265.1162</v>
      </c>
      <c r="AQ1108" t="n">
        <v>0.099305</v>
      </c>
      <c r="AR1108" t="n">
        <v>0.045986</v>
      </c>
      <c r="AY1108" t="n">
        <v>1106</v>
      </c>
      <c r="AZ1108" t="n">
        <v>1105</v>
      </c>
      <c r="BA1108" t="n">
        <v>4537.95</v>
      </c>
      <c r="BB1108" t="n">
        <v>4521.6676</v>
      </c>
      <c r="BC1108" t="n">
        <v>16.2824</v>
      </c>
      <c r="BD1108" t="n">
        <v>265.1162</v>
      </c>
      <c r="BE1108" t="n">
        <v>1221025</v>
      </c>
    </row>
    <row r="1109">
      <c r="A1109" t="n">
        <v>1777908602</v>
      </c>
      <c r="B1109" t="inlineStr">
        <is>
          <t>XAUUSD</t>
        </is>
      </c>
      <c r="C1109" t="inlineStr">
        <is>
          <t>M15</t>
        </is>
      </c>
      <c r="D1109" t="n">
        <v>4535.1</v>
      </c>
      <c r="E1109" t="n">
        <v>4518.59282</v>
      </c>
      <c r="F1109" t="n">
        <v>4596.05595</v>
      </c>
      <c r="G1109" t="n">
        <v>4755.40355</v>
      </c>
      <c r="H1109" t="n">
        <v>4792.76972</v>
      </c>
      <c r="Q1109" t="n">
        <v>4521.4</v>
      </c>
      <c r="R1109" t="n">
        <v>4550.7633</v>
      </c>
      <c r="S1109" t="n">
        <v>4577.35207</v>
      </c>
      <c r="V1109" t="n">
        <v>4486.46023</v>
      </c>
      <c r="W1109" t="n">
        <v>4452.89524</v>
      </c>
      <c r="AB1109" t="n">
        <v>4531.91789</v>
      </c>
      <c r="AC1109" t="n">
        <v>4540.0009</v>
      </c>
      <c r="AD1109" t="n">
        <v>0</v>
      </c>
      <c r="AK1109" t="n">
        <v>1107</v>
      </c>
      <c r="AL1109" t="n">
        <v>1106</v>
      </c>
      <c r="AM1109" t="n">
        <v>4535.1</v>
      </c>
      <c r="AN1109" t="n">
        <v>4521.4</v>
      </c>
      <c r="AO1109" t="n">
        <v>13.7</v>
      </c>
      <c r="AP1109" t="n">
        <v>187.69</v>
      </c>
      <c r="AQ1109" t="n">
        <v>0.059153</v>
      </c>
      <c r="AR1109" t="n">
        <v>0.023048</v>
      </c>
      <c r="AY1109" t="n">
        <v>1107</v>
      </c>
      <c r="AZ1109" t="n">
        <v>1106</v>
      </c>
      <c r="BA1109" t="n">
        <v>4535.1</v>
      </c>
      <c r="BB1109" t="n">
        <v>4521.4</v>
      </c>
      <c r="BC1109" t="n">
        <v>13.7</v>
      </c>
      <c r="BD1109" t="n">
        <v>187.69</v>
      </c>
      <c r="BE1109" t="n">
        <v>1223236</v>
      </c>
    </row>
    <row r="1110">
      <c r="A1110" t="n">
        <v>1777909502</v>
      </c>
      <c r="B1110" t="inlineStr">
        <is>
          <t>XAUUSD</t>
        </is>
      </c>
      <c r="C1110" t="inlineStr">
        <is>
          <t>M15</t>
        </is>
      </c>
      <c r="D1110" t="n">
        <v>4521.33</v>
      </c>
      <c r="E1110" t="n">
        <v>4518.59282</v>
      </c>
      <c r="F1110" t="n">
        <v>4596.05595</v>
      </c>
      <c r="G1110" t="n">
        <v>4755.40355</v>
      </c>
      <c r="H1110" t="n">
        <v>4792.76972</v>
      </c>
      <c r="Q1110" t="n">
        <v>4521.1324</v>
      </c>
      <c r="R1110" t="n">
        <v>4550.4957</v>
      </c>
      <c r="S1110" t="n">
        <v>4577.08447</v>
      </c>
      <c r="V1110" t="n">
        <v>4486.19263</v>
      </c>
      <c r="W1110" t="n">
        <v>4452.62763</v>
      </c>
      <c r="AB1110" t="n">
        <v>4523.98413</v>
      </c>
      <c r="AC1110" t="n">
        <v>4531.99252</v>
      </c>
      <c r="AD1110" t="n">
        <v>0</v>
      </c>
      <c r="AK1110" t="n">
        <v>1108</v>
      </c>
      <c r="AL1110" t="n">
        <v>1107</v>
      </c>
      <c r="AM1110" t="n">
        <v>4521.33</v>
      </c>
      <c r="AN1110" t="n">
        <v>4521.1324</v>
      </c>
      <c r="AO1110" t="n">
        <v>0.1976</v>
      </c>
      <c r="AP1110" t="n">
        <v>0.039</v>
      </c>
      <c r="AQ1110" t="n">
        <v>0</v>
      </c>
      <c r="AR1110" t="n">
        <v>0</v>
      </c>
      <c r="AY1110" t="n">
        <v>1108</v>
      </c>
      <c r="AZ1110" t="n">
        <v>1107</v>
      </c>
      <c r="BA1110" t="n">
        <v>4521.33</v>
      </c>
      <c r="BB1110" t="n">
        <v>4521.1324</v>
      </c>
      <c r="BC1110" t="n">
        <v>0.1976</v>
      </c>
      <c r="BD1110" t="n">
        <v>0.039</v>
      </c>
      <c r="BE1110" t="n">
        <v>1225449</v>
      </c>
    </row>
    <row r="1111">
      <c r="A1111" t="n">
        <v>1777910402</v>
      </c>
      <c r="B1111" t="inlineStr">
        <is>
          <t>XAUUSD</t>
        </is>
      </c>
      <c r="C1111" t="inlineStr">
        <is>
          <t>M15</t>
        </is>
      </c>
      <c r="D1111" t="n">
        <v>4509.88</v>
      </c>
      <c r="E1111" t="n">
        <v>4518.59282</v>
      </c>
      <c r="F1111" t="n">
        <v>4596.05595</v>
      </c>
      <c r="G1111" t="n">
        <v>4755.40355</v>
      </c>
      <c r="H1111" t="n">
        <v>4792.76972</v>
      </c>
      <c r="Q1111" t="n">
        <v>4520.8648</v>
      </c>
      <c r="R1111" t="n">
        <v>4550.2281</v>
      </c>
      <c r="S1111" t="n">
        <v>4576.81687</v>
      </c>
      <c r="V1111" t="n">
        <v>4485.92503</v>
      </c>
      <c r="W1111" t="n">
        <v>4452.36003</v>
      </c>
      <c r="AA1111" t="n">
        <v>4500.86</v>
      </c>
      <c r="AB1111" t="n">
        <v>4518.02761</v>
      </c>
      <c r="AC1111" t="n">
        <v>4525.01006</v>
      </c>
      <c r="AD1111" t="n">
        <v>0</v>
      </c>
      <c r="AK1111" t="n">
        <v>1109</v>
      </c>
      <c r="AL1111" t="n">
        <v>1108</v>
      </c>
      <c r="AM1111" t="n">
        <v>4509.88</v>
      </c>
      <c r="AN1111" t="n">
        <v>4520.8648</v>
      </c>
      <c r="AO1111" t="n">
        <v>-10.9848</v>
      </c>
      <c r="AP1111" t="n">
        <v>120.6658</v>
      </c>
      <c r="AQ1111" t="n">
        <v>-0.030492</v>
      </c>
      <c r="AR1111" t="n">
        <v>0.009526</v>
      </c>
      <c r="AY1111" t="n">
        <v>1109</v>
      </c>
      <c r="AZ1111" t="n">
        <v>1108</v>
      </c>
      <c r="BA1111" t="n">
        <v>4509.88</v>
      </c>
      <c r="BB1111" t="n">
        <v>4520.8648</v>
      </c>
      <c r="BC1111" t="n">
        <v>-10.9848</v>
      </c>
      <c r="BD1111" t="n">
        <v>120.6658</v>
      </c>
      <c r="BE1111" t="n">
        <v>1227664</v>
      </c>
    </row>
    <row r="1112">
      <c r="A1112" t="n">
        <v>1777911302</v>
      </c>
      <c r="B1112" t="inlineStr">
        <is>
          <t>XAUUSD</t>
        </is>
      </c>
      <c r="C1112" t="inlineStr">
        <is>
          <t>M15</t>
        </is>
      </c>
      <c r="D1112" t="n">
        <v>4515.03</v>
      </c>
      <c r="E1112" t="n">
        <v>4518.59282</v>
      </c>
      <c r="F1112" t="n">
        <v>4596.05595</v>
      </c>
      <c r="G1112" t="n">
        <v>4755.40355</v>
      </c>
      <c r="H1112" t="n">
        <v>4792.76972</v>
      </c>
      <c r="Q1112" t="n">
        <v>4520.59719</v>
      </c>
      <c r="R1112" t="n">
        <v>4549.96049</v>
      </c>
      <c r="S1112" t="n">
        <v>4576.54926</v>
      </c>
      <c r="V1112" t="n">
        <v>4485.65742</v>
      </c>
      <c r="W1112" t="n">
        <v>4452.09243</v>
      </c>
      <c r="AB1112" t="n">
        <v>4514.68386</v>
      </c>
      <c r="AC1112" t="n">
        <v>4519.84696</v>
      </c>
      <c r="AD1112" t="n">
        <v>0</v>
      </c>
      <c r="AK1112" t="n">
        <v>1110</v>
      </c>
      <c r="AL1112" t="n">
        <v>1109</v>
      </c>
      <c r="AM1112" t="n">
        <v>4515.03</v>
      </c>
      <c r="AN1112" t="n">
        <v>4520.5972</v>
      </c>
      <c r="AO1112" t="n">
        <v>-5.5672</v>
      </c>
      <c r="AP1112" t="n">
        <v>30.9936</v>
      </c>
      <c r="AQ1112" t="n">
        <v>-0.003969</v>
      </c>
      <c r="AR1112" t="n">
        <v>0.000628</v>
      </c>
      <c r="AY1112" t="n">
        <v>1110</v>
      </c>
      <c r="AZ1112" t="n">
        <v>1109</v>
      </c>
      <c r="BA1112" t="n">
        <v>4515.03</v>
      </c>
      <c r="BB1112" t="n">
        <v>4520.5972</v>
      </c>
      <c r="BC1112" t="n">
        <v>-5.5672</v>
      </c>
      <c r="BD1112" t="n">
        <v>30.9936</v>
      </c>
      <c r="BE1112" t="n">
        <v>1229881</v>
      </c>
    </row>
    <row r="1113">
      <c r="A1113" t="n">
        <v>1777912202</v>
      </c>
      <c r="B1113" t="inlineStr">
        <is>
          <t>XAUUSD</t>
        </is>
      </c>
      <c r="C1113" t="inlineStr">
        <is>
          <t>M15</t>
        </is>
      </c>
      <c r="D1113" t="n">
        <v>4512.59</v>
      </c>
      <c r="E1113" t="n">
        <v>4518.59282</v>
      </c>
      <c r="F1113" t="n">
        <v>4596.05595</v>
      </c>
      <c r="G1113" t="n">
        <v>4755.40355</v>
      </c>
      <c r="H1113" t="n">
        <v>4792.76972</v>
      </c>
      <c r="Q1113" t="n">
        <v>4520.32959</v>
      </c>
      <c r="R1113" t="n">
        <v>4549.69289</v>
      </c>
      <c r="S1113" t="n">
        <v>4576.28166</v>
      </c>
      <c r="V1113" t="n">
        <v>4485.38982</v>
      </c>
      <c r="W1113" t="n">
        <v>4451.82482</v>
      </c>
      <c r="AB1113" t="n">
        <v>4513.70295</v>
      </c>
      <c r="AC1113" t="n">
        <v>4516.77496</v>
      </c>
      <c r="AD1113" t="n">
        <v>0</v>
      </c>
      <c r="AK1113" t="n">
        <v>1111</v>
      </c>
      <c r="AL1113" t="n">
        <v>1110</v>
      </c>
      <c r="AM1113" t="n">
        <v>4512.59</v>
      </c>
      <c r="AN1113" t="n">
        <v>4520.3296</v>
      </c>
      <c r="AO1113" t="n">
        <v>-7.7396</v>
      </c>
      <c r="AP1113" t="n">
        <v>59.9013</v>
      </c>
      <c r="AQ1113" t="n">
        <v>-0.010665</v>
      </c>
      <c r="AR1113" t="n">
        <v>0.002348</v>
      </c>
      <c r="AY1113" t="n">
        <v>1111</v>
      </c>
      <c r="AZ1113" t="n">
        <v>1110</v>
      </c>
      <c r="BA1113" t="n">
        <v>4512.59</v>
      </c>
      <c r="BB1113" t="n">
        <v>4520.3296</v>
      </c>
      <c r="BC1113" t="n">
        <v>-7.7396</v>
      </c>
      <c r="BD1113" t="n">
        <v>59.9013</v>
      </c>
      <c r="BE1113" t="n">
        <v>1232100</v>
      </c>
    </row>
    <row r="1114">
      <c r="A1114" t="n">
        <v>1777913102</v>
      </c>
      <c r="B1114" t="inlineStr">
        <is>
          <t>XAUUSD</t>
        </is>
      </c>
      <c r="C1114" t="inlineStr">
        <is>
          <t>M15</t>
        </is>
      </c>
      <c r="D1114" t="n">
        <v>4510.69</v>
      </c>
      <c r="E1114" t="n">
        <v>4518.59282</v>
      </c>
      <c r="F1114" t="n">
        <v>4596.05595</v>
      </c>
      <c r="G1114" t="n">
        <v>4755.40355</v>
      </c>
      <c r="H1114" t="n">
        <v>4792.76972</v>
      </c>
      <c r="Q1114" t="n">
        <v>4520.06198</v>
      </c>
      <c r="R1114" t="n">
        <v>4549.42528</v>
      </c>
      <c r="S1114" t="n">
        <v>4576.01405</v>
      </c>
      <c r="V1114" t="n">
        <v>4485.12221</v>
      </c>
      <c r="W1114" t="n">
        <v>4451.55722</v>
      </c>
      <c r="AB1114" t="n">
        <v>4514.63593</v>
      </c>
      <c r="AC1114" t="n">
        <v>4515.70544</v>
      </c>
      <c r="AD1114" t="n">
        <v>0</v>
      </c>
      <c r="AK1114" t="n">
        <v>1112</v>
      </c>
      <c r="AL1114" t="n">
        <v>1111</v>
      </c>
      <c r="AM1114" t="n">
        <v>4510.69</v>
      </c>
      <c r="AN1114" t="n">
        <v>4520.062</v>
      </c>
      <c r="AO1114" t="n">
        <v>-9.372</v>
      </c>
      <c r="AP1114" t="n">
        <v>87.834</v>
      </c>
      <c r="AQ1114" t="n">
        <v>-0.018937</v>
      </c>
      <c r="AR1114" t="n">
        <v>0.005048</v>
      </c>
      <c r="AY1114" t="n">
        <v>1112</v>
      </c>
      <c r="AZ1114" t="n">
        <v>1111</v>
      </c>
      <c r="BA1114" t="n">
        <v>4510.69</v>
      </c>
      <c r="BB1114" t="n">
        <v>4520.062</v>
      </c>
      <c r="BC1114" t="n">
        <v>-9.372</v>
      </c>
      <c r="BD1114" t="n">
        <v>87.834</v>
      </c>
      <c r="BE1114" t="n">
        <v>1234321</v>
      </c>
    </row>
    <row r="1115">
      <c r="A1115" t="n">
        <v>1777914002</v>
      </c>
      <c r="B1115" t="inlineStr">
        <is>
          <t>XAUUSD</t>
        </is>
      </c>
      <c r="C1115" t="inlineStr">
        <is>
          <t>M15</t>
        </is>
      </c>
      <c r="D1115" t="n">
        <v>4522.39</v>
      </c>
      <c r="E1115" t="n">
        <v>4518.59282</v>
      </c>
      <c r="F1115" t="n">
        <v>4596.05595</v>
      </c>
      <c r="G1115" t="n">
        <v>4755.40355</v>
      </c>
      <c r="H1115" t="n">
        <v>4792.76972</v>
      </c>
      <c r="Q1115" t="n">
        <v>4519.79438</v>
      </c>
      <c r="R1115" t="n">
        <v>4549.15768</v>
      </c>
      <c r="S1115" t="n">
        <v>4575.74645</v>
      </c>
      <c r="V1115" t="n">
        <v>4484.85461</v>
      </c>
      <c r="W1115" t="n">
        <v>4451.28961</v>
      </c>
      <c r="AB1115" t="n">
        <v>4516.79679</v>
      </c>
      <c r="AC1115" t="n">
        <v>4516.25111</v>
      </c>
      <c r="AD1115" t="n">
        <v>1</v>
      </c>
      <c r="AK1115" t="n">
        <v>1113</v>
      </c>
      <c r="AL1115" t="n">
        <v>1112</v>
      </c>
      <c r="AM1115" t="n">
        <v>4522.39</v>
      </c>
      <c r="AN1115" t="n">
        <v>4519.7944</v>
      </c>
      <c r="AO1115" t="n">
        <v>2.5956</v>
      </c>
      <c r="AP1115" t="n">
        <v>6.7372</v>
      </c>
      <c r="AQ1115" t="n">
        <v>0.000402</v>
      </c>
      <c r="AR1115" t="n">
        <v>3e-05</v>
      </c>
      <c r="AY1115" t="n">
        <v>1113</v>
      </c>
      <c r="AZ1115" t="n">
        <v>1112</v>
      </c>
      <c r="BA1115" t="n">
        <v>4522.39</v>
      </c>
      <c r="BB1115" t="n">
        <v>4519.7944</v>
      </c>
      <c r="BC1115" t="n">
        <v>2.5956</v>
      </c>
      <c r="BD1115" t="n">
        <v>6.7372</v>
      </c>
      <c r="BE1115" t="n">
        <v>1236544</v>
      </c>
    </row>
    <row r="1116">
      <c r="A1116" t="n">
        <v>1777914902</v>
      </c>
      <c r="B1116" t="inlineStr">
        <is>
          <t>XAUUSD</t>
        </is>
      </c>
      <c r="C1116" t="inlineStr">
        <is>
          <t>M15</t>
        </is>
      </c>
      <c r="D1116" t="n">
        <v>4524.38</v>
      </c>
      <c r="E1116" t="n">
        <v>4518.59282</v>
      </c>
      <c r="F1116" t="n">
        <v>4596.05595</v>
      </c>
      <c r="G1116" t="n">
        <v>4755.40355</v>
      </c>
      <c r="H1116" t="n">
        <v>4792.76972</v>
      </c>
      <c r="Q1116" t="n">
        <v>4519.52678</v>
      </c>
      <c r="R1116" t="n">
        <v>4548.89007</v>
      </c>
      <c r="S1116" t="n">
        <v>4575.47885</v>
      </c>
      <c r="V1116" t="n">
        <v>4484.58701</v>
      </c>
      <c r="W1116" t="n">
        <v>4451.02201</v>
      </c>
      <c r="AB1116" t="n">
        <v>4519.04827</v>
      </c>
      <c r="AC1116" t="n">
        <v>4517.64969</v>
      </c>
      <c r="AD1116" t="n">
        <v>0</v>
      </c>
      <c r="AK1116" t="n">
        <v>1114</v>
      </c>
      <c r="AL1116" t="n">
        <v>1113</v>
      </c>
      <c r="AM1116" t="n">
        <v>4524.38</v>
      </c>
      <c r="AN1116" t="n">
        <v>4519.5268</v>
      </c>
      <c r="AO1116" t="n">
        <v>4.8532</v>
      </c>
      <c r="AP1116" t="n">
        <v>23.5537</v>
      </c>
      <c r="AQ1116" t="n">
        <v>0.00263</v>
      </c>
      <c r="AR1116" t="n">
        <v>0.000363</v>
      </c>
      <c r="AY1116" t="n">
        <v>1114</v>
      </c>
      <c r="AZ1116" t="n">
        <v>1113</v>
      </c>
      <c r="BA1116" t="n">
        <v>4524.38</v>
      </c>
      <c r="BB1116" t="n">
        <v>4519.5268</v>
      </c>
      <c r="BC1116" t="n">
        <v>4.8532</v>
      </c>
      <c r="BD1116" t="n">
        <v>23.5537</v>
      </c>
      <c r="BE1116" t="n">
        <v>1238769</v>
      </c>
    </row>
    <row r="1117">
      <c r="A1117" t="n">
        <v>1777915802</v>
      </c>
      <c r="B1117" t="inlineStr">
        <is>
          <t>XAUUSD</t>
        </is>
      </c>
      <c r="C1117" t="inlineStr">
        <is>
          <t>M15</t>
        </is>
      </c>
      <c r="D1117" t="n">
        <v>4526.1</v>
      </c>
      <c r="E1117" t="n">
        <v>4518.59282</v>
      </c>
      <c r="F1117" t="n">
        <v>4596.05595</v>
      </c>
      <c r="G1117" t="n">
        <v>4755.40355</v>
      </c>
      <c r="H1117" t="n">
        <v>4792.76972</v>
      </c>
      <c r="Q1117" t="n">
        <v>4519.25917</v>
      </c>
      <c r="R1117" t="n">
        <v>4548.62247</v>
      </c>
      <c r="S1117" t="n">
        <v>4575.21124</v>
      </c>
      <c r="V1117" t="n">
        <v>4484.3194</v>
      </c>
      <c r="W1117" t="n">
        <v>4450.75441</v>
      </c>
      <c r="AB1117" t="n">
        <v>4520.6637</v>
      </c>
      <c r="AC1117" t="n">
        <v>4519.1567</v>
      </c>
      <c r="AD1117" t="n">
        <v>0</v>
      </c>
      <c r="AK1117" t="n">
        <v>1115</v>
      </c>
      <c r="AL1117" t="n">
        <v>1114</v>
      </c>
      <c r="AM1117" t="n">
        <v>4526.1</v>
      </c>
      <c r="AN1117" t="n">
        <v>4519.2592</v>
      </c>
      <c r="AO1117" t="n">
        <v>6.8408</v>
      </c>
      <c r="AP1117" t="n">
        <v>46.797</v>
      </c>
      <c r="AQ1117" t="n">
        <v>0.007364</v>
      </c>
      <c r="AR1117" t="n">
        <v>0.001433</v>
      </c>
      <c r="AY1117" t="n">
        <v>1115</v>
      </c>
      <c r="AZ1117" t="n">
        <v>1114</v>
      </c>
      <c r="BA1117" t="n">
        <v>4526.1</v>
      </c>
      <c r="BB1117" t="n">
        <v>4519.2592</v>
      </c>
      <c r="BC1117" t="n">
        <v>6.8408</v>
      </c>
      <c r="BD1117" t="n">
        <v>46.797</v>
      </c>
      <c r="BE1117" t="n">
        <v>1240996</v>
      </c>
    </row>
    <row r="1118">
      <c r="A1118" t="n">
        <v>1777916702</v>
      </c>
      <c r="B1118" t="inlineStr">
        <is>
          <t>XAUUSD</t>
        </is>
      </c>
      <c r="C1118" t="inlineStr">
        <is>
          <t>M15</t>
        </is>
      </c>
      <c r="D1118" t="n">
        <v>4522.35</v>
      </c>
      <c r="E1118" t="n">
        <v>4518.59282</v>
      </c>
      <c r="F1118" t="n">
        <v>4596.05595</v>
      </c>
      <c r="G1118" t="n">
        <v>4755.40355</v>
      </c>
      <c r="H1118" t="n">
        <v>4792.76972</v>
      </c>
      <c r="Q1118" t="n">
        <v>4518.99157</v>
      </c>
      <c r="R1118" t="n">
        <v>4548.35487</v>
      </c>
      <c r="S1118" t="n">
        <v>4574.94364</v>
      </c>
      <c r="V1118" t="n">
        <v>4484.0518</v>
      </c>
      <c r="W1118" t="n">
        <v>4450.4868</v>
      </c>
      <c r="AB1118" t="n">
        <v>4521.27447</v>
      </c>
      <c r="AC1118" t="n">
        <v>4520.21558</v>
      </c>
      <c r="AD1118" t="n">
        <v>0</v>
      </c>
      <c r="AK1118" t="n">
        <v>1116</v>
      </c>
      <c r="AL1118" t="n">
        <v>1115</v>
      </c>
      <c r="AM1118" t="n">
        <v>4522.35</v>
      </c>
      <c r="AN1118" t="n">
        <v>4518.9916</v>
      </c>
      <c r="AO1118" t="n">
        <v>3.3584</v>
      </c>
      <c r="AP1118" t="n">
        <v>11.2791</v>
      </c>
      <c r="AQ1118" t="n">
        <v>0.000871</v>
      </c>
      <c r="AR1118" t="n">
        <v>8.3e-05</v>
      </c>
      <c r="AY1118" t="n">
        <v>1116</v>
      </c>
      <c r="AZ1118" t="n">
        <v>1115</v>
      </c>
      <c r="BA1118" t="n">
        <v>4522.35</v>
      </c>
      <c r="BB1118" t="n">
        <v>4518.9916</v>
      </c>
      <c r="BC1118" t="n">
        <v>3.3584</v>
      </c>
      <c r="BD1118" t="n">
        <v>11.2791</v>
      </c>
      <c r="BE1118" t="n">
        <v>1243225</v>
      </c>
    </row>
    <row r="1119">
      <c r="A1119" t="n">
        <v>1777917602</v>
      </c>
      <c r="B1119" t="inlineStr">
        <is>
          <t>XAUUSD</t>
        </is>
      </c>
      <c r="C1119" t="inlineStr">
        <is>
          <t>M15</t>
        </is>
      </c>
      <c r="D1119" t="n">
        <v>4520.01</v>
      </c>
      <c r="E1119" t="n">
        <v>4518.59282</v>
      </c>
      <c r="F1119" t="n">
        <v>4596.05595</v>
      </c>
      <c r="G1119" t="n">
        <v>4755.40355</v>
      </c>
      <c r="H1119" t="n">
        <v>4792.76972</v>
      </c>
      <c r="Q1119" t="n">
        <v>4518.72396</v>
      </c>
      <c r="R1119" t="n">
        <v>4548.08726</v>
      </c>
      <c r="S1119" t="n">
        <v>4574.67603</v>
      </c>
      <c r="V1119" t="n">
        <v>4483.78419</v>
      </c>
      <c r="W1119" t="n">
        <v>4450.2192</v>
      </c>
      <c r="AB1119" t="n">
        <v>4520.90726</v>
      </c>
      <c r="AC1119" t="n">
        <v>4520.56142</v>
      </c>
      <c r="AD1119" t="n">
        <v>0</v>
      </c>
      <c r="AK1119" t="n">
        <v>1117</v>
      </c>
      <c r="AL1119" t="n">
        <v>1116</v>
      </c>
      <c r="AM1119" t="n">
        <v>4520.01</v>
      </c>
      <c r="AN1119" t="n">
        <v>4518.724</v>
      </c>
      <c r="AO1119" t="n">
        <v>1.286</v>
      </c>
      <c r="AP1119" t="n">
        <v>1.6539</v>
      </c>
      <c r="AQ1119" t="n">
        <v>4.9e-05</v>
      </c>
      <c r="AR1119" t="n">
        <v>2e-06</v>
      </c>
      <c r="AY1119" t="n">
        <v>1117</v>
      </c>
      <c r="AZ1119" t="n">
        <v>1116</v>
      </c>
      <c r="BA1119" t="n">
        <v>4520.01</v>
      </c>
      <c r="BB1119" t="n">
        <v>4518.724</v>
      </c>
      <c r="BC1119" t="n">
        <v>1.286</v>
      </c>
      <c r="BD1119" t="n">
        <v>1.6539</v>
      </c>
      <c r="BE1119" t="n">
        <v>1245456</v>
      </c>
    </row>
    <row r="1120">
      <c r="A1120" t="n">
        <v>1777918502</v>
      </c>
      <c r="B1120" t="inlineStr">
        <is>
          <t>XAUUSD</t>
        </is>
      </c>
      <c r="C1120" t="inlineStr">
        <is>
          <t>M15</t>
        </is>
      </c>
      <c r="D1120" t="n">
        <v>4511.95</v>
      </c>
      <c r="E1120" t="n">
        <v>4518.59282</v>
      </c>
      <c r="F1120" t="n">
        <v>4596.05595</v>
      </c>
      <c r="G1120" t="n">
        <v>4755.40355</v>
      </c>
      <c r="H1120" t="n">
        <v>4792.76972</v>
      </c>
      <c r="Q1120" t="n">
        <v>4518.45636</v>
      </c>
      <c r="R1120" t="n">
        <v>4547.81966</v>
      </c>
      <c r="S1120" t="n">
        <v>4574.40843</v>
      </c>
      <c r="V1120" t="n">
        <v>4483.51659</v>
      </c>
      <c r="W1120" t="n">
        <v>4449.95159</v>
      </c>
      <c r="AB1120" t="n">
        <v>4519.79381</v>
      </c>
      <c r="AC1120" t="n">
        <v>4520.17761</v>
      </c>
      <c r="AD1120" t="n">
        <v>1</v>
      </c>
      <c r="AK1120" t="n">
        <v>1118</v>
      </c>
      <c r="AL1120" t="n">
        <v>1117</v>
      </c>
      <c r="AM1120" t="n">
        <v>4511.95</v>
      </c>
      <c r="AN1120" t="n">
        <v>4518.4564</v>
      </c>
      <c r="AO1120" t="n">
        <v>-6.5064</v>
      </c>
      <c r="AP1120" t="n">
        <v>42.3327</v>
      </c>
      <c r="AQ1120" t="n">
        <v>-0.006336</v>
      </c>
      <c r="AR1120" t="n">
        <v>0.001172</v>
      </c>
      <c r="AY1120" t="n">
        <v>1118</v>
      </c>
      <c r="AZ1120" t="n">
        <v>1117</v>
      </c>
      <c r="BA1120" t="n">
        <v>4511.95</v>
      </c>
      <c r="BB1120" t="n">
        <v>4518.4564</v>
      </c>
      <c r="BC1120" t="n">
        <v>-6.5064</v>
      </c>
      <c r="BD1120" t="n">
        <v>42.3327</v>
      </c>
      <c r="BE1120" t="n">
        <v>1247689</v>
      </c>
    </row>
    <row r="1121">
      <c r="A1121" t="n">
        <v>1777919402</v>
      </c>
      <c r="B1121" t="inlineStr">
        <is>
          <t>XAUUSD</t>
        </is>
      </c>
      <c r="C1121" t="inlineStr">
        <is>
          <t>M15</t>
        </is>
      </c>
      <c r="D1121" t="n">
        <v>4511.86</v>
      </c>
      <c r="E1121" t="n">
        <v>4518.59282</v>
      </c>
      <c r="F1121" t="n">
        <v>4596.05595</v>
      </c>
      <c r="G1121" t="n">
        <v>4755.40355</v>
      </c>
      <c r="H1121" t="n">
        <v>4792.76972</v>
      </c>
      <c r="Q1121" t="n">
        <v>4518.18876</v>
      </c>
      <c r="R1121" t="n">
        <v>4547.55205</v>
      </c>
      <c r="S1121" t="n">
        <v>4574.14083</v>
      </c>
      <c r="V1121" t="n">
        <v>4483.24899</v>
      </c>
      <c r="W1121" t="n">
        <v>4449.68399</v>
      </c>
      <c r="AB1121" t="n">
        <v>4518.50828</v>
      </c>
      <c r="AC1121" t="n">
        <v>4519.34294</v>
      </c>
      <c r="AD1121" t="n">
        <v>0</v>
      </c>
      <c r="AK1121" t="n">
        <v>1119</v>
      </c>
      <c r="AL1121" t="n">
        <v>1118</v>
      </c>
      <c r="AM1121" t="n">
        <v>4511.86</v>
      </c>
      <c r="AN1121" t="n">
        <v>4518.1888</v>
      </c>
      <c r="AO1121" t="n">
        <v>-6.3288</v>
      </c>
      <c r="AP1121" t="n">
        <v>40.0532</v>
      </c>
      <c r="AQ1121" t="n">
        <v>-0.005831</v>
      </c>
      <c r="AR1121" t="n">
        <v>0.00105</v>
      </c>
      <c r="AY1121" t="n">
        <v>1119</v>
      </c>
      <c r="AZ1121" t="n">
        <v>1118</v>
      </c>
      <c r="BA1121" t="n">
        <v>4511.86</v>
      </c>
      <c r="BB1121" t="n">
        <v>4518.1888</v>
      </c>
      <c r="BC1121" t="n">
        <v>-6.3288</v>
      </c>
      <c r="BD1121" t="n">
        <v>40.0532</v>
      </c>
      <c r="BE1121" t="n">
        <v>1249924</v>
      </c>
    </row>
    <row r="1122">
      <c r="A1122" t="n">
        <v>1777920302</v>
      </c>
      <c r="B1122" t="inlineStr">
        <is>
          <t>XAUUSD</t>
        </is>
      </c>
      <c r="C1122" t="inlineStr">
        <is>
          <t>M15</t>
        </is>
      </c>
      <c r="D1122" t="n">
        <v>4516.4</v>
      </c>
      <c r="E1122" t="n">
        <v>4518.59282</v>
      </c>
      <c r="F1122" t="n">
        <v>4596.05595</v>
      </c>
      <c r="G1122" t="n">
        <v>4755.40355</v>
      </c>
      <c r="H1122" t="n">
        <v>4792.76972</v>
      </c>
      <c r="Q1122" t="n">
        <v>4517.92115</v>
      </c>
      <c r="R1122" t="n">
        <v>4547.28445</v>
      </c>
      <c r="S1122" t="n">
        <v>4573.87322</v>
      </c>
      <c r="V1122" t="n">
        <v>4482.98138</v>
      </c>
      <c r="W1122" t="n">
        <v>4449.41638</v>
      </c>
      <c r="AB1122" t="n">
        <v>4517.41568</v>
      </c>
      <c r="AC1122" t="n">
        <v>4518.37931</v>
      </c>
      <c r="AD1122" t="n">
        <v>0</v>
      </c>
      <c r="AK1122" t="n">
        <v>1120</v>
      </c>
      <c r="AL1122" t="n">
        <v>1119</v>
      </c>
      <c r="AM1122" t="n">
        <v>4516.4</v>
      </c>
      <c r="AN1122" t="n">
        <v>4517.9212</v>
      </c>
      <c r="AO1122" t="n">
        <v>-1.5212</v>
      </c>
      <c r="AP1122" t="n">
        <v>2.3139</v>
      </c>
      <c r="AQ1122" t="n">
        <v>-8.1e-05</v>
      </c>
      <c r="AR1122" t="n">
        <v>4e-06</v>
      </c>
      <c r="AY1122" t="n">
        <v>1120</v>
      </c>
      <c r="AZ1122" t="n">
        <v>1119</v>
      </c>
      <c r="BA1122" t="n">
        <v>4516.4</v>
      </c>
      <c r="BB1122" t="n">
        <v>4517.9212</v>
      </c>
      <c r="BC1122" t="n">
        <v>-1.5212</v>
      </c>
      <c r="BD1122" t="n">
        <v>2.3139</v>
      </c>
      <c r="BE1122" t="n">
        <v>1252161</v>
      </c>
    </row>
    <row r="1123">
      <c r="A1123" t="n">
        <v>1777921202</v>
      </c>
      <c r="B1123" t="inlineStr">
        <is>
          <t>XAUUSD</t>
        </is>
      </c>
      <c r="C1123" t="inlineStr">
        <is>
          <t>M15</t>
        </is>
      </c>
      <c r="D1123" t="n">
        <v>4519.05</v>
      </c>
      <c r="E1123" t="n">
        <v>4518.59282</v>
      </c>
      <c r="F1123" t="n">
        <v>4596.05595</v>
      </c>
      <c r="G1123" t="n">
        <v>4755.40355</v>
      </c>
      <c r="H1123" t="n">
        <v>4792.76972</v>
      </c>
      <c r="Q1123" t="n">
        <v>4517.65355</v>
      </c>
      <c r="R1123" t="n">
        <v>4547.01685</v>
      </c>
      <c r="S1123" t="n">
        <v>4573.60562</v>
      </c>
      <c r="V1123" t="n">
        <v>4482.71378</v>
      </c>
      <c r="W1123" t="n">
        <v>4449.14878</v>
      </c>
      <c r="AB1123" t="n">
        <v>4516.69738</v>
      </c>
      <c r="AC1123" t="n">
        <v>4517.53835</v>
      </c>
      <c r="AD1123" t="n">
        <v>0</v>
      </c>
      <c r="AK1123" t="n">
        <v>1121</v>
      </c>
      <c r="AL1123" t="n">
        <v>1120</v>
      </c>
      <c r="AM1123" t="n">
        <v>4519.05</v>
      </c>
      <c r="AN1123" t="n">
        <v>4517.6535</v>
      </c>
      <c r="AO1123" t="n">
        <v>1.3965</v>
      </c>
      <c r="AP1123" t="n">
        <v>1.9501</v>
      </c>
      <c r="AQ1123" t="n">
        <v>6.3e-05</v>
      </c>
      <c r="AR1123" t="n">
        <v>2e-06</v>
      </c>
      <c r="AY1123" t="n">
        <v>1121</v>
      </c>
      <c r="AZ1123" t="n">
        <v>1120</v>
      </c>
      <c r="BA1123" t="n">
        <v>4519.05</v>
      </c>
      <c r="BB1123" t="n">
        <v>4517.6535</v>
      </c>
      <c r="BC1123" t="n">
        <v>1.3965</v>
      </c>
      <c r="BD1123" t="n">
        <v>1.9501</v>
      </c>
      <c r="BE1123" t="n">
        <v>1254400</v>
      </c>
    </row>
    <row r="1124">
      <c r="A1124" t="n">
        <v>1777922102</v>
      </c>
      <c r="B1124" t="inlineStr">
        <is>
          <t>XAUUSD</t>
        </is>
      </c>
      <c r="C1124" t="inlineStr">
        <is>
          <t>M15</t>
        </is>
      </c>
      <c r="D1124" t="n">
        <v>4522.42</v>
      </c>
      <c r="E1124" t="n">
        <v>4518.59282</v>
      </c>
      <c r="F1124" t="n">
        <v>4596.05595</v>
      </c>
      <c r="G1124" t="n">
        <v>4755.40355</v>
      </c>
      <c r="H1124" t="n">
        <v>4792.76972</v>
      </c>
      <c r="Q1124" t="n">
        <v>4517.38594</v>
      </c>
      <c r="R1124" t="n">
        <v>4546.74924</v>
      </c>
      <c r="S1124" t="n">
        <v>4573.33801</v>
      </c>
      <c r="V1124" t="n">
        <v>4482.44617</v>
      </c>
      <c r="W1124" t="n">
        <v>4448.88118</v>
      </c>
      <c r="AB1124" t="n">
        <v>4516.46243</v>
      </c>
      <c r="AC1124" t="n">
        <v>4517.00039</v>
      </c>
      <c r="AD1124" t="n">
        <v>0</v>
      </c>
      <c r="AK1124" t="n">
        <v>1122</v>
      </c>
      <c r="AL1124" t="n">
        <v>1121</v>
      </c>
      <c r="AM1124" t="n">
        <v>4522.42</v>
      </c>
      <c r="AN1124" t="n">
        <v>4517.3859</v>
      </c>
      <c r="AO1124" t="n">
        <v>5.0341</v>
      </c>
      <c r="AP1124" t="n">
        <v>25.3418</v>
      </c>
      <c r="AQ1124" t="n">
        <v>0.002935</v>
      </c>
      <c r="AR1124" t="n">
        <v>0.00042</v>
      </c>
      <c r="AY1124" t="n">
        <v>1122</v>
      </c>
      <c r="AZ1124" t="n">
        <v>1121</v>
      </c>
      <c r="BA1124" t="n">
        <v>4522.42</v>
      </c>
      <c r="BB1124" t="n">
        <v>4517.3859</v>
      </c>
      <c r="BC1124" t="n">
        <v>5.0341</v>
      </c>
      <c r="BD1124" t="n">
        <v>25.3418</v>
      </c>
      <c r="BE1124" t="n">
        <v>1256641</v>
      </c>
    </row>
    <row r="1125">
      <c r="A1125" t="n">
        <v>1777923002</v>
      </c>
      <c r="B1125" t="inlineStr">
        <is>
          <t>XAUUSD</t>
        </is>
      </c>
      <c r="C1125" t="inlineStr">
        <is>
          <t>M15</t>
        </is>
      </c>
      <c r="D1125" t="n">
        <v>4521.16</v>
      </c>
      <c r="E1125" t="n">
        <v>4518.59282</v>
      </c>
      <c r="F1125" t="n">
        <v>4596.05595</v>
      </c>
      <c r="G1125" t="n">
        <v>4755.40355</v>
      </c>
      <c r="H1125" t="n">
        <v>4792.76972</v>
      </c>
      <c r="Q1125" t="n">
        <v>4517.11834</v>
      </c>
      <c r="R1125" t="n">
        <v>4546.48164</v>
      </c>
      <c r="S1125" t="n">
        <v>4573.07041</v>
      </c>
      <c r="V1125" t="n">
        <v>4482.17857</v>
      </c>
      <c r="W1125" t="n">
        <v>4448.61357</v>
      </c>
      <c r="AB1125" t="n">
        <v>4516.63686</v>
      </c>
      <c r="AC1125" t="n">
        <v>4516.81862</v>
      </c>
      <c r="AD1125" t="n">
        <v>0</v>
      </c>
      <c r="AK1125" t="n">
        <v>1123</v>
      </c>
      <c r="AL1125" t="n">
        <v>1122</v>
      </c>
      <c r="AM1125" t="n">
        <v>4521.16</v>
      </c>
      <c r="AN1125" t="n">
        <v>4517.1183</v>
      </c>
      <c r="AO1125" t="n">
        <v>4.0417</v>
      </c>
      <c r="AP1125" t="n">
        <v>16.335</v>
      </c>
      <c r="AQ1125" t="n">
        <v>0.001519</v>
      </c>
      <c r="AR1125" t="n">
        <v>0.000175</v>
      </c>
      <c r="AY1125" t="n">
        <v>1123</v>
      </c>
      <c r="AZ1125" t="n">
        <v>1122</v>
      </c>
      <c r="BA1125" t="n">
        <v>4521.16</v>
      </c>
      <c r="BB1125" t="n">
        <v>4517.1183</v>
      </c>
      <c r="BC1125" t="n">
        <v>4.0417</v>
      </c>
      <c r="BD1125" t="n">
        <v>16.335</v>
      </c>
      <c r="BE1125" t="n">
        <v>1258884</v>
      </c>
    </row>
    <row r="1126">
      <c r="A1126" t="n">
        <v>1777923902</v>
      </c>
      <c r="B1126" t="inlineStr">
        <is>
          <t>XAUUSD</t>
        </is>
      </c>
      <c r="C1126" t="inlineStr">
        <is>
          <t>M15</t>
        </is>
      </c>
      <c r="D1126" t="n">
        <v>4517.46</v>
      </c>
      <c r="E1126" t="n">
        <v>4518.59282</v>
      </c>
      <c r="F1126" t="n">
        <v>4596.05595</v>
      </c>
      <c r="G1126" t="n">
        <v>4755.40355</v>
      </c>
      <c r="H1126" t="n">
        <v>4792.76972</v>
      </c>
      <c r="Q1126" t="n">
        <v>4516.85074</v>
      </c>
      <c r="R1126" t="n">
        <v>4546.21403</v>
      </c>
      <c r="S1126" t="n">
        <v>4572.8028</v>
      </c>
      <c r="V1126" t="n">
        <v>4481.91096</v>
      </c>
      <c r="W1126" t="n">
        <v>4448.34597</v>
      </c>
      <c r="AB1126" t="n">
        <v>4517.16653</v>
      </c>
      <c r="AC1126" t="n">
        <v>4516.99258</v>
      </c>
      <c r="AD1126" t="n">
        <v>1</v>
      </c>
      <c r="AK1126" t="n">
        <v>1124</v>
      </c>
      <c r="AL1126" t="n">
        <v>1123</v>
      </c>
      <c r="AM1126" t="n">
        <v>4517.46</v>
      </c>
      <c r="AN1126" t="n">
        <v>4516.8507</v>
      </c>
      <c r="AO1126" t="n">
        <v>0.6093</v>
      </c>
      <c r="AP1126" t="n">
        <v>0.3712</v>
      </c>
      <c r="AQ1126" t="n">
        <v>5e-06</v>
      </c>
      <c r="AR1126" t="n">
        <v>0</v>
      </c>
      <c r="AY1126" t="n">
        <v>1124</v>
      </c>
      <c r="AZ1126" t="n">
        <v>1123</v>
      </c>
      <c r="BA1126" t="n">
        <v>4517.46</v>
      </c>
      <c r="BB1126" t="n">
        <v>4516.8507</v>
      </c>
      <c r="BC1126" t="n">
        <v>0.6093</v>
      </c>
      <c r="BD1126" t="n">
        <v>0.3712</v>
      </c>
      <c r="BE1126" t="n">
        <v>1261129</v>
      </c>
    </row>
    <row r="1127">
      <c r="A1127" t="n">
        <v>1777924802</v>
      </c>
      <c r="B1127" t="inlineStr">
        <is>
          <t>XAUUSD</t>
        </is>
      </c>
      <c r="C1127" t="inlineStr">
        <is>
          <t>M15</t>
        </is>
      </c>
      <c r="D1127" t="n">
        <v>4514.74</v>
      </c>
      <c r="E1127" t="n">
        <v>4518.59282</v>
      </c>
      <c r="F1127" t="n">
        <v>4596.05595</v>
      </c>
      <c r="G1127" t="n">
        <v>4755.40355</v>
      </c>
      <c r="H1127" t="n">
        <v>4792.76972</v>
      </c>
      <c r="Q1127" t="n">
        <v>4516.58313</v>
      </c>
      <c r="R1127" t="n">
        <v>4545.94643</v>
      </c>
      <c r="S1127" t="n">
        <v>4572.5352</v>
      </c>
      <c r="V1127" t="n">
        <v>4481.64336</v>
      </c>
      <c r="W1127" t="n">
        <v>4448.07836</v>
      </c>
      <c r="AB1127" t="n">
        <v>4517.98711</v>
      </c>
      <c r="AC1127" t="n">
        <v>4517.48985</v>
      </c>
      <c r="AD1127" t="n">
        <v>0</v>
      </c>
      <c r="AK1127" t="n">
        <v>1125</v>
      </c>
      <c r="AL1127" t="n">
        <v>1124</v>
      </c>
      <c r="AM1127" t="n">
        <v>4514.74</v>
      </c>
      <c r="AN1127" t="n">
        <v>4516.5831</v>
      </c>
      <c r="AO1127" t="n">
        <v>-1.8431</v>
      </c>
      <c r="AP1127" t="n">
        <v>3.3971</v>
      </c>
      <c r="AQ1127" t="n">
        <v>-0.000144</v>
      </c>
      <c r="AR1127" t="n">
        <v>8e-06</v>
      </c>
      <c r="AY1127" t="n">
        <v>1125</v>
      </c>
      <c r="AZ1127" t="n">
        <v>1124</v>
      </c>
      <c r="BA1127" t="n">
        <v>4514.74</v>
      </c>
      <c r="BB1127" t="n">
        <v>4516.5831</v>
      </c>
      <c r="BC1127" t="n">
        <v>-1.8431</v>
      </c>
      <c r="BD1127" t="n">
        <v>3.3971</v>
      </c>
      <c r="BE1127" t="n">
        <v>1263376</v>
      </c>
    </row>
    <row r="1128">
      <c r="A1128" t="n">
        <v>1777925702</v>
      </c>
      <c r="B1128" t="inlineStr">
        <is>
          <t>XAUUSD</t>
        </is>
      </c>
      <c r="C1128" t="inlineStr">
        <is>
          <t>M15</t>
        </is>
      </c>
      <c r="D1128" t="n">
        <v>4515.21</v>
      </c>
      <c r="E1128" t="n">
        <v>4518.59282</v>
      </c>
      <c r="F1128" t="n">
        <v>4596.05595</v>
      </c>
      <c r="G1128" t="n">
        <v>4755.40355</v>
      </c>
      <c r="H1128" t="n">
        <v>4792.76972</v>
      </c>
      <c r="Q1128" t="n">
        <v>4516.31553</v>
      </c>
      <c r="R1128" t="n">
        <v>4545.67883</v>
      </c>
      <c r="S1128" t="n">
        <v>4572.2676</v>
      </c>
      <c r="V1128" t="n">
        <v>4481.37576</v>
      </c>
      <c r="W1128" t="n">
        <v>4447.81076</v>
      </c>
      <c r="AB1128" t="n">
        <v>4518.96045</v>
      </c>
      <c r="AC1128" t="n">
        <v>4518.22515</v>
      </c>
      <c r="AD1128" t="n">
        <v>0</v>
      </c>
      <c r="AK1128" t="n">
        <v>1126</v>
      </c>
      <c r="AL1128" t="n">
        <v>1125</v>
      </c>
      <c r="AM1128" t="n">
        <v>4515.21</v>
      </c>
      <c r="AN1128" t="n">
        <v>4516.3155</v>
      </c>
      <c r="AO1128" t="n">
        <v>-1.1055</v>
      </c>
      <c r="AP1128" t="n">
        <v>1.2222</v>
      </c>
      <c r="AQ1128" t="n">
        <v>-3.1e-05</v>
      </c>
      <c r="AR1128" t="n">
        <v>1e-06</v>
      </c>
      <c r="AY1128" t="n">
        <v>1126</v>
      </c>
      <c r="AZ1128" t="n">
        <v>1125</v>
      </c>
      <c r="BA1128" t="n">
        <v>4515.21</v>
      </c>
      <c r="BB1128" t="n">
        <v>4516.3155</v>
      </c>
      <c r="BC1128" t="n">
        <v>-1.1055</v>
      </c>
      <c r="BD1128" t="n">
        <v>1.2222</v>
      </c>
      <c r="BE1128" t="n">
        <v>1265625</v>
      </c>
    </row>
    <row r="1129">
      <c r="A1129" t="n">
        <v>1777926602</v>
      </c>
      <c r="B1129" t="inlineStr">
        <is>
          <t>XAUUSD</t>
        </is>
      </c>
      <c r="C1129" t="inlineStr">
        <is>
          <t>M15</t>
        </is>
      </c>
      <c r="D1129" t="n">
        <v>4518.75</v>
      </c>
      <c r="E1129" t="n">
        <v>4518.59282</v>
      </c>
      <c r="F1129" t="n">
        <v>4596.05595</v>
      </c>
      <c r="G1129" t="n">
        <v>4755.40355</v>
      </c>
      <c r="H1129" t="n">
        <v>4792.76972</v>
      </c>
      <c r="Q1129" t="n">
        <v>4516.04792</v>
      </c>
      <c r="R1129" t="n">
        <v>4545.41122</v>
      </c>
      <c r="S1129" t="n">
        <v>4571.99999</v>
      </c>
      <c r="V1129" t="n">
        <v>4481.10815</v>
      </c>
      <c r="W1129" t="n">
        <v>4447.54316</v>
      </c>
      <c r="AB1129" t="n">
        <v>4519.86715</v>
      </c>
      <c r="AC1129" t="n">
        <v>4519.04615</v>
      </c>
      <c r="AD1129" t="n">
        <v>0</v>
      </c>
      <c r="AK1129" t="n">
        <v>1127</v>
      </c>
      <c r="AL1129" t="n">
        <v>1126</v>
      </c>
      <c r="AM1129" t="n">
        <v>4518.75</v>
      </c>
      <c r="AN1129" t="n">
        <v>4516.0479</v>
      </c>
      <c r="AO1129" t="n">
        <v>2.7021</v>
      </c>
      <c r="AP1129" t="n">
        <v>7.3012</v>
      </c>
      <c r="AQ1129" t="n">
        <v>0.000454</v>
      </c>
      <c r="AR1129" t="n">
        <v>3.5e-05</v>
      </c>
      <c r="AY1129" t="n">
        <v>1127</v>
      </c>
      <c r="AZ1129" t="n">
        <v>1126</v>
      </c>
      <c r="BA1129" t="n">
        <v>4518.75</v>
      </c>
      <c r="BB1129" t="n">
        <v>4516.0479</v>
      </c>
      <c r="BC1129" t="n">
        <v>2.7021</v>
      </c>
      <c r="BD1129" t="n">
        <v>7.3012</v>
      </c>
      <c r="BE1129" t="n">
        <v>1267876</v>
      </c>
    </row>
    <row r="1130">
      <c r="A1130" t="n">
        <v>1777927502</v>
      </c>
      <c r="B1130" t="inlineStr">
        <is>
          <t>XAUUSD</t>
        </is>
      </c>
      <c r="C1130" t="inlineStr">
        <is>
          <t>M15</t>
        </is>
      </c>
      <c r="D1130" t="n">
        <v>4523.84</v>
      </c>
      <c r="E1130" t="n">
        <v>4518.59282</v>
      </c>
      <c r="F1130" t="n">
        <v>4596.05595</v>
      </c>
      <c r="G1130" t="n">
        <v>4755.40355</v>
      </c>
      <c r="H1130" t="n">
        <v>4792.76972</v>
      </c>
      <c r="Q1130" t="n">
        <v>4515.78032</v>
      </c>
      <c r="R1130" t="n">
        <v>4545.14362</v>
      </c>
      <c r="S1130" t="n">
        <v>4571.73239</v>
      </c>
      <c r="V1130" t="n">
        <v>4480.84055</v>
      </c>
      <c r="W1130" t="n">
        <v>4447.27555</v>
      </c>
      <c r="AB1130" t="n">
        <v>4520.45224</v>
      </c>
      <c r="AC1130" t="n">
        <v>4519.74919</v>
      </c>
      <c r="AD1130" t="n">
        <v>0</v>
      </c>
      <c r="AK1130" t="n">
        <v>1128</v>
      </c>
      <c r="AL1130" t="n">
        <v>1127</v>
      </c>
      <c r="AM1130" t="n">
        <v>4523.84</v>
      </c>
      <c r="AN1130" t="n">
        <v>4515.7803</v>
      </c>
      <c r="AO1130" t="n">
        <v>8.059699999999999</v>
      </c>
      <c r="AP1130" t="n">
        <v>64.9584</v>
      </c>
      <c r="AQ1130" t="n">
        <v>0.012044</v>
      </c>
      <c r="AR1130" t="n">
        <v>0.002761</v>
      </c>
      <c r="AY1130" t="n">
        <v>1128</v>
      </c>
      <c r="AZ1130" t="n">
        <v>1127</v>
      </c>
      <c r="BA1130" t="n">
        <v>4523.84</v>
      </c>
      <c r="BB1130" t="n">
        <v>4515.7803</v>
      </c>
      <c r="BC1130" t="n">
        <v>8.059699999999999</v>
      </c>
      <c r="BD1130" t="n">
        <v>64.9584</v>
      </c>
      <c r="BE1130" t="n">
        <v>1270129</v>
      </c>
    </row>
    <row r="1131">
      <c r="A1131" t="n">
        <v>1777932002</v>
      </c>
      <c r="B1131" t="inlineStr">
        <is>
          <t>XAUUSD</t>
        </is>
      </c>
      <c r="C1131" t="inlineStr">
        <is>
          <t>M15</t>
        </is>
      </c>
      <c r="D1131" t="n">
        <v>4521.1</v>
      </c>
      <c r="E1131" t="n">
        <v>4518.59282</v>
      </c>
      <c r="F1131" t="n">
        <v>4596.05595</v>
      </c>
      <c r="G1131" t="n">
        <v>4755.40355</v>
      </c>
      <c r="H1131" t="n">
        <v>4792.76972</v>
      </c>
      <c r="Q1131" t="n">
        <v>4515.51271</v>
      </c>
      <c r="R1131" t="n">
        <v>4544.87601</v>
      </c>
      <c r="S1131" t="n">
        <v>4571.46478</v>
      </c>
      <c r="V1131" t="n">
        <v>4480.57294</v>
      </c>
      <c r="W1131" t="n">
        <v>4447.00795</v>
      </c>
      <c r="AB1131" t="n">
        <v>4520.53403</v>
      </c>
      <c r="AC1131" t="n">
        <v>4520.14161</v>
      </c>
      <c r="AD1131" t="n">
        <v>0</v>
      </c>
      <c r="AK1131" t="n">
        <v>1129</v>
      </c>
      <c r="AL1131" t="n">
        <v>1128</v>
      </c>
      <c r="AM1131" t="n">
        <v>4521.1</v>
      </c>
      <c r="AN1131" t="n">
        <v>4515.5127</v>
      </c>
      <c r="AO1131" t="n">
        <v>5.5873</v>
      </c>
      <c r="AP1131" t="n">
        <v>31.2178</v>
      </c>
      <c r="AQ1131" t="n">
        <v>0.004013</v>
      </c>
      <c r="AR1131" t="n">
        <v>0.000638</v>
      </c>
      <c r="AY1131" t="n">
        <v>1129</v>
      </c>
      <c r="AZ1131" t="n">
        <v>1128</v>
      </c>
      <c r="BA1131" t="n">
        <v>4521.1</v>
      </c>
      <c r="BB1131" t="n">
        <v>4515.5127</v>
      </c>
      <c r="BC1131" t="n">
        <v>5.5873</v>
      </c>
      <c r="BD1131" t="n">
        <v>31.2178</v>
      </c>
      <c r="BE1131" t="n">
        <v>1272384</v>
      </c>
    </row>
    <row r="1132">
      <c r="A1132" t="n">
        <v>1777932902</v>
      </c>
      <c r="B1132" t="inlineStr">
        <is>
          <t>XAUUSD</t>
        </is>
      </c>
      <c r="C1132" t="inlineStr">
        <is>
          <t>M15</t>
        </is>
      </c>
      <c r="D1132" t="n">
        <v>4519.66</v>
      </c>
      <c r="E1132" t="n">
        <v>4518.59282</v>
      </c>
      <c r="F1132" t="n">
        <v>4596.05595</v>
      </c>
      <c r="G1132" t="n">
        <v>4755.40355</v>
      </c>
      <c r="H1132" t="n">
        <v>4792.76972</v>
      </c>
      <c r="Q1132" t="n">
        <v>4515.24511</v>
      </c>
      <c r="R1132" t="n">
        <v>4544.60841</v>
      </c>
      <c r="S1132" t="n">
        <v>4571.19718</v>
      </c>
      <c r="V1132" t="n">
        <v>4480.30534</v>
      </c>
      <c r="W1132" t="n">
        <v>4446.74034</v>
      </c>
      <c r="AB1132" t="n">
        <v>4520.23738</v>
      </c>
      <c r="AC1132" t="n">
        <v>4520.1895</v>
      </c>
      <c r="AD1132" t="n">
        <v>0</v>
      </c>
      <c r="AK1132" t="n">
        <v>1130</v>
      </c>
      <c r="AL1132" t="n">
        <v>1129</v>
      </c>
      <c r="AM1132" t="n">
        <v>4519.66</v>
      </c>
      <c r="AN1132" t="n">
        <v>4515.2451</v>
      </c>
      <c r="AO1132" t="n">
        <v>4.4149</v>
      </c>
      <c r="AP1132" t="n">
        <v>19.4913</v>
      </c>
      <c r="AQ1132" t="n">
        <v>0.00198</v>
      </c>
      <c r="AR1132" t="n">
        <v>0.000249</v>
      </c>
      <c r="AY1132" t="n">
        <v>1130</v>
      </c>
      <c r="AZ1132" t="n">
        <v>1129</v>
      </c>
      <c r="BA1132" t="n">
        <v>4519.66</v>
      </c>
      <c r="BB1132" t="n">
        <v>4515.2451</v>
      </c>
      <c r="BC1132" t="n">
        <v>4.4149</v>
      </c>
      <c r="BD1132" t="n">
        <v>19.4913</v>
      </c>
      <c r="BE1132" t="n">
        <v>1274641</v>
      </c>
    </row>
    <row r="1133">
      <c r="A1133" t="n">
        <v>1777933802</v>
      </c>
      <c r="B1133" t="inlineStr">
        <is>
          <t>XAUUSD</t>
        </is>
      </c>
      <c r="C1133" t="inlineStr">
        <is>
          <t>M15</t>
        </is>
      </c>
      <c r="D1133" t="n">
        <v>4519.02</v>
      </c>
      <c r="E1133" t="n">
        <v>4518.59282</v>
      </c>
      <c r="F1133" t="n">
        <v>4596.05595</v>
      </c>
      <c r="G1133" t="n">
        <v>4755.40355</v>
      </c>
      <c r="H1133" t="n">
        <v>4792.76972</v>
      </c>
      <c r="Q1133" t="n">
        <v>4514.97751</v>
      </c>
      <c r="R1133" t="n">
        <v>4544.34081</v>
      </c>
      <c r="S1133" t="n">
        <v>4570.92958</v>
      </c>
      <c r="V1133" t="n">
        <v>4480.03774</v>
      </c>
      <c r="W1133" t="n">
        <v>4446.47274</v>
      </c>
      <c r="AB1133" t="n">
        <v>4519.7573</v>
      </c>
      <c r="AC1133" t="n">
        <v>4519.9734</v>
      </c>
      <c r="AD1133" t="n">
        <v>1</v>
      </c>
      <c r="AK1133" t="n">
        <v>1131</v>
      </c>
      <c r="AL1133" t="n">
        <v>1130</v>
      </c>
      <c r="AM1133" t="n">
        <v>4519.02</v>
      </c>
      <c r="AN1133" t="n">
        <v>4514.9775</v>
      </c>
      <c r="AO1133" t="n">
        <v>4.0425</v>
      </c>
      <c r="AP1133" t="n">
        <v>16.3417</v>
      </c>
      <c r="AQ1133" t="n">
        <v>0.00152</v>
      </c>
      <c r="AR1133" t="n">
        <v>0.000175</v>
      </c>
      <c r="AY1133" t="n">
        <v>1131</v>
      </c>
      <c r="AZ1133" t="n">
        <v>1130</v>
      </c>
      <c r="BA1133" t="n">
        <v>4519.02</v>
      </c>
      <c r="BB1133" t="n">
        <v>4514.9775</v>
      </c>
      <c r="BC1133" t="n">
        <v>4.0425</v>
      </c>
      <c r="BD1133" t="n">
        <v>16.3417</v>
      </c>
      <c r="BE1133" t="n">
        <v>1276900</v>
      </c>
    </row>
    <row r="1134">
      <c r="A1134" t="n">
        <v>1777934702</v>
      </c>
      <c r="B1134" t="inlineStr">
        <is>
          <t>XAUUSD</t>
        </is>
      </c>
      <c r="C1134" t="inlineStr">
        <is>
          <t>M15</t>
        </is>
      </c>
      <c r="D1134" t="n">
        <v>4517.52</v>
      </c>
      <c r="E1134" t="n">
        <v>4518.59282</v>
      </c>
      <c r="F1134" t="n">
        <v>4596.05595</v>
      </c>
      <c r="G1134" t="n">
        <v>4755.40355</v>
      </c>
      <c r="H1134" t="n">
        <v>4792.76972</v>
      </c>
      <c r="Q1134" t="n">
        <v>4514.7099</v>
      </c>
      <c r="R1134" t="n">
        <v>4544.0732</v>
      </c>
      <c r="S1134" t="n">
        <v>4570.66197</v>
      </c>
      <c r="V1134" t="n">
        <v>4479.77013</v>
      </c>
      <c r="W1134" t="n">
        <v>4446.20514</v>
      </c>
      <c r="AB1134" t="n">
        <v>4519.30251</v>
      </c>
      <c r="AC1134" t="n">
        <v>4519.63796</v>
      </c>
      <c r="AD1134" t="n">
        <v>0</v>
      </c>
      <c r="AK1134" t="n">
        <v>1132</v>
      </c>
      <c r="AL1134" t="n">
        <v>1131</v>
      </c>
      <c r="AM1134" t="n">
        <v>4517.52</v>
      </c>
      <c r="AN1134" t="n">
        <v>4514.7099</v>
      </c>
      <c r="AO1134" t="n">
        <v>2.8101</v>
      </c>
      <c r="AP1134" t="n">
        <v>7.8967</v>
      </c>
      <c r="AQ1134" t="n">
        <v>0.00051</v>
      </c>
      <c r="AR1134" t="n">
        <v>4.1e-05</v>
      </c>
      <c r="AY1134" t="n">
        <v>1132</v>
      </c>
      <c r="AZ1134" t="n">
        <v>1131</v>
      </c>
      <c r="BA1134" t="n">
        <v>4517.52</v>
      </c>
      <c r="BB1134" t="n">
        <v>4514.7099</v>
      </c>
      <c r="BC1134" t="n">
        <v>2.8101</v>
      </c>
      <c r="BD1134" t="n">
        <v>7.8967</v>
      </c>
      <c r="BE1134" t="n">
        <v>1279161</v>
      </c>
    </row>
    <row r="1135">
      <c r="A1135" t="n">
        <v>1777935602</v>
      </c>
      <c r="B1135" t="inlineStr">
        <is>
          <t>XAUUSD</t>
        </is>
      </c>
      <c r="C1135" t="inlineStr">
        <is>
          <t>M15</t>
        </is>
      </c>
      <c r="D1135" t="n">
        <v>4520.44</v>
      </c>
      <c r="E1135" t="n">
        <v>4518.59282</v>
      </c>
      <c r="F1135" t="n">
        <v>4596.05595</v>
      </c>
      <c r="G1135" t="n">
        <v>4755.40355</v>
      </c>
      <c r="H1135" t="n">
        <v>4792.76972</v>
      </c>
      <c r="Q1135" t="n">
        <v>4514.4423</v>
      </c>
      <c r="R1135" t="n">
        <v>4543.8056</v>
      </c>
      <c r="S1135" t="n">
        <v>4570.39437</v>
      </c>
      <c r="V1135" t="n">
        <v>4479.50253</v>
      </c>
      <c r="W1135" t="n">
        <v>4445.93753</v>
      </c>
      <c r="AB1135" t="n">
        <v>4519.06874</v>
      </c>
      <c r="AC1135" t="n">
        <v>4519.35335</v>
      </c>
      <c r="AD1135" t="n">
        <v>0</v>
      </c>
      <c r="AK1135" t="n">
        <v>1133</v>
      </c>
      <c r="AL1135" t="n">
        <v>1132</v>
      </c>
      <c r="AM1135" t="n">
        <v>4520.44</v>
      </c>
      <c r="AN1135" t="n">
        <v>4514.4423</v>
      </c>
      <c r="AO1135" t="n">
        <v>5.9977</v>
      </c>
      <c r="AP1135" t="n">
        <v>35.9724</v>
      </c>
      <c r="AQ1135" t="n">
        <v>0.004963</v>
      </c>
      <c r="AR1135" t="n">
        <v>0.000847</v>
      </c>
      <c r="AY1135" t="n">
        <v>1133</v>
      </c>
      <c r="AZ1135" t="n">
        <v>1132</v>
      </c>
      <c r="BA1135" t="n">
        <v>4520.44</v>
      </c>
      <c r="BB1135" t="n">
        <v>4514.4423</v>
      </c>
      <c r="BC1135" t="n">
        <v>5.9977</v>
      </c>
      <c r="BD1135" t="n">
        <v>35.9724</v>
      </c>
      <c r="BE1135" t="n">
        <v>1281424</v>
      </c>
    </row>
    <row r="1136">
      <c r="A1136" t="n">
        <v>1777936502</v>
      </c>
      <c r="B1136" t="inlineStr">
        <is>
          <t>XAUUSD</t>
        </is>
      </c>
      <c r="C1136" t="inlineStr">
        <is>
          <t>M15</t>
        </is>
      </c>
      <c r="D1136" t="n">
        <v>4521.13</v>
      </c>
      <c r="E1136" t="n">
        <v>4518.59282</v>
      </c>
      <c r="F1136" t="n">
        <v>4596.05595</v>
      </c>
      <c r="G1136" t="n">
        <v>4755.40355</v>
      </c>
      <c r="H1136" t="n">
        <v>4792.76972</v>
      </c>
      <c r="Q1136" t="n">
        <v>4514.17469</v>
      </c>
      <c r="R1136" t="n">
        <v>4543.53799</v>
      </c>
      <c r="S1136" t="n">
        <v>4570.12676</v>
      </c>
      <c r="V1136" t="n">
        <v>4479.23492</v>
      </c>
      <c r="W1136" t="n">
        <v>4445.66993</v>
      </c>
      <c r="AB1136" t="n">
        <v>4519.0811</v>
      </c>
      <c r="AC1136" t="n">
        <v>4519.21723</v>
      </c>
      <c r="AD1136" t="n">
        <v>0</v>
      </c>
      <c r="AK1136" t="n">
        <v>1134</v>
      </c>
      <c r="AL1136" t="n">
        <v>1133</v>
      </c>
      <c r="AM1136" t="n">
        <v>4521.13</v>
      </c>
      <c r="AN1136" t="n">
        <v>4514.1747</v>
      </c>
      <c r="AO1136" t="n">
        <v>6.9553</v>
      </c>
      <c r="AP1136" t="n">
        <v>48.3763</v>
      </c>
      <c r="AQ1136" t="n">
        <v>0.00774</v>
      </c>
      <c r="AR1136" t="n">
        <v>0.001531</v>
      </c>
      <c r="AY1136" t="n">
        <v>1134</v>
      </c>
      <c r="AZ1136" t="n">
        <v>1133</v>
      </c>
      <c r="BA1136" t="n">
        <v>4521.13</v>
      </c>
      <c r="BB1136" t="n">
        <v>4514.1747</v>
      </c>
      <c r="BC1136" t="n">
        <v>6.9553</v>
      </c>
      <c r="BD1136" t="n">
        <v>48.3763</v>
      </c>
      <c r="BE1136" t="n">
        <v>1283689</v>
      </c>
    </row>
    <row r="1137">
      <c r="A1137" t="n">
        <v>1777937402</v>
      </c>
      <c r="B1137" t="inlineStr">
        <is>
          <t>XAUUSD</t>
        </is>
      </c>
      <c r="C1137" t="inlineStr">
        <is>
          <t>M15</t>
        </is>
      </c>
      <c r="D1137" t="n">
        <v>4518.52</v>
      </c>
      <c r="E1137" t="n">
        <v>4518.59282</v>
      </c>
      <c r="F1137" t="n">
        <v>4596.05595</v>
      </c>
      <c r="G1137" t="n">
        <v>4755.40355</v>
      </c>
      <c r="H1137" t="n">
        <v>4792.76972</v>
      </c>
      <c r="Q1137" t="n">
        <v>4513.90709</v>
      </c>
      <c r="R1137" t="n">
        <v>4543.27039</v>
      </c>
      <c r="S1137" t="n">
        <v>4569.85916</v>
      </c>
      <c r="V1137" t="n">
        <v>4478.96732</v>
      </c>
      <c r="W1137" t="n">
        <v>4445.40232</v>
      </c>
      <c r="AB1137" t="n">
        <v>4519.44966</v>
      </c>
      <c r="AC1137" t="n">
        <v>4519.33344</v>
      </c>
      <c r="AD1137" t="n">
        <v>1</v>
      </c>
      <c r="AK1137" t="n">
        <v>1135</v>
      </c>
      <c r="AL1137" t="n">
        <v>1134</v>
      </c>
      <c r="AM1137" t="n">
        <v>4518.52</v>
      </c>
      <c r="AN1137" t="n">
        <v>4513.9071</v>
      </c>
      <c r="AO1137" t="n">
        <v>4.6129</v>
      </c>
      <c r="AP1137" t="n">
        <v>21.2789</v>
      </c>
      <c r="AQ1137" t="n">
        <v>0.002258</v>
      </c>
      <c r="AR1137" t="n">
        <v>0.000296</v>
      </c>
      <c r="AY1137" t="n">
        <v>1135</v>
      </c>
      <c r="AZ1137" t="n">
        <v>1134</v>
      </c>
      <c r="BA1137" t="n">
        <v>4518.52</v>
      </c>
      <c r="BB1137" t="n">
        <v>4513.9071</v>
      </c>
      <c r="BC1137" t="n">
        <v>4.6129</v>
      </c>
      <c r="BD1137" t="n">
        <v>21.2789</v>
      </c>
      <c r="BE1137" t="n">
        <v>1285956</v>
      </c>
    </row>
  </sheetData>
  <mergeCells count="5">
    <mergeCell ref="AY1:BE1"/>
    <mergeCell ref="AE1:AJ1"/>
    <mergeCell ref="AS1:AX1"/>
    <mergeCell ref="AK1:AR1"/>
    <mergeCell ref="A1:AD1"/>
  </mergeCells>
  <pageMargins left="0.7" right="0.7" top="0.75" bottom="0.75" header="0.3" footer="0.3"/>
  <pageSetup orientation="portrait" horizontalDpi="200" verticalDpi="200"/>
</worksheet>
</file>

<file path=xl/worksheets/sheet3.xml><?xml version="1.0" encoding="utf-8"?>
<worksheet xmlns="http://schemas.openxmlformats.org/spreadsheetml/2006/main">
  <sheetPr>
    <outlinePr summaryBelow="1" summaryRight="1"/>
    <pageSetUpPr/>
  </sheetPr>
  <dimension ref="A1:AM1137"/>
  <sheetViews>
    <sheetView tabSelected="1" zoomScale="60" zoomScaleNormal="60" workbookViewId="0">
      <pane xSplit="4" ySplit="2" topLeftCell="E1032" activePane="bottomRight" state="frozen"/>
      <selection pane="topRight" activeCell="E1" sqref="E1"/>
      <selection pane="bottomLeft" activeCell="A2" sqref="A2"/>
      <selection pane="bottomRight" activeCell="AQ24" sqref="AQ24"/>
    </sheetView>
  </sheetViews>
  <sheetFormatPr baseColWidth="8" defaultRowHeight="14.4"/>
  <cols>
    <col width="10.68359375" bestFit="1" customWidth="1" style="103" min="1" max="1"/>
    <col width="12.26171875" bestFit="1" customWidth="1" style="103" min="35" max="35"/>
    <col width="12.15625" bestFit="1" customWidth="1" style="103" min="38" max="38"/>
    <col width="12.05078125" bestFit="1" customWidth="1" style="103" min="39" max="39"/>
  </cols>
  <sheetData>
    <row r="1">
      <c r="A1" s="102" t="inlineStr">
        <is>
          <t>MQL DATA EXPORT</t>
        </is>
      </c>
      <c r="AE1" s="106" t="inlineStr">
        <is>
          <t>Jarque-Bera Test and White's Test</t>
        </is>
      </c>
    </row>
    <row r="2">
      <c r="A2" s="3" t="inlineStr">
        <is>
          <t>timestamp</t>
        </is>
      </c>
      <c r="B2" s="3" t="inlineStr">
        <is>
          <t>symbol</t>
        </is>
      </c>
      <c r="C2" s="3" t="inlineStr">
        <is>
          <t>timeframe</t>
        </is>
      </c>
      <c r="D2" s="3" t="inlineStr">
        <is>
          <t>close</t>
        </is>
      </c>
      <c r="E2" s="3" t="inlineStr">
        <is>
          <t>CEN_0</t>
        </is>
      </c>
      <c r="F2" s="3" t="inlineStr">
        <is>
          <t>CEN_1</t>
        </is>
      </c>
      <c r="G2" s="3" t="inlineStr">
        <is>
          <t>CEN_2</t>
        </is>
      </c>
      <c r="H2" s="3" t="inlineStr">
        <is>
          <t>CEN_3</t>
        </is>
      </c>
      <c r="I2" s="3" t="inlineStr">
        <is>
          <t>CEN_4</t>
        </is>
      </c>
      <c r="J2" s="3" t="inlineStr">
        <is>
          <t>CEN_5</t>
        </is>
      </c>
      <c r="K2" s="3" t="inlineStr">
        <is>
          <t>CEN_6</t>
        </is>
      </c>
      <c r="L2" s="3" t="inlineStr">
        <is>
          <t>CEN_7</t>
        </is>
      </c>
      <c r="M2" s="3" t="inlineStr">
        <is>
          <t>CEN_8</t>
        </is>
      </c>
      <c r="N2" s="3" t="inlineStr">
        <is>
          <t>CEN_9</t>
        </is>
      </c>
      <c r="O2" s="3" t="inlineStr">
        <is>
          <t>CEN_10</t>
        </is>
      </c>
      <c r="P2" s="3" t="inlineStr">
        <is>
          <t>CEN_11</t>
        </is>
      </c>
      <c r="Q2" s="3" t="inlineStr">
        <is>
          <t>Base_FL</t>
        </is>
      </c>
      <c r="R2" s="3" t="inlineStr">
        <is>
          <t>EDT_1</t>
        </is>
      </c>
      <c r="S2" s="3" t="inlineStr">
        <is>
          <t>EDT_2</t>
        </is>
      </c>
      <c r="T2" s="3" t="inlineStr">
        <is>
          <t>EDT_3</t>
        </is>
      </c>
      <c r="U2" s="3" t="inlineStr">
        <is>
          <t>EDT_4</t>
        </is>
      </c>
      <c r="V2" s="3" t="inlineStr">
        <is>
          <t>EDT_5</t>
        </is>
      </c>
      <c r="W2" s="3" t="inlineStr">
        <is>
          <t>EDT_6</t>
        </is>
      </c>
      <c r="X2" s="3" t="inlineStr">
        <is>
          <t>EDT_7</t>
        </is>
      </c>
      <c r="Y2" s="3" t="inlineStr">
        <is>
          <t>EDT_8</t>
        </is>
      </c>
      <c r="Z2" s="3" t="inlineStr">
        <is>
          <t>horiz_high_map</t>
        </is>
      </c>
      <c r="AA2" s="3" t="inlineStr">
        <is>
          <t>horiz_low_map</t>
        </is>
      </c>
      <c r="AB2" s="3" t="inlineStr">
        <is>
          <t>ssa</t>
        </is>
      </c>
      <c r="AC2" s="3" t="inlineStr">
        <is>
          <t>ema_ssa</t>
        </is>
      </c>
      <c r="AD2" s="3" t="inlineStr">
        <is>
          <t>crossing</t>
        </is>
      </c>
      <c r="AE2" s="104" t="inlineStr">
        <is>
          <t>i</t>
        </is>
      </c>
      <c r="AF2" s="104" t="inlineStr">
        <is>
          <t>Bar Index</t>
        </is>
      </c>
      <c r="AG2" s="104" t="inlineStr">
        <is>
          <t>eᵢ</t>
        </is>
      </c>
      <c r="AH2" s="104" t="inlineStr">
        <is>
          <t>eᵢ²</t>
        </is>
      </c>
      <c r="AI2" s="104" t="inlineStr">
        <is>
          <t>(eᵢ/σ)³</t>
        </is>
      </c>
      <c r="AJ2" s="104" t="inlineStr">
        <is>
          <t>(eᵢ/σ)⁴</t>
        </is>
      </c>
      <c r="AK2" s="102" t="inlineStr">
        <is>
          <t>X²</t>
        </is>
      </c>
      <c r="AL2" s="5" t="inlineStr">
        <is>
          <t>SSA Last Cross</t>
        </is>
      </c>
      <c r="AM2" s="5" t="inlineStr">
        <is>
          <t>SSA Cross Dist</t>
        </is>
      </c>
    </row>
    <row r="3">
      <c r="A3" t="n">
        <v>1776351602</v>
      </c>
      <c r="B3" t="inlineStr">
        <is>
          <t>XAUUSD</t>
        </is>
      </c>
      <c r="C3" t="inlineStr">
        <is>
          <t>M15</t>
        </is>
      </c>
      <c r="D3" t="n">
        <v>4806.71</v>
      </c>
      <c r="E3" t="n">
        <v>4518.59282</v>
      </c>
      <c r="F3" t="n">
        <v>4596.05595</v>
      </c>
      <c r="G3" t="n">
        <v>4755.40355</v>
      </c>
      <c r="H3" t="n">
        <v>4792.76972</v>
      </c>
      <c r="Q3" t="n">
        <v>4817.37013</v>
      </c>
      <c r="R3" t="n">
        <v>4846.73343</v>
      </c>
      <c r="S3" t="n">
        <v>4873.3222</v>
      </c>
      <c r="V3" t="n">
        <v>4782.43036</v>
      </c>
      <c r="W3" t="n">
        <v>4748.86536</v>
      </c>
      <c r="AB3" t="n">
        <v>4798.97491</v>
      </c>
      <c r="AC3" t="n">
        <v>4798.29464</v>
      </c>
      <c r="AD3" t="n">
        <v>1</v>
      </c>
      <c r="AE3" s="4" t="n">
        <v>1</v>
      </c>
      <c r="AF3" s="4" t="n">
        <v>0</v>
      </c>
      <c r="AG3">
        <f>D3-Q3</f>
        <v/>
      </c>
      <c r="AH3">
        <f>AG3^2</f>
        <v/>
      </c>
      <c r="AI3">
        <f>(AG3/STDEV($AG$3:$AG$1137))^3</f>
        <v/>
      </c>
      <c r="AJ3">
        <f>(AG3/STDEV($AG$3:$AG$1137))^4</f>
        <v/>
      </c>
      <c r="AK3">
        <f>AF3^2</f>
        <v/>
      </c>
      <c r="AL3">
        <f>IF(AD3=1,AB3,"")</f>
        <v/>
      </c>
      <c r="AM3" t="inlineStr">
        <is>
          <t>""</t>
        </is>
      </c>
    </row>
    <row r="4">
      <c r="A4" t="n">
        <v>1776352502</v>
      </c>
      <c r="B4" t="inlineStr">
        <is>
          <t>XAUUSD</t>
        </is>
      </c>
      <c r="C4" t="inlineStr">
        <is>
          <t>M15</t>
        </is>
      </c>
      <c r="D4" t="n">
        <v>4802.1</v>
      </c>
      <c r="E4" t="n">
        <v>4518.59282</v>
      </c>
      <c r="F4" t="n">
        <v>4596.05595</v>
      </c>
      <c r="G4" t="n">
        <v>4755.40355</v>
      </c>
      <c r="H4" t="n">
        <v>4792.76972</v>
      </c>
      <c r="Q4" t="n">
        <v>4817.10252</v>
      </c>
      <c r="R4" t="n">
        <v>4846.46582</v>
      </c>
      <c r="S4" t="n">
        <v>4873.05459</v>
      </c>
      <c r="V4" t="n">
        <v>4782.16275</v>
      </c>
      <c r="W4" t="n">
        <v>4748.59776</v>
      </c>
      <c r="AB4" t="n">
        <v>4800.8624</v>
      </c>
      <c r="AC4" t="n">
        <v>4799.57852</v>
      </c>
      <c r="AD4" t="n">
        <v>0</v>
      </c>
      <c r="AE4">
        <f>AE3+1</f>
        <v/>
      </c>
      <c r="AF4">
        <f>AF3+1</f>
        <v/>
      </c>
      <c r="AG4">
        <f>D4-Q4</f>
        <v/>
      </c>
      <c r="AH4">
        <f>AG4^2</f>
        <v/>
      </c>
      <c r="AI4">
        <f>(AG4/STDEV($AG$3:$AG$1137))^3</f>
        <v/>
      </c>
      <c r="AJ4">
        <f>(AG4/STDEV($AG$3:$AG$1137))^4</f>
        <v/>
      </c>
      <c r="AK4">
        <f>AF4^2</f>
        <v/>
      </c>
      <c r="AL4">
        <f>IF(AD4=1,AB4,IF(AL3&lt;&gt;"",AL3,""))</f>
        <v/>
      </c>
      <c r="AM4">
        <f>IF(AND(AD4=1,AL3&lt;&gt;""),ABS(AB4-AL3),"")</f>
        <v/>
      </c>
    </row>
    <row r="5">
      <c r="A5" t="n">
        <v>1776353402</v>
      </c>
      <c r="B5" t="inlineStr">
        <is>
          <t>XAUUSD</t>
        </is>
      </c>
      <c r="C5" t="inlineStr">
        <is>
          <t>M15</t>
        </is>
      </c>
      <c r="D5" t="n">
        <v>4802.98</v>
      </c>
      <c r="E5" t="n">
        <v>4518.59282</v>
      </c>
      <c r="F5" t="n">
        <v>4596.05595</v>
      </c>
      <c r="G5" t="n">
        <v>4755.40355</v>
      </c>
      <c r="H5" t="n">
        <v>4792.76972</v>
      </c>
      <c r="Q5" t="n">
        <v>4816.83492</v>
      </c>
      <c r="R5" t="n">
        <v>4846.19822</v>
      </c>
      <c r="S5" t="n">
        <v>4872.78699</v>
      </c>
      <c r="V5" t="n">
        <v>4781.89515</v>
      </c>
      <c r="W5" t="n">
        <v>4748.33015</v>
      </c>
      <c r="AB5" t="n">
        <v>4802.26499</v>
      </c>
      <c r="AC5" t="n">
        <v>4800.92176</v>
      </c>
      <c r="AD5" t="n">
        <v>0</v>
      </c>
      <c r="AE5">
        <f>AE4+1</f>
        <v/>
      </c>
      <c r="AF5">
        <f>AF4+1</f>
        <v/>
      </c>
      <c r="AG5">
        <f>D5-Q5</f>
        <v/>
      </c>
      <c r="AH5">
        <f>AG5^2</f>
        <v/>
      </c>
      <c r="AI5">
        <f>(AG5/STDEV($AG$3:$AG$1137))^3</f>
        <v/>
      </c>
      <c r="AJ5">
        <f>(AG5/STDEV($AG$3:$AG$1137))^4</f>
        <v/>
      </c>
      <c r="AK5">
        <f>AF5^2</f>
        <v/>
      </c>
      <c r="AL5">
        <f>IF(AD5=1,AB5,IF(AL4&lt;&gt;"",AL4,""))</f>
        <v/>
      </c>
      <c r="AM5">
        <f>IF(AND(AD5=1,AL4&lt;&gt;""),ABS(AB5-AL4),"")</f>
        <v/>
      </c>
    </row>
    <row r="6">
      <c r="A6" t="n">
        <v>1776354302</v>
      </c>
      <c r="B6" t="inlineStr">
        <is>
          <t>XAUUSD</t>
        </is>
      </c>
      <c r="C6" t="inlineStr">
        <is>
          <t>M15</t>
        </is>
      </c>
      <c r="D6" t="n">
        <v>4807.09</v>
      </c>
      <c r="E6" t="n">
        <v>4518.59282</v>
      </c>
      <c r="F6" t="n">
        <v>4596.05595</v>
      </c>
      <c r="G6" t="n">
        <v>4755.40355</v>
      </c>
      <c r="H6" t="n">
        <v>4792.76972</v>
      </c>
      <c r="Q6" t="n">
        <v>4816.56731</v>
      </c>
      <c r="R6" t="n">
        <v>4845.93061</v>
      </c>
      <c r="S6" t="n">
        <v>4872.51938</v>
      </c>
      <c r="V6" t="n">
        <v>4781.62754</v>
      </c>
      <c r="W6" t="n">
        <v>4748.06255</v>
      </c>
      <c r="AB6" t="n">
        <v>4802.68904</v>
      </c>
      <c r="AC6" t="n">
        <v>4801.8054</v>
      </c>
      <c r="AD6" t="n">
        <v>0</v>
      </c>
      <c r="AE6">
        <f>AE5+1</f>
        <v/>
      </c>
      <c r="AF6">
        <f>AF5+1</f>
        <v/>
      </c>
      <c r="AG6">
        <f>D6-Q6</f>
        <v/>
      </c>
      <c r="AH6">
        <f>AG6^2</f>
        <v/>
      </c>
      <c r="AI6">
        <f>(AG6/STDEV($AG$3:$AG$1137))^3</f>
        <v/>
      </c>
      <c r="AJ6">
        <f>(AG6/STDEV($AG$3:$AG$1137))^4</f>
        <v/>
      </c>
      <c r="AK6">
        <f>AF6^2</f>
        <v/>
      </c>
      <c r="AL6">
        <f>IF(AD6=1,AB6,IF(AL5&lt;&gt;"",AL5,""))</f>
        <v/>
      </c>
      <c r="AM6">
        <f>IF(AND(AD6=1,AL5&lt;&gt;""),ABS(AB6-AL5),"")</f>
        <v/>
      </c>
    </row>
    <row r="7">
      <c r="A7" t="n">
        <v>1776355202</v>
      </c>
      <c r="B7" t="inlineStr">
        <is>
          <t>XAUUSD</t>
        </is>
      </c>
      <c r="C7" t="inlineStr">
        <is>
          <t>M15</t>
        </is>
      </c>
      <c r="D7" t="n">
        <v>4805.02</v>
      </c>
      <c r="E7" t="n">
        <v>4518.59282</v>
      </c>
      <c r="F7" t="n">
        <v>4596.05595</v>
      </c>
      <c r="G7" t="n">
        <v>4755.40355</v>
      </c>
      <c r="H7" t="n">
        <v>4792.76972</v>
      </c>
      <c r="Q7" t="n">
        <v>4816.29971</v>
      </c>
      <c r="R7" t="n">
        <v>4845.66301</v>
      </c>
      <c r="S7" t="n">
        <v>4872.25178</v>
      </c>
      <c r="V7" t="n">
        <v>4781.35994</v>
      </c>
      <c r="W7" t="n">
        <v>4747.79494</v>
      </c>
      <c r="AB7" t="n">
        <v>4801.75857</v>
      </c>
      <c r="AC7" t="n">
        <v>4801.78198</v>
      </c>
      <c r="AD7" t="n">
        <v>1</v>
      </c>
      <c r="AE7">
        <f>AE6+1</f>
        <v/>
      </c>
      <c r="AF7">
        <f>AF6+1</f>
        <v/>
      </c>
      <c r="AG7">
        <f>D7-Q7</f>
        <v/>
      </c>
      <c r="AH7">
        <f>AG7^2</f>
        <v/>
      </c>
      <c r="AI7">
        <f>(AG7/STDEV($AG$3:$AG$1137))^3</f>
        <v/>
      </c>
      <c r="AJ7">
        <f>(AG7/STDEV($AG$3:$AG$1137))^4</f>
        <v/>
      </c>
      <c r="AK7">
        <f>AF7^2</f>
        <v/>
      </c>
      <c r="AL7">
        <f>IF(AD7=1,AB7,IF(AL6&lt;&gt;"",AL6,""))</f>
        <v/>
      </c>
      <c r="AM7">
        <f>IF(AND(AD7=1,AL6&lt;&gt;""),ABS(AB7-AL6),"")</f>
        <v/>
      </c>
    </row>
    <row r="8">
      <c r="A8" t="n">
        <v>1776356102</v>
      </c>
      <c r="B8" t="inlineStr">
        <is>
          <t>XAUUSD</t>
        </is>
      </c>
      <c r="C8" t="inlineStr">
        <is>
          <t>M15</t>
        </is>
      </c>
      <c r="D8" t="n">
        <v>4799.31</v>
      </c>
      <c r="E8" t="n">
        <v>4518.59282</v>
      </c>
      <c r="F8" t="n">
        <v>4596.05595</v>
      </c>
      <c r="G8" t="n">
        <v>4755.40355</v>
      </c>
      <c r="H8" t="n">
        <v>4792.76972</v>
      </c>
      <c r="Q8" t="n">
        <v>4816.03211</v>
      </c>
      <c r="R8" t="n">
        <v>4845.39541</v>
      </c>
      <c r="S8" t="n">
        <v>4871.98418</v>
      </c>
      <c r="V8" t="n">
        <v>4781.09234</v>
      </c>
      <c r="W8" t="n">
        <v>4747.52734</v>
      </c>
      <c r="AB8" t="n">
        <v>4799.54366</v>
      </c>
      <c r="AC8" t="n">
        <v>4800.66282</v>
      </c>
      <c r="AD8" t="n">
        <v>0</v>
      </c>
      <c r="AE8">
        <f>AE7+1</f>
        <v/>
      </c>
      <c r="AF8">
        <f>AF7+1</f>
        <v/>
      </c>
      <c r="AG8">
        <f>D8-Q8</f>
        <v/>
      </c>
      <c r="AH8">
        <f>AG8^2</f>
        <v/>
      </c>
      <c r="AI8">
        <f>(AG8/STDEV($AG$3:$AG$1137))^3</f>
        <v/>
      </c>
      <c r="AJ8">
        <f>(AG8/STDEV($AG$3:$AG$1137))^4</f>
        <v/>
      </c>
      <c r="AK8">
        <f>AF8^2</f>
        <v/>
      </c>
      <c r="AL8">
        <f>IF(AD8=1,AB8,IF(AL7&lt;&gt;"",AL7,""))</f>
        <v/>
      </c>
      <c r="AM8">
        <f>IF(AND(AD8=1,AL7&lt;&gt;""),ABS(AB8-AL7),"")</f>
        <v/>
      </c>
    </row>
    <row r="9">
      <c r="A9" t="n">
        <v>1776357002</v>
      </c>
      <c r="B9" t="inlineStr">
        <is>
          <t>XAUUSD</t>
        </is>
      </c>
      <c r="C9" t="inlineStr">
        <is>
          <t>M15</t>
        </is>
      </c>
      <c r="D9" t="n">
        <v>4790.11</v>
      </c>
      <c r="E9" t="n">
        <v>4518.59282</v>
      </c>
      <c r="F9" t="n">
        <v>4596.05595</v>
      </c>
      <c r="G9" t="n">
        <v>4755.40355</v>
      </c>
      <c r="H9" t="n">
        <v>4792.76972</v>
      </c>
      <c r="Q9" t="n">
        <v>4815.7645</v>
      </c>
      <c r="R9" t="n">
        <v>4845.1278</v>
      </c>
      <c r="S9" t="n">
        <v>4871.71657</v>
      </c>
      <c r="V9" t="n">
        <v>4780.82473</v>
      </c>
      <c r="W9" t="n">
        <v>4747.25974</v>
      </c>
      <c r="AB9" t="n">
        <v>4796.48611</v>
      </c>
      <c r="AC9" t="n">
        <v>4798.57446</v>
      </c>
      <c r="AD9" t="n">
        <v>0</v>
      </c>
      <c r="AE9">
        <f>AE8+1</f>
        <v/>
      </c>
      <c r="AF9">
        <f>AF8+1</f>
        <v/>
      </c>
      <c r="AG9">
        <f>D9-Q9</f>
        <v/>
      </c>
      <c r="AH9">
        <f>AG9^2</f>
        <v/>
      </c>
      <c r="AI9">
        <f>(AG9/STDEV($AG$3:$AG$1137))^3</f>
        <v/>
      </c>
      <c r="AJ9">
        <f>(AG9/STDEV($AG$3:$AG$1137))^4</f>
        <v/>
      </c>
      <c r="AK9">
        <f>AF9^2</f>
        <v/>
      </c>
      <c r="AL9">
        <f>IF(AD9=1,AB9,IF(AL8&lt;&gt;"",AL8,""))</f>
        <v/>
      </c>
      <c r="AM9">
        <f>IF(AND(AD9=1,AL8&lt;&gt;""),ABS(AB9-AL8),"")</f>
        <v/>
      </c>
    </row>
    <row r="10">
      <c r="A10" t="n">
        <v>1776357902</v>
      </c>
      <c r="B10" t="inlineStr">
        <is>
          <t>XAUUSD</t>
        </is>
      </c>
      <c r="C10" t="inlineStr">
        <is>
          <t>M15</t>
        </is>
      </c>
      <c r="D10" t="n">
        <v>4791.99</v>
      </c>
      <c r="E10" t="n">
        <v>4518.59282</v>
      </c>
      <c r="F10" t="n">
        <v>4596.05595</v>
      </c>
      <c r="G10" t="n">
        <v>4755.40355</v>
      </c>
      <c r="H10" t="n">
        <v>4792.76972</v>
      </c>
      <c r="Q10" t="n">
        <v>4815.4969</v>
      </c>
      <c r="R10" t="n">
        <v>4844.8602</v>
      </c>
      <c r="S10" t="n">
        <v>4871.44897</v>
      </c>
      <c r="V10" t="n">
        <v>4780.55713</v>
      </c>
      <c r="W10" t="n">
        <v>4746.99213</v>
      </c>
      <c r="AB10" t="n">
        <v>4793.29138</v>
      </c>
      <c r="AC10" t="n">
        <v>4795.93292</v>
      </c>
      <c r="AD10" t="n">
        <v>0</v>
      </c>
      <c r="AE10">
        <f>AE9+1</f>
        <v/>
      </c>
      <c r="AF10">
        <f>AF9+1</f>
        <v/>
      </c>
      <c r="AG10">
        <f>D10-Q10</f>
        <v/>
      </c>
      <c r="AH10">
        <f>AG10^2</f>
        <v/>
      </c>
      <c r="AI10">
        <f>(AG10/STDEV($AG$3:$AG$1137))^3</f>
        <v/>
      </c>
      <c r="AJ10">
        <f>(AG10/STDEV($AG$3:$AG$1137))^4</f>
        <v/>
      </c>
      <c r="AK10">
        <f>AF10^2</f>
        <v/>
      </c>
      <c r="AL10">
        <f>IF(AD10=1,AB10,IF(AL9&lt;&gt;"",AL9,""))</f>
        <v/>
      </c>
      <c r="AM10">
        <f>IF(AND(AD10=1,AL9&lt;&gt;""),ABS(AB10-AL9),"")</f>
        <v/>
      </c>
    </row>
    <row r="11">
      <c r="A11" t="n">
        <v>1776358802</v>
      </c>
      <c r="B11" t="inlineStr">
        <is>
          <t>XAUUSD</t>
        </is>
      </c>
      <c r="C11" t="inlineStr">
        <is>
          <t>M15</t>
        </is>
      </c>
      <c r="D11" t="n">
        <v>4791.41</v>
      </c>
      <c r="E11" t="n">
        <v>4518.59282</v>
      </c>
      <c r="F11" t="n">
        <v>4596.05595</v>
      </c>
      <c r="G11" t="n">
        <v>4755.40355</v>
      </c>
      <c r="H11" t="n">
        <v>4792.76972</v>
      </c>
      <c r="Q11" t="n">
        <v>4815.22929</v>
      </c>
      <c r="R11" t="n">
        <v>4844.59259</v>
      </c>
      <c r="S11" t="n">
        <v>4871.18136</v>
      </c>
      <c r="V11" t="n">
        <v>4780.28952</v>
      </c>
      <c r="W11" t="n">
        <v>4746.72453</v>
      </c>
      <c r="AB11" t="n">
        <v>4790.37153</v>
      </c>
      <c r="AC11" t="n">
        <v>4793.15223</v>
      </c>
      <c r="AD11" t="n">
        <v>0</v>
      </c>
      <c r="AE11">
        <f>AE10+1</f>
        <v/>
      </c>
      <c r="AF11">
        <f>AF10+1</f>
        <v/>
      </c>
      <c r="AG11">
        <f>D11-Q11</f>
        <v/>
      </c>
      <c r="AH11">
        <f>AG11^2</f>
        <v/>
      </c>
      <c r="AI11">
        <f>(AG11/STDEV($AG$3:$AG$1137))^3</f>
        <v/>
      </c>
      <c r="AJ11">
        <f>(AG11/STDEV($AG$3:$AG$1137))^4</f>
        <v/>
      </c>
      <c r="AK11">
        <f>AF11^2</f>
        <v/>
      </c>
      <c r="AL11">
        <f>IF(AD11=1,AB11,IF(AL10&lt;&gt;"",AL10,""))</f>
        <v/>
      </c>
      <c r="AM11">
        <f>IF(AND(AD11=1,AL10&lt;&gt;""),ABS(AB11-AL10),"")</f>
        <v/>
      </c>
    </row>
    <row r="12">
      <c r="A12" t="n">
        <v>1776359702</v>
      </c>
      <c r="B12" t="inlineStr">
        <is>
          <t>XAUUSD</t>
        </is>
      </c>
      <c r="C12" t="inlineStr">
        <is>
          <t>M15</t>
        </is>
      </c>
      <c r="D12" t="n">
        <v>4785.04</v>
      </c>
      <c r="E12" t="n">
        <v>4518.59282</v>
      </c>
      <c r="F12" t="n">
        <v>4596.05595</v>
      </c>
      <c r="G12" t="n">
        <v>4755.40355</v>
      </c>
      <c r="H12" t="n">
        <v>4792.76972</v>
      </c>
      <c r="Q12" t="n">
        <v>4814.96169</v>
      </c>
      <c r="R12" t="n">
        <v>4844.32499</v>
      </c>
      <c r="S12" t="n">
        <v>4870.91376</v>
      </c>
      <c r="V12" t="n">
        <v>4780.02192</v>
      </c>
      <c r="W12" t="n">
        <v>4746.45692</v>
      </c>
      <c r="AB12" t="n">
        <v>4788.08063</v>
      </c>
      <c r="AC12" t="n">
        <v>4790.61643</v>
      </c>
      <c r="AD12" t="n">
        <v>0</v>
      </c>
      <c r="AE12">
        <f>AE11+1</f>
        <v/>
      </c>
      <c r="AF12">
        <f>AF11+1</f>
        <v/>
      </c>
      <c r="AG12">
        <f>D12-Q12</f>
        <v/>
      </c>
      <c r="AH12">
        <f>AG12^2</f>
        <v/>
      </c>
      <c r="AI12">
        <f>(AG12/STDEV($AG$3:$AG$1137))^3</f>
        <v/>
      </c>
      <c r="AJ12">
        <f>(AG12/STDEV($AG$3:$AG$1137))^4</f>
        <v/>
      </c>
      <c r="AK12">
        <f>AF12^2</f>
        <v/>
      </c>
      <c r="AL12">
        <f>IF(AD12=1,AB12,IF(AL11&lt;&gt;"",AL11,""))</f>
        <v/>
      </c>
      <c r="AM12">
        <f>IF(AND(AD12=1,AL11&lt;&gt;""),ABS(AB12-AL11),"")</f>
        <v/>
      </c>
    </row>
    <row r="13">
      <c r="A13" t="n">
        <v>1776360602</v>
      </c>
      <c r="B13" t="inlineStr">
        <is>
          <t>XAUUSD</t>
        </is>
      </c>
      <c r="C13" t="inlineStr">
        <is>
          <t>M15</t>
        </is>
      </c>
      <c r="D13" t="n">
        <v>4787.16</v>
      </c>
      <c r="E13" t="n">
        <v>4518.59282</v>
      </c>
      <c r="F13" t="n">
        <v>4596.05595</v>
      </c>
      <c r="G13" t="n">
        <v>4755.40355</v>
      </c>
      <c r="H13" t="n">
        <v>4792.76972</v>
      </c>
      <c r="Q13" t="n">
        <v>4814.69409</v>
      </c>
      <c r="R13" t="n">
        <v>4844.05738</v>
      </c>
      <c r="S13" t="n">
        <v>4870.64616</v>
      </c>
      <c r="V13" t="n">
        <v>4779.75432</v>
      </c>
      <c r="W13" t="n">
        <v>4746.18932</v>
      </c>
      <c r="AB13" t="n">
        <v>4786.79662</v>
      </c>
      <c r="AC13" t="n">
        <v>4788.70652</v>
      </c>
      <c r="AD13" t="n">
        <v>0</v>
      </c>
      <c r="AE13">
        <f>AE12+1</f>
        <v/>
      </c>
      <c r="AF13">
        <f>AF12+1</f>
        <v/>
      </c>
      <c r="AG13">
        <f>D13-Q13</f>
        <v/>
      </c>
      <c r="AH13">
        <f>AG13^2</f>
        <v/>
      </c>
      <c r="AI13">
        <f>(AG13/STDEV($AG$3:$AG$1137))^3</f>
        <v/>
      </c>
      <c r="AJ13">
        <f>(AG13/STDEV($AG$3:$AG$1137))^4</f>
        <v/>
      </c>
      <c r="AK13">
        <f>AF13^2</f>
        <v/>
      </c>
      <c r="AL13">
        <f>IF(AD13=1,AB13,IF(AL12&lt;&gt;"",AL12,""))</f>
        <v/>
      </c>
      <c r="AM13">
        <f>IF(AND(AD13=1,AL12&lt;&gt;""),ABS(AB13-AL12),"")</f>
        <v/>
      </c>
    </row>
    <row r="14">
      <c r="A14" t="n">
        <v>1776361502</v>
      </c>
      <c r="B14" t="inlineStr">
        <is>
          <t>XAUUSD</t>
        </is>
      </c>
      <c r="C14" t="inlineStr">
        <is>
          <t>M15</t>
        </is>
      </c>
      <c r="D14" t="n">
        <v>4789.22</v>
      </c>
      <c r="E14" t="n">
        <v>4518.59282</v>
      </c>
      <c r="F14" t="n">
        <v>4596.05595</v>
      </c>
      <c r="G14" t="n">
        <v>4755.40355</v>
      </c>
      <c r="H14" t="n">
        <v>4792.76972</v>
      </c>
      <c r="Q14" t="n">
        <v>4814.42648</v>
      </c>
      <c r="R14" t="n">
        <v>4843.78978</v>
      </c>
      <c r="S14" t="n">
        <v>4870.37855</v>
      </c>
      <c r="V14" t="n">
        <v>4779.48671</v>
      </c>
      <c r="W14" t="n">
        <v>4745.92172</v>
      </c>
      <c r="AB14" t="n">
        <v>4786.51606</v>
      </c>
      <c r="AC14" t="n">
        <v>4787.61129</v>
      </c>
      <c r="AD14" t="n">
        <v>0</v>
      </c>
      <c r="AE14">
        <f>AE13+1</f>
        <v/>
      </c>
      <c r="AF14">
        <f>AF13+1</f>
        <v/>
      </c>
      <c r="AG14">
        <f>D14-Q14</f>
        <v/>
      </c>
      <c r="AH14">
        <f>AG14^2</f>
        <v/>
      </c>
      <c r="AI14">
        <f>(AG14/STDEV($AG$3:$AG$1137))^3</f>
        <v/>
      </c>
      <c r="AJ14">
        <f>(AG14/STDEV($AG$3:$AG$1137))^4</f>
        <v/>
      </c>
      <c r="AK14">
        <f>AF14^2</f>
        <v/>
      </c>
      <c r="AL14">
        <f>IF(AD14=1,AB14,IF(AL13&lt;&gt;"",AL13,""))</f>
        <v/>
      </c>
      <c r="AM14">
        <f>IF(AND(AD14=1,AL13&lt;&gt;""),ABS(AB14-AL13),"")</f>
        <v/>
      </c>
    </row>
    <row r="15">
      <c r="A15" t="n">
        <v>1776362402</v>
      </c>
      <c r="B15" t="inlineStr">
        <is>
          <t>XAUUSD</t>
        </is>
      </c>
      <c r="C15" t="inlineStr">
        <is>
          <t>M15</t>
        </is>
      </c>
      <c r="D15" t="n">
        <v>4790.1</v>
      </c>
      <c r="E15" t="n">
        <v>4518.59282</v>
      </c>
      <c r="F15" t="n">
        <v>4596.05595</v>
      </c>
      <c r="G15" t="n">
        <v>4755.40355</v>
      </c>
      <c r="H15" t="n">
        <v>4792.76972</v>
      </c>
      <c r="Q15" t="n">
        <v>4814.15888</v>
      </c>
      <c r="R15" t="n">
        <v>4843.52218</v>
      </c>
      <c r="S15" t="n">
        <v>4870.11095</v>
      </c>
      <c r="V15" t="n">
        <v>4779.21911</v>
      </c>
      <c r="W15" t="n">
        <v>4745.65411</v>
      </c>
      <c r="AB15" t="n">
        <v>4787.06761</v>
      </c>
      <c r="AC15" t="n">
        <v>4787.33945</v>
      </c>
      <c r="AD15" t="n">
        <v>0</v>
      </c>
      <c r="AE15">
        <f>AE14+1</f>
        <v/>
      </c>
      <c r="AF15">
        <f>AF14+1</f>
        <v/>
      </c>
      <c r="AG15">
        <f>D15-Q15</f>
        <v/>
      </c>
      <c r="AH15">
        <f>AG15^2</f>
        <v/>
      </c>
      <c r="AI15">
        <f>(AG15/STDEV($AG$3:$AG$1137))^3</f>
        <v/>
      </c>
      <c r="AJ15">
        <f>(AG15/STDEV($AG$3:$AG$1137))^4</f>
        <v/>
      </c>
      <c r="AK15">
        <f>AF15^2</f>
        <v/>
      </c>
      <c r="AL15">
        <f>IF(AD15=1,AB15,IF(AL14&lt;&gt;"",AL14,""))</f>
        <v/>
      </c>
      <c r="AM15">
        <f>IF(AND(AD15=1,AL14&lt;&gt;""),ABS(AB15-AL14),"")</f>
        <v/>
      </c>
    </row>
    <row r="16">
      <c r="A16" t="n">
        <v>1776363302</v>
      </c>
      <c r="B16" t="inlineStr">
        <is>
          <t>XAUUSD</t>
        </is>
      </c>
      <c r="C16" t="inlineStr">
        <is>
          <t>M15</t>
        </is>
      </c>
      <c r="D16" t="n">
        <v>4786.98</v>
      </c>
      <c r="E16" t="n">
        <v>4518.59282</v>
      </c>
      <c r="F16" t="n">
        <v>4596.05595</v>
      </c>
      <c r="G16" t="n">
        <v>4755.40355</v>
      </c>
      <c r="H16" t="n">
        <v>4792.76972</v>
      </c>
      <c r="Q16" t="n">
        <v>4813.89127</v>
      </c>
      <c r="R16" t="n">
        <v>4843.25457</v>
      </c>
      <c r="S16" t="n">
        <v>4869.84334</v>
      </c>
      <c r="V16" t="n">
        <v>4778.9515</v>
      </c>
      <c r="W16" t="n">
        <v>4745.38651</v>
      </c>
      <c r="AB16" t="n">
        <v>4788.17987</v>
      </c>
      <c r="AC16" t="n">
        <v>4787.75966</v>
      </c>
      <c r="AD16" t="n">
        <v>1</v>
      </c>
      <c r="AE16">
        <f>AE15+1</f>
        <v/>
      </c>
      <c r="AF16">
        <f>AF15+1</f>
        <v/>
      </c>
      <c r="AG16">
        <f>D16-Q16</f>
        <v/>
      </c>
      <c r="AH16">
        <f>AG16^2</f>
        <v/>
      </c>
      <c r="AI16">
        <f>(AG16/STDEV($AG$3:$AG$1137))^3</f>
        <v/>
      </c>
      <c r="AJ16">
        <f>(AG16/STDEV($AG$3:$AG$1137))^4</f>
        <v/>
      </c>
      <c r="AK16">
        <f>AF16^2</f>
        <v/>
      </c>
      <c r="AL16">
        <f>IF(AD16=1,AB16,IF(AL15&lt;&gt;"",AL15,""))</f>
        <v/>
      </c>
      <c r="AM16">
        <f>IF(AND(AD16=1,AL15&lt;&gt;""),ABS(AB16-AL15),"")</f>
        <v/>
      </c>
    </row>
    <row r="17">
      <c r="A17" t="n">
        <v>1776364202</v>
      </c>
      <c r="B17" t="inlineStr">
        <is>
          <t>XAUUSD</t>
        </is>
      </c>
      <c r="C17" t="inlineStr">
        <is>
          <t>M15</t>
        </is>
      </c>
      <c r="D17" t="n">
        <v>4790.43</v>
      </c>
      <c r="E17" t="n">
        <v>4518.59282</v>
      </c>
      <c r="F17" t="n">
        <v>4596.05595</v>
      </c>
      <c r="G17" t="n">
        <v>4755.40355</v>
      </c>
      <c r="H17" t="n">
        <v>4792.76972</v>
      </c>
      <c r="Q17" t="n">
        <v>4813.62367</v>
      </c>
      <c r="R17" t="n">
        <v>4842.98697</v>
      </c>
      <c r="S17" t="n">
        <v>4869.57574</v>
      </c>
      <c r="V17" t="n">
        <v>4778.6839</v>
      </c>
      <c r="W17" t="n">
        <v>4745.1189</v>
      </c>
      <c r="AB17" t="n">
        <v>4789.62866</v>
      </c>
      <c r="AC17" t="n">
        <v>4788.69416</v>
      </c>
      <c r="AD17" t="n">
        <v>0</v>
      </c>
      <c r="AE17">
        <f>AE16+1</f>
        <v/>
      </c>
      <c r="AF17">
        <f>AF16+1</f>
        <v/>
      </c>
      <c r="AG17">
        <f>D17-Q17</f>
        <v/>
      </c>
      <c r="AH17">
        <f>AG17^2</f>
        <v/>
      </c>
      <c r="AI17">
        <f>(AG17/STDEV($AG$3:$AG$1137))^3</f>
        <v/>
      </c>
      <c r="AJ17">
        <f>(AG17/STDEV($AG$3:$AG$1137))^4</f>
        <v/>
      </c>
      <c r="AK17">
        <f>AF17^2</f>
        <v/>
      </c>
      <c r="AL17">
        <f>IF(AD17=1,AB17,IF(AL16&lt;&gt;"",AL16,""))</f>
        <v/>
      </c>
      <c r="AM17">
        <f>IF(AND(AD17=1,AL16&lt;&gt;""),ABS(AB17-AL16),"")</f>
        <v/>
      </c>
    </row>
    <row r="18">
      <c r="A18" t="n">
        <v>1776365102</v>
      </c>
      <c r="B18" t="inlineStr">
        <is>
          <t>XAUUSD</t>
        </is>
      </c>
      <c r="C18" t="inlineStr">
        <is>
          <t>M15</t>
        </is>
      </c>
      <c r="D18" t="n">
        <v>4789.64</v>
      </c>
      <c r="E18" t="n">
        <v>4518.59282</v>
      </c>
      <c r="F18" t="n">
        <v>4596.05595</v>
      </c>
      <c r="G18" t="n">
        <v>4755.40355</v>
      </c>
      <c r="H18" t="n">
        <v>4792.76972</v>
      </c>
      <c r="Q18" t="n">
        <v>4813.35607</v>
      </c>
      <c r="R18" t="n">
        <v>4842.71936</v>
      </c>
      <c r="S18" t="n">
        <v>4869.30814</v>
      </c>
      <c r="V18" t="n">
        <v>4778.4163</v>
      </c>
      <c r="W18" t="n">
        <v>4744.8513</v>
      </c>
      <c r="AB18" t="n">
        <v>4790.99086</v>
      </c>
      <c r="AC18" t="n">
        <v>4789.84251</v>
      </c>
      <c r="AD18" t="n">
        <v>0</v>
      </c>
      <c r="AE18">
        <f>AE17+1</f>
        <v/>
      </c>
      <c r="AF18">
        <f>AF17+1</f>
        <v/>
      </c>
      <c r="AG18">
        <f>D18-Q18</f>
        <v/>
      </c>
      <c r="AH18">
        <f>AG18^2</f>
        <v/>
      </c>
      <c r="AI18">
        <f>(AG18/STDEV($AG$3:$AG$1137))^3</f>
        <v/>
      </c>
      <c r="AJ18">
        <f>(AG18/STDEV($AG$3:$AG$1137))^4</f>
        <v/>
      </c>
      <c r="AK18">
        <f>AF18^2</f>
        <v/>
      </c>
      <c r="AL18">
        <f>IF(AD18=1,AB18,IF(AL17&lt;&gt;"",AL17,""))</f>
        <v/>
      </c>
      <c r="AM18">
        <f>IF(AND(AD18=1,AL17&lt;&gt;""),ABS(AB18-AL17),"")</f>
        <v/>
      </c>
    </row>
    <row r="19">
      <c r="A19" t="n">
        <v>1776366002</v>
      </c>
      <c r="B19" t="inlineStr">
        <is>
          <t>XAUUSD</t>
        </is>
      </c>
      <c r="C19" t="inlineStr">
        <is>
          <t>M15</t>
        </is>
      </c>
      <c r="D19" t="n">
        <v>4790.03</v>
      </c>
      <c r="E19" t="n">
        <v>4518.59282</v>
      </c>
      <c r="F19" t="n">
        <v>4596.05595</v>
      </c>
      <c r="G19" t="n">
        <v>4755.40355</v>
      </c>
      <c r="H19" t="n">
        <v>4792.76972</v>
      </c>
      <c r="Q19" t="n">
        <v>4813.08846</v>
      </c>
      <c r="R19" t="n">
        <v>4842.45176</v>
      </c>
      <c r="S19" t="n">
        <v>4869.04053</v>
      </c>
      <c r="V19" t="n">
        <v>4778.14869</v>
      </c>
      <c r="W19" t="n">
        <v>4744.58369</v>
      </c>
      <c r="AB19" t="n">
        <v>4792.05313</v>
      </c>
      <c r="AC19" t="n">
        <v>4790.94782</v>
      </c>
      <c r="AD19" t="n">
        <v>0</v>
      </c>
      <c r="AE19">
        <f>AE18+1</f>
        <v/>
      </c>
      <c r="AF19">
        <f>AF18+1</f>
        <v/>
      </c>
      <c r="AG19">
        <f>D19-Q19</f>
        <v/>
      </c>
      <c r="AH19">
        <f>AG19^2</f>
        <v/>
      </c>
      <c r="AI19">
        <f>(AG19/STDEV($AG$3:$AG$1137))^3</f>
        <v/>
      </c>
      <c r="AJ19">
        <f>(AG19/STDEV($AG$3:$AG$1137))^4</f>
        <v/>
      </c>
      <c r="AK19">
        <f>AF19^2</f>
        <v/>
      </c>
      <c r="AL19">
        <f>IF(AD19=1,AB19,IF(AL18&lt;&gt;"",AL18,""))</f>
        <v/>
      </c>
      <c r="AM19">
        <f>IF(AND(AD19=1,AL18&lt;&gt;""),ABS(AB19-AL18),"")</f>
        <v/>
      </c>
    </row>
    <row r="20">
      <c r="A20" t="n">
        <v>1776366902</v>
      </c>
      <c r="B20" t="inlineStr">
        <is>
          <t>XAUUSD</t>
        </is>
      </c>
      <c r="C20" t="inlineStr">
        <is>
          <t>M15</t>
        </is>
      </c>
      <c r="D20" t="n">
        <v>4790.76</v>
      </c>
      <c r="E20" t="n">
        <v>4518.59282</v>
      </c>
      <c r="F20" t="n">
        <v>4596.05595</v>
      </c>
      <c r="G20" t="n">
        <v>4755.40355</v>
      </c>
      <c r="H20" t="n">
        <v>4792.76972</v>
      </c>
      <c r="Q20" t="n">
        <v>4812.82086</v>
      </c>
      <c r="R20" t="n">
        <v>4842.18416</v>
      </c>
      <c r="S20" t="n">
        <v>4868.77293</v>
      </c>
      <c r="V20" t="n">
        <v>4777.88109</v>
      </c>
      <c r="W20" t="n">
        <v>4744.31609</v>
      </c>
      <c r="AB20" t="n">
        <v>4792.66974</v>
      </c>
      <c r="AC20" t="n">
        <v>4791.80878</v>
      </c>
      <c r="AD20" t="n">
        <v>0</v>
      </c>
      <c r="AE20">
        <f>AE19+1</f>
        <v/>
      </c>
      <c r="AF20">
        <f>AF19+1</f>
        <v/>
      </c>
      <c r="AG20">
        <f>D20-Q20</f>
        <v/>
      </c>
      <c r="AH20">
        <f>AG20^2</f>
        <v/>
      </c>
      <c r="AI20">
        <f>(AG20/STDEV($AG$3:$AG$1137))^3</f>
        <v/>
      </c>
      <c r="AJ20">
        <f>(AG20/STDEV($AG$3:$AG$1137))^4</f>
        <v/>
      </c>
      <c r="AK20">
        <f>AF20^2</f>
        <v/>
      </c>
      <c r="AL20">
        <f>IF(AD20=1,AB20,IF(AL19&lt;&gt;"",AL19,""))</f>
        <v/>
      </c>
      <c r="AM20">
        <f>IF(AND(AD20=1,AL19&lt;&gt;""),ABS(AB20-AL19),"")</f>
        <v/>
      </c>
    </row>
    <row r="21">
      <c r="A21" t="n">
        <v>1776367802</v>
      </c>
      <c r="B21" t="inlineStr">
        <is>
          <t>XAUUSD</t>
        </is>
      </c>
      <c r="C21" t="inlineStr">
        <is>
          <t>M15</t>
        </is>
      </c>
      <c r="D21" t="n">
        <v>4797.59</v>
      </c>
      <c r="E21" t="n">
        <v>4518.59282</v>
      </c>
      <c r="F21" t="n">
        <v>4596.05595</v>
      </c>
      <c r="G21" t="n">
        <v>4755.40355</v>
      </c>
      <c r="H21" t="n">
        <v>4792.76972</v>
      </c>
      <c r="Q21" t="n">
        <v>4812.55325</v>
      </c>
      <c r="R21" t="n">
        <v>4841.91655</v>
      </c>
      <c r="S21" t="n">
        <v>4868.50532</v>
      </c>
      <c r="V21" t="n">
        <v>4777.61348</v>
      </c>
      <c r="W21" t="n">
        <v>4744.04849</v>
      </c>
      <c r="AB21" t="n">
        <v>4792.80391</v>
      </c>
      <c r="AC21" t="n">
        <v>4792.30634</v>
      </c>
      <c r="AD21" t="n">
        <v>0</v>
      </c>
      <c r="AE21">
        <f>AE20+1</f>
        <v/>
      </c>
      <c r="AF21">
        <f>AF20+1</f>
        <v/>
      </c>
      <c r="AG21">
        <f>D21-Q21</f>
        <v/>
      </c>
      <c r="AH21">
        <f>AG21^2</f>
        <v/>
      </c>
      <c r="AI21">
        <f>(AG21/STDEV($AG$3:$AG$1137))^3</f>
        <v/>
      </c>
      <c r="AJ21">
        <f>(AG21/STDEV($AG$3:$AG$1137))^4</f>
        <v/>
      </c>
      <c r="AK21">
        <f>AF21^2</f>
        <v/>
      </c>
      <c r="AL21">
        <f>IF(AD21=1,AB21,IF(AL20&lt;&gt;"",AL20,""))</f>
        <v/>
      </c>
      <c r="AM21">
        <f>IF(AND(AD21=1,AL20&lt;&gt;""),ABS(AB21-AL20),"")</f>
        <v/>
      </c>
    </row>
    <row r="22">
      <c r="A22" t="n">
        <v>1776368702</v>
      </c>
      <c r="B22" t="inlineStr">
        <is>
          <t>XAUUSD</t>
        </is>
      </c>
      <c r="C22" t="inlineStr">
        <is>
          <t>M15</t>
        </is>
      </c>
      <c r="D22" t="n">
        <v>4793.52</v>
      </c>
      <c r="E22" t="n">
        <v>4518.59282</v>
      </c>
      <c r="F22" t="n">
        <v>4596.05595</v>
      </c>
      <c r="G22" t="n">
        <v>4755.40355</v>
      </c>
      <c r="H22" t="n">
        <v>4792.76972</v>
      </c>
      <c r="Q22" t="n">
        <v>4812.28565</v>
      </c>
      <c r="R22" t="n">
        <v>4841.64895</v>
      </c>
      <c r="S22" t="n">
        <v>4868.23772</v>
      </c>
      <c r="V22" t="n">
        <v>4777.34588</v>
      </c>
      <c r="W22" t="n">
        <v>4743.78088</v>
      </c>
      <c r="AB22" t="n">
        <v>4792.38352</v>
      </c>
      <c r="AC22" t="n">
        <v>4792.34493</v>
      </c>
      <c r="AD22" t="n">
        <v>0</v>
      </c>
      <c r="AE22">
        <f>AE21+1</f>
        <v/>
      </c>
      <c r="AF22">
        <f>AF21+1</f>
        <v/>
      </c>
      <c r="AG22">
        <f>D22-Q22</f>
        <v/>
      </c>
      <c r="AH22">
        <f>AG22^2</f>
        <v/>
      </c>
      <c r="AI22">
        <f>(AG22/STDEV($AG$3:$AG$1137))^3</f>
        <v/>
      </c>
      <c r="AJ22">
        <f>(AG22/STDEV($AG$3:$AG$1137))^4</f>
        <v/>
      </c>
      <c r="AK22">
        <f>AF22^2</f>
        <v/>
      </c>
      <c r="AL22">
        <f>IF(AD22=1,AB22,IF(AL21&lt;&gt;"",AL21,""))</f>
        <v/>
      </c>
      <c r="AM22">
        <f>IF(AND(AD22=1,AL21&lt;&gt;""),ABS(AB22-AL21),"")</f>
        <v/>
      </c>
    </row>
    <row r="23">
      <c r="A23" t="n">
        <v>1776369602</v>
      </c>
      <c r="B23" t="inlineStr">
        <is>
          <t>XAUUSD</t>
        </is>
      </c>
      <c r="C23" t="inlineStr">
        <is>
          <t>M15</t>
        </is>
      </c>
      <c r="D23" t="n">
        <v>4790.59</v>
      </c>
      <c r="E23" t="n">
        <v>4518.59282</v>
      </c>
      <c r="F23" t="n">
        <v>4596.05595</v>
      </c>
      <c r="G23" t="n">
        <v>4755.40355</v>
      </c>
      <c r="H23" t="n">
        <v>4792.76972</v>
      </c>
      <c r="Q23" t="n">
        <v>4812.01804</v>
      </c>
      <c r="R23" t="n">
        <v>4841.38134</v>
      </c>
      <c r="S23" t="n">
        <v>4867.97011</v>
      </c>
      <c r="V23" t="n">
        <v>4777.07827</v>
      </c>
      <c r="W23" t="n">
        <v>4743.51328</v>
      </c>
      <c r="AB23" t="n">
        <v>4791.73717</v>
      </c>
      <c r="AC23" t="n">
        <v>4792.04105</v>
      </c>
      <c r="AD23" t="n">
        <v>1</v>
      </c>
      <c r="AE23">
        <f>AE22+1</f>
        <v/>
      </c>
      <c r="AF23">
        <f>AF22+1</f>
        <v/>
      </c>
      <c r="AG23">
        <f>D23-Q23</f>
        <v/>
      </c>
      <c r="AH23">
        <f>AG23^2</f>
        <v/>
      </c>
      <c r="AI23">
        <f>(AG23/STDEV($AG$3:$AG$1137))^3</f>
        <v/>
      </c>
      <c r="AJ23">
        <f>(AG23/STDEV($AG$3:$AG$1137))^4</f>
        <v/>
      </c>
      <c r="AK23">
        <f>AF23^2</f>
        <v/>
      </c>
      <c r="AL23">
        <f>IF(AD23=1,AB23,IF(AL22&lt;&gt;"",AL22,""))</f>
        <v/>
      </c>
      <c r="AM23">
        <f>IF(AND(AD23=1,AL22&lt;&gt;""),ABS(AB23-AL22),"")</f>
        <v/>
      </c>
    </row>
    <row r="24">
      <c r="A24" t="n">
        <v>1776370502</v>
      </c>
      <c r="B24" t="inlineStr">
        <is>
          <t>XAUUSD</t>
        </is>
      </c>
      <c r="C24" t="inlineStr">
        <is>
          <t>M15</t>
        </is>
      </c>
      <c r="D24" t="n">
        <v>4789.04</v>
      </c>
      <c r="E24" t="n">
        <v>4518.59282</v>
      </c>
      <c r="F24" t="n">
        <v>4596.05595</v>
      </c>
      <c r="G24" t="n">
        <v>4755.40355</v>
      </c>
      <c r="H24" t="n">
        <v>4792.76972</v>
      </c>
      <c r="Q24" t="n">
        <v>4811.75044</v>
      </c>
      <c r="R24" t="n">
        <v>4841.11374</v>
      </c>
      <c r="S24" t="n">
        <v>4867.70251</v>
      </c>
      <c r="V24" t="n">
        <v>4776.81067</v>
      </c>
      <c r="W24" t="n">
        <v>4743.24567</v>
      </c>
      <c r="AB24" t="n">
        <v>4791.18585</v>
      </c>
      <c r="AC24" t="n">
        <v>4791.61345</v>
      </c>
      <c r="AD24" t="n">
        <v>0</v>
      </c>
      <c r="AE24">
        <f>AE23+1</f>
        <v/>
      </c>
      <c r="AF24">
        <f>AF23+1</f>
        <v/>
      </c>
      <c r="AG24">
        <f>D24-Q24</f>
        <v/>
      </c>
      <c r="AH24">
        <f>AG24^2</f>
        <v/>
      </c>
      <c r="AI24">
        <f>(AG24/STDEV($AG$3:$AG$1137))^3</f>
        <v/>
      </c>
      <c r="AJ24">
        <f>(AG24/STDEV($AG$3:$AG$1137))^4</f>
        <v/>
      </c>
      <c r="AK24">
        <f>AF24^2</f>
        <v/>
      </c>
      <c r="AL24">
        <f>IF(AD24=1,AB24,IF(AL23&lt;&gt;"",AL23,""))</f>
        <v/>
      </c>
      <c r="AM24">
        <f>IF(AND(AD24=1,AL23&lt;&gt;""),ABS(AB24-AL23),"")</f>
        <v/>
      </c>
    </row>
    <row r="25">
      <c r="A25" t="n">
        <v>1776371402</v>
      </c>
      <c r="B25" t="inlineStr">
        <is>
          <t>XAUUSD</t>
        </is>
      </c>
      <c r="C25" t="inlineStr">
        <is>
          <t>M15</t>
        </is>
      </c>
      <c r="D25" t="n">
        <v>4788.68</v>
      </c>
      <c r="E25" t="n">
        <v>4518.59282</v>
      </c>
      <c r="F25" t="n">
        <v>4596.05595</v>
      </c>
      <c r="G25" t="n">
        <v>4755.40355</v>
      </c>
      <c r="H25" t="n">
        <v>4792.76972</v>
      </c>
      <c r="Q25" t="n">
        <v>4811.48284</v>
      </c>
      <c r="R25" t="n">
        <v>4840.84614</v>
      </c>
      <c r="S25" t="n">
        <v>4867.43491</v>
      </c>
      <c r="V25" t="n">
        <v>4776.54307</v>
      </c>
      <c r="W25" t="n">
        <v>4742.97807</v>
      </c>
      <c r="AB25" t="n">
        <v>4790.9851</v>
      </c>
      <c r="AC25" t="n">
        <v>4791.29927</v>
      </c>
      <c r="AD25" t="n">
        <v>0</v>
      </c>
      <c r="AE25">
        <f>AE24+1</f>
        <v/>
      </c>
      <c r="AF25">
        <f>AF24+1</f>
        <v/>
      </c>
      <c r="AG25">
        <f>D25-Q25</f>
        <v/>
      </c>
      <c r="AH25">
        <f>AG25^2</f>
        <v/>
      </c>
      <c r="AI25">
        <f>(AG25/STDEV($AG$3:$AG$1137))^3</f>
        <v/>
      </c>
      <c r="AJ25">
        <f>(AG25/STDEV($AG$3:$AG$1137))^4</f>
        <v/>
      </c>
      <c r="AK25">
        <f>AF25^2</f>
        <v/>
      </c>
      <c r="AL25">
        <f>IF(AD25=1,AB25,IF(AL24&lt;&gt;"",AL24,""))</f>
        <v/>
      </c>
      <c r="AM25">
        <f>IF(AND(AD25=1,AL24&lt;&gt;""),ABS(AB25-AL24),"")</f>
        <v/>
      </c>
    </row>
    <row r="26">
      <c r="A26" t="n">
        <v>1776372302</v>
      </c>
      <c r="B26" t="inlineStr">
        <is>
          <t>XAUUSD</t>
        </is>
      </c>
      <c r="C26" t="inlineStr">
        <is>
          <t>M15</t>
        </is>
      </c>
      <c r="D26" t="n">
        <v>4790.84</v>
      </c>
      <c r="E26" t="n">
        <v>4518.59282</v>
      </c>
      <c r="F26" t="n">
        <v>4596.05595</v>
      </c>
      <c r="G26" t="n">
        <v>4755.40355</v>
      </c>
      <c r="H26" t="n">
        <v>4792.76972</v>
      </c>
      <c r="Q26" t="n">
        <v>4811.21523</v>
      </c>
      <c r="R26" t="n">
        <v>4840.57853</v>
      </c>
      <c r="S26" t="n">
        <v>4867.1673</v>
      </c>
      <c r="V26" t="n">
        <v>4776.27546</v>
      </c>
      <c r="W26" t="n">
        <v>4742.71047</v>
      </c>
      <c r="AB26" t="n">
        <v>4791.2623</v>
      </c>
      <c r="AC26" t="n">
        <v>4791.28079</v>
      </c>
      <c r="AD26" t="n">
        <v>0</v>
      </c>
      <c r="AE26">
        <f>AE25+1</f>
        <v/>
      </c>
      <c r="AF26">
        <f>AF25+1</f>
        <v/>
      </c>
      <c r="AG26">
        <f>D26-Q26</f>
        <v/>
      </c>
      <c r="AH26">
        <f>AG26^2</f>
        <v/>
      </c>
      <c r="AI26">
        <f>(AG26/STDEV($AG$3:$AG$1137))^3</f>
        <v/>
      </c>
      <c r="AJ26">
        <f>(AG26/STDEV($AG$3:$AG$1137))^4</f>
        <v/>
      </c>
      <c r="AK26">
        <f>AF26^2</f>
        <v/>
      </c>
      <c r="AL26">
        <f>IF(AD26=1,AB26,IF(AL25&lt;&gt;"",AL25,""))</f>
        <v/>
      </c>
      <c r="AM26">
        <f>IF(AND(AD26=1,AL25&lt;&gt;""),ABS(AB26-AL25),"")</f>
        <v/>
      </c>
    </row>
    <row r="27">
      <c r="A27" t="n">
        <v>1776376802</v>
      </c>
      <c r="B27" t="inlineStr">
        <is>
          <t>XAUUSD</t>
        </is>
      </c>
      <c r="C27" t="inlineStr">
        <is>
          <t>M15</t>
        </is>
      </c>
      <c r="D27" t="n">
        <v>4795.24</v>
      </c>
      <c r="E27" t="n">
        <v>4518.59282</v>
      </c>
      <c r="F27" t="n">
        <v>4596.05595</v>
      </c>
      <c r="G27" t="n">
        <v>4755.40355</v>
      </c>
      <c r="H27" t="n">
        <v>4792.76972</v>
      </c>
      <c r="Q27" t="n">
        <v>4810.94763</v>
      </c>
      <c r="R27" t="n">
        <v>4840.31093</v>
      </c>
      <c r="S27" t="n">
        <v>4866.8997</v>
      </c>
      <c r="V27" t="n">
        <v>4776.00786</v>
      </c>
      <c r="W27" t="n">
        <v>4742.44286</v>
      </c>
      <c r="AB27" t="n">
        <v>4791.96931</v>
      </c>
      <c r="AC27" t="n">
        <v>4791.62505</v>
      </c>
      <c r="AD27" t="n">
        <v>1</v>
      </c>
      <c r="AE27">
        <f>AE26+1</f>
        <v/>
      </c>
      <c r="AF27">
        <f>AF26+1</f>
        <v/>
      </c>
      <c r="AG27">
        <f>D27-Q27</f>
        <v/>
      </c>
      <c r="AH27">
        <f>AG27^2</f>
        <v/>
      </c>
      <c r="AI27">
        <f>(AG27/STDEV($AG$3:$AG$1137))^3</f>
        <v/>
      </c>
      <c r="AJ27">
        <f>(AG27/STDEV($AG$3:$AG$1137))^4</f>
        <v/>
      </c>
      <c r="AK27">
        <f>AF27^2</f>
        <v/>
      </c>
      <c r="AL27">
        <f>IF(AD27=1,AB27,IF(AL26&lt;&gt;"",AL26,""))</f>
        <v/>
      </c>
      <c r="AM27">
        <f>IF(AND(AD27=1,AL26&lt;&gt;""),ABS(AB27-AL26),"")</f>
        <v/>
      </c>
    </row>
    <row r="28">
      <c r="A28" t="n">
        <v>1776377702</v>
      </c>
      <c r="B28" t="inlineStr">
        <is>
          <t>XAUUSD</t>
        </is>
      </c>
      <c r="C28" t="inlineStr">
        <is>
          <t>M15</t>
        </is>
      </c>
      <c r="D28" t="n">
        <v>4794</v>
      </c>
      <c r="E28" t="n">
        <v>4518.59282</v>
      </c>
      <c r="F28" t="n">
        <v>4596.05595</v>
      </c>
      <c r="G28" t="n">
        <v>4755.40355</v>
      </c>
      <c r="H28" t="n">
        <v>4792.76972</v>
      </c>
      <c r="Q28" t="n">
        <v>4810.68002</v>
      </c>
      <c r="R28" t="n">
        <v>4840.04332</v>
      </c>
      <c r="S28" t="n">
        <v>4866.63209</v>
      </c>
      <c r="V28" t="n">
        <v>4775.74025</v>
      </c>
      <c r="W28" t="n">
        <v>4742.17526</v>
      </c>
      <c r="AB28" t="n">
        <v>4792.9005</v>
      </c>
      <c r="AC28" t="n">
        <v>4792.26277</v>
      </c>
      <c r="AD28" t="n">
        <v>0</v>
      </c>
      <c r="AE28">
        <f>AE27+1</f>
        <v/>
      </c>
      <c r="AF28">
        <f>AF27+1</f>
        <v/>
      </c>
      <c r="AG28">
        <f>D28-Q28</f>
        <v/>
      </c>
      <c r="AH28">
        <f>AG28^2</f>
        <v/>
      </c>
      <c r="AI28">
        <f>(AG28/STDEV($AG$3:$AG$1137))^3</f>
        <v/>
      </c>
      <c r="AJ28">
        <f>(AG28/STDEV($AG$3:$AG$1137))^4</f>
        <v/>
      </c>
      <c r="AK28">
        <f>AF28^2</f>
        <v/>
      </c>
      <c r="AL28">
        <f>IF(AD28=1,AB28,IF(AL27&lt;&gt;"",AL27,""))</f>
        <v/>
      </c>
      <c r="AM28">
        <f>IF(AND(AD28=1,AL27&lt;&gt;""),ABS(AB28-AL27),"")</f>
        <v/>
      </c>
    </row>
    <row r="29">
      <c r="A29" t="n">
        <v>1776378602</v>
      </c>
      <c r="B29" t="inlineStr">
        <is>
          <t>XAUUSD</t>
        </is>
      </c>
      <c r="C29" t="inlineStr">
        <is>
          <t>M15</t>
        </is>
      </c>
      <c r="D29" t="n">
        <v>4795.5</v>
      </c>
      <c r="E29" t="n">
        <v>4518.59282</v>
      </c>
      <c r="F29" t="n">
        <v>4596.05595</v>
      </c>
      <c r="G29" t="n">
        <v>4755.40355</v>
      </c>
      <c r="H29" t="n">
        <v>4792.76972</v>
      </c>
      <c r="Q29" t="n">
        <v>4810.41242</v>
      </c>
      <c r="R29" t="n">
        <v>4839.77572</v>
      </c>
      <c r="S29" t="n">
        <v>4866.36449</v>
      </c>
      <c r="V29" t="n">
        <v>4775.47265</v>
      </c>
      <c r="W29" t="n">
        <v>4741.90765</v>
      </c>
      <c r="AB29" t="n">
        <v>4793.97036</v>
      </c>
      <c r="AC29" t="n">
        <v>4793.11657</v>
      </c>
      <c r="AD29" t="n">
        <v>0</v>
      </c>
      <c r="AE29">
        <f>AE28+1</f>
        <v/>
      </c>
      <c r="AF29">
        <f>AF28+1</f>
        <v/>
      </c>
      <c r="AG29">
        <f>D29-Q29</f>
        <v/>
      </c>
      <c r="AH29">
        <f>AG29^2</f>
        <v/>
      </c>
      <c r="AI29">
        <f>(AG29/STDEV($AG$3:$AG$1137))^3</f>
        <v/>
      </c>
      <c r="AJ29">
        <f>(AG29/STDEV($AG$3:$AG$1137))^4</f>
        <v/>
      </c>
      <c r="AK29">
        <f>AF29^2</f>
        <v/>
      </c>
      <c r="AL29">
        <f>IF(AD29=1,AB29,IF(AL28&lt;&gt;"",AL28,""))</f>
        <v/>
      </c>
      <c r="AM29">
        <f>IF(AND(AD29=1,AL28&lt;&gt;""),ABS(AB29-AL28),"")</f>
        <v/>
      </c>
    </row>
    <row r="30">
      <c r="A30" t="n">
        <v>1776379502</v>
      </c>
      <c r="B30" t="inlineStr">
        <is>
          <t>XAUUSD</t>
        </is>
      </c>
      <c r="C30" t="inlineStr">
        <is>
          <t>M15</t>
        </is>
      </c>
      <c r="D30" t="n">
        <v>4795.41</v>
      </c>
      <c r="E30" t="n">
        <v>4518.59282</v>
      </c>
      <c r="F30" t="n">
        <v>4596.05595</v>
      </c>
      <c r="G30" t="n">
        <v>4755.40355</v>
      </c>
      <c r="H30" t="n">
        <v>4792.76972</v>
      </c>
      <c r="Q30" t="n">
        <v>4810.14482</v>
      </c>
      <c r="R30" t="n">
        <v>4839.50812</v>
      </c>
      <c r="S30" t="n">
        <v>4866.09689</v>
      </c>
      <c r="V30" t="n">
        <v>4775.20505</v>
      </c>
      <c r="W30" t="n">
        <v>4741.64005</v>
      </c>
      <c r="AB30" t="n">
        <v>4794.94128</v>
      </c>
      <c r="AC30" t="n">
        <v>4794.02892</v>
      </c>
      <c r="AD30" t="n">
        <v>0</v>
      </c>
      <c r="AE30">
        <f>AE29+1</f>
        <v/>
      </c>
      <c r="AF30">
        <f>AF29+1</f>
        <v/>
      </c>
      <c r="AG30">
        <f>D30-Q30</f>
        <v/>
      </c>
      <c r="AH30">
        <f>AG30^2</f>
        <v/>
      </c>
      <c r="AI30">
        <f>(AG30/STDEV($AG$3:$AG$1137))^3</f>
        <v/>
      </c>
      <c r="AJ30">
        <f>(AG30/STDEV($AG$3:$AG$1137))^4</f>
        <v/>
      </c>
      <c r="AK30">
        <f>AF30^2</f>
        <v/>
      </c>
      <c r="AL30">
        <f>IF(AD30=1,AB30,IF(AL29&lt;&gt;"",AL29,""))</f>
        <v/>
      </c>
      <c r="AM30">
        <f>IF(AND(AD30=1,AL29&lt;&gt;""),ABS(AB30-AL29),"")</f>
        <v/>
      </c>
    </row>
    <row r="31">
      <c r="A31" t="n">
        <v>1776380402</v>
      </c>
      <c r="B31" t="inlineStr">
        <is>
          <t>XAUUSD</t>
        </is>
      </c>
      <c r="C31" t="inlineStr">
        <is>
          <t>M15</t>
        </is>
      </c>
      <c r="D31" t="n">
        <v>4793.16</v>
      </c>
      <c r="E31" t="n">
        <v>4518.59282</v>
      </c>
      <c r="F31" t="n">
        <v>4596.05595</v>
      </c>
      <c r="G31" t="n">
        <v>4755.40355</v>
      </c>
      <c r="H31" t="n">
        <v>4792.76972</v>
      </c>
      <c r="Q31" t="n">
        <v>4809.87721</v>
      </c>
      <c r="R31" t="n">
        <v>4839.24051</v>
      </c>
      <c r="S31" t="n">
        <v>4865.82928</v>
      </c>
      <c r="V31" t="n">
        <v>4774.93744</v>
      </c>
      <c r="W31" t="n">
        <v>4741.37245</v>
      </c>
      <c r="AB31" t="n">
        <v>4795.61882</v>
      </c>
      <c r="AC31" t="n">
        <v>4794.82387</v>
      </c>
      <c r="AD31" t="n">
        <v>0</v>
      </c>
      <c r="AE31">
        <f>AE30+1</f>
        <v/>
      </c>
      <c r="AF31">
        <f>AF30+1</f>
        <v/>
      </c>
      <c r="AG31">
        <f>D31-Q31</f>
        <v/>
      </c>
      <c r="AH31">
        <f>AG31^2</f>
        <v/>
      </c>
      <c r="AI31">
        <f>(AG31/STDEV($AG$3:$AG$1137))^3</f>
        <v/>
      </c>
      <c r="AJ31">
        <f>(AG31/STDEV($AG$3:$AG$1137))^4</f>
        <v/>
      </c>
      <c r="AK31">
        <f>AF31^2</f>
        <v/>
      </c>
      <c r="AL31">
        <f>IF(AD31=1,AB31,IF(AL30&lt;&gt;"",AL30,""))</f>
        <v/>
      </c>
      <c r="AM31">
        <f>IF(AND(AD31=1,AL30&lt;&gt;""),ABS(AB31-AL30),"")</f>
        <v/>
      </c>
    </row>
    <row r="32">
      <c r="A32" t="n">
        <v>1776381302</v>
      </c>
      <c r="B32" t="inlineStr">
        <is>
          <t>XAUUSD</t>
        </is>
      </c>
      <c r="C32" t="inlineStr">
        <is>
          <t>M15</t>
        </is>
      </c>
      <c r="D32" t="n">
        <v>4794.46</v>
      </c>
      <c r="E32" t="n">
        <v>4518.59282</v>
      </c>
      <c r="F32" t="n">
        <v>4596.05595</v>
      </c>
      <c r="G32" t="n">
        <v>4755.40355</v>
      </c>
      <c r="H32" t="n">
        <v>4792.76972</v>
      </c>
      <c r="Q32" t="n">
        <v>4809.60961</v>
      </c>
      <c r="R32" t="n">
        <v>4838.97291</v>
      </c>
      <c r="S32" t="n">
        <v>4865.56168</v>
      </c>
      <c r="V32" t="n">
        <v>4774.66984</v>
      </c>
      <c r="W32" t="n">
        <v>4741.10484</v>
      </c>
      <c r="AB32" t="n">
        <v>4795.90128</v>
      </c>
      <c r="AC32" t="n">
        <v>4795.36258</v>
      </c>
      <c r="AD32" t="n">
        <v>0</v>
      </c>
      <c r="AE32">
        <f>AE31+1</f>
        <v/>
      </c>
      <c r="AF32">
        <f>AF31+1</f>
        <v/>
      </c>
      <c r="AG32">
        <f>D32-Q32</f>
        <v/>
      </c>
      <c r="AH32">
        <f>AG32^2</f>
        <v/>
      </c>
      <c r="AI32">
        <f>(AG32/STDEV($AG$3:$AG$1137))^3</f>
        <v/>
      </c>
      <c r="AJ32">
        <f>(AG32/STDEV($AG$3:$AG$1137))^4</f>
        <v/>
      </c>
      <c r="AK32">
        <f>AF32^2</f>
        <v/>
      </c>
      <c r="AL32">
        <f>IF(AD32=1,AB32,IF(AL31&lt;&gt;"",AL31,""))</f>
        <v/>
      </c>
      <c r="AM32">
        <f>IF(AND(AD32=1,AL31&lt;&gt;""),ABS(AB32-AL31),"")</f>
        <v/>
      </c>
    </row>
    <row r="33">
      <c r="A33" t="n">
        <v>1776382202</v>
      </c>
      <c r="B33" t="inlineStr">
        <is>
          <t>XAUUSD</t>
        </is>
      </c>
      <c r="C33" t="inlineStr">
        <is>
          <t>M15</t>
        </is>
      </c>
      <c r="D33" t="n">
        <v>4795.82</v>
      </c>
      <c r="E33" t="n">
        <v>4518.59282</v>
      </c>
      <c r="F33" t="n">
        <v>4596.05595</v>
      </c>
      <c r="G33" t="n">
        <v>4755.40355</v>
      </c>
      <c r="H33" t="n">
        <v>4792.76972</v>
      </c>
      <c r="Q33" t="n">
        <v>4809.342</v>
      </c>
      <c r="R33" t="n">
        <v>4838.7053</v>
      </c>
      <c r="S33" t="n">
        <v>4865.29407</v>
      </c>
      <c r="V33" t="n">
        <v>4774.40223</v>
      </c>
      <c r="W33" t="n">
        <v>4740.83724</v>
      </c>
      <c r="AB33" t="n">
        <v>4795.61815</v>
      </c>
      <c r="AC33" t="n">
        <v>4795.49036</v>
      </c>
      <c r="AD33" t="n">
        <v>0</v>
      </c>
      <c r="AE33">
        <f>AE32+1</f>
        <v/>
      </c>
      <c r="AF33">
        <f>AF32+1</f>
        <v/>
      </c>
      <c r="AG33">
        <f>D33-Q33</f>
        <v/>
      </c>
      <c r="AH33">
        <f>AG33^2</f>
        <v/>
      </c>
      <c r="AI33">
        <f>(AG33/STDEV($AG$3:$AG$1137))^3</f>
        <v/>
      </c>
      <c r="AJ33">
        <f>(AG33/STDEV($AG$3:$AG$1137))^4</f>
        <v/>
      </c>
      <c r="AK33">
        <f>AF33^2</f>
        <v/>
      </c>
      <c r="AL33">
        <f>IF(AD33=1,AB33,IF(AL32&lt;&gt;"",AL32,""))</f>
        <v/>
      </c>
      <c r="AM33">
        <f>IF(AND(AD33=1,AL32&lt;&gt;""),ABS(AB33-AL32),"")</f>
        <v/>
      </c>
    </row>
    <row r="34">
      <c r="A34" t="n">
        <v>1776383102</v>
      </c>
      <c r="B34" t="inlineStr">
        <is>
          <t>XAUUSD</t>
        </is>
      </c>
      <c r="C34" t="inlineStr">
        <is>
          <t>M15</t>
        </is>
      </c>
      <c r="D34" t="n">
        <v>4792.13</v>
      </c>
      <c r="E34" t="n">
        <v>4518.59282</v>
      </c>
      <c r="F34" t="n">
        <v>4596.05595</v>
      </c>
      <c r="G34" t="n">
        <v>4755.40355</v>
      </c>
      <c r="H34" t="n">
        <v>4792.76972</v>
      </c>
      <c r="Q34" t="n">
        <v>4809.0744</v>
      </c>
      <c r="R34" t="n">
        <v>4838.4377</v>
      </c>
      <c r="S34" t="n">
        <v>4865.02647</v>
      </c>
      <c r="V34" t="n">
        <v>4774.13463</v>
      </c>
      <c r="W34" t="n">
        <v>4740.56963</v>
      </c>
      <c r="AB34" t="n">
        <v>4794.635</v>
      </c>
      <c r="AC34" t="n">
        <v>4795.06268</v>
      </c>
      <c r="AD34" t="n">
        <v>1</v>
      </c>
      <c r="AE34">
        <f>AE33+1</f>
        <v/>
      </c>
      <c r="AF34">
        <f>AF33+1</f>
        <v/>
      </c>
      <c r="AG34">
        <f>D34-Q34</f>
        <v/>
      </c>
      <c r="AH34">
        <f>AG34^2</f>
        <v/>
      </c>
      <c r="AI34">
        <f>(AG34/STDEV($AG$3:$AG$1137))^3</f>
        <v/>
      </c>
      <c r="AJ34">
        <f>(AG34/STDEV($AG$3:$AG$1137))^4</f>
        <v/>
      </c>
      <c r="AK34">
        <f>AF34^2</f>
        <v/>
      </c>
      <c r="AL34">
        <f>IF(AD34=1,AB34,IF(AL33&lt;&gt;"",AL33,""))</f>
        <v/>
      </c>
      <c r="AM34">
        <f>IF(AND(AD34=1,AL33&lt;&gt;""),ABS(AB34-AL33),"")</f>
        <v/>
      </c>
    </row>
    <row r="35">
      <c r="A35" t="n">
        <v>1776384002</v>
      </c>
      <c r="B35" t="inlineStr">
        <is>
          <t>XAUUSD</t>
        </is>
      </c>
      <c r="C35" t="inlineStr">
        <is>
          <t>M15</t>
        </is>
      </c>
      <c r="D35" t="n">
        <v>4790.4</v>
      </c>
      <c r="E35" t="n">
        <v>4518.59282</v>
      </c>
      <c r="F35" t="n">
        <v>4596.05595</v>
      </c>
      <c r="G35" t="n">
        <v>4755.40355</v>
      </c>
      <c r="H35" t="n">
        <v>4792.76972</v>
      </c>
      <c r="Q35" t="n">
        <v>4808.8068</v>
      </c>
      <c r="R35" t="n">
        <v>4838.17009</v>
      </c>
      <c r="S35" t="n">
        <v>4864.75887</v>
      </c>
      <c r="V35" t="n">
        <v>4773.86703</v>
      </c>
      <c r="W35" t="n">
        <v>4740.30203</v>
      </c>
      <c r="AB35" t="n">
        <v>4793.08901</v>
      </c>
      <c r="AC35" t="n">
        <v>4794.07584</v>
      </c>
      <c r="AD35" t="n">
        <v>0</v>
      </c>
      <c r="AE35">
        <f>AE34+1</f>
        <v/>
      </c>
      <c r="AF35">
        <f>AF34+1</f>
        <v/>
      </c>
      <c r="AG35">
        <f>D35-Q35</f>
        <v/>
      </c>
      <c r="AH35">
        <f>AG35^2</f>
        <v/>
      </c>
      <c r="AI35">
        <f>(AG35/STDEV($AG$3:$AG$1137))^3</f>
        <v/>
      </c>
      <c r="AJ35">
        <f>(AG35/STDEV($AG$3:$AG$1137))^4</f>
        <v/>
      </c>
      <c r="AK35">
        <f>AF35^2</f>
        <v/>
      </c>
      <c r="AL35">
        <f>IF(AD35=1,AB35,IF(AL34&lt;&gt;"",AL34,""))</f>
        <v/>
      </c>
      <c r="AM35">
        <f>IF(AND(AD35=1,AL34&lt;&gt;""),ABS(AB35-AL34),"")</f>
        <v/>
      </c>
    </row>
    <row r="36">
      <c r="A36" t="n">
        <v>1776384902</v>
      </c>
      <c r="B36" t="inlineStr">
        <is>
          <t>XAUUSD</t>
        </is>
      </c>
      <c r="C36" t="inlineStr">
        <is>
          <t>M15</t>
        </is>
      </c>
      <c r="D36" t="n">
        <v>4792.86</v>
      </c>
      <c r="E36" t="n">
        <v>4518.59282</v>
      </c>
      <c r="F36" t="n">
        <v>4596.05595</v>
      </c>
      <c r="G36" t="n">
        <v>4755.40355</v>
      </c>
      <c r="H36" t="n">
        <v>4792.76972</v>
      </c>
      <c r="Q36" t="n">
        <v>4808.53919</v>
      </c>
      <c r="R36" t="n">
        <v>4837.90249</v>
      </c>
      <c r="S36" t="n">
        <v>4864.49126</v>
      </c>
      <c r="V36" t="n">
        <v>4773.59942</v>
      </c>
      <c r="W36" t="n">
        <v>4740.03443</v>
      </c>
      <c r="AB36" t="n">
        <v>4791.15936</v>
      </c>
      <c r="AC36" t="n">
        <v>4792.6176</v>
      </c>
      <c r="AD36" t="n">
        <v>0</v>
      </c>
      <c r="AE36">
        <f>AE35+1</f>
        <v/>
      </c>
      <c r="AF36">
        <f>AF35+1</f>
        <v/>
      </c>
      <c r="AG36">
        <f>D36-Q36</f>
        <v/>
      </c>
      <c r="AH36">
        <f>AG36^2</f>
        <v/>
      </c>
      <c r="AI36">
        <f>(AG36/STDEV($AG$3:$AG$1137))^3</f>
        <v/>
      </c>
      <c r="AJ36">
        <f>(AG36/STDEV($AG$3:$AG$1137))^4</f>
        <v/>
      </c>
      <c r="AK36">
        <f>AF36^2</f>
        <v/>
      </c>
      <c r="AL36">
        <f>IF(AD36=1,AB36,IF(AL35&lt;&gt;"",AL35,""))</f>
        <v/>
      </c>
      <c r="AM36">
        <f>IF(AND(AD36=1,AL35&lt;&gt;""),ABS(AB36-AL35),"")</f>
        <v/>
      </c>
    </row>
    <row r="37">
      <c r="A37" t="n">
        <v>1776385802</v>
      </c>
      <c r="B37" t="inlineStr">
        <is>
          <t>XAUUSD</t>
        </is>
      </c>
      <c r="C37" t="inlineStr">
        <is>
          <t>M15</t>
        </is>
      </c>
      <c r="D37" t="n">
        <v>4798.4</v>
      </c>
      <c r="E37" t="n">
        <v>4518.59282</v>
      </c>
      <c r="F37" t="n">
        <v>4596.05595</v>
      </c>
      <c r="G37" t="n">
        <v>4755.40355</v>
      </c>
      <c r="H37" t="n">
        <v>4792.76972</v>
      </c>
      <c r="Q37" t="n">
        <v>4808.27159</v>
      </c>
      <c r="R37" t="n">
        <v>4837.63489</v>
      </c>
      <c r="S37" t="n">
        <v>4864.22366</v>
      </c>
      <c r="V37" t="n">
        <v>4773.33182</v>
      </c>
      <c r="W37" t="n">
        <v>4739.76682</v>
      </c>
      <c r="AB37" t="n">
        <v>4788.95945</v>
      </c>
      <c r="AC37" t="n">
        <v>4790.78852</v>
      </c>
      <c r="AD37" t="n">
        <v>0</v>
      </c>
      <c r="AE37">
        <f>AE36+1</f>
        <v/>
      </c>
      <c r="AF37">
        <f>AF36+1</f>
        <v/>
      </c>
      <c r="AG37">
        <f>D37-Q37</f>
        <v/>
      </c>
      <c r="AH37">
        <f>AG37^2</f>
        <v/>
      </c>
      <c r="AI37">
        <f>(AG37/STDEV($AG$3:$AG$1137))^3</f>
        <v/>
      </c>
      <c r="AJ37">
        <f>(AG37/STDEV($AG$3:$AG$1137))^4</f>
        <v/>
      </c>
      <c r="AK37">
        <f>AF37^2</f>
        <v/>
      </c>
      <c r="AL37">
        <f>IF(AD37=1,AB37,IF(AL36&lt;&gt;"",AL36,""))</f>
        <v/>
      </c>
      <c r="AM37">
        <f>IF(AND(AD37=1,AL36&lt;&gt;""),ABS(AB37-AL36),"")</f>
        <v/>
      </c>
    </row>
    <row r="38">
      <c r="A38" t="n">
        <v>1776386702</v>
      </c>
      <c r="B38" t="inlineStr">
        <is>
          <t>XAUUSD</t>
        </is>
      </c>
      <c r="C38" t="inlineStr">
        <is>
          <t>M15</t>
        </is>
      </c>
      <c r="D38" t="n">
        <v>4794.9</v>
      </c>
      <c r="E38" t="n">
        <v>4518.59282</v>
      </c>
      <c r="F38" t="n">
        <v>4596.05595</v>
      </c>
      <c r="G38" t="n">
        <v>4755.40355</v>
      </c>
      <c r="H38" t="n">
        <v>4792.76972</v>
      </c>
      <c r="Q38" t="n">
        <v>4808.00398</v>
      </c>
      <c r="R38" t="n">
        <v>4837.36728</v>
      </c>
      <c r="S38" t="n">
        <v>4863.95605</v>
      </c>
      <c r="V38" t="n">
        <v>4773.06421</v>
      </c>
      <c r="W38" t="n">
        <v>4739.49922</v>
      </c>
      <c r="AB38" t="n">
        <v>4786.58535</v>
      </c>
      <c r="AC38" t="n">
        <v>4788.68694</v>
      </c>
      <c r="AD38" t="n">
        <v>0</v>
      </c>
      <c r="AE38">
        <f>AE37+1</f>
        <v/>
      </c>
      <c r="AF38">
        <f>AF37+1</f>
        <v/>
      </c>
      <c r="AG38">
        <f>D38-Q38</f>
        <v/>
      </c>
      <c r="AH38">
        <f>AG38^2</f>
        <v/>
      </c>
      <c r="AI38">
        <f>(AG38/STDEV($AG$3:$AG$1137))^3</f>
        <v/>
      </c>
      <c r="AJ38">
        <f>(AG38/STDEV($AG$3:$AG$1137))^4</f>
        <v/>
      </c>
      <c r="AK38">
        <f>AF38^2</f>
        <v/>
      </c>
      <c r="AL38">
        <f>IF(AD38=1,AB38,IF(AL37&lt;&gt;"",AL37,""))</f>
        <v/>
      </c>
      <c r="AM38">
        <f>IF(AND(AD38=1,AL37&lt;&gt;""),ABS(AB38-AL37),"")</f>
        <v/>
      </c>
    </row>
    <row r="39">
      <c r="A39" t="n">
        <v>1776387602</v>
      </c>
      <c r="B39" t="inlineStr">
        <is>
          <t>XAUUSD</t>
        </is>
      </c>
      <c r="C39" t="inlineStr">
        <is>
          <t>M15</t>
        </is>
      </c>
      <c r="D39" t="n">
        <v>4779.32</v>
      </c>
      <c r="E39" t="n">
        <v>4518.59282</v>
      </c>
      <c r="F39" t="n">
        <v>4596.05595</v>
      </c>
      <c r="G39" t="n">
        <v>4755.40355</v>
      </c>
      <c r="H39" t="n">
        <v>4792.76972</v>
      </c>
      <c r="Q39" t="n">
        <v>4807.73638</v>
      </c>
      <c r="R39" t="n">
        <v>4837.09968</v>
      </c>
      <c r="S39" t="n">
        <v>4863.68845</v>
      </c>
      <c r="V39" t="n">
        <v>4772.79661</v>
      </c>
      <c r="W39" t="n">
        <v>4739.23161</v>
      </c>
      <c r="AB39" t="n">
        <v>4784.4296</v>
      </c>
      <c r="AC39" t="n">
        <v>4786.55827</v>
      </c>
      <c r="AD39" t="n">
        <v>0</v>
      </c>
      <c r="AE39">
        <f>AE38+1</f>
        <v/>
      </c>
      <c r="AF39">
        <f>AF38+1</f>
        <v/>
      </c>
      <c r="AG39">
        <f>D39-Q39</f>
        <v/>
      </c>
      <c r="AH39">
        <f>AG39^2</f>
        <v/>
      </c>
      <c r="AI39">
        <f>(AG39/STDEV($AG$3:$AG$1137))^3</f>
        <v/>
      </c>
      <c r="AJ39">
        <f>(AG39/STDEV($AG$3:$AG$1137))^4</f>
        <v/>
      </c>
      <c r="AK39">
        <f>AF39^2</f>
        <v/>
      </c>
      <c r="AL39">
        <f>IF(AD39=1,AB39,IF(AL38&lt;&gt;"",AL38,""))</f>
        <v/>
      </c>
      <c r="AM39">
        <f>IF(AND(AD39=1,AL38&lt;&gt;""),ABS(AB39-AL38),"")</f>
        <v/>
      </c>
    </row>
    <row r="40">
      <c r="A40" t="n">
        <v>1776388502</v>
      </c>
      <c r="B40" t="inlineStr">
        <is>
          <t>XAUUSD</t>
        </is>
      </c>
      <c r="C40" t="inlineStr">
        <is>
          <t>M15</t>
        </is>
      </c>
      <c r="D40" t="n">
        <v>4769.01</v>
      </c>
      <c r="E40" t="n">
        <v>4518.59282</v>
      </c>
      <c r="F40" t="n">
        <v>4596.05595</v>
      </c>
      <c r="G40" t="n">
        <v>4755.40355</v>
      </c>
      <c r="H40" t="n">
        <v>4792.76972</v>
      </c>
      <c r="Q40" t="n">
        <v>4807.46878</v>
      </c>
      <c r="R40" t="n">
        <v>4836.83207</v>
      </c>
      <c r="S40" t="n">
        <v>4863.42085</v>
      </c>
      <c r="V40" t="n">
        <v>4772.52901</v>
      </c>
      <c r="W40" t="n">
        <v>4738.96401</v>
      </c>
      <c r="AB40" t="n">
        <v>4783.17604</v>
      </c>
      <c r="AC40" t="n">
        <v>4784.86715</v>
      </c>
      <c r="AD40" t="n">
        <v>0</v>
      </c>
      <c r="AE40">
        <f>AE39+1</f>
        <v/>
      </c>
      <c r="AF40">
        <f>AF39+1</f>
        <v/>
      </c>
      <c r="AG40">
        <f>D40-Q40</f>
        <v/>
      </c>
      <c r="AH40">
        <f>AG40^2</f>
        <v/>
      </c>
      <c r="AI40">
        <f>(AG40/STDEV($AG$3:$AG$1137))^3</f>
        <v/>
      </c>
      <c r="AJ40">
        <f>(AG40/STDEV($AG$3:$AG$1137))^4</f>
        <v/>
      </c>
      <c r="AK40">
        <f>AF40^2</f>
        <v/>
      </c>
      <c r="AL40">
        <f>IF(AD40=1,AB40,IF(AL39&lt;&gt;"",AL39,""))</f>
        <v/>
      </c>
      <c r="AM40">
        <f>IF(AND(AD40=1,AL39&lt;&gt;""),ABS(AB40-AL39),"")</f>
        <v/>
      </c>
    </row>
    <row r="41">
      <c r="A41" t="n">
        <v>1776389402</v>
      </c>
      <c r="B41" t="inlineStr">
        <is>
          <t>XAUUSD</t>
        </is>
      </c>
      <c r="C41" t="inlineStr">
        <is>
          <t>M15</t>
        </is>
      </c>
      <c r="D41" t="n">
        <v>4777.87</v>
      </c>
      <c r="E41" t="n">
        <v>4518.59282</v>
      </c>
      <c r="F41" t="n">
        <v>4596.05595</v>
      </c>
      <c r="G41" t="n">
        <v>4755.40355</v>
      </c>
      <c r="H41" t="n">
        <v>4792.76972</v>
      </c>
      <c r="Q41" t="n">
        <v>4807.20117</v>
      </c>
      <c r="R41" t="n">
        <v>4836.56447</v>
      </c>
      <c r="S41" t="n">
        <v>4863.15324</v>
      </c>
      <c r="V41" t="n">
        <v>4772.2614</v>
      </c>
      <c r="W41" t="n">
        <v>4738.6964</v>
      </c>
      <c r="AA41" t="n">
        <v>4768.07</v>
      </c>
      <c r="AB41" t="n">
        <v>4783.2232</v>
      </c>
      <c r="AC41" t="n">
        <v>4784.04518</v>
      </c>
      <c r="AD41" t="n">
        <v>0</v>
      </c>
      <c r="AE41">
        <f>AE40+1</f>
        <v/>
      </c>
      <c r="AF41">
        <f>AF40+1</f>
        <v/>
      </c>
      <c r="AG41">
        <f>D41-Q41</f>
        <v/>
      </c>
      <c r="AH41">
        <f>AG41^2</f>
        <v/>
      </c>
      <c r="AI41">
        <f>(AG41/STDEV($AG$3:$AG$1137))^3</f>
        <v/>
      </c>
      <c r="AJ41">
        <f>(AG41/STDEV($AG$3:$AG$1137))^4</f>
        <v/>
      </c>
      <c r="AK41">
        <f>AF41^2</f>
        <v/>
      </c>
      <c r="AL41">
        <f>IF(AD41=1,AB41,IF(AL40&lt;&gt;"",AL40,""))</f>
        <v/>
      </c>
      <c r="AM41">
        <f>IF(AND(AD41=1,AL40&lt;&gt;""),ABS(AB41-AL40),"")</f>
        <v/>
      </c>
    </row>
    <row r="42">
      <c r="A42" t="n">
        <v>1776390302</v>
      </c>
      <c r="B42" t="inlineStr">
        <is>
          <t>XAUUSD</t>
        </is>
      </c>
      <c r="C42" t="inlineStr">
        <is>
          <t>M15</t>
        </is>
      </c>
      <c r="D42" t="n">
        <v>4789.48</v>
      </c>
      <c r="E42" t="n">
        <v>4518.59282</v>
      </c>
      <c r="F42" t="n">
        <v>4596.05595</v>
      </c>
      <c r="G42" t="n">
        <v>4755.40355</v>
      </c>
      <c r="H42" t="n">
        <v>4792.76972</v>
      </c>
      <c r="Q42" t="n">
        <v>4806.93357</v>
      </c>
      <c r="R42" t="n">
        <v>4836.29687</v>
      </c>
      <c r="S42" t="n">
        <v>4862.88564</v>
      </c>
      <c r="V42" t="n">
        <v>4771.9938</v>
      </c>
      <c r="W42" t="n">
        <v>4738.4288</v>
      </c>
      <c r="AB42" t="n">
        <v>4784.24453</v>
      </c>
      <c r="AC42" t="n">
        <v>4784.14486</v>
      </c>
      <c r="AD42" t="n">
        <v>1</v>
      </c>
      <c r="AE42">
        <f>AE41+1</f>
        <v/>
      </c>
      <c r="AF42">
        <f>AF41+1</f>
        <v/>
      </c>
      <c r="AG42">
        <f>D42-Q42</f>
        <v/>
      </c>
      <c r="AH42">
        <f>AG42^2</f>
        <v/>
      </c>
      <c r="AI42">
        <f>(AG42/STDEV($AG$3:$AG$1137))^3</f>
        <v/>
      </c>
      <c r="AJ42">
        <f>(AG42/STDEV($AG$3:$AG$1137))^4</f>
        <v/>
      </c>
      <c r="AK42">
        <f>AF42^2</f>
        <v/>
      </c>
      <c r="AL42">
        <f>IF(AD42=1,AB42,IF(AL41&lt;&gt;"",AL41,""))</f>
        <v/>
      </c>
      <c r="AM42">
        <f>IF(AND(AD42=1,AL41&lt;&gt;""),ABS(AB42-AL41),"")</f>
        <v/>
      </c>
    </row>
    <row r="43">
      <c r="A43" t="n">
        <v>1776391202</v>
      </c>
      <c r="B43" t="inlineStr">
        <is>
          <t>XAUUSD</t>
        </is>
      </c>
      <c r="C43" t="inlineStr">
        <is>
          <t>M15</t>
        </is>
      </c>
      <c r="D43" t="n">
        <v>4791.35</v>
      </c>
      <c r="E43" t="n">
        <v>4518.59282</v>
      </c>
      <c r="F43" t="n">
        <v>4596.05595</v>
      </c>
      <c r="G43" t="n">
        <v>4755.40355</v>
      </c>
      <c r="H43" t="n">
        <v>4792.76972</v>
      </c>
      <c r="Q43" t="n">
        <v>4806.66596</v>
      </c>
      <c r="R43" t="n">
        <v>4836.02926</v>
      </c>
      <c r="S43" t="n">
        <v>4862.61803</v>
      </c>
      <c r="V43" t="n">
        <v>4771.72619</v>
      </c>
      <c r="W43" t="n">
        <v>4738.1612</v>
      </c>
      <c r="AB43" t="n">
        <v>4785.69925</v>
      </c>
      <c r="AC43" t="n">
        <v>4784.92206</v>
      </c>
      <c r="AD43" t="n">
        <v>0</v>
      </c>
      <c r="AE43">
        <f>AE42+1</f>
        <v/>
      </c>
      <c r="AF43">
        <f>AF42+1</f>
        <v/>
      </c>
      <c r="AG43">
        <f>D43-Q43</f>
        <v/>
      </c>
      <c r="AH43">
        <f>AG43^2</f>
        <v/>
      </c>
      <c r="AI43">
        <f>(AG43/STDEV($AG$3:$AG$1137))^3</f>
        <v/>
      </c>
      <c r="AJ43">
        <f>(AG43/STDEV($AG$3:$AG$1137))^4</f>
        <v/>
      </c>
      <c r="AK43">
        <f>AF43^2</f>
        <v/>
      </c>
      <c r="AL43">
        <f>IF(AD43=1,AB43,IF(AL42&lt;&gt;"",AL42,""))</f>
        <v/>
      </c>
      <c r="AM43">
        <f>IF(AND(AD43=1,AL42&lt;&gt;""),ABS(AB43-AL42),"")</f>
        <v/>
      </c>
    </row>
    <row r="44">
      <c r="A44" t="n">
        <v>1776392102</v>
      </c>
      <c r="B44" t="inlineStr">
        <is>
          <t>XAUUSD</t>
        </is>
      </c>
      <c r="C44" t="inlineStr">
        <is>
          <t>M15</t>
        </is>
      </c>
      <c r="D44" t="n">
        <v>4788.86</v>
      </c>
      <c r="E44" t="n">
        <v>4518.59282</v>
      </c>
      <c r="F44" t="n">
        <v>4596.05595</v>
      </c>
      <c r="G44" t="n">
        <v>4755.40355</v>
      </c>
      <c r="H44" t="n">
        <v>4792.76972</v>
      </c>
      <c r="Q44" t="n">
        <v>4806.39836</v>
      </c>
      <c r="R44" t="n">
        <v>4835.76166</v>
      </c>
      <c r="S44" t="n">
        <v>4862.35043</v>
      </c>
      <c r="V44" t="n">
        <v>4771.45859</v>
      </c>
      <c r="W44" t="n">
        <v>4737.89359</v>
      </c>
      <c r="AB44" t="n">
        <v>4787.28938</v>
      </c>
      <c r="AC44" t="n">
        <v>4786.10572</v>
      </c>
      <c r="AD44" t="n">
        <v>0</v>
      </c>
      <c r="AE44">
        <f>AE43+1</f>
        <v/>
      </c>
      <c r="AF44">
        <f>AF43+1</f>
        <v/>
      </c>
      <c r="AG44">
        <f>D44-Q44</f>
        <v/>
      </c>
      <c r="AH44">
        <f>AG44^2</f>
        <v/>
      </c>
      <c r="AI44">
        <f>(AG44/STDEV($AG$3:$AG$1137))^3</f>
        <v/>
      </c>
      <c r="AJ44">
        <f>(AG44/STDEV($AG$3:$AG$1137))^4</f>
        <v/>
      </c>
      <c r="AK44">
        <f>AF44^2</f>
        <v/>
      </c>
      <c r="AL44">
        <f>IF(AD44=1,AB44,IF(AL43&lt;&gt;"",AL43,""))</f>
        <v/>
      </c>
      <c r="AM44">
        <f>IF(AND(AD44=1,AL43&lt;&gt;""),ABS(AB44-AL43),"")</f>
        <v/>
      </c>
    </row>
    <row r="45">
      <c r="A45" t="n">
        <v>1776393002</v>
      </c>
      <c r="B45" t="inlineStr">
        <is>
          <t>XAUUSD</t>
        </is>
      </c>
      <c r="C45" t="inlineStr">
        <is>
          <t>M15</t>
        </is>
      </c>
      <c r="D45" t="n">
        <v>4791.57</v>
      </c>
      <c r="E45" t="n">
        <v>4518.59282</v>
      </c>
      <c r="F45" t="n">
        <v>4596.05595</v>
      </c>
      <c r="G45" t="n">
        <v>4755.40355</v>
      </c>
      <c r="H45" t="n">
        <v>4792.76972</v>
      </c>
      <c r="Q45" t="n">
        <v>4806.13075</v>
      </c>
      <c r="R45" t="n">
        <v>4835.49405</v>
      </c>
      <c r="S45" t="n">
        <v>4862.08282</v>
      </c>
      <c r="V45" t="n">
        <v>4771.19098</v>
      </c>
      <c r="W45" t="n">
        <v>4737.62599</v>
      </c>
      <c r="AB45" t="n">
        <v>4788.90242</v>
      </c>
      <c r="AC45" t="n">
        <v>4787.50407</v>
      </c>
      <c r="AD45" t="n">
        <v>0</v>
      </c>
      <c r="AE45">
        <f>AE44+1</f>
        <v/>
      </c>
      <c r="AF45">
        <f>AF44+1</f>
        <v/>
      </c>
      <c r="AG45">
        <f>D45-Q45</f>
        <v/>
      </c>
      <c r="AH45">
        <f>AG45^2</f>
        <v/>
      </c>
      <c r="AI45">
        <f>(AG45/STDEV($AG$3:$AG$1137))^3</f>
        <v/>
      </c>
      <c r="AJ45">
        <f>(AG45/STDEV($AG$3:$AG$1137))^4</f>
        <v/>
      </c>
      <c r="AK45">
        <f>AF45^2</f>
        <v/>
      </c>
      <c r="AL45">
        <f>IF(AD45=1,AB45,IF(AL44&lt;&gt;"",AL44,""))</f>
        <v/>
      </c>
      <c r="AM45">
        <f>IF(AND(AD45=1,AL44&lt;&gt;""),ABS(AB45-AL44),"")</f>
        <v/>
      </c>
    </row>
    <row r="46">
      <c r="A46" t="n">
        <v>1776393902</v>
      </c>
      <c r="B46" t="inlineStr">
        <is>
          <t>XAUUSD</t>
        </is>
      </c>
      <c r="C46" t="inlineStr">
        <is>
          <t>M15</t>
        </is>
      </c>
      <c r="D46" t="n">
        <v>4784.81</v>
      </c>
      <c r="E46" t="n">
        <v>4518.59282</v>
      </c>
      <c r="F46" t="n">
        <v>4596.05595</v>
      </c>
      <c r="G46" t="n">
        <v>4755.40355</v>
      </c>
      <c r="H46" t="n">
        <v>4792.76972</v>
      </c>
      <c r="Q46" t="n">
        <v>4805.86315</v>
      </c>
      <c r="R46" t="n">
        <v>4835.22645</v>
      </c>
      <c r="S46" t="n">
        <v>4861.81522</v>
      </c>
      <c r="V46" t="n">
        <v>4770.92338</v>
      </c>
      <c r="W46" t="n">
        <v>4737.35838</v>
      </c>
      <c r="AB46" t="n">
        <v>4790.37268</v>
      </c>
      <c r="AC46" t="n">
        <v>4788.93837</v>
      </c>
      <c r="AD46" t="n">
        <v>0</v>
      </c>
      <c r="AE46">
        <f>AE45+1</f>
        <v/>
      </c>
      <c r="AF46">
        <f>AF45+1</f>
        <v/>
      </c>
      <c r="AG46">
        <f>D46-Q46</f>
        <v/>
      </c>
      <c r="AH46">
        <f>AG46^2</f>
        <v/>
      </c>
      <c r="AI46">
        <f>(AG46/STDEV($AG$3:$AG$1137))^3</f>
        <v/>
      </c>
      <c r="AJ46">
        <f>(AG46/STDEV($AG$3:$AG$1137))^4</f>
        <v/>
      </c>
      <c r="AK46">
        <f>AF46^2</f>
        <v/>
      </c>
      <c r="AL46">
        <f>IF(AD46=1,AB46,IF(AL45&lt;&gt;"",AL45,""))</f>
        <v/>
      </c>
      <c r="AM46">
        <f>IF(AND(AD46=1,AL45&lt;&gt;""),ABS(AB46-AL45),"")</f>
        <v/>
      </c>
    </row>
    <row r="47">
      <c r="A47" t="n">
        <v>1776394802</v>
      </c>
      <c r="B47" t="inlineStr">
        <is>
          <t>XAUUSD</t>
        </is>
      </c>
      <c r="C47" t="inlineStr">
        <is>
          <t>M15</t>
        </is>
      </c>
      <c r="D47" t="n">
        <v>4795.86</v>
      </c>
      <c r="E47" t="n">
        <v>4518.59282</v>
      </c>
      <c r="F47" t="n">
        <v>4596.05595</v>
      </c>
      <c r="G47" t="n">
        <v>4755.40355</v>
      </c>
      <c r="H47" t="n">
        <v>4792.76972</v>
      </c>
      <c r="Q47" t="n">
        <v>4805.59555</v>
      </c>
      <c r="R47" t="n">
        <v>4834.95885</v>
      </c>
      <c r="S47" t="n">
        <v>4861.54762</v>
      </c>
      <c r="V47" t="n">
        <v>4770.65578</v>
      </c>
      <c r="W47" t="n">
        <v>4737.09078</v>
      </c>
      <c r="AB47" t="n">
        <v>4791.89811</v>
      </c>
      <c r="AC47" t="n">
        <v>4790.41824</v>
      </c>
      <c r="AD47" t="n">
        <v>0</v>
      </c>
      <c r="AE47">
        <f>AE46+1</f>
        <v/>
      </c>
      <c r="AF47">
        <f>AF46+1</f>
        <v/>
      </c>
      <c r="AG47">
        <f>D47-Q47</f>
        <v/>
      </c>
      <c r="AH47">
        <f>AG47^2</f>
        <v/>
      </c>
      <c r="AI47">
        <f>(AG47/STDEV($AG$3:$AG$1137))^3</f>
        <v/>
      </c>
      <c r="AJ47">
        <f>(AG47/STDEV($AG$3:$AG$1137))^4</f>
        <v/>
      </c>
      <c r="AK47">
        <f>AF47^2</f>
        <v/>
      </c>
      <c r="AL47">
        <f>IF(AD47=1,AB47,IF(AL46&lt;&gt;"",AL46,""))</f>
        <v/>
      </c>
      <c r="AM47">
        <f>IF(AND(AD47=1,AL46&lt;&gt;""),ABS(AB47-AL46),"")</f>
        <v/>
      </c>
    </row>
    <row r="48">
      <c r="A48" t="n">
        <v>1776395702</v>
      </c>
      <c r="B48" t="inlineStr">
        <is>
          <t>XAUUSD</t>
        </is>
      </c>
      <c r="C48" t="inlineStr">
        <is>
          <t>M15</t>
        </is>
      </c>
      <c r="D48" t="n">
        <v>4793.93</v>
      </c>
      <c r="E48" t="n">
        <v>4518.59282</v>
      </c>
      <c r="F48" t="n">
        <v>4596.05595</v>
      </c>
      <c r="G48" t="n">
        <v>4755.40355</v>
      </c>
      <c r="H48" t="n">
        <v>4792.76972</v>
      </c>
      <c r="Q48" t="n">
        <v>4805.32794</v>
      </c>
      <c r="R48" t="n">
        <v>4834.69124</v>
      </c>
      <c r="S48" t="n">
        <v>4861.28001</v>
      </c>
      <c r="V48" t="n">
        <v>4770.38817</v>
      </c>
      <c r="W48" t="n">
        <v>4736.82318</v>
      </c>
      <c r="AB48" t="n">
        <v>4793.24504</v>
      </c>
      <c r="AC48" t="n">
        <v>4791.83164</v>
      </c>
      <c r="AD48" t="n">
        <v>0</v>
      </c>
      <c r="AE48">
        <f>AE47+1</f>
        <v/>
      </c>
      <c r="AF48">
        <f>AF47+1</f>
        <v/>
      </c>
      <c r="AG48">
        <f>D48-Q48</f>
        <v/>
      </c>
      <c r="AH48">
        <f>AG48^2</f>
        <v/>
      </c>
      <c r="AI48">
        <f>(AG48/STDEV($AG$3:$AG$1137))^3</f>
        <v/>
      </c>
      <c r="AJ48">
        <f>(AG48/STDEV($AG$3:$AG$1137))^4</f>
        <v/>
      </c>
      <c r="AK48">
        <f>AF48^2</f>
        <v/>
      </c>
      <c r="AL48">
        <f>IF(AD48=1,AB48,IF(AL47&lt;&gt;"",AL47,""))</f>
        <v/>
      </c>
      <c r="AM48">
        <f>IF(AND(AD48=1,AL47&lt;&gt;""),ABS(AB48-AL47),"")</f>
        <v/>
      </c>
    </row>
    <row r="49">
      <c r="A49" t="n">
        <v>1776396602</v>
      </c>
      <c r="B49" t="inlineStr">
        <is>
          <t>XAUUSD</t>
        </is>
      </c>
      <c r="C49" t="inlineStr">
        <is>
          <t>M15</t>
        </is>
      </c>
      <c r="D49" t="n">
        <v>4794.26</v>
      </c>
      <c r="E49" t="n">
        <v>4518.59282</v>
      </c>
      <c r="F49" t="n">
        <v>4596.05595</v>
      </c>
      <c r="G49" t="n">
        <v>4755.40355</v>
      </c>
      <c r="H49" t="n">
        <v>4792.76972</v>
      </c>
      <c r="Q49" t="n">
        <v>4805.06034</v>
      </c>
      <c r="R49" t="n">
        <v>4834.42364</v>
      </c>
      <c r="S49" t="n">
        <v>4861.01241</v>
      </c>
      <c r="V49" t="n">
        <v>4770.12057</v>
      </c>
      <c r="W49" t="n">
        <v>4736.55557</v>
      </c>
      <c r="AB49" t="n">
        <v>4794.5677</v>
      </c>
      <c r="AC49" t="n">
        <v>4793.19967</v>
      </c>
      <c r="AD49" t="n">
        <v>0</v>
      </c>
      <c r="AE49">
        <f>AE48+1</f>
        <v/>
      </c>
      <c r="AF49">
        <f>AF48+1</f>
        <v/>
      </c>
      <c r="AG49">
        <f>D49-Q49</f>
        <v/>
      </c>
      <c r="AH49">
        <f>AG49^2</f>
        <v/>
      </c>
      <c r="AI49">
        <f>(AG49/STDEV($AG$3:$AG$1137))^3</f>
        <v/>
      </c>
      <c r="AJ49">
        <f>(AG49/STDEV($AG$3:$AG$1137))^4</f>
        <v/>
      </c>
      <c r="AK49">
        <f>AF49^2</f>
        <v/>
      </c>
      <c r="AL49">
        <f>IF(AD49=1,AB49,IF(AL48&lt;&gt;"",AL48,""))</f>
        <v/>
      </c>
      <c r="AM49">
        <f>IF(AND(AD49=1,AL48&lt;&gt;""),ABS(AB49-AL48),"")</f>
        <v/>
      </c>
    </row>
    <row r="50">
      <c r="A50" t="n">
        <v>1776397502</v>
      </c>
      <c r="B50" t="inlineStr">
        <is>
          <t>XAUUSD</t>
        </is>
      </c>
      <c r="C50" t="inlineStr">
        <is>
          <t>M15</t>
        </is>
      </c>
      <c r="D50" t="n">
        <v>4793.09</v>
      </c>
      <c r="E50" t="n">
        <v>4518.59282</v>
      </c>
      <c r="F50" t="n">
        <v>4596.05595</v>
      </c>
      <c r="G50" t="n">
        <v>4755.40355</v>
      </c>
      <c r="H50" t="n">
        <v>4792.76972</v>
      </c>
      <c r="Q50" t="n">
        <v>4804.79273</v>
      </c>
      <c r="R50" t="n">
        <v>4834.15603</v>
      </c>
      <c r="S50" t="n">
        <v>4860.7448</v>
      </c>
      <c r="V50" t="n">
        <v>4769.85296</v>
      </c>
      <c r="W50" t="n">
        <v>4736.28797</v>
      </c>
      <c r="AB50" t="n">
        <v>4795.95502</v>
      </c>
      <c r="AC50" t="n">
        <v>4794.57734</v>
      </c>
      <c r="AD50" t="n">
        <v>0</v>
      </c>
      <c r="AE50">
        <f>AE49+1</f>
        <v/>
      </c>
      <c r="AF50">
        <f>AF49+1</f>
        <v/>
      </c>
      <c r="AG50">
        <f>D50-Q50</f>
        <v/>
      </c>
      <c r="AH50">
        <f>AG50^2</f>
        <v/>
      </c>
      <c r="AI50">
        <f>(AG50/STDEV($AG$3:$AG$1137))^3</f>
        <v/>
      </c>
      <c r="AJ50">
        <f>(AG50/STDEV($AG$3:$AG$1137))^4</f>
        <v/>
      </c>
      <c r="AK50">
        <f>AF50^2</f>
        <v/>
      </c>
      <c r="AL50">
        <f>IF(AD50=1,AB50,IF(AL49&lt;&gt;"",AL49,""))</f>
        <v/>
      </c>
      <c r="AM50">
        <f>IF(AND(AD50=1,AL49&lt;&gt;""),ABS(AB50-AL49),"")</f>
        <v/>
      </c>
    </row>
    <row r="51">
      <c r="A51" t="n">
        <v>1776398402</v>
      </c>
      <c r="B51" t="inlineStr">
        <is>
          <t>XAUUSD</t>
        </is>
      </c>
      <c r="C51" t="inlineStr">
        <is>
          <t>M15</t>
        </is>
      </c>
      <c r="D51" t="n">
        <v>4795.16</v>
      </c>
      <c r="E51" t="n">
        <v>4518.59282</v>
      </c>
      <c r="F51" t="n">
        <v>4596.05595</v>
      </c>
      <c r="G51" t="n">
        <v>4755.40355</v>
      </c>
      <c r="H51" t="n">
        <v>4792.76972</v>
      </c>
      <c r="Q51" t="n">
        <v>4804.52513</v>
      </c>
      <c r="R51" t="n">
        <v>4833.88843</v>
      </c>
      <c r="S51" t="n">
        <v>4860.4772</v>
      </c>
      <c r="V51" t="n">
        <v>4769.58536</v>
      </c>
      <c r="W51" t="n">
        <v>4736.02036</v>
      </c>
      <c r="AB51" t="n">
        <v>4797.45445</v>
      </c>
      <c r="AC51" t="n">
        <v>4796.0159</v>
      </c>
      <c r="AD51" t="n">
        <v>0</v>
      </c>
      <c r="AE51">
        <f>AE50+1</f>
        <v/>
      </c>
      <c r="AF51">
        <f>AF50+1</f>
        <v/>
      </c>
      <c r="AG51">
        <f>D51-Q51</f>
        <v/>
      </c>
      <c r="AH51">
        <f>AG51^2</f>
        <v/>
      </c>
      <c r="AI51">
        <f>(AG51/STDEV($AG$3:$AG$1137))^3</f>
        <v/>
      </c>
      <c r="AJ51">
        <f>(AG51/STDEV($AG$3:$AG$1137))^4</f>
        <v/>
      </c>
      <c r="AK51">
        <f>AF51^2</f>
        <v/>
      </c>
      <c r="AL51">
        <f>IF(AD51=1,AB51,IF(AL50&lt;&gt;"",AL50,""))</f>
        <v/>
      </c>
      <c r="AM51">
        <f>IF(AND(AD51=1,AL50&lt;&gt;""),ABS(AB51-AL50),"")</f>
        <v/>
      </c>
    </row>
    <row r="52">
      <c r="A52" t="n">
        <v>1776399302</v>
      </c>
      <c r="B52" t="inlineStr">
        <is>
          <t>XAUUSD</t>
        </is>
      </c>
      <c r="C52" t="inlineStr">
        <is>
          <t>M15</t>
        </is>
      </c>
      <c r="D52" t="n">
        <v>4795.87</v>
      </c>
      <c r="E52" t="n">
        <v>4518.59282</v>
      </c>
      <c r="F52" t="n">
        <v>4596.05595</v>
      </c>
      <c r="G52" t="n">
        <v>4755.40355</v>
      </c>
      <c r="H52" t="n">
        <v>4792.76972</v>
      </c>
      <c r="Q52" t="n">
        <v>4804.25753</v>
      </c>
      <c r="R52" t="n">
        <v>4833.62083</v>
      </c>
      <c r="S52" t="n">
        <v>4860.2096</v>
      </c>
      <c r="V52" t="n">
        <v>4769.31776</v>
      </c>
      <c r="W52" t="n">
        <v>4735.75276</v>
      </c>
      <c r="AB52" t="n">
        <v>4798.91719</v>
      </c>
      <c r="AC52" t="n">
        <v>4797.46654</v>
      </c>
      <c r="AD52" t="n">
        <v>0</v>
      </c>
      <c r="AE52">
        <f>AE51+1</f>
        <v/>
      </c>
      <c r="AF52">
        <f>AF51+1</f>
        <v/>
      </c>
      <c r="AG52">
        <f>D52-Q52</f>
        <v/>
      </c>
      <c r="AH52">
        <f>AG52^2</f>
        <v/>
      </c>
      <c r="AI52">
        <f>(AG52/STDEV($AG$3:$AG$1137))^3</f>
        <v/>
      </c>
      <c r="AJ52">
        <f>(AG52/STDEV($AG$3:$AG$1137))^4</f>
        <v/>
      </c>
      <c r="AK52">
        <f>AF52^2</f>
        <v/>
      </c>
      <c r="AL52">
        <f>IF(AD52=1,AB52,IF(AL51&lt;&gt;"",AL51,""))</f>
        <v/>
      </c>
      <c r="AM52">
        <f>IF(AND(AD52=1,AL51&lt;&gt;""),ABS(AB52-AL51),"")</f>
        <v/>
      </c>
    </row>
    <row r="53">
      <c r="A53" t="n">
        <v>1776400202</v>
      </c>
      <c r="B53" t="inlineStr">
        <is>
          <t>XAUUSD</t>
        </is>
      </c>
      <c r="C53" t="inlineStr">
        <is>
          <t>M15</t>
        </is>
      </c>
      <c r="D53" t="n">
        <v>4801.05</v>
      </c>
      <c r="E53" t="n">
        <v>4518.59282</v>
      </c>
      <c r="F53" t="n">
        <v>4596.05595</v>
      </c>
      <c r="G53" t="n">
        <v>4755.40355</v>
      </c>
      <c r="H53" t="n">
        <v>4792.76972</v>
      </c>
      <c r="Q53" t="n">
        <v>4803.98992</v>
      </c>
      <c r="R53" t="n">
        <v>4833.35322</v>
      </c>
      <c r="S53" t="n">
        <v>4859.94199</v>
      </c>
      <c r="V53" t="n">
        <v>4769.05015</v>
      </c>
      <c r="W53" t="n">
        <v>4735.48516</v>
      </c>
      <c r="AB53" t="n">
        <v>4800.16653</v>
      </c>
      <c r="AC53" t="n">
        <v>4798.81654</v>
      </c>
      <c r="AD53" t="n">
        <v>0</v>
      </c>
      <c r="AE53">
        <f>AE52+1</f>
        <v/>
      </c>
      <c r="AF53">
        <f>AF52+1</f>
        <v/>
      </c>
      <c r="AG53">
        <f>D53-Q53</f>
        <v/>
      </c>
      <c r="AH53">
        <f>AG53^2</f>
        <v/>
      </c>
      <c r="AI53">
        <f>(AG53/STDEV($AG$3:$AG$1137))^3</f>
        <v/>
      </c>
      <c r="AJ53">
        <f>(AG53/STDEV($AG$3:$AG$1137))^4</f>
        <v/>
      </c>
      <c r="AK53">
        <f>AF53^2</f>
        <v/>
      </c>
      <c r="AL53">
        <f>IF(AD53=1,AB53,IF(AL52&lt;&gt;"",AL52,""))</f>
        <v/>
      </c>
      <c r="AM53">
        <f>IF(AND(AD53=1,AL52&lt;&gt;""),ABS(AB53-AL52),"")</f>
        <v/>
      </c>
    </row>
    <row r="54">
      <c r="A54" t="n">
        <v>1776401102</v>
      </c>
      <c r="B54" t="inlineStr">
        <is>
          <t>XAUUSD</t>
        </is>
      </c>
      <c r="C54" t="inlineStr">
        <is>
          <t>M15</t>
        </is>
      </c>
      <c r="D54" t="n">
        <v>4803.04</v>
      </c>
      <c r="E54" t="n">
        <v>4518.59282</v>
      </c>
      <c r="F54" t="n">
        <v>4596.05595</v>
      </c>
      <c r="G54" t="n">
        <v>4755.40355</v>
      </c>
      <c r="H54" t="n">
        <v>4792.76972</v>
      </c>
      <c r="Q54" t="n">
        <v>4803.72232</v>
      </c>
      <c r="R54" t="n">
        <v>4833.08562</v>
      </c>
      <c r="S54" t="n">
        <v>4859.67439</v>
      </c>
      <c r="V54" t="n">
        <v>4768.78255</v>
      </c>
      <c r="W54" t="n">
        <v>4735.21755</v>
      </c>
      <c r="AB54" t="n">
        <v>4800.84185</v>
      </c>
      <c r="AC54" t="n">
        <v>4799.82919</v>
      </c>
      <c r="AD54" t="n">
        <v>0</v>
      </c>
      <c r="AE54">
        <f>AE53+1</f>
        <v/>
      </c>
      <c r="AF54">
        <f>AF53+1</f>
        <v/>
      </c>
      <c r="AG54">
        <f>D54-Q54</f>
        <v/>
      </c>
      <c r="AH54">
        <f>AG54^2</f>
        <v/>
      </c>
      <c r="AI54">
        <f>(AG54/STDEV($AG$3:$AG$1137))^3</f>
        <v/>
      </c>
      <c r="AJ54">
        <f>(AG54/STDEV($AG$3:$AG$1137))^4</f>
        <v/>
      </c>
      <c r="AK54">
        <f>AF54^2</f>
        <v/>
      </c>
      <c r="AL54">
        <f>IF(AD54=1,AB54,IF(AL53&lt;&gt;"",AL53,""))</f>
        <v/>
      </c>
      <c r="AM54">
        <f>IF(AND(AD54=1,AL53&lt;&gt;""),ABS(AB54-AL53),"")</f>
        <v/>
      </c>
    </row>
    <row r="55">
      <c r="A55" t="n">
        <v>1776402002</v>
      </c>
      <c r="B55" t="inlineStr">
        <is>
          <t>XAUUSD</t>
        </is>
      </c>
      <c r="C55" t="inlineStr">
        <is>
          <t>M15</t>
        </is>
      </c>
      <c r="D55" t="n">
        <v>4804.78</v>
      </c>
      <c r="E55" t="n">
        <v>4518.59282</v>
      </c>
      <c r="F55" t="n">
        <v>4596.05595</v>
      </c>
      <c r="G55" t="n">
        <v>4755.40355</v>
      </c>
      <c r="H55" t="n">
        <v>4792.76972</v>
      </c>
      <c r="Q55" t="n">
        <v>4803.45471</v>
      </c>
      <c r="R55" t="n">
        <v>4832.81801</v>
      </c>
      <c r="S55" t="n">
        <v>4859.40678</v>
      </c>
      <c r="V55" t="n">
        <v>4768.51494</v>
      </c>
      <c r="W55" t="n">
        <v>4734.94995</v>
      </c>
      <c r="Z55" t="n">
        <v>4805.97</v>
      </c>
      <c r="AB55" t="n">
        <v>4800.67177</v>
      </c>
      <c r="AC55" t="n">
        <v>4800.25048</v>
      </c>
      <c r="AD55" t="n">
        <v>0</v>
      </c>
      <c r="AE55">
        <f>AE54+1</f>
        <v/>
      </c>
      <c r="AF55">
        <f>AF54+1</f>
        <v/>
      </c>
      <c r="AG55">
        <f>D55-Q55</f>
        <v/>
      </c>
      <c r="AH55">
        <f>AG55^2</f>
        <v/>
      </c>
      <c r="AI55">
        <f>(AG55/STDEV($AG$3:$AG$1137))^3</f>
        <v/>
      </c>
      <c r="AJ55">
        <f>(AG55/STDEV($AG$3:$AG$1137))^4</f>
        <v/>
      </c>
      <c r="AK55">
        <f>AF55^2</f>
        <v/>
      </c>
      <c r="AL55">
        <f>IF(AD55=1,AB55,IF(AL54&lt;&gt;"",AL54,""))</f>
        <v/>
      </c>
      <c r="AM55">
        <f>IF(AND(AD55=1,AL54&lt;&gt;""),ABS(AB55-AL54),"")</f>
        <v/>
      </c>
    </row>
    <row r="56">
      <c r="A56" t="n">
        <v>1776402902</v>
      </c>
      <c r="B56" t="inlineStr">
        <is>
          <t>XAUUSD</t>
        </is>
      </c>
      <c r="C56" t="inlineStr">
        <is>
          <t>M15</t>
        </is>
      </c>
      <c r="D56" t="n">
        <v>4803.25</v>
      </c>
      <c r="E56" t="n">
        <v>4518.59282</v>
      </c>
      <c r="F56" t="n">
        <v>4596.05595</v>
      </c>
      <c r="G56" t="n">
        <v>4755.40355</v>
      </c>
      <c r="H56" t="n">
        <v>4792.76972</v>
      </c>
      <c r="Q56" t="n">
        <v>4803.18711</v>
      </c>
      <c r="R56" t="n">
        <v>4832.55041</v>
      </c>
      <c r="S56" t="n">
        <v>4859.13918</v>
      </c>
      <c r="V56" t="n">
        <v>4768.24734</v>
      </c>
      <c r="W56" t="n">
        <v>4734.68234</v>
      </c>
      <c r="AB56" t="n">
        <v>4799.49116</v>
      </c>
      <c r="AC56" t="n">
        <v>4799.87082</v>
      </c>
      <c r="AD56" t="n">
        <v>1</v>
      </c>
      <c r="AE56">
        <f>AE55+1</f>
        <v/>
      </c>
      <c r="AF56">
        <f>AF55+1</f>
        <v/>
      </c>
      <c r="AG56">
        <f>D56-Q56</f>
        <v/>
      </c>
      <c r="AH56">
        <f>AG56^2</f>
        <v/>
      </c>
      <c r="AI56">
        <f>(AG56/STDEV($AG$3:$AG$1137))^3</f>
        <v/>
      </c>
      <c r="AJ56">
        <f>(AG56/STDEV($AG$3:$AG$1137))^4</f>
        <v/>
      </c>
      <c r="AK56">
        <f>AF56^2</f>
        <v/>
      </c>
      <c r="AL56">
        <f>IF(AD56=1,AB56,IF(AL55&lt;&gt;"",AL55,""))</f>
        <v/>
      </c>
      <c r="AM56">
        <f>IF(AND(AD56=1,AL55&lt;&gt;""),ABS(AB56-AL55),"")</f>
        <v/>
      </c>
    </row>
    <row r="57">
      <c r="A57" t="n">
        <v>1776403802</v>
      </c>
      <c r="B57" t="inlineStr">
        <is>
          <t>XAUUSD</t>
        </is>
      </c>
      <c r="C57" t="inlineStr">
        <is>
          <t>M15</t>
        </is>
      </c>
      <c r="D57" t="n">
        <v>4796.48</v>
      </c>
      <c r="E57" t="n">
        <v>4518.59282</v>
      </c>
      <c r="F57" t="n">
        <v>4596.05595</v>
      </c>
      <c r="G57" t="n">
        <v>4755.40355</v>
      </c>
      <c r="H57" t="n">
        <v>4792.76972</v>
      </c>
      <c r="Q57" t="n">
        <v>4802.91951</v>
      </c>
      <c r="R57" t="n">
        <v>4832.2828</v>
      </c>
      <c r="S57" t="n">
        <v>4858.87158</v>
      </c>
      <c r="V57" t="n">
        <v>4767.97974</v>
      </c>
      <c r="W57" t="n">
        <v>4734.41474</v>
      </c>
      <c r="AB57" t="n">
        <v>4797.33624</v>
      </c>
      <c r="AC57" t="n">
        <v>4798.60353</v>
      </c>
      <c r="AD57" t="n">
        <v>0</v>
      </c>
      <c r="AE57">
        <f>AE56+1</f>
        <v/>
      </c>
      <c r="AF57">
        <f>AF56+1</f>
        <v/>
      </c>
      <c r="AG57">
        <f>D57-Q57</f>
        <v/>
      </c>
      <c r="AH57">
        <f>AG57^2</f>
        <v/>
      </c>
      <c r="AI57">
        <f>(AG57/STDEV($AG$3:$AG$1137))^3</f>
        <v/>
      </c>
      <c r="AJ57">
        <f>(AG57/STDEV($AG$3:$AG$1137))^4</f>
        <v/>
      </c>
      <c r="AK57">
        <f>AF57^2</f>
        <v/>
      </c>
      <c r="AL57">
        <f>IF(AD57=1,AB57,IF(AL56&lt;&gt;"",AL56,""))</f>
        <v/>
      </c>
      <c r="AM57">
        <f>IF(AND(AD57=1,AL56&lt;&gt;""),ABS(AB57-AL56),"")</f>
        <v/>
      </c>
    </row>
    <row r="58">
      <c r="A58" t="n">
        <v>1776404702</v>
      </c>
      <c r="B58" t="inlineStr">
        <is>
          <t>XAUUSD</t>
        </is>
      </c>
      <c r="C58" t="inlineStr">
        <is>
          <t>M15</t>
        </is>
      </c>
      <c r="D58" t="n">
        <v>4794.41</v>
      </c>
      <c r="E58" t="n">
        <v>4518.59282</v>
      </c>
      <c r="F58" t="n">
        <v>4596.05595</v>
      </c>
      <c r="G58" t="n">
        <v>4755.40355</v>
      </c>
      <c r="H58" t="n">
        <v>4792.76972</v>
      </c>
      <c r="Q58" t="n">
        <v>4802.6519</v>
      </c>
      <c r="R58" t="n">
        <v>4832.0152</v>
      </c>
      <c r="S58" t="n">
        <v>4858.60397</v>
      </c>
      <c r="V58" t="n">
        <v>4767.71213</v>
      </c>
      <c r="W58" t="n">
        <v>4734.14714</v>
      </c>
      <c r="AB58" t="n">
        <v>4794.52465</v>
      </c>
      <c r="AC58" t="n">
        <v>4796.56409</v>
      </c>
      <c r="AD58" t="n">
        <v>0</v>
      </c>
      <c r="AE58">
        <f>AE57+1</f>
        <v/>
      </c>
      <c r="AF58">
        <f>AF57+1</f>
        <v/>
      </c>
      <c r="AG58">
        <f>D58-Q58</f>
        <v/>
      </c>
      <c r="AH58">
        <f>AG58^2</f>
        <v/>
      </c>
      <c r="AI58">
        <f>(AG58/STDEV($AG$3:$AG$1137))^3</f>
        <v/>
      </c>
      <c r="AJ58">
        <f>(AG58/STDEV($AG$3:$AG$1137))^4</f>
        <v/>
      </c>
      <c r="AK58">
        <f>AF58^2</f>
        <v/>
      </c>
      <c r="AL58">
        <f>IF(AD58=1,AB58,IF(AL57&lt;&gt;"",AL57,""))</f>
        <v/>
      </c>
      <c r="AM58">
        <f>IF(AND(AD58=1,AL57&lt;&gt;""),ABS(AB58-AL57),"")</f>
        <v/>
      </c>
    </row>
    <row r="59">
      <c r="A59" t="n">
        <v>1776405602</v>
      </c>
      <c r="B59" t="inlineStr">
        <is>
          <t>XAUUSD</t>
        </is>
      </c>
      <c r="C59" t="inlineStr">
        <is>
          <t>M15</t>
        </is>
      </c>
      <c r="D59" t="n">
        <v>4787.73</v>
      </c>
      <c r="E59" t="n">
        <v>4518.59282</v>
      </c>
      <c r="F59" t="n">
        <v>4596.05595</v>
      </c>
      <c r="G59" t="n">
        <v>4755.40355</v>
      </c>
      <c r="H59" t="n">
        <v>4792.76972</v>
      </c>
      <c r="Q59" t="n">
        <v>4802.3843</v>
      </c>
      <c r="R59" t="n">
        <v>4831.7476</v>
      </c>
      <c r="S59" t="n">
        <v>4858.33637</v>
      </c>
      <c r="V59" t="n">
        <v>4767.44453</v>
      </c>
      <c r="W59" t="n">
        <v>4733.87953</v>
      </c>
      <c r="AB59" t="n">
        <v>4791.4825</v>
      </c>
      <c r="AC59" t="n">
        <v>4794.0233</v>
      </c>
      <c r="AD59" t="n">
        <v>0</v>
      </c>
      <c r="AE59">
        <f>AE58+1</f>
        <v/>
      </c>
      <c r="AF59">
        <f>AF58+1</f>
        <v/>
      </c>
      <c r="AG59">
        <f>D59-Q59</f>
        <v/>
      </c>
      <c r="AH59">
        <f>AG59^2</f>
        <v/>
      </c>
      <c r="AI59">
        <f>(AG59/STDEV($AG$3:$AG$1137))^3</f>
        <v/>
      </c>
      <c r="AJ59">
        <f>(AG59/STDEV($AG$3:$AG$1137))^4</f>
        <v/>
      </c>
      <c r="AK59">
        <f>AF59^2</f>
        <v/>
      </c>
      <c r="AL59">
        <f>IF(AD59=1,AB59,IF(AL58&lt;&gt;"",AL58,""))</f>
        <v/>
      </c>
      <c r="AM59">
        <f>IF(AND(AD59=1,AL58&lt;&gt;""),ABS(AB59-AL58),"")</f>
        <v/>
      </c>
    </row>
    <row r="60">
      <c r="A60" t="n">
        <v>1776406502</v>
      </c>
      <c r="B60" t="inlineStr">
        <is>
          <t>XAUUSD</t>
        </is>
      </c>
      <c r="C60" t="inlineStr">
        <is>
          <t>M15</t>
        </is>
      </c>
      <c r="D60" t="n">
        <v>4783.78</v>
      </c>
      <c r="E60" t="n">
        <v>4518.59282</v>
      </c>
      <c r="F60" t="n">
        <v>4596.05595</v>
      </c>
      <c r="G60" t="n">
        <v>4755.40355</v>
      </c>
      <c r="H60" t="n">
        <v>4792.76972</v>
      </c>
      <c r="Q60" t="n">
        <v>4802.11669</v>
      </c>
      <c r="R60" t="n">
        <v>4831.47999</v>
      </c>
      <c r="S60" t="n">
        <v>4858.06876</v>
      </c>
      <c r="V60" t="n">
        <v>4767.17692</v>
      </c>
      <c r="W60" t="n">
        <v>4733.61193</v>
      </c>
      <c r="AB60" t="n">
        <v>4788.69965</v>
      </c>
      <c r="AC60" t="n">
        <v>4791.36147</v>
      </c>
      <c r="AD60" t="n">
        <v>0</v>
      </c>
      <c r="AE60">
        <f>AE59+1</f>
        <v/>
      </c>
      <c r="AF60">
        <f>AF59+1</f>
        <v/>
      </c>
      <c r="AG60">
        <f>D60-Q60</f>
        <v/>
      </c>
      <c r="AH60">
        <f>AG60^2</f>
        <v/>
      </c>
      <c r="AI60">
        <f>(AG60/STDEV($AG$3:$AG$1137))^3</f>
        <v/>
      </c>
      <c r="AJ60">
        <f>(AG60/STDEV($AG$3:$AG$1137))^4</f>
        <v/>
      </c>
      <c r="AK60">
        <f>AF60^2</f>
        <v/>
      </c>
      <c r="AL60">
        <f>IF(AD60=1,AB60,IF(AL59&lt;&gt;"",AL59,""))</f>
        <v/>
      </c>
      <c r="AM60">
        <f>IF(AND(AD60=1,AL59&lt;&gt;""),ABS(AB60-AL59),"")</f>
        <v/>
      </c>
    </row>
    <row r="61">
      <c r="A61" t="n">
        <v>1776407402</v>
      </c>
      <c r="B61" t="inlineStr">
        <is>
          <t>XAUUSD</t>
        </is>
      </c>
      <c r="C61" t="inlineStr">
        <is>
          <t>M15</t>
        </is>
      </c>
      <c r="D61" t="n">
        <v>4785.67</v>
      </c>
      <c r="E61" t="n">
        <v>4518.59282</v>
      </c>
      <c r="F61" t="n">
        <v>4596.05595</v>
      </c>
      <c r="G61" t="n">
        <v>4755.40355</v>
      </c>
      <c r="H61" t="n">
        <v>4792.76972</v>
      </c>
      <c r="Q61" t="n">
        <v>4801.84909</v>
      </c>
      <c r="R61" t="n">
        <v>4831.21239</v>
      </c>
      <c r="S61" t="n">
        <v>4857.80116</v>
      </c>
      <c r="V61" t="n">
        <v>4766.90932</v>
      </c>
      <c r="W61" t="n">
        <v>4733.34432</v>
      </c>
      <c r="AB61" t="n">
        <v>4786.53074</v>
      </c>
      <c r="AC61" t="n">
        <v>4788.94611</v>
      </c>
      <c r="AD61" t="n">
        <v>0</v>
      </c>
      <c r="AE61">
        <f>AE60+1</f>
        <v/>
      </c>
      <c r="AF61">
        <f>AF60+1</f>
        <v/>
      </c>
      <c r="AG61">
        <f>D61-Q61</f>
        <v/>
      </c>
      <c r="AH61">
        <f>AG61^2</f>
        <v/>
      </c>
      <c r="AI61">
        <f>(AG61/STDEV($AG$3:$AG$1137))^3</f>
        <v/>
      </c>
      <c r="AJ61">
        <f>(AG61/STDEV($AG$3:$AG$1137))^4</f>
        <v/>
      </c>
      <c r="AK61">
        <f>AF61^2</f>
        <v/>
      </c>
      <c r="AL61">
        <f>IF(AD61=1,AB61,IF(AL60&lt;&gt;"",AL60,""))</f>
        <v/>
      </c>
      <c r="AM61">
        <f>IF(AND(AD61=1,AL60&lt;&gt;""),ABS(AB61-AL60),"")</f>
        <v/>
      </c>
    </row>
    <row r="62">
      <c r="A62" t="n">
        <v>1776408302</v>
      </c>
      <c r="B62" t="inlineStr">
        <is>
          <t>XAUUSD</t>
        </is>
      </c>
      <c r="C62" t="inlineStr">
        <is>
          <t>M15</t>
        </is>
      </c>
      <c r="D62" t="n">
        <v>4785.07</v>
      </c>
      <c r="E62" t="n">
        <v>4518.59282</v>
      </c>
      <c r="F62" t="n">
        <v>4596.05595</v>
      </c>
      <c r="G62" t="n">
        <v>4755.40355</v>
      </c>
      <c r="H62" t="n">
        <v>4792.76972</v>
      </c>
      <c r="Q62" t="n">
        <v>4801.58149</v>
      </c>
      <c r="R62" t="n">
        <v>4830.94478</v>
      </c>
      <c r="S62" t="n">
        <v>4857.53356</v>
      </c>
      <c r="V62" t="n">
        <v>4766.64172</v>
      </c>
      <c r="W62" t="n">
        <v>4733.07672</v>
      </c>
      <c r="AB62" t="n">
        <v>4785.1178</v>
      </c>
      <c r="AC62" t="n">
        <v>4787.03196</v>
      </c>
      <c r="AD62" t="n">
        <v>0</v>
      </c>
      <c r="AE62">
        <f>AE61+1</f>
        <v/>
      </c>
      <c r="AF62">
        <f>AF61+1</f>
        <v/>
      </c>
      <c r="AG62">
        <f>D62-Q62</f>
        <v/>
      </c>
      <c r="AH62">
        <f>AG62^2</f>
        <v/>
      </c>
      <c r="AI62">
        <f>(AG62/STDEV($AG$3:$AG$1137))^3</f>
        <v/>
      </c>
      <c r="AJ62">
        <f>(AG62/STDEV($AG$3:$AG$1137))^4</f>
        <v/>
      </c>
      <c r="AK62">
        <f>AF62^2</f>
        <v/>
      </c>
      <c r="AL62">
        <f>IF(AD62=1,AB62,IF(AL61&lt;&gt;"",AL61,""))</f>
        <v/>
      </c>
      <c r="AM62">
        <f>IF(AND(AD62=1,AL61&lt;&gt;""),ABS(AB62-AL61),"")</f>
        <v/>
      </c>
    </row>
    <row r="63">
      <c r="A63" t="n">
        <v>1776409202</v>
      </c>
      <c r="B63" t="inlineStr">
        <is>
          <t>XAUUSD</t>
        </is>
      </c>
      <c r="C63" t="inlineStr">
        <is>
          <t>M15</t>
        </is>
      </c>
      <c r="D63" t="n">
        <v>4787.12</v>
      </c>
      <c r="E63" t="n">
        <v>4518.59282</v>
      </c>
      <c r="F63" t="n">
        <v>4596.05595</v>
      </c>
      <c r="G63" t="n">
        <v>4755.40355</v>
      </c>
      <c r="H63" t="n">
        <v>4792.76972</v>
      </c>
      <c r="Q63" t="n">
        <v>4801.31388</v>
      </c>
      <c r="R63" t="n">
        <v>4830.67718</v>
      </c>
      <c r="S63" t="n">
        <v>4857.26595</v>
      </c>
      <c r="V63" t="n">
        <v>4766.37411</v>
      </c>
      <c r="W63" t="n">
        <v>4732.80911</v>
      </c>
      <c r="AB63" t="n">
        <v>4784.51632</v>
      </c>
      <c r="AC63" t="n">
        <v>4785.77414</v>
      </c>
      <c r="AD63" t="n">
        <v>0</v>
      </c>
      <c r="AE63">
        <f>AE62+1</f>
        <v/>
      </c>
      <c r="AF63">
        <f>AF62+1</f>
        <v/>
      </c>
      <c r="AG63">
        <f>D63-Q63</f>
        <v/>
      </c>
      <c r="AH63">
        <f>AG63^2</f>
        <v/>
      </c>
      <c r="AI63">
        <f>(AG63/STDEV($AG$3:$AG$1137))^3</f>
        <v/>
      </c>
      <c r="AJ63">
        <f>(AG63/STDEV($AG$3:$AG$1137))^4</f>
        <v/>
      </c>
      <c r="AK63">
        <f>AF63^2</f>
        <v/>
      </c>
      <c r="AL63">
        <f>IF(AD63=1,AB63,IF(AL62&lt;&gt;"",AL62,""))</f>
        <v/>
      </c>
      <c r="AM63">
        <f>IF(AND(AD63=1,AL62&lt;&gt;""),ABS(AB63-AL62),"")</f>
        <v/>
      </c>
    </row>
    <row r="64">
      <c r="A64" t="n">
        <v>1776410102</v>
      </c>
      <c r="B64" t="inlineStr">
        <is>
          <t>XAUUSD</t>
        </is>
      </c>
      <c r="C64" t="inlineStr">
        <is>
          <t>M15</t>
        </is>
      </c>
      <c r="D64" t="n">
        <v>4791.72</v>
      </c>
      <c r="E64" t="n">
        <v>4518.59282</v>
      </c>
      <c r="F64" t="n">
        <v>4596.05595</v>
      </c>
      <c r="G64" t="n">
        <v>4755.40355</v>
      </c>
      <c r="H64" t="n">
        <v>4792.76972</v>
      </c>
      <c r="Q64" t="n">
        <v>4801.04628</v>
      </c>
      <c r="R64" t="n">
        <v>4830.40958</v>
      </c>
      <c r="S64" t="n">
        <v>4856.99835</v>
      </c>
      <c r="V64" t="n">
        <v>4766.10651</v>
      </c>
      <c r="W64" t="n">
        <v>4732.54151</v>
      </c>
      <c r="AB64" t="n">
        <v>4784.61543</v>
      </c>
      <c r="AC64" t="n">
        <v>4785.19478</v>
      </c>
      <c r="AD64" t="n">
        <v>0</v>
      </c>
      <c r="AE64">
        <f>AE63+1</f>
        <v/>
      </c>
      <c r="AF64">
        <f>AF63+1</f>
        <v/>
      </c>
      <c r="AG64">
        <f>D64-Q64</f>
        <v/>
      </c>
      <c r="AH64">
        <f>AG64^2</f>
        <v/>
      </c>
      <c r="AI64">
        <f>(AG64/STDEV($AG$3:$AG$1137))^3</f>
        <v/>
      </c>
      <c r="AJ64">
        <f>(AG64/STDEV($AG$3:$AG$1137))^4</f>
        <v/>
      </c>
      <c r="AK64">
        <f>AF64^2</f>
        <v/>
      </c>
      <c r="AL64">
        <f>IF(AD64=1,AB64,IF(AL63&lt;&gt;"",AL63,""))</f>
        <v/>
      </c>
      <c r="AM64">
        <f>IF(AND(AD64=1,AL63&lt;&gt;""),ABS(AB64-AL63),"")</f>
        <v/>
      </c>
    </row>
    <row r="65">
      <c r="A65" t="n">
        <v>1776411002</v>
      </c>
      <c r="B65" t="inlineStr">
        <is>
          <t>XAUUSD</t>
        </is>
      </c>
      <c r="C65" t="inlineStr">
        <is>
          <t>M15</t>
        </is>
      </c>
      <c r="D65" t="n">
        <v>4785.87</v>
      </c>
      <c r="E65" t="n">
        <v>4518.59282</v>
      </c>
      <c r="F65" t="n">
        <v>4596.05595</v>
      </c>
      <c r="G65" t="n">
        <v>4755.40355</v>
      </c>
      <c r="H65" t="n">
        <v>4792.76972</v>
      </c>
      <c r="Q65" t="n">
        <v>4800.77867</v>
      </c>
      <c r="R65" t="n">
        <v>4830.14197</v>
      </c>
      <c r="S65" t="n">
        <v>4856.73074</v>
      </c>
      <c r="V65" t="n">
        <v>4765.8389</v>
      </c>
      <c r="W65" t="n">
        <v>4732.27391</v>
      </c>
      <c r="AB65" t="n">
        <v>4785.21554</v>
      </c>
      <c r="AC65" t="n">
        <v>4785.20516</v>
      </c>
      <c r="AD65" t="n">
        <v>1</v>
      </c>
      <c r="AE65">
        <f>AE64+1</f>
        <v/>
      </c>
      <c r="AF65">
        <f>AF64+1</f>
        <v/>
      </c>
      <c r="AG65">
        <f>D65-Q65</f>
        <v/>
      </c>
      <c r="AH65">
        <f>AG65^2</f>
        <v/>
      </c>
      <c r="AI65">
        <f>(AG65/STDEV($AG$3:$AG$1137))^3</f>
        <v/>
      </c>
      <c r="AJ65">
        <f>(AG65/STDEV($AG$3:$AG$1137))^4</f>
        <v/>
      </c>
      <c r="AK65">
        <f>AF65^2</f>
        <v/>
      </c>
      <c r="AL65">
        <f>IF(AD65=1,AB65,IF(AL64&lt;&gt;"",AL64,""))</f>
        <v/>
      </c>
      <c r="AM65">
        <f>IF(AND(AD65=1,AL64&lt;&gt;""),ABS(AB65-AL64),"")</f>
        <v/>
      </c>
    </row>
    <row r="66">
      <c r="A66" t="n">
        <v>1776411902</v>
      </c>
      <c r="B66" t="inlineStr">
        <is>
          <t>XAUUSD</t>
        </is>
      </c>
      <c r="C66" t="inlineStr">
        <is>
          <t>M15</t>
        </is>
      </c>
      <c r="D66" t="n">
        <v>4784.38</v>
      </c>
      <c r="E66" t="n">
        <v>4518.59282</v>
      </c>
      <c r="F66" t="n">
        <v>4596.05595</v>
      </c>
      <c r="G66" t="n">
        <v>4755.40355</v>
      </c>
      <c r="H66" t="n">
        <v>4792.76972</v>
      </c>
      <c r="Q66" t="n">
        <v>4800.51107</v>
      </c>
      <c r="R66" t="n">
        <v>4829.87437</v>
      </c>
      <c r="S66" t="n">
        <v>4856.46314</v>
      </c>
      <c r="V66" t="n">
        <v>4765.5713</v>
      </c>
      <c r="W66" t="n">
        <v>4732.0063</v>
      </c>
      <c r="AA66" t="n">
        <v>4778.83</v>
      </c>
      <c r="AB66" t="n">
        <v>4786.38043</v>
      </c>
      <c r="AC66" t="n">
        <v>4785.7928</v>
      </c>
      <c r="AD66" t="n">
        <v>0</v>
      </c>
      <c r="AE66">
        <f>AE65+1</f>
        <v/>
      </c>
      <c r="AF66">
        <f>AF65+1</f>
        <v/>
      </c>
      <c r="AG66">
        <f>D66-Q66</f>
        <v/>
      </c>
      <c r="AH66">
        <f>AG66^2</f>
        <v/>
      </c>
      <c r="AI66">
        <f>(AG66/STDEV($AG$3:$AG$1137))^3</f>
        <v/>
      </c>
      <c r="AJ66">
        <f>(AG66/STDEV($AG$3:$AG$1137))^4</f>
        <v/>
      </c>
      <c r="AK66">
        <f>AF66^2</f>
        <v/>
      </c>
      <c r="AL66">
        <f>IF(AD66=1,AB66,IF(AL65&lt;&gt;"",AL65,""))</f>
        <v/>
      </c>
      <c r="AM66">
        <f>IF(AND(AD66=1,AL65&lt;&gt;""),ABS(AB66-AL65),"")</f>
        <v/>
      </c>
    </row>
    <row r="67">
      <c r="A67" t="n">
        <v>1776412802</v>
      </c>
      <c r="B67" t="inlineStr">
        <is>
          <t>XAUUSD</t>
        </is>
      </c>
      <c r="C67" t="inlineStr">
        <is>
          <t>M15</t>
        </is>
      </c>
      <c r="D67" t="n">
        <v>4783.7</v>
      </c>
      <c r="E67" t="n">
        <v>4518.59282</v>
      </c>
      <c r="F67" t="n">
        <v>4596.05595</v>
      </c>
      <c r="G67" t="n">
        <v>4755.40355</v>
      </c>
      <c r="H67" t="n">
        <v>4792.76972</v>
      </c>
      <c r="Q67" t="n">
        <v>4800.24347</v>
      </c>
      <c r="R67" t="n">
        <v>4829.60676</v>
      </c>
      <c r="S67" t="n">
        <v>4856.19553</v>
      </c>
      <c r="V67" t="n">
        <v>4765.30369</v>
      </c>
      <c r="W67" t="n">
        <v>4731.7387</v>
      </c>
      <c r="AB67" t="n">
        <v>4788.01037</v>
      </c>
      <c r="AC67" t="n">
        <v>4786.90158</v>
      </c>
      <c r="AD67" t="n">
        <v>0</v>
      </c>
      <c r="AE67">
        <f>AE66+1</f>
        <v/>
      </c>
      <c r="AF67">
        <f>AF66+1</f>
        <v/>
      </c>
      <c r="AG67">
        <f>D67-Q67</f>
        <v/>
      </c>
      <c r="AH67">
        <f>AG67^2</f>
        <v/>
      </c>
      <c r="AI67">
        <f>(AG67/STDEV($AG$3:$AG$1137))^3</f>
        <v/>
      </c>
      <c r="AJ67">
        <f>(AG67/STDEV($AG$3:$AG$1137))^4</f>
        <v/>
      </c>
      <c r="AK67">
        <f>AF67^2</f>
        <v/>
      </c>
      <c r="AL67">
        <f>IF(AD67=1,AB67,IF(AL66&lt;&gt;"",AL66,""))</f>
        <v/>
      </c>
      <c r="AM67">
        <f>IF(AND(AD67=1,AL66&lt;&gt;""),ABS(AB67-AL66),"")</f>
        <v/>
      </c>
    </row>
    <row r="68">
      <c r="A68" t="n">
        <v>1776413702</v>
      </c>
      <c r="B68" t="inlineStr">
        <is>
          <t>XAUUSD</t>
        </is>
      </c>
      <c r="C68" t="inlineStr">
        <is>
          <t>M15</t>
        </is>
      </c>
      <c r="D68" t="n">
        <v>4784.58</v>
      </c>
      <c r="E68" t="n">
        <v>4518.59282</v>
      </c>
      <c r="F68" t="n">
        <v>4596.05595</v>
      </c>
      <c r="G68" t="n">
        <v>4755.40355</v>
      </c>
      <c r="H68" t="n">
        <v>4792.76972</v>
      </c>
      <c r="Q68" t="n">
        <v>4799.97586</v>
      </c>
      <c r="R68" t="n">
        <v>4829.33916</v>
      </c>
      <c r="S68" t="n">
        <v>4855.92793</v>
      </c>
      <c r="V68" t="n">
        <v>4765.03609</v>
      </c>
      <c r="W68" t="n">
        <v>4731.47109</v>
      </c>
      <c r="AB68" t="n">
        <v>4789.94651</v>
      </c>
      <c r="AC68" t="n">
        <v>4788.42405</v>
      </c>
      <c r="AD68" t="n">
        <v>0</v>
      </c>
      <c r="AE68">
        <f>AE67+1</f>
        <v/>
      </c>
      <c r="AF68">
        <f>AF67+1</f>
        <v/>
      </c>
      <c r="AG68">
        <f>D68-Q68</f>
        <v/>
      </c>
      <c r="AH68">
        <f>AG68^2</f>
        <v/>
      </c>
      <c r="AI68">
        <f>(AG68/STDEV($AG$3:$AG$1137))^3</f>
        <v/>
      </c>
      <c r="AJ68">
        <f>(AG68/STDEV($AG$3:$AG$1137))^4</f>
        <v/>
      </c>
      <c r="AK68">
        <f>AF68^2</f>
        <v/>
      </c>
      <c r="AL68">
        <f>IF(AD68=1,AB68,IF(AL67&lt;&gt;"",AL67,""))</f>
        <v/>
      </c>
      <c r="AM68">
        <f>IF(AND(AD68=1,AL67&lt;&gt;""),ABS(AB68-AL67),"")</f>
        <v/>
      </c>
    </row>
    <row r="69">
      <c r="A69" t="n">
        <v>1776414602</v>
      </c>
      <c r="B69" t="inlineStr">
        <is>
          <t>XAUUSD</t>
        </is>
      </c>
      <c r="C69" t="inlineStr">
        <is>
          <t>M15</t>
        </is>
      </c>
      <c r="D69" t="n">
        <v>4797.03</v>
      </c>
      <c r="E69" t="n">
        <v>4518.59282</v>
      </c>
      <c r="F69" t="n">
        <v>4596.05595</v>
      </c>
      <c r="G69" t="n">
        <v>4755.40355</v>
      </c>
      <c r="H69" t="n">
        <v>4792.76972</v>
      </c>
      <c r="Q69" t="n">
        <v>4799.70826</v>
      </c>
      <c r="R69" t="n">
        <v>4829.07156</v>
      </c>
      <c r="S69" t="n">
        <v>4855.66033</v>
      </c>
      <c r="V69" t="n">
        <v>4764.76849</v>
      </c>
      <c r="W69" t="n">
        <v>4731.20349</v>
      </c>
      <c r="AB69" t="n">
        <v>4791.94102</v>
      </c>
      <c r="AC69" t="n">
        <v>4790.18253</v>
      </c>
      <c r="AD69" t="n">
        <v>0</v>
      </c>
      <c r="AE69">
        <f>AE68+1</f>
        <v/>
      </c>
      <c r="AF69">
        <f>AF68+1</f>
        <v/>
      </c>
      <c r="AG69">
        <f>D69-Q69</f>
        <v/>
      </c>
      <c r="AH69">
        <f>AG69^2</f>
        <v/>
      </c>
      <c r="AI69">
        <f>(AG69/STDEV($AG$3:$AG$1137))^3</f>
        <v/>
      </c>
      <c r="AJ69">
        <f>(AG69/STDEV($AG$3:$AG$1137))^4</f>
        <v/>
      </c>
      <c r="AK69">
        <f>AF69^2</f>
        <v/>
      </c>
      <c r="AL69">
        <f>IF(AD69=1,AB69,IF(AL68&lt;&gt;"",AL68,""))</f>
        <v/>
      </c>
      <c r="AM69">
        <f>IF(AND(AD69=1,AL68&lt;&gt;""),ABS(AB69-AL68),"")</f>
        <v/>
      </c>
    </row>
    <row r="70">
      <c r="A70" t="n">
        <v>1776415502</v>
      </c>
      <c r="B70" t="inlineStr">
        <is>
          <t>XAUUSD</t>
        </is>
      </c>
      <c r="C70" t="inlineStr">
        <is>
          <t>M15</t>
        </is>
      </c>
      <c r="D70" t="n">
        <v>4796.09</v>
      </c>
      <c r="E70" t="n">
        <v>4518.59282</v>
      </c>
      <c r="F70" t="n">
        <v>4596.05595</v>
      </c>
      <c r="G70" t="n">
        <v>4755.40355</v>
      </c>
      <c r="H70" t="n">
        <v>4792.76972</v>
      </c>
      <c r="Q70" t="n">
        <v>4799.44065</v>
      </c>
      <c r="R70" t="n">
        <v>4828.80395</v>
      </c>
      <c r="S70" t="n">
        <v>4855.39272</v>
      </c>
      <c r="V70" t="n">
        <v>4764.50088</v>
      </c>
      <c r="W70" t="n">
        <v>4730.93589</v>
      </c>
      <c r="AB70" t="n">
        <v>4793.46194</v>
      </c>
      <c r="AC70" t="n">
        <v>4791.82224</v>
      </c>
      <c r="AD70" t="n">
        <v>0</v>
      </c>
      <c r="AE70">
        <f>AE69+1</f>
        <v/>
      </c>
      <c r="AF70">
        <f>AF69+1</f>
        <v/>
      </c>
      <c r="AG70">
        <f>D70-Q70</f>
        <v/>
      </c>
      <c r="AH70">
        <f>AG70^2</f>
        <v/>
      </c>
      <c r="AI70">
        <f>(AG70/STDEV($AG$3:$AG$1137))^3</f>
        <v/>
      </c>
      <c r="AJ70">
        <f>(AG70/STDEV($AG$3:$AG$1137))^4</f>
        <v/>
      </c>
      <c r="AK70">
        <f>AF70^2</f>
        <v/>
      </c>
      <c r="AL70">
        <f>IF(AD70=1,AB70,IF(AL69&lt;&gt;"",AL69,""))</f>
        <v/>
      </c>
      <c r="AM70">
        <f>IF(AND(AD70=1,AL69&lt;&gt;""),ABS(AB70-AL69),"")</f>
        <v/>
      </c>
    </row>
    <row r="71">
      <c r="A71" t="n">
        <v>1776416402</v>
      </c>
      <c r="B71" t="inlineStr">
        <is>
          <t>XAUUSD</t>
        </is>
      </c>
      <c r="C71" t="inlineStr">
        <is>
          <t>M15</t>
        </is>
      </c>
      <c r="D71" t="n">
        <v>4793.1</v>
      </c>
      <c r="E71" t="n">
        <v>4518.59282</v>
      </c>
      <c r="F71" t="n">
        <v>4596.05595</v>
      </c>
      <c r="G71" t="n">
        <v>4755.40355</v>
      </c>
      <c r="H71" t="n">
        <v>4792.76972</v>
      </c>
      <c r="Q71" t="n">
        <v>4799.17305</v>
      </c>
      <c r="R71" t="n">
        <v>4828.53635</v>
      </c>
      <c r="S71" t="n">
        <v>4855.12512</v>
      </c>
      <c r="V71" t="n">
        <v>4764.23328</v>
      </c>
      <c r="W71" t="n">
        <v>4730.66828</v>
      </c>
      <c r="AB71" t="n">
        <v>4794.39592</v>
      </c>
      <c r="AC71" t="n">
        <v>4793.10908</v>
      </c>
      <c r="AD71" t="n">
        <v>0</v>
      </c>
      <c r="AE71">
        <f>AE70+1</f>
        <v/>
      </c>
      <c r="AF71">
        <f>AF70+1</f>
        <v/>
      </c>
      <c r="AG71">
        <f>D71-Q71</f>
        <v/>
      </c>
      <c r="AH71">
        <f>AG71^2</f>
        <v/>
      </c>
      <c r="AI71">
        <f>(AG71/STDEV($AG$3:$AG$1137))^3</f>
        <v/>
      </c>
      <c r="AJ71">
        <f>(AG71/STDEV($AG$3:$AG$1137))^4</f>
        <v/>
      </c>
      <c r="AK71">
        <f>AF71^2</f>
        <v/>
      </c>
      <c r="AL71">
        <f>IF(AD71=1,AB71,IF(AL70&lt;&gt;"",AL70,""))</f>
        <v/>
      </c>
      <c r="AM71">
        <f>IF(AND(AD71=1,AL70&lt;&gt;""),ABS(AB71-AL70),"")</f>
        <v/>
      </c>
    </row>
    <row r="72">
      <c r="A72" t="n">
        <v>1776417302</v>
      </c>
      <c r="B72" t="inlineStr">
        <is>
          <t>XAUUSD</t>
        </is>
      </c>
      <c r="C72" t="inlineStr">
        <is>
          <t>M15</t>
        </is>
      </c>
      <c r="D72" t="n">
        <v>4795.93</v>
      </c>
      <c r="E72" t="n">
        <v>4518.59282</v>
      </c>
      <c r="F72" t="n">
        <v>4596.05595</v>
      </c>
      <c r="G72" t="n">
        <v>4755.40355</v>
      </c>
      <c r="H72" t="n">
        <v>4792.76972</v>
      </c>
      <c r="Q72" t="n">
        <v>4798.90544</v>
      </c>
      <c r="R72" t="n">
        <v>4828.26874</v>
      </c>
      <c r="S72" t="n">
        <v>4854.85751</v>
      </c>
      <c r="V72" t="n">
        <v>4763.96567</v>
      </c>
      <c r="W72" t="n">
        <v>4730.40068</v>
      </c>
      <c r="AB72" t="n">
        <v>4794.68958</v>
      </c>
      <c r="AC72" t="n">
        <v>4793.89933</v>
      </c>
      <c r="AD72" t="n">
        <v>0</v>
      </c>
      <c r="AE72">
        <f>AE71+1</f>
        <v/>
      </c>
      <c r="AF72">
        <f>AF71+1</f>
        <v/>
      </c>
      <c r="AG72">
        <f>D72-Q72</f>
        <v/>
      </c>
      <c r="AH72">
        <f>AG72^2</f>
        <v/>
      </c>
      <c r="AI72">
        <f>(AG72/STDEV($AG$3:$AG$1137))^3</f>
        <v/>
      </c>
      <c r="AJ72">
        <f>(AG72/STDEV($AG$3:$AG$1137))^4</f>
        <v/>
      </c>
      <c r="AK72">
        <f>AF72^2</f>
        <v/>
      </c>
      <c r="AL72">
        <f>IF(AD72=1,AB72,IF(AL71&lt;&gt;"",AL71,""))</f>
        <v/>
      </c>
      <c r="AM72">
        <f>IF(AND(AD72=1,AL71&lt;&gt;""),ABS(AB72-AL71),"")</f>
        <v/>
      </c>
    </row>
    <row r="73">
      <c r="A73" t="n">
        <v>1776418202</v>
      </c>
      <c r="B73" t="inlineStr">
        <is>
          <t>XAUUSD</t>
        </is>
      </c>
      <c r="C73" t="inlineStr">
        <is>
          <t>M15</t>
        </is>
      </c>
      <c r="D73" t="n">
        <v>4794.67</v>
      </c>
      <c r="E73" t="n">
        <v>4518.59282</v>
      </c>
      <c r="F73" t="n">
        <v>4596.05595</v>
      </c>
      <c r="G73" t="n">
        <v>4755.40355</v>
      </c>
      <c r="H73" t="n">
        <v>4792.76972</v>
      </c>
      <c r="Q73" t="n">
        <v>4798.63784</v>
      </c>
      <c r="R73" t="n">
        <v>4828.00114</v>
      </c>
      <c r="S73" t="n">
        <v>4854.58991</v>
      </c>
      <c r="V73" t="n">
        <v>4763.69807</v>
      </c>
      <c r="W73" t="n">
        <v>4730.13307</v>
      </c>
      <c r="AB73" t="n">
        <v>4794.17982</v>
      </c>
      <c r="AC73" t="n">
        <v>4794.03958</v>
      </c>
      <c r="AD73" t="n">
        <v>0</v>
      </c>
      <c r="AE73">
        <f>AE72+1</f>
        <v/>
      </c>
      <c r="AF73">
        <f>AF72+1</f>
        <v/>
      </c>
      <c r="AG73">
        <f>D73-Q73</f>
        <v/>
      </c>
      <c r="AH73">
        <f>AG73^2</f>
        <v/>
      </c>
      <c r="AI73">
        <f>(AG73/STDEV($AG$3:$AG$1137))^3</f>
        <v/>
      </c>
      <c r="AJ73">
        <f>(AG73/STDEV($AG$3:$AG$1137))^4</f>
        <v/>
      </c>
      <c r="AK73">
        <f>AF73^2</f>
        <v/>
      </c>
      <c r="AL73">
        <f>IF(AD73=1,AB73,IF(AL72&lt;&gt;"",AL72,""))</f>
        <v/>
      </c>
      <c r="AM73">
        <f>IF(AND(AD73=1,AL72&lt;&gt;""),ABS(AB73-AL72),"")</f>
        <v/>
      </c>
    </row>
    <row r="74">
      <c r="A74" t="n">
        <v>1776419102</v>
      </c>
      <c r="B74" t="inlineStr">
        <is>
          <t>XAUUSD</t>
        </is>
      </c>
      <c r="C74" t="inlineStr">
        <is>
          <t>M15</t>
        </is>
      </c>
      <c r="D74" t="n">
        <v>4790.39</v>
      </c>
      <c r="E74" t="n">
        <v>4518.59282</v>
      </c>
      <c r="F74" t="n">
        <v>4596.05595</v>
      </c>
      <c r="G74" t="n">
        <v>4755.40355</v>
      </c>
      <c r="H74" t="n">
        <v>4792.76972</v>
      </c>
      <c r="Q74" t="n">
        <v>4798.37024</v>
      </c>
      <c r="R74" t="n">
        <v>4827.73354</v>
      </c>
      <c r="S74" t="n">
        <v>4854.32231</v>
      </c>
      <c r="V74" t="n">
        <v>4763.43047</v>
      </c>
      <c r="W74" t="n">
        <v>4729.86547</v>
      </c>
      <c r="AB74" t="n">
        <v>4792.92581</v>
      </c>
      <c r="AC74" t="n">
        <v>4793.48269</v>
      </c>
      <c r="AD74" t="n">
        <v>1</v>
      </c>
      <c r="AE74">
        <f>AE73+1</f>
        <v/>
      </c>
      <c r="AF74">
        <f>AF73+1</f>
        <v/>
      </c>
      <c r="AG74">
        <f>D74-Q74</f>
        <v/>
      </c>
      <c r="AH74">
        <f>AG74^2</f>
        <v/>
      </c>
      <c r="AI74">
        <f>(AG74/STDEV($AG$3:$AG$1137))^3</f>
        <v/>
      </c>
      <c r="AJ74">
        <f>(AG74/STDEV($AG$3:$AG$1137))^4</f>
        <v/>
      </c>
      <c r="AK74">
        <f>AF74^2</f>
        <v/>
      </c>
      <c r="AL74">
        <f>IF(AD74=1,AB74,IF(AL73&lt;&gt;"",AL73,""))</f>
        <v/>
      </c>
      <c r="AM74">
        <f>IF(AND(AD74=1,AL73&lt;&gt;""),ABS(AB74-AL73),"")</f>
        <v/>
      </c>
    </row>
    <row r="75">
      <c r="A75" t="n">
        <v>1776420002</v>
      </c>
      <c r="B75" t="inlineStr">
        <is>
          <t>XAUUSD</t>
        </is>
      </c>
      <c r="C75" t="inlineStr">
        <is>
          <t>M15</t>
        </is>
      </c>
      <c r="D75" t="n">
        <v>4791.33</v>
      </c>
      <c r="E75" t="n">
        <v>4518.59282</v>
      </c>
      <c r="F75" t="n">
        <v>4596.05595</v>
      </c>
      <c r="G75" t="n">
        <v>4755.40355</v>
      </c>
      <c r="H75" t="n">
        <v>4792.76972</v>
      </c>
      <c r="Q75" t="n">
        <v>4798.10263</v>
      </c>
      <c r="R75" t="n">
        <v>4827.46593</v>
      </c>
      <c r="S75" t="n">
        <v>4854.0547</v>
      </c>
      <c r="V75" t="n">
        <v>4763.16286</v>
      </c>
      <c r="W75" t="n">
        <v>4729.59787</v>
      </c>
      <c r="AB75" t="n">
        <v>4791.19144</v>
      </c>
      <c r="AC75" t="n">
        <v>4792.33706</v>
      </c>
      <c r="AD75" t="n">
        <v>0</v>
      </c>
      <c r="AE75">
        <f>AE74+1</f>
        <v/>
      </c>
      <c r="AF75">
        <f>AF74+1</f>
        <v/>
      </c>
      <c r="AG75">
        <f>D75-Q75</f>
        <v/>
      </c>
      <c r="AH75">
        <f>AG75^2</f>
        <v/>
      </c>
      <c r="AI75">
        <f>(AG75/STDEV($AG$3:$AG$1137))^3</f>
        <v/>
      </c>
      <c r="AJ75">
        <f>(AG75/STDEV($AG$3:$AG$1137))^4</f>
        <v/>
      </c>
      <c r="AK75">
        <f>AF75^2</f>
        <v/>
      </c>
      <c r="AL75">
        <f>IF(AD75=1,AB75,IF(AL74&lt;&gt;"",AL74,""))</f>
        <v/>
      </c>
      <c r="AM75">
        <f>IF(AND(AD75=1,AL74&lt;&gt;""),ABS(AB75-AL74),"")</f>
        <v/>
      </c>
    </row>
    <row r="76">
      <c r="A76" t="n">
        <v>1776420902</v>
      </c>
      <c r="B76" t="inlineStr">
        <is>
          <t>XAUUSD</t>
        </is>
      </c>
      <c r="C76" t="inlineStr">
        <is>
          <t>M15</t>
        </is>
      </c>
      <c r="D76" t="n">
        <v>4789.59</v>
      </c>
      <c r="E76" t="n">
        <v>4518.59282</v>
      </c>
      <c r="F76" t="n">
        <v>4596.05595</v>
      </c>
      <c r="G76" t="n">
        <v>4755.40355</v>
      </c>
      <c r="H76" t="n">
        <v>4792.76972</v>
      </c>
      <c r="Q76" t="n">
        <v>4797.83503</v>
      </c>
      <c r="R76" t="n">
        <v>4827.19833</v>
      </c>
      <c r="S76" t="n">
        <v>4853.7871</v>
      </c>
      <c r="V76" t="n">
        <v>4762.89526</v>
      </c>
      <c r="W76" t="n">
        <v>4729.33026</v>
      </c>
      <c r="AB76" t="n">
        <v>4789.21106</v>
      </c>
      <c r="AC76" t="n">
        <v>4790.77406</v>
      </c>
      <c r="AD76" t="n">
        <v>0</v>
      </c>
      <c r="AE76">
        <f>AE75+1</f>
        <v/>
      </c>
      <c r="AF76">
        <f>AF75+1</f>
        <v/>
      </c>
      <c r="AG76">
        <f>D76-Q76</f>
        <v/>
      </c>
      <c r="AH76">
        <f>AG76^2</f>
        <v/>
      </c>
      <c r="AI76">
        <f>(AG76/STDEV($AG$3:$AG$1137))^3</f>
        <v/>
      </c>
      <c r="AJ76">
        <f>(AG76/STDEV($AG$3:$AG$1137))^4</f>
        <v/>
      </c>
      <c r="AK76">
        <f>AF76^2</f>
        <v/>
      </c>
      <c r="AL76">
        <f>IF(AD76=1,AB76,IF(AL75&lt;&gt;"",AL75,""))</f>
        <v/>
      </c>
      <c r="AM76">
        <f>IF(AND(AD76=1,AL75&lt;&gt;""),ABS(AB76-AL75),"")</f>
        <v/>
      </c>
    </row>
    <row r="77">
      <c r="A77" t="n">
        <v>1776421802</v>
      </c>
      <c r="B77" t="inlineStr">
        <is>
          <t>XAUUSD</t>
        </is>
      </c>
      <c r="C77" t="inlineStr">
        <is>
          <t>M15</t>
        </is>
      </c>
      <c r="D77" t="n">
        <v>4784.95</v>
      </c>
      <c r="E77" t="n">
        <v>4518.59282</v>
      </c>
      <c r="F77" t="n">
        <v>4596.05595</v>
      </c>
      <c r="G77" t="n">
        <v>4755.40355</v>
      </c>
      <c r="H77" t="n">
        <v>4792.76972</v>
      </c>
      <c r="Q77" t="n">
        <v>4797.56742</v>
      </c>
      <c r="R77" t="n">
        <v>4826.93072</v>
      </c>
      <c r="S77" t="n">
        <v>4853.51949</v>
      </c>
      <c r="V77" t="n">
        <v>4762.62765</v>
      </c>
      <c r="W77" t="n">
        <v>4729.06266</v>
      </c>
      <c r="AB77" t="n">
        <v>4787.42769</v>
      </c>
      <c r="AC77" t="n">
        <v>4789.10088</v>
      </c>
      <c r="AD77" t="n">
        <v>0</v>
      </c>
      <c r="AE77">
        <f>AE76+1</f>
        <v/>
      </c>
      <c r="AF77">
        <f>AF76+1</f>
        <v/>
      </c>
      <c r="AG77">
        <f>D77-Q77</f>
        <v/>
      </c>
      <c r="AH77">
        <f>AG77^2</f>
        <v/>
      </c>
      <c r="AI77">
        <f>(AG77/STDEV($AG$3:$AG$1137))^3</f>
        <v/>
      </c>
      <c r="AJ77">
        <f>(AG77/STDEV($AG$3:$AG$1137))^4</f>
        <v/>
      </c>
      <c r="AK77">
        <f>AF77^2</f>
        <v/>
      </c>
      <c r="AL77">
        <f>IF(AD77=1,AB77,IF(AL76&lt;&gt;"",AL76,""))</f>
        <v/>
      </c>
      <c r="AM77">
        <f>IF(AND(AD77=1,AL76&lt;&gt;""),ABS(AB77-AL76),"")</f>
        <v/>
      </c>
    </row>
    <row r="78">
      <c r="A78" t="n">
        <v>1776422702</v>
      </c>
      <c r="B78" t="inlineStr">
        <is>
          <t>XAUUSD</t>
        </is>
      </c>
      <c r="C78" t="inlineStr">
        <is>
          <t>M15</t>
        </is>
      </c>
      <c r="D78" t="n">
        <v>4787.41</v>
      </c>
      <c r="E78" t="n">
        <v>4518.59282</v>
      </c>
      <c r="F78" t="n">
        <v>4596.05595</v>
      </c>
      <c r="G78" t="n">
        <v>4755.40355</v>
      </c>
      <c r="H78" t="n">
        <v>4792.76972</v>
      </c>
      <c r="Q78" t="n">
        <v>4797.29982</v>
      </c>
      <c r="R78" t="n">
        <v>4826.66312</v>
      </c>
      <c r="S78" t="n">
        <v>4853.25189</v>
      </c>
      <c r="V78" t="n">
        <v>4762.36005</v>
      </c>
      <c r="W78" t="n">
        <v>4728.79505</v>
      </c>
      <c r="AB78" t="n">
        <v>4786.46729</v>
      </c>
      <c r="AC78" t="n">
        <v>4787.78408</v>
      </c>
      <c r="AD78" t="n">
        <v>0</v>
      </c>
      <c r="AE78">
        <f>AE77+1</f>
        <v/>
      </c>
      <c r="AF78">
        <f>AF77+1</f>
        <v/>
      </c>
      <c r="AG78">
        <f>D78-Q78</f>
        <v/>
      </c>
      <c r="AH78">
        <f>AG78^2</f>
        <v/>
      </c>
      <c r="AI78">
        <f>(AG78/STDEV($AG$3:$AG$1137))^3</f>
        <v/>
      </c>
      <c r="AJ78">
        <f>(AG78/STDEV($AG$3:$AG$1137))^4</f>
        <v/>
      </c>
      <c r="AK78">
        <f>AF78^2</f>
        <v/>
      </c>
      <c r="AL78">
        <f>IF(AD78=1,AB78,IF(AL77&lt;&gt;"",AL77,""))</f>
        <v/>
      </c>
      <c r="AM78">
        <f>IF(AND(AD78=1,AL77&lt;&gt;""),ABS(AB78-AL77),"")</f>
        <v/>
      </c>
    </row>
    <row r="79">
      <c r="A79" t="n">
        <v>1776423602</v>
      </c>
      <c r="B79" t="inlineStr">
        <is>
          <t>XAUUSD</t>
        </is>
      </c>
      <c r="C79" t="inlineStr">
        <is>
          <t>M15</t>
        </is>
      </c>
      <c r="D79" t="n">
        <v>4786.45</v>
      </c>
      <c r="E79" t="n">
        <v>4518.59282</v>
      </c>
      <c r="F79" t="n">
        <v>4596.05595</v>
      </c>
      <c r="G79" t="n">
        <v>4755.40355</v>
      </c>
      <c r="H79" t="n">
        <v>4792.76972</v>
      </c>
      <c r="Q79" t="n">
        <v>4797.03222</v>
      </c>
      <c r="R79" t="n">
        <v>4826.39551</v>
      </c>
      <c r="S79" t="n">
        <v>4852.98429</v>
      </c>
      <c r="V79" t="n">
        <v>4762.09245</v>
      </c>
      <c r="W79" t="n">
        <v>4728.52745</v>
      </c>
      <c r="AB79" t="n">
        <v>4786.84013</v>
      </c>
      <c r="AC79" t="n">
        <v>4787.3121</v>
      </c>
      <c r="AD79" t="n">
        <v>0</v>
      </c>
      <c r="AE79">
        <f>AE78+1</f>
        <v/>
      </c>
      <c r="AF79">
        <f>AF78+1</f>
        <v/>
      </c>
      <c r="AG79">
        <f>D79-Q79</f>
        <v/>
      </c>
      <c r="AH79">
        <f>AG79^2</f>
        <v/>
      </c>
      <c r="AI79">
        <f>(AG79/STDEV($AG$3:$AG$1137))^3</f>
        <v/>
      </c>
      <c r="AJ79">
        <f>(AG79/STDEV($AG$3:$AG$1137))^4</f>
        <v/>
      </c>
      <c r="AK79">
        <f>AF79^2</f>
        <v/>
      </c>
      <c r="AL79">
        <f>IF(AD79=1,AB79,IF(AL78&lt;&gt;"",AL78,""))</f>
        <v/>
      </c>
      <c r="AM79">
        <f>IF(AND(AD79=1,AL78&lt;&gt;""),ABS(AB79-AL78),"")</f>
        <v/>
      </c>
    </row>
    <row r="80">
      <c r="A80" t="n">
        <v>1776424502</v>
      </c>
      <c r="B80" t="inlineStr">
        <is>
          <t>XAUUSD</t>
        </is>
      </c>
      <c r="C80" t="inlineStr">
        <is>
          <t>M15</t>
        </is>
      </c>
      <c r="D80" t="n">
        <v>4793.07</v>
      </c>
      <c r="E80" t="n">
        <v>4518.59282</v>
      </c>
      <c r="F80" t="n">
        <v>4596.05595</v>
      </c>
      <c r="G80" t="n">
        <v>4755.40355</v>
      </c>
      <c r="H80" t="n">
        <v>4792.76972</v>
      </c>
      <c r="Q80" t="n">
        <v>4796.76461</v>
      </c>
      <c r="R80" t="n">
        <v>4826.12791</v>
      </c>
      <c r="S80" t="n">
        <v>4852.71668</v>
      </c>
      <c r="V80" t="n">
        <v>4761.82484</v>
      </c>
      <c r="W80" t="n">
        <v>4728.25985</v>
      </c>
      <c r="AB80" t="n">
        <v>4789.13598</v>
      </c>
      <c r="AC80" t="n">
        <v>4788.22404</v>
      </c>
      <c r="AD80" t="n">
        <v>1</v>
      </c>
      <c r="AE80">
        <f>AE79+1</f>
        <v/>
      </c>
      <c r="AF80">
        <f>AF79+1</f>
        <v/>
      </c>
      <c r="AG80">
        <f>D80-Q80</f>
        <v/>
      </c>
      <c r="AH80">
        <f>AG80^2</f>
        <v/>
      </c>
      <c r="AI80">
        <f>(AG80/STDEV($AG$3:$AG$1137))^3</f>
        <v/>
      </c>
      <c r="AJ80">
        <f>(AG80/STDEV($AG$3:$AG$1137))^4</f>
        <v/>
      </c>
      <c r="AK80">
        <f>AF80^2</f>
        <v/>
      </c>
      <c r="AL80">
        <f>IF(AD80=1,AB80,IF(AL79&lt;&gt;"",AL79,""))</f>
        <v/>
      </c>
      <c r="AM80">
        <f>IF(AND(AD80=1,AL79&lt;&gt;""),ABS(AB80-AL79),"")</f>
        <v/>
      </c>
    </row>
    <row r="81">
      <c r="A81" t="n">
        <v>1776425402</v>
      </c>
      <c r="B81" t="inlineStr">
        <is>
          <t>XAUUSD</t>
        </is>
      </c>
      <c r="C81" t="inlineStr">
        <is>
          <t>M15</t>
        </is>
      </c>
      <c r="D81" t="n">
        <v>4798.64</v>
      </c>
      <c r="E81" t="n">
        <v>4518.59282</v>
      </c>
      <c r="F81" t="n">
        <v>4596.05595</v>
      </c>
      <c r="G81" t="n">
        <v>4755.40355</v>
      </c>
      <c r="H81" t="n">
        <v>4792.76972</v>
      </c>
      <c r="Q81" t="n">
        <v>4796.49701</v>
      </c>
      <c r="R81" t="n">
        <v>4825.86031</v>
      </c>
      <c r="S81" t="n">
        <v>4852.44908</v>
      </c>
      <c r="V81" t="n">
        <v>4761.55724</v>
      </c>
      <c r="W81" t="n">
        <v>4727.99224</v>
      </c>
      <c r="AB81" t="n">
        <v>4793.64663</v>
      </c>
      <c r="AC81" t="n">
        <v>4790.93534</v>
      </c>
      <c r="AD81" t="n">
        <v>0</v>
      </c>
      <c r="AE81">
        <f>AE80+1</f>
        <v/>
      </c>
      <c r="AF81">
        <f>AF80+1</f>
        <v/>
      </c>
      <c r="AG81">
        <f>D81-Q81</f>
        <v/>
      </c>
      <c r="AH81">
        <f>AG81^2</f>
        <v/>
      </c>
      <c r="AI81">
        <f>(AG81/STDEV($AG$3:$AG$1137))^3</f>
        <v/>
      </c>
      <c r="AJ81">
        <f>(AG81/STDEV($AG$3:$AG$1137))^4</f>
        <v/>
      </c>
      <c r="AK81">
        <f>AF81^2</f>
        <v/>
      </c>
      <c r="AL81">
        <f>IF(AD81=1,AB81,IF(AL80&lt;&gt;"",AL80,""))</f>
        <v/>
      </c>
      <c r="AM81">
        <f>IF(AND(AD81=1,AL80&lt;&gt;""),ABS(AB81-AL80),"")</f>
        <v/>
      </c>
    </row>
    <row r="82">
      <c r="A82" t="n">
        <v>1776426302</v>
      </c>
      <c r="B82" t="inlineStr">
        <is>
          <t>XAUUSD</t>
        </is>
      </c>
      <c r="C82" t="inlineStr">
        <is>
          <t>M15</t>
        </is>
      </c>
      <c r="D82" t="n">
        <v>4799.19</v>
      </c>
      <c r="E82" t="n">
        <v>4518.59282</v>
      </c>
      <c r="F82" t="n">
        <v>4596.05595</v>
      </c>
      <c r="G82" t="n">
        <v>4755.40355</v>
      </c>
      <c r="H82" t="n">
        <v>4792.76972</v>
      </c>
      <c r="Q82" t="n">
        <v>4796.2294</v>
      </c>
      <c r="R82" t="n">
        <v>4825.5927</v>
      </c>
      <c r="S82" t="n">
        <v>4852.18147</v>
      </c>
      <c r="V82" t="n">
        <v>4761.28963</v>
      </c>
      <c r="W82" t="n">
        <v>4727.72464</v>
      </c>
      <c r="AB82" t="n">
        <v>4800.49579</v>
      </c>
      <c r="AC82" t="n">
        <v>4795.71557</v>
      </c>
      <c r="AD82" t="n">
        <v>0</v>
      </c>
      <c r="AE82">
        <f>AE81+1</f>
        <v/>
      </c>
      <c r="AF82">
        <f>AF81+1</f>
        <v/>
      </c>
      <c r="AG82">
        <f>D82-Q82</f>
        <v/>
      </c>
      <c r="AH82">
        <f>AG82^2</f>
        <v/>
      </c>
      <c r="AI82">
        <f>(AG82/STDEV($AG$3:$AG$1137))^3</f>
        <v/>
      </c>
      <c r="AJ82">
        <f>(AG82/STDEV($AG$3:$AG$1137))^4</f>
        <v/>
      </c>
      <c r="AK82">
        <f>AF82^2</f>
        <v/>
      </c>
      <c r="AL82">
        <f>IF(AD82=1,AB82,IF(AL81&lt;&gt;"",AL81,""))</f>
        <v/>
      </c>
      <c r="AM82">
        <f>IF(AND(AD82=1,AL81&lt;&gt;""),ABS(AB82-AL81),"")</f>
        <v/>
      </c>
    </row>
    <row r="83">
      <c r="A83" t="n">
        <v>1776427202</v>
      </c>
      <c r="B83" t="inlineStr">
        <is>
          <t>XAUUSD</t>
        </is>
      </c>
      <c r="C83" t="inlineStr">
        <is>
          <t>M15</t>
        </is>
      </c>
      <c r="D83" t="n">
        <v>4803.86</v>
      </c>
      <c r="E83" t="n">
        <v>4518.59282</v>
      </c>
      <c r="F83" t="n">
        <v>4596.05595</v>
      </c>
      <c r="G83" t="n">
        <v>4755.40355</v>
      </c>
      <c r="H83" t="n">
        <v>4792.76972</v>
      </c>
      <c r="Q83" t="n">
        <v>4795.9618</v>
      </c>
      <c r="R83" t="n">
        <v>4825.3251</v>
      </c>
      <c r="S83" t="n">
        <v>4851.91387</v>
      </c>
      <c r="V83" t="n">
        <v>4761.02203</v>
      </c>
      <c r="W83" t="n">
        <v>4727.45703</v>
      </c>
      <c r="AB83" t="n">
        <v>4809.6919</v>
      </c>
      <c r="AC83" t="n">
        <v>4802.70373</v>
      </c>
      <c r="AD83" t="n">
        <v>0</v>
      </c>
      <c r="AE83">
        <f>AE82+1</f>
        <v/>
      </c>
      <c r="AF83">
        <f>AF82+1</f>
        <v/>
      </c>
      <c r="AG83">
        <f>D83-Q83</f>
        <v/>
      </c>
      <c r="AH83">
        <f>AG83^2</f>
        <v/>
      </c>
      <c r="AI83">
        <f>(AG83/STDEV($AG$3:$AG$1137))^3</f>
        <v/>
      </c>
      <c r="AJ83">
        <f>(AG83/STDEV($AG$3:$AG$1137))^4</f>
        <v/>
      </c>
      <c r="AK83">
        <f>AF83^2</f>
        <v/>
      </c>
      <c r="AL83">
        <f>IF(AD83=1,AB83,IF(AL82&lt;&gt;"",AL82,""))</f>
        <v/>
      </c>
      <c r="AM83">
        <f>IF(AND(AD83=1,AL82&lt;&gt;""),ABS(AB83-AL82),"")</f>
        <v/>
      </c>
    </row>
    <row r="84">
      <c r="A84" t="n">
        <v>1776428102</v>
      </c>
      <c r="B84" t="inlineStr">
        <is>
          <t>XAUUSD</t>
        </is>
      </c>
      <c r="C84" t="inlineStr">
        <is>
          <t>M15</t>
        </is>
      </c>
      <c r="D84" t="n">
        <v>4816.87</v>
      </c>
      <c r="E84" t="n">
        <v>4518.59282</v>
      </c>
      <c r="F84" t="n">
        <v>4596.05595</v>
      </c>
      <c r="G84" t="n">
        <v>4755.40355</v>
      </c>
      <c r="H84" t="n">
        <v>4792.76972</v>
      </c>
      <c r="Q84" t="n">
        <v>4795.6942</v>
      </c>
      <c r="R84" t="n">
        <v>4825.05749</v>
      </c>
      <c r="S84" t="n">
        <v>4851.64627</v>
      </c>
      <c r="V84" t="n">
        <v>4760.75443</v>
      </c>
      <c r="W84" t="n">
        <v>4727.18943</v>
      </c>
      <c r="AB84" t="n">
        <v>4820.81248</v>
      </c>
      <c r="AC84" t="n">
        <v>4811.75811</v>
      </c>
      <c r="AD84" t="n">
        <v>0</v>
      </c>
      <c r="AE84">
        <f>AE83+1</f>
        <v/>
      </c>
      <c r="AF84">
        <f>AF83+1</f>
        <v/>
      </c>
      <c r="AG84">
        <f>D84-Q84</f>
        <v/>
      </c>
      <c r="AH84">
        <f>AG84^2</f>
        <v/>
      </c>
      <c r="AI84">
        <f>(AG84/STDEV($AG$3:$AG$1137))^3</f>
        <v/>
      </c>
      <c r="AJ84">
        <f>(AG84/STDEV($AG$3:$AG$1137))^4</f>
        <v/>
      </c>
      <c r="AK84">
        <f>AF84^2</f>
        <v/>
      </c>
      <c r="AL84">
        <f>IF(AD84=1,AB84,IF(AL83&lt;&gt;"",AL83,""))</f>
        <v/>
      </c>
      <c r="AM84">
        <f>IF(AND(AD84=1,AL83&lt;&gt;""),ABS(AB84-AL83),"")</f>
        <v/>
      </c>
    </row>
    <row r="85">
      <c r="A85" t="n">
        <v>1776429002</v>
      </c>
      <c r="B85" t="inlineStr">
        <is>
          <t>XAUUSD</t>
        </is>
      </c>
      <c r="C85" t="inlineStr">
        <is>
          <t>M15</t>
        </is>
      </c>
      <c r="D85" t="n">
        <v>4823.45</v>
      </c>
      <c r="E85" t="n">
        <v>4518.59282</v>
      </c>
      <c r="F85" t="n">
        <v>4596.05595</v>
      </c>
      <c r="G85" t="n">
        <v>4755.40355</v>
      </c>
      <c r="H85" t="n">
        <v>4792.76972</v>
      </c>
      <c r="Q85" t="n">
        <v>4795.42659</v>
      </c>
      <c r="R85" t="n">
        <v>4824.78989</v>
      </c>
      <c r="S85" t="n">
        <v>4851.37866</v>
      </c>
      <c r="V85" t="n">
        <v>4760.48682</v>
      </c>
      <c r="W85" t="n">
        <v>4726.92182</v>
      </c>
      <c r="AB85" t="n">
        <v>4832.94049</v>
      </c>
      <c r="AC85" t="n">
        <v>4822.3493</v>
      </c>
      <c r="AD85" t="n">
        <v>0</v>
      </c>
      <c r="AE85">
        <f>AE84+1</f>
        <v/>
      </c>
      <c r="AF85">
        <f>AF84+1</f>
        <v/>
      </c>
      <c r="AG85">
        <f>D85-Q85</f>
        <v/>
      </c>
      <c r="AH85">
        <f>AG85^2</f>
        <v/>
      </c>
      <c r="AI85">
        <f>(AG85/STDEV($AG$3:$AG$1137))^3</f>
        <v/>
      </c>
      <c r="AJ85">
        <f>(AG85/STDEV($AG$3:$AG$1137))^4</f>
        <v/>
      </c>
      <c r="AK85">
        <f>AF85^2</f>
        <v/>
      </c>
      <c r="AL85">
        <f>IF(AD85=1,AB85,IF(AL84&lt;&gt;"",AL84,""))</f>
        <v/>
      </c>
      <c r="AM85">
        <f>IF(AND(AD85=1,AL84&lt;&gt;""),ABS(AB85-AL84),"")</f>
        <v/>
      </c>
    </row>
    <row r="86">
      <c r="A86" t="n">
        <v>1776429902</v>
      </c>
      <c r="B86" t="inlineStr">
        <is>
          <t>XAUUSD</t>
        </is>
      </c>
      <c r="C86" t="inlineStr">
        <is>
          <t>M15</t>
        </is>
      </c>
      <c r="D86" t="n">
        <v>4846.75</v>
      </c>
      <c r="E86" t="n">
        <v>4518.59282</v>
      </c>
      <c r="F86" t="n">
        <v>4596.05595</v>
      </c>
      <c r="G86" t="n">
        <v>4755.40355</v>
      </c>
      <c r="H86" t="n">
        <v>4792.76972</v>
      </c>
      <c r="Q86" t="n">
        <v>4795.15899</v>
      </c>
      <c r="R86" t="n">
        <v>4824.52229</v>
      </c>
      <c r="S86" t="n">
        <v>4851.11106</v>
      </c>
      <c r="V86" t="n">
        <v>4760.21922</v>
      </c>
      <c r="W86" t="n">
        <v>4726.65422</v>
      </c>
      <c r="AB86" t="n">
        <v>4845.15343</v>
      </c>
      <c r="AC86" t="n">
        <v>4833.75136</v>
      </c>
      <c r="AD86" t="n">
        <v>0</v>
      </c>
      <c r="AE86">
        <f>AE85+1</f>
        <v/>
      </c>
      <c r="AF86">
        <f>AF85+1</f>
        <v/>
      </c>
      <c r="AG86">
        <f>D86-Q86</f>
        <v/>
      </c>
      <c r="AH86">
        <f>AG86^2</f>
        <v/>
      </c>
      <c r="AI86">
        <f>(AG86/STDEV($AG$3:$AG$1137))^3</f>
        <v/>
      </c>
      <c r="AJ86">
        <f>(AG86/STDEV($AG$3:$AG$1137))^4</f>
        <v/>
      </c>
      <c r="AK86">
        <f>AF86^2</f>
        <v/>
      </c>
      <c r="AL86">
        <f>IF(AD86=1,AB86,IF(AL85&lt;&gt;"",AL85,""))</f>
        <v/>
      </c>
      <c r="AM86">
        <f>IF(AND(AD86=1,AL85&lt;&gt;""),ABS(AB86-AL85),"")</f>
        <v/>
      </c>
    </row>
    <row r="87">
      <c r="A87" t="n">
        <v>1776430802</v>
      </c>
      <c r="B87" t="inlineStr">
        <is>
          <t>XAUUSD</t>
        </is>
      </c>
      <c r="C87" t="inlineStr">
        <is>
          <t>M15</t>
        </is>
      </c>
      <c r="D87" t="n">
        <v>4883.6</v>
      </c>
      <c r="E87" t="n">
        <v>4518.59282</v>
      </c>
      <c r="F87" t="n">
        <v>4596.05595</v>
      </c>
      <c r="G87" t="n">
        <v>4755.40355</v>
      </c>
      <c r="H87" t="n">
        <v>4792.76972</v>
      </c>
      <c r="Q87" t="n">
        <v>4794.89138</v>
      </c>
      <c r="R87" t="n">
        <v>4824.25468</v>
      </c>
      <c r="S87" t="n">
        <v>4850.84345</v>
      </c>
      <c r="V87" t="n">
        <v>4759.95161</v>
      </c>
      <c r="W87" t="n">
        <v>4726.38662</v>
      </c>
      <c r="Z87" t="n">
        <v>4889.21</v>
      </c>
      <c r="AB87" t="n">
        <v>4856.03101</v>
      </c>
      <c r="AC87" t="n">
        <v>4844.89119</v>
      </c>
      <c r="AD87" t="n">
        <v>0</v>
      </c>
      <c r="AE87">
        <f>AE86+1</f>
        <v/>
      </c>
      <c r="AF87">
        <f>AF86+1</f>
        <v/>
      </c>
      <c r="AG87">
        <f>D87-Q87</f>
        <v/>
      </c>
      <c r="AH87">
        <f>AG87^2</f>
        <v/>
      </c>
      <c r="AI87">
        <f>(AG87/STDEV($AG$3:$AG$1137))^3</f>
        <v/>
      </c>
      <c r="AJ87">
        <f>(AG87/STDEV($AG$3:$AG$1137))^4</f>
        <v/>
      </c>
      <c r="AK87">
        <f>AF87^2</f>
        <v/>
      </c>
      <c r="AL87">
        <f>IF(AD87=1,AB87,IF(AL86&lt;&gt;"",AL86,""))</f>
        <v/>
      </c>
      <c r="AM87">
        <f>IF(AND(AD87=1,AL86&lt;&gt;""),ABS(AB87-AL86),"")</f>
        <v/>
      </c>
    </row>
    <row r="88">
      <c r="A88" t="n">
        <v>1776431702</v>
      </c>
      <c r="B88" t="inlineStr">
        <is>
          <t>XAUUSD</t>
        </is>
      </c>
      <c r="C88" t="inlineStr">
        <is>
          <t>M15</t>
        </is>
      </c>
      <c r="D88" t="n">
        <v>4851.59</v>
      </c>
      <c r="E88" t="n">
        <v>4518.59282</v>
      </c>
      <c r="F88" t="n">
        <v>4596.05595</v>
      </c>
      <c r="G88" t="n">
        <v>4755.40355</v>
      </c>
      <c r="H88" t="n">
        <v>4792.76972</v>
      </c>
      <c r="Q88" t="n">
        <v>4794.62378</v>
      </c>
      <c r="R88" t="n">
        <v>4823.98708</v>
      </c>
      <c r="S88" t="n">
        <v>4850.57585</v>
      </c>
      <c r="V88" t="n">
        <v>4759.68401</v>
      </c>
      <c r="W88" t="n">
        <v>4726.11901</v>
      </c>
      <c r="AB88" t="n">
        <v>4864.02056</v>
      </c>
      <c r="AC88" t="n">
        <v>4854.45587</v>
      </c>
      <c r="AD88" t="n">
        <v>0</v>
      </c>
      <c r="AE88">
        <f>AE87+1</f>
        <v/>
      </c>
      <c r="AF88">
        <f>AF87+1</f>
        <v/>
      </c>
      <c r="AG88">
        <f>D88-Q88</f>
        <v/>
      </c>
      <c r="AH88">
        <f>AG88^2</f>
        <v/>
      </c>
      <c r="AI88">
        <f>(AG88/STDEV($AG$3:$AG$1137))^3</f>
        <v/>
      </c>
      <c r="AJ88">
        <f>(AG88/STDEV($AG$3:$AG$1137))^4</f>
        <v/>
      </c>
      <c r="AK88">
        <f>AF88^2</f>
        <v/>
      </c>
      <c r="AL88">
        <f>IF(AD88=1,AB88,IF(AL87&lt;&gt;"",AL87,""))</f>
        <v/>
      </c>
      <c r="AM88">
        <f>IF(AND(AD88=1,AL87&lt;&gt;""),ABS(AB88-AL87),"")</f>
        <v/>
      </c>
    </row>
    <row r="89">
      <c r="A89" t="n">
        <v>1776432602</v>
      </c>
      <c r="B89" t="inlineStr">
        <is>
          <t>XAUUSD</t>
        </is>
      </c>
      <c r="C89" t="inlineStr">
        <is>
          <t>M15</t>
        </is>
      </c>
      <c r="D89" t="n">
        <v>4864.42</v>
      </c>
      <c r="E89" t="n">
        <v>4518.59282</v>
      </c>
      <c r="F89" t="n">
        <v>4596.05595</v>
      </c>
      <c r="G89" t="n">
        <v>4755.40355</v>
      </c>
      <c r="H89" t="n">
        <v>4792.76972</v>
      </c>
      <c r="Q89" t="n">
        <v>4794.35618</v>
      </c>
      <c r="R89" t="n">
        <v>4823.71947</v>
      </c>
      <c r="S89" t="n">
        <v>4850.30824</v>
      </c>
      <c r="V89" t="n">
        <v>4759.4164</v>
      </c>
      <c r="W89" t="n">
        <v>4725.85141</v>
      </c>
      <c r="AB89" t="n">
        <v>4869.80746</v>
      </c>
      <c r="AC89" t="n">
        <v>4862.13167</v>
      </c>
      <c r="AD89" t="n">
        <v>0</v>
      </c>
      <c r="AE89">
        <f>AE88+1</f>
        <v/>
      </c>
      <c r="AF89">
        <f>AF88+1</f>
        <v/>
      </c>
      <c r="AG89">
        <f>D89-Q89</f>
        <v/>
      </c>
      <c r="AH89">
        <f>AG89^2</f>
        <v/>
      </c>
      <c r="AI89">
        <f>(AG89/STDEV($AG$3:$AG$1137))^3</f>
        <v/>
      </c>
      <c r="AJ89">
        <f>(AG89/STDEV($AG$3:$AG$1137))^4</f>
        <v/>
      </c>
      <c r="AK89">
        <f>AF89^2</f>
        <v/>
      </c>
      <c r="AL89">
        <f>IF(AD89=1,AB89,IF(AL88&lt;&gt;"",AL88,""))</f>
        <v/>
      </c>
      <c r="AM89">
        <f>IF(AND(AD89=1,AL88&lt;&gt;""),ABS(AB89-AL88),"")</f>
        <v/>
      </c>
    </row>
    <row r="90">
      <c r="A90" t="n">
        <v>1776433502</v>
      </c>
      <c r="B90" t="inlineStr">
        <is>
          <t>XAUUSD</t>
        </is>
      </c>
      <c r="C90" t="inlineStr">
        <is>
          <t>M15</t>
        </is>
      </c>
      <c r="D90" t="n">
        <v>4880.26</v>
      </c>
      <c r="E90" t="n">
        <v>4518.59282</v>
      </c>
      <c r="F90" t="n">
        <v>4596.05595</v>
      </c>
      <c r="G90" t="n">
        <v>4755.40355</v>
      </c>
      <c r="H90" t="n">
        <v>4792.76972</v>
      </c>
      <c r="Q90" t="n">
        <v>4794.08857</v>
      </c>
      <c r="R90" t="n">
        <v>4823.45187</v>
      </c>
      <c r="S90" t="n">
        <v>4850.04064</v>
      </c>
      <c r="V90" t="n">
        <v>4759.1488</v>
      </c>
      <c r="W90" t="n">
        <v>4725.5838</v>
      </c>
      <c r="AB90" t="n">
        <v>4873.23271</v>
      </c>
      <c r="AC90" t="n">
        <v>4867.68219</v>
      </c>
      <c r="AD90" t="n">
        <v>0</v>
      </c>
      <c r="AE90">
        <f>AE89+1</f>
        <v/>
      </c>
      <c r="AF90">
        <f>AF89+1</f>
        <v/>
      </c>
      <c r="AG90">
        <f>D90-Q90</f>
        <v/>
      </c>
      <c r="AH90">
        <f>AG90^2</f>
        <v/>
      </c>
      <c r="AI90">
        <f>(AG90/STDEV($AG$3:$AG$1137))^3</f>
        <v/>
      </c>
      <c r="AJ90">
        <f>(AG90/STDEV($AG$3:$AG$1137))^4</f>
        <v/>
      </c>
      <c r="AK90">
        <f>AF90^2</f>
        <v/>
      </c>
      <c r="AL90">
        <f>IF(AD90=1,AB90,IF(AL89&lt;&gt;"",AL89,""))</f>
        <v/>
      </c>
      <c r="AM90">
        <f>IF(AND(AD90=1,AL89&lt;&gt;""),ABS(AB90-AL89),"")</f>
        <v/>
      </c>
    </row>
    <row r="91">
      <c r="A91" t="n">
        <v>1776434402</v>
      </c>
      <c r="B91" t="inlineStr">
        <is>
          <t>XAUUSD</t>
        </is>
      </c>
      <c r="C91" t="inlineStr">
        <is>
          <t>M15</t>
        </is>
      </c>
      <c r="D91" t="n">
        <v>4867.03</v>
      </c>
      <c r="E91" t="n">
        <v>4518.59282</v>
      </c>
      <c r="F91" t="n">
        <v>4596.05595</v>
      </c>
      <c r="G91" t="n">
        <v>4755.40355</v>
      </c>
      <c r="H91" t="n">
        <v>4792.76972</v>
      </c>
      <c r="Q91" t="n">
        <v>4793.82097</v>
      </c>
      <c r="R91" t="n">
        <v>4823.18427</v>
      </c>
      <c r="S91" t="n">
        <v>4849.77304</v>
      </c>
      <c r="V91" t="n">
        <v>4758.8812</v>
      </c>
      <c r="W91" t="n">
        <v>4725.3162</v>
      </c>
      <c r="AB91" t="n">
        <v>4874.22342</v>
      </c>
      <c r="AC91" t="n">
        <v>4870.95281</v>
      </c>
      <c r="AD91" t="n">
        <v>0</v>
      </c>
      <c r="AE91">
        <f>AE90+1</f>
        <v/>
      </c>
      <c r="AF91">
        <f>AF90+1</f>
        <v/>
      </c>
      <c r="AG91">
        <f>D91-Q91</f>
        <v/>
      </c>
      <c r="AH91">
        <f>AG91^2</f>
        <v/>
      </c>
      <c r="AI91">
        <f>(AG91/STDEV($AG$3:$AG$1137))^3</f>
        <v/>
      </c>
      <c r="AJ91">
        <f>(AG91/STDEV($AG$3:$AG$1137))^4</f>
        <v/>
      </c>
      <c r="AK91">
        <f>AF91^2</f>
        <v/>
      </c>
      <c r="AL91">
        <f>IF(AD91=1,AB91,IF(AL90&lt;&gt;"",AL90,""))</f>
        <v/>
      </c>
      <c r="AM91">
        <f>IF(AND(AD91=1,AL90&lt;&gt;""),ABS(AB91-AL90),"")</f>
        <v/>
      </c>
    </row>
    <row r="92">
      <c r="A92" t="n">
        <v>1776435302</v>
      </c>
      <c r="B92" t="inlineStr">
        <is>
          <t>XAUUSD</t>
        </is>
      </c>
      <c r="C92" t="inlineStr">
        <is>
          <t>M15</t>
        </is>
      </c>
      <c r="D92" t="n">
        <v>4871.43</v>
      </c>
      <c r="E92" t="n">
        <v>4518.59282</v>
      </c>
      <c r="F92" t="n">
        <v>4596.05595</v>
      </c>
      <c r="G92" t="n">
        <v>4755.40355</v>
      </c>
      <c r="H92" t="n">
        <v>4792.76972</v>
      </c>
      <c r="Q92" t="n">
        <v>4793.55336</v>
      </c>
      <c r="R92" t="n">
        <v>4822.91666</v>
      </c>
      <c r="S92" t="n">
        <v>4849.50543</v>
      </c>
      <c r="V92" t="n">
        <v>4758.61359</v>
      </c>
      <c r="W92" t="n">
        <v>4725.0486</v>
      </c>
      <c r="AB92" t="n">
        <v>4873.6899</v>
      </c>
      <c r="AC92" t="n">
        <v>4872.32135</v>
      </c>
      <c r="AD92" t="n">
        <v>0</v>
      </c>
      <c r="AE92">
        <f>AE91+1</f>
        <v/>
      </c>
      <c r="AF92">
        <f>AF91+1</f>
        <v/>
      </c>
      <c r="AG92">
        <f>D92-Q92</f>
        <v/>
      </c>
      <c r="AH92">
        <f>AG92^2</f>
        <v/>
      </c>
      <c r="AI92">
        <f>(AG92/STDEV($AG$3:$AG$1137))^3</f>
        <v/>
      </c>
      <c r="AJ92">
        <f>(AG92/STDEV($AG$3:$AG$1137))^4</f>
        <v/>
      </c>
      <c r="AK92">
        <f>AF92^2</f>
        <v/>
      </c>
      <c r="AL92">
        <f>IF(AD92=1,AB92,IF(AL91&lt;&gt;"",AL91,""))</f>
        <v/>
      </c>
      <c r="AM92">
        <f>IF(AND(AD92=1,AL91&lt;&gt;""),ABS(AB92-AL91),"")</f>
        <v/>
      </c>
    </row>
    <row r="93">
      <c r="A93" t="n">
        <v>1776436202</v>
      </c>
      <c r="B93" t="inlineStr">
        <is>
          <t>XAUUSD</t>
        </is>
      </c>
      <c r="C93" t="inlineStr">
        <is>
          <t>M15</t>
        </is>
      </c>
      <c r="D93" t="n">
        <v>4877.31</v>
      </c>
      <c r="E93" t="n">
        <v>4518.59282</v>
      </c>
      <c r="F93" t="n">
        <v>4596.05595</v>
      </c>
      <c r="G93" t="n">
        <v>4755.40355</v>
      </c>
      <c r="H93" t="n">
        <v>4792.76972</v>
      </c>
      <c r="Q93" t="n">
        <v>4793.28576</v>
      </c>
      <c r="R93" t="n">
        <v>4822.64906</v>
      </c>
      <c r="S93" t="n">
        <v>4849.23783</v>
      </c>
      <c r="V93" t="n">
        <v>4758.34599</v>
      </c>
      <c r="W93" t="n">
        <v>4724.78099</v>
      </c>
      <c r="AB93" t="n">
        <v>4872.14144</v>
      </c>
      <c r="AC93" t="n">
        <v>4872.2314</v>
      </c>
      <c r="AD93" t="n">
        <v>1</v>
      </c>
      <c r="AE93">
        <f>AE92+1</f>
        <v/>
      </c>
      <c r="AF93">
        <f>AF92+1</f>
        <v/>
      </c>
      <c r="AG93">
        <f>D93-Q93</f>
        <v/>
      </c>
      <c r="AH93">
        <f>AG93^2</f>
        <v/>
      </c>
      <c r="AI93">
        <f>(AG93/STDEV($AG$3:$AG$1137))^3</f>
        <v/>
      </c>
      <c r="AJ93">
        <f>(AG93/STDEV($AG$3:$AG$1137))^4</f>
        <v/>
      </c>
      <c r="AK93">
        <f>AF93^2</f>
        <v/>
      </c>
      <c r="AL93">
        <f>IF(AD93=1,AB93,IF(AL92&lt;&gt;"",AL92,""))</f>
        <v/>
      </c>
      <c r="AM93">
        <f>IF(AND(AD93=1,AL92&lt;&gt;""),ABS(AB93-AL92),"")</f>
        <v/>
      </c>
    </row>
    <row r="94">
      <c r="A94" t="n">
        <v>1776437102</v>
      </c>
      <c r="B94" t="inlineStr">
        <is>
          <t>XAUUSD</t>
        </is>
      </c>
      <c r="C94" t="inlineStr">
        <is>
          <t>M15</t>
        </is>
      </c>
      <c r="D94" t="n">
        <v>4873.15</v>
      </c>
      <c r="E94" t="n">
        <v>4518.59282</v>
      </c>
      <c r="F94" t="n">
        <v>4596.05595</v>
      </c>
      <c r="G94" t="n">
        <v>4755.40355</v>
      </c>
      <c r="H94" t="n">
        <v>4792.76972</v>
      </c>
      <c r="Q94" t="n">
        <v>4793.01815</v>
      </c>
      <c r="R94" t="n">
        <v>4822.38145</v>
      </c>
      <c r="S94" t="n">
        <v>4848.97022</v>
      </c>
      <c r="V94" t="n">
        <v>4758.07838</v>
      </c>
      <c r="W94" t="n">
        <v>4724.51339</v>
      </c>
      <c r="AB94" t="n">
        <v>4870.03546</v>
      </c>
      <c r="AC94" t="n">
        <v>4871.13343</v>
      </c>
      <c r="AD94" t="n">
        <v>0</v>
      </c>
      <c r="AE94">
        <f>AE93+1</f>
        <v/>
      </c>
      <c r="AF94">
        <f>AF93+1</f>
        <v/>
      </c>
      <c r="AG94">
        <f>D94-Q94</f>
        <v/>
      </c>
      <c r="AH94">
        <f>AG94^2</f>
        <v/>
      </c>
      <c r="AI94">
        <f>(AG94/STDEV($AG$3:$AG$1137))^3</f>
        <v/>
      </c>
      <c r="AJ94">
        <f>(AG94/STDEV($AG$3:$AG$1137))^4</f>
        <v/>
      </c>
      <c r="AK94">
        <f>AF94^2</f>
        <v/>
      </c>
      <c r="AL94">
        <f>IF(AD94=1,AB94,IF(AL93&lt;&gt;"",AL93,""))</f>
        <v/>
      </c>
      <c r="AM94">
        <f>IF(AND(AD94=1,AL93&lt;&gt;""),ABS(AB94-AL93),"")</f>
        <v/>
      </c>
    </row>
    <row r="95">
      <c r="A95" t="n">
        <v>1776438002</v>
      </c>
      <c r="B95" t="inlineStr">
        <is>
          <t>XAUUSD</t>
        </is>
      </c>
      <c r="C95" t="inlineStr">
        <is>
          <t>M15</t>
        </is>
      </c>
      <c r="D95" t="n">
        <v>4867.01</v>
      </c>
      <c r="E95" t="n">
        <v>4518.59282</v>
      </c>
      <c r="F95" t="n">
        <v>4596.05595</v>
      </c>
      <c r="G95" t="n">
        <v>4755.40355</v>
      </c>
      <c r="H95" t="n">
        <v>4792.76972</v>
      </c>
      <c r="Q95" t="n">
        <v>4792.75055</v>
      </c>
      <c r="R95" t="n">
        <v>4822.11385</v>
      </c>
      <c r="S95" t="n">
        <v>4848.70262</v>
      </c>
      <c r="V95" t="n">
        <v>4757.81078</v>
      </c>
      <c r="W95" t="n">
        <v>4724.24578</v>
      </c>
      <c r="AB95" t="n">
        <v>4868.01273</v>
      </c>
      <c r="AC95" t="n">
        <v>4869.57308</v>
      </c>
      <c r="AD95" t="n">
        <v>0</v>
      </c>
      <c r="AE95">
        <f>AE94+1</f>
        <v/>
      </c>
      <c r="AF95">
        <f>AF94+1</f>
        <v/>
      </c>
      <c r="AG95">
        <f>D95-Q95</f>
        <v/>
      </c>
      <c r="AH95">
        <f>AG95^2</f>
        <v/>
      </c>
      <c r="AI95">
        <f>(AG95/STDEV($AG$3:$AG$1137))^3</f>
        <v/>
      </c>
      <c r="AJ95">
        <f>(AG95/STDEV($AG$3:$AG$1137))^4</f>
        <v/>
      </c>
      <c r="AK95">
        <f>AF95^2</f>
        <v/>
      </c>
      <c r="AL95">
        <f>IF(AD95=1,AB95,IF(AL94&lt;&gt;"",AL94,""))</f>
        <v/>
      </c>
      <c r="AM95">
        <f>IF(AND(AD95=1,AL94&lt;&gt;""),ABS(AB95-AL94),"")</f>
        <v/>
      </c>
    </row>
    <row r="96">
      <c r="A96" t="n">
        <v>1776438902</v>
      </c>
      <c r="B96" t="inlineStr">
        <is>
          <t>XAUUSD</t>
        </is>
      </c>
      <c r="C96" t="inlineStr">
        <is>
          <t>M15</t>
        </is>
      </c>
      <c r="D96" t="n">
        <v>4865.86</v>
      </c>
      <c r="E96" t="n">
        <v>4518.59282</v>
      </c>
      <c r="F96" t="n">
        <v>4596.05595</v>
      </c>
      <c r="G96" t="n">
        <v>4755.40355</v>
      </c>
      <c r="H96" t="n">
        <v>4792.76972</v>
      </c>
      <c r="Q96" t="n">
        <v>4792.48295</v>
      </c>
      <c r="R96" t="n">
        <v>4821.84625</v>
      </c>
      <c r="S96" t="n">
        <v>4848.43502</v>
      </c>
      <c r="V96" t="n">
        <v>4757.54318</v>
      </c>
      <c r="W96" t="n">
        <v>4723.97818</v>
      </c>
      <c r="AB96" t="n">
        <v>4866.63487</v>
      </c>
      <c r="AC96" t="n">
        <v>4868.10398</v>
      </c>
      <c r="AD96" t="n">
        <v>0</v>
      </c>
      <c r="AE96">
        <f>AE95+1</f>
        <v/>
      </c>
      <c r="AF96">
        <f>AF95+1</f>
        <v/>
      </c>
      <c r="AG96">
        <f>D96-Q96</f>
        <v/>
      </c>
      <c r="AH96">
        <f>AG96^2</f>
        <v/>
      </c>
      <c r="AI96">
        <f>(AG96/STDEV($AG$3:$AG$1137))^3</f>
        <v/>
      </c>
      <c r="AJ96">
        <f>(AG96/STDEV($AG$3:$AG$1137))^4</f>
        <v/>
      </c>
      <c r="AK96">
        <f>AF96^2</f>
        <v/>
      </c>
      <c r="AL96">
        <f>IF(AD96=1,AB96,IF(AL95&lt;&gt;"",AL95,""))</f>
        <v/>
      </c>
      <c r="AM96">
        <f>IF(AND(AD96=1,AL95&lt;&gt;""),ABS(AB96-AL95),"")</f>
        <v/>
      </c>
    </row>
    <row r="97">
      <c r="A97" t="n">
        <v>1776439802</v>
      </c>
      <c r="B97" t="inlineStr">
        <is>
          <t>XAUUSD</t>
        </is>
      </c>
      <c r="C97" t="inlineStr">
        <is>
          <t>M15</t>
        </is>
      </c>
      <c r="D97" t="n">
        <v>4858.58</v>
      </c>
      <c r="E97" t="n">
        <v>4518.59282</v>
      </c>
      <c r="F97" t="n">
        <v>4596.05595</v>
      </c>
      <c r="G97" t="n">
        <v>4755.40355</v>
      </c>
      <c r="H97" t="n">
        <v>4792.76972</v>
      </c>
      <c r="Q97" t="n">
        <v>4792.21534</v>
      </c>
      <c r="R97" t="n">
        <v>4821.57864</v>
      </c>
      <c r="S97" t="n">
        <v>4848.16741</v>
      </c>
      <c r="V97" t="n">
        <v>4757.27557</v>
      </c>
      <c r="W97" t="n">
        <v>4723.71058</v>
      </c>
      <c r="AB97" t="n">
        <v>4866.04238</v>
      </c>
      <c r="AC97" t="n">
        <v>4867.07318</v>
      </c>
      <c r="AD97" t="n">
        <v>0</v>
      </c>
      <c r="AE97">
        <f>AE96+1</f>
        <v/>
      </c>
      <c r="AF97">
        <f>AF96+1</f>
        <v/>
      </c>
      <c r="AG97">
        <f>D97-Q97</f>
        <v/>
      </c>
      <c r="AH97">
        <f>AG97^2</f>
        <v/>
      </c>
      <c r="AI97">
        <f>(AG97/STDEV($AG$3:$AG$1137))^3</f>
        <v/>
      </c>
      <c r="AJ97">
        <f>(AG97/STDEV($AG$3:$AG$1137))^4</f>
        <v/>
      </c>
      <c r="AK97">
        <f>AF97^2</f>
        <v/>
      </c>
      <c r="AL97">
        <f>IF(AD97=1,AB97,IF(AL96&lt;&gt;"",AL96,""))</f>
        <v/>
      </c>
      <c r="AM97">
        <f>IF(AND(AD97=1,AL96&lt;&gt;""),ABS(AB97-AL96),"")</f>
        <v/>
      </c>
    </row>
    <row r="98">
      <c r="A98" t="n">
        <v>1776440702</v>
      </c>
      <c r="B98" t="inlineStr">
        <is>
          <t>XAUUSD</t>
        </is>
      </c>
      <c r="C98" t="inlineStr">
        <is>
          <t>M15</t>
        </is>
      </c>
      <c r="D98" t="n">
        <v>4867.57</v>
      </c>
      <c r="E98" t="n">
        <v>4518.59282</v>
      </c>
      <c r="F98" t="n">
        <v>4596.05595</v>
      </c>
      <c r="G98" t="n">
        <v>4755.40355</v>
      </c>
      <c r="H98" t="n">
        <v>4792.76972</v>
      </c>
      <c r="Q98" t="n">
        <v>4791.94774</v>
      </c>
      <c r="R98" t="n">
        <v>4821.31104</v>
      </c>
      <c r="S98" t="n">
        <v>4847.89981</v>
      </c>
      <c r="V98" t="n">
        <v>4757.00797</v>
      </c>
      <c r="W98" t="n">
        <v>4723.44297</v>
      </c>
      <c r="AB98" t="n">
        <v>4866.29834</v>
      </c>
      <c r="AC98" t="n">
        <v>4866.68576</v>
      </c>
      <c r="AD98" t="n">
        <v>0</v>
      </c>
      <c r="AE98">
        <f>AE97+1</f>
        <v/>
      </c>
      <c r="AF98">
        <f>AF97+1</f>
        <v/>
      </c>
      <c r="AG98">
        <f>D98-Q98</f>
        <v/>
      </c>
      <c r="AH98">
        <f>AG98^2</f>
        <v/>
      </c>
      <c r="AI98">
        <f>(AG98/STDEV($AG$3:$AG$1137))^3</f>
        <v/>
      </c>
      <c r="AJ98">
        <f>(AG98/STDEV($AG$3:$AG$1137))^4</f>
        <v/>
      </c>
      <c r="AK98">
        <f>AF98^2</f>
        <v/>
      </c>
      <c r="AL98">
        <f>IF(AD98=1,AB98,IF(AL97&lt;&gt;"",AL97,""))</f>
        <v/>
      </c>
      <c r="AM98">
        <f>IF(AND(AD98=1,AL97&lt;&gt;""),ABS(AB98-AL97),"")</f>
        <v/>
      </c>
    </row>
    <row r="99">
      <c r="A99" t="n">
        <v>1776441602</v>
      </c>
      <c r="B99" t="inlineStr">
        <is>
          <t>XAUUSD</t>
        </is>
      </c>
      <c r="C99" t="inlineStr">
        <is>
          <t>M15</t>
        </is>
      </c>
      <c r="D99" t="n">
        <v>4871.66</v>
      </c>
      <c r="E99" t="n">
        <v>4518.59282</v>
      </c>
      <c r="F99" t="n">
        <v>4596.05595</v>
      </c>
      <c r="G99" t="n">
        <v>4755.40355</v>
      </c>
      <c r="H99" t="n">
        <v>4792.76972</v>
      </c>
      <c r="Q99" t="n">
        <v>4791.68013</v>
      </c>
      <c r="R99" t="n">
        <v>4821.04343</v>
      </c>
      <c r="S99" t="n">
        <v>4847.6322</v>
      </c>
      <c r="V99" t="n">
        <v>4756.74036</v>
      </c>
      <c r="W99" t="n">
        <v>4723.17537</v>
      </c>
      <c r="AB99" t="n">
        <v>4866.79109</v>
      </c>
      <c r="AC99" t="n">
        <v>4866.73842</v>
      </c>
      <c r="AD99" t="n">
        <v>1</v>
      </c>
      <c r="AE99">
        <f>AE98+1</f>
        <v/>
      </c>
      <c r="AF99">
        <f>AF98+1</f>
        <v/>
      </c>
      <c r="AG99">
        <f>D99-Q99</f>
        <v/>
      </c>
      <c r="AH99">
        <f>AG99^2</f>
        <v/>
      </c>
      <c r="AI99">
        <f>(AG99/STDEV($AG$3:$AG$1137))^3</f>
        <v/>
      </c>
      <c r="AJ99">
        <f>(AG99/STDEV($AG$3:$AG$1137))^4</f>
        <v/>
      </c>
      <c r="AK99">
        <f>AF99^2</f>
        <v/>
      </c>
      <c r="AL99">
        <f>IF(AD99=1,AB99,IF(AL98&lt;&gt;"",AL98,""))</f>
        <v/>
      </c>
      <c r="AM99">
        <f>IF(AND(AD99=1,AL98&lt;&gt;""),ABS(AB99-AL98),"")</f>
        <v/>
      </c>
    </row>
    <row r="100">
      <c r="A100" t="n">
        <v>1776442502</v>
      </c>
      <c r="B100" t="inlineStr">
        <is>
          <t>XAUUSD</t>
        </is>
      </c>
      <c r="C100" t="inlineStr">
        <is>
          <t>M15</t>
        </is>
      </c>
      <c r="D100" t="n">
        <v>4867.71</v>
      </c>
      <c r="E100" t="n">
        <v>4518.59282</v>
      </c>
      <c r="F100" t="n">
        <v>4596.05595</v>
      </c>
      <c r="G100" t="n">
        <v>4755.40355</v>
      </c>
      <c r="H100" t="n">
        <v>4792.76972</v>
      </c>
      <c r="Q100" t="n">
        <v>4791.41253</v>
      </c>
      <c r="R100" t="n">
        <v>4820.77583</v>
      </c>
      <c r="S100" t="n">
        <v>4847.3646</v>
      </c>
      <c r="V100" t="n">
        <v>4756.47276</v>
      </c>
      <c r="W100" t="n">
        <v>4722.90776</v>
      </c>
      <c r="AB100" t="n">
        <v>4866.99342</v>
      </c>
      <c r="AC100" t="n">
        <v>4866.86592</v>
      </c>
      <c r="AD100" t="n">
        <v>0</v>
      </c>
      <c r="AE100">
        <f>AE99+1</f>
        <v/>
      </c>
      <c r="AF100">
        <f>AF99+1</f>
        <v/>
      </c>
      <c r="AG100">
        <f>D100-Q100</f>
        <v/>
      </c>
      <c r="AH100">
        <f>AG100^2</f>
        <v/>
      </c>
      <c r="AI100">
        <f>(AG100/STDEV($AG$3:$AG$1137))^3</f>
        <v/>
      </c>
      <c r="AJ100">
        <f>(AG100/STDEV($AG$3:$AG$1137))^4</f>
        <v/>
      </c>
      <c r="AK100">
        <f>AF100^2</f>
        <v/>
      </c>
      <c r="AL100">
        <f>IF(AD100=1,AB100,IF(AL99&lt;&gt;"",AL99,""))</f>
        <v/>
      </c>
      <c r="AM100">
        <f>IF(AND(AD100=1,AL99&lt;&gt;""),ABS(AB100-AL99),"")</f>
        <v/>
      </c>
    </row>
    <row r="101">
      <c r="A101" t="n">
        <v>1776443402</v>
      </c>
      <c r="B101" t="inlineStr">
        <is>
          <t>XAUUSD</t>
        </is>
      </c>
      <c r="C101" t="inlineStr">
        <is>
          <t>M15</t>
        </is>
      </c>
      <c r="D101" t="n">
        <v>4868.37</v>
      </c>
      <c r="E101" t="n">
        <v>4518.59282</v>
      </c>
      <c r="F101" t="n">
        <v>4596.05595</v>
      </c>
      <c r="G101" t="n">
        <v>4755.40355</v>
      </c>
      <c r="H101" t="n">
        <v>4792.76972</v>
      </c>
      <c r="Q101" t="n">
        <v>4791.14493</v>
      </c>
      <c r="R101" t="n">
        <v>4820.50822</v>
      </c>
      <c r="S101" t="n">
        <v>4847.097</v>
      </c>
      <c r="V101" t="n">
        <v>4756.20516</v>
      </c>
      <c r="W101" t="n">
        <v>4722.64016</v>
      </c>
      <c r="AB101" t="n">
        <v>4866.68822</v>
      </c>
      <c r="AC101" t="n">
        <v>4866.77707</v>
      </c>
      <c r="AD101" t="n">
        <v>1</v>
      </c>
      <c r="AE101">
        <f>AE100+1</f>
        <v/>
      </c>
      <c r="AF101">
        <f>AF100+1</f>
        <v/>
      </c>
      <c r="AG101">
        <f>D101-Q101</f>
        <v/>
      </c>
      <c r="AH101">
        <f>AG101^2</f>
        <v/>
      </c>
      <c r="AI101">
        <f>(AG101/STDEV($AG$3:$AG$1137))^3</f>
        <v/>
      </c>
      <c r="AJ101">
        <f>(AG101/STDEV($AG$3:$AG$1137))^4</f>
        <v/>
      </c>
      <c r="AK101">
        <f>AF101^2</f>
        <v/>
      </c>
      <c r="AL101">
        <f>IF(AD101=1,AB101,IF(AL100&lt;&gt;"",AL100,""))</f>
        <v/>
      </c>
      <c r="AM101">
        <f>IF(AND(AD101=1,AL100&lt;&gt;""),ABS(AB101-AL100),"")</f>
        <v/>
      </c>
    </row>
    <row r="102">
      <c r="A102" t="n">
        <v>1776444302</v>
      </c>
      <c r="B102" t="inlineStr">
        <is>
          <t>XAUUSD</t>
        </is>
      </c>
      <c r="C102" t="inlineStr">
        <is>
          <t>M15</t>
        </is>
      </c>
      <c r="D102" t="n">
        <v>4867.12</v>
      </c>
      <c r="E102" t="n">
        <v>4518.59282</v>
      </c>
      <c r="F102" t="n">
        <v>4596.05595</v>
      </c>
      <c r="G102" t="n">
        <v>4755.40355</v>
      </c>
      <c r="H102" t="n">
        <v>4792.76972</v>
      </c>
      <c r="Q102" t="n">
        <v>4790.87732</v>
      </c>
      <c r="R102" t="n">
        <v>4820.24062</v>
      </c>
      <c r="S102" t="n">
        <v>4846.82939</v>
      </c>
      <c r="V102" t="n">
        <v>4755.93755</v>
      </c>
      <c r="W102" t="n">
        <v>4722.37256</v>
      </c>
      <c r="AB102" t="n">
        <v>4865.68712</v>
      </c>
      <c r="AC102" t="n">
        <v>4866.23209</v>
      </c>
      <c r="AD102" t="n">
        <v>0</v>
      </c>
      <c r="AE102">
        <f>AE101+1</f>
        <v/>
      </c>
      <c r="AF102">
        <f>AF101+1</f>
        <v/>
      </c>
      <c r="AG102">
        <f>D102-Q102</f>
        <v/>
      </c>
      <c r="AH102">
        <f>AG102^2</f>
        <v/>
      </c>
      <c r="AI102">
        <f>(AG102/STDEV($AG$3:$AG$1137))^3</f>
        <v/>
      </c>
      <c r="AJ102">
        <f>(AG102/STDEV($AG$3:$AG$1137))^4</f>
        <v/>
      </c>
      <c r="AK102">
        <f>AF102^2</f>
        <v/>
      </c>
      <c r="AL102">
        <f>IF(AD102=1,AB102,IF(AL101&lt;&gt;"",AL101,""))</f>
        <v/>
      </c>
      <c r="AM102">
        <f>IF(AND(AD102=1,AL101&lt;&gt;""),ABS(AB102-AL101),"")</f>
        <v/>
      </c>
    </row>
    <row r="103">
      <c r="A103" t="n">
        <v>1776445202</v>
      </c>
      <c r="B103" t="inlineStr">
        <is>
          <t>XAUUSD</t>
        </is>
      </c>
      <c r="C103" t="inlineStr">
        <is>
          <t>M15</t>
        </is>
      </c>
      <c r="D103" t="n">
        <v>4862.89</v>
      </c>
      <c r="E103" t="n">
        <v>4518.59282</v>
      </c>
      <c r="F103" t="n">
        <v>4596.05595</v>
      </c>
      <c r="G103" t="n">
        <v>4755.40355</v>
      </c>
      <c r="H103" t="n">
        <v>4792.76972</v>
      </c>
      <c r="Q103" t="n">
        <v>4790.60972</v>
      </c>
      <c r="R103" t="n">
        <v>4819.97302</v>
      </c>
      <c r="S103" t="n">
        <v>4846.56179</v>
      </c>
      <c r="V103" t="n">
        <v>4755.66995</v>
      </c>
      <c r="W103" t="n">
        <v>4722.10495</v>
      </c>
      <c r="AB103" t="n">
        <v>4864.07221</v>
      </c>
      <c r="AC103" t="n">
        <v>4865.15215</v>
      </c>
      <c r="AD103" t="n">
        <v>0</v>
      </c>
      <c r="AE103">
        <f>AE102+1</f>
        <v/>
      </c>
      <c r="AF103">
        <f>AF102+1</f>
        <v/>
      </c>
      <c r="AG103">
        <f>D103-Q103</f>
        <v/>
      </c>
      <c r="AH103">
        <f>AG103^2</f>
        <v/>
      </c>
      <c r="AI103">
        <f>(AG103/STDEV($AG$3:$AG$1137))^3</f>
        <v/>
      </c>
      <c r="AJ103">
        <f>(AG103/STDEV($AG$3:$AG$1137))^4</f>
        <v/>
      </c>
      <c r="AK103">
        <f>AF103^2</f>
        <v/>
      </c>
      <c r="AL103">
        <f>IF(AD103=1,AB103,IF(AL102&lt;&gt;"",AL102,""))</f>
        <v/>
      </c>
      <c r="AM103">
        <f>IF(AND(AD103=1,AL102&lt;&gt;""),ABS(AB103-AL102),"")</f>
        <v/>
      </c>
    </row>
    <row r="104">
      <c r="A104" t="n">
        <v>1776446102</v>
      </c>
      <c r="B104" t="inlineStr">
        <is>
          <t>XAUUSD</t>
        </is>
      </c>
      <c r="C104" t="inlineStr">
        <is>
          <t>M15</t>
        </is>
      </c>
      <c r="D104" t="n">
        <v>4858.63</v>
      </c>
      <c r="E104" t="n">
        <v>4518.59282</v>
      </c>
      <c r="F104" t="n">
        <v>4596.05595</v>
      </c>
      <c r="G104" t="n">
        <v>4755.40355</v>
      </c>
      <c r="H104" t="n">
        <v>4792.76972</v>
      </c>
      <c r="Q104" t="n">
        <v>4790.34211</v>
      </c>
      <c r="R104" t="n">
        <v>4819.70541</v>
      </c>
      <c r="S104" t="n">
        <v>4846.29418</v>
      </c>
      <c r="V104" t="n">
        <v>4755.40234</v>
      </c>
      <c r="W104" t="n">
        <v>4721.83735</v>
      </c>
      <c r="AB104" t="n">
        <v>4862.19924</v>
      </c>
      <c r="AC104" t="n">
        <v>4863.67569</v>
      </c>
      <c r="AD104" t="n">
        <v>0</v>
      </c>
      <c r="AE104">
        <f>AE103+1</f>
        <v/>
      </c>
      <c r="AF104">
        <f>AF103+1</f>
        <v/>
      </c>
      <c r="AG104">
        <f>D104-Q104</f>
        <v/>
      </c>
      <c r="AH104">
        <f>AG104^2</f>
        <v/>
      </c>
      <c r="AI104">
        <f>(AG104/STDEV($AG$3:$AG$1137))^3</f>
        <v/>
      </c>
      <c r="AJ104">
        <f>(AG104/STDEV($AG$3:$AG$1137))^4</f>
        <v/>
      </c>
      <c r="AK104">
        <f>AF104^2</f>
        <v/>
      </c>
      <c r="AL104">
        <f>IF(AD104=1,AB104,IF(AL103&lt;&gt;"",AL103,""))</f>
        <v/>
      </c>
      <c r="AM104">
        <f>IF(AND(AD104=1,AL103&lt;&gt;""),ABS(AB104-AL103),"")</f>
        <v/>
      </c>
    </row>
    <row r="105">
      <c r="A105" t="n">
        <v>1776447002</v>
      </c>
      <c r="B105" t="inlineStr">
        <is>
          <t>XAUUSD</t>
        </is>
      </c>
      <c r="C105" t="inlineStr">
        <is>
          <t>M15</t>
        </is>
      </c>
      <c r="D105" t="n">
        <v>4855.01</v>
      </c>
      <c r="E105" t="n">
        <v>4518.59282</v>
      </c>
      <c r="F105" t="n">
        <v>4596.05595</v>
      </c>
      <c r="G105" t="n">
        <v>4755.40355</v>
      </c>
      <c r="H105" t="n">
        <v>4792.76972</v>
      </c>
      <c r="Q105" t="n">
        <v>4790.07451</v>
      </c>
      <c r="R105" t="n">
        <v>4819.43781</v>
      </c>
      <c r="S105" t="n">
        <v>4846.02658</v>
      </c>
      <c r="V105" t="n">
        <v>4755.13474</v>
      </c>
      <c r="W105" t="n">
        <v>4721.56974</v>
      </c>
      <c r="AB105" t="n">
        <v>4860.5184</v>
      </c>
      <c r="AC105" t="n">
        <v>4862.09705</v>
      </c>
      <c r="AD105" t="n">
        <v>0</v>
      </c>
      <c r="AE105">
        <f>AE104+1</f>
        <v/>
      </c>
      <c r="AF105">
        <f>AF104+1</f>
        <v/>
      </c>
      <c r="AG105">
        <f>D105-Q105</f>
        <v/>
      </c>
      <c r="AH105">
        <f>AG105^2</f>
        <v/>
      </c>
      <c r="AI105">
        <f>(AG105/STDEV($AG$3:$AG$1137))^3</f>
        <v/>
      </c>
      <c r="AJ105">
        <f>(AG105/STDEV($AG$3:$AG$1137))^4</f>
        <v/>
      </c>
      <c r="AK105">
        <f>AF105^2</f>
        <v/>
      </c>
      <c r="AL105">
        <f>IF(AD105=1,AB105,IF(AL104&lt;&gt;"",AL104,""))</f>
        <v/>
      </c>
      <c r="AM105">
        <f>IF(AND(AD105=1,AL104&lt;&gt;""),ABS(AB105-AL104),"")</f>
        <v/>
      </c>
    </row>
    <row r="106">
      <c r="A106" t="n">
        <v>1776447902</v>
      </c>
      <c r="B106" t="inlineStr">
        <is>
          <t>XAUUSD</t>
        </is>
      </c>
      <c r="C106" t="inlineStr">
        <is>
          <t>M15</t>
        </is>
      </c>
      <c r="D106" t="n">
        <v>4862.6</v>
      </c>
      <c r="E106" t="n">
        <v>4518.59282</v>
      </c>
      <c r="F106" t="n">
        <v>4596.05595</v>
      </c>
      <c r="G106" t="n">
        <v>4755.40355</v>
      </c>
      <c r="H106" t="n">
        <v>4792.76972</v>
      </c>
      <c r="Q106" t="n">
        <v>4789.80691</v>
      </c>
      <c r="R106" t="n">
        <v>4819.1702</v>
      </c>
      <c r="S106" t="n">
        <v>4845.75898</v>
      </c>
      <c r="V106" t="n">
        <v>4754.86714</v>
      </c>
      <c r="W106" t="n">
        <v>4721.30214</v>
      </c>
      <c r="AB106" t="n">
        <v>4859.42543</v>
      </c>
      <c r="AC106" t="n">
        <v>4860.76124</v>
      </c>
      <c r="AD106" t="n">
        <v>0</v>
      </c>
      <c r="AE106">
        <f>AE105+1</f>
        <v/>
      </c>
      <c r="AF106">
        <f>AF105+1</f>
        <v/>
      </c>
      <c r="AG106">
        <f>D106-Q106</f>
        <v/>
      </c>
      <c r="AH106">
        <f>AG106^2</f>
        <v/>
      </c>
      <c r="AI106">
        <f>(AG106/STDEV($AG$3:$AG$1137))^3</f>
        <v/>
      </c>
      <c r="AJ106">
        <f>(AG106/STDEV($AG$3:$AG$1137))^4</f>
        <v/>
      </c>
      <c r="AK106">
        <f>AF106^2</f>
        <v/>
      </c>
      <c r="AL106">
        <f>IF(AD106=1,AB106,IF(AL105&lt;&gt;"",AL105,""))</f>
        <v/>
      </c>
      <c r="AM106">
        <f>IF(AND(AD106=1,AL105&lt;&gt;""),ABS(AB106-AL105),"")</f>
        <v/>
      </c>
    </row>
    <row r="107">
      <c r="A107" t="n">
        <v>1776448802</v>
      </c>
      <c r="B107" t="inlineStr">
        <is>
          <t>XAUUSD</t>
        </is>
      </c>
      <c r="C107" t="inlineStr">
        <is>
          <t>M15</t>
        </is>
      </c>
      <c r="D107" t="n">
        <v>4861.17</v>
      </c>
      <c r="E107" t="n">
        <v>4518.59282</v>
      </c>
      <c r="F107" t="n">
        <v>4596.05595</v>
      </c>
      <c r="G107" t="n">
        <v>4755.40355</v>
      </c>
      <c r="H107" t="n">
        <v>4792.76972</v>
      </c>
      <c r="Q107" t="n">
        <v>4789.5393</v>
      </c>
      <c r="R107" t="n">
        <v>4818.9026</v>
      </c>
      <c r="S107" t="n">
        <v>4845.49137</v>
      </c>
      <c r="V107" t="n">
        <v>4754.59953</v>
      </c>
      <c r="W107" t="n">
        <v>4721.03454</v>
      </c>
      <c r="AB107" t="n">
        <v>4858.87394</v>
      </c>
      <c r="AC107" t="n">
        <v>4859.81759</v>
      </c>
      <c r="AD107" t="n">
        <v>0</v>
      </c>
      <c r="AE107">
        <f>AE106+1</f>
        <v/>
      </c>
      <c r="AF107">
        <f>AF106+1</f>
        <v/>
      </c>
      <c r="AG107">
        <f>D107-Q107</f>
        <v/>
      </c>
      <c r="AH107">
        <f>AG107^2</f>
        <v/>
      </c>
      <c r="AI107">
        <f>(AG107/STDEV($AG$3:$AG$1137))^3</f>
        <v/>
      </c>
      <c r="AJ107">
        <f>(AG107/STDEV($AG$3:$AG$1137))^4</f>
        <v/>
      </c>
      <c r="AK107">
        <f>AF107^2</f>
        <v/>
      </c>
      <c r="AL107">
        <f>IF(AD107=1,AB107,IF(AL106&lt;&gt;"",AL106,""))</f>
        <v/>
      </c>
      <c r="AM107">
        <f>IF(AND(AD107=1,AL106&lt;&gt;""),ABS(AB107-AL106),"")</f>
        <v/>
      </c>
    </row>
    <row r="108">
      <c r="A108" t="n">
        <v>1776449702</v>
      </c>
      <c r="B108" t="inlineStr">
        <is>
          <t>XAUUSD</t>
        </is>
      </c>
      <c r="C108" t="inlineStr">
        <is>
          <t>M15</t>
        </is>
      </c>
      <c r="D108" t="n">
        <v>4860.87</v>
      </c>
      <c r="E108" t="n">
        <v>4518.59282</v>
      </c>
      <c r="F108" t="n">
        <v>4596.05595</v>
      </c>
      <c r="G108" t="n">
        <v>4755.40355</v>
      </c>
      <c r="H108" t="n">
        <v>4792.76972</v>
      </c>
      <c r="Q108" t="n">
        <v>4789.2717</v>
      </c>
      <c r="R108" t="n">
        <v>4818.635</v>
      </c>
      <c r="S108" t="n">
        <v>4845.22377</v>
      </c>
      <c r="V108" t="n">
        <v>4754.33193</v>
      </c>
      <c r="W108" t="n">
        <v>4720.76693</v>
      </c>
      <c r="AB108" t="n">
        <v>4858.91318</v>
      </c>
      <c r="AC108" t="n">
        <v>4859.36538</v>
      </c>
      <c r="AD108" t="n">
        <v>0</v>
      </c>
      <c r="AE108">
        <f>AE107+1</f>
        <v/>
      </c>
      <c r="AF108">
        <f>AF107+1</f>
        <v/>
      </c>
      <c r="AG108">
        <f>D108-Q108</f>
        <v/>
      </c>
      <c r="AH108">
        <f>AG108^2</f>
        <v/>
      </c>
      <c r="AI108">
        <f>(AG108/STDEV($AG$3:$AG$1137))^3</f>
        <v/>
      </c>
      <c r="AJ108">
        <f>(AG108/STDEV($AG$3:$AG$1137))^4</f>
        <v/>
      </c>
      <c r="AK108">
        <f>AF108^2</f>
        <v/>
      </c>
      <c r="AL108">
        <f>IF(AD108=1,AB108,IF(AL107&lt;&gt;"",AL107,""))</f>
        <v/>
      </c>
      <c r="AM108">
        <f>IF(AND(AD108=1,AL107&lt;&gt;""),ABS(AB108-AL107),"")</f>
        <v/>
      </c>
    </row>
    <row r="109">
      <c r="A109" t="n">
        <v>1776450602</v>
      </c>
      <c r="B109" t="inlineStr">
        <is>
          <t>XAUUSD</t>
        </is>
      </c>
      <c r="C109" t="inlineStr">
        <is>
          <t>M15</t>
        </is>
      </c>
      <c r="D109" t="n">
        <v>4862.4</v>
      </c>
      <c r="E109" t="n">
        <v>4518.59282</v>
      </c>
      <c r="F109" t="n">
        <v>4596.05595</v>
      </c>
      <c r="G109" t="n">
        <v>4755.40355</v>
      </c>
      <c r="H109" t="n">
        <v>4792.76972</v>
      </c>
      <c r="Q109" t="n">
        <v>4789.00409</v>
      </c>
      <c r="R109" t="n">
        <v>4818.36739</v>
      </c>
      <c r="S109" t="n">
        <v>4844.95616</v>
      </c>
      <c r="V109" t="n">
        <v>4754.06432</v>
      </c>
      <c r="W109" t="n">
        <v>4720.49933</v>
      </c>
      <c r="AB109" t="n">
        <v>4859.37272</v>
      </c>
      <c r="AC109" t="n">
        <v>4859.36905</v>
      </c>
      <c r="AD109" t="n">
        <v>1</v>
      </c>
      <c r="AE109">
        <f>AE108+1</f>
        <v/>
      </c>
      <c r="AF109">
        <f>AF108+1</f>
        <v/>
      </c>
      <c r="AG109">
        <f>D109-Q109</f>
        <v/>
      </c>
      <c r="AH109">
        <f>AG109^2</f>
        <v/>
      </c>
      <c r="AI109">
        <f>(AG109/STDEV($AG$3:$AG$1137))^3</f>
        <v/>
      </c>
      <c r="AJ109">
        <f>(AG109/STDEV($AG$3:$AG$1137))^4</f>
        <v/>
      </c>
      <c r="AK109">
        <f>AF109^2</f>
        <v/>
      </c>
      <c r="AL109">
        <f>IF(AD109=1,AB109,IF(AL108&lt;&gt;"",AL108,""))</f>
        <v/>
      </c>
      <c r="AM109">
        <f>IF(AND(AD109=1,AL108&lt;&gt;""),ABS(AB109-AL108),"")</f>
        <v/>
      </c>
    </row>
    <row r="110">
      <c r="A110" t="n">
        <v>1776451502</v>
      </c>
      <c r="B110" t="inlineStr">
        <is>
          <t>XAUUSD</t>
        </is>
      </c>
      <c r="C110" t="inlineStr">
        <is>
          <t>M15</t>
        </is>
      </c>
      <c r="D110" t="n">
        <v>4858.16</v>
      </c>
      <c r="E110" t="n">
        <v>4518.59282</v>
      </c>
      <c r="F110" t="n">
        <v>4596.05595</v>
      </c>
      <c r="G110" t="n">
        <v>4755.40355</v>
      </c>
      <c r="H110" t="n">
        <v>4792.76972</v>
      </c>
      <c r="Q110" t="n">
        <v>4788.73649</v>
      </c>
      <c r="R110" t="n">
        <v>4818.09979</v>
      </c>
      <c r="S110" t="n">
        <v>4844.68856</v>
      </c>
      <c r="V110" t="n">
        <v>4753.79672</v>
      </c>
      <c r="W110" t="n">
        <v>4720.23172</v>
      </c>
      <c r="AB110" t="n">
        <v>4859.89857</v>
      </c>
      <c r="AC110" t="n">
        <v>4859.63381</v>
      </c>
      <c r="AD110" t="n">
        <v>0</v>
      </c>
      <c r="AE110">
        <f>AE109+1</f>
        <v/>
      </c>
      <c r="AF110">
        <f>AF109+1</f>
        <v/>
      </c>
      <c r="AG110">
        <f>D110-Q110</f>
        <v/>
      </c>
      <c r="AH110">
        <f>AG110^2</f>
        <v/>
      </c>
      <c r="AI110">
        <f>(AG110/STDEV($AG$3:$AG$1137))^3</f>
        <v/>
      </c>
      <c r="AJ110">
        <f>(AG110/STDEV($AG$3:$AG$1137))^4</f>
        <v/>
      </c>
      <c r="AK110">
        <f>AF110^2</f>
        <v/>
      </c>
      <c r="AL110">
        <f>IF(AD110=1,AB110,IF(AL109&lt;&gt;"",AL109,""))</f>
        <v/>
      </c>
      <c r="AM110">
        <f>IF(AND(AD110=1,AL109&lt;&gt;""),ABS(AB110-AL109),"")</f>
        <v/>
      </c>
    </row>
    <row r="111">
      <c r="A111" t="n">
        <v>1776452402</v>
      </c>
      <c r="B111" t="inlineStr">
        <is>
          <t>XAUUSD</t>
        </is>
      </c>
      <c r="C111" t="inlineStr">
        <is>
          <t>M15</t>
        </is>
      </c>
      <c r="D111" t="n">
        <v>4856.59</v>
      </c>
      <c r="E111" t="n">
        <v>4518.59282</v>
      </c>
      <c r="F111" t="n">
        <v>4596.05595</v>
      </c>
      <c r="G111" t="n">
        <v>4755.40355</v>
      </c>
      <c r="H111" t="n">
        <v>4792.76972</v>
      </c>
      <c r="Q111" t="n">
        <v>4788.46889</v>
      </c>
      <c r="R111" t="n">
        <v>4817.83218</v>
      </c>
      <c r="S111" t="n">
        <v>4844.42095</v>
      </c>
      <c r="V111" t="n">
        <v>4753.52911</v>
      </c>
      <c r="W111" t="n">
        <v>4719.96412</v>
      </c>
      <c r="AB111" t="n">
        <v>4860.15411</v>
      </c>
      <c r="AC111" t="n">
        <v>4859.89396</v>
      </c>
      <c r="AD111" t="n">
        <v>0</v>
      </c>
      <c r="AE111">
        <f>AE110+1</f>
        <v/>
      </c>
      <c r="AF111">
        <f>AF110+1</f>
        <v/>
      </c>
      <c r="AG111">
        <f>D111-Q111</f>
        <v/>
      </c>
      <c r="AH111">
        <f>AG111^2</f>
        <v/>
      </c>
      <c r="AI111">
        <f>(AG111/STDEV($AG$3:$AG$1137))^3</f>
        <v/>
      </c>
      <c r="AJ111">
        <f>(AG111/STDEV($AG$3:$AG$1137))^4</f>
        <v/>
      </c>
      <c r="AK111">
        <f>AF111^2</f>
        <v/>
      </c>
      <c r="AL111">
        <f>IF(AD111=1,AB111,IF(AL110&lt;&gt;"",AL110,""))</f>
        <v/>
      </c>
      <c r="AM111">
        <f>IF(AND(AD111=1,AL110&lt;&gt;""),ABS(AB111-AL110),"")</f>
        <v/>
      </c>
    </row>
    <row r="112">
      <c r="A112" t="n">
        <v>1776453302</v>
      </c>
      <c r="B112" t="inlineStr">
        <is>
          <t>XAUUSD</t>
        </is>
      </c>
      <c r="C112" t="inlineStr">
        <is>
          <t>M15</t>
        </is>
      </c>
      <c r="D112" t="n">
        <v>4856.91</v>
      </c>
      <c r="E112" t="n">
        <v>4518.59282</v>
      </c>
      <c r="F112" t="n">
        <v>4596.05595</v>
      </c>
      <c r="G112" t="n">
        <v>4755.40355</v>
      </c>
      <c r="H112" t="n">
        <v>4792.76972</v>
      </c>
      <c r="Q112" t="n">
        <v>4788.20128</v>
      </c>
      <c r="R112" t="n">
        <v>4817.56458</v>
      </c>
      <c r="S112" t="n">
        <v>4844.15335</v>
      </c>
      <c r="V112" t="n">
        <v>4753.26151</v>
      </c>
      <c r="W112" t="n">
        <v>4719.69651</v>
      </c>
      <c r="AB112" t="n">
        <v>4859.67104</v>
      </c>
      <c r="AC112" t="n">
        <v>4859.7825</v>
      </c>
      <c r="AD112" t="n">
        <v>1</v>
      </c>
      <c r="AE112">
        <f>AE111+1</f>
        <v/>
      </c>
      <c r="AF112">
        <f>AF111+1</f>
        <v/>
      </c>
      <c r="AG112">
        <f>D112-Q112</f>
        <v/>
      </c>
      <c r="AH112">
        <f>AG112^2</f>
        <v/>
      </c>
      <c r="AI112">
        <f>(AG112/STDEV($AG$3:$AG$1137))^3</f>
        <v/>
      </c>
      <c r="AJ112">
        <f>(AG112/STDEV($AG$3:$AG$1137))^4</f>
        <v/>
      </c>
      <c r="AK112">
        <f>AF112^2</f>
        <v/>
      </c>
      <c r="AL112">
        <f>IF(AD112=1,AB112,IF(AL111&lt;&gt;"",AL111,""))</f>
        <v/>
      </c>
      <c r="AM112">
        <f>IF(AND(AD112=1,AL111&lt;&gt;""),ABS(AB112-AL111),"")</f>
        <v/>
      </c>
    </row>
    <row r="113">
      <c r="A113" t="n">
        <v>1776454202</v>
      </c>
      <c r="B113" t="inlineStr">
        <is>
          <t>XAUUSD</t>
        </is>
      </c>
      <c r="C113" t="inlineStr">
        <is>
          <t>M15</t>
        </is>
      </c>
      <c r="D113" t="n">
        <v>4860.34</v>
      </c>
      <c r="E113" t="n">
        <v>4518.59282</v>
      </c>
      <c r="F113" t="n">
        <v>4596.05595</v>
      </c>
      <c r="G113" t="n">
        <v>4755.40355</v>
      </c>
      <c r="H113" t="n">
        <v>4792.76972</v>
      </c>
      <c r="Q113" t="n">
        <v>4787.93368</v>
      </c>
      <c r="R113" t="n">
        <v>4817.29698</v>
      </c>
      <c r="S113" t="n">
        <v>4843.88575</v>
      </c>
      <c r="V113" t="n">
        <v>4752.99391</v>
      </c>
      <c r="W113" t="n">
        <v>4719.42891</v>
      </c>
      <c r="AB113" t="n">
        <v>4857.9269</v>
      </c>
      <c r="AC113" t="n">
        <v>4858.8547</v>
      </c>
      <c r="AD113" t="n">
        <v>0</v>
      </c>
      <c r="AE113">
        <f>AE112+1</f>
        <v/>
      </c>
      <c r="AF113">
        <f>AF112+1</f>
        <v/>
      </c>
      <c r="AG113">
        <f>D113-Q113</f>
        <v/>
      </c>
      <c r="AH113">
        <f>AG113^2</f>
        <v/>
      </c>
      <c r="AI113">
        <f>(AG113/STDEV($AG$3:$AG$1137))^3</f>
        <v/>
      </c>
      <c r="AJ113">
        <f>(AG113/STDEV($AG$3:$AG$1137))^4</f>
        <v/>
      </c>
      <c r="AK113">
        <f>AF113^2</f>
        <v/>
      </c>
      <c r="AL113">
        <f>IF(AD113=1,AB113,IF(AL112&lt;&gt;"",AL112,""))</f>
        <v/>
      </c>
      <c r="AM113">
        <f>IF(AND(AD113=1,AL112&lt;&gt;""),ABS(AB113-AL112),"")</f>
        <v/>
      </c>
    </row>
    <row r="114">
      <c r="A114" t="n">
        <v>1776455102</v>
      </c>
      <c r="B114" t="inlineStr">
        <is>
          <t>XAUUSD</t>
        </is>
      </c>
      <c r="C114" t="inlineStr">
        <is>
          <t>M15</t>
        </is>
      </c>
      <c r="D114" t="n">
        <v>4854.73</v>
      </c>
      <c r="E114" t="n">
        <v>4518.59282</v>
      </c>
      <c r="F114" t="n">
        <v>4596.05595</v>
      </c>
      <c r="G114" t="n">
        <v>4755.40355</v>
      </c>
      <c r="H114" t="n">
        <v>4792.76972</v>
      </c>
      <c r="Q114" t="n">
        <v>4787.66607</v>
      </c>
      <c r="R114" t="n">
        <v>4817.02937</v>
      </c>
      <c r="S114" t="n">
        <v>4843.61814</v>
      </c>
      <c r="V114" t="n">
        <v>4752.7263</v>
      </c>
      <c r="W114" t="n">
        <v>4719.16131</v>
      </c>
      <c r="AB114" t="n">
        <v>4854.35758</v>
      </c>
      <c r="AC114" t="n">
        <v>4856.60614</v>
      </c>
      <c r="AD114" t="n">
        <v>0</v>
      </c>
      <c r="AE114">
        <f>AE113+1</f>
        <v/>
      </c>
      <c r="AF114">
        <f>AF113+1</f>
        <v/>
      </c>
      <c r="AG114">
        <f>D114-Q114</f>
        <v/>
      </c>
      <c r="AH114">
        <f>AG114^2</f>
        <v/>
      </c>
      <c r="AI114">
        <f>(AG114/STDEV($AG$3:$AG$1137))^3</f>
        <v/>
      </c>
      <c r="AJ114">
        <f>(AG114/STDEV($AG$3:$AG$1137))^4</f>
        <v/>
      </c>
      <c r="AK114">
        <f>AF114^2</f>
        <v/>
      </c>
      <c r="AL114">
        <f>IF(AD114=1,AB114,IF(AL113&lt;&gt;"",AL113,""))</f>
        <v/>
      </c>
      <c r="AM114">
        <f>IF(AND(AD114=1,AL113&lt;&gt;""),ABS(AB114-AL113),"")</f>
        <v/>
      </c>
    </row>
    <row r="115">
      <c r="A115" t="n">
        <v>1776456002</v>
      </c>
      <c r="B115" t="inlineStr">
        <is>
          <t>XAUUSD</t>
        </is>
      </c>
      <c r="C115" t="inlineStr">
        <is>
          <t>M15</t>
        </is>
      </c>
      <c r="D115" t="n">
        <v>4845.91</v>
      </c>
      <c r="E115" t="n">
        <v>4518.59282</v>
      </c>
      <c r="F115" t="n">
        <v>4596.05595</v>
      </c>
      <c r="G115" t="n">
        <v>4755.40355</v>
      </c>
      <c r="H115" t="n">
        <v>4792.76972</v>
      </c>
      <c r="Q115" t="n">
        <v>4787.39847</v>
      </c>
      <c r="R115" t="n">
        <v>4816.76177</v>
      </c>
      <c r="S115" t="n">
        <v>4843.35054</v>
      </c>
      <c r="V115" t="n">
        <v>4752.4587</v>
      </c>
      <c r="W115" t="n">
        <v>4718.8937</v>
      </c>
      <c r="AB115" t="n">
        <v>4848.75129</v>
      </c>
      <c r="AC115" t="n">
        <v>4852.67872</v>
      </c>
      <c r="AD115" t="n">
        <v>0</v>
      </c>
      <c r="AE115">
        <f>AE114+1</f>
        <v/>
      </c>
      <c r="AF115">
        <f>AF114+1</f>
        <v/>
      </c>
      <c r="AG115">
        <f>D115-Q115</f>
        <v/>
      </c>
      <c r="AH115">
        <f>AG115^2</f>
        <v/>
      </c>
      <c r="AI115">
        <f>(AG115/STDEV($AG$3:$AG$1137))^3</f>
        <v/>
      </c>
      <c r="AJ115">
        <f>(AG115/STDEV($AG$3:$AG$1137))^4</f>
        <v/>
      </c>
      <c r="AK115">
        <f>AF115^2</f>
        <v/>
      </c>
      <c r="AL115">
        <f>IF(AD115=1,AB115,IF(AL114&lt;&gt;"",AL114,""))</f>
        <v/>
      </c>
      <c r="AM115">
        <f>IF(AND(AD115=1,AL114&lt;&gt;""),ABS(AB115-AL114),"")</f>
        <v/>
      </c>
    </row>
    <row r="116">
      <c r="A116" t="n">
        <v>1776456902</v>
      </c>
      <c r="B116" t="inlineStr">
        <is>
          <t>XAUUSD</t>
        </is>
      </c>
      <c r="C116" t="inlineStr">
        <is>
          <t>M15</t>
        </is>
      </c>
      <c r="D116" t="n">
        <v>4845.96</v>
      </c>
      <c r="E116" t="n">
        <v>4518.59282</v>
      </c>
      <c r="F116" t="n">
        <v>4596.05595</v>
      </c>
      <c r="G116" t="n">
        <v>4755.40355</v>
      </c>
      <c r="H116" t="n">
        <v>4792.76972</v>
      </c>
      <c r="Q116" t="n">
        <v>4787.13086</v>
      </c>
      <c r="R116" t="n">
        <v>4816.49416</v>
      </c>
      <c r="S116" t="n">
        <v>4843.08293</v>
      </c>
      <c r="V116" t="n">
        <v>4752.19109</v>
      </c>
      <c r="W116" t="n">
        <v>4718.6261</v>
      </c>
      <c r="AB116" t="n">
        <v>4841.15421</v>
      </c>
      <c r="AC116" t="n">
        <v>4846.91646</v>
      </c>
      <c r="AD116" t="n">
        <v>0</v>
      </c>
      <c r="AE116">
        <f>AE115+1</f>
        <v/>
      </c>
      <c r="AF116">
        <f>AF115+1</f>
        <v/>
      </c>
      <c r="AG116">
        <f>D116-Q116</f>
        <v/>
      </c>
      <c r="AH116">
        <f>AG116^2</f>
        <v/>
      </c>
      <c r="AI116">
        <f>(AG116/STDEV($AG$3:$AG$1137))^3</f>
        <v/>
      </c>
      <c r="AJ116">
        <f>(AG116/STDEV($AG$3:$AG$1137))^4</f>
        <v/>
      </c>
      <c r="AK116">
        <f>AF116^2</f>
        <v/>
      </c>
      <c r="AL116">
        <f>IF(AD116=1,AB116,IF(AL115&lt;&gt;"",AL115,""))</f>
        <v/>
      </c>
      <c r="AM116">
        <f>IF(AND(AD116=1,AL115&lt;&gt;""),ABS(AB116-AL115),"")</f>
        <v/>
      </c>
    </row>
    <row r="117">
      <c r="A117" t="n">
        <v>1776457802</v>
      </c>
      <c r="B117" t="inlineStr">
        <is>
          <t>XAUUSD</t>
        </is>
      </c>
      <c r="C117" t="inlineStr">
        <is>
          <t>M15</t>
        </is>
      </c>
      <c r="D117" t="n">
        <v>4835.81</v>
      </c>
      <c r="E117" t="n">
        <v>4518.59282</v>
      </c>
      <c r="F117" t="n">
        <v>4596.05595</v>
      </c>
      <c r="G117" t="n">
        <v>4755.40355</v>
      </c>
      <c r="H117" t="n">
        <v>4792.76972</v>
      </c>
      <c r="Q117" t="n">
        <v>4786.86326</v>
      </c>
      <c r="R117" t="n">
        <v>4816.22656</v>
      </c>
      <c r="S117" t="n">
        <v>4842.81533</v>
      </c>
      <c r="V117" t="n">
        <v>4751.92349</v>
      </c>
      <c r="W117" t="n">
        <v>4718.35849</v>
      </c>
      <c r="AB117" t="n">
        <v>4831.47546</v>
      </c>
      <c r="AC117" t="n">
        <v>4839.19596</v>
      </c>
      <c r="AD117" t="n">
        <v>0</v>
      </c>
      <c r="AE117">
        <f>AE116+1</f>
        <v/>
      </c>
      <c r="AF117">
        <f>AF116+1</f>
        <v/>
      </c>
      <c r="AG117">
        <f>D117-Q117</f>
        <v/>
      </c>
      <c r="AH117">
        <f>AG117^2</f>
        <v/>
      </c>
      <c r="AI117">
        <f>(AG117/STDEV($AG$3:$AG$1137))^3</f>
        <v/>
      </c>
      <c r="AJ117">
        <f>(AG117/STDEV($AG$3:$AG$1137))^4</f>
        <v/>
      </c>
      <c r="AK117">
        <f>AF117^2</f>
        <v/>
      </c>
      <c r="AL117">
        <f>IF(AD117=1,AB117,IF(AL116&lt;&gt;"",AL116,""))</f>
        <v/>
      </c>
      <c r="AM117">
        <f>IF(AND(AD117=1,AL116&lt;&gt;""),ABS(AB117-AL116),"")</f>
        <v/>
      </c>
    </row>
    <row r="118">
      <c r="A118" t="n">
        <v>1776458702</v>
      </c>
      <c r="B118" t="inlineStr">
        <is>
          <t>XAUUSD</t>
        </is>
      </c>
      <c r="C118" t="inlineStr">
        <is>
          <t>M15</t>
        </is>
      </c>
      <c r="D118" t="n">
        <v>4833.02</v>
      </c>
      <c r="E118" t="n">
        <v>4518.59282</v>
      </c>
      <c r="F118" t="n">
        <v>4596.05595</v>
      </c>
      <c r="G118" t="n">
        <v>4755.40355</v>
      </c>
      <c r="H118" t="n">
        <v>4792.76972</v>
      </c>
      <c r="Q118" t="n">
        <v>4786.59566</v>
      </c>
      <c r="R118" t="n">
        <v>4815.95896</v>
      </c>
      <c r="S118" t="n">
        <v>4842.54773</v>
      </c>
      <c r="V118" t="n">
        <v>4751.65589</v>
      </c>
      <c r="W118" t="n">
        <v>4718.09089</v>
      </c>
      <c r="AB118" t="n">
        <v>4820.06582</v>
      </c>
      <c r="AC118" t="n">
        <v>4829.63089</v>
      </c>
      <c r="AD118" t="n">
        <v>0</v>
      </c>
      <c r="AE118">
        <f>AE117+1</f>
        <v/>
      </c>
      <c r="AF118">
        <f>AF117+1</f>
        <v/>
      </c>
      <c r="AG118">
        <f>D118-Q118</f>
        <v/>
      </c>
      <c r="AH118">
        <f>AG118^2</f>
        <v/>
      </c>
      <c r="AI118">
        <f>(AG118/STDEV($AG$3:$AG$1137))^3</f>
        <v/>
      </c>
      <c r="AJ118">
        <f>(AG118/STDEV($AG$3:$AG$1137))^4</f>
        <v/>
      </c>
      <c r="AK118">
        <f>AF118^2</f>
        <v/>
      </c>
      <c r="AL118">
        <f>IF(AD118=1,AB118,IF(AL117&lt;&gt;"",AL117,""))</f>
        <v/>
      </c>
      <c r="AM118">
        <f>IF(AND(AD118=1,AL117&lt;&gt;""),ABS(AB118-AL117),"")</f>
        <v/>
      </c>
    </row>
    <row r="119">
      <c r="A119" t="n">
        <v>1776636002</v>
      </c>
      <c r="B119" t="inlineStr">
        <is>
          <t>XAUUSD</t>
        </is>
      </c>
      <c r="C119" t="inlineStr">
        <is>
          <t>M15</t>
        </is>
      </c>
      <c r="D119" t="n">
        <v>4790.21</v>
      </c>
      <c r="E119" t="n">
        <v>4518.59282</v>
      </c>
      <c r="F119" t="n">
        <v>4596.05595</v>
      </c>
      <c r="G119" t="n">
        <v>4755.40355</v>
      </c>
      <c r="H119" t="n">
        <v>4792.76972</v>
      </c>
      <c r="Q119" t="n">
        <v>4786.32805</v>
      </c>
      <c r="R119" t="n">
        <v>4815.69135</v>
      </c>
      <c r="S119" t="n">
        <v>4842.28012</v>
      </c>
      <c r="V119" t="n">
        <v>4751.38828</v>
      </c>
      <c r="W119" t="n">
        <v>4717.82329</v>
      </c>
      <c r="AB119" t="n">
        <v>4807.39385</v>
      </c>
      <c r="AC119" t="n">
        <v>4818.51237</v>
      </c>
      <c r="AD119" t="n">
        <v>0</v>
      </c>
      <c r="AE119">
        <f>AE118+1</f>
        <v/>
      </c>
      <c r="AF119">
        <f>AF118+1</f>
        <v/>
      </c>
      <c r="AG119">
        <f>D119-Q119</f>
        <v/>
      </c>
      <c r="AH119">
        <f>AG119^2</f>
        <v/>
      </c>
      <c r="AI119">
        <f>(AG119/STDEV($AG$3:$AG$1137))^3</f>
        <v/>
      </c>
      <c r="AJ119">
        <f>(AG119/STDEV($AG$3:$AG$1137))^4</f>
        <v/>
      </c>
      <c r="AK119">
        <f>AF119^2</f>
        <v/>
      </c>
      <c r="AL119">
        <f>IF(AD119=1,AB119,IF(AL118&lt;&gt;"",AL118,""))</f>
        <v/>
      </c>
      <c r="AM119">
        <f>IF(AND(AD119=1,AL118&lt;&gt;""),ABS(AB119-AL118),"")</f>
        <v/>
      </c>
    </row>
    <row r="120">
      <c r="A120" t="n">
        <v>1776636902</v>
      </c>
      <c r="B120" t="inlineStr">
        <is>
          <t>XAUUSD</t>
        </is>
      </c>
      <c r="C120" t="inlineStr">
        <is>
          <t>M15</t>
        </is>
      </c>
      <c r="D120" t="n">
        <v>4784.84</v>
      </c>
      <c r="E120" t="n">
        <v>4518.59282</v>
      </c>
      <c r="F120" t="n">
        <v>4596.05595</v>
      </c>
      <c r="G120" t="n">
        <v>4755.40355</v>
      </c>
      <c r="H120" t="n">
        <v>4792.76972</v>
      </c>
      <c r="Q120" t="n">
        <v>4786.06045</v>
      </c>
      <c r="R120" t="n">
        <v>4815.42375</v>
      </c>
      <c r="S120" t="n">
        <v>4842.01252</v>
      </c>
      <c r="V120" t="n">
        <v>4751.12068</v>
      </c>
      <c r="W120" t="n">
        <v>4717.55568</v>
      </c>
      <c r="AB120" t="n">
        <v>4795.08615</v>
      </c>
      <c r="AC120" t="n">
        <v>4806.79926</v>
      </c>
      <c r="AD120" t="n">
        <v>0</v>
      </c>
      <c r="AE120">
        <f>AE119+1</f>
        <v/>
      </c>
      <c r="AF120">
        <f>AF119+1</f>
        <v/>
      </c>
      <c r="AG120">
        <f>D120-Q120</f>
        <v/>
      </c>
      <c r="AH120">
        <f>AG120^2</f>
        <v/>
      </c>
      <c r="AI120">
        <f>(AG120/STDEV($AG$3:$AG$1137))^3</f>
        <v/>
      </c>
      <c r="AJ120">
        <f>(AG120/STDEV($AG$3:$AG$1137))^4</f>
        <v/>
      </c>
      <c r="AK120">
        <f>AF120^2</f>
        <v/>
      </c>
      <c r="AL120">
        <f>IF(AD120=1,AB120,IF(AL119&lt;&gt;"",AL119,""))</f>
        <v/>
      </c>
      <c r="AM120">
        <f>IF(AND(AD120=1,AL119&lt;&gt;""),ABS(AB120-AL119),"")</f>
        <v/>
      </c>
    </row>
    <row r="121">
      <c r="A121" t="n">
        <v>1776637802</v>
      </c>
      <c r="B121" t="inlineStr">
        <is>
          <t>XAUUSD</t>
        </is>
      </c>
      <c r="C121" t="inlineStr">
        <is>
          <t>M15</t>
        </is>
      </c>
      <c r="D121" t="n">
        <v>4780.29</v>
      </c>
      <c r="E121" t="n">
        <v>4518.59282</v>
      </c>
      <c r="F121" t="n">
        <v>4596.05595</v>
      </c>
      <c r="G121" t="n">
        <v>4755.40355</v>
      </c>
      <c r="H121" t="n">
        <v>4792.76972</v>
      </c>
      <c r="Q121" t="n">
        <v>4785.79284</v>
      </c>
      <c r="R121" t="n">
        <v>4815.15614</v>
      </c>
      <c r="S121" t="n">
        <v>4841.74491</v>
      </c>
      <c r="V121" t="n">
        <v>4750.85307</v>
      </c>
      <c r="W121" t="n">
        <v>4717.28808</v>
      </c>
      <c r="AB121" t="n">
        <v>4783.68017</v>
      </c>
      <c r="AC121" t="n">
        <v>4795.23972</v>
      </c>
      <c r="AD121" t="n">
        <v>0</v>
      </c>
      <c r="AE121">
        <f>AE120+1</f>
        <v/>
      </c>
      <c r="AF121">
        <f>AF120+1</f>
        <v/>
      </c>
      <c r="AG121">
        <f>D121-Q121</f>
        <v/>
      </c>
      <c r="AH121">
        <f>AG121^2</f>
        <v/>
      </c>
      <c r="AI121">
        <f>(AG121/STDEV($AG$3:$AG$1137))^3</f>
        <v/>
      </c>
      <c r="AJ121">
        <f>(AG121/STDEV($AG$3:$AG$1137))^4</f>
        <v/>
      </c>
      <c r="AK121">
        <f>AF121^2</f>
        <v/>
      </c>
      <c r="AL121">
        <f>IF(AD121=1,AB121,IF(AL120&lt;&gt;"",AL120,""))</f>
        <v/>
      </c>
      <c r="AM121">
        <f>IF(AND(AD121=1,AL120&lt;&gt;""),ABS(AB121-AL120),"")</f>
        <v/>
      </c>
    </row>
    <row r="122">
      <c r="A122" t="n">
        <v>1776638702</v>
      </c>
      <c r="B122" t="inlineStr">
        <is>
          <t>XAUUSD</t>
        </is>
      </c>
      <c r="C122" t="inlineStr">
        <is>
          <t>M15</t>
        </is>
      </c>
      <c r="D122" t="n">
        <v>4779.23</v>
      </c>
      <c r="E122" t="n">
        <v>4518.59282</v>
      </c>
      <c r="F122" t="n">
        <v>4596.05595</v>
      </c>
      <c r="G122" t="n">
        <v>4755.40355</v>
      </c>
      <c r="H122" t="n">
        <v>4792.76972</v>
      </c>
      <c r="Q122" t="n">
        <v>4785.52524</v>
      </c>
      <c r="R122" t="n">
        <v>4814.88854</v>
      </c>
      <c r="S122" t="n">
        <v>4841.47731</v>
      </c>
      <c r="V122" t="n">
        <v>4750.58547</v>
      </c>
      <c r="W122" t="n">
        <v>4717.02047</v>
      </c>
      <c r="AB122" t="n">
        <v>4773.6806</v>
      </c>
      <c r="AC122" t="n">
        <v>4784.46016</v>
      </c>
      <c r="AD122" t="n">
        <v>0</v>
      </c>
      <c r="AE122">
        <f>AE121+1</f>
        <v/>
      </c>
      <c r="AF122">
        <f>AF121+1</f>
        <v/>
      </c>
      <c r="AG122">
        <f>D122-Q122</f>
        <v/>
      </c>
      <c r="AH122">
        <f>AG122^2</f>
        <v/>
      </c>
      <c r="AI122">
        <f>(AG122/STDEV($AG$3:$AG$1137))^3</f>
        <v/>
      </c>
      <c r="AJ122">
        <f>(AG122/STDEV($AG$3:$AG$1137))^4</f>
        <v/>
      </c>
      <c r="AK122">
        <f>AF122^2</f>
        <v/>
      </c>
      <c r="AL122">
        <f>IF(AD122=1,AB122,IF(AL121&lt;&gt;"",AL121,""))</f>
        <v/>
      </c>
      <c r="AM122">
        <f>IF(AND(AD122=1,AL121&lt;&gt;""),ABS(AB122-AL121),"")</f>
        <v/>
      </c>
    </row>
    <row r="123">
      <c r="A123" t="n">
        <v>1776639602</v>
      </c>
      <c r="B123" t="inlineStr">
        <is>
          <t>XAUUSD</t>
        </is>
      </c>
      <c r="C123" t="inlineStr">
        <is>
          <t>M15</t>
        </is>
      </c>
      <c r="D123" t="n">
        <v>4772.65</v>
      </c>
      <c r="E123" t="n">
        <v>4518.59282</v>
      </c>
      <c r="F123" t="n">
        <v>4596.05595</v>
      </c>
      <c r="G123" t="n">
        <v>4755.40355</v>
      </c>
      <c r="H123" t="n">
        <v>4792.76972</v>
      </c>
      <c r="Q123" t="n">
        <v>4785.25764</v>
      </c>
      <c r="R123" t="n">
        <v>4814.62093</v>
      </c>
      <c r="S123" t="n">
        <v>4841.20971</v>
      </c>
      <c r="V123" t="n">
        <v>4750.31787</v>
      </c>
      <c r="W123" t="n">
        <v>4716.75287</v>
      </c>
      <c r="AB123" t="n">
        <v>4765.42377</v>
      </c>
      <c r="AC123" t="n">
        <v>4774.94196</v>
      </c>
      <c r="AD123" t="n">
        <v>0</v>
      </c>
      <c r="AE123">
        <f>AE122+1</f>
        <v/>
      </c>
      <c r="AF123">
        <f>AF122+1</f>
        <v/>
      </c>
      <c r="AG123">
        <f>D123-Q123</f>
        <v/>
      </c>
      <c r="AH123">
        <f>AG123^2</f>
        <v/>
      </c>
      <c r="AI123">
        <f>(AG123/STDEV($AG$3:$AG$1137))^3</f>
        <v/>
      </c>
      <c r="AJ123">
        <f>(AG123/STDEV($AG$3:$AG$1137))^4</f>
        <v/>
      </c>
      <c r="AK123">
        <f>AF123^2</f>
        <v/>
      </c>
      <c r="AL123">
        <f>IF(AD123=1,AB123,IF(AL122&lt;&gt;"",AL122,""))</f>
        <v/>
      </c>
      <c r="AM123">
        <f>IF(AND(AD123=1,AL122&lt;&gt;""),ABS(AB123-AL122),"")</f>
        <v/>
      </c>
    </row>
    <row r="124">
      <c r="A124" t="n">
        <v>1776640502</v>
      </c>
      <c r="B124" t="inlineStr">
        <is>
          <t>XAUUSD</t>
        </is>
      </c>
      <c r="C124" t="inlineStr">
        <is>
          <t>M15</t>
        </is>
      </c>
      <c r="D124" t="n">
        <v>4769.43</v>
      </c>
      <c r="E124" t="n">
        <v>4518.59282</v>
      </c>
      <c r="F124" t="n">
        <v>4596.05595</v>
      </c>
      <c r="G124" t="n">
        <v>4755.40355</v>
      </c>
      <c r="H124" t="n">
        <v>4792.76972</v>
      </c>
      <c r="Q124" t="n">
        <v>4784.99003</v>
      </c>
      <c r="R124" t="n">
        <v>4814.35333</v>
      </c>
      <c r="S124" t="n">
        <v>4840.9421</v>
      </c>
      <c r="V124" t="n">
        <v>4750.05026</v>
      </c>
      <c r="W124" t="n">
        <v>4716.48527</v>
      </c>
      <c r="AB124" t="n">
        <v>4759.3575</v>
      </c>
      <c r="AC124" t="n">
        <v>4767.14973</v>
      </c>
      <c r="AD124" t="n">
        <v>0</v>
      </c>
      <c r="AE124">
        <f>AE123+1</f>
        <v/>
      </c>
      <c r="AF124">
        <f>AF123+1</f>
        <v/>
      </c>
      <c r="AG124">
        <f>D124-Q124</f>
        <v/>
      </c>
      <c r="AH124">
        <f>AG124^2</f>
        <v/>
      </c>
      <c r="AI124">
        <f>(AG124/STDEV($AG$3:$AG$1137))^3</f>
        <v/>
      </c>
      <c r="AJ124">
        <f>(AG124/STDEV($AG$3:$AG$1137))^4</f>
        <v/>
      </c>
      <c r="AK124">
        <f>AF124^2</f>
        <v/>
      </c>
      <c r="AL124">
        <f>IF(AD124=1,AB124,IF(AL123&lt;&gt;"",AL123,""))</f>
        <v/>
      </c>
      <c r="AM124">
        <f>IF(AND(AD124=1,AL123&lt;&gt;""),ABS(AB124-AL123),"")</f>
        <v/>
      </c>
    </row>
    <row r="125">
      <c r="A125" t="n">
        <v>1776641402</v>
      </c>
      <c r="B125" t="inlineStr">
        <is>
          <t>XAUUSD</t>
        </is>
      </c>
      <c r="C125" t="inlineStr">
        <is>
          <t>M15</t>
        </is>
      </c>
      <c r="D125" t="n">
        <v>4752.06</v>
      </c>
      <c r="E125" t="n">
        <v>4518.59282</v>
      </c>
      <c r="F125" t="n">
        <v>4596.05595</v>
      </c>
      <c r="G125" t="n">
        <v>4755.40355</v>
      </c>
      <c r="H125" t="n">
        <v>4792.76972</v>
      </c>
      <c r="Q125" t="n">
        <v>4784.72243</v>
      </c>
      <c r="R125" t="n">
        <v>4814.08573</v>
      </c>
      <c r="S125" t="n">
        <v>4840.6745</v>
      </c>
      <c r="V125" t="n">
        <v>4749.78266</v>
      </c>
      <c r="W125" t="n">
        <v>4716.21766</v>
      </c>
      <c r="AB125" t="n">
        <v>4755.83216</v>
      </c>
      <c r="AC125" t="n">
        <v>4761.49094</v>
      </c>
      <c r="AD125" t="n">
        <v>0</v>
      </c>
      <c r="AE125">
        <f>AE124+1</f>
        <v/>
      </c>
      <c r="AF125">
        <f>AF124+1</f>
        <v/>
      </c>
      <c r="AG125">
        <f>D125-Q125</f>
        <v/>
      </c>
      <c r="AH125">
        <f>AG125^2</f>
        <v/>
      </c>
      <c r="AI125">
        <f>(AG125/STDEV($AG$3:$AG$1137))^3</f>
        <v/>
      </c>
      <c r="AJ125">
        <f>(AG125/STDEV($AG$3:$AG$1137))^4</f>
        <v/>
      </c>
      <c r="AK125">
        <f>AF125^2</f>
        <v/>
      </c>
      <c r="AL125">
        <f>IF(AD125=1,AB125,IF(AL124&lt;&gt;"",AL124,""))</f>
        <v/>
      </c>
      <c r="AM125">
        <f>IF(AND(AD125=1,AL124&lt;&gt;""),ABS(AB125-AL124),"")</f>
        <v/>
      </c>
    </row>
    <row r="126">
      <c r="A126" t="n">
        <v>1776642302</v>
      </c>
      <c r="B126" t="inlineStr">
        <is>
          <t>XAUUSD</t>
        </is>
      </c>
      <c r="C126" t="inlineStr">
        <is>
          <t>M15</t>
        </is>
      </c>
      <c r="D126" t="n">
        <v>4755.07</v>
      </c>
      <c r="E126" t="n">
        <v>4518.59282</v>
      </c>
      <c r="F126" t="n">
        <v>4596.05595</v>
      </c>
      <c r="G126" t="n">
        <v>4755.40355</v>
      </c>
      <c r="H126" t="n">
        <v>4792.76972</v>
      </c>
      <c r="Q126" t="n">
        <v>4784.45482</v>
      </c>
      <c r="R126" t="n">
        <v>4813.81812</v>
      </c>
      <c r="S126" t="n">
        <v>4840.40689</v>
      </c>
      <c r="V126" t="n">
        <v>4749.51505</v>
      </c>
      <c r="W126" t="n">
        <v>4715.95006</v>
      </c>
      <c r="AA126" t="n">
        <v>4736.96</v>
      </c>
      <c r="AB126" t="n">
        <v>4755.50535</v>
      </c>
      <c r="AC126" t="n">
        <v>4758.49815</v>
      </c>
      <c r="AD126" t="n">
        <v>0</v>
      </c>
      <c r="AE126">
        <f>AE125+1</f>
        <v/>
      </c>
      <c r="AF126">
        <f>AF125+1</f>
        <v/>
      </c>
      <c r="AG126">
        <f>D126-Q126</f>
        <v/>
      </c>
      <c r="AH126">
        <f>AG126^2</f>
        <v/>
      </c>
      <c r="AI126">
        <f>(AG126/STDEV($AG$3:$AG$1137))^3</f>
        <v/>
      </c>
      <c r="AJ126">
        <f>(AG126/STDEV($AG$3:$AG$1137))^4</f>
        <v/>
      </c>
      <c r="AK126">
        <f>AF126^2</f>
        <v/>
      </c>
      <c r="AL126">
        <f>IF(AD126=1,AB126,IF(AL125&lt;&gt;"",AL125,""))</f>
        <v/>
      </c>
      <c r="AM126">
        <f>IF(AND(AD126=1,AL125&lt;&gt;""),ABS(AB126-AL125),"")</f>
        <v/>
      </c>
    </row>
    <row r="127">
      <c r="A127" t="n">
        <v>1776643202</v>
      </c>
      <c r="B127" t="inlineStr">
        <is>
          <t>XAUUSD</t>
        </is>
      </c>
      <c r="C127" t="inlineStr">
        <is>
          <t>M15</t>
        </is>
      </c>
      <c r="D127" t="n">
        <v>4752.17</v>
      </c>
      <c r="E127" t="n">
        <v>4518.59282</v>
      </c>
      <c r="F127" t="n">
        <v>4596.05595</v>
      </c>
      <c r="G127" t="n">
        <v>4755.40355</v>
      </c>
      <c r="H127" t="n">
        <v>4792.76972</v>
      </c>
      <c r="Q127" t="n">
        <v>4784.18722</v>
      </c>
      <c r="R127" t="n">
        <v>4813.55052</v>
      </c>
      <c r="S127" t="n">
        <v>4840.13929</v>
      </c>
      <c r="V127" t="n">
        <v>4749.24745</v>
      </c>
      <c r="W127" t="n">
        <v>4715.68245</v>
      </c>
      <c r="AB127" t="n">
        <v>4758.26888</v>
      </c>
      <c r="AC127" t="n">
        <v>4758.38351</v>
      </c>
      <c r="AD127" t="n">
        <v>0</v>
      </c>
      <c r="AE127">
        <f>AE126+1</f>
        <v/>
      </c>
      <c r="AF127">
        <f>AF126+1</f>
        <v/>
      </c>
      <c r="AG127">
        <f>D127-Q127</f>
        <v/>
      </c>
      <c r="AH127">
        <f>AG127^2</f>
        <v/>
      </c>
      <c r="AI127">
        <f>(AG127/STDEV($AG$3:$AG$1137))^3</f>
        <v/>
      </c>
      <c r="AJ127">
        <f>(AG127/STDEV($AG$3:$AG$1137))^4</f>
        <v/>
      </c>
      <c r="AK127">
        <f>AF127^2</f>
        <v/>
      </c>
      <c r="AL127">
        <f>IF(AD127=1,AB127,IF(AL126&lt;&gt;"",AL126,""))</f>
        <v/>
      </c>
      <c r="AM127">
        <f>IF(AND(AD127=1,AL126&lt;&gt;""),ABS(AB127-AL126),"")</f>
        <v/>
      </c>
    </row>
    <row r="128">
      <c r="A128" t="n">
        <v>1776644102</v>
      </c>
      <c r="B128" t="inlineStr">
        <is>
          <t>XAUUSD</t>
        </is>
      </c>
      <c r="C128" t="inlineStr">
        <is>
          <t>M15</t>
        </is>
      </c>
      <c r="D128" t="n">
        <v>4765.66</v>
      </c>
      <c r="E128" t="n">
        <v>4518.59282</v>
      </c>
      <c r="F128" t="n">
        <v>4596.05595</v>
      </c>
      <c r="G128" t="n">
        <v>4755.40355</v>
      </c>
      <c r="H128" t="n">
        <v>4792.76972</v>
      </c>
      <c r="Q128" t="n">
        <v>4783.91962</v>
      </c>
      <c r="R128" t="n">
        <v>4813.28291</v>
      </c>
      <c r="S128" t="n">
        <v>4839.87169</v>
      </c>
      <c r="V128" t="n">
        <v>4748.97985</v>
      </c>
      <c r="W128" t="n">
        <v>4715.41485</v>
      </c>
      <c r="AB128" t="n">
        <v>4763.91219</v>
      </c>
      <c r="AC128" t="n">
        <v>4761.14785</v>
      </c>
      <c r="AD128" t="n">
        <v>1</v>
      </c>
      <c r="AE128">
        <f>AE127+1</f>
        <v/>
      </c>
      <c r="AF128">
        <f>AF127+1</f>
        <v/>
      </c>
      <c r="AG128">
        <f>D128-Q128</f>
        <v/>
      </c>
      <c r="AH128">
        <f>AG128^2</f>
        <v/>
      </c>
      <c r="AI128">
        <f>(AG128/STDEV($AG$3:$AG$1137))^3</f>
        <v/>
      </c>
      <c r="AJ128">
        <f>(AG128/STDEV($AG$3:$AG$1137))^4</f>
        <v/>
      </c>
      <c r="AK128">
        <f>AF128^2</f>
        <v/>
      </c>
      <c r="AL128">
        <f>IF(AD128=1,AB128,IF(AL127&lt;&gt;"",AL127,""))</f>
        <v/>
      </c>
      <c r="AM128">
        <f>IF(AND(AD128=1,AL127&lt;&gt;""),ABS(AB128-AL127),"")</f>
        <v/>
      </c>
    </row>
    <row r="129">
      <c r="A129" t="n">
        <v>1776645002</v>
      </c>
      <c r="B129" t="inlineStr">
        <is>
          <t>XAUUSD</t>
        </is>
      </c>
      <c r="C129" t="inlineStr">
        <is>
          <t>M15</t>
        </is>
      </c>
      <c r="D129" t="n">
        <v>4764.3</v>
      </c>
      <c r="E129" t="n">
        <v>4518.59282</v>
      </c>
      <c r="F129" t="n">
        <v>4596.05595</v>
      </c>
      <c r="G129" t="n">
        <v>4755.40355</v>
      </c>
      <c r="H129" t="n">
        <v>4792.76972</v>
      </c>
      <c r="Q129" t="n">
        <v>4783.65201</v>
      </c>
      <c r="R129" t="n">
        <v>4813.01531</v>
      </c>
      <c r="S129" t="n">
        <v>4839.60408</v>
      </c>
      <c r="V129" t="n">
        <v>4748.71224</v>
      </c>
      <c r="W129" t="n">
        <v>4715.14725</v>
      </c>
      <c r="AB129" t="n">
        <v>4771.48109</v>
      </c>
      <c r="AC129" t="n">
        <v>4766.31447</v>
      </c>
      <c r="AD129" t="n">
        <v>0</v>
      </c>
      <c r="AE129">
        <f>AE128+1</f>
        <v/>
      </c>
      <c r="AF129">
        <f>AF128+1</f>
        <v/>
      </c>
      <c r="AG129">
        <f>D129-Q129</f>
        <v/>
      </c>
      <c r="AH129">
        <f>AG129^2</f>
        <v/>
      </c>
      <c r="AI129">
        <f>(AG129/STDEV($AG$3:$AG$1137))^3</f>
        <v/>
      </c>
      <c r="AJ129">
        <f>(AG129/STDEV($AG$3:$AG$1137))^4</f>
        <v/>
      </c>
      <c r="AK129">
        <f>AF129^2</f>
        <v/>
      </c>
      <c r="AL129">
        <f>IF(AD129=1,AB129,IF(AL128&lt;&gt;"",AL128,""))</f>
        <v/>
      </c>
      <c r="AM129">
        <f>IF(AND(AD129=1,AL128&lt;&gt;""),ABS(AB129-AL128),"")</f>
        <v/>
      </c>
    </row>
    <row r="130">
      <c r="A130" t="n">
        <v>1776645902</v>
      </c>
      <c r="B130" t="inlineStr">
        <is>
          <t>XAUUSD</t>
        </is>
      </c>
      <c r="C130" t="inlineStr">
        <is>
          <t>M15</t>
        </is>
      </c>
      <c r="D130" t="n">
        <v>4772.93</v>
      </c>
      <c r="E130" t="n">
        <v>4518.59282</v>
      </c>
      <c r="F130" t="n">
        <v>4596.05595</v>
      </c>
      <c r="G130" t="n">
        <v>4755.40355</v>
      </c>
      <c r="H130" t="n">
        <v>4792.76972</v>
      </c>
      <c r="Q130" t="n">
        <v>4783.38441</v>
      </c>
      <c r="R130" t="n">
        <v>4812.74771</v>
      </c>
      <c r="S130" t="n">
        <v>4839.33648</v>
      </c>
      <c r="V130" t="n">
        <v>4748.44464</v>
      </c>
      <c r="W130" t="n">
        <v>4714.87964</v>
      </c>
      <c r="AB130" t="n">
        <v>4780.20504</v>
      </c>
      <c r="AC130" t="n">
        <v>4773.25976</v>
      </c>
      <c r="AD130" t="n">
        <v>0</v>
      </c>
      <c r="AE130">
        <f>AE129+1</f>
        <v/>
      </c>
      <c r="AF130">
        <f>AF129+1</f>
        <v/>
      </c>
      <c r="AG130">
        <f>D130-Q130</f>
        <v/>
      </c>
      <c r="AH130">
        <f>AG130^2</f>
        <v/>
      </c>
      <c r="AI130">
        <f>(AG130/STDEV($AG$3:$AG$1137))^3</f>
        <v/>
      </c>
      <c r="AJ130">
        <f>(AG130/STDEV($AG$3:$AG$1137))^4</f>
        <v/>
      </c>
      <c r="AK130">
        <f>AF130^2</f>
        <v/>
      </c>
      <c r="AL130">
        <f>IF(AD130=1,AB130,IF(AL129&lt;&gt;"",AL129,""))</f>
        <v/>
      </c>
      <c r="AM130">
        <f>IF(AND(AD130=1,AL129&lt;&gt;""),ABS(AB130-AL129),"")</f>
        <v/>
      </c>
    </row>
    <row r="131">
      <c r="A131" t="n">
        <v>1776646802</v>
      </c>
      <c r="B131" t="inlineStr">
        <is>
          <t>XAUUSD</t>
        </is>
      </c>
      <c r="C131" t="inlineStr">
        <is>
          <t>M15</t>
        </is>
      </c>
      <c r="D131" t="n">
        <v>4793.92</v>
      </c>
      <c r="E131" t="n">
        <v>4518.59282</v>
      </c>
      <c r="F131" t="n">
        <v>4596.05595</v>
      </c>
      <c r="G131" t="n">
        <v>4755.40355</v>
      </c>
      <c r="H131" t="n">
        <v>4792.76972</v>
      </c>
      <c r="Q131" t="n">
        <v>4783.1168</v>
      </c>
      <c r="R131" t="n">
        <v>4812.4801</v>
      </c>
      <c r="S131" t="n">
        <v>4839.06887</v>
      </c>
      <c r="V131" t="n">
        <v>4748.17703</v>
      </c>
      <c r="W131" t="n">
        <v>4714.61204</v>
      </c>
      <c r="AB131" t="n">
        <v>4788.94333</v>
      </c>
      <c r="AC131" t="n">
        <v>4781.10154</v>
      </c>
      <c r="AD131" t="n">
        <v>0</v>
      </c>
      <c r="AE131">
        <f>AE130+1</f>
        <v/>
      </c>
      <c r="AF131">
        <f>AF130+1</f>
        <v/>
      </c>
      <c r="AG131">
        <f>D131-Q131</f>
        <v/>
      </c>
      <c r="AH131">
        <f>AG131^2</f>
        <v/>
      </c>
      <c r="AI131">
        <f>(AG131/STDEV($AG$3:$AG$1137))^3</f>
        <v/>
      </c>
      <c r="AJ131">
        <f>(AG131/STDEV($AG$3:$AG$1137))^4</f>
        <v/>
      </c>
      <c r="AK131">
        <f>AF131^2</f>
        <v/>
      </c>
      <c r="AL131">
        <f>IF(AD131=1,AB131,IF(AL130&lt;&gt;"",AL130,""))</f>
        <v/>
      </c>
      <c r="AM131">
        <f>IF(AND(AD131=1,AL130&lt;&gt;""),ABS(AB131-AL130),"")</f>
        <v/>
      </c>
    </row>
    <row r="132">
      <c r="A132" t="n">
        <v>1776647702</v>
      </c>
      <c r="B132" t="inlineStr">
        <is>
          <t>XAUUSD</t>
        </is>
      </c>
      <c r="C132" t="inlineStr">
        <is>
          <t>M15</t>
        </is>
      </c>
      <c r="D132" t="n">
        <v>4802.69</v>
      </c>
      <c r="E132" t="n">
        <v>4518.59282</v>
      </c>
      <c r="F132" t="n">
        <v>4596.05595</v>
      </c>
      <c r="G132" t="n">
        <v>4755.40355</v>
      </c>
      <c r="H132" t="n">
        <v>4792.76972</v>
      </c>
      <c r="Q132" t="n">
        <v>4782.8492</v>
      </c>
      <c r="R132" t="n">
        <v>4812.2125</v>
      </c>
      <c r="S132" t="n">
        <v>4838.80127</v>
      </c>
      <c r="V132" t="n">
        <v>4747.90943</v>
      </c>
      <c r="W132" t="n">
        <v>4714.34443</v>
      </c>
      <c r="AB132" t="n">
        <v>4796.27257</v>
      </c>
      <c r="AC132" t="n">
        <v>4788.68706</v>
      </c>
      <c r="AD132" t="n">
        <v>0</v>
      </c>
      <c r="AE132">
        <f>AE131+1</f>
        <v/>
      </c>
      <c r="AF132">
        <f>AF131+1</f>
        <v/>
      </c>
      <c r="AG132">
        <f>D132-Q132</f>
        <v/>
      </c>
      <c r="AH132">
        <f>AG132^2</f>
        <v/>
      </c>
      <c r="AI132">
        <f>(AG132/STDEV($AG$3:$AG$1137))^3</f>
        <v/>
      </c>
      <c r="AJ132">
        <f>(AG132/STDEV($AG$3:$AG$1137))^4</f>
        <v/>
      </c>
      <c r="AK132">
        <f>AF132^2</f>
        <v/>
      </c>
      <c r="AL132">
        <f>IF(AD132=1,AB132,IF(AL131&lt;&gt;"",AL131,""))</f>
        <v/>
      </c>
      <c r="AM132">
        <f>IF(AND(AD132=1,AL131&lt;&gt;""),ABS(AB132-AL131),"")</f>
        <v/>
      </c>
    </row>
    <row r="133">
      <c r="A133" t="n">
        <v>1776648602</v>
      </c>
      <c r="B133" t="inlineStr">
        <is>
          <t>XAUUSD</t>
        </is>
      </c>
      <c r="C133" t="inlineStr">
        <is>
          <t>M15</t>
        </is>
      </c>
      <c r="D133" t="n">
        <v>4807.2</v>
      </c>
      <c r="E133" t="n">
        <v>4518.59282</v>
      </c>
      <c r="F133" t="n">
        <v>4596.05595</v>
      </c>
      <c r="G133" t="n">
        <v>4755.40355</v>
      </c>
      <c r="H133" t="n">
        <v>4792.76972</v>
      </c>
      <c r="Q133" t="n">
        <v>4782.5816</v>
      </c>
      <c r="R133" t="n">
        <v>4811.94489</v>
      </c>
      <c r="S133" t="n">
        <v>4838.53366</v>
      </c>
      <c r="V133" t="n">
        <v>4747.64182</v>
      </c>
      <c r="W133" t="n">
        <v>4714.07683</v>
      </c>
      <c r="AB133" t="n">
        <v>4801.36294</v>
      </c>
      <c r="AC133" t="n">
        <v>4795.025</v>
      </c>
      <c r="AD133" t="n">
        <v>0</v>
      </c>
      <c r="AE133">
        <f>AE132+1</f>
        <v/>
      </c>
      <c r="AF133">
        <f>AF132+1</f>
        <v/>
      </c>
      <c r="AG133">
        <f>D133-Q133</f>
        <v/>
      </c>
      <c r="AH133">
        <f>AG133^2</f>
        <v/>
      </c>
      <c r="AI133">
        <f>(AG133/STDEV($AG$3:$AG$1137))^3</f>
        <v/>
      </c>
      <c r="AJ133">
        <f>(AG133/STDEV($AG$3:$AG$1137))^4</f>
        <v/>
      </c>
      <c r="AK133">
        <f>AF133^2</f>
        <v/>
      </c>
      <c r="AL133">
        <f>IF(AD133=1,AB133,IF(AL132&lt;&gt;"",AL132,""))</f>
        <v/>
      </c>
      <c r="AM133">
        <f>IF(AND(AD133=1,AL132&lt;&gt;""),ABS(AB133-AL132),"")</f>
        <v/>
      </c>
    </row>
    <row r="134">
      <c r="A134" t="n">
        <v>1776649502</v>
      </c>
      <c r="B134" t="inlineStr">
        <is>
          <t>XAUUSD</t>
        </is>
      </c>
      <c r="C134" t="inlineStr">
        <is>
          <t>M15</t>
        </is>
      </c>
      <c r="D134" t="n">
        <v>4807.6</v>
      </c>
      <c r="E134" t="n">
        <v>4518.59282</v>
      </c>
      <c r="F134" t="n">
        <v>4596.05595</v>
      </c>
      <c r="G134" t="n">
        <v>4755.40355</v>
      </c>
      <c r="H134" t="n">
        <v>4792.76972</v>
      </c>
      <c r="Q134" t="n">
        <v>4782.31399</v>
      </c>
      <c r="R134" t="n">
        <v>4811.67729</v>
      </c>
      <c r="S134" t="n">
        <v>4838.26606</v>
      </c>
      <c r="V134" t="n">
        <v>4747.37422</v>
      </c>
      <c r="W134" t="n">
        <v>4713.80922</v>
      </c>
      <c r="AB134" t="n">
        <v>4803.90859</v>
      </c>
      <c r="AC134" t="n">
        <v>4799.4668</v>
      </c>
      <c r="AD134" t="n">
        <v>0</v>
      </c>
      <c r="AE134">
        <f>AE133+1</f>
        <v/>
      </c>
      <c r="AF134">
        <f>AF133+1</f>
        <v/>
      </c>
      <c r="AG134">
        <f>D134-Q134</f>
        <v/>
      </c>
      <c r="AH134">
        <f>AG134^2</f>
        <v/>
      </c>
      <c r="AI134">
        <f>(AG134/STDEV($AG$3:$AG$1137))^3</f>
        <v/>
      </c>
      <c r="AJ134">
        <f>(AG134/STDEV($AG$3:$AG$1137))^4</f>
        <v/>
      </c>
      <c r="AK134">
        <f>AF134^2</f>
        <v/>
      </c>
      <c r="AL134">
        <f>IF(AD134=1,AB134,IF(AL133&lt;&gt;"",AL133,""))</f>
        <v/>
      </c>
      <c r="AM134">
        <f>IF(AND(AD134=1,AL133&lt;&gt;""),ABS(AB134-AL133),"")</f>
        <v/>
      </c>
    </row>
    <row r="135">
      <c r="A135" t="n">
        <v>1776650402</v>
      </c>
      <c r="B135" t="inlineStr">
        <is>
          <t>XAUUSD</t>
        </is>
      </c>
      <c r="C135" t="inlineStr">
        <is>
          <t>M15</t>
        </is>
      </c>
      <c r="D135" t="n">
        <v>4800.99</v>
      </c>
      <c r="E135" t="n">
        <v>4518.59282</v>
      </c>
      <c r="F135" t="n">
        <v>4596.05595</v>
      </c>
      <c r="G135" t="n">
        <v>4755.40355</v>
      </c>
      <c r="H135" t="n">
        <v>4792.76972</v>
      </c>
      <c r="Q135" t="n">
        <v>4782.04639</v>
      </c>
      <c r="R135" t="n">
        <v>4811.40969</v>
      </c>
      <c r="S135" t="n">
        <v>4837.99846</v>
      </c>
      <c r="V135" t="n">
        <v>4747.10662</v>
      </c>
      <c r="W135" t="n">
        <v>4713.54162</v>
      </c>
      <c r="AB135" t="n">
        <v>4804.12047</v>
      </c>
      <c r="AC135" t="n">
        <v>4801.79363</v>
      </c>
      <c r="AD135" t="n">
        <v>0</v>
      </c>
      <c r="AE135">
        <f>AE134+1</f>
        <v/>
      </c>
      <c r="AF135">
        <f>AF134+1</f>
        <v/>
      </c>
      <c r="AG135">
        <f>D135-Q135</f>
        <v/>
      </c>
      <c r="AH135">
        <f>AG135^2</f>
        <v/>
      </c>
      <c r="AI135">
        <f>(AG135/STDEV($AG$3:$AG$1137))^3</f>
        <v/>
      </c>
      <c r="AJ135">
        <f>(AG135/STDEV($AG$3:$AG$1137))^4</f>
        <v/>
      </c>
      <c r="AK135">
        <f>AF135^2</f>
        <v/>
      </c>
      <c r="AL135">
        <f>IF(AD135=1,AB135,IF(AL134&lt;&gt;"",AL134,""))</f>
        <v/>
      </c>
      <c r="AM135">
        <f>IF(AND(AD135=1,AL134&lt;&gt;""),ABS(AB135-AL134),"")</f>
        <v/>
      </c>
    </row>
    <row r="136">
      <c r="A136" t="n">
        <v>1776651302</v>
      </c>
      <c r="B136" t="inlineStr">
        <is>
          <t>XAUUSD</t>
        </is>
      </c>
      <c r="C136" t="inlineStr">
        <is>
          <t>M15</t>
        </is>
      </c>
      <c r="D136" t="n">
        <v>4800.46</v>
      </c>
      <c r="E136" t="n">
        <v>4518.59282</v>
      </c>
      <c r="F136" t="n">
        <v>4596.05595</v>
      </c>
      <c r="G136" t="n">
        <v>4755.40355</v>
      </c>
      <c r="H136" t="n">
        <v>4792.76972</v>
      </c>
      <c r="Q136" t="n">
        <v>4781.77878</v>
      </c>
      <c r="R136" t="n">
        <v>4811.14208</v>
      </c>
      <c r="S136" t="n">
        <v>4837.73085</v>
      </c>
      <c r="V136" t="n">
        <v>4746.83901</v>
      </c>
      <c r="W136" t="n">
        <v>4713.27402</v>
      </c>
      <c r="AB136" t="n">
        <v>4802.69386</v>
      </c>
      <c r="AC136" t="n">
        <v>4802.24375</v>
      </c>
      <c r="AD136" t="n">
        <v>0</v>
      </c>
      <c r="AE136">
        <f>AE135+1</f>
        <v/>
      </c>
      <c r="AF136">
        <f>AF135+1</f>
        <v/>
      </c>
      <c r="AG136">
        <f>D136-Q136</f>
        <v/>
      </c>
      <c r="AH136">
        <f>AG136^2</f>
        <v/>
      </c>
      <c r="AI136">
        <f>(AG136/STDEV($AG$3:$AG$1137))^3</f>
        <v/>
      </c>
      <c r="AJ136">
        <f>(AG136/STDEV($AG$3:$AG$1137))^4</f>
        <v/>
      </c>
      <c r="AK136">
        <f>AF136^2</f>
        <v/>
      </c>
      <c r="AL136">
        <f>IF(AD136=1,AB136,IF(AL135&lt;&gt;"",AL135,""))</f>
        <v/>
      </c>
      <c r="AM136">
        <f>IF(AND(AD136=1,AL135&lt;&gt;""),ABS(AB136-AL135),"")</f>
        <v/>
      </c>
    </row>
    <row r="137">
      <c r="A137" t="n">
        <v>1776652202</v>
      </c>
      <c r="B137" t="inlineStr">
        <is>
          <t>XAUUSD</t>
        </is>
      </c>
      <c r="C137" t="inlineStr">
        <is>
          <t>M15</t>
        </is>
      </c>
      <c r="D137" t="n">
        <v>4796.33</v>
      </c>
      <c r="E137" t="n">
        <v>4518.59282</v>
      </c>
      <c r="F137" t="n">
        <v>4596.05595</v>
      </c>
      <c r="G137" t="n">
        <v>4755.40355</v>
      </c>
      <c r="H137" t="n">
        <v>4792.76972</v>
      </c>
      <c r="Q137" t="n">
        <v>4781.51118</v>
      </c>
      <c r="R137" t="n">
        <v>4810.87448</v>
      </c>
      <c r="S137" t="n">
        <v>4837.46325</v>
      </c>
      <c r="V137" t="n">
        <v>4746.57141</v>
      </c>
      <c r="W137" t="n">
        <v>4713.00641</v>
      </c>
      <c r="AB137" t="n">
        <v>4800.27677</v>
      </c>
      <c r="AC137" t="n">
        <v>4801.26026</v>
      </c>
      <c r="AD137" t="n">
        <v>1</v>
      </c>
      <c r="AE137">
        <f>AE136+1</f>
        <v/>
      </c>
      <c r="AF137">
        <f>AF136+1</f>
        <v/>
      </c>
      <c r="AG137">
        <f>D137-Q137</f>
        <v/>
      </c>
      <c r="AH137">
        <f>AG137^2</f>
        <v/>
      </c>
      <c r="AI137">
        <f>(AG137/STDEV($AG$3:$AG$1137))^3</f>
        <v/>
      </c>
      <c r="AJ137">
        <f>(AG137/STDEV($AG$3:$AG$1137))^4</f>
        <v/>
      </c>
      <c r="AK137">
        <f>AF137^2</f>
        <v/>
      </c>
      <c r="AL137">
        <f>IF(AD137=1,AB137,IF(AL136&lt;&gt;"",AL136,""))</f>
        <v/>
      </c>
      <c r="AM137">
        <f>IF(AND(AD137=1,AL136&lt;&gt;""),ABS(AB137-AL136),"")</f>
        <v/>
      </c>
    </row>
    <row r="138">
      <c r="A138" t="n">
        <v>1776653102</v>
      </c>
      <c r="B138" t="inlineStr">
        <is>
          <t>XAUUSD</t>
        </is>
      </c>
      <c r="C138" t="inlineStr">
        <is>
          <t>M15</t>
        </is>
      </c>
      <c r="D138" t="n">
        <v>4797.41</v>
      </c>
      <c r="E138" t="n">
        <v>4518.59282</v>
      </c>
      <c r="F138" t="n">
        <v>4596.05595</v>
      </c>
      <c r="G138" t="n">
        <v>4755.40355</v>
      </c>
      <c r="H138" t="n">
        <v>4792.76972</v>
      </c>
      <c r="Q138" t="n">
        <v>4781.24357</v>
      </c>
      <c r="R138" t="n">
        <v>4810.60687</v>
      </c>
      <c r="S138" t="n">
        <v>4837.19564</v>
      </c>
      <c r="V138" t="n">
        <v>4746.3038</v>
      </c>
      <c r="W138" t="n">
        <v>4712.73881</v>
      </c>
      <c r="AB138" t="n">
        <v>4797.60853</v>
      </c>
      <c r="AC138" t="n">
        <v>4799.43439</v>
      </c>
      <c r="AD138" t="n">
        <v>0</v>
      </c>
      <c r="AE138">
        <f>AE137+1</f>
        <v/>
      </c>
      <c r="AF138">
        <f>AF137+1</f>
        <v/>
      </c>
      <c r="AG138">
        <f>D138-Q138</f>
        <v/>
      </c>
      <c r="AH138">
        <f>AG138^2</f>
        <v/>
      </c>
      <c r="AI138">
        <f>(AG138/STDEV($AG$3:$AG$1137))^3</f>
        <v/>
      </c>
      <c r="AJ138">
        <f>(AG138/STDEV($AG$3:$AG$1137))^4</f>
        <v/>
      </c>
      <c r="AK138">
        <f>AF138^2</f>
        <v/>
      </c>
      <c r="AL138">
        <f>IF(AD138=1,AB138,IF(AL137&lt;&gt;"",AL137,""))</f>
        <v/>
      </c>
      <c r="AM138">
        <f>IF(AND(AD138=1,AL137&lt;&gt;""),ABS(AB138-AL137),"")</f>
        <v/>
      </c>
    </row>
    <row r="139">
      <c r="A139" t="n">
        <v>1776654002</v>
      </c>
      <c r="B139" t="inlineStr">
        <is>
          <t>XAUUSD</t>
        </is>
      </c>
      <c r="C139" t="inlineStr">
        <is>
          <t>M15</t>
        </is>
      </c>
      <c r="D139" t="n">
        <v>4791.47</v>
      </c>
      <c r="E139" t="n">
        <v>4518.59282</v>
      </c>
      <c r="F139" t="n">
        <v>4596.05595</v>
      </c>
      <c r="G139" t="n">
        <v>4755.40355</v>
      </c>
      <c r="H139" t="n">
        <v>4792.76972</v>
      </c>
      <c r="Q139" t="n">
        <v>4780.97597</v>
      </c>
      <c r="R139" t="n">
        <v>4810.33927</v>
      </c>
      <c r="S139" t="n">
        <v>4836.92804</v>
      </c>
      <c r="V139" t="n">
        <v>4746.0362</v>
      </c>
      <c r="W139" t="n">
        <v>4712.4712</v>
      </c>
      <c r="AB139" t="n">
        <v>4795.15064</v>
      </c>
      <c r="AC139" t="n">
        <v>4797.29252</v>
      </c>
      <c r="AD139" t="n">
        <v>0</v>
      </c>
      <c r="AE139">
        <f>AE138+1</f>
        <v/>
      </c>
      <c r="AF139">
        <f>AF138+1</f>
        <v/>
      </c>
      <c r="AG139">
        <f>D139-Q139</f>
        <v/>
      </c>
      <c r="AH139">
        <f>AG139^2</f>
        <v/>
      </c>
      <c r="AI139">
        <f>(AG139/STDEV($AG$3:$AG$1137))^3</f>
        <v/>
      </c>
      <c r="AJ139">
        <f>(AG139/STDEV($AG$3:$AG$1137))^4</f>
        <v/>
      </c>
      <c r="AK139">
        <f>AF139^2</f>
        <v/>
      </c>
      <c r="AL139">
        <f>IF(AD139=1,AB139,IF(AL138&lt;&gt;"",AL138,""))</f>
        <v/>
      </c>
      <c r="AM139">
        <f>IF(AND(AD139=1,AL138&lt;&gt;""),ABS(AB139-AL138),"")</f>
        <v/>
      </c>
    </row>
    <row r="140">
      <c r="A140" t="n">
        <v>1776654902</v>
      </c>
      <c r="B140" t="inlineStr">
        <is>
          <t>XAUUSD</t>
        </is>
      </c>
      <c r="C140" t="inlineStr">
        <is>
          <t>M15</t>
        </is>
      </c>
      <c r="D140" t="n">
        <v>4795.1</v>
      </c>
      <c r="E140" t="n">
        <v>4518.59282</v>
      </c>
      <c r="F140" t="n">
        <v>4596.05595</v>
      </c>
      <c r="G140" t="n">
        <v>4755.40355</v>
      </c>
      <c r="H140" t="n">
        <v>4792.76972</v>
      </c>
      <c r="Q140" t="n">
        <v>4780.70837</v>
      </c>
      <c r="R140" t="n">
        <v>4810.07167</v>
      </c>
      <c r="S140" t="n">
        <v>4836.66044</v>
      </c>
      <c r="V140" t="n">
        <v>4745.7686</v>
      </c>
      <c r="W140" t="n">
        <v>4712.2036</v>
      </c>
      <c r="AB140" t="n">
        <v>4793.34583</v>
      </c>
      <c r="AC140" t="n">
        <v>4795.31917</v>
      </c>
      <c r="AD140" t="n">
        <v>0</v>
      </c>
      <c r="AE140">
        <f>AE139+1</f>
        <v/>
      </c>
      <c r="AF140">
        <f>AF139+1</f>
        <v/>
      </c>
      <c r="AG140">
        <f>D140-Q140</f>
        <v/>
      </c>
      <c r="AH140">
        <f>AG140^2</f>
        <v/>
      </c>
      <c r="AI140">
        <f>(AG140/STDEV($AG$3:$AG$1137))^3</f>
        <v/>
      </c>
      <c r="AJ140">
        <f>(AG140/STDEV($AG$3:$AG$1137))^4</f>
        <v/>
      </c>
      <c r="AK140">
        <f>AF140^2</f>
        <v/>
      </c>
      <c r="AL140">
        <f>IF(AD140=1,AB140,IF(AL139&lt;&gt;"",AL139,""))</f>
        <v/>
      </c>
      <c r="AM140">
        <f>IF(AND(AD140=1,AL139&lt;&gt;""),ABS(AB140-AL139),"")</f>
        <v/>
      </c>
    </row>
    <row r="141">
      <c r="A141" t="n">
        <v>1776655802</v>
      </c>
      <c r="B141" t="inlineStr">
        <is>
          <t>XAUUSD</t>
        </is>
      </c>
      <c r="C141" t="inlineStr">
        <is>
          <t>M15</t>
        </is>
      </c>
      <c r="D141" t="n">
        <v>4793.76</v>
      </c>
      <c r="E141" t="n">
        <v>4518.59282</v>
      </c>
      <c r="F141" t="n">
        <v>4596.05595</v>
      </c>
      <c r="G141" t="n">
        <v>4755.40355</v>
      </c>
      <c r="H141" t="n">
        <v>4792.76972</v>
      </c>
      <c r="Q141" t="n">
        <v>4780.44076</v>
      </c>
      <c r="R141" t="n">
        <v>4809.80406</v>
      </c>
      <c r="S141" t="n">
        <v>4836.39283</v>
      </c>
      <c r="V141" t="n">
        <v>4745.50099</v>
      </c>
      <c r="W141" t="n">
        <v>4711.936</v>
      </c>
      <c r="AB141" t="n">
        <v>4792.13821</v>
      </c>
      <c r="AC141" t="n">
        <v>4793.72869</v>
      </c>
      <c r="AD141" t="n">
        <v>0</v>
      </c>
      <c r="AE141">
        <f>AE140+1</f>
        <v/>
      </c>
      <c r="AF141">
        <f>AF140+1</f>
        <v/>
      </c>
      <c r="AG141">
        <f>D141-Q141</f>
        <v/>
      </c>
      <c r="AH141">
        <f>AG141^2</f>
        <v/>
      </c>
      <c r="AI141">
        <f>(AG141/STDEV($AG$3:$AG$1137))^3</f>
        <v/>
      </c>
      <c r="AJ141">
        <f>(AG141/STDEV($AG$3:$AG$1137))^4</f>
        <v/>
      </c>
      <c r="AK141">
        <f>AF141^2</f>
        <v/>
      </c>
      <c r="AL141">
        <f>IF(AD141=1,AB141,IF(AL140&lt;&gt;"",AL140,""))</f>
        <v/>
      </c>
      <c r="AM141">
        <f>IF(AND(AD141=1,AL140&lt;&gt;""),ABS(AB141-AL140),"")</f>
        <v/>
      </c>
    </row>
    <row r="142">
      <c r="A142" t="n">
        <v>1776656702</v>
      </c>
      <c r="B142" t="inlineStr">
        <is>
          <t>XAUUSD</t>
        </is>
      </c>
      <c r="C142" t="inlineStr">
        <is>
          <t>M15</t>
        </is>
      </c>
      <c r="D142" t="n">
        <v>4790.91</v>
      </c>
      <c r="E142" t="n">
        <v>4518.59282</v>
      </c>
      <c r="F142" t="n">
        <v>4596.05595</v>
      </c>
      <c r="G142" t="n">
        <v>4755.40355</v>
      </c>
      <c r="H142" t="n">
        <v>4792.76972</v>
      </c>
      <c r="Q142" t="n">
        <v>4780.17316</v>
      </c>
      <c r="R142" t="n">
        <v>4809.53646</v>
      </c>
      <c r="S142" t="n">
        <v>4836.12523</v>
      </c>
      <c r="V142" t="n">
        <v>4745.23339</v>
      </c>
      <c r="W142" t="n">
        <v>4711.66839</v>
      </c>
      <c r="AB142" t="n">
        <v>4791.42163</v>
      </c>
      <c r="AC142" t="n">
        <v>4792.57516</v>
      </c>
      <c r="AD142" t="n">
        <v>0</v>
      </c>
      <c r="AE142">
        <f>AE141+1</f>
        <v/>
      </c>
      <c r="AF142">
        <f>AF141+1</f>
        <v/>
      </c>
      <c r="AG142">
        <f>D142-Q142</f>
        <v/>
      </c>
      <c r="AH142">
        <f>AG142^2</f>
        <v/>
      </c>
      <c r="AI142">
        <f>(AG142/STDEV($AG$3:$AG$1137))^3</f>
        <v/>
      </c>
      <c r="AJ142">
        <f>(AG142/STDEV($AG$3:$AG$1137))^4</f>
        <v/>
      </c>
      <c r="AK142">
        <f>AF142^2</f>
        <v/>
      </c>
      <c r="AL142">
        <f>IF(AD142=1,AB142,IF(AL141&lt;&gt;"",AL141,""))</f>
        <v/>
      </c>
      <c r="AM142">
        <f>IF(AND(AD142=1,AL141&lt;&gt;""),ABS(AB142-AL141),"")</f>
        <v/>
      </c>
    </row>
    <row r="143">
      <c r="A143" t="n">
        <v>1776657602</v>
      </c>
      <c r="B143" t="inlineStr">
        <is>
          <t>XAUUSD</t>
        </is>
      </c>
      <c r="C143" t="inlineStr">
        <is>
          <t>M15</t>
        </is>
      </c>
      <c r="D143" t="n">
        <v>4793.12</v>
      </c>
      <c r="E143" t="n">
        <v>4518.59282</v>
      </c>
      <c r="F143" t="n">
        <v>4596.05595</v>
      </c>
      <c r="G143" t="n">
        <v>4755.40355</v>
      </c>
      <c r="H143" t="n">
        <v>4792.76972</v>
      </c>
      <c r="Q143" t="n">
        <v>4779.90555</v>
      </c>
      <c r="R143" t="n">
        <v>4809.26885</v>
      </c>
      <c r="S143" t="n">
        <v>4835.85762</v>
      </c>
      <c r="V143" t="n">
        <v>4744.96578</v>
      </c>
      <c r="W143" t="n">
        <v>4711.40079</v>
      </c>
      <c r="AB143" t="n">
        <v>4791.00434</v>
      </c>
      <c r="AC143" t="n">
        <v>4791.78975</v>
      </c>
      <c r="AD143" t="n">
        <v>0</v>
      </c>
      <c r="AE143">
        <f>AE142+1</f>
        <v/>
      </c>
      <c r="AF143">
        <f>AF142+1</f>
        <v/>
      </c>
      <c r="AG143">
        <f>D143-Q143</f>
        <v/>
      </c>
      <c r="AH143">
        <f>AG143^2</f>
        <v/>
      </c>
      <c r="AI143">
        <f>(AG143/STDEV($AG$3:$AG$1137))^3</f>
        <v/>
      </c>
      <c r="AJ143">
        <f>(AG143/STDEV($AG$3:$AG$1137))^4</f>
        <v/>
      </c>
      <c r="AK143">
        <f>AF143^2</f>
        <v/>
      </c>
      <c r="AL143">
        <f>IF(AD143=1,AB143,IF(AL142&lt;&gt;"",AL142,""))</f>
        <v/>
      </c>
      <c r="AM143">
        <f>IF(AND(AD143=1,AL142&lt;&gt;""),ABS(AB143-AL142),"")</f>
        <v/>
      </c>
    </row>
    <row r="144">
      <c r="A144" t="n">
        <v>1776658502</v>
      </c>
      <c r="B144" t="inlineStr">
        <is>
          <t>XAUUSD</t>
        </is>
      </c>
      <c r="C144" t="inlineStr">
        <is>
          <t>M15</t>
        </is>
      </c>
      <c r="D144" t="n">
        <v>4794.79</v>
      </c>
      <c r="E144" t="n">
        <v>4518.59282</v>
      </c>
      <c r="F144" t="n">
        <v>4596.05595</v>
      </c>
      <c r="G144" t="n">
        <v>4755.40355</v>
      </c>
      <c r="H144" t="n">
        <v>4792.76972</v>
      </c>
      <c r="Q144" t="n">
        <v>4779.63795</v>
      </c>
      <c r="R144" t="n">
        <v>4809.00125</v>
      </c>
      <c r="S144" t="n">
        <v>4835.59002</v>
      </c>
      <c r="V144" t="n">
        <v>4744.69818</v>
      </c>
      <c r="W144" t="n">
        <v>4711.13318</v>
      </c>
      <c r="AB144" t="n">
        <v>4790.52726</v>
      </c>
      <c r="AC144" t="n">
        <v>4791.15851</v>
      </c>
      <c r="AD144" t="n">
        <v>0</v>
      </c>
      <c r="AE144">
        <f>AE143+1</f>
        <v/>
      </c>
      <c r="AF144">
        <f>AF143+1</f>
        <v/>
      </c>
      <c r="AG144">
        <f>D144-Q144</f>
        <v/>
      </c>
      <c r="AH144">
        <f>AG144^2</f>
        <v/>
      </c>
      <c r="AI144">
        <f>(AG144/STDEV($AG$3:$AG$1137))^3</f>
        <v/>
      </c>
      <c r="AJ144">
        <f>(AG144/STDEV($AG$3:$AG$1137))^4</f>
        <v/>
      </c>
      <c r="AK144">
        <f>AF144^2</f>
        <v/>
      </c>
      <c r="AL144">
        <f>IF(AD144=1,AB144,IF(AL143&lt;&gt;"",AL143,""))</f>
        <v/>
      </c>
      <c r="AM144">
        <f>IF(AND(AD144=1,AL143&lt;&gt;""),ABS(AB144-AL143),"")</f>
        <v/>
      </c>
    </row>
    <row r="145">
      <c r="A145" t="n">
        <v>1776659402</v>
      </c>
      <c r="B145" t="inlineStr">
        <is>
          <t>XAUUSD</t>
        </is>
      </c>
      <c r="C145" t="inlineStr">
        <is>
          <t>M15</t>
        </is>
      </c>
      <c r="D145" t="n">
        <v>4787.34</v>
      </c>
      <c r="E145" t="n">
        <v>4518.59282</v>
      </c>
      <c r="F145" t="n">
        <v>4596.05595</v>
      </c>
      <c r="G145" t="n">
        <v>4755.40355</v>
      </c>
      <c r="H145" t="n">
        <v>4792.76972</v>
      </c>
      <c r="Q145" t="n">
        <v>4779.37035</v>
      </c>
      <c r="R145" t="n">
        <v>4808.73364</v>
      </c>
      <c r="S145" t="n">
        <v>4835.32242</v>
      </c>
      <c r="V145" t="n">
        <v>4744.43058</v>
      </c>
      <c r="W145" t="n">
        <v>4710.86558</v>
      </c>
      <c r="AB145" t="n">
        <v>4789.74327</v>
      </c>
      <c r="AC145" t="n">
        <v>4790.45089</v>
      </c>
      <c r="AD145" t="n">
        <v>0</v>
      </c>
      <c r="AE145">
        <f>AE144+1</f>
        <v/>
      </c>
      <c r="AF145">
        <f>AF144+1</f>
        <v/>
      </c>
      <c r="AG145">
        <f>D145-Q145</f>
        <v/>
      </c>
      <c r="AH145">
        <f>AG145^2</f>
        <v/>
      </c>
      <c r="AI145">
        <f>(AG145/STDEV($AG$3:$AG$1137))^3</f>
        <v/>
      </c>
      <c r="AJ145">
        <f>(AG145/STDEV($AG$3:$AG$1137))^4</f>
        <v/>
      </c>
      <c r="AK145">
        <f>AF145^2</f>
        <v/>
      </c>
      <c r="AL145">
        <f>IF(AD145=1,AB145,IF(AL144&lt;&gt;"",AL144,""))</f>
        <v/>
      </c>
      <c r="AM145">
        <f>IF(AND(AD145=1,AL144&lt;&gt;""),ABS(AB145-AL144),"")</f>
        <v/>
      </c>
    </row>
    <row r="146">
      <c r="A146" t="n">
        <v>1776660302</v>
      </c>
      <c r="B146" t="inlineStr">
        <is>
          <t>XAUUSD</t>
        </is>
      </c>
      <c r="C146" t="inlineStr">
        <is>
          <t>M15</t>
        </is>
      </c>
      <c r="D146" t="n">
        <v>4789.02</v>
      </c>
      <c r="E146" t="n">
        <v>4518.59282</v>
      </c>
      <c r="F146" t="n">
        <v>4596.05595</v>
      </c>
      <c r="G146" t="n">
        <v>4755.40355</v>
      </c>
      <c r="H146" t="n">
        <v>4792.76972</v>
      </c>
      <c r="Q146" t="n">
        <v>4779.10274</v>
      </c>
      <c r="R146" t="n">
        <v>4808.46604</v>
      </c>
      <c r="S146" t="n">
        <v>4835.05481</v>
      </c>
      <c r="V146" t="n">
        <v>4744.16297</v>
      </c>
      <c r="W146" t="n">
        <v>4710.59798</v>
      </c>
      <c r="AB146" t="n">
        <v>4788.84509</v>
      </c>
      <c r="AC146" t="n">
        <v>4789.64799</v>
      </c>
      <c r="AD146" t="n">
        <v>0</v>
      </c>
      <c r="AE146">
        <f>AE145+1</f>
        <v/>
      </c>
      <c r="AF146">
        <f>AF145+1</f>
        <v/>
      </c>
      <c r="AG146">
        <f>D146-Q146</f>
        <v/>
      </c>
      <c r="AH146">
        <f>AG146^2</f>
        <v/>
      </c>
      <c r="AI146">
        <f>(AG146/STDEV($AG$3:$AG$1137))^3</f>
        <v/>
      </c>
      <c r="AJ146">
        <f>(AG146/STDEV($AG$3:$AG$1137))^4</f>
        <v/>
      </c>
      <c r="AK146">
        <f>AF146^2</f>
        <v/>
      </c>
      <c r="AL146">
        <f>IF(AD146=1,AB146,IF(AL145&lt;&gt;"",AL145,""))</f>
        <v/>
      </c>
      <c r="AM146">
        <f>IF(AND(AD146=1,AL145&lt;&gt;""),ABS(AB146-AL145),"")</f>
        <v/>
      </c>
    </row>
    <row r="147">
      <c r="A147" t="n">
        <v>1776661202</v>
      </c>
      <c r="B147" t="inlineStr">
        <is>
          <t>XAUUSD</t>
        </is>
      </c>
      <c r="C147" t="inlineStr">
        <is>
          <t>M15</t>
        </is>
      </c>
      <c r="D147" t="n">
        <v>4786.62</v>
      </c>
      <c r="E147" t="n">
        <v>4518.59282</v>
      </c>
      <c r="F147" t="n">
        <v>4596.05595</v>
      </c>
      <c r="G147" t="n">
        <v>4755.40355</v>
      </c>
      <c r="H147" t="n">
        <v>4792.76972</v>
      </c>
      <c r="Q147" t="n">
        <v>4778.83514</v>
      </c>
      <c r="R147" t="n">
        <v>4808.19844</v>
      </c>
      <c r="S147" t="n">
        <v>4834.78721</v>
      </c>
      <c r="V147" t="n">
        <v>4743.89537</v>
      </c>
      <c r="W147" t="n">
        <v>4710.33037</v>
      </c>
      <c r="AB147" t="n">
        <v>4787.90806</v>
      </c>
      <c r="AC147" t="n">
        <v>4788.77802</v>
      </c>
      <c r="AD147" t="n">
        <v>0</v>
      </c>
      <c r="AE147">
        <f>AE146+1</f>
        <v/>
      </c>
      <c r="AF147">
        <f>AF146+1</f>
        <v/>
      </c>
      <c r="AG147">
        <f>D147-Q147</f>
        <v/>
      </c>
      <c r="AH147">
        <f>AG147^2</f>
        <v/>
      </c>
      <c r="AI147">
        <f>(AG147/STDEV($AG$3:$AG$1137))^3</f>
        <v/>
      </c>
      <c r="AJ147">
        <f>(AG147/STDEV($AG$3:$AG$1137))^4</f>
        <v/>
      </c>
      <c r="AK147">
        <f>AF147^2</f>
        <v/>
      </c>
      <c r="AL147">
        <f>IF(AD147=1,AB147,IF(AL146&lt;&gt;"",AL146,""))</f>
        <v/>
      </c>
      <c r="AM147">
        <f>IF(AND(AD147=1,AL146&lt;&gt;""),ABS(AB147-AL146),"")</f>
        <v/>
      </c>
    </row>
    <row r="148">
      <c r="A148" t="n">
        <v>1776662102</v>
      </c>
      <c r="B148" t="inlineStr">
        <is>
          <t>XAUUSD</t>
        </is>
      </c>
      <c r="C148" t="inlineStr">
        <is>
          <t>M15</t>
        </is>
      </c>
      <c r="D148" t="n">
        <v>4788.05</v>
      </c>
      <c r="E148" t="n">
        <v>4518.59282</v>
      </c>
      <c r="F148" t="n">
        <v>4596.05595</v>
      </c>
      <c r="G148" t="n">
        <v>4755.40355</v>
      </c>
      <c r="H148" t="n">
        <v>4792.76972</v>
      </c>
      <c r="Q148" t="n">
        <v>4778.56753</v>
      </c>
      <c r="R148" t="n">
        <v>4807.93083</v>
      </c>
      <c r="S148" t="n">
        <v>4834.5196</v>
      </c>
      <c r="V148" t="n">
        <v>4743.62776</v>
      </c>
      <c r="W148" t="n">
        <v>4710.06277</v>
      </c>
      <c r="AB148" t="n">
        <v>4787.20744</v>
      </c>
      <c r="AC148" t="n">
        <v>4787.99273</v>
      </c>
      <c r="AD148" t="n">
        <v>0</v>
      </c>
      <c r="AE148">
        <f>AE147+1</f>
        <v/>
      </c>
      <c r="AF148">
        <f>AF147+1</f>
        <v/>
      </c>
      <c r="AG148">
        <f>D148-Q148</f>
        <v/>
      </c>
      <c r="AH148">
        <f>AG148^2</f>
        <v/>
      </c>
      <c r="AI148">
        <f>(AG148/STDEV($AG$3:$AG$1137))^3</f>
        <v/>
      </c>
      <c r="AJ148">
        <f>(AG148/STDEV($AG$3:$AG$1137))^4</f>
        <v/>
      </c>
      <c r="AK148">
        <f>AF148^2</f>
        <v/>
      </c>
      <c r="AL148">
        <f>IF(AD148=1,AB148,IF(AL147&lt;&gt;"",AL147,""))</f>
        <v/>
      </c>
      <c r="AM148">
        <f>IF(AND(AD148=1,AL147&lt;&gt;""),ABS(AB148-AL147),"")</f>
        <v/>
      </c>
    </row>
    <row r="149">
      <c r="A149" t="n">
        <v>1776663002</v>
      </c>
      <c r="B149" t="inlineStr">
        <is>
          <t>XAUUSD</t>
        </is>
      </c>
      <c r="C149" t="inlineStr">
        <is>
          <t>M15</t>
        </is>
      </c>
      <c r="D149" t="n">
        <v>4780.97</v>
      </c>
      <c r="E149" t="n">
        <v>4518.59282</v>
      </c>
      <c r="F149" t="n">
        <v>4596.05595</v>
      </c>
      <c r="G149" t="n">
        <v>4755.40355</v>
      </c>
      <c r="H149" t="n">
        <v>4792.76972</v>
      </c>
      <c r="Q149" t="n">
        <v>4778.29993</v>
      </c>
      <c r="R149" t="n">
        <v>4807.66323</v>
      </c>
      <c r="S149" t="n">
        <v>4834.252</v>
      </c>
      <c r="V149" t="n">
        <v>4743.36016</v>
      </c>
      <c r="W149" t="n">
        <v>4709.79516</v>
      </c>
      <c r="AA149" t="n">
        <v>4779.8</v>
      </c>
      <c r="AB149" t="n">
        <v>4786.92061</v>
      </c>
      <c r="AC149" t="n">
        <v>4787.45667</v>
      </c>
      <c r="AD149" t="n">
        <v>0</v>
      </c>
      <c r="AE149">
        <f>AE148+1</f>
        <v/>
      </c>
      <c r="AF149">
        <f>AF148+1</f>
        <v/>
      </c>
      <c r="AG149">
        <f>D149-Q149</f>
        <v/>
      </c>
      <c r="AH149">
        <f>AG149^2</f>
        <v/>
      </c>
      <c r="AI149">
        <f>(AG149/STDEV($AG$3:$AG$1137))^3</f>
        <v/>
      </c>
      <c r="AJ149">
        <f>(AG149/STDEV($AG$3:$AG$1137))^4</f>
        <v/>
      </c>
      <c r="AK149">
        <f>AF149^2</f>
        <v/>
      </c>
      <c r="AL149">
        <f>IF(AD149=1,AB149,IF(AL148&lt;&gt;"",AL148,""))</f>
        <v/>
      </c>
      <c r="AM149">
        <f>IF(AND(AD149=1,AL148&lt;&gt;""),ABS(AB149-AL148),"")</f>
        <v/>
      </c>
    </row>
    <row r="150">
      <c r="A150" t="n">
        <v>1776663902</v>
      </c>
      <c r="B150" t="inlineStr">
        <is>
          <t>XAUUSD</t>
        </is>
      </c>
      <c r="C150" t="inlineStr">
        <is>
          <t>M15</t>
        </is>
      </c>
      <c r="D150" t="n">
        <v>4790.87</v>
      </c>
      <c r="E150" t="n">
        <v>4518.59282</v>
      </c>
      <c r="F150" t="n">
        <v>4596.05595</v>
      </c>
      <c r="G150" t="n">
        <v>4755.40355</v>
      </c>
      <c r="H150" t="n">
        <v>4792.76972</v>
      </c>
      <c r="Q150" t="n">
        <v>4778.03233</v>
      </c>
      <c r="R150" t="n">
        <v>4807.39562</v>
      </c>
      <c r="S150" t="n">
        <v>4833.9844</v>
      </c>
      <c r="V150" t="n">
        <v>4743.09256</v>
      </c>
      <c r="W150" t="n">
        <v>4709.52756</v>
      </c>
      <c r="AB150" t="n">
        <v>4787.43444</v>
      </c>
      <c r="AC150" t="n">
        <v>4787.44556</v>
      </c>
      <c r="AD150" t="n">
        <v>0</v>
      </c>
      <c r="AE150">
        <f>AE149+1</f>
        <v/>
      </c>
      <c r="AF150">
        <f>AF149+1</f>
        <v/>
      </c>
      <c r="AG150">
        <f>D150-Q150</f>
        <v/>
      </c>
      <c r="AH150">
        <f>AG150^2</f>
        <v/>
      </c>
      <c r="AI150">
        <f>(AG150/STDEV($AG$3:$AG$1137))^3</f>
        <v/>
      </c>
      <c r="AJ150">
        <f>(AG150/STDEV($AG$3:$AG$1137))^4</f>
        <v/>
      </c>
      <c r="AK150">
        <f>AF150^2</f>
        <v/>
      </c>
      <c r="AL150">
        <f>IF(AD150=1,AB150,IF(AL149&lt;&gt;"",AL149,""))</f>
        <v/>
      </c>
      <c r="AM150">
        <f>IF(AND(AD150=1,AL149&lt;&gt;""),ABS(AB150-AL149),"")</f>
        <v/>
      </c>
    </row>
    <row r="151">
      <c r="A151" t="n">
        <v>1776664802</v>
      </c>
      <c r="B151" t="inlineStr">
        <is>
          <t>XAUUSD</t>
        </is>
      </c>
      <c r="C151" t="inlineStr">
        <is>
          <t>M15</t>
        </is>
      </c>
      <c r="D151" t="n">
        <v>4790.56</v>
      </c>
      <c r="E151" t="n">
        <v>4518.59282</v>
      </c>
      <c r="F151" t="n">
        <v>4596.05595</v>
      </c>
      <c r="G151" t="n">
        <v>4755.40355</v>
      </c>
      <c r="H151" t="n">
        <v>4792.76972</v>
      </c>
      <c r="Q151" t="n">
        <v>4777.76472</v>
      </c>
      <c r="R151" t="n">
        <v>4807.12802</v>
      </c>
      <c r="S151" t="n">
        <v>4833.71679</v>
      </c>
      <c r="V151" t="n">
        <v>4742.82495</v>
      </c>
      <c r="W151" t="n">
        <v>4709.25996</v>
      </c>
      <c r="AB151" t="n">
        <v>4788.48188</v>
      </c>
      <c r="AC151" t="n">
        <v>4787.96372</v>
      </c>
      <c r="AD151" t="n">
        <v>1</v>
      </c>
      <c r="AE151">
        <f>AE150+1</f>
        <v/>
      </c>
      <c r="AF151">
        <f>AF150+1</f>
        <v/>
      </c>
      <c r="AG151">
        <f>D151-Q151</f>
        <v/>
      </c>
      <c r="AH151">
        <f>AG151^2</f>
        <v/>
      </c>
      <c r="AI151">
        <f>(AG151/STDEV($AG$3:$AG$1137))^3</f>
        <v/>
      </c>
      <c r="AJ151">
        <f>(AG151/STDEV($AG$3:$AG$1137))^4</f>
        <v/>
      </c>
      <c r="AK151">
        <f>AF151^2</f>
        <v/>
      </c>
      <c r="AL151">
        <f>IF(AD151=1,AB151,IF(AL150&lt;&gt;"",AL150,""))</f>
        <v/>
      </c>
      <c r="AM151">
        <f>IF(AND(AD151=1,AL150&lt;&gt;""),ABS(AB151-AL150),"")</f>
        <v/>
      </c>
    </row>
    <row r="152">
      <c r="A152" t="n">
        <v>1776665702</v>
      </c>
      <c r="B152" t="inlineStr">
        <is>
          <t>XAUUSD</t>
        </is>
      </c>
      <c r="C152" t="inlineStr">
        <is>
          <t>M15</t>
        </is>
      </c>
      <c r="D152" t="n">
        <v>4786.12</v>
      </c>
      <c r="E152" t="n">
        <v>4518.59282</v>
      </c>
      <c r="F152" t="n">
        <v>4596.05595</v>
      </c>
      <c r="G152" t="n">
        <v>4755.40355</v>
      </c>
      <c r="H152" t="n">
        <v>4792.76972</v>
      </c>
      <c r="Q152" t="n">
        <v>4777.49712</v>
      </c>
      <c r="R152" t="n">
        <v>4806.86042</v>
      </c>
      <c r="S152" t="n">
        <v>4833.44919</v>
      </c>
      <c r="V152" t="n">
        <v>4742.55735</v>
      </c>
      <c r="W152" t="n">
        <v>4708.99235</v>
      </c>
      <c r="AB152" t="n">
        <v>4789.95339</v>
      </c>
      <c r="AC152" t="n">
        <v>4788.95855</v>
      </c>
      <c r="AD152" t="n">
        <v>0</v>
      </c>
      <c r="AE152">
        <f>AE151+1</f>
        <v/>
      </c>
      <c r="AF152">
        <f>AF151+1</f>
        <v/>
      </c>
      <c r="AG152">
        <f>D152-Q152</f>
        <v/>
      </c>
      <c r="AH152">
        <f>AG152^2</f>
        <v/>
      </c>
      <c r="AI152">
        <f>(AG152/STDEV($AG$3:$AG$1137))^3</f>
        <v/>
      </c>
      <c r="AJ152">
        <f>(AG152/STDEV($AG$3:$AG$1137))^4</f>
        <v/>
      </c>
      <c r="AK152">
        <f>AF152^2</f>
        <v/>
      </c>
      <c r="AL152">
        <f>IF(AD152=1,AB152,IF(AL151&lt;&gt;"",AL151,""))</f>
        <v/>
      </c>
      <c r="AM152">
        <f>IF(AND(AD152=1,AL151&lt;&gt;""),ABS(AB152-AL151),"")</f>
        <v/>
      </c>
    </row>
    <row r="153">
      <c r="A153" t="n">
        <v>1776666602</v>
      </c>
      <c r="B153" t="inlineStr">
        <is>
          <t>XAUUSD</t>
        </is>
      </c>
      <c r="C153" t="inlineStr">
        <is>
          <t>M15</t>
        </is>
      </c>
      <c r="D153" t="n">
        <v>4790.24</v>
      </c>
      <c r="E153" t="n">
        <v>4518.59282</v>
      </c>
      <c r="F153" t="n">
        <v>4596.05595</v>
      </c>
      <c r="G153" t="n">
        <v>4755.40355</v>
      </c>
      <c r="H153" t="n">
        <v>4792.76972</v>
      </c>
      <c r="Q153" t="n">
        <v>4777.22951</v>
      </c>
      <c r="R153" t="n">
        <v>4806.59281</v>
      </c>
      <c r="S153" t="n">
        <v>4833.18158</v>
      </c>
      <c r="V153" t="n">
        <v>4742.28974</v>
      </c>
      <c r="W153" t="n">
        <v>4708.72475</v>
      </c>
      <c r="AB153" t="n">
        <v>4791.73886</v>
      </c>
      <c r="AC153" t="n">
        <v>4790.34871</v>
      </c>
      <c r="AD153" t="n">
        <v>0</v>
      </c>
      <c r="AE153">
        <f>AE152+1</f>
        <v/>
      </c>
      <c r="AF153">
        <f>AF152+1</f>
        <v/>
      </c>
      <c r="AG153">
        <f>D153-Q153</f>
        <v/>
      </c>
      <c r="AH153">
        <f>AG153^2</f>
        <v/>
      </c>
      <c r="AI153">
        <f>(AG153/STDEV($AG$3:$AG$1137))^3</f>
        <v/>
      </c>
      <c r="AJ153">
        <f>(AG153/STDEV($AG$3:$AG$1137))^4</f>
        <v/>
      </c>
      <c r="AK153">
        <f>AF153^2</f>
        <v/>
      </c>
      <c r="AL153">
        <f>IF(AD153=1,AB153,IF(AL152&lt;&gt;"",AL152,""))</f>
        <v/>
      </c>
      <c r="AM153">
        <f>IF(AND(AD153=1,AL152&lt;&gt;""),ABS(AB153-AL152),"")</f>
        <v/>
      </c>
    </row>
    <row r="154">
      <c r="A154" t="n">
        <v>1776667502</v>
      </c>
      <c r="B154" t="inlineStr">
        <is>
          <t>XAUUSD</t>
        </is>
      </c>
      <c r="C154" t="inlineStr">
        <is>
          <t>M15</t>
        </is>
      </c>
      <c r="D154" t="n">
        <v>4795.46</v>
      </c>
      <c r="E154" t="n">
        <v>4518.59282</v>
      </c>
      <c r="F154" t="n">
        <v>4596.05595</v>
      </c>
      <c r="G154" t="n">
        <v>4755.40355</v>
      </c>
      <c r="H154" t="n">
        <v>4792.76972</v>
      </c>
      <c r="Q154" t="n">
        <v>4776.96191</v>
      </c>
      <c r="R154" t="n">
        <v>4806.32521</v>
      </c>
      <c r="S154" t="n">
        <v>4832.91398</v>
      </c>
      <c r="V154" t="n">
        <v>4742.02214</v>
      </c>
      <c r="W154" t="n">
        <v>4708.45714</v>
      </c>
      <c r="AB154" t="n">
        <v>4793.43341</v>
      </c>
      <c r="AC154" t="n">
        <v>4791.89106</v>
      </c>
      <c r="AD154" t="n">
        <v>0</v>
      </c>
      <c r="AE154">
        <f>AE153+1</f>
        <v/>
      </c>
      <c r="AF154">
        <f>AF153+1</f>
        <v/>
      </c>
      <c r="AG154">
        <f>D154-Q154</f>
        <v/>
      </c>
      <c r="AH154">
        <f>AG154^2</f>
        <v/>
      </c>
      <c r="AI154">
        <f>(AG154/STDEV($AG$3:$AG$1137))^3</f>
        <v/>
      </c>
      <c r="AJ154">
        <f>(AG154/STDEV($AG$3:$AG$1137))^4</f>
        <v/>
      </c>
      <c r="AK154">
        <f>AF154^2</f>
        <v/>
      </c>
      <c r="AL154">
        <f>IF(AD154=1,AB154,IF(AL153&lt;&gt;"",AL153,""))</f>
        <v/>
      </c>
      <c r="AM154">
        <f>IF(AND(AD154=1,AL153&lt;&gt;""),ABS(AB154-AL153),"")</f>
        <v/>
      </c>
    </row>
    <row r="155">
      <c r="A155" t="n">
        <v>1776668402</v>
      </c>
      <c r="B155" t="inlineStr">
        <is>
          <t>XAUUSD</t>
        </is>
      </c>
      <c r="C155" t="inlineStr">
        <is>
          <t>M15</t>
        </is>
      </c>
      <c r="D155" t="n">
        <v>4797.47</v>
      </c>
      <c r="E155" t="n">
        <v>4518.59282</v>
      </c>
      <c r="F155" t="n">
        <v>4596.05595</v>
      </c>
      <c r="G155" t="n">
        <v>4755.40355</v>
      </c>
      <c r="H155" t="n">
        <v>4792.76972</v>
      </c>
      <c r="Q155" t="n">
        <v>4776.69431</v>
      </c>
      <c r="R155" t="n">
        <v>4806.0576</v>
      </c>
      <c r="S155" t="n">
        <v>4832.64637</v>
      </c>
      <c r="V155" t="n">
        <v>4741.75454</v>
      </c>
      <c r="W155" t="n">
        <v>4708.18954</v>
      </c>
      <c r="AB155" t="n">
        <v>4794.61082</v>
      </c>
      <c r="AC155" t="n">
        <v>4793.25094</v>
      </c>
      <c r="AD155" t="n">
        <v>0</v>
      </c>
      <c r="AE155">
        <f>AE154+1</f>
        <v/>
      </c>
      <c r="AF155">
        <f>AF154+1</f>
        <v/>
      </c>
      <c r="AG155">
        <f>D155-Q155</f>
        <v/>
      </c>
      <c r="AH155">
        <f>AG155^2</f>
        <v/>
      </c>
      <c r="AI155">
        <f>(AG155/STDEV($AG$3:$AG$1137))^3</f>
        <v/>
      </c>
      <c r="AJ155">
        <f>(AG155/STDEV($AG$3:$AG$1137))^4</f>
        <v/>
      </c>
      <c r="AK155">
        <f>AF155^2</f>
        <v/>
      </c>
      <c r="AL155">
        <f>IF(AD155=1,AB155,IF(AL154&lt;&gt;"",AL154,""))</f>
        <v/>
      </c>
      <c r="AM155">
        <f>IF(AND(AD155=1,AL154&lt;&gt;""),ABS(AB155-AL154),"")</f>
        <v/>
      </c>
    </row>
    <row r="156">
      <c r="A156" t="n">
        <v>1776669302</v>
      </c>
      <c r="B156" t="inlineStr">
        <is>
          <t>XAUUSD</t>
        </is>
      </c>
      <c r="C156" t="inlineStr">
        <is>
          <t>M15</t>
        </is>
      </c>
      <c r="D156" t="n">
        <v>4797.92</v>
      </c>
      <c r="E156" t="n">
        <v>4518.59282</v>
      </c>
      <c r="F156" t="n">
        <v>4596.05595</v>
      </c>
      <c r="G156" t="n">
        <v>4755.40355</v>
      </c>
      <c r="H156" t="n">
        <v>4792.76972</v>
      </c>
      <c r="Q156" t="n">
        <v>4776.4267</v>
      </c>
      <c r="R156" t="n">
        <v>4805.79</v>
      </c>
      <c r="S156" t="n">
        <v>4832.37877</v>
      </c>
      <c r="V156" t="n">
        <v>4741.48693</v>
      </c>
      <c r="W156" t="n">
        <v>4707.92193</v>
      </c>
      <c r="Z156" t="n">
        <v>4805.79</v>
      </c>
      <c r="AB156" t="n">
        <v>4795.1086</v>
      </c>
      <c r="AC156" t="n">
        <v>4794.17977</v>
      </c>
      <c r="AD156" t="n">
        <v>0</v>
      </c>
      <c r="AE156">
        <f>AE155+1</f>
        <v/>
      </c>
      <c r="AF156">
        <f>AF155+1</f>
        <v/>
      </c>
      <c r="AG156">
        <f>D156-Q156</f>
        <v/>
      </c>
      <c r="AH156">
        <f>AG156^2</f>
        <v/>
      </c>
      <c r="AI156">
        <f>(AG156/STDEV($AG$3:$AG$1137))^3</f>
        <v/>
      </c>
      <c r="AJ156">
        <f>(AG156/STDEV($AG$3:$AG$1137))^4</f>
        <v/>
      </c>
      <c r="AK156">
        <f>AF156^2</f>
        <v/>
      </c>
      <c r="AL156">
        <f>IF(AD156=1,AB156,IF(AL155&lt;&gt;"",AL155,""))</f>
        <v/>
      </c>
      <c r="AM156">
        <f>IF(AND(AD156=1,AL155&lt;&gt;""),ABS(AB156-AL155),"")</f>
        <v/>
      </c>
    </row>
    <row r="157">
      <c r="A157" t="n">
        <v>1776670202</v>
      </c>
      <c r="B157" t="inlineStr">
        <is>
          <t>XAUUSD</t>
        </is>
      </c>
      <c r="C157" t="inlineStr">
        <is>
          <t>M15</t>
        </is>
      </c>
      <c r="D157" t="n">
        <v>4797.69</v>
      </c>
      <c r="E157" t="n">
        <v>4518.59282</v>
      </c>
      <c r="F157" t="n">
        <v>4596.05595</v>
      </c>
      <c r="G157" t="n">
        <v>4755.40355</v>
      </c>
      <c r="H157" t="n">
        <v>4792.76972</v>
      </c>
      <c r="Q157" t="n">
        <v>4776.1591</v>
      </c>
      <c r="R157" t="n">
        <v>4805.5224</v>
      </c>
      <c r="S157" t="n">
        <v>4832.11117</v>
      </c>
      <c r="V157" t="n">
        <v>4741.21933</v>
      </c>
      <c r="W157" t="n">
        <v>4707.65433</v>
      </c>
      <c r="AB157" t="n">
        <v>4794.93535</v>
      </c>
      <c r="AC157" t="n">
        <v>4794.55756</v>
      </c>
      <c r="AD157" t="n">
        <v>0</v>
      </c>
      <c r="AE157">
        <f>AE156+1</f>
        <v/>
      </c>
      <c r="AF157">
        <f>AF156+1</f>
        <v/>
      </c>
      <c r="AG157">
        <f>D157-Q157</f>
        <v/>
      </c>
      <c r="AH157">
        <f>AG157^2</f>
        <v/>
      </c>
      <c r="AI157">
        <f>(AG157/STDEV($AG$3:$AG$1137))^3</f>
        <v/>
      </c>
      <c r="AJ157">
        <f>(AG157/STDEV($AG$3:$AG$1137))^4</f>
        <v/>
      </c>
      <c r="AK157">
        <f>AF157^2</f>
        <v/>
      </c>
      <c r="AL157">
        <f>IF(AD157=1,AB157,IF(AL156&lt;&gt;"",AL156,""))</f>
        <v/>
      </c>
      <c r="AM157">
        <f>IF(AND(AD157=1,AL156&lt;&gt;""),ABS(AB157-AL156),"")</f>
        <v/>
      </c>
    </row>
    <row r="158">
      <c r="A158" t="n">
        <v>1776671102</v>
      </c>
      <c r="B158" t="inlineStr">
        <is>
          <t>XAUUSD</t>
        </is>
      </c>
      <c r="C158" t="inlineStr">
        <is>
          <t>M15</t>
        </is>
      </c>
      <c r="D158" t="n">
        <v>4789.7</v>
      </c>
      <c r="E158" t="n">
        <v>4518.59282</v>
      </c>
      <c r="F158" t="n">
        <v>4596.05595</v>
      </c>
      <c r="G158" t="n">
        <v>4755.40355</v>
      </c>
      <c r="H158" t="n">
        <v>4792.76972</v>
      </c>
      <c r="Q158" t="n">
        <v>4775.89149</v>
      </c>
      <c r="R158" t="n">
        <v>4805.25479</v>
      </c>
      <c r="S158" t="n">
        <v>4831.84356</v>
      </c>
      <c r="V158" t="n">
        <v>4740.95172</v>
      </c>
      <c r="W158" t="n">
        <v>4707.38673</v>
      </c>
      <c r="AB158" t="n">
        <v>4794.27461</v>
      </c>
      <c r="AC158" t="n">
        <v>4794.41608</v>
      </c>
      <c r="AD158" t="n">
        <v>1</v>
      </c>
      <c r="AE158">
        <f>AE157+1</f>
        <v/>
      </c>
      <c r="AF158">
        <f>AF157+1</f>
        <v/>
      </c>
      <c r="AG158">
        <f>D158-Q158</f>
        <v/>
      </c>
      <c r="AH158">
        <f>AG158^2</f>
        <v/>
      </c>
      <c r="AI158">
        <f>(AG158/STDEV($AG$3:$AG$1137))^3</f>
        <v/>
      </c>
      <c r="AJ158">
        <f>(AG158/STDEV($AG$3:$AG$1137))^4</f>
        <v/>
      </c>
      <c r="AK158">
        <f>AF158^2</f>
        <v/>
      </c>
      <c r="AL158">
        <f>IF(AD158=1,AB158,IF(AL157&lt;&gt;"",AL157,""))</f>
        <v/>
      </c>
      <c r="AM158">
        <f>IF(AND(AD158=1,AL157&lt;&gt;""),ABS(AB158-AL157),"")</f>
        <v/>
      </c>
    </row>
    <row r="159">
      <c r="A159" t="n">
        <v>1776672002</v>
      </c>
      <c r="B159" t="inlineStr">
        <is>
          <t>XAUUSD</t>
        </is>
      </c>
      <c r="C159" t="inlineStr">
        <is>
          <t>M15</t>
        </is>
      </c>
      <c r="D159" t="n">
        <v>4789.48</v>
      </c>
      <c r="E159" t="n">
        <v>4518.59282</v>
      </c>
      <c r="F159" t="n">
        <v>4596.05595</v>
      </c>
      <c r="G159" t="n">
        <v>4755.40355</v>
      </c>
      <c r="H159" t="n">
        <v>4792.76972</v>
      </c>
      <c r="Q159" t="n">
        <v>4775.62389</v>
      </c>
      <c r="R159" t="n">
        <v>4804.98719</v>
      </c>
      <c r="S159" t="n">
        <v>4831.57596</v>
      </c>
      <c r="V159" t="n">
        <v>4740.68412</v>
      </c>
      <c r="W159" t="n">
        <v>4707.11912</v>
      </c>
      <c r="AB159" t="n">
        <v>4793.55397</v>
      </c>
      <c r="AC159" t="n">
        <v>4793.98503</v>
      </c>
      <c r="AD159" t="n">
        <v>0</v>
      </c>
      <c r="AE159">
        <f>AE158+1</f>
        <v/>
      </c>
      <c r="AF159">
        <f>AF158+1</f>
        <v/>
      </c>
      <c r="AG159">
        <f>D159-Q159</f>
        <v/>
      </c>
      <c r="AH159">
        <f>AG159^2</f>
        <v/>
      </c>
      <c r="AI159">
        <f>(AG159/STDEV($AG$3:$AG$1137))^3</f>
        <v/>
      </c>
      <c r="AJ159">
        <f>(AG159/STDEV($AG$3:$AG$1137))^4</f>
        <v/>
      </c>
      <c r="AK159">
        <f>AF159^2</f>
        <v/>
      </c>
      <c r="AL159">
        <f>IF(AD159=1,AB159,IF(AL158&lt;&gt;"",AL158,""))</f>
        <v/>
      </c>
      <c r="AM159">
        <f>IF(AND(AD159=1,AL158&lt;&gt;""),ABS(AB159-AL158),"")</f>
        <v/>
      </c>
    </row>
    <row r="160">
      <c r="A160" t="n">
        <v>1776672902</v>
      </c>
      <c r="B160" t="inlineStr">
        <is>
          <t>XAUUSD</t>
        </is>
      </c>
      <c r="C160" t="inlineStr">
        <is>
          <t>M15</t>
        </is>
      </c>
      <c r="D160" t="n">
        <v>4792.11</v>
      </c>
      <c r="E160" t="n">
        <v>4518.59282</v>
      </c>
      <c r="F160" t="n">
        <v>4596.05595</v>
      </c>
      <c r="G160" t="n">
        <v>4755.40355</v>
      </c>
      <c r="H160" t="n">
        <v>4792.76972</v>
      </c>
      <c r="Q160" t="n">
        <v>4775.35628</v>
      </c>
      <c r="R160" t="n">
        <v>4804.71958</v>
      </c>
      <c r="S160" t="n">
        <v>4831.30835</v>
      </c>
      <c r="V160" t="n">
        <v>4740.41651</v>
      </c>
      <c r="W160" t="n">
        <v>4706.85152</v>
      </c>
      <c r="AB160" t="n">
        <v>4793.04286</v>
      </c>
      <c r="AC160" t="n">
        <v>4793.51395</v>
      </c>
      <c r="AD160" t="n">
        <v>0</v>
      </c>
      <c r="AE160">
        <f>AE159+1</f>
        <v/>
      </c>
      <c r="AF160">
        <f>AF159+1</f>
        <v/>
      </c>
      <c r="AG160">
        <f>D160-Q160</f>
        <v/>
      </c>
      <c r="AH160">
        <f>AG160^2</f>
        <v/>
      </c>
      <c r="AI160">
        <f>(AG160/STDEV($AG$3:$AG$1137))^3</f>
        <v/>
      </c>
      <c r="AJ160">
        <f>(AG160/STDEV($AG$3:$AG$1137))^4</f>
        <v/>
      </c>
      <c r="AK160">
        <f>AF160^2</f>
        <v/>
      </c>
      <c r="AL160">
        <f>IF(AD160=1,AB160,IF(AL159&lt;&gt;"",AL159,""))</f>
        <v/>
      </c>
      <c r="AM160">
        <f>IF(AND(AD160=1,AL159&lt;&gt;""),ABS(AB160-AL159),"")</f>
        <v/>
      </c>
    </row>
    <row r="161">
      <c r="A161" t="n">
        <v>1776673802</v>
      </c>
      <c r="B161" t="inlineStr">
        <is>
          <t>XAUUSD</t>
        </is>
      </c>
      <c r="C161" t="inlineStr">
        <is>
          <t>M15</t>
        </is>
      </c>
      <c r="D161" t="n">
        <v>4792.48</v>
      </c>
      <c r="E161" t="n">
        <v>4518.59282</v>
      </c>
      <c r="F161" t="n">
        <v>4596.05595</v>
      </c>
      <c r="G161" t="n">
        <v>4755.40355</v>
      </c>
      <c r="H161" t="n">
        <v>4792.76972</v>
      </c>
      <c r="Q161" t="n">
        <v>4775.08868</v>
      </c>
      <c r="R161" t="n">
        <v>4804.45198</v>
      </c>
      <c r="S161" t="n">
        <v>4831.04075</v>
      </c>
      <c r="V161" t="n">
        <v>4740.14891</v>
      </c>
      <c r="W161" t="n">
        <v>4706.58391</v>
      </c>
      <c r="AB161" t="n">
        <v>4792.82566</v>
      </c>
      <c r="AC161" t="n">
        <v>4793.1698</v>
      </c>
      <c r="AD161" t="n">
        <v>0</v>
      </c>
      <c r="AE161">
        <f>AE160+1</f>
        <v/>
      </c>
      <c r="AF161">
        <f>AF160+1</f>
        <v/>
      </c>
      <c r="AG161">
        <f>D161-Q161</f>
        <v/>
      </c>
      <c r="AH161">
        <f>AG161^2</f>
        <v/>
      </c>
      <c r="AI161">
        <f>(AG161/STDEV($AG$3:$AG$1137))^3</f>
        <v/>
      </c>
      <c r="AJ161">
        <f>(AG161/STDEV($AG$3:$AG$1137))^4</f>
        <v/>
      </c>
      <c r="AK161">
        <f>AF161^2</f>
        <v/>
      </c>
      <c r="AL161">
        <f>IF(AD161=1,AB161,IF(AL160&lt;&gt;"",AL160,""))</f>
        <v/>
      </c>
      <c r="AM161">
        <f>IF(AND(AD161=1,AL160&lt;&gt;""),ABS(AB161-AL160),"")</f>
        <v/>
      </c>
    </row>
    <row r="162">
      <c r="A162" t="n">
        <v>1776674702</v>
      </c>
      <c r="B162" t="inlineStr">
        <is>
          <t>XAUUSD</t>
        </is>
      </c>
      <c r="C162" t="inlineStr">
        <is>
          <t>M15</t>
        </is>
      </c>
      <c r="D162" t="n">
        <v>4796.19</v>
      </c>
      <c r="E162" t="n">
        <v>4518.59282</v>
      </c>
      <c r="F162" t="n">
        <v>4596.05595</v>
      </c>
      <c r="G162" t="n">
        <v>4755.40355</v>
      </c>
      <c r="H162" t="n">
        <v>4792.76972</v>
      </c>
      <c r="Q162" t="n">
        <v>4774.82108</v>
      </c>
      <c r="R162" t="n">
        <v>4804.18438</v>
      </c>
      <c r="S162" t="n">
        <v>4830.77315</v>
      </c>
      <c r="V162" t="n">
        <v>4739.88131</v>
      </c>
      <c r="W162" t="n">
        <v>4706.31631</v>
      </c>
      <c r="AB162" t="n">
        <v>4792.91799</v>
      </c>
      <c r="AC162" t="n">
        <v>4793.0439</v>
      </c>
      <c r="AD162" t="n">
        <v>0</v>
      </c>
      <c r="AE162">
        <f>AE161+1</f>
        <v/>
      </c>
      <c r="AF162">
        <f>AF161+1</f>
        <v/>
      </c>
      <c r="AG162">
        <f>D162-Q162</f>
        <v/>
      </c>
      <c r="AH162">
        <f>AG162^2</f>
        <v/>
      </c>
      <c r="AI162">
        <f>(AG162/STDEV($AG$3:$AG$1137))^3</f>
        <v/>
      </c>
      <c r="AJ162">
        <f>(AG162/STDEV($AG$3:$AG$1137))^4</f>
        <v/>
      </c>
      <c r="AK162">
        <f>AF162^2</f>
        <v/>
      </c>
      <c r="AL162">
        <f>IF(AD162=1,AB162,IF(AL161&lt;&gt;"",AL161,""))</f>
        <v/>
      </c>
      <c r="AM162">
        <f>IF(AND(AD162=1,AL161&lt;&gt;""),ABS(AB162-AL161),"")</f>
        <v/>
      </c>
    </row>
    <row r="163">
      <c r="A163" t="n">
        <v>1776675602</v>
      </c>
      <c r="B163" t="inlineStr">
        <is>
          <t>XAUUSD</t>
        </is>
      </c>
      <c r="C163" t="inlineStr">
        <is>
          <t>M15</t>
        </is>
      </c>
      <c r="D163" t="n">
        <v>4796.07</v>
      </c>
      <c r="E163" t="n">
        <v>4518.59282</v>
      </c>
      <c r="F163" t="n">
        <v>4596.05595</v>
      </c>
      <c r="G163" t="n">
        <v>4755.40355</v>
      </c>
      <c r="H163" t="n">
        <v>4792.76972</v>
      </c>
      <c r="Q163" t="n">
        <v>4774.55347</v>
      </c>
      <c r="R163" t="n">
        <v>4803.91677</v>
      </c>
      <c r="S163" t="n">
        <v>4830.50554</v>
      </c>
      <c r="V163" t="n">
        <v>4739.6137</v>
      </c>
      <c r="W163" t="n">
        <v>4706.04871</v>
      </c>
      <c r="AB163" t="n">
        <v>4793.16111</v>
      </c>
      <c r="AC163" t="n">
        <v>4793.1025</v>
      </c>
      <c r="AD163" t="n">
        <v>1</v>
      </c>
      <c r="AE163">
        <f>AE162+1</f>
        <v/>
      </c>
      <c r="AF163">
        <f>AF162+1</f>
        <v/>
      </c>
      <c r="AG163">
        <f>D163-Q163</f>
        <v/>
      </c>
      <c r="AH163">
        <f>AG163^2</f>
        <v/>
      </c>
      <c r="AI163">
        <f>(AG163/STDEV($AG$3:$AG$1137))^3</f>
        <v/>
      </c>
      <c r="AJ163">
        <f>(AG163/STDEV($AG$3:$AG$1137))^4</f>
        <v/>
      </c>
      <c r="AK163">
        <f>AF163^2</f>
        <v/>
      </c>
      <c r="AL163">
        <f>IF(AD163=1,AB163,IF(AL162&lt;&gt;"",AL162,""))</f>
        <v/>
      </c>
      <c r="AM163">
        <f>IF(AND(AD163=1,AL162&lt;&gt;""),ABS(AB163-AL162),"")</f>
        <v/>
      </c>
    </row>
    <row r="164">
      <c r="A164" t="n">
        <v>1776676502</v>
      </c>
      <c r="B164" t="inlineStr">
        <is>
          <t>XAUUSD</t>
        </is>
      </c>
      <c r="C164" t="inlineStr">
        <is>
          <t>M15</t>
        </is>
      </c>
      <c r="D164" t="n">
        <v>4792.33</v>
      </c>
      <c r="E164" t="n">
        <v>4518.59282</v>
      </c>
      <c r="F164" t="n">
        <v>4596.05595</v>
      </c>
      <c r="G164" t="n">
        <v>4755.40355</v>
      </c>
      <c r="H164" t="n">
        <v>4792.76972</v>
      </c>
      <c r="Q164" t="n">
        <v>4774.28587</v>
      </c>
      <c r="R164" t="n">
        <v>4803.64917</v>
      </c>
      <c r="S164" t="n">
        <v>4830.23794</v>
      </c>
      <c r="V164" t="n">
        <v>4739.3461</v>
      </c>
      <c r="W164" t="n">
        <v>4705.7811</v>
      </c>
      <c r="AB164" t="n">
        <v>4793.45986</v>
      </c>
      <c r="AC164" t="n">
        <v>4793.28118</v>
      </c>
      <c r="AD164" t="n">
        <v>0</v>
      </c>
      <c r="AE164">
        <f>AE163+1</f>
        <v/>
      </c>
      <c r="AF164">
        <f>AF163+1</f>
        <v/>
      </c>
      <c r="AG164">
        <f>D164-Q164</f>
        <v/>
      </c>
      <c r="AH164">
        <f>AG164^2</f>
        <v/>
      </c>
      <c r="AI164">
        <f>(AG164/STDEV($AG$3:$AG$1137))^3</f>
        <v/>
      </c>
      <c r="AJ164">
        <f>(AG164/STDEV($AG$3:$AG$1137))^4</f>
        <v/>
      </c>
      <c r="AK164">
        <f>AF164^2</f>
        <v/>
      </c>
      <c r="AL164">
        <f>IF(AD164=1,AB164,IF(AL163&lt;&gt;"",AL163,""))</f>
        <v/>
      </c>
      <c r="AM164">
        <f>IF(AND(AD164=1,AL163&lt;&gt;""),ABS(AB164-AL163),"")</f>
        <v/>
      </c>
    </row>
    <row r="165">
      <c r="A165" t="n">
        <v>1776677402</v>
      </c>
      <c r="B165" t="inlineStr">
        <is>
          <t>XAUUSD</t>
        </is>
      </c>
      <c r="C165" t="inlineStr">
        <is>
          <t>M15</t>
        </is>
      </c>
      <c r="D165" t="n">
        <v>4791.96</v>
      </c>
      <c r="E165" t="n">
        <v>4518.59282</v>
      </c>
      <c r="F165" t="n">
        <v>4596.05595</v>
      </c>
      <c r="G165" t="n">
        <v>4755.40355</v>
      </c>
      <c r="H165" t="n">
        <v>4792.76972</v>
      </c>
      <c r="Q165" t="n">
        <v>4774.01826</v>
      </c>
      <c r="R165" t="n">
        <v>4803.38156</v>
      </c>
      <c r="S165" t="n">
        <v>4829.97033</v>
      </c>
      <c r="V165" t="n">
        <v>4739.07849</v>
      </c>
      <c r="W165" t="n">
        <v>4705.5135</v>
      </c>
      <c r="AB165" t="n">
        <v>4793.8042</v>
      </c>
      <c r="AC165" t="n">
        <v>4793.54269</v>
      </c>
      <c r="AD165" t="n">
        <v>0</v>
      </c>
      <c r="AE165">
        <f>AE164+1</f>
        <v/>
      </c>
      <c r="AF165">
        <f>AF164+1</f>
        <v/>
      </c>
      <c r="AG165">
        <f>D165-Q165</f>
        <v/>
      </c>
      <c r="AH165">
        <f>AG165^2</f>
        <v/>
      </c>
      <c r="AI165">
        <f>(AG165/STDEV($AG$3:$AG$1137))^3</f>
        <v/>
      </c>
      <c r="AJ165">
        <f>(AG165/STDEV($AG$3:$AG$1137))^4</f>
        <v/>
      </c>
      <c r="AK165">
        <f>AF165^2</f>
        <v/>
      </c>
      <c r="AL165">
        <f>IF(AD165=1,AB165,IF(AL164&lt;&gt;"",AL164,""))</f>
        <v/>
      </c>
      <c r="AM165">
        <f>IF(AND(AD165=1,AL164&lt;&gt;""),ABS(AB165-AL164),"")</f>
        <v/>
      </c>
    </row>
    <row r="166">
      <c r="A166" t="n">
        <v>1776678302</v>
      </c>
      <c r="B166" t="inlineStr">
        <is>
          <t>XAUUSD</t>
        </is>
      </c>
      <c r="C166" t="inlineStr">
        <is>
          <t>M15</t>
        </is>
      </c>
      <c r="D166" t="n">
        <v>4791.6</v>
      </c>
      <c r="E166" t="n">
        <v>4518.59282</v>
      </c>
      <c r="F166" t="n">
        <v>4596.05595</v>
      </c>
      <c r="G166" t="n">
        <v>4755.40355</v>
      </c>
      <c r="H166" t="n">
        <v>4792.76972</v>
      </c>
      <c r="Q166" t="n">
        <v>4773.75066</v>
      </c>
      <c r="R166" t="n">
        <v>4803.11396</v>
      </c>
      <c r="S166" t="n">
        <v>4829.70273</v>
      </c>
      <c r="V166" t="n">
        <v>4738.81089</v>
      </c>
      <c r="W166" t="n">
        <v>4705.24589</v>
      </c>
      <c r="AB166" t="n">
        <v>4794.11574</v>
      </c>
      <c r="AC166" t="n">
        <v>4793.82922</v>
      </c>
      <c r="AD166" t="n">
        <v>0</v>
      </c>
      <c r="AE166">
        <f>AE165+1</f>
        <v/>
      </c>
      <c r="AF166">
        <f>AF165+1</f>
        <v/>
      </c>
      <c r="AG166">
        <f>D166-Q166</f>
        <v/>
      </c>
      <c r="AH166">
        <f>AG166^2</f>
        <v/>
      </c>
      <c r="AI166">
        <f>(AG166/STDEV($AG$3:$AG$1137))^3</f>
        <v/>
      </c>
      <c r="AJ166">
        <f>(AG166/STDEV($AG$3:$AG$1137))^4</f>
        <v/>
      </c>
      <c r="AK166">
        <f>AF166^2</f>
        <v/>
      </c>
      <c r="AL166">
        <f>IF(AD166=1,AB166,IF(AL165&lt;&gt;"",AL165,""))</f>
        <v/>
      </c>
      <c r="AM166">
        <f>IF(AND(AD166=1,AL165&lt;&gt;""),ABS(AB166-AL165),"")</f>
        <v/>
      </c>
    </row>
    <row r="167">
      <c r="A167" t="n">
        <v>1776679202</v>
      </c>
      <c r="B167" t="inlineStr">
        <is>
          <t>XAUUSD</t>
        </is>
      </c>
      <c r="C167" t="inlineStr">
        <is>
          <t>M15</t>
        </is>
      </c>
      <c r="D167" t="n">
        <v>4795.76</v>
      </c>
      <c r="E167" t="n">
        <v>4518.59282</v>
      </c>
      <c r="F167" t="n">
        <v>4596.05595</v>
      </c>
      <c r="G167" t="n">
        <v>4755.40355</v>
      </c>
      <c r="H167" t="n">
        <v>4792.76972</v>
      </c>
      <c r="Q167" t="n">
        <v>4773.48306</v>
      </c>
      <c r="R167" t="n">
        <v>4802.84636</v>
      </c>
      <c r="S167" t="n">
        <v>4829.43513</v>
      </c>
      <c r="V167" t="n">
        <v>4738.54329</v>
      </c>
      <c r="W167" t="n">
        <v>4704.97829</v>
      </c>
      <c r="AB167" t="n">
        <v>4794.34499</v>
      </c>
      <c r="AC167" t="n">
        <v>4794.08711</v>
      </c>
      <c r="AD167" t="n">
        <v>0</v>
      </c>
      <c r="AE167">
        <f>AE166+1</f>
        <v/>
      </c>
      <c r="AF167">
        <f>AF166+1</f>
        <v/>
      </c>
      <c r="AG167">
        <f>D167-Q167</f>
        <v/>
      </c>
      <c r="AH167">
        <f>AG167^2</f>
        <v/>
      </c>
      <c r="AI167">
        <f>(AG167/STDEV($AG$3:$AG$1137))^3</f>
        <v/>
      </c>
      <c r="AJ167">
        <f>(AG167/STDEV($AG$3:$AG$1137))^4</f>
        <v/>
      </c>
      <c r="AK167">
        <f>AF167^2</f>
        <v/>
      </c>
      <c r="AL167">
        <f>IF(AD167=1,AB167,IF(AL166&lt;&gt;"",AL166,""))</f>
        <v/>
      </c>
      <c r="AM167">
        <f>IF(AND(AD167=1,AL166&lt;&gt;""),ABS(AB167-AL166),"")</f>
        <v/>
      </c>
    </row>
    <row r="168">
      <c r="A168" t="n">
        <v>1776680102</v>
      </c>
      <c r="B168" t="inlineStr">
        <is>
          <t>XAUUSD</t>
        </is>
      </c>
      <c r="C168" t="inlineStr">
        <is>
          <t>M15</t>
        </is>
      </c>
      <c r="D168" t="n">
        <v>4798.24</v>
      </c>
      <c r="E168" t="n">
        <v>4518.59282</v>
      </c>
      <c r="F168" t="n">
        <v>4596.05595</v>
      </c>
      <c r="G168" t="n">
        <v>4755.40355</v>
      </c>
      <c r="H168" t="n">
        <v>4792.76972</v>
      </c>
      <c r="Q168" t="n">
        <v>4773.21545</v>
      </c>
      <c r="R168" t="n">
        <v>4802.57875</v>
      </c>
      <c r="S168" t="n">
        <v>4829.16752</v>
      </c>
      <c r="V168" t="n">
        <v>4738.27568</v>
      </c>
      <c r="W168" t="n">
        <v>4704.71069</v>
      </c>
      <c r="AB168" t="n">
        <v>4794.39122</v>
      </c>
      <c r="AC168" t="n">
        <v>4794.23917</v>
      </c>
      <c r="AD168" t="n">
        <v>0</v>
      </c>
      <c r="AE168">
        <f>AE167+1</f>
        <v/>
      </c>
      <c r="AF168">
        <f>AF167+1</f>
        <v/>
      </c>
      <c r="AG168">
        <f>D168-Q168</f>
        <v/>
      </c>
      <c r="AH168">
        <f>AG168^2</f>
        <v/>
      </c>
      <c r="AI168">
        <f>(AG168/STDEV($AG$3:$AG$1137))^3</f>
        <v/>
      </c>
      <c r="AJ168">
        <f>(AG168/STDEV($AG$3:$AG$1137))^4</f>
        <v/>
      </c>
      <c r="AK168">
        <f>AF168^2</f>
        <v/>
      </c>
      <c r="AL168">
        <f>IF(AD168=1,AB168,IF(AL167&lt;&gt;"",AL167,""))</f>
        <v/>
      </c>
      <c r="AM168">
        <f>IF(AND(AD168=1,AL167&lt;&gt;""),ABS(AB168-AL167),"")</f>
        <v/>
      </c>
    </row>
    <row r="169">
      <c r="A169" t="n">
        <v>1776681002</v>
      </c>
      <c r="B169" t="inlineStr">
        <is>
          <t>XAUUSD</t>
        </is>
      </c>
      <c r="C169" t="inlineStr">
        <is>
          <t>M15</t>
        </is>
      </c>
      <c r="D169" t="n">
        <v>4795.08</v>
      </c>
      <c r="E169" t="n">
        <v>4518.59282</v>
      </c>
      <c r="F169" t="n">
        <v>4596.05595</v>
      </c>
      <c r="G169" t="n">
        <v>4755.40355</v>
      </c>
      <c r="H169" t="n">
        <v>4792.76972</v>
      </c>
      <c r="Q169" t="n">
        <v>4772.94785</v>
      </c>
      <c r="R169" t="n">
        <v>4802.31115</v>
      </c>
      <c r="S169" t="n">
        <v>4828.89992</v>
      </c>
      <c r="V169" t="n">
        <v>4738.00808</v>
      </c>
      <c r="W169" t="n">
        <v>4704.44308</v>
      </c>
      <c r="AB169" t="n">
        <v>4794.27887</v>
      </c>
      <c r="AC169" t="n">
        <v>4794.25902</v>
      </c>
      <c r="AD169" t="n">
        <v>0</v>
      </c>
      <c r="AE169">
        <f>AE168+1</f>
        <v/>
      </c>
      <c r="AF169">
        <f>AF168+1</f>
        <v/>
      </c>
      <c r="AG169">
        <f>D169-Q169</f>
        <v/>
      </c>
      <c r="AH169">
        <f>AG169^2</f>
        <v/>
      </c>
      <c r="AI169">
        <f>(AG169/STDEV($AG$3:$AG$1137))^3</f>
        <v/>
      </c>
      <c r="AJ169">
        <f>(AG169/STDEV($AG$3:$AG$1137))^4</f>
        <v/>
      </c>
      <c r="AK169">
        <f>AF169^2</f>
        <v/>
      </c>
      <c r="AL169">
        <f>IF(AD169=1,AB169,IF(AL168&lt;&gt;"",AL168,""))</f>
        <v/>
      </c>
      <c r="AM169">
        <f>IF(AND(AD169=1,AL168&lt;&gt;""),ABS(AB169-AL168),"")</f>
        <v/>
      </c>
    </row>
    <row r="170">
      <c r="A170" t="n">
        <v>1776681902</v>
      </c>
      <c r="B170" t="inlineStr">
        <is>
          <t>XAUUSD</t>
        </is>
      </c>
      <c r="C170" t="inlineStr">
        <is>
          <t>M15</t>
        </is>
      </c>
      <c r="D170" t="n">
        <v>4795.91</v>
      </c>
      <c r="E170" t="n">
        <v>4518.59282</v>
      </c>
      <c r="F170" t="n">
        <v>4596.05595</v>
      </c>
      <c r="G170" t="n">
        <v>4755.40355</v>
      </c>
      <c r="H170" t="n">
        <v>4792.76972</v>
      </c>
      <c r="Q170" t="n">
        <v>4772.68024</v>
      </c>
      <c r="R170" t="n">
        <v>4802.04354</v>
      </c>
      <c r="S170" t="n">
        <v>4828.63231</v>
      </c>
      <c r="V170" t="n">
        <v>4737.74047</v>
      </c>
      <c r="W170" t="n">
        <v>4704.17548</v>
      </c>
      <c r="AB170" t="n">
        <v>4794.26873</v>
      </c>
      <c r="AC170" t="n">
        <v>4794.26387</v>
      </c>
      <c r="AD170" t="n">
        <v>0</v>
      </c>
      <c r="AE170">
        <f>AE169+1</f>
        <v/>
      </c>
      <c r="AF170">
        <f>AF169+1</f>
        <v/>
      </c>
      <c r="AG170">
        <f>D170-Q170</f>
        <v/>
      </c>
      <c r="AH170">
        <f>AG170^2</f>
        <v/>
      </c>
      <c r="AI170">
        <f>(AG170/STDEV($AG$3:$AG$1137))^3</f>
        <v/>
      </c>
      <c r="AJ170">
        <f>(AG170/STDEV($AG$3:$AG$1137))^4</f>
        <v/>
      </c>
      <c r="AK170">
        <f>AF170^2</f>
        <v/>
      </c>
      <c r="AL170">
        <f>IF(AD170=1,AB170,IF(AL169&lt;&gt;"",AL169,""))</f>
        <v/>
      </c>
      <c r="AM170">
        <f>IF(AND(AD170=1,AL169&lt;&gt;""),ABS(AB170-AL169),"")</f>
        <v/>
      </c>
    </row>
    <row r="171">
      <c r="A171" t="n">
        <v>1776682802</v>
      </c>
      <c r="B171" t="inlineStr">
        <is>
          <t>XAUUSD</t>
        </is>
      </c>
      <c r="C171" t="inlineStr">
        <is>
          <t>M15</t>
        </is>
      </c>
      <c r="D171" t="n">
        <v>4789.77</v>
      </c>
      <c r="E171" t="n">
        <v>4518.59282</v>
      </c>
      <c r="F171" t="n">
        <v>4596.05595</v>
      </c>
      <c r="G171" t="n">
        <v>4755.40355</v>
      </c>
      <c r="H171" t="n">
        <v>4792.76972</v>
      </c>
      <c r="Q171" t="n">
        <v>4772.41264</v>
      </c>
      <c r="R171" t="n">
        <v>4801.77594</v>
      </c>
      <c r="S171" t="n">
        <v>4828.36471</v>
      </c>
      <c r="V171" t="n">
        <v>4737.47287</v>
      </c>
      <c r="W171" t="n">
        <v>4703.90787</v>
      </c>
      <c r="AB171" t="n">
        <v>4794.56929</v>
      </c>
      <c r="AC171" t="n">
        <v>4794.41658</v>
      </c>
      <c r="AD171" t="n">
        <v>0</v>
      </c>
      <c r="AE171">
        <f>AE170+1</f>
        <v/>
      </c>
      <c r="AF171">
        <f>AF170+1</f>
        <v/>
      </c>
      <c r="AG171">
        <f>D171-Q171</f>
        <v/>
      </c>
      <c r="AH171">
        <f>AG171^2</f>
        <v/>
      </c>
      <c r="AI171">
        <f>(AG171/STDEV($AG$3:$AG$1137))^3</f>
        <v/>
      </c>
      <c r="AJ171">
        <f>(AG171/STDEV($AG$3:$AG$1137))^4</f>
        <v/>
      </c>
      <c r="AK171">
        <f>AF171^2</f>
        <v/>
      </c>
      <c r="AL171">
        <f>IF(AD171=1,AB171,IF(AL170&lt;&gt;"",AL170,""))</f>
        <v/>
      </c>
      <c r="AM171">
        <f>IF(AND(AD171=1,AL170&lt;&gt;""),ABS(AB171-AL170),"")</f>
        <v/>
      </c>
    </row>
    <row r="172">
      <c r="A172" t="n">
        <v>1776683702</v>
      </c>
      <c r="B172" t="inlineStr">
        <is>
          <t>XAUUSD</t>
        </is>
      </c>
      <c r="C172" t="inlineStr">
        <is>
          <t>M15</t>
        </is>
      </c>
      <c r="D172" t="n">
        <v>4788.34</v>
      </c>
      <c r="E172" t="n">
        <v>4518.59282</v>
      </c>
      <c r="F172" t="n">
        <v>4596.05595</v>
      </c>
      <c r="G172" t="n">
        <v>4755.40355</v>
      </c>
      <c r="H172" t="n">
        <v>4792.76972</v>
      </c>
      <c r="Q172" t="n">
        <v>4772.14504</v>
      </c>
      <c r="R172" t="n">
        <v>4801.50833</v>
      </c>
      <c r="S172" t="n">
        <v>4828.09711</v>
      </c>
      <c r="V172" t="n">
        <v>4737.20527</v>
      </c>
      <c r="W172" t="n">
        <v>4703.64027</v>
      </c>
      <c r="AB172" t="n">
        <v>4795.57866</v>
      </c>
      <c r="AC172" t="n">
        <v>4794.99762</v>
      </c>
      <c r="AD172" t="n">
        <v>0</v>
      </c>
      <c r="AE172">
        <f>AE171+1</f>
        <v/>
      </c>
      <c r="AF172">
        <f>AF171+1</f>
        <v/>
      </c>
      <c r="AG172">
        <f>D172-Q172</f>
        <v/>
      </c>
      <c r="AH172">
        <f>AG172^2</f>
        <v/>
      </c>
      <c r="AI172">
        <f>(AG172/STDEV($AG$3:$AG$1137))^3</f>
        <v/>
      </c>
      <c r="AJ172">
        <f>(AG172/STDEV($AG$3:$AG$1137))^4</f>
        <v/>
      </c>
      <c r="AK172">
        <f>AF172^2</f>
        <v/>
      </c>
      <c r="AL172">
        <f>IF(AD172=1,AB172,IF(AL171&lt;&gt;"",AL171,""))</f>
        <v/>
      </c>
      <c r="AM172">
        <f>IF(AND(AD172=1,AL171&lt;&gt;""),ABS(AB172-AL171),"")</f>
        <v/>
      </c>
    </row>
    <row r="173">
      <c r="A173" t="n">
        <v>1776684602</v>
      </c>
      <c r="B173" t="inlineStr">
        <is>
          <t>XAUUSD</t>
        </is>
      </c>
      <c r="C173" t="inlineStr">
        <is>
          <t>M15</t>
        </is>
      </c>
      <c r="D173" t="n">
        <v>4794.36</v>
      </c>
      <c r="E173" t="n">
        <v>4518.59282</v>
      </c>
      <c r="F173" t="n">
        <v>4596.05595</v>
      </c>
      <c r="G173" t="n">
        <v>4755.40355</v>
      </c>
      <c r="H173" t="n">
        <v>4792.76972</v>
      </c>
      <c r="Q173" t="n">
        <v>4771.87743</v>
      </c>
      <c r="R173" t="n">
        <v>4801.24073</v>
      </c>
      <c r="S173" t="n">
        <v>4827.8295</v>
      </c>
      <c r="V173" t="n">
        <v>4736.93766</v>
      </c>
      <c r="W173" t="n">
        <v>4703.37267</v>
      </c>
      <c r="AB173" t="n">
        <v>4797.4928</v>
      </c>
      <c r="AC173" t="n">
        <v>4796.24521</v>
      </c>
      <c r="AD173" t="n">
        <v>0</v>
      </c>
      <c r="AE173">
        <f>AE172+1</f>
        <v/>
      </c>
      <c r="AF173">
        <f>AF172+1</f>
        <v/>
      </c>
      <c r="AG173">
        <f>D173-Q173</f>
        <v/>
      </c>
      <c r="AH173">
        <f>AG173^2</f>
        <v/>
      </c>
      <c r="AI173">
        <f>(AG173/STDEV($AG$3:$AG$1137))^3</f>
        <v/>
      </c>
      <c r="AJ173">
        <f>(AG173/STDEV($AG$3:$AG$1137))^4</f>
        <v/>
      </c>
      <c r="AK173">
        <f>AF173^2</f>
        <v/>
      </c>
      <c r="AL173">
        <f>IF(AD173=1,AB173,IF(AL172&lt;&gt;"",AL172,""))</f>
        <v/>
      </c>
      <c r="AM173">
        <f>IF(AND(AD173=1,AL172&lt;&gt;""),ABS(AB173-AL172),"")</f>
        <v/>
      </c>
    </row>
    <row r="174">
      <c r="A174" t="n">
        <v>1776685502</v>
      </c>
      <c r="B174" t="inlineStr">
        <is>
          <t>XAUUSD</t>
        </is>
      </c>
      <c r="C174" t="inlineStr">
        <is>
          <t>M15</t>
        </is>
      </c>
      <c r="D174" t="n">
        <v>4810.44</v>
      </c>
      <c r="E174" t="n">
        <v>4518.59282</v>
      </c>
      <c r="F174" t="n">
        <v>4596.05595</v>
      </c>
      <c r="G174" t="n">
        <v>4755.40355</v>
      </c>
      <c r="H174" t="n">
        <v>4792.76972</v>
      </c>
      <c r="Q174" t="n">
        <v>4771.60983</v>
      </c>
      <c r="R174" t="n">
        <v>4800.97313</v>
      </c>
      <c r="S174" t="n">
        <v>4827.5619</v>
      </c>
      <c r="V174" t="n">
        <v>4736.67006</v>
      </c>
      <c r="W174" t="n">
        <v>4703.10506</v>
      </c>
      <c r="AB174" t="n">
        <v>4800.16394</v>
      </c>
      <c r="AC174" t="n">
        <v>4798.20457</v>
      </c>
      <c r="AD174" t="n">
        <v>0</v>
      </c>
      <c r="AE174">
        <f>AE173+1</f>
        <v/>
      </c>
      <c r="AF174">
        <f>AF173+1</f>
        <v/>
      </c>
      <c r="AG174">
        <f>D174-Q174</f>
        <v/>
      </c>
      <c r="AH174">
        <f>AG174^2</f>
        <v/>
      </c>
      <c r="AI174">
        <f>(AG174/STDEV($AG$3:$AG$1137))^3</f>
        <v/>
      </c>
      <c r="AJ174">
        <f>(AG174/STDEV($AG$3:$AG$1137))^4</f>
        <v/>
      </c>
      <c r="AK174">
        <f>AF174^2</f>
        <v/>
      </c>
      <c r="AL174">
        <f>IF(AD174=1,AB174,IF(AL173&lt;&gt;"",AL173,""))</f>
        <v/>
      </c>
      <c r="AM174">
        <f>IF(AND(AD174=1,AL173&lt;&gt;""),ABS(AB174-AL173),"")</f>
        <v/>
      </c>
    </row>
    <row r="175">
      <c r="A175" t="n">
        <v>1776686402</v>
      </c>
      <c r="B175" t="inlineStr">
        <is>
          <t>XAUUSD</t>
        </is>
      </c>
      <c r="C175" t="inlineStr">
        <is>
          <t>M15</t>
        </is>
      </c>
      <c r="D175" t="n">
        <v>4811.06</v>
      </c>
      <c r="E175" t="n">
        <v>4518.59282</v>
      </c>
      <c r="F175" t="n">
        <v>4596.05595</v>
      </c>
      <c r="G175" t="n">
        <v>4755.40355</v>
      </c>
      <c r="H175" t="n">
        <v>4792.76972</v>
      </c>
      <c r="Q175" t="n">
        <v>4771.34222</v>
      </c>
      <c r="R175" t="n">
        <v>4800.70552</v>
      </c>
      <c r="S175" t="n">
        <v>4827.29429</v>
      </c>
      <c r="V175" t="n">
        <v>4736.40245</v>
      </c>
      <c r="W175" t="n">
        <v>4702.83746</v>
      </c>
      <c r="AB175" t="n">
        <v>4803.09739</v>
      </c>
      <c r="AC175" t="n">
        <v>4800.65098</v>
      </c>
      <c r="AD175" t="n">
        <v>0</v>
      </c>
      <c r="AE175">
        <f>AE174+1</f>
        <v/>
      </c>
      <c r="AF175">
        <f>AF174+1</f>
        <v/>
      </c>
      <c r="AG175">
        <f>D175-Q175</f>
        <v/>
      </c>
      <c r="AH175">
        <f>AG175^2</f>
        <v/>
      </c>
      <c r="AI175">
        <f>(AG175/STDEV($AG$3:$AG$1137))^3</f>
        <v/>
      </c>
      <c r="AJ175">
        <f>(AG175/STDEV($AG$3:$AG$1137))^4</f>
        <v/>
      </c>
      <c r="AK175">
        <f>AF175^2</f>
        <v/>
      </c>
      <c r="AL175">
        <f>IF(AD175=1,AB175,IF(AL174&lt;&gt;"",AL174,""))</f>
        <v/>
      </c>
      <c r="AM175">
        <f>IF(AND(AD175=1,AL174&lt;&gt;""),ABS(AB175-AL174),"")</f>
        <v/>
      </c>
    </row>
    <row r="176">
      <c r="A176" t="n">
        <v>1776687302</v>
      </c>
      <c r="B176" t="inlineStr">
        <is>
          <t>XAUUSD</t>
        </is>
      </c>
      <c r="C176" t="inlineStr">
        <is>
          <t>M15</t>
        </is>
      </c>
      <c r="D176" t="n">
        <v>4805.51</v>
      </c>
      <c r="E176" t="n">
        <v>4518.59282</v>
      </c>
      <c r="F176" t="n">
        <v>4596.05595</v>
      </c>
      <c r="G176" t="n">
        <v>4755.40355</v>
      </c>
      <c r="H176" t="n">
        <v>4792.76972</v>
      </c>
      <c r="Q176" t="n">
        <v>4771.07462</v>
      </c>
      <c r="R176" t="n">
        <v>4800.43792</v>
      </c>
      <c r="S176" t="n">
        <v>4827.02669</v>
      </c>
      <c r="V176" t="n">
        <v>4736.13485</v>
      </c>
      <c r="W176" t="n">
        <v>4702.56985</v>
      </c>
      <c r="AB176" t="n">
        <v>4806.21525</v>
      </c>
      <c r="AC176" t="n">
        <v>4803.43311</v>
      </c>
      <c r="AD176" t="n">
        <v>0</v>
      </c>
      <c r="AE176">
        <f>AE175+1</f>
        <v/>
      </c>
      <c r="AF176">
        <f>AF175+1</f>
        <v/>
      </c>
      <c r="AG176">
        <f>D176-Q176</f>
        <v/>
      </c>
      <c r="AH176">
        <f>AG176^2</f>
        <v/>
      </c>
      <c r="AI176">
        <f>(AG176/STDEV($AG$3:$AG$1137))^3</f>
        <v/>
      </c>
      <c r="AJ176">
        <f>(AG176/STDEV($AG$3:$AG$1137))^4</f>
        <v/>
      </c>
      <c r="AK176">
        <f>AF176^2</f>
        <v/>
      </c>
      <c r="AL176">
        <f>IF(AD176=1,AB176,IF(AL175&lt;&gt;"",AL175,""))</f>
        <v/>
      </c>
      <c r="AM176">
        <f>IF(AND(AD176=1,AL175&lt;&gt;""),ABS(AB176-AL175),"")</f>
        <v/>
      </c>
    </row>
    <row r="177">
      <c r="A177" t="n">
        <v>1776688202</v>
      </c>
      <c r="B177" t="inlineStr">
        <is>
          <t>XAUUSD</t>
        </is>
      </c>
      <c r="C177" t="inlineStr">
        <is>
          <t>M15</t>
        </is>
      </c>
      <c r="D177" t="n">
        <v>4806.11</v>
      </c>
      <c r="E177" t="n">
        <v>4518.59282</v>
      </c>
      <c r="F177" t="n">
        <v>4596.05595</v>
      </c>
      <c r="G177" t="n">
        <v>4755.40355</v>
      </c>
      <c r="H177" t="n">
        <v>4792.76972</v>
      </c>
      <c r="Q177" t="n">
        <v>4770.80702</v>
      </c>
      <c r="R177" t="n">
        <v>4800.17031</v>
      </c>
      <c r="S177" t="n">
        <v>4826.75908</v>
      </c>
      <c r="V177" t="n">
        <v>4735.86725</v>
      </c>
      <c r="W177" t="n">
        <v>4702.30225</v>
      </c>
      <c r="AB177" t="n">
        <v>4809.55679</v>
      </c>
      <c r="AC177" t="n">
        <v>4806.49495</v>
      </c>
      <c r="AD177" t="n">
        <v>0</v>
      </c>
      <c r="AE177">
        <f>AE176+1</f>
        <v/>
      </c>
      <c r="AF177">
        <f>AF176+1</f>
        <v/>
      </c>
      <c r="AG177">
        <f>D177-Q177</f>
        <v/>
      </c>
      <c r="AH177">
        <f>AG177^2</f>
        <v/>
      </c>
      <c r="AI177">
        <f>(AG177/STDEV($AG$3:$AG$1137))^3</f>
        <v/>
      </c>
      <c r="AJ177">
        <f>(AG177/STDEV($AG$3:$AG$1137))^4</f>
        <v/>
      </c>
      <c r="AK177">
        <f>AF177^2</f>
        <v/>
      </c>
      <c r="AL177">
        <f>IF(AD177=1,AB177,IF(AL176&lt;&gt;"",AL176,""))</f>
        <v/>
      </c>
      <c r="AM177">
        <f>IF(AND(AD177=1,AL176&lt;&gt;""),ABS(AB177-AL176),"")</f>
        <v/>
      </c>
    </row>
    <row r="178">
      <c r="A178" t="n">
        <v>1776689102</v>
      </c>
      <c r="B178" t="inlineStr">
        <is>
          <t>XAUUSD</t>
        </is>
      </c>
      <c r="C178" t="inlineStr">
        <is>
          <t>M15</t>
        </is>
      </c>
      <c r="D178" t="n">
        <v>4803.49</v>
      </c>
      <c r="E178" t="n">
        <v>4518.59282</v>
      </c>
      <c r="F178" t="n">
        <v>4596.05595</v>
      </c>
      <c r="G178" t="n">
        <v>4755.40355</v>
      </c>
      <c r="H178" t="n">
        <v>4792.76972</v>
      </c>
      <c r="Q178" t="n">
        <v>4770.53941</v>
      </c>
      <c r="R178" t="n">
        <v>4799.90271</v>
      </c>
      <c r="S178" t="n">
        <v>4826.49148</v>
      </c>
      <c r="V178" t="n">
        <v>4735.59964</v>
      </c>
      <c r="W178" t="n">
        <v>4702.03464</v>
      </c>
      <c r="AB178" t="n">
        <v>4812.94601</v>
      </c>
      <c r="AC178" t="n">
        <v>4809.72048</v>
      </c>
      <c r="AD178" t="n">
        <v>0</v>
      </c>
      <c r="AE178">
        <f>AE177+1</f>
        <v/>
      </c>
      <c r="AF178">
        <f>AF177+1</f>
        <v/>
      </c>
      <c r="AG178">
        <f>D178-Q178</f>
        <v/>
      </c>
      <c r="AH178">
        <f>AG178^2</f>
        <v/>
      </c>
      <c r="AI178">
        <f>(AG178/STDEV($AG$3:$AG$1137))^3</f>
        <v/>
      </c>
      <c r="AJ178">
        <f>(AG178/STDEV($AG$3:$AG$1137))^4</f>
        <v/>
      </c>
      <c r="AK178">
        <f>AF178^2</f>
        <v/>
      </c>
      <c r="AL178">
        <f>IF(AD178=1,AB178,IF(AL177&lt;&gt;"",AL177,""))</f>
        <v/>
      </c>
      <c r="AM178">
        <f>IF(AND(AD178=1,AL177&lt;&gt;""),ABS(AB178-AL177),"")</f>
        <v/>
      </c>
    </row>
    <row r="179">
      <c r="A179" t="n">
        <v>1776690002</v>
      </c>
      <c r="B179" t="inlineStr">
        <is>
          <t>XAUUSD</t>
        </is>
      </c>
      <c r="C179" t="inlineStr">
        <is>
          <t>M15</t>
        </is>
      </c>
      <c r="D179" t="n">
        <v>4815.51</v>
      </c>
      <c r="E179" t="n">
        <v>4518.59282</v>
      </c>
      <c r="F179" t="n">
        <v>4596.05595</v>
      </c>
      <c r="G179" t="n">
        <v>4755.40355</v>
      </c>
      <c r="H179" t="n">
        <v>4792.76972</v>
      </c>
      <c r="Q179" t="n">
        <v>4770.27181</v>
      </c>
      <c r="R179" t="n">
        <v>4799.63511</v>
      </c>
      <c r="S179" t="n">
        <v>4826.22388</v>
      </c>
      <c r="V179" t="n">
        <v>4735.33204</v>
      </c>
      <c r="W179" t="n">
        <v>4701.76704</v>
      </c>
      <c r="AB179" t="n">
        <v>4816.20475</v>
      </c>
      <c r="AC179" t="n">
        <v>4812.96261</v>
      </c>
      <c r="AD179" t="n">
        <v>0</v>
      </c>
      <c r="AE179">
        <f>AE178+1</f>
        <v/>
      </c>
      <c r="AF179">
        <f>AF178+1</f>
        <v/>
      </c>
      <c r="AG179">
        <f>D179-Q179</f>
        <v/>
      </c>
      <c r="AH179">
        <f>AG179^2</f>
        <v/>
      </c>
      <c r="AI179">
        <f>(AG179/STDEV($AG$3:$AG$1137))^3</f>
        <v/>
      </c>
      <c r="AJ179">
        <f>(AG179/STDEV($AG$3:$AG$1137))^4</f>
        <v/>
      </c>
      <c r="AK179">
        <f>AF179^2</f>
        <v/>
      </c>
      <c r="AL179">
        <f>IF(AD179=1,AB179,IF(AL178&lt;&gt;"",AL178,""))</f>
        <v/>
      </c>
      <c r="AM179">
        <f>IF(AND(AD179=1,AL178&lt;&gt;""),ABS(AB179-AL178),"")</f>
        <v/>
      </c>
    </row>
    <row r="180">
      <c r="A180" t="n">
        <v>1776690902</v>
      </c>
      <c r="B180" t="inlineStr">
        <is>
          <t>XAUUSD</t>
        </is>
      </c>
      <c r="C180" t="inlineStr">
        <is>
          <t>M15</t>
        </is>
      </c>
      <c r="D180" t="n">
        <v>4824.19</v>
      </c>
      <c r="E180" t="n">
        <v>4518.59282</v>
      </c>
      <c r="F180" t="n">
        <v>4596.05595</v>
      </c>
      <c r="G180" t="n">
        <v>4755.40355</v>
      </c>
      <c r="H180" t="n">
        <v>4792.76972</v>
      </c>
      <c r="Q180" t="n">
        <v>4770.0042</v>
      </c>
      <c r="R180" t="n">
        <v>4799.3675</v>
      </c>
      <c r="S180" t="n">
        <v>4825.95627</v>
      </c>
      <c r="V180" t="n">
        <v>4735.06443</v>
      </c>
      <c r="W180" t="n">
        <v>4701.49944</v>
      </c>
      <c r="AB180" t="n">
        <v>4818.71924</v>
      </c>
      <c r="AC180" t="n">
        <v>4815.84093</v>
      </c>
      <c r="AD180" t="n">
        <v>0</v>
      </c>
      <c r="AE180">
        <f>AE179+1</f>
        <v/>
      </c>
      <c r="AF180">
        <f>AF179+1</f>
        <v/>
      </c>
      <c r="AG180">
        <f>D180-Q180</f>
        <v/>
      </c>
      <c r="AH180">
        <f>AG180^2</f>
        <v/>
      </c>
      <c r="AI180">
        <f>(AG180/STDEV($AG$3:$AG$1137))^3</f>
        <v/>
      </c>
      <c r="AJ180">
        <f>(AG180/STDEV($AG$3:$AG$1137))^4</f>
        <v/>
      </c>
      <c r="AK180">
        <f>AF180^2</f>
        <v/>
      </c>
      <c r="AL180">
        <f>IF(AD180=1,AB180,IF(AL179&lt;&gt;"",AL179,""))</f>
        <v/>
      </c>
      <c r="AM180">
        <f>IF(AND(AD180=1,AL179&lt;&gt;""),ABS(AB180-AL179),"")</f>
        <v/>
      </c>
    </row>
    <row r="181">
      <c r="A181" t="n">
        <v>1776691802</v>
      </c>
      <c r="B181" t="inlineStr">
        <is>
          <t>XAUUSD</t>
        </is>
      </c>
      <c r="C181" t="inlineStr">
        <is>
          <t>M15</t>
        </is>
      </c>
      <c r="D181" t="n">
        <v>4822.18</v>
      </c>
      <c r="E181" t="n">
        <v>4518.59282</v>
      </c>
      <c r="F181" t="n">
        <v>4596.05595</v>
      </c>
      <c r="G181" t="n">
        <v>4755.40355</v>
      </c>
      <c r="H181" t="n">
        <v>4792.76972</v>
      </c>
      <c r="Q181" t="n">
        <v>4769.7366</v>
      </c>
      <c r="R181" t="n">
        <v>4799.0999</v>
      </c>
      <c r="S181" t="n">
        <v>4825.68867</v>
      </c>
      <c r="V181" t="n">
        <v>4734.79683</v>
      </c>
      <c r="W181" t="n">
        <v>4701.23183</v>
      </c>
      <c r="AB181" t="n">
        <v>4819.96905</v>
      </c>
      <c r="AC181" t="n">
        <v>4817.90499</v>
      </c>
      <c r="AD181" t="n">
        <v>0</v>
      </c>
      <c r="AE181">
        <f>AE180+1</f>
        <v/>
      </c>
      <c r="AF181">
        <f>AF180+1</f>
        <v/>
      </c>
      <c r="AG181">
        <f>D181-Q181</f>
        <v/>
      </c>
      <c r="AH181">
        <f>AG181^2</f>
        <v/>
      </c>
      <c r="AI181">
        <f>(AG181/STDEV($AG$3:$AG$1137))^3</f>
        <v/>
      </c>
      <c r="AJ181">
        <f>(AG181/STDEV($AG$3:$AG$1137))^4</f>
        <v/>
      </c>
      <c r="AK181">
        <f>AF181^2</f>
        <v/>
      </c>
      <c r="AL181">
        <f>IF(AD181=1,AB181,IF(AL180&lt;&gt;"",AL180,""))</f>
        <v/>
      </c>
      <c r="AM181">
        <f>IF(AND(AD181=1,AL180&lt;&gt;""),ABS(AB181-AL180),"")</f>
        <v/>
      </c>
    </row>
    <row r="182">
      <c r="A182" t="n">
        <v>1776692702</v>
      </c>
      <c r="B182" t="inlineStr">
        <is>
          <t>XAUUSD</t>
        </is>
      </c>
      <c r="C182" t="inlineStr">
        <is>
          <t>M15</t>
        </is>
      </c>
      <c r="D182" t="n">
        <v>4817.9</v>
      </c>
      <c r="E182" t="n">
        <v>4518.59282</v>
      </c>
      <c r="F182" t="n">
        <v>4596.05595</v>
      </c>
      <c r="G182" t="n">
        <v>4755.40355</v>
      </c>
      <c r="H182" t="n">
        <v>4792.76972</v>
      </c>
      <c r="Q182" t="n">
        <v>4769.46899</v>
      </c>
      <c r="R182" t="n">
        <v>4798.83229</v>
      </c>
      <c r="S182" t="n">
        <v>4825.42106</v>
      </c>
      <c r="V182" t="n">
        <v>4734.52922</v>
      </c>
      <c r="W182" t="n">
        <v>4700.96423</v>
      </c>
      <c r="AB182" t="n">
        <v>4819.8619</v>
      </c>
      <c r="AC182" t="n">
        <v>4818.88344</v>
      </c>
      <c r="AD182" t="n">
        <v>0</v>
      </c>
      <c r="AE182">
        <f>AE181+1</f>
        <v/>
      </c>
      <c r="AF182">
        <f>AF181+1</f>
        <v/>
      </c>
      <c r="AG182">
        <f>D182-Q182</f>
        <v/>
      </c>
      <c r="AH182">
        <f>AG182^2</f>
        <v/>
      </c>
      <c r="AI182">
        <f>(AG182/STDEV($AG$3:$AG$1137))^3</f>
        <v/>
      </c>
      <c r="AJ182">
        <f>(AG182/STDEV($AG$3:$AG$1137))^4</f>
        <v/>
      </c>
      <c r="AK182">
        <f>AF182^2</f>
        <v/>
      </c>
      <c r="AL182">
        <f>IF(AD182=1,AB182,IF(AL181&lt;&gt;"",AL181,""))</f>
        <v/>
      </c>
      <c r="AM182">
        <f>IF(AND(AD182=1,AL181&lt;&gt;""),ABS(AB182-AL181),"")</f>
        <v/>
      </c>
    </row>
    <row r="183">
      <c r="A183" t="n">
        <v>1776693602</v>
      </c>
      <c r="B183" t="inlineStr">
        <is>
          <t>XAUUSD</t>
        </is>
      </c>
      <c r="C183" t="inlineStr">
        <is>
          <t>M15</t>
        </is>
      </c>
      <c r="D183" t="n">
        <v>4816.39</v>
      </c>
      <c r="E183" t="n">
        <v>4518.59282</v>
      </c>
      <c r="F183" t="n">
        <v>4596.05595</v>
      </c>
      <c r="G183" t="n">
        <v>4755.40355</v>
      </c>
      <c r="H183" t="n">
        <v>4792.76972</v>
      </c>
      <c r="Q183" t="n">
        <v>4769.20139</v>
      </c>
      <c r="R183" t="n">
        <v>4798.56469</v>
      </c>
      <c r="S183" t="n">
        <v>4825.15346</v>
      </c>
      <c r="V183" t="n">
        <v>4734.26162</v>
      </c>
      <c r="W183" t="n">
        <v>4700.69662</v>
      </c>
      <c r="AB183" t="n">
        <v>4818.54172</v>
      </c>
      <c r="AC183" t="n">
        <v>4818.71258</v>
      </c>
      <c r="AD183" t="n">
        <v>1</v>
      </c>
      <c r="AE183">
        <f>AE182+1</f>
        <v/>
      </c>
      <c r="AF183">
        <f>AF182+1</f>
        <v/>
      </c>
      <c r="AG183">
        <f>D183-Q183</f>
        <v/>
      </c>
      <c r="AH183">
        <f>AG183^2</f>
        <v/>
      </c>
      <c r="AI183">
        <f>(AG183/STDEV($AG$3:$AG$1137))^3</f>
        <v/>
      </c>
      <c r="AJ183">
        <f>(AG183/STDEV($AG$3:$AG$1137))^4</f>
        <v/>
      </c>
      <c r="AK183">
        <f>AF183^2</f>
        <v/>
      </c>
      <c r="AL183">
        <f>IF(AD183=1,AB183,IF(AL182&lt;&gt;"",AL182,""))</f>
        <v/>
      </c>
      <c r="AM183">
        <f>IF(AND(AD183=1,AL182&lt;&gt;""),ABS(AB183-AL182),"")</f>
        <v/>
      </c>
    </row>
    <row r="184">
      <c r="A184" t="n">
        <v>1776694502</v>
      </c>
      <c r="B184" t="inlineStr">
        <is>
          <t>XAUUSD</t>
        </is>
      </c>
      <c r="C184" t="inlineStr">
        <is>
          <t>M15</t>
        </is>
      </c>
      <c r="D184" t="n">
        <v>4823.4</v>
      </c>
      <c r="E184" t="n">
        <v>4518.59282</v>
      </c>
      <c r="F184" t="n">
        <v>4596.05595</v>
      </c>
      <c r="G184" t="n">
        <v>4755.40355</v>
      </c>
      <c r="H184" t="n">
        <v>4792.76972</v>
      </c>
      <c r="Q184" t="n">
        <v>4768.93379</v>
      </c>
      <c r="R184" t="n">
        <v>4798.29709</v>
      </c>
      <c r="S184" t="n">
        <v>4824.88586</v>
      </c>
      <c r="V184" t="n">
        <v>4733.99402</v>
      </c>
      <c r="W184" t="n">
        <v>4700.42902</v>
      </c>
      <c r="AB184" t="n">
        <v>4816.18321</v>
      </c>
      <c r="AC184" t="n">
        <v>4817.44789</v>
      </c>
      <c r="AD184" t="n">
        <v>0</v>
      </c>
      <c r="AE184">
        <f>AE183+1</f>
        <v/>
      </c>
      <c r="AF184">
        <f>AF183+1</f>
        <v/>
      </c>
      <c r="AG184">
        <f>D184-Q184</f>
        <v/>
      </c>
      <c r="AH184">
        <f>AG184^2</f>
        <v/>
      </c>
      <c r="AI184">
        <f>(AG184/STDEV($AG$3:$AG$1137))^3</f>
        <v/>
      </c>
      <c r="AJ184">
        <f>(AG184/STDEV($AG$3:$AG$1137))^4</f>
        <v/>
      </c>
      <c r="AK184">
        <f>AF184^2</f>
        <v/>
      </c>
      <c r="AL184">
        <f>IF(AD184=1,AB184,IF(AL183&lt;&gt;"",AL183,""))</f>
        <v/>
      </c>
      <c r="AM184">
        <f>IF(AND(AD184=1,AL183&lt;&gt;""),ABS(AB184-AL183),"")</f>
        <v/>
      </c>
    </row>
    <row r="185">
      <c r="A185" t="n">
        <v>1776695402</v>
      </c>
      <c r="B185" t="inlineStr">
        <is>
          <t>XAUUSD</t>
        </is>
      </c>
      <c r="C185" t="inlineStr">
        <is>
          <t>M15</t>
        </is>
      </c>
      <c r="D185" t="n">
        <v>4814.18</v>
      </c>
      <c r="E185" t="n">
        <v>4518.59282</v>
      </c>
      <c r="F185" t="n">
        <v>4596.05595</v>
      </c>
      <c r="G185" t="n">
        <v>4755.40355</v>
      </c>
      <c r="H185" t="n">
        <v>4792.76972</v>
      </c>
      <c r="Q185" t="n">
        <v>4768.66618</v>
      </c>
      <c r="R185" t="n">
        <v>4798.02948</v>
      </c>
      <c r="S185" t="n">
        <v>4824.61825</v>
      </c>
      <c r="V185" t="n">
        <v>4733.72641</v>
      </c>
      <c r="W185" t="n">
        <v>4700.16142</v>
      </c>
      <c r="Z185" t="n">
        <v>4827.74</v>
      </c>
      <c r="AB185" t="n">
        <v>4812.84391</v>
      </c>
      <c r="AC185" t="n">
        <v>4815.1459</v>
      </c>
      <c r="AD185" t="n">
        <v>0</v>
      </c>
      <c r="AE185">
        <f>AE184+1</f>
        <v/>
      </c>
      <c r="AF185">
        <f>AF184+1</f>
        <v/>
      </c>
      <c r="AG185">
        <f>D185-Q185</f>
        <v/>
      </c>
      <c r="AH185">
        <f>AG185^2</f>
        <v/>
      </c>
      <c r="AI185">
        <f>(AG185/STDEV($AG$3:$AG$1137))^3</f>
        <v/>
      </c>
      <c r="AJ185">
        <f>(AG185/STDEV($AG$3:$AG$1137))^4</f>
        <v/>
      </c>
      <c r="AK185">
        <f>AF185^2</f>
        <v/>
      </c>
      <c r="AL185">
        <f>IF(AD185=1,AB185,IF(AL184&lt;&gt;"",AL184,""))</f>
        <v/>
      </c>
      <c r="AM185">
        <f>IF(AND(AD185=1,AL184&lt;&gt;""),ABS(AB185-AL184),"")</f>
        <v/>
      </c>
    </row>
    <row r="186">
      <c r="A186" t="n">
        <v>1776696302</v>
      </c>
      <c r="B186" t="inlineStr">
        <is>
          <t>XAUUSD</t>
        </is>
      </c>
      <c r="C186" t="inlineStr">
        <is>
          <t>M15</t>
        </is>
      </c>
      <c r="D186" t="n">
        <v>4805.31</v>
      </c>
      <c r="E186" t="n">
        <v>4518.59282</v>
      </c>
      <c r="F186" t="n">
        <v>4596.05595</v>
      </c>
      <c r="G186" t="n">
        <v>4755.40355</v>
      </c>
      <c r="H186" t="n">
        <v>4792.76972</v>
      </c>
      <c r="Q186" t="n">
        <v>4768.39858</v>
      </c>
      <c r="R186" t="n">
        <v>4797.76188</v>
      </c>
      <c r="S186" t="n">
        <v>4824.35065</v>
      </c>
      <c r="V186" t="n">
        <v>4733.45881</v>
      </c>
      <c r="W186" t="n">
        <v>4699.89381</v>
      </c>
      <c r="AB186" t="n">
        <v>4809.12279</v>
      </c>
      <c r="AC186" t="n">
        <v>4812.13435</v>
      </c>
      <c r="AD186" t="n">
        <v>0</v>
      </c>
      <c r="AE186">
        <f>AE185+1</f>
        <v/>
      </c>
      <c r="AF186">
        <f>AF185+1</f>
        <v/>
      </c>
      <c r="AG186">
        <f>D186-Q186</f>
        <v/>
      </c>
      <c r="AH186">
        <f>AG186^2</f>
        <v/>
      </c>
      <c r="AI186">
        <f>(AG186/STDEV($AG$3:$AG$1137))^3</f>
        <v/>
      </c>
      <c r="AJ186">
        <f>(AG186/STDEV($AG$3:$AG$1137))^4</f>
        <v/>
      </c>
      <c r="AK186">
        <f>AF186^2</f>
        <v/>
      </c>
      <c r="AL186">
        <f>IF(AD186=1,AB186,IF(AL185&lt;&gt;"",AL185,""))</f>
        <v/>
      </c>
      <c r="AM186">
        <f>IF(AND(AD186=1,AL185&lt;&gt;""),ABS(AB186-AL185),"")</f>
        <v/>
      </c>
    </row>
    <row r="187">
      <c r="A187" t="n">
        <v>1776697202</v>
      </c>
      <c r="B187" t="inlineStr">
        <is>
          <t>XAUUSD</t>
        </is>
      </c>
      <c r="C187" t="inlineStr">
        <is>
          <t>M15</t>
        </is>
      </c>
      <c r="D187" t="n">
        <v>4798.2</v>
      </c>
      <c r="E187" t="n">
        <v>4518.59282</v>
      </c>
      <c r="F187" t="n">
        <v>4596.05595</v>
      </c>
      <c r="G187" t="n">
        <v>4755.40355</v>
      </c>
      <c r="H187" t="n">
        <v>4792.76972</v>
      </c>
      <c r="Q187" t="n">
        <v>4768.13097</v>
      </c>
      <c r="R187" t="n">
        <v>4797.49427</v>
      </c>
      <c r="S187" t="n">
        <v>4824.08304</v>
      </c>
      <c r="V187" t="n">
        <v>4733.1912</v>
      </c>
      <c r="W187" t="n">
        <v>4699.62621</v>
      </c>
      <c r="AB187" t="n">
        <v>4805.63643</v>
      </c>
      <c r="AC187" t="n">
        <v>4808.88539</v>
      </c>
      <c r="AD187" t="n">
        <v>0</v>
      </c>
      <c r="AE187">
        <f>AE186+1</f>
        <v/>
      </c>
      <c r="AF187">
        <f>AF186+1</f>
        <v/>
      </c>
      <c r="AG187">
        <f>D187-Q187</f>
        <v/>
      </c>
      <c r="AH187">
        <f>AG187^2</f>
        <v/>
      </c>
      <c r="AI187">
        <f>(AG187/STDEV($AG$3:$AG$1137))^3</f>
        <v/>
      </c>
      <c r="AJ187">
        <f>(AG187/STDEV($AG$3:$AG$1137))^4</f>
        <v/>
      </c>
      <c r="AK187">
        <f>AF187^2</f>
        <v/>
      </c>
      <c r="AL187">
        <f>IF(AD187=1,AB187,IF(AL186&lt;&gt;"",AL186,""))</f>
        <v/>
      </c>
      <c r="AM187">
        <f>IF(AND(AD187=1,AL186&lt;&gt;""),ABS(AB187-AL186),"")</f>
        <v/>
      </c>
    </row>
    <row r="188">
      <c r="A188" t="n">
        <v>1776698102</v>
      </c>
      <c r="B188" t="inlineStr">
        <is>
          <t>XAUUSD</t>
        </is>
      </c>
      <c r="C188" t="inlineStr">
        <is>
          <t>M15</t>
        </is>
      </c>
      <c r="D188" t="n">
        <v>4808.64</v>
      </c>
      <c r="E188" t="n">
        <v>4518.59282</v>
      </c>
      <c r="F188" t="n">
        <v>4596.05595</v>
      </c>
      <c r="G188" t="n">
        <v>4755.40355</v>
      </c>
      <c r="H188" t="n">
        <v>4792.76972</v>
      </c>
      <c r="Q188" t="n">
        <v>4767.86337</v>
      </c>
      <c r="R188" t="n">
        <v>4797.22667</v>
      </c>
      <c r="S188" t="n">
        <v>4823.81544</v>
      </c>
      <c r="V188" t="n">
        <v>4732.9236</v>
      </c>
      <c r="W188" t="n">
        <v>4699.3586</v>
      </c>
      <c r="AB188" t="n">
        <v>4802.89189</v>
      </c>
      <c r="AC188" t="n">
        <v>4805.88864</v>
      </c>
      <c r="AD188" t="n">
        <v>0</v>
      </c>
      <c r="AE188">
        <f>AE187+1</f>
        <v/>
      </c>
      <c r="AF188">
        <f>AF187+1</f>
        <v/>
      </c>
      <c r="AG188">
        <f>D188-Q188</f>
        <v/>
      </c>
      <c r="AH188">
        <f>AG188^2</f>
        <v/>
      </c>
      <c r="AI188">
        <f>(AG188/STDEV($AG$3:$AG$1137))^3</f>
        <v/>
      </c>
      <c r="AJ188">
        <f>(AG188/STDEV($AG$3:$AG$1137))^4</f>
        <v/>
      </c>
      <c r="AK188">
        <f>AF188^2</f>
        <v/>
      </c>
      <c r="AL188">
        <f>IF(AD188=1,AB188,IF(AL187&lt;&gt;"",AL187,""))</f>
        <v/>
      </c>
      <c r="AM188">
        <f>IF(AND(AD188=1,AL187&lt;&gt;""),ABS(AB188-AL187),"")</f>
        <v/>
      </c>
    </row>
    <row r="189">
      <c r="A189" t="n">
        <v>1776699002</v>
      </c>
      <c r="B189" t="inlineStr">
        <is>
          <t>XAUUSD</t>
        </is>
      </c>
      <c r="C189" t="inlineStr">
        <is>
          <t>M15</t>
        </is>
      </c>
      <c r="D189" t="n">
        <v>4800.36</v>
      </c>
      <c r="E189" t="n">
        <v>4518.59282</v>
      </c>
      <c r="F189" t="n">
        <v>4596.05595</v>
      </c>
      <c r="G189" t="n">
        <v>4755.40355</v>
      </c>
      <c r="H189" t="n">
        <v>4792.76972</v>
      </c>
      <c r="Q189" t="n">
        <v>4767.59577</v>
      </c>
      <c r="R189" t="n">
        <v>4796.95907</v>
      </c>
      <c r="S189" t="n">
        <v>4823.54784</v>
      </c>
      <c r="V189" t="n">
        <v>4732.656</v>
      </c>
      <c r="W189" t="n">
        <v>4699.091</v>
      </c>
      <c r="AB189" t="n">
        <v>4800.82181</v>
      </c>
      <c r="AC189" t="n">
        <v>4803.35522</v>
      </c>
      <c r="AD189" t="n">
        <v>0</v>
      </c>
      <c r="AE189">
        <f>AE188+1</f>
        <v/>
      </c>
      <c r="AF189">
        <f>AF188+1</f>
        <v/>
      </c>
      <c r="AG189">
        <f>D189-Q189</f>
        <v/>
      </c>
      <c r="AH189">
        <f>AG189^2</f>
        <v/>
      </c>
      <c r="AI189">
        <f>(AG189/STDEV($AG$3:$AG$1137))^3</f>
        <v/>
      </c>
      <c r="AJ189">
        <f>(AG189/STDEV($AG$3:$AG$1137))^4</f>
        <v/>
      </c>
      <c r="AK189">
        <f>AF189^2</f>
        <v/>
      </c>
      <c r="AL189">
        <f>IF(AD189=1,AB189,IF(AL188&lt;&gt;"",AL188,""))</f>
        <v/>
      </c>
      <c r="AM189">
        <f>IF(AND(AD189=1,AL188&lt;&gt;""),ABS(AB189-AL188),"")</f>
        <v/>
      </c>
    </row>
    <row r="190">
      <c r="A190" t="n">
        <v>1776699902</v>
      </c>
      <c r="B190" t="inlineStr">
        <is>
          <t>XAUUSD</t>
        </is>
      </c>
      <c r="C190" t="inlineStr">
        <is>
          <t>M15</t>
        </is>
      </c>
      <c r="D190" t="n">
        <v>4799.8</v>
      </c>
      <c r="E190" t="n">
        <v>4518.59282</v>
      </c>
      <c r="F190" t="n">
        <v>4596.05595</v>
      </c>
      <c r="G190" t="n">
        <v>4755.40355</v>
      </c>
      <c r="H190" t="n">
        <v>4792.76972</v>
      </c>
      <c r="Q190" t="n">
        <v>4767.32816</v>
      </c>
      <c r="R190" t="n">
        <v>4796.69146</v>
      </c>
      <c r="S190" t="n">
        <v>4823.28023</v>
      </c>
      <c r="V190" t="n">
        <v>4732.38839</v>
      </c>
      <c r="W190" t="n">
        <v>4698.8234</v>
      </c>
      <c r="AB190" t="n">
        <v>4799.74563</v>
      </c>
      <c r="AC190" t="n">
        <v>4801.55043</v>
      </c>
      <c r="AD190" t="n">
        <v>0</v>
      </c>
      <c r="AE190">
        <f>AE189+1</f>
        <v/>
      </c>
      <c r="AF190">
        <f>AF189+1</f>
        <v/>
      </c>
      <c r="AG190">
        <f>D190-Q190</f>
        <v/>
      </c>
      <c r="AH190">
        <f>AG190^2</f>
        <v/>
      </c>
      <c r="AI190">
        <f>(AG190/STDEV($AG$3:$AG$1137))^3</f>
        <v/>
      </c>
      <c r="AJ190">
        <f>(AG190/STDEV($AG$3:$AG$1137))^4</f>
        <v/>
      </c>
      <c r="AK190">
        <f>AF190^2</f>
        <v/>
      </c>
      <c r="AL190">
        <f>IF(AD190=1,AB190,IF(AL189&lt;&gt;"",AL189,""))</f>
        <v/>
      </c>
      <c r="AM190">
        <f>IF(AND(AD190=1,AL189&lt;&gt;""),ABS(AB190-AL189),"")</f>
        <v/>
      </c>
    </row>
    <row r="191">
      <c r="A191" t="n">
        <v>1776700802</v>
      </c>
      <c r="B191" t="inlineStr">
        <is>
          <t>XAUUSD</t>
        </is>
      </c>
      <c r="C191" t="inlineStr">
        <is>
          <t>M15</t>
        </is>
      </c>
      <c r="D191" t="n">
        <v>4798.42</v>
      </c>
      <c r="E191" t="n">
        <v>4518.59282</v>
      </c>
      <c r="F191" t="n">
        <v>4596.05595</v>
      </c>
      <c r="G191" t="n">
        <v>4755.40355</v>
      </c>
      <c r="H191" t="n">
        <v>4792.76972</v>
      </c>
      <c r="Q191" t="n">
        <v>4767.06056</v>
      </c>
      <c r="R191" t="n">
        <v>4796.42386</v>
      </c>
      <c r="S191" t="n">
        <v>4823.01263</v>
      </c>
      <c r="V191" t="n">
        <v>4732.12079</v>
      </c>
      <c r="W191" t="n">
        <v>4698.55579</v>
      </c>
      <c r="AB191" t="n">
        <v>4799.69274</v>
      </c>
      <c r="AC191" t="n">
        <v>4800.62158</v>
      </c>
      <c r="AD191" t="n">
        <v>0</v>
      </c>
      <c r="AE191">
        <f>AE190+1</f>
        <v/>
      </c>
      <c r="AF191">
        <f>AF190+1</f>
        <v/>
      </c>
      <c r="AG191">
        <f>D191-Q191</f>
        <v/>
      </c>
      <c r="AH191">
        <f>AG191^2</f>
        <v/>
      </c>
      <c r="AI191">
        <f>(AG191/STDEV($AG$3:$AG$1137))^3</f>
        <v/>
      </c>
      <c r="AJ191">
        <f>(AG191/STDEV($AG$3:$AG$1137))^4</f>
        <v/>
      </c>
      <c r="AK191">
        <f>AF191^2</f>
        <v/>
      </c>
      <c r="AL191">
        <f>IF(AD191=1,AB191,IF(AL190&lt;&gt;"",AL190,""))</f>
        <v/>
      </c>
      <c r="AM191">
        <f>IF(AND(AD191=1,AL190&lt;&gt;""),ABS(AB191-AL190),"")</f>
        <v/>
      </c>
    </row>
    <row r="192">
      <c r="A192" t="n">
        <v>1776701702</v>
      </c>
      <c r="B192" t="inlineStr">
        <is>
          <t>XAUUSD</t>
        </is>
      </c>
      <c r="C192" t="inlineStr">
        <is>
          <t>M15</t>
        </is>
      </c>
      <c r="D192" t="n">
        <v>4801.22</v>
      </c>
      <c r="E192" t="n">
        <v>4518.59282</v>
      </c>
      <c r="F192" t="n">
        <v>4596.05595</v>
      </c>
      <c r="G192" t="n">
        <v>4755.40355</v>
      </c>
      <c r="H192" t="n">
        <v>4792.76972</v>
      </c>
      <c r="Q192" t="n">
        <v>4766.79295</v>
      </c>
      <c r="R192" t="n">
        <v>4796.15625</v>
      </c>
      <c r="S192" t="n">
        <v>4822.74502</v>
      </c>
      <c r="V192" t="n">
        <v>4731.85318</v>
      </c>
      <c r="W192" t="n">
        <v>4698.28819</v>
      </c>
      <c r="AB192" t="n">
        <v>4800.59872</v>
      </c>
      <c r="AC192" t="n">
        <v>4800.61015</v>
      </c>
      <c r="AD192" t="n">
        <v>0</v>
      </c>
      <c r="AE192">
        <f>AE191+1</f>
        <v/>
      </c>
      <c r="AF192">
        <f>AF191+1</f>
        <v/>
      </c>
      <c r="AG192">
        <f>D192-Q192</f>
        <v/>
      </c>
      <c r="AH192">
        <f>AG192^2</f>
        <v/>
      </c>
      <c r="AI192">
        <f>(AG192/STDEV($AG$3:$AG$1137))^3</f>
        <v/>
      </c>
      <c r="AJ192">
        <f>(AG192/STDEV($AG$3:$AG$1137))^4</f>
        <v/>
      </c>
      <c r="AK192">
        <f>AF192^2</f>
        <v/>
      </c>
      <c r="AL192">
        <f>IF(AD192=1,AB192,IF(AL191&lt;&gt;"",AL191,""))</f>
        <v/>
      </c>
      <c r="AM192">
        <f>IF(AND(AD192=1,AL191&lt;&gt;""),ABS(AB192-AL191),"")</f>
        <v/>
      </c>
    </row>
    <row r="193">
      <c r="A193" t="n">
        <v>1776702602</v>
      </c>
      <c r="B193" t="inlineStr">
        <is>
          <t>XAUUSD</t>
        </is>
      </c>
      <c r="C193" t="inlineStr">
        <is>
          <t>M15</t>
        </is>
      </c>
      <c r="D193" t="n">
        <v>4801.79</v>
      </c>
      <c r="E193" t="n">
        <v>4518.59282</v>
      </c>
      <c r="F193" t="n">
        <v>4596.05595</v>
      </c>
      <c r="G193" t="n">
        <v>4755.40355</v>
      </c>
      <c r="H193" t="n">
        <v>4792.76972</v>
      </c>
      <c r="Q193" t="n">
        <v>4766.52535</v>
      </c>
      <c r="R193" t="n">
        <v>4795.88865</v>
      </c>
      <c r="S193" t="n">
        <v>4822.47742</v>
      </c>
      <c r="V193" t="n">
        <v>4731.58558</v>
      </c>
      <c r="W193" t="n">
        <v>4698.02058</v>
      </c>
      <c r="AB193" t="n">
        <v>4802.20723</v>
      </c>
      <c r="AC193" t="n">
        <v>4801.40869</v>
      </c>
      <c r="AD193" t="n">
        <v>1</v>
      </c>
      <c r="AE193">
        <f>AE192+1</f>
        <v/>
      </c>
      <c r="AF193">
        <f>AF192+1</f>
        <v/>
      </c>
      <c r="AG193">
        <f>D193-Q193</f>
        <v/>
      </c>
      <c r="AH193">
        <f>AG193^2</f>
        <v/>
      </c>
      <c r="AI193">
        <f>(AG193/STDEV($AG$3:$AG$1137))^3</f>
        <v/>
      </c>
      <c r="AJ193">
        <f>(AG193/STDEV($AG$3:$AG$1137))^4</f>
        <v/>
      </c>
      <c r="AK193">
        <f>AF193^2</f>
        <v/>
      </c>
      <c r="AL193">
        <f>IF(AD193=1,AB193,IF(AL192&lt;&gt;"",AL192,""))</f>
        <v/>
      </c>
      <c r="AM193">
        <f>IF(AND(AD193=1,AL192&lt;&gt;""),ABS(AB193-AL192),"")</f>
        <v/>
      </c>
    </row>
    <row r="194">
      <c r="A194" t="n">
        <v>1776703502</v>
      </c>
      <c r="B194" t="inlineStr">
        <is>
          <t>XAUUSD</t>
        </is>
      </c>
      <c r="C194" t="inlineStr">
        <is>
          <t>M15</t>
        </is>
      </c>
      <c r="D194" t="n">
        <v>4805.59</v>
      </c>
      <c r="E194" t="n">
        <v>4518.59282</v>
      </c>
      <c r="F194" t="n">
        <v>4596.05595</v>
      </c>
      <c r="G194" t="n">
        <v>4755.40355</v>
      </c>
      <c r="H194" t="n">
        <v>4792.76972</v>
      </c>
      <c r="Q194" t="n">
        <v>4766.25775</v>
      </c>
      <c r="R194" t="n">
        <v>4795.62104</v>
      </c>
      <c r="S194" t="n">
        <v>4822.20982</v>
      </c>
      <c r="V194" t="n">
        <v>4731.31798</v>
      </c>
      <c r="W194" t="n">
        <v>4697.75298</v>
      </c>
      <c r="AB194" t="n">
        <v>4804.30842</v>
      </c>
      <c r="AC194" t="n">
        <v>4802.85855</v>
      </c>
      <c r="AD194" t="n">
        <v>0</v>
      </c>
      <c r="AE194">
        <f>AE193+1</f>
        <v/>
      </c>
      <c r="AF194">
        <f>AF193+1</f>
        <v/>
      </c>
      <c r="AG194">
        <f>D194-Q194</f>
        <v/>
      </c>
      <c r="AH194">
        <f>AG194^2</f>
        <v/>
      </c>
      <c r="AI194">
        <f>(AG194/STDEV($AG$3:$AG$1137))^3</f>
        <v/>
      </c>
      <c r="AJ194">
        <f>(AG194/STDEV($AG$3:$AG$1137))^4</f>
        <v/>
      </c>
      <c r="AK194">
        <f>AF194^2</f>
        <v/>
      </c>
      <c r="AL194">
        <f>IF(AD194=1,AB194,IF(AL193&lt;&gt;"",AL193,""))</f>
        <v/>
      </c>
      <c r="AM194">
        <f>IF(AND(AD194=1,AL193&lt;&gt;""),ABS(AB194-AL193),"")</f>
        <v/>
      </c>
    </row>
    <row r="195">
      <c r="A195" t="n">
        <v>1776704402</v>
      </c>
      <c r="B195" t="inlineStr">
        <is>
          <t>XAUUSD</t>
        </is>
      </c>
      <c r="C195" t="inlineStr">
        <is>
          <t>M15</t>
        </is>
      </c>
      <c r="D195" t="n">
        <v>4808.86</v>
      </c>
      <c r="E195" t="n">
        <v>4518.59282</v>
      </c>
      <c r="F195" t="n">
        <v>4596.05595</v>
      </c>
      <c r="G195" t="n">
        <v>4755.40355</v>
      </c>
      <c r="H195" t="n">
        <v>4792.76972</v>
      </c>
      <c r="Q195" t="n">
        <v>4765.99014</v>
      </c>
      <c r="R195" t="n">
        <v>4795.35344</v>
      </c>
      <c r="S195" t="n">
        <v>4821.94221</v>
      </c>
      <c r="V195" t="n">
        <v>4731.05037</v>
      </c>
      <c r="W195" t="n">
        <v>4697.48538</v>
      </c>
      <c r="AB195" t="n">
        <v>4806.58606</v>
      </c>
      <c r="AC195" t="n">
        <v>4804.72231</v>
      </c>
      <c r="AD195" t="n">
        <v>0</v>
      </c>
      <c r="AE195">
        <f>AE194+1</f>
        <v/>
      </c>
      <c r="AF195">
        <f>AF194+1</f>
        <v/>
      </c>
      <c r="AG195">
        <f>D195-Q195</f>
        <v/>
      </c>
      <c r="AH195">
        <f>AG195^2</f>
        <v/>
      </c>
      <c r="AI195">
        <f>(AG195/STDEV($AG$3:$AG$1137))^3</f>
        <v/>
      </c>
      <c r="AJ195">
        <f>(AG195/STDEV($AG$3:$AG$1137))^4</f>
        <v/>
      </c>
      <c r="AK195">
        <f>AF195^2</f>
        <v/>
      </c>
      <c r="AL195">
        <f>IF(AD195=1,AB195,IF(AL194&lt;&gt;"",AL194,""))</f>
        <v/>
      </c>
      <c r="AM195">
        <f>IF(AND(AD195=1,AL194&lt;&gt;""),ABS(AB195-AL194),"")</f>
        <v/>
      </c>
    </row>
    <row r="196">
      <c r="A196" t="n">
        <v>1776705302</v>
      </c>
      <c r="B196" t="inlineStr">
        <is>
          <t>XAUUSD</t>
        </is>
      </c>
      <c r="C196" t="inlineStr">
        <is>
          <t>M15</t>
        </is>
      </c>
      <c r="D196" t="n">
        <v>4810.07</v>
      </c>
      <c r="E196" t="n">
        <v>4518.59282</v>
      </c>
      <c r="F196" t="n">
        <v>4596.05595</v>
      </c>
      <c r="G196" t="n">
        <v>4755.40355</v>
      </c>
      <c r="H196" t="n">
        <v>4792.76972</v>
      </c>
      <c r="Q196" t="n">
        <v>4765.72254</v>
      </c>
      <c r="R196" t="n">
        <v>4795.08584</v>
      </c>
      <c r="S196" t="n">
        <v>4821.67461</v>
      </c>
      <c r="V196" t="n">
        <v>4730.78277</v>
      </c>
      <c r="W196" t="n">
        <v>4697.21777</v>
      </c>
      <c r="AB196" t="n">
        <v>4808.77747</v>
      </c>
      <c r="AC196" t="n">
        <v>4806.74989</v>
      </c>
      <c r="AD196" t="n">
        <v>0</v>
      </c>
      <c r="AE196">
        <f>AE195+1</f>
        <v/>
      </c>
      <c r="AF196">
        <f>AF195+1</f>
        <v/>
      </c>
      <c r="AG196">
        <f>D196-Q196</f>
        <v/>
      </c>
      <c r="AH196">
        <f>AG196^2</f>
        <v/>
      </c>
      <c r="AI196">
        <f>(AG196/STDEV($AG$3:$AG$1137))^3</f>
        <v/>
      </c>
      <c r="AJ196">
        <f>(AG196/STDEV($AG$3:$AG$1137))^4</f>
        <v/>
      </c>
      <c r="AK196">
        <f>AF196^2</f>
        <v/>
      </c>
      <c r="AL196">
        <f>IF(AD196=1,AB196,IF(AL195&lt;&gt;"",AL195,""))</f>
        <v/>
      </c>
      <c r="AM196">
        <f>IF(AND(AD196=1,AL195&lt;&gt;""),ABS(AB196-AL195),"")</f>
        <v/>
      </c>
    </row>
    <row r="197">
      <c r="A197" t="n">
        <v>1776706202</v>
      </c>
      <c r="B197" t="inlineStr">
        <is>
          <t>XAUUSD</t>
        </is>
      </c>
      <c r="C197" t="inlineStr">
        <is>
          <t>M15</t>
        </is>
      </c>
      <c r="D197" t="n">
        <v>4809.55</v>
      </c>
      <c r="E197" t="n">
        <v>4518.59282</v>
      </c>
      <c r="F197" t="n">
        <v>4596.05595</v>
      </c>
      <c r="G197" t="n">
        <v>4755.40355</v>
      </c>
      <c r="H197" t="n">
        <v>4792.76972</v>
      </c>
      <c r="Q197" t="n">
        <v>4765.45493</v>
      </c>
      <c r="R197" t="n">
        <v>4794.81823</v>
      </c>
      <c r="S197" t="n">
        <v>4821.407</v>
      </c>
      <c r="V197" t="n">
        <v>4730.51516</v>
      </c>
      <c r="W197" t="n">
        <v>4696.95017</v>
      </c>
      <c r="AB197" t="n">
        <v>4810.72121</v>
      </c>
      <c r="AC197" t="n">
        <v>4808.73555</v>
      </c>
      <c r="AD197" t="n">
        <v>0</v>
      </c>
      <c r="AE197">
        <f>AE196+1</f>
        <v/>
      </c>
      <c r="AF197">
        <f>AF196+1</f>
        <v/>
      </c>
      <c r="AG197">
        <f>D197-Q197</f>
        <v/>
      </c>
      <c r="AH197">
        <f>AG197^2</f>
        <v/>
      </c>
      <c r="AI197">
        <f>(AG197/STDEV($AG$3:$AG$1137))^3</f>
        <v/>
      </c>
      <c r="AJ197">
        <f>(AG197/STDEV($AG$3:$AG$1137))^4</f>
        <v/>
      </c>
      <c r="AK197">
        <f>AF197^2</f>
        <v/>
      </c>
      <c r="AL197">
        <f>IF(AD197=1,AB197,IF(AL196&lt;&gt;"",AL196,""))</f>
        <v/>
      </c>
      <c r="AM197">
        <f>IF(AND(AD197=1,AL196&lt;&gt;""),ABS(AB197-AL196),"")</f>
        <v/>
      </c>
    </row>
    <row r="198">
      <c r="A198" t="n">
        <v>1776707102</v>
      </c>
      <c r="B198" t="inlineStr">
        <is>
          <t>XAUUSD</t>
        </is>
      </c>
      <c r="C198" t="inlineStr">
        <is>
          <t>M15</t>
        </is>
      </c>
      <c r="D198" t="n">
        <v>4806.62</v>
      </c>
      <c r="E198" t="n">
        <v>4518.59282</v>
      </c>
      <c r="F198" t="n">
        <v>4596.05595</v>
      </c>
      <c r="G198" t="n">
        <v>4755.40355</v>
      </c>
      <c r="H198" t="n">
        <v>4792.76972</v>
      </c>
      <c r="Q198" t="n">
        <v>4765.18733</v>
      </c>
      <c r="R198" t="n">
        <v>4794.55063</v>
      </c>
      <c r="S198" t="n">
        <v>4821.1394</v>
      </c>
      <c r="V198" t="n">
        <v>4730.24756</v>
      </c>
      <c r="W198" t="n">
        <v>4696.68256</v>
      </c>
      <c r="AB198" t="n">
        <v>4812.33905</v>
      </c>
      <c r="AC198" t="n">
        <v>4810.5373</v>
      </c>
      <c r="AD198" t="n">
        <v>0</v>
      </c>
      <c r="AE198">
        <f>AE197+1</f>
        <v/>
      </c>
      <c r="AF198">
        <f>AF197+1</f>
        <v/>
      </c>
      <c r="AG198">
        <f>D198-Q198</f>
        <v/>
      </c>
      <c r="AH198">
        <f>AG198^2</f>
        <v/>
      </c>
      <c r="AI198">
        <f>(AG198/STDEV($AG$3:$AG$1137))^3</f>
        <v/>
      </c>
      <c r="AJ198">
        <f>(AG198/STDEV($AG$3:$AG$1137))^4</f>
        <v/>
      </c>
      <c r="AK198">
        <f>AF198^2</f>
        <v/>
      </c>
      <c r="AL198">
        <f>IF(AD198=1,AB198,IF(AL197&lt;&gt;"",AL197,""))</f>
        <v/>
      </c>
      <c r="AM198">
        <f>IF(AND(AD198=1,AL197&lt;&gt;""),ABS(AB198-AL197),"")</f>
        <v/>
      </c>
    </row>
    <row r="199">
      <c r="A199" t="n">
        <v>1776708002</v>
      </c>
      <c r="B199" t="inlineStr">
        <is>
          <t>XAUUSD</t>
        </is>
      </c>
      <c r="C199" t="inlineStr">
        <is>
          <t>M15</t>
        </is>
      </c>
      <c r="D199" t="n">
        <v>4815.51</v>
      </c>
      <c r="E199" t="n">
        <v>4518.59282</v>
      </c>
      <c r="F199" t="n">
        <v>4596.05595</v>
      </c>
      <c r="G199" t="n">
        <v>4755.40355</v>
      </c>
      <c r="H199" t="n">
        <v>4792.76972</v>
      </c>
      <c r="Q199" t="n">
        <v>4764.91973</v>
      </c>
      <c r="R199" t="n">
        <v>4794.28302</v>
      </c>
      <c r="S199" t="n">
        <v>4820.8718</v>
      </c>
      <c r="V199" t="n">
        <v>4729.97996</v>
      </c>
      <c r="W199" t="n">
        <v>4696.41496</v>
      </c>
      <c r="AB199" t="n">
        <v>4813.65439</v>
      </c>
      <c r="AC199" t="n">
        <v>4812.09584</v>
      </c>
      <c r="AD199" t="n">
        <v>0</v>
      </c>
      <c r="AE199">
        <f>AE198+1</f>
        <v/>
      </c>
      <c r="AF199">
        <f>AF198+1</f>
        <v/>
      </c>
      <c r="AG199">
        <f>D199-Q199</f>
        <v/>
      </c>
      <c r="AH199">
        <f>AG199^2</f>
        <v/>
      </c>
      <c r="AI199">
        <f>(AG199/STDEV($AG$3:$AG$1137))^3</f>
        <v/>
      </c>
      <c r="AJ199">
        <f>(AG199/STDEV($AG$3:$AG$1137))^4</f>
        <v/>
      </c>
      <c r="AK199">
        <f>AF199^2</f>
        <v/>
      </c>
      <c r="AL199">
        <f>IF(AD199=1,AB199,IF(AL198&lt;&gt;"",AL198,""))</f>
        <v/>
      </c>
      <c r="AM199">
        <f>IF(AND(AD199=1,AL198&lt;&gt;""),ABS(AB199-AL198),"")</f>
        <v/>
      </c>
    </row>
    <row r="200">
      <c r="A200" t="n">
        <v>1776708902</v>
      </c>
      <c r="B200" t="inlineStr">
        <is>
          <t>XAUUSD</t>
        </is>
      </c>
      <c r="C200" t="inlineStr">
        <is>
          <t>M15</t>
        </is>
      </c>
      <c r="D200" t="n">
        <v>4813.5</v>
      </c>
      <c r="E200" t="n">
        <v>4518.59282</v>
      </c>
      <c r="F200" t="n">
        <v>4596.05595</v>
      </c>
      <c r="G200" t="n">
        <v>4755.40355</v>
      </c>
      <c r="H200" t="n">
        <v>4792.76972</v>
      </c>
      <c r="Q200" t="n">
        <v>4764.65212</v>
      </c>
      <c r="R200" t="n">
        <v>4794.01542</v>
      </c>
      <c r="S200" t="n">
        <v>4820.60419</v>
      </c>
      <c r="V200" t="n">
        <v>4729.71235</v>
      </c>
      <c r="W200" t="n">
        <v>4696.14735</v>
      </c>
      <c r="AB200" t="n">
        <v>4814.42225</v>
      </c>
      <c r="AC200" t="n">
        <v>4813.25905</v>
      </c>
      <c r="AD200" t="n">
        <v>0</v>
      </c>
      <c r="AE200">
        <f>AE199+1</f>
        <v/>
      </c>
      <c r="AF200">
        <f>AF199+1</f>
        <v/>
      </c>
      <c r="AG200">
        <f>D200-Q200</f>
        <v/>
      </c>
      <c r="AH200">
        <f>AG200^2</f>
        <v/>
      </c>
      <c r="AI200">
        <f>(AG200/STDEV($AG$3:$AG$1137))^3</f>
        <v/>
      </c>
      <c r="AJ200">
        <f>(AG200/STDEV($AG$3:$AG$1137))^4</f>
        <v/>
      </c>
      <c r="AK200">
        <f>AF200^2</f>
        <v/>
      </c>
      <c r="AL200">
        <f>IF(AD200=1,AB200,IF(AL199&lt;&gt;"",AL199,""))</f>
        <v/>
      </c>
      <c r="AM200">
        <f>IF(AND(AD200=1,AL199&lt;&gt;""),ABS(AB200-AL199),"")</f>
        <v/>
      </c>
    </row>
    <row r="201">
      <c r="A201" t="n">
        <v>1776709802</v>
      </c>
      <c r="B201" t="inlineStr">
        <is>
          <t>XAUUSD</t>
        </is>
      </c>
      <c r="C201" t="inlineStr">
        <is>
          <t>M15</t>
        </is>
      </c>
      <c r="D201" t="n">
        <v>4814.44</v>
      </c>
      <c r="E201" t="n">
        <v>4518.59282</v>
      </c>
      <c r="F201" t="n">
        <v>4596.05595</v>
      </c>
      <c r="G201" t="n">
        <v>4755.40355</v>
      </c>
      <c r="H201" t="n">
        <v>4792.76972</v>
      </c>
      <c r="Q201" t="n">
        <v>4764.38452</v>
      </c>
      <c r="R201" t="n">
        <v>4793.74782</v>
      </c>
      <c r="S201" t="n">
        <v>4820.33659</v>
      </c>
      <c r="V201" t="n">
        <v>4729.44475</v>
      </c>
      <c r="W201" t="n">
        <v>4695.87975</v>
      </c>
      <c r="AB201" t="n">
        <v>4814.75207</v>
      </c>
      <c r="AC201" t="n">
        <v>4814.00556</v>
      </c>
      <c r="AD201" t="n">
        <v>0</v>
      </c>
      <c r="AE201">
        <f>AE200+1</f>
        <v/>
      </c>
      <c r="AF201">
        <f>AF200+1</f>
        <v/>
      </c>
      <c r="AG201">
        <f>D201-Q201</f>
        <v/>
      </c>
      <c r="AH201">
        <f>AG201^2</f>
        <v/>
      </c>
      <c r="AI201">
        <f>(AG201/STDEV($AG$3:$AG$1137))^3</f>
        <v/>
      </c>
      <c r="AJ201">
        <f>(AG201/STDEV($AG$3:$AG$1137))^4</f>
        <v/>
      </c>
      <c r="AK201">
        <f>AF201^2</f>
        <v/>
      </c>
      <c r="AL201">
        <f>IF(AD201=1,AB201,IF(AL200&lt;&gt;"",AL200,""))</f>
        <v/>
      </c>
      <c r="AM201">
        <f>IF(AND(AD201=1,AL200&lt;&gt;""),ABS(AB201-AL200),"")</f>
        <v/>
      </c>
    </row>
    <row r="202">
      <c r="A202" t="n">
        <v>1776710702</v>
      </c>
      <c r="B202" t="inlineStr">
        <is>
          <t>XAUUSD</t>
        </is>
      </c>
      <c r="C202" t="inlineStr">
        <is>
          <t>M15</t>
        </is>
      </c>
      <c r="D202" t="n">
        <v>4814.05</v>
      </c>
      <c r="E202" t="n">
        <v>4518.59282</v>
      </c>
      <c r="F202" t="n">
        <v>4596.05595</v>
      </c>
      <c r="G202" t="n">
        <v>4755.40355</v>
      </c>
      <c r="H202" t="n">
        <v>4792.76972</v>
      </c>
      <c r="Q202" t="n">
        <v>4764.11691</v>
      </c>
      <c r="R202" t="n">
        <v>4793.48021</v>
      </c>
      <c r="S202" t="n">
        <v>4820.06898</v>
      </c>
      <c r="V202" t="n">
        <v>4729.17714</v>
      </c>
      <c r="W202" t="n">
        <v>4695.61215</v>
      </c>
      <c r="AB202" t="n">
        <v>4814.76</v>
      </c>
      <c r="AC202" t="n">
        <v>4814.38278</v>
      </c>
      <c r="AD202" t="n">
        <v>0</v>
      </c>
      <c r="AE202">
        <f>AE201+1</f>
        <v/>
      </c>
      <c r="AF202">
        <f>AF201+1</f>
        <v/>
      </c>
      <c r="AG202">
        <f>D202-Q202</f>
        <v/>
      </c>
      <c r="AH202">
        <f>AG202^2</f>
        <v/>
      </c>
      <c r="AI202">
        <f>(AG202/STDEV($AG$3:$AG$1137))^3</f>
        <v/>
      </c>
      <c r="AJ202">
        <f>(AG202/STDEV($AG$3:$AG$1137))^4</f>
        <v/>
      </c>
      <c r="AK202">
        <f>AF202^2</f>
        <v/>
      </c>
      <c r="AL202">
        <f>IF(AD202=1,AB202,IF(AL201&lt;&gt;"",AL201,""))</f>
        <v/>
      </c>
      <c r="AM202">
        <f>IF(AND(AD202=1,AL201&lt;&gt;""),ABS(AB202-AL201),"")</f>
        <v/>
      </c>
    </row>
    <row r="203">
      <c r="A203" t="n">
        <v>1776711602</v>
      </c>
      <c r="B203" t="inlineStr">
        <is>
          <t>XAUUSD</t>
        </is>
      </c>
      <c r="C203" t="inlineStr">
        <is>
          <t>M15</t>
        </is>
      </c>
      <c r="D203" t="n">
        <v>4820.26</v>
      </c>
      <c r="E203" t="n">
        <v>4518.59282</v>
      </c>
      <c r="F203" t="n">
        <v>4596.05595</v>
      </c>
      <c r="G203" t="n">
        <v>4755.40355</v>
      </c>
      <c r="H203" t="n">
        <v>4792.76972</v>
      </c>
      <c r="Q203" t="n">
        <v>4763.84931</v>
      </c>
      <c r="R203" t="n">
        <v>4793.21261</v>
      </c>
      <c r="S203" t="n">
        <v>4819.80138</v>
      </c>
      <c r="V203" t="n">
        <v>4728.90954</v>
      </c>
      <c r="W203" t="n">
        <v>4695.34454</v>
      </c>
      <c r="AB203" t="n">
        <v>4814.62487</v>
      </c>
      <c r="AC203" t="n">
        <v>4814.50382</v>
      </c>
      <c r="AD203" t="n">
        <v>0</v>
      </c>
      <c r="AE203">
        <f>AE202+1</f>
        <v/>
      </c>
      <c r="AF203">
        <f>AF202+1</f>
        <v/>
      </c>
      <c r="AG203">
        <f>D203-Q203</f>
        <v/>
      </c>
      <c r="AH203">
        <f>AG203^2</f>
        <v/>
      </c>
      <c r="AI203">
        <f>(AG203/STDEV($AG$3:$AG$1137))^3</f>
        <v/>
      </c>
      <c r="AJ203">
        <f>(AG203/STDEV($AG$3:$AG$1137))^4</f>
        <v/>
      </c>
      <c r="AK203">
        <f>AF203^2</f>
        <v/>
      </c>
      <c r="AL203">
        <f>IF(AD203=1,AB203,IF(AL202&lt;&gt;"",AL202,""))</f>
        <v/>
      </c>
      <c r="AM203">
        <f>IF(AND(AD203=1,AL202&lt;&gt;""),ABS(AB203-AL202),"")</f>
        <v/>
      </c>
    </row>
    <row r="204">
      <c r="A204" t="n">
        <v>1776712502</v>
      </c>
      <c r="B204" t="inlineStr">
        <is>
          <t>XAUUSD</t>
        </is>
      </c>
      <c r="C204" t="inlineStr">
        <is>
          <t>M15</t>
        </is>
      </c>
      <c r="D204" t="n">
        <v>4817.26</v>
      </c>
      <c r="E204" t="n">
        <v>4518.59282</v>
      </c>
      <c r="F204" t="n">
        <v>4596.05595</v>
      </c>
      <c r="G204" t="n">
        <v>4755.40355</v>
      </c>
      <c r="H204" t="n">
        <v>4792.76972</v>
      </c>
      <c r="Q204" t="n">
        <v>4763.5817</v>
      </c>
      <c r="R204" t="n">
        <v>4792.945</v>
      </c>
      <c r="S204" t="n">
        <v>4819.53377</v>
      </c>
      <c r="V204" t="n">
        <v>4728.64193</v>
      </c>
      <c r="W204" t="n">
        <v>4695.07694</v>
      </c>
      <c r="AB204" t="n">
        <v>4814.364</v>
      </c>
      <c r="AC204" t="n">
        <v>4814.43391</v>
      </c>
      <c r="AD204" t="n">
        <v>1</v>
      </c>
      <c r="AE204">
        <f>AE203+1</f>
        <v/>
      </c>
      <c r="AF204">
        <f>AF203+1</f>
        <v/>
      </c>
      <c r="AG204">
        <f>D204-Q204</f>
        <v/>
      </c>
      <c r="AH204">
        <f>AG204^2</f>
        <v/>
      </c>
      <c r="AI204">
        <f>(AG204/STDEV($AG$3:$AG$1137))^3</f>
        <v/>
      </c>
      <c r="AJ204">
        <f>(AG204/STDEV($AG$3:$AG$1137))^4</f>
        <v/>
      </c>
      <c r="AK204">
        <f>AF204^2</f>
        <v/>
      </c>
      <c r="AL204">
        <f>IF(AD204=1,AB204,IF(AL203&lt;&gt;"",AL203,""))</f>
        <v/>
      </c>
      <c r="AM204">
        <f>IF(AND(AD204=1,AL203&lt;&gt;""),ABS(AB204-AL203),"")</f>
        <v/>
      </c>
    </row>
    <row r="205">
      <c r="A205" t="n">
        <v>1776713402</v>
      </c>
      <c r="B205" t="inlineStr">
        <is>
          <t>XAUUSD</t>
        </is>
      </c>
      <c r="C205" t="inlineStr">
        <is>
          <t>M15</t>
        </is>
      </c>
      <c r="D205" t="n">
        <v>4811.66</v>
      </c>
      <c r="E205" t="n">
        <v>4518.59282</v>
      </c>
      <c r="F205" t="n">
        <v>4596.05595</v>
      </c>
      <c r="G205" t="n">
        <v>4755.40355</v>
      </c>
      <c r="H205" t="n">
        <v>4792.76972</v>
      </c>
      <c r="Q205" t="n">
        <v>4763.3141</v>
      </c>
      <c r="R205" t="n">
        <v>4792.6774</v>
      </c>
      <c r="S205" t="n">
        <v>4819.26617</v>
      </c>
      <c r="V205" t="n">
        <v>4728.37433</v>
      </c>
      <c r="W205" t="n">
        <v>4694.80933</v>
      </c>
      <c r="AB205" t="n">
        <v>4814.24508</v>
      </c>
      <c r="AC205" t="n">
        <v>4814.3395</v>
      </c>
      <c r="AD205" t="n">
        <v>0</v>
      </c>
      <c r="AE205">
        <f>AE204+1</f>
        <v/>
      </c>
      <c r="AF205">
        <f>AF204+1</f>
        <v/>
      </c>
      <c r="AG205">
        <f>D205-Q205</f>
        <v/>
      </c>
      <c r="AH205">
        <f>AG205^2</f>
        <v/>
      </c>
      <c r="AI205">
        <f>(AG205/STDEV($AG$3:$AG$1137))^3</f>
        <v/>
      </c>
      <c r="AJ205">
        <f>(AG205/STDEV($AG$3:$AG$1137))^4</f>
        <v/>
      </c>
      <c r="AK205">
        <f>AF205^2</f>
        <v/>
      </c>
      <c r="AL205">
        <f>IF(AD205=1,AB205,IF(AL204&lt;&gt;"",AL204,""))</f>
        <v/>
      </c>
      <c r="AM205">
        <f>IF(AND(AD205=1,AL204&lt;&gt;""),ABS(AB205-AL204),"")</f>
        <v/>
      </c>
    </row>
    <row r="206">
      <c r="A206" t="n">
        <v>1776714302</v>
      </c>
      <c r="B206" t="inlineStr">
        <is>
          <t>XAUUSD</t>
        </is>
      </c>
      <c r="C206" t="inlineStr">
        <is>
          <t>M15</t>
        </is>
      </c>
      <c r="D206" t="n">
        <v>4814.24</v>
      </c>
      <c r="E206" t="n">
        <v>4518.59282</v>
      </c>
      <c r="F206" t="n">
        <v>4596.05595</v>
      </c>
      <c r="G206" t="n">
        <v>4755.40355</v>
      </c>
      <c r="H206" t="n">
        <v>4792.76972</v>
      </c>
      <c r="Q206" t="n">
        <v>4763.0465</v>
      </c>
      <c r="R206" t="n">
        <v>4792.4098</v>
      </c>
      <c r="S206" t="n">
        <v>4818.99857</v>
      </c>
      <c r="V206" t="n">
        <v>4728.10673</v>
      </c>
      <c r="W206" t="n">
        <v>4694.54173</v>
      </c>
      <c r="AB206" t="n">
        <v>4814.63707</v>
      </c>
      <c r="AC206" t="n">
        <v>4814.48828</v>
      </c>
      <c r="AD206" t="n">
        <v>1</v>
      </c>
      <c r="AE206">
        <f>AE205+1</f>
        <v/>
      </c>
      <c r="AF206">
        <f>AF205+1</f>
        <v/>
      </c>
      <c r="AG206">
        <f>D206-Q206</f>
        <v/>
      </c>
      <c r="AH206">
        <f>AG206^2</f>
        <v/>
      </c>
      <c r="AI206">
        <f>(AG206/STDEV($AG$3:$AG$1137))^3</f>
        <v/>
      </c>
      <c r="AJ206">
        <f>(AG206/STDEV($AG$3:$AG$1137))^4</f>
        <v/>
      </c>
      <c r="AK206">
        <f>AF206^2</f>
        <v/>
      </c>
      <c r="AL206">
        <f>IF(AD206=1,AB206,IF(AL205&lt;&gt;"",AL205,""))</f>
        <v/>
      </c>
      <c r="AM206">
        <f>IF(AND(AD206=1,AL205&lt;&gt;""),ABS(AB206-AL205),"")</f>
        <v/>
      </c>
    </row>
    <row r="207">
      <c r="A207" t="n">
        <v>1776715202</v>
      </c>
      <c r="B207" t="inlineStr">
        <is>
          <t>XAUUSD</t>
        </is>
      </c>
      <c r="C207" t="inlineStr">
        <is>
          <t>M15</t>
        </is>
      </c>
      <c r="D207" t="n">
        <v>4813.42</v>
      </c>
      <c r="E207" t="n">
        <v>4518.59282</v>
      </c>
      <c r="F207" t="n">
        <v>4596.05595</v>
      </c>
      <c r="G207" t="n">
        <v>4755.40355</v>
      </c>
      <c r="H207" t="n">
        <v>4792.76972</v>
      </c>
      <c r="Q207" t="n">
        <v>4762.77889</v>
      </c>
      <c r="R207" t="n">
        <v>4792.14219</v>
      </c>
      <c r="S207" t="n">
        <v>4818.73096</v>
      </c>
      <c r="V207" t="n">
        <v>4727.83912</v>
      </c>
      <c r="W207" t="n">
        <v>4694.27413</v>
      </c>
      <c r="AB207" t="n">
        <v>4815.63318</v>
      </c>
      <c r="AC207" t="n">
        <v>4815.06073</v>
      </c>
      <c r="AD207" t="n">
        <v>0</v>
      </c>
      <c r="AE207">
        <f>AE206+1</f>
        <v/>
      </c>
      <c r="AF207">
        <f>AF206+1</f>
        <v/>
      </c>
      <c r="AG207">
        <f>D207-Q207</f>
        <v/>
      </c>
      <c r="AH207">
        <f>AG207^2</f>
        <v/>
      </c>
      <c r="AI207">
        <f>(AG207/STDEV($AG$3:$AG$1137))^3</f>
        <v/>
      </c>
      <c r="AJ207">
        <f>(AG207/STDEV($AG$3:$AG$1137))^4</f>
        <v/>
      </c>
      <c r="AK207">
        <f>AF207^2</f>
        <v/>
      </c>
      <c r="AL207">
        <f>IF(AD207=1,AB207,IF(AL206&lt;&gt;"",AL206,""))</f>
        <v/>
      </c>
      <c r="AM207">
        <f>IF(AND(AD207=1,AL206&lt;&gt;""),ABS(AB207-AL206),"")</f>
        <v/>
      </c>
    </row>
    <row r="208">
      <c r="A208" t="n">
        <v>1776716102</v>
      </c>
      <c r="B208" t="inlineStr">
        <is>
          <t>XAUUSD</t>
        </is>
      </c>
      <c r="C208" t="inlineStr">
        <is>
          <t>M15</t>
        </is>
      </c>
      <c r="D208" t="n">
        <v>4815.85</v>
      </c>
      <c r="E208" t="n">
        <v>4518.59282</v>
      </c>
      <c r="F208" t="n">
        <v>4596.05595</v>
      </c>
      <c r="G208" t="n">
        <v>4755.40355</v>
      </c>
      <c r="H208" t="n">
        <v>4792.76972</v>
      </c>
      <c r="Q208" t="n">
        <v>4762.51129</v>
      </c>
      <c r="R208" t="n">
        <v>4791.87459</v>
      </c>
      <c r="S208" t="n">
        <v>4818.46336</v>
      </c>
      <c r="V208" t="n">
        <v>4727.57152</v>
      </c>
      <c r="W208" t="n">
        <v>4694.00652</v>
      </c>
      <c r="AB208" t="n">
        <v>4817.30574</v>
      </c>
      <c r="AC208" t="n">
        <v>4816.18323</v>
      </c>
      <c r="AD208" t="n">
        <v>0</v>
      </c>
      <c r="AE208">
        <f>AE207+1</f>
        <v/>
      </c>
      <c r="AF208">
        <f>AF207+1</f>
        <v/>
      </c>
      <c r="AG208">
        <f>D208-Q208</f>
        <v/>
      </c>
      <c r="AH208">
        <f>AG208^2</f>
        <v/>
      </c>
      <c r="AI208">
        <f>(AG208/STDEV($AG$3:$AG$1137))^3</f>
        <v/>
      </c>
      <c r="AJ208">
        <f>(AG208/STDEV($AG$3:$AG$1137))^4</f>
        <v/>
      </c>
      <c r="AK208">
        <f>AF208^2</f>
        <v/>
      </c>
      <c r="AL208">
        <f>IF(AD208=1,AB208,IF(AL207&lt;&gt;"",AL207,""))</f>
        <v/>
      </c>
      <c r="AM208">
        <f>IF(AND(AD208=1,AL207&lt;&gt;""),ABS(AB208-AL207),"")</f>
        <v/>
      </c>
    </row>
    <row r="209">
      <c r="A209" t="n">
        <v>1776717002</v>
      </c>
      <c r="B209" t="inlineStr">
        <is>
          <t>XAUUSD</t>
        </is>
      </c>
      <c r="C209" t="inlineStr">
        <is>
          <t>M15</t>
        </is>
      </c>
      <c r="D209" t="n">
        <v>4816.71</v>
      </c>
      <c r="E209" t="n">
        <v>4518.59282</v>
      </c>
      <c r="F209" t="n">
        <v>4596.05595</v>
      </c>
      <c r="G209" t="n">
        <v>4755.40355</v>
      </c>
      <c r="H209" t="n">
        <v>4792.76972</v>
      </c>
      <c r="Q209" t="n">
        <v>4762.24368</v>
      </c>
      <c r="R209" t="n">
        <v>4791.60698</v>
      </c>
      <c r="S209" t="n">
        <v>4818.19575</v>
      </c>
      <c r="V209" t="n">
        <v>4727.30391</v>
      </c>
      <c r="W209" t="n">
        <v>4693.73892</v>
      </c>
      <c r="AB209" t="n">
        <v>4819.52338</v>
      </c>
      <c r="AC209" t="n">
        <v>4817.85331</v>
      </c>
      <c r="AD209" t="n">
        <v>0</v>
      </c>
      <c r="AE209">
        <f>AE208+1</f>
        <v/>
      </c>
      <c r="AF209">
        <f>AF208+1</f>
        <v/>
      </c>
      <c r="AG209">
        <f>D209-Q209</f>
        <v/>
      </c>
      <c r="AH209">
        <f>AG209^2</f>
        <v/>
      </c>
      <c r="AI209">
        <f>(AG209/STDEV($AG$3:$AG$1137))^3</f>
        <v/>
      </c>
      <c r="AJ209">
        <f>(AG209/STDEV($AG$3:$AG$1137))^4</f>
        <v/>
      </c>
      <c r="AK209">
        <f>AF209^2</f>
        <v/>
      </c>
      <c r="AL209">
        <f>IF(AD209=1,AB209,IF(AL208&lt;&gt;"",AL208,""))</f>
        <v/>
      </c>
      <c r="AM209">
        <f>IF(AND(AD209=1,AL208&lt;&gt;""),ABS(AB209-AL208),"")</f>
        <v/>
      </c>
    </row>
    <row r="210">
      <c r="A210" t="n">
        <v>1776717902</v>
      </c>
      <c r="B210" t="inlineStr">
        <is>
          <t>XAUUSD</t>
        </is>
      </c>
      <c r="C210" t="inlineStr">
        <is>
          <t>M15</t>
        </is>
      </c>
      <c r="D210" t="n">
        <v>4820.81</v>
      </c>
      <c r="E210" t="n">
        <v>4518.59282</v>
      </c>
      <c r="F210" t="n">
        <v>4596.05595</v>
      </c>
      <c r="G210" t="n">
        <v>4755.40355</v>
      </c>
      <c r="H210" t="n">
        <v>4792.76972</v>
      </c>
      <c r="Q210" t="n">
        <v>4761.97608</v>
      </c>
      <c r="R210" t="n">
        <v>4791.33938</v>
      </c>
      <c r="S210" t="n">
        <v>4817.92815</v>
      </c>
      <c r="V210" t="n">
        <v>4727.03631</v>
      </c>
      <c r="W210" t="n">
        <v>4693.47131</v>
      </c>
      <c r="AB210" t="n">
        <v>4822.05342</v>
      </c>
      <c r="AC210" t="n">
        <v>4819.95336</v>
      </c>
      <c r="AD210" t="n">
        <v>0</v>
      </c>
      <c r="AE210">
        <f>AE209+1</f>
        <v/>
      </c>
      <c r="AF210">
        <f>AF209+1</f>
        <v/>
      </c>
      <c r="AG210">
        <f>D210-Q210</f>
        <v/>
      </c>
      <c r="AH210">
        <f>AG210^2</f>
        <v/>
      </c>
      <c r="AI210">
        <f>(AG210/STDEV($AG$3:$AG$1137))^3</f>
        <v/>
      </c>
      <c r="AJ210">
        <f>(AG210/STDEV($AG$3:$AG$1137))^4</f>
        <v/>
      </c>
      <c r="AK210">
        <f>AF210^2</f>
        <v/>
      </c>
      <c r="AL210">
        <f>IF(AD210=1,AB210,IF(AL209&lt;&gt;"",AL209,""))</f>
        <v/>
      </c>
      <c r="AM210">
        <f>IF(AND(AD210=1,AL209&lt;&gt;""),ABS(AB210-AL209),"")</f>
        <v/>
      </c>
    </row>
    <row r="211">
      <c r="A211" t="n">
        <v>1776722402</v>
      </c>
      <c r="B211" t="inlineStr">
        <is>
          <t>XAUUSD</t>
        </is>
      </c>
      <c r="C211" t="inlineStr">
        <is>
          <t>M15</t>
        </is>
      </c>
      <c r="D211" t="n">
        <v>4829.14</v>
      </c>
      <c r="E211" t="n">
        <v>4518.59282</v>
      </c>
      <c r="F211" t="n">
        <v>4596.05595</v>
      </c>
      <c r="G211" t="n">
        <v>4755.40355</v>
      </c>
      <c r="H211" t="n">
        <v>4792.76972</v>
      </c>
      <c r="Q211" t="n">
        <v>4761.70848</v>
      </c>
      <c r="R211" t="n">
        <v>4791.07178</v>
      </c>
      <c r="S211" t="n">
        <v>4817.66055</v>
      </c>
      <c r="V211" t="n">
        <v>4726.76871</v>
      </c>
      <c r="W211" t="n">
        <v>4693.20371</v>
      </c>
      <c r="AB211" t="n">
        <v>4824.51022</v>
      </c>
      <c r="AC211" t="n">
        <v>4822.23179</v>
      </c>
      <c r="AD211" t="n">
        <v>0</v>
      </c>
      <c r="AE211">
        <f>AE210+1</f>
        <v/>
      </c>
      <c r="AF211">
        <f>AF210+1</f>
        <v/>
      </c>
      <c r="AG211">
        <f>D211-Q211</f>
        <v/>
      </c>
      <c r="AH211">
        <f>AG211^2</f>
        <v/>
      </c>
      <c r="AI211">
        <f>(AG211/STDEV($AG$3:$AG$1137))^3</f>
        <v/>
      </c>
      <c r="AJ211">
        <f>(AG211/STDEV($AG$3:$AG$1137))^4</f>
        <v/>
      </c>
      <c r="AK211">
        <f>AF211^2</f>
        <v/>
      </c>
      <c r="AL211">
        <f>IF(AD211=1,AB211,IF(AL210&lt;&gt;"",AL210,""))</f>
        <v/>
      </c>
      <c r="AM211">
        <f>IF(AND(AD211=1,AL210&lt;&gt;""),ABS(AB211-AL210),"")</f>
        <v/>
      </c>
    </row>
    <row r="212">
      <c r="A212" t="n">
        <v>1776723302</v>
      </c>
      <c r="B212" t="inlineStr">
        <is>
          <t>XAUUSD</t>
        </is>
      </c>
      <c r="C212" t="inlineStr">
        <is>
          <t>M15</t>
        </is>
      </c>
      <c r="D212" t="n">
        <v>4828.53</v>
      </c>
      <c r="E212" t="n">
        <v>4518.59282</v>
      </c>
      <c r="F212" t="n">
        <v>4596.05595</v>
      </c>
      <c r="G212" t="n">
        <v>4755.40355</v>
      </c>
      <c r="H212" t="n">
        <v>4792.76972</v>
      </c>
      <c r="Q212" t="n">
        <v>4761.44087</v>
      </c>
      <c r="R212" t="n">
        <v>4790.80417</v>
      </c>
      <c r="S212" t="n">
        <v>4817.39294</v>
      </c>
      <c r="V212" t="n">
        <v>4726.5011</v>
      </c>
      <c r="W212" t="n">
        <v>4692.93611</v>
      </c>
      <c r="Z212" t="n">
        <v>4833.25</v>
      </c>
      <c r="AB212" t="n">
        <v>4826.40474</v>
      </c>
      <c r="AC212" t="n">
        <v>4824.31827</v>
      </c>
      <c r="AD212" t="n">
        <v>0</v>
      </c>
      <c r="AE212">
        <f>AE211+1</f>
        <v/>
      </c>
      <c r="AF212">
        <f>AF211+1</f>
        <v/>
      </c>
      <c r="AG212">
        <f>D212-Q212</f>
        <v/>
      </c>
      <c r="AH212">
        <f>AG212^2</f>
        <v/>
      </c>
      <c r="AI212">
        <f>(AG212/STDEV($AG$3:$AG$1137))^3</f>
        <v/>
      </c>
      <c r="AJ212">
        <f>(AG212/STDEV($AG$3:$AG$1137))^4</f>
        <v/>
      </c>
      <c r="AK212">
        <f>AF212^2</f>
        <v/>
      </c>
      <c r="AL212">
        <f>IF(AD212=1,AB212,IF(AL211&lt;&gt;"",AL211,""))</f>
        <v/>
      </c>
      <c r="AM212">
        <f>IF(AND(AD212=1,AL211&lt;&gt;""),ABS(AB212-AL211),"")</f>
        <v/>
      </c>
    </row>
    <row r="213">
      <c r="A213" t="n">
        <v>1776724202</v>
      </c>
      <c r="B213" t="inlineStr">
        <is>
          <t>XAUUSD</t>
        </is>
      </c>
      <c r="C213" t="inlineStr">
        <is>
          <t>M15</t>
        </is>
      </c>
      <c r="D213" t="n">
        <v>4830.44</v>
      </c>
      <c r="E213" t="n">
        <v>4518.59282</v>
      </c>
      <c r="F213" t="n">
        <v>4596.05595</v>
      </c>
      <c r="G213" t="n">
        <v>4755.40355</v>
      </c>
      <c r="H213" t="n">
        <v>4792.76972</v>
      </c>
      <c r="Q213" t="n">
        <v>4761.17327</v>
      </c>
      <c r="R213" t="n">
        <v>4790.53657</v>
      </c>
      <c r="S213" t="n">
        <v>4817.12534</v>
      </c>
      <c r="V213" t="n">
        <v>4726.2335</v>
      </c>
      <c r="W213" t="n">
        <v>4692.6685</v>
      </c>
      <c r="AB213" t="n">
        <v>4827.61595</v>
      </c>
      <c r="AC213" t="n">
        <v>4825.96711</v>
      </c>
      <c r="AD213" t="n">
        <v>0</v>
      </c>
      <c r="AE213">
        <f>AE212+1</f>
        <v/>
      </c>
      <c r="AF213">
        <f>AF212+1</f>
        <v/>
      </c>
      <c r="AG213">
        <f>D213-Q213</f>
        <v/>
      </c>
      <c r="AH213">
        <f>AG213^2</f>
        <v/>
      </c>
      <c r="AI213">
        <f>(AG213/STDEV($AG$3:$AG$1137))^3</f>
        <v/>
      </c>
      <c r="AJ213">
        <f>(AG213/STDEV($AG$3:$AG$1137))^4</f>
        <v/>
      </c>
      <c r="AK213">
        <f>AF213^2</f>
        <v/>
      </c>
      <c r="AL213">
        <f>IF(AD213=1,AB213,IF(AL212&lt;&gt;"",AL212,""))</f>
        <v/>
      </c>
      <c r="AM213">
        <f>IF(AND(AD213=1,AL212&lt;&gt;""),ABS(AB213-AL212),"")</f>
        <v/>
      </c>
    </row>
    <row r="214">
      <c r="A214" t="n">
        <v>1776725102</v>
      </c>
      <c r="B214" t="inlineStr">
        <is>
          <t>XAUUSD</t>
        </is>
      </c>
      <c r="C214" t="inlineStr">
        <is>
          <t>M15</t>
        </is>
      </c>
      <c r="D214" t="n">
        <v>4827.62</v>
      </c>
      <c r="E214" t="n">
        <v>4518.59282</v>
      </c>
      <c r="F214" t="n">
        <v>4596.05595</v>
      </c>
      <c r="G214" t="n">
        <v>4755.40355</v>
      </c>
      <c r="H214" t="n">
        <v>4792.76972</v>
      </c>
      <c r="Q214" t="n">
        <v>4760.90566</v>
      </c>
      <c r="R214" t="n">
        <v>4790.26896</v>
      </c>
      <c r="S214" t="n">
        <v>4816.85773</v>
      </c>
      <c r="V214" t="n">
        <v>4725.96589</v>
      </c>
      <c r="W214" t="n">
        <v>4692.4009</v>
      </c>
      <c r="AB214" t="n">
        <v>4828.03821</v>
      </c>
      <c r="AC214" t="n">
        <v>4827.00266</v>
      </c>
      <c r="AD214" t="n">
        <v>0</v>
      </c>
      <c r="AE214">
        <f>AE213+1</f>
        <v/>
      </c>
      <c r="AF214">
        <f>AF213+1</f>
        <v/>
      </c>
      <c r="AG214">
        <f>D214-Q214</f>
        <v/>
      </c>
      <c r="AH214">
        <f>AG214^2</f>
        <v/>
      </c>
      <c r="AI214">
        <f>(AG214/STDEV($AG$3:$AG$1137))^3</f>
        <v/>
      </c>
      <c r="AJ214">
        <f>(AG214/STDEV($AG$3:$AG$1137))^4</f>
        <v/>
      </c>
      <c r="AK214">
        <f>AF214^2</f>
        <v/>
      </c>
      <c r="AL214">
        <f>IF(AD214=1,AB214,IF(AL213&lt;&gt;"",AL213,""))</f>
        <v/>
      </c>
      <c r="AM214">
        <f>IF(AND(AD214=1,AL213&lt;&gt;""),ABS(AB214-AL213),"")</f>
        <v/>
      </c>
    </row>
    <row r="215">
      <c r="A215" t="n">
        <v>1776726002</v>
      </c>
      <c r="B215" t="inlineStr">
        <is>
          <t>XAUUSD</t>
        </is>
      </c>
      <c r="C215" t="inlineStr">
        <is>
          <t>M15</t>
        </is>
      </c>
      <c r="D215" t="n">
        <v>4825.77</v>
      </c>
      <c r="E215" t="n">
        <v>4518.59282</v>
      </c>
      <c r="F215" t="n">
        <v>4596.05595</v>
      </c>
      <c r="G215" t="n">
        <v>4755.40355</v>
      </c>
      <c r="H215" t="n">
        <v>4792.76972</v>
      </c>
      <c r="Q215" t="n">
        <v>4760.63806</v>
      </c>
      <c r="R215" t="n">
        <v>4790.00136</v>
      </c>
      <c r="S215" t="n">
        <v>4816.59013</v>
      </c>
      <c r="V215" t="n">
        <v>4725.69829</v>
      </c>
      <c r="W215" t="n">
        <v>4692.13329</v>
      </c>
      <c r="AB215" t="n">
        <v>4827.79621</v>
      </c>
      <c r="AC215" t="n">
        <v>4827.39944</v>
      </c>
      <c r="AD215" t="n">
        <v>0</v>
      </c>
      <c r="AE215">
        <f>AE214+1</f>
        <v/>
      </c>
      <c r="AF215">
        <f>AF214+1</f>
        <v/>
      </c>
      <c r="AG215">
        <f>D215-Q215</f>
        <v/>
      </c>
      <c r="AH215">
        <f>AG215^2</f>
        <v/>
      </c>
      <c r="AI215">
        <f>(AG215/STDEV($AG$3:$AG$1137))^3</f>
        <v/>
      </c>
      <c r="AJ215">
        <f>(AG215/STDEV($AG$3:$AG$1137))^4</f>
        <v/>
      </c>
      <c r="AK215">
        <f>AF215^2</f>
        <v/>
      </c>
      <c r="AL215">
        <f>IF(AD215=1,AB215,IF(AL214&lt;&gt;"",AL214,""))</f>
        <v/>
      </c>
      <c r="AM215">
        <f>IF(AND(AD215=1,AL214&lt;&gt;""),ABS(AB215-AL214),"")</f>
        <v/>
      </c>
    </row>
    <row r="216">
      <c r="A216" t="n">
        <v>1776726902</v>
      </c>
      <c r="B216" t="inlineStr">
        <is>
          <t>XAUUSD</t>
        </is>
      </c>
      <c r="C216" t="inlineStr">
        <is>
          <t>M15</t>
        </is>
      </c>
      <c r="D216" t="n">
        <v>4825.84</v>
      </c>
      <c r="E216" t="n">
        <v>4518.59282</v>
      </c>
      <c r="F216" t="n">
        <v>4596.05595</v>
      </c>
      <c r="G216" t="n">
        <v>4755.40355</v>
      </c>
      <c r="H216" t="n">
        <v>4792.76972</v>
      </c>
      <c r="Q216" t="n">
        <v>4760.37046</v>
      </c>
      <c r="R216" t="n">
        <v>4789.73375</v>
      </c>
      <c r="S216" t="n">
        <v>4816.32253</v>
      </c>
      <c r="V216" t="n">
        <v>4725.43069</v>
      </c>
      <c r="W216" t="n">
        <v>4691.86569</v>
      </c>
      <c r="AB216" t="n">
        <v>4827.07491</v>
      </c>
      <c r="AC216" t="n">
        <v>4827.23717</v>
      </c>
      <c r="AD216" t="n">
        <v>1</v>
      </c>
      <c r="AE216">
        <f>AE215+1</f>
        <v/>
      </c>
      <c r="AF216">
        <f>AF215+1</f>
        <v/>
      </c>
      <c r="AG216">
        <f>D216-Q216</f>
        <v/>
      </c>
      <c r="AH216">
        <f>AG216^2</f>
        <v/>
      </c>
      <c r="AI216">
        <f>(AG216/STDEV($AG$3:$AG$1137))^3</f>
        <v/>
      </c>
      <c r="AJ216">
        <f>(AG216/STDEV($AG$3:$AG$1137))^4</f>
        <v/>
      </c>
      <c r="AK216">
        <f>AF216^2</f>
        <v/>
      </c>
      <c r="AL216">
        <f>IF(AD216=1,AB216,IF(AL215&lt;&gt;"",AL215,""))</f>
        <v/>
      </c>
      <c r="AM216">
        <f>IF(AND(AD216=1,AL215&lt;&gt;""),ABS(AB216-AL215),"")</f>
        <v/>
      </c>
    </row>
    <row r="217">
      <c r="A217" t="n">
        <v>1776727802</v>
      </c>
      <c r="B217" t="inlineStr">
        <is>
          <t>XAUUSD</t>
        </is>
      </c>
      <c r="C217" t="inlineStr">
        <is>
          <t>M15</t>
        </is>
      </c>
      <c r="D217" t="n">
        <v>4824.16</v>
      </c>
      <c r="E217" t="n">
        <v>4518.59282</v>
      </c>
      <c r="F217" t="n">
        <v>4596.05595</v>
      </c>
      <c r="G217" t="n">
        <v>4755.40355</v>
      </c>
      <c r="H217" t="n">
        <v>4792.76972</v>
      </c>
      <c r="Q217" t="n">
        <v>4760.10285</v>
      </c>
      <c r="R217" t="n">
        <v>4789.46615</v>
      </c>
      <c r="S217" t="n">
        <v>4816.05492</v>
      </c>
      <c r="V217" t="n">
        <v>4725.16308</v>
      </c>
      <c r="W217" t="n">
        <v>4691.59809</v>
      </c>
      <c r="AB217" t="n">
        <v>4826.0394</v>
      </c>
      <c r="AC217" t="n">
        <v>4826.63829</v>
      </c>
      <c r="AD217" t="n">
        <v>0</v>
      </c>
      <c r="AE217">
        <f>AE216+1</f>
        <v/>
      </c>
      <c r="AF217">
        <f>AF216+1</f>
        <v/>
      </c>
      <c r="AG217">
        <f>D217-Q217</f>
        <v/>
      </c>
      <c r="AH217">
        <f>AG217^2</f>
        <v/>
      </c>
      <c r="AI217">
        <f>(AG217/STDEV($AG$3:$AG$1137))^3</f>
        <v/>
      </c>
      <c r="AJ217">
        <f>(AG217/STDEV($AG$3:$AG$1137))^4</f>
        <v/>
      </c>
      <c r="AK217">
        <f>AF217^2</f>
        <v/>
      </c>
      <c r="AL217">
        <f>IF(AD217=1,AB217,IF(AL216&lt;&gt;"",AL216,""))</f>
        <v/>
      </c>
      <c r="AM217">
        <f>IF(AND(AD217=1,AL216&lt;&gt;""),ABS(AB217-AL216),"")</f>
        <v/>
      </c>
    </row>
    <row r="218">
      <c r="A218" t="n">
        <v>1776728702</v>
      </c>
      <c r="B218" t="inlineStr">
        <is>
          <t>XAUUSD</t>
        </is>
      </c>
      <c r="C218" t="inlineStr">
        <is>
          <t>M15</t>
        </is>
      </c>
      <c r="D218" t="n">
        <v>4821.76</v>
      </c>
      <c r="E218" t="n">
        <v>4518.59282</v>
      </c>
      <c r="F218" t="n">
        <v>4596.05595</v>
      </c>
      <c r="G218" t="n">
        <v>4755.40355</v>
      </c>
      <c r="H218" t="n">
        <v>4792.76972</v>
      </c>
      <c r="Q218" t="n">
        <v>4759.83525</v>
      </c>
      <c r="R218" t="n">
        <v>4789.19855</v>
      </c>
      <c r="S218" t="n">
        <v>4815.78732</v>
      </c>
      <c r="V218" t="n">
        <v>4724.89548</v>
      </c>
      <c r="W218" t="n">
        <v>4691.33048</v>
      </c>
      <c r="AB218" t="n">
        <v>4824.8706</v>
      </c>
      <c r="AC218" t="n">
        <v>4825.75444</v>
      </c>
      <c r="AD218" t="n">
        <v>0</v>
      </c>
      <c r="AE218">
        <f>AE217+1</f>
        <v/>
      </c>
      <c r="AF218">
        <f>AF217+1</f>
        <v/>
      </c>
      <c r="AG218">
        <f>D218-Q218</f>
        <v/>
      </c>
      <c r="AH218">
        <f>AG218^2</f>
        <v/>
      </c>
      <c r="AI218">
        <f>(AG218/STDEV($AG$3:$AG$1137))^3</f>
        <v/>
      </c>
      <c r="AJ218">
        <f>(AG218/STDEV($AG$3:$AG$1137))^4</f>
        <v/>
      </c>
      <c r="AK218">
        <f>AF218^2</f>
        <v/>
      </c>
      <c r="AL218">
        <f>IF(AD218=1,AB218,IF(AL217&lt;&gt;"",AL217,""))</f>
        <v/>
      </c>
      <c r="AM218">
        <f>IF(AND(AD218=1,AL217&lt;&gt;""),ABS(AB218-AL217),"")</f>
        <v/>
      </c>
    </row>
    <row r="219">
      <c r="A219" t="n">
        <v>1776729602</v>
      </c>
      <c r="B219" t="inlineStr">
        <is>
          <t>XAUUSD</t>
        </is>
      </c>
      <c r="C219" t="inlineStr">
        <is>
          <t>M15</t>
        </is>
      </c>
      <c r="D219" t="n">
        <v>4828.53</v>
      </c>
      <c r="E219" t="n">
        <v>4518.59282</v>
      </c>
      <c r="F219" t="n">
        <v>4596.05595</v>
      </c>
      <c r="G219" t="n">
        <v>4755.40355</v>
      </c>
      <c r="H219" t="n">
        <v>4792.76972</v>
      </c>
      <c r="Q219" t="n">
        <v>4759.56764</v>
      </c>
      <c r="R219" t="n">
        <v>4788.93094</v>
      </c>
      <c r="S219" t="n">
        <v>4815.51971</v>
      </c>
      <c r="V219" t="n">
        <v>4724.62787</v>
      </c>
      <c r="W219" t="n">
        <v>4691.06288</v>
      </c>
      <c r="AB219" t="n">
        <v>4823.68968</v>
      </c>
      <c r="AC219" t="n">
        <v>4824.72206</v>
      </c>
      <c r="AD219" t="n">
        <v>0</v>
      </c>
      <c r="AE219">
        <f>AE218+1</f>
        <v/>
      </c>
      <c r="AF219">
        <f>AF218+1</f>
        <v/>
      </c>
      <c r="AG219">
        <f>D219-Q219</f>
        <v/>
      </c>
      <c r="AH219">
        <f>AG219^2</f>
        <v/>
      </c>
      <c r="AI219">
        <f>(AG219/STDEV($AG$3:$AG$1137))^3</f>
        <v/>
      </c>
      <c r="AJ219">
        <f>(AG219/STDEV($AG$3:$AG$1137))^4</f>
        <v/>
      </c>
      <c r="AK219">
        <f>AF219^2</f>
        <v/>
      </c>
      <c r="AL219">
        <f>IF(AD219=1,AB219,IF(AL218&lt;&gt;"",AL218,""))</f>
        <v/>
      </c>
      <c r="AM219">
        <f>IF(AND(AD219=1,AL218&lt;&gt;""),ABS(AB219-AL218),"")</f>
        <v/>
      </c>
    </row>
    <row r="220">
      <c r="A220" t="n">
        <v>1776730502</v>
      </c>
      <c r="B220" t="inlineStr">
        <is>
          <t>XAUUSD</t>
        </is>
      </c>
      <c r="C220" t="inlineStr">
        <is>
          <t>M15</t>
        </is>
      </c>
      <c r="D220" t="n">
        <v>4819.92</v>
      </c>
      <c r="E220" t="n">
        <v>4518.59282</v>
      </c>
      <c r="F220" t="n">
        <v>4596.05595</v>
      </c>
      <c r="G220" t="n">
        <v>4755.40355</v>
      </c>
      <c r="H220" t="n">
        <v>4792.76972</v>
      </c>
      <c r="Q220" t="n">
        <v>4759.30004</v>
      </c>
      <c r="R220" t="n">
        <v>4788.66334</v>
      </c>
      <c r="S220" t="n">
        <v>4815.25211</v>
      </c>
      <c r="V220" t="n">
        <v>4724.36027</v>
      </c>
      <c r="W220" t="n">
        <v>4690.79527</v>
      </c>
      <c r="AB220" t="n">
        <v>4822.33583</v>
      </c>
      <c r="AC220" t="n">
        <v>4823.52895</v>
      </c>
      <c r="AD220" t="n">
        <v>0</v>
      </c>
      <c r="AE220">
        <f>AE219+1</f>
        <v/>
      </c>
      <c r="AF220">
        <f>AF219+1</f>
        <v/>
      </c>
      <c r="AG220">
        <f>D220-Q220</f>
        <v/>
      </c>
      <c r="AH220">
        <f>AG220^2</f>
        <v/>
      </c>
      <c r="AI220">
        <f>(AG220/STDEV($AG$3:$AG$1137))^3</f>
        <v/>
      </c>
      <c r="AJ220">
        <f>(AG220/STDEV($AG$3:$AG$1137))^4</f>
        <v/>
      </c>
      <c r="AK220">
        <f>AF220^2</f>
        <v/>
      </c>
      <c r="AL220">
        <f>IF(AD220=1,AB220,IF(AL219&lt;&gt;"",AL219,""))</f>
        <v/>
      </c>
      <c r="AM220">
        <f>IF(AND(AD220=1,AL219&lt;&gt;""),ABS(AB220-AL219),"")</f>
        <v/>
      </c>
    </row>
    <row r="221">
      <c r="A221" t="n">
        <v>1776731402</v>
      </c>
      <c r="B221" t="inlineStr">
        <is>
          <t>XAUUSD</t>
        </is>
      </c>
      <c r="C221" t="inlineStr">
        <is>
          <t>M15</t>
        </is>
      </c>
      <c r="D221" t="n">
        <v>4822.66</v>
      </c>
      <c r="E221" t="n">
        <v>4518.59282</v>
      </c>
      <c r="F221" t="n">
        <v>4596.05595</v>
      </c>
      <c r="G221" t="n">
        <v>4755.40355</v>
      </c>
      <c r="H221" t="n">
        <v>4792.76972</v>
      </c>
      <c r="Q221" t="n">
        <v>4759.03244</v>
      </c>
      <c r="R221" t="n">
        <v>4788.39573</v>
      </c>
      <c r="S221" t="n">
        <v>4814.98451</v>
      </c>
      <c r="V221" t="n">
        <v>4724.09267</v>
      </c>
      <c r="W221" t="n">
        <v>4690.52767</v>
      </c>
      <c r="AB221" t="n">
        <v>4821.02227</v>
      </c>
      <c r="AC221" t="n">
        <v>4822.27561</v>
      </c>
      <c r="AD221" t="n">
        <v>0</v>
      </c>
      <c r="AE221">
        <f>AE220+1</f>
        <v/>
      </c>
      <c r="AF221">
        <f>AF220+1</f>
        <v/>
      </c>
      <c r="AG221">
        <f>D221-Q221</f>
        <v/>
      </c>
      <c r="AH221">
        <f>AG221^2</f>
        <v/>
      </c>
      <c r="AI221">
        <f>(AG221/STDEV($AG$3:$AG$1137))^3</f>
        <v/>
      </c>
      <c r="AJ221">
        <f>(AG221/STDEV($AG$3:$AG$1137))^4</f>
        <v/>
      </c>
      <c r="AK221">
        <f>AF221^2</f>
        <v/>
      </c>
      <c r="AL221">
        <f>IF(AD221=1,AB221,IF(AL220&lt;&gt;"",AL220,""))</f>
        <v/>
      </c>
      <c r="AM221">
        <f>IF(AND(AD221=1,AL220&lt;&gt;""),ABS(AB221-AL220),"")</f>
        <v/>
      </c>
    </row>
    <row r="222">
      <c r="A222" t="n">
        <v>1776732302</v>
      </c>
      <c r="B222" t="inlineStr">
        <is>
          <t>XAUUSD</t>
        </is>
      </c>
      <c r="C222" t="inlineStr">
        <is>
          <t>M15</t>
        </is>
      </c>
      <c r="D222" t="n">
        <v>4823.76</v>
      </c>
      <c r="E222" t="n">
        <v>4518.59282</v>
      </c>
      <c r="F222" t="n">
        <v>4596.05595</v>
      </c>
      <c r="G222" t="n">
        <v>4755.40355</v>
      </c>
      <c r="H222" t="n">
        <v>4792.76972</v>
      </c>
      <c r="Q222" t="n">
        <v>4758.76483</v>
      </c>
      <c r="R222" t="n">
        <v>4788.12813</v>
      </c>
      <c r="S222" t="n">
        <v>4814.7169</v>
      </c>
      <c r="V222" t="n">
        <v>4723.82506</v>
      </c>
      <c r="W222" t="n">
        <v>4690.26006</v>
      </c>
      <c r="AB222" t="n">
        <v>4819.62179</v>
      </c>
      <c r="AC222" t="n">
        <v>4820.9487</v>
      </c>
      <c r="AD222" t="n">
        <v>0</v>
      </c>
      <c r="AE222">
        <f>AE221+1</f>
        <v/>
      </c>
      <c r="AF222">
        <f>AF221+1</f>
        <v/>
      </c>
      <c r="AG222">
        <f>D222-Q222</f>
        <v/>
      </c>
      <c r="AH222">
        <f>AG222^2</f>
        <v/>
      </c>
      <c r="AI222">
        <f>(AG222/STDEV($AG$3:$AG$1137))^3</f>
        <v/>
      </c>
      <c r="AJ222">
        <f>(AG222/STDEV($AG$3:$AG$1137))^4</f>
        <v/>
      </c>
      <c r="AK222">
        <f>AF222^2</f>
        <v/>
      </c>
      <c r="AL222">
        <f>IF(AD222=1,AB222,IF(AL221&lt;&gt;"",AL221,""))</f>
        <v/>
      </c>
      <c r="AM222">
        <f>IF(AND(AD222=1,AL221&lt;&gt;""),ABS(AB222-AL221),"")</f>
        <v/>
      </c>
    </row>
    <row r="223">
      <c r="A223" t="n">
        <v>1776733202</v>
      </c>
      <c r="B223" t="inlineStr">
        <is>
          <t>XAUUSD</t>
        </is>
      </c>
      <c r="C223" t="inlineStr">
        <is>
          <t>M15</t>
        </is>
      </c>
      <c r="D223" t="n">
        <v>4814.78</v>
      </c>
      <c r="E223" t="n">
        <v>4518.59282</v>
      </c>
      <c r="F223" t="n">
        <v>4596.05595</v>
      </c>
      <c r="G223" t="n">
        <v>4755.40355</v>
      </c>
      <c r="H223" t="n">
        <v>4792.76972</v>
      </c>
      <c r="Q223" t="n">
        <v>4758.49723</v>
      </c>
      <c r="R223" t="n">
        <v>4787.86053</v>
      </c>
      <c r="S223" t="n">
        <v>4814.4493</v>
      </c>
      <c r="V223" t="n">
        <v>4723.55746</v>
      </c>
      <c r="W223" t="n">
        <v>4689.99246</v>
      </c>
      <c r="AB223" t="n">
        <v>4817.98753</v>
      </c>
      <c r="AC223" t="n">
        <v>4819.46811</v>
      </c>
      <c r="AD223" t="n">
        <v>0</v>
      </c>
      <c r="AE223">
        <f>AE222+1</f>
        <v/>
      </c>
      <c r="AF223">
        <f>AF222+1</f>
        <v/>
      </c>
      <c r="AG223">
        <f>D223-Q223</f>
        <v/>
      </c>
      <c r="AH223">
        <f>AG223^2</f>
        <v/>
      </c>
      <c r="AI223">
        <f>(AG223/STDEV($AG$3:$AG$1137))^3</f>
        <v/>
      </c>
      <c r="AJ223">
        <f>(AG223/STDEV($AG$3:$AG$1137))^4</f>
        <v/>
      </c>
      <c r="AK223">
        <f>AF223^2</f>
        <v/>
      </c>
      <c r="AL223">
        <f>IF(AD223=1,AB223,IF(AL222&lt;&gt;"",AL222,""))</f>
        <v/>
      </c>
      <c r="AM223">
        <f>IF(AND(AD223=1,AL222&lt;&gt;""),ABS(AB223-AL222),"")</f>
        <v/>
      </c>
    </row>
    <row r="224">
      <c r="A224" t="n">
        <v>1776734102</v>
      </c>
      <c r="B224" t="inlineStr">
        <is>
          <t>XAUUSD</t>
        </is>
      </c>
      <c r="C224" t="inlineStr">
        <is>
          <t>M15</t>
        </is>
      </c>
      <c r="D224" t="n">
        <v>4818.7</v>
      </c>
      <c r="E224" t="n">
        <v>4518.59282</v>
      </c>
      <c r="F224" t="n">
        <v>4596.05595</v>
      </c>
      <c r="G224" t="n">
        <v>4755.40355</v>
      </c>
      <c r="H224" t="n">
        <v>4792.76972</v>
      </c>
      <c r="Q224" t="n">
        <v>4758.22962</v>
      </c>
      <c r="R224" t="n">
        <v>4787.59292</v>
      </c>
      <c r="S224" t="n">
        <v>4814.18169</v>
      </c>
      <c r="V224" t="n">
        <v>4723.28985</v>
      </c>
      <c r="W224" t="n">
        <v>4689.72486</v>
      </c>
      <c r="AB224" t="n">
        <v>4816.27363</v>
      </c>
      <c r="AC224" t="n">
        <v>4817.87087</v>
      </c>
      <c r="AD224" t="n">
        <v>0</v>
      </c>
      <c r="AE224">
        <f>AE223+1</f>
        <v/>
      </c>
      <c r="AF224">
        <f>AF223+1</f>
        <v/>
      </c>
      <c r="AG224">
        <f>D224-Q224</f>
        <v/>
      </c>
      <c r="AH224">
        <f>AG224^2</f>
        <v/>
      </c>
      <c r="AI224">
        <f>(AG224/STDEV($AG$3:$AG$1137))^3</f>
        <v/>
      </c>
      <c r="AJ224">
        <f>(AG224/STDEV($AG$3:$AG$1137))^4</f>
        <v/>
      </c>
      <c r="AK224">
        <f>AF224^2</f>
        <v/>
      </c>
      <c r="AL224">
        <f>IF(AD224=1,AB224,IF(AL223&lt;&gt;"",AL223,""))</f>
        <v/>
      </c>
      <c r="AM224">
        <f>IF(AND(AD224=1,AL223&lt;&gt;""),ABS(AB224-AL223),"")</f>
        <v/>
      </c>
    </row>
    <row r="225">
      <c r="A225" t="n">
        <v>1776735002</v>
      </c>
      <c r="B225" t="inlineStr">
        <is>
          <t>XAUUSD</t>
        </is>
      </c>
      <c r="C225" t="inlineStr">
        <is>
          <t>M15</t>
        </is>
      </c>
      <c r="D225" t="n">
        <v>4813.59</v>
      </c>
      <c r="E225" t="n">
        <v>4518.59282</v>
      </c>
      <c r="F225" t="n">
        <v>4596.05595</v>
      </c>
      <c r="G225" t="n">
        <v>4755.40355</v>
      </c>
      <c r="H225" t="n">
        <v>4792.76972</v>
      </c>
      <c r="Q225" t="n">
        <v>4757.96202</v>
      </c>
      <c r="R225" t="n">
        <v>4787.32532</v>
      </c>
      <c r="S225" t="n">
        <v>4813.91409</v>
      </c>
      <c r="V225" t="n">
        <v>4723.02225</v>
      </c>
      <c r="W225" t="n">
        <v>4689.45725</v>
      </c>
      <c r="AB225" t="n">
        <v>4814.30994</v>
      </c>
      <c r="AC225" t="n">
        <v>4816.0904</v>
      </c>
      <c r="AD225" t="n">
        <v>0</v>
      </c>
      <c r="AE225">
        <f>AE224+1</f>
        <v/>
      </c>
      <c r="AF225">
        <f>AF224+1</f>
        <v/>
      </c>
      <c r="AG225">
        <f>D225-Q225</f>
        <v/>
      </c>
      <c r="AH225">
        <f>AG225^2</f>
        <v/>
      </c>
      <c r="AI225">
        <f>(AG225/STDEV($AG$3:$AG$1137))^3</f>
        <v/>
      </c>
      <c r="AJ225">
        <f>(AG225/STDEV($AG$3:$AG$1137))^4</f>
        <v/>
      </c>
      <c r="AK225">
        <f>AF225^2</f>
        <v/>
      </c>
      <c r="AL225">
        <f>IF(AD225=1,AB225,IF(AL224&lt;&gt;"",AL224,""))</f>
        <v/>
      </c>
      <c r="AM225">
        <f>IF(AND(AD225=1,AL224&lt;&gt;""),ABS(AB225-AL224),"")</f>
        <v/>
      </c>
    </row>
    <row r="226">
      <c r="A226" t="n">
        <v>1776735902</v>
      </c>
      <c r="B226" t="inlineStr">
        <is>
          <t>XAUUSD</t>
        </is>
      </c>
      <c r="C226" t="inlineStr">
        <is>
          <t>M15</t>
        </is>
      </c>
      <c r="D226" t="n">
        <v>4810.06</v>
      </c>
      <c r="E226" t="n">
        <v>4518.59282</v>
      </c>
      <c r="F226" t="n">
        <v>4596.05595</v>
      </c>
      <c r="G226" t="n">
        <v>4755.40355</v>
      </c>
      <c r="H226" t="n">
        <v>4792.76972</v>
      </c>
      <c r="Q226" t="n">
        <v>4757.69441</v>
      </c>
      <c r="R226" t="n">
        <v>4787.05771</v>
      </c>
      <c r="S226" t="n">
        <v>4813.64648</v>
      </c>
      <c r="V226" t="n">
        <v>4722.75464</v>
      </c>
      <c r="W226" t="n">
        <v>4689.18965</v>
      </c>
      <c r="AB226" t="n">
        <v>4812.19078</v>
      </c>
      <c r="AC226" t="n">
        <v>4814.14059</v>
      </c>
      <c r="AD226" t="n">
        <v>0</v>
      </c>
      <c r="AE226">
        <f>AE225+1</f>
        <v/>
      </c>
      <c r="AF226">
        <f>AF225+1</f>
        <v/>
      </c>
      <c r="AG226">
        <f>D226-Q226</f>
        <v/>
      </c>
      <c r="AH226">
        <f>AG226^2</f>
        <v/>
      </c>
      <c r="AI226">
        <f>(AG226/STDEV($AG$3:$AG$1137))^3</f>
        <v/>
      </c>
      <c r="AJ226">
        <f>(AG226/STDEV($AG$3:$AG$1137))^4</f>
        <v/>
      </c>
      <c r="AK226">
        <f>AF226^2</f>
        <v/>
      </c>
      <c r="AL226">
        <f>IF(AD226=1,AB226,IF(AL225&lt;&gt;"",AL225,""))</f>
        <v/>
      </c>
      <c r="AM226">
        <f>IF(AND(AD226=1,AL225&lt;&gt;""),ABS(AB226-AL225),"")</f>
        <v/>
      </c>
    </row>
    <row r="227">
      <c r="A227" t="n">
        <v>1776736802</v>
      </c>
      <c r="B227" t="inlineStr">
        <is>
          <t>XAUUSD</t>
        </is>
      </c>
      <c r="C227" t="inlineStr">
        <is>
          <t>M15</t>
        </is>
      </c>
      <c r="D227" t="n">
        <v>4807.3</v>
      </c>
      <c r="E227" t="n">
        <v>4518.59282</v>
      </c>
      <c r="F227" t="n">
        <v>4596.05595</v>
      </c>
      <c r="G227" t="n">
        <v>4755.40355</v>
      </c>
      <c r="H227" t="n">
        <v>4792.76972</v>
      </c>
      <c r="Q227" t="n">
        <v>4757.42681</v>
      </c>
      <c r="R227" t="n">
        <v>4786.79011</v>
      </c>
      <c r="S227" t="n">
        <v>4813.37888</v>
      </c>
      <c r="V227" t="n">
        <v>4722.48704</v>
      </c>
      <c r="W227" t="n">
        <v>4688.92204</v>
      </c>
      <c r="AB227" t="n">
        <v>4809.99548</v>
      </c>
      <c r="AC227" t="n">
        <v>4812.06803</v>
      </c>
      <c r="AD227" t="n">
        <v>0</v>
      </c>
      <c r="AE227">
        <f>AE226+1</f>
        <v/>
      </c>
      <c r="AF227">
        <f>AF226+1</f>
        <v/>
      </c>
      <c r="AG227">
        <f>D227-Q227</f>
        <v/>
      </c>
      <c r="AH227">
        <f>AG227^2</f>
        <v/>
      </c>
      <c r="AI227">
        <f>(AG227/STDEV($AG$3:$AG$1137))^3</f>
        <v/>
      </c>
      <c r="AJ227">
        <f>(AG227/STDEV($AG$3:$AG$1137))^4</f>
        <v/>
      </c>
      <c r="AK227">
        <f>AF227^2</f>
        <v/>
      </c>
      <c r="AL227">
        <f>IF(AD227=1,AB227,IF(AL226&lt;&gt;"",AL226,""))</f>
        <v/>
      </c>
      <c r="AM227">
        <f>IF(AND(AD227=1,AL226&lt;&gt;""),ABS(AB227-AL226),"")</f>
        <v/>
      </c>
    </row>
    <row r="228">
      <c r="A228" t="n">
        <v>1776737702</v>
      </c>
      <c r="B228" t="inlineStr">
        <is>
          <t>XAUUSD</t>
        </is>
      </c>
      <c r="C228" t="inlineStr">
        <is>
          <t>M15</t>
        </is>
      </c>
      <c r="D228" t="n">
        <v>4807.73</v>
      </c>
      <c r="E228" t="n">
        <v>4518.59282</v>
      </c>
      <c r="F228" t="n">
        <v>4596.05595</v>
      </c>
      <c r="G228" t="n">
        <v>4755.40355</v>
      </c>
      <c r="H228" t="n">
        <v>4792.76972</v>
      </c>
      <c r="Q228" t="n">
        <v>4757.15921</v>
      </c>
      <c r="R228" t="n">
        <v>4786.52251</v>
      </c>
      <c r="S228" t="n">
        <v>4813.11128</v>
      </c>
      <c r="V228" t="n">
        <v>4722.21944</v>
      </c>
      <c r="W228" t="n">
        <v>4688.65444</v>
      </c>
      <c r="AB228" t="n">
        <v>4807.7812</v>
      </c>
      <c r="AC228" t="n">
        <v>4809.92462</v>
      </c>
      <c r="AD228" t="n">
        <v>0</v>
      </c>
      <c r="AE228">
        <f>AE227+1</f>
        <v/>
      </c>
      <c r="AF228">
        <f>AF227+1</f>
        <v/>
      </c>
      <c r="AG228">
        <f>D228-Q228</f>
        <v/>
      </c>
      <c r="AH228">
        <f>AG228^2</f>
        <v/>
      </c>
      <c r="AI228">
        <f>(AG228/STDEV($AG$3:$AG$1137))^3</f>
        <v/>
      </c>
      <c r="AJ228">
        <f>(AG228/STDEV($AG$3:$AG$1137))^4</f>
        <v/>
      </c>
      <c r="AK228">
        <f>AF228^2</f>
        <v/>
      </c>
      <c r="AL228">
        <f>IF(AD228=1,AB228,IF(AL227&lt;&gt;"",AL227,""))</f>
        <v/>
      </c>
      <c r="AM228">
        <f>IF(AND(AD228=1,AL227&lt;&gt;""),ABS(AB228-AL227),"")</f>
        <v/>
      </c>
    </row>
    <row r="229">
      <c r="A229" t="n">
        <v>1776738602</v>
      </c>
      <c r="B229" t="inlineStr">
        <is>
          <t>XAUUSD</t>
        </is>
      </c>
      <c r="C229" t="inlineStr">
        <is>
          <t>M15</t>
        </is>
      </c>
      <c r="D229" t="n">
        <v>4806.61</v>
      </c>
      <c r="E229" t="n">
        <v>4518.59282</v>
      </c>
      <c r="F229" t="n">
        <v>4596.05595</v>
      </c>
      <c r="G229" t="n">
        <v>4755.40355</v>
      </c>
      <c r="H229" t="n">
        <v>4792.76972</v>
      </c>
      <c r="Q229" t="n">
        <v>4756.8916</v>
      </c>
      <c r="R229" t="n">
        <v>4786.2549</v>
      </c>
      <c r="S229" t="n">
        <v>4812.84367</v>
      </c>
      <c r="V229" t="n">
        <v>4721.95183</v>
      </c>
      <c r="W229" t="n">
        <v>4688.38684</v>
      </c>
      <c r="AB229" t="n">
        <v>4805.54048</v>
      </c>
      <c r="AC229" t="n">
        <v>4807.73255</v>
      </c>
      <c r="AD229" t="n">
        <v>0</v>
      </c>
      <c r="AE229">
        <f>AE228+1</f>
        <v/>
      </c>
      <c r="AF229">
        <f>AF228+1</f>
        <v/>
      </c>
      <c r="AG229">
        <f>D229-Q229</f>
        <v/>
      </c>
      <c r="AH229">
        <f>AG229^2</f>
        <v/>
      </c>
      <c r="AI229">
        <f>(AG229/STDEV($AG$3:$AG$1137))^3</f>
        <v/>
      </c>
      <c r="AJ229">
        <f>(AG229/STDEV($AG$3:$AG$1137))^4</f>
        <v/>
      </c>
      <c r="AK229">
        <f>AF229^2</f>
        <v/>
      </c>
      <c r="AL229">
        <f>IF(AD229=1,AB229,IF(AL228&lt;&gt;"",AL228,""))</f>
        <v/>
      </c>
      <c r="AM229">
        <f>IF(AND(AD229=1,AL228&lt;&gt;""),ABS(AB229-AL228),"")</f>
        <v/>
      </c>
    </row>
    <row r="230">
      <c r="A230" t="n">
        <v>1776739502</v>
      </c>
      <c r="B230" t="inlineStr">
        <is>
          <t>XAUUSD</t>
        </is>
      </c>
      <c r="C230" t="inlineStr">
        <is>
          <t>M15</t>
        </is>
      </c>
      <c r="D230" t="n">
        <v>4806.9</v>
      </c>
      <c r="E230" t="n">
        <v>4518.59282</v>
      </c>
      <c r="F230" t="n">
        <v>4596.05595</v>
      </c>
      <c r="G230" t="n">
        <v>4755.40355</v>
      </c>
      <c r="H230" t="n">
        <v>4792.76972</v>
      </c>
      <c r="Q230" t="n">
        <v>4756.624</v>
      </c>
      <c r="R230" t="n">
        <v>4785.9873</v>
      </c>
      <c r="S230" t="n">
        <v>4812.57607</v>
      </c>
      <c r="V230" t="n">
        <v>4721.68423</v>
      </c>
      <c r="W230" t="n">
        <v>4688.11923</v>
      </c>
      <c r="AB230" t="n">
        <v>4803.28927</v>
      </c>
      <c r="AC230" t="n">
        <v>4805.51091</v>
      </c>
      <c r="AD230" t="n">
        <v>0</v>
      </c>
      <c r="AE230">
        <f>AE229+1</f>
        <v/>
      </c>
      <c r="AF230">
        <f>AF229+1</f>
        <v/>
      </c>
      <c r="AG230">
        <f>D230-Q230</f>
        <v/>
      </c>
      <c r="AH230">
        <f>AG230^2</f>
        <v/>
      </c>
      <c r="AI230">
        <f>(AG230/STDEV($AG$3:$AG$1137))^3</f>
        <v/>
      </c>
      <c r="AJ230">
        <f>(AG230/STDEV($AG$3:$AG$1137))^4</f>
        <v/>
      </c>
      <c r="AK230">
        <f>AF230^2</f>
        <v/>
      </c>
      <c r="AL230">
        <f>IF(AD230=1,AB230,IF(AL229&lt;&gt;"",AL229,""))</f>
        <v/>
      </c>
      <c r="AM230">
        <f>IF(AND(AD230=1,AL229&lt;&gt;""),ABS(AB230-AL229),"")</f>
        <v/>
      </c>
    </row>
    <row r="231">
      <c r="A231" t="n">
        <v>1776740402</v>
      </c>
      <c r="B231" t="inlineStr">
        <is>
          <t>XAUUSD</t>
        </is>
      </c>
      <c r="C231" t="inlineStr">
        <is>
          <t>M15</t>
        </is>
      </c>
      <c r="D231" t="n">
        <v>4800.74</v>
      </c>
      <c r="E231" t="n">
        <v>4518.59282</v>
      </c>
      <c r="F231" t="n">
        <v>4596.05595</v>
      </c>
      <c r="G231" t="n">
        <v>4755.40355</v>
      </c>
      <c r="H231" t="n">
        <v>4792.76972</v>
      </c>
      <c r="Q231" t="n">
        <v>4756.35639</v>
      </c>
      <c r="R231" t="n">
        <v>4785.71969</v>
      </c>
      <c r="S231" t="n">
        <v>4812.30846</v>
      </c>
      <c r="V231" t="n">
        <v>4721.41662</v>
      </c>
      <c r="W231" t="n">
        <v>4687.85163</v>
      </c>
      <c r="AB231" t="n">
        <v>4801.03397</v>
      </c>
      <c r="AC231" t="n">
        <v>4803.27244</v>
      </c>
      <c r="AD231" t="n">
        <v>0</v>
      </c>
      <c r="AE231">
        <f>AE230+1</f>
        <v/>
      </c>
      <c r="AF231">
        <f>AF230+1</f>
        <v/>
      </c>
      <c r="AG231">
        <f>D231-Q231</f>
        <v/>
      </c>
      <c r="AH231">
        <f>AG231^2</f>
        <v/>
      </c>
      <c r="AI231">
        <f>(AG231/STDEV($AG$3:$AG$1137))^3</f>
        <v/>
      </c>
      <c r="AJ231">
        <f>(AG231/STDEV($AG$3:$AG$1137))^4</f>
        <v/>
      </c>
      <c r="AK231">
        <f>AF231^2</f>
        <v/>
      </c>
      <c r="AL231">
        <f>IF(AD231=1,AB231,IF(AL230&lt;&gt;"",AL230,""))</f>
        <v/>
      </c>
      <c r="AM231">
        <f>IF(AND(AD231=1,AL230&lt;&gt;""),ABS(AB231-AL230),"")</f>
        <v/>
      </c>
    </row>
    <row r="232">
      <c r="A232" t="n">
        <v>1776741302</v>
      </c>
      <c r="B232" t="inlineStr">
        <is>
          <t>XAUUSD</t>
        </is>
      </c>
      <c r="C232" t="inlineStr">
        <is>
          <t>M15</t>
        </is>
      </c>
      <c r="D232" t="n">
        <v>4798.75</v>
      </c>
      <c r="E232" t="n">
        <v>4518.59282</v>
      </c>
      <c r="F232" t="n">
        <v>4596.05595</v>
      </c>
      <c r="G232" t="n">
        <v>4755.40355</v>
      </c>
      <c r="H232" t="n">
        <v>4792.76972</v>
      </c>
      <c r="Q232" t="n">
        <v>4756.08879</v>
      </c>
      <c r="R232" t="n">
        <v>4785.45209</v>
      </c>
      <c r="S232" t="n">
        <v>4812.04086</v>
      </c>
      <c r="V232" t="n">
        <v>4721.14902</v>
      </c>
      <c r="W232" t="n">
        <v>4687.58402</v>
      </c>
      <c r="AB232" t="n">
        <v>4798.959</v>
      </c>
      <c r="AC232" t="n">
        <v>4801.11572</v>
      </c>
      <c r="AD232" t="n">
        <v>0</v>
      </c>
      <c r="AE232">
        <f>AE231+1</f>
        <v/>
      </c>
      <c r="AF232">
        <f>AF231+1</f>
        <v/>
      </c>
      <c r="AG232">
        <f>D232-Q232</f>
        <v/>
      </c>
      <c r="AH232">
        <f>AG232^2</f>
        <v/>
      </c>
      <c r="AI232">
        <f>(AG232/STDEV($AG$3:$AG$1137))^3</f>
        <v/>
      </c>
      <c r="AJ232">
        <f>(AG232/STDEV($AG$3:$AG$1137))^4</f>
        <v/>
      </c>
      <c r="AK232">
        <f>AF232^2</f>
        <v/>
      </c>
      <c r="AL232">
        <f>IF(AD232=1,AB232,IF(AL231&lt;&gt;"",AL231,""))</f>
        <v/>
      </c>
      <c r="AM232">
        <f>IF(AND(AD232=1,AL231&lt;&gt;""),ABS(AB232-AL231),"")</f>
        <v/>
      </c>
    </row>
    <row r="233">
      <c r="A233" t="n">
        <v>1776742202</v>
      </c>
      <c r="B233" t="inlineStr">
        <is>
          <t>XAUUSD</t>
        </is>
      </c>
      <c r="C233" t="inlineStr">
        <is>
          <t>M15</t>
        </is>
      </c>
      <c r="D233" t="n">
        <v>4795.2</v>
      </c>
      <c r="E233" t="n">
        <v>4518.59282</v>
      </c>
      <c r="F233" t="n">
        <v>4596.05595</v>
      </c>
      <c r="G233" t="n">
        <v>4755.40355</v>
      </c>
      <c r="H233" t="n">
        <v>4792.76972</v>
      </c>
      <c r="Q233" t="n">
        <v>4755.82119</v>
      </c>
      <c r="R233" t="n">
        <v>4785.18449</v>
      </c>
      <c r="S233" t="n">
        <v>4811.77326</v>
      </c>
      <c r="V233" t="n">
        <v>4720.88142</v>
      </c>
      <c r="W233" t="n">
        <v>4687.31642</v>
      </c>
      <c r="AB233" t="n">
        <v>4797.12518</v>
      </c>
      <c r="AC233" t="n">
        <v>4799.12045</v>
      </c>
      <c r="AD233" t="n">
        <v>0</v>
      </c>
      <c r="AE233">
        <f>AE232+1</f>
        <v/>
      </c>
      <c r="AF233">
        <f>AF232+1</f>
        <v/>
      </c>
      <c r="AG233">
        <f>D233-Q233</f>
        <v/>
      </c>
      <c r="AH233">
        <f>AG233^2</f>
        <v/>
      </c>
      <c r="AI233">
        <f>(AG233/STDEV($AG$3:$AG$1137))^3</f>
        <v/>
      </c>
      <c r="AJ233">
        <f>(AG233/STDEV($AG$3:$AG$1137))^4</f>
        <v/>
      </c>
      <c r="AK233">
        <f>AF233^2</f>
        <v/>
      </c>
      <c r="AL233">
        <f>IF(AD233=1,AB233,IF(AL232&lt;&gt;"",AL232,""))</f>
        <v/>
      </c>
      <c r="AM233">
        <f>IF(AND(AD233=1,AL232&lt;&gt;""),ABS(AB233-AL232),"")</f>
        <v/>
      </c>
    </row>
    <row r="234">
      <c r="A234" t="n">
        <v>1776743102</v>
      </c>
      <c r="B234" t="inlineStr">
        <is>
          <t>XAUUSD</t>
        </is>
      </c>
      <c r="C234" t="inlineStr">
        <is>
          <t>M15</t>
        </is>
      </c>
      <c r="D234" t="n">
        <v>4797.36</v>
      </c>
      <c r="E234" t="n">
        <v>4518.59282</v>
      </c>
      <c r="F234" t="n">
        <v>4596.05595</v>
      </c>
      <c r="G234" t="n">
        <v>4755.40355</v>
      </c>
      <c r="H234" t="n">
        <v>4792.76972</v>
      </c>
      <c r="Q234" t="n">
        <v>4755.55358</v>
      </c>
      <c r="R234" t="n">
        <v>4784.91688</v>
      </c>
      <c r="S234" t="n">
        <v>4811.50565</v>
      </c>
      <c r="V234" t="n">
        <v>4720.61381</v>
      </c>
      <c r="W234" t="n">
        <v>4687.04882</v>
      </c>
      <c r="AB234" t="n">
        <v>4795.60858</v>
      </c>
      <c r="AC234" t="n">
        <v>4797.36451</v>
      </c>
      <c r="AD234" t="n">
        <v>0</v>
      </c>
      <c r="AE234">
        <f>AE233+1</f>
        <v/>
      </c>
      <c r="AF234">
        <f>AF233+1</f>
        <v/>
      </c>
      <c r="AG234">
        <f>D234-Q234</f>
        <v/>
      </c>
      <c r="AH234">
        <f>AG234^2</f>
        <v/>
      </c>
      <c r="AI234">
        <f>(AG234/STDEV($AG$3:$AG$1137))^3</f>
        <v/>
      </c>
      <c r="AJ234">
        <f>(AG234/STDEV($AG$3:$AG$1137))^4</f>
        <v/>
      </c>
      <c r="AK234">
        <f>AF234^2</f>
        <v/>
      </c>
      <c r="AL234">
        <f>IF(AD234=1,AB234,IF(AL233&lt;&gt;"",AL233,""))</f>
        <v/>
      </c>
      <c r="AM234">
        <f>IF(AND(AD234=1,AL233&lt;&gt;""),ABS(AB234-AL233),"")</f>
        <v/>
      </c>
    </row>
    <row r="235">
      <c r="A235" t="n">
        <v>1776744002</v>
      </c>
      <c r="B235" t="inlineStr">
        <is>
          <t>XAUUSD</t>
        </is>
      </c>
      <c r="C235" t="inlineStr">
        <is>
          <t>M15</t>
        </is>
      </c>
      <c r="D235" t="n">
        <v>4794.24</v>
      </c>
      <c r="E235" t="n">
        <v>4518.59282</v>
      </c>
      <c r="F235" t="n">
        <v>4596.05595</v>
      </c>
      <c r="G235" t="n">
        <v>4755.40355</v>
      </c>
      <c r="H235" t="n">
        <v>4792.76972</v>
      </c>
      <c r="Q235" t="n">
        <v>4755.28598</v>
      </c>
      <c r="R235" t="n">
        <v>4784.64928</v>
      </c>
      <c r="S235" t="n">
        <v>4811.23805</v>
      </c>
      <c r="V235" t="n">
        <v>4720.34621</v>
      </c>
      <c r="W235" t="n">
        <v>4686.78121</v>
      </c>
      <c r="AB235" t="n">
        <v>4794.28785</v>
      </c>
      <c r="AC235" t="n">
        <v>4795.82618</v>
      </c>
      <c r="AD235" t="n">
        <v>0</v>
      </c>
      <c r="AE235">
        <f>AE234+1</f>
        <v/>
      </c>
      <c r="AF235">
        <f>AF234+1</f>
        <v/>
      </c>
      <c r="AG235">
        <f>D235-Q235</f>
        <v/>
      </c>
      <c r="AH235">
        <f>AG235^2</f>
        <v/>
      </c>
      <c r="AI235">
        <f>(AG235/STDEV($AG$3:$AG$1137))^3</f>
        <v/>
      </c>
      <c r="AJ235">
        <f>(AG235/STDEV($AG$3:$AG$1137))^4</f>
        <v/>
      </c>
      <c r="AK235">
        <f>AF235^2</f>
        <v/>
      </c>
      <c r="AL235">
        <f>IF(AD235=1,AB235,IF(AL234&lt;&gt;"",AL234,""))</f>
        <v/>
      </c>
      <c r="AM235">
        <f>IF(AND(AD235=1,AL234&lt;&gt;""),ABS(AB235-AL234),"")</f>
        <v/>
      </c>
    </row>
    <row r="236">
      <c r="A236" t="n">
        <v>1776744902</v>
      </c>
      <c r="B236" t="inlineStr">
        <is>
          <t>XAUUSD</t>
        </is>
      </c>
      <c r="C236" t="inlineStr">
        <is>
          <t>M15</t>
        </is>
      </c>
      <c r="D236" t="n">
        <v>4792.33</v>
      </c>
      <c r="E236" t="n">
        <v>4518.59282</v>
      </c>
      <c r="F236" t="n">
        <v>4596.05595</v>
      </c>
      <c r="G236" t="n">
        <v>4755.40355</v>
      </c>
      <c r="H236" t="n">
        <v>4792.76972</v>
      </c>
      <c r="Q236" t="n">
        <v>4755.01837</v>
      </c>
      <c r="R236" t="n">
        <v>4784.38167</v>
      </c>
      <c r="S236" t="n">
        <v>4810.97044</v>
      </c>
      <c r="V236" t="n">
        <v>4720.0786</v>
      </c>
      <c r="W236" t="n">
        <v>4686.51361</v>
      </c>
      <c r="AB236" t="n">
        <v>4793.15131</v>
      </c>
      <c r="AC236" t="n">
        <v>4794.48874</v>
      </c>
      <c r="AD236" t="n">
        <v>0</v>
      </c>
      <c r="AE236">
        <f>AE235+1</f>
        <v/>
      </c>
      <c r="AF236">
        <f>AF235+1</f>
        <v/>
      </c>
      <c r="AG236">
        <f>D236-Q236</f>
        <v/>
      </c>
      <c r="AH236">
        <f>AG236^2</f>
        <v/>
      </c>
      <c r="AI236">
        <f>(AG236/STDEV($AG$3:$AG$1137))^3</f>
        <v/>
      </c>
      <c r="AJ236">
        <f>(AG236/STDEV($AG$3:$AG$1137))^4</f>
        <v/>
      </c>
      <c r="AK236">
        <f>AF236^2</f>
        <v/>
      </c>
      <c r="AL236">
        <f>IF(AD236=1,AB236,IF(AL235&lt;&gt;"",AL235,""))</f>
        <v/>
      </c>
      <c r="AM236">
        <f>IF(AND(AD236=1,AL235&lt;&gt;""),ABS(AB236-AL235),"")</f>
        <v/>
      </c>
    </row>
    <row r="237">
      <c r="A237" t="n">
        <v>1776745802</v>
      </c>
      <c r="B237" t="inlineStr">
        <is>
          <t>XAUUSD</t>
        </is>
      </c>
      <c r="C237" t="inlineStr">
        <is>
          <t>M15</t>
        </is>
      </c>
      <c r="D237" t="n">
        <v>4791.74</v>
      </c>
      <c r="E237" t="n">
        <v>4518.59282</v>
      </c>
      <c r="F237" t="n">
        <v>4596.05595</v>
      </c>
      <c r="G237" t="n">
        <v>4755.40355</v>
      </c>
      <c r="H237" t="n">
        <v>4792.76972</v>
      </c>
      <c r="Q237" t="n">
        <v>4754.75077</v>
      </c>
      <c r="R237" t="n">
        <v>4784.11407</v>
      </c>
      <c r="S237" t="n">
        <v>4810.70284</v>
      </c>
      <c r="V237" t="n">
        <v>4719.811</v>
      </c>
      <c r="W237" t="n">
        <v>4686.246</v>
      </c>
      <c r="AB237" t="n">
        <v>4792.13856</v>
      </c>
      <c r="AC237" t="n">
        <v>4793.31365</v>
      </c>
      <c r="AD237" t="n">
        <v>0</v>
      </c>
      <c r="AE237">
        <f>AE236+1</f>
        <v/>
      </c>
      <c r="AF237">
        <f>AF236+1</f>
        <v/>
      </c>
      <c r="AG237">
        <f>D237-Q237</f>
        <v/>
      </c>
      <c r="AH237">
        <f>AG237^2</f>
        <v/>
      </c>
      <c r="AI237">
        <f>(AG237/STDEV($AG$3:$AG$1137))^3</f>
        <v/>
      </c>
      <c r="AJ237">
        <f>(AG237/STDEV($AG$3:$AG$1137))^4</f>
        <v/>
      </c>
      <c r="AK237">
        <f>AF237^2</f>
        <v/>
      </c>
      <c r="AL237">
        <f>IF(AD237=1,AB237,IF(AL236&lt;&gt;"",AL236,""))</f>
        <v/>
      </c>
      <c r="AM237">
        <f>IF(AND(AD237=1,AL236&lt;&gt;""),ABS(AB237-AL236),"")</f>
        <v/>
      </c>
    </row>
    <row r="238">
      <c r="A238" t="n">
        <v>1776746702</v>
      </c>
      <c r="B238" t="inlineStr">
        <is>
          <t>XAUUSD</t>
        </is>
      </c>
      <c r="C238" t="inlineStr">
        <is>
          <t>M15</t>
        </is>
      </c>
      <c r="D238" t="n">
        <v>4789.16</v>
      </c>
      <c r="E238" t="n">
        <v>4518.59282</v>
      </c>
      <c r="F238" t="n">
        <v>4596.05595</v>
      </c>
      <c r="G238" t="n">
        <v>4755.40355</v>
      </c>
      <c r="H238" t="n">
        <v>4792.76972</v>
      </c>
      <c r="Q238" t="n">
        <v>4754.48317</v>
      </c>
      <c r="R238" t="n">
        <v>4783.84646</v>
      </c>
      <c r="S238" t="n">
        <v>4810.43524</v>
      </c>
      <c r="V238" t="n">
        <v>4719.5434</v>
      </c>
      <c r="W238" t="n">
        <v>4685.9784</v>
      </c>
      <c r="AB238" t="n">
        <v>4791.15407</v>
      </c>
      <c r="AC238" t="n">
        <v>4792.23386</v>
      </c>
      <c r="AD238" t="n">
        <v>0</v>
      </c>
      <c r="AE238">
        <f>AE237+1</f>
        <v/>
      </c>
      <c r="AF238">
        <f>AF237+1</f>
        <v/>
      </c>
      <c r="AG238">
        <f>D238-Q238</f>
        <v/>
      </c>
      <c r="AH238">
        <f>AG238^2</f>
        <v/>
      </c>
      <c r="AI238">
        <f>(AG238/STDEV($AG$3:$AG$1137))^3</f>
        <v/>
      </c>
      <c r="AJ238">
        <f>(AG238/STDEV($AG$3:$AG$1137))^4</f>
        <v/>
      </c>
      <c r="AK238">
        <f>AF238^2</f>
        <v/>
      </c>
      <c r="AL238">
        <f>IF(AD238=1,AB238,IF(AL237&lt;&gt;"",AL237,""))</f>
        <v/>
      </c>
      <c r="AM238">
        <f>IF(AND(AD238=1,AL237&lt;&gt;""),ABS(AB238-AL237),"")</f>
        <v/>
      </c>
    </row>
    <row r="239">
      <c r="A239" t="n">
        <v>1776747602</v>
      </c>
      <c r="B239" t="inlineStr">
        <is>
          <t>XAUUSD</t>
        </is>
      </c>
      <c r="C239" t="inlineStr">
        <is>
          <t>M15</t>
        </is>
      </c>
      <c r="D239" t="n">
        <v>4789.51</v>
      </c>
      <c r="E239" t="n">
        <v>4518.59282</v>
      </c>
      <c r="F239" t="n">
        <v>4596.05595</v>
      </c>
      <c r="G239" t="n">
        <v>4755.40355</v>
      </c>
      <c r="H239" t="n">
        <v>4792.76972</v>
      </c>
      <c r="Q239" t="n">
        <v>4754.21556</v>
      </c>
      <c r="R239" t="n">
        <v>4783.57886</v>
      </c>
      <c r="S239" t="n">
        <v>4810.16763</v>
      </c>
      <c r="V239" t="n">
        <v>4719.27579</v>
      </c>
      <c r="W239" t="n">
        <v>4685.7108</v>
      </c>
      <c r="AB239" t="n">
        <v>4790.15661</v>
      </c>
      <c r="AC239" t="n">
        <v>4791.19524</v>
      </c>
      <c r="AD239" t="n">
        <v>0</v>
      </c>
      <c r="AE239">
        <f>AE238+1</f>
        <v/>
      </c>
      <c r="AF239">
        <f>AF238+1</f>
        <v/>
      </c>
      <c r="AG239">
        <f>D239-Q239</f>
        <v/>
      </c>
      <c r="AH239">
        <f>AG239^2</f>
        <v/>
      </c>
      <c r="AI239">
        <f>(AG239/STDEV($AG$3:$AG$1137))^3</f>
        <v/>
      </c>
      <c r="AJ239">
        <f>(AG239/STDEV($AG$3:$AG$1137))^4</f>
        <v/>
      </c>
      <c r="AK239">
        <f>AF239^2</f>
        <v/>
      </c>
      <c r="AL239">
        <f>IF(AD239=1,AB239,IF(AL238&lt;&gt;"",AL238,""))</f>
        <v/>
      </c>
      <c r="AM239">
        <f>IF(AND(AD239=1,AL238&lt;&gt;""),ABS(AB239-AL238),"")</f>
        <v/>
      </c>
    </row>
    <row r="240">
      <c r="A240" t="n">
        <v>1776748502</v>
      </c>
      <c r="B240" t="inlineStr">
        <is>
          <t>XAUUSD</t>
        </is>
      </c>
      <c r="C240" t="inlineStr">
        <is>
          <t>M15</t>
        </is>
      </c>
      <c r="D240" t="n">
        <v>4787.58</v>
      </c>
      <c r="E240" t="n">
        <v>4518.59282</v>
      </c>
      <c r="F240" t="n">
        <v>4596.05595</v>
      </c>
      <c r="G240" t="n">
        <v>4755.40355</v>
      </c>
      <c r="H240" t="n">
        <v>4792.76972</v>
      </c>
      <c r="Q240" t="n">
        <v>4753.94796</v>
      </c>
      <c r="R240" t="n">
        <v>4783.31126</v>
      </c>
      <c r="S240" t="n">
        <v>4809.90003</v>
      </c>
      <c r="V240" t="n">
        <v>4719.00819</v>
      </c>
      <c r="W240" t="n">
        <v>4685.44319</v>
      </c>
      <c r="AB240" t="n">
        <v>4789.02178</v>
      </c>
      <c r="AC240" t="n">
        <v>4790.10851</v>
      </c>
      <c r="AD240" t="n">
        <v>0</v>
      </c>
      <c r="AE240">
        <f>AE239+1</f>
        <v/>
      </c>
      <c r="AF240">
        <f>AF239+1</f>
        <v/>
      </c>
      <c r="AG240">
        <f>D240-Q240</f>
        <v/>
      </c>
      <c r="AH240">
        <f>AG240^2</f>
        <v/>
      </c>
      <c r="AI240">
        <f>(AG240/STDEV($AG$3:$AG$1137))^3</f>
        <v/>
      </c>
      <c r="AJ240">
        <f>(AG240/STDEV($AG$3:$AG$1137))^4</f>
        <v/>
      </c>
      <c r="AK240">
        <f>AF240^2</f>
        <v/>
      </c>
      <c r="AL240">
        <f>IF(AD240=1,AB240,IF(AL239&lt;&gt;"",AL239,""))</f>
        <v/>
      </c>
      <c r="AM240">
        <f>IF(AND(AD240=1,AL239&lt;&gt;""),ABS(AB240-AL239),"")</f>
        <v/>
      </c>
    </row>
    <row r="241">
      <c r="A241" t="n">
        <v>1776749402</v>
      </c>
      <c r="B241" t="inlineStr">
        <is>
          <t>XAUUSD</t>
        </is>
      </c>
      <c r="C241" t="inlineStr">
        <is>
          <t>M15</t>
        </is>
      </c>
      <c r="D241" t="n">
        <v>4796.37</v>
      </c>
      <c r="E241" t="n">
        <v>4518.59282</v>
      </c>
      <c r="F241" t="n">
        <v>4596.05595</v>
      </c>
      <c r="G241" t="n">
        <v>4755.40355</v>
      </c>
      <c r="H241" t="n">
        <v>4792.76972</v>
      </c>
      <c r="Q241" t="n">
        <v>4753.68035</v>
      </c>
      <c r="R241" t="n">
        <v>4783.04365</v>
      </c>
      <c r="S241" t="n">
        <v>4809.63242</v>
      </c>
      <c r="V241" t="n">
        <v>4718.74058</v>
      </c>
      <c r="W241" t="n">
        <v>4685.17559</v>
      </c>
      <c r="AB241" t="n">
        <v>4787.71372</v>
      </c>
      <c r="AC241" t="n">
        <v>4788.91112</v>
      </c>
      <c r="AD241" t="n">
        <v>0</v>
      </c>
      <c r="AE241">
        <f>AE240+1</f>
        <v/>
      </c>
      <c r="AF241">
        <f>AF240+1</f>
        <v/>
      </c>
      <c r="AG241">
        <f>D241-Q241</f>
        <v/>
      </c>
      <c r="AH241">
        <f>AG241^2</f>
        <v/>
      </c>
      <c r="AI241">
        <f>(AG241/STDEV($AG$3:$AG$1137))^3</f>
        <v/>
      </c>
      <c r="AJ241">
        <f>(AG241/STDEV($AG$3:$AG$1137))^4</f>
        <v/>
      </c>
      <c r="AK241">
        <f>AF241^2</f>
        <v/>
      </c>
      <c r="AL241">
        <f>IF(AD241=1,AB241,IF(AL240&lt;&gt;"",AL240,""))</f>
        <v/>
      </c>
      <c r="AM241">
        <f>IF(AND(AD241=1,AL240&lt;&gt;""),ABS(AB241-AL240),"")</f>
        <v/>
      </c>
    </row>
    <row r="242">
      <c r="A242" t="n">
        <v>1776750302</v>
      </c>
      <c r="B242" t="inlineStr">
        <is>
          <t>XAUUSD</t>
        </is>
      </c>
      <c r="C242" t="inlineStr">
        <is>
          <t>M15</t>
        </is>
      </c>
      <c r="D242" t="n">
        <v>4784.33</v>
      </c>
      <c r="E242" t="n">
        <v>4518.59282</v>
      </c>
      <c r="F242" t="n">
        <v>4596.05595</v>
      </c>
      <c r="G242" t="n">
        <v>4755.40355</v>
      </c>
      <c r="H242" t="n">
        <v>4792.76972</v>
      </c>
      <c r="Q242" t="n">
        <v>4753.41275</v>
      </c>
      <c r="R242" t="n">
        <v>4782.77605</v>
      </c>
      <c r="S242" t="n">
        <v>4809.36482</v>
      </c>
      <c r="V242" t="n">
        <v>4718.47298</v>
      </c>
      <c r="W242" t="n">
        <v>4684.90798</v>
      </c>
      <c r="AB242" t="n">
        <v>4785.99147</v>
      </c>
      <c r="AC242" t="n">
        <v>4787.45129</v>
      </c>
      <c r="AD242" t="n">
        <v>0</v>
      </c>
      <c r="AE242">
        <f>AE241+1</f>
        <v/>
      </c>
      <c r="AF242">
        <f>AF241+1</f>
        <v/>
      </c>
      <c r="AG242">
        <f>D242-Q242</f>
        <v/>
      </c>
      <c r="AH242">
        <f>AG242^2</f>
        <v/>
      </c>
      <c r="AI242">
        <f>(AG242/STDEV($AG$3:$AG$1137))^3</f>
        <v/>
      </c>
      <c r="AJ242">
        <f>(AG242/STDEV($AG$3:$AG$1137))^4</f>
        <v/>
      </c>
      <c r="AK242">
        <f>AF242^2</f>
        <v/>
      </c>
      <c r="AL242">
        <f>IF(AD242=1,AB242,IF(AL241&lt;&gt;"",AL241,""))</f>
        <v/>
      </c>
      <c r="AM242">
        <f>IF(AND(AD242=1,AL241&lt;&gt;""),ABS(AB242-AL241),"")</f>
        <v/>
      </c>
    </row>
    <row r="243">
      <c r="A243" t="n">
        <v>1776751202</v>
      </c>
      <c r="B243" t="inlineStr">
        <is>
          <t>XAUUSD</t>
        </is>
      </c>
      <c r="C243" t="inlineStr">
        <is>
          <t>M15</t>
        </is>
      </c>
      <c r="D243" t="n">
        <v>4785.01</v>
      </c>
      <c r="E243" t="n">
        <v>4518.59282</v>
      </c>
      <c r="F243" t="n">
        <v>4596.05595</v>
      </c>
      <c r="G243" t="n">
        <v>4755.40355</v>
      </c>
      <c r="H243" t="n">
        <v>4792.76972</v>
      </c>
      <c r="Q243" t="n">
        <v>4753.14515</v>
      </c>
      <c r="R243" t="n">
        <v>4782.50844</v>
      </c>
      <c r="S243" t="n">
        <v>4809.09722</v>
      </c>
      <c r="V243" t="n">
        <v>4718.20538</v>
      </c>
      <c r="W243" t="n">
        <v>4684.64038</v>
      </c>
      <c r="AB243" t="n">
        <v>4784.26119</v>
      </c>
      <c r="AC243" t="n">
        <v>4785.85624</v>
      </c>
      <c r="AD243" t="n">
        <v>0</v>
      </c>
      <c r="AE243">
        <f>AE242+1</f>
        <v/>
      </c>
      <c r="AF243">
        <f>AF242+1</f>
        <v/>
      </c>
      <c r="AG243">
        <f>D243-Q243</f>
        <v/>
      </c>
      <c r="AH243">
        <f>AG243^2</f>
        <v/>
      </c>
      <c r="AI243">
        <f>(AG243/STDEV($AG$3:$AG$1137))^3</f>
        <v/>
      </c>
      <c r="AJ243">
        <f>(AG243/STDEV($AG$3:$AG$1137))^4</f>
        <v/>
      </c>
      <c r="AK243">
        <f>AF243^2</f>
        <v/>
      </c>
      <c r="AL243">
        <f>IF(AD243=1,AB243,IF(AL242&lt;&gt;"",AL242,""))</f>
        <v/>
      </c>
      <c r="AM243">
        <f>IF(AND(AD243=1,AL242&lt;&gt;""),ABS(AB243-AL242),"")</f>
        <v/>
      </c>
    </row>
    <row r="244">
      <c r="A244" t="n">
        <v>1776752102</v>
      </c>
      <c r="B244" t="inlineStr">
        <is>
          <t>XAUUSD</t>
        </is>
      </c>
      <c r="C244" t="inlineStr">
        <is>
          <t>M15</t>
        </is>
      </c>
      <c r="D244" t="n">
        <v>4778.93</v>
      </c>
      <c r="E244" t="n">
        <v>4518.59282</v>
      </c>
      <c r="F244" t="n">
        <v>4596.05595</v>
      </c>
      <c r="G244" t="n">
        <v>4755.40355</v>
      </c>
      <c r="H244" t="n">
        <v>4792.76972</v>
      </c>
      <c r="Q244" t="n">
        <v>4752.87754</v>
      </c>
      <c r="R244" t="n">
        <v>4782.24084</v>
      </c>
      <c r="S244" t="n">
        <v>4808.82961</v>
      </c>
      <c r="V244" t="n">
        <v>4717.93777</v>
      </c>
      <c r="W244" t="n">
        <v>4684.37277</v>
      </c>
      <c r="AB244" t="n">
        <v>4782.64916</v>
      </c>
      <c r="AC244" t="n">
        <v>4784.2527</v>
      </c>
      <c r="AD244" t="n">
        <v>0</v>
      </c>
      <c r="AE244">
        <f>AE243+1</f>
        <v/>
      </c>
      <c r="AF244">
        <f>AF243+1</f>
        <v/>
      </c>
      <c r="AG244">
        <f>D244-Q244</f>
        <v/>
      </c>
      <c r="AH244">
        <f>AG244^2</f>
        <v/>
      </c>
      <c r="AI244">
        <f>(AG244/STDEV($AG$3:$AG$1137))^3</f>
        <v/>
      </c>
      <c r="AJ244">
        <f>(AG244/STDEV($AG$3:$AG$1137))^4</f>
        <v/>
      </c>
      <c r="AK244">
        <f>AF244^2</f>
        <v/>
      </c>
      <c r="AL244">
        <f>IF(AD244=1,AB244,IF(AL243&lt;&gt;"",AL243,""))</f>
        <v/>
      </c>
      <c r="AM244">
        <f>IF(AND(AD244=1,AL243&lt;&gt;""),ABS(AB244-AL243),"")</f>
        <v/>
      </c>
    </row>
    <row r="245">
      <c r="A245" t="n">
        <v>1776753002</v>
      </c>
      <c r="B245" t="inlineStr">
        <is>
          <t>XAUUSD</t>
        </is>
      </c>
      <c r="C245" t="inlineStr">
        <is>
          <t>M15</t>
        </is>
      </c>
      <c r="D245" t="n">
        <v>4780.6</v>
      </c>
      <c r="E245" t="n">
        <v>4518.59282</v>
      </c>
      <c r="F245" t="n">
        <v>4596.05595</v>
      </c>
      <c r="G245" t="n">
        <v>4755.40355</v>
      </c>
      <c r="H245" t="n">
        <v>4792.76972</v>
      </c>
      <c r="Q245" t="n">
        <v>4752.60994</v>
      </c>
      <c r="R245" t="n">
        <v>4781.97324</v>
      </c>
      <c r="S245" t="n">
        <v>4808.56201</v>
      </c>
      <c r="V245" t="n">
        <v>4717.67017</v>
      </c>
      <c r="W245" t="n">
        <v>4684.10517</v>
      </c>
      <c r="AB245" t="n">
        <v>4781.54014</v>
      </c>
      <c r="AC245" t="n">
        <v>4782.89642</v>
      </c>
      <c r="AD245" t="n">
        <v>0</v>
      </c>
      <c r="AE245">
        <f>AE244+1</f>
        <v/>
      </c>
      <c r="AF245">
        <f>AF244+1</f>
        <v/>
      </c>
      <c r="AG245">
        <f>D245-Q245</f>
        <v/>
      </c>
      <c r="AH245">
        <f>AG245^2</f>
        <v/>
      </c>
      <c r="AI245">
        <f>(AG245/STDEV($AG$3:$AG$1137))^3</f>
        <v/>
      </c>
      <c r="AJ245">
        <f>(AG245/STDEV($AG$3:$AG$1137))^4</f>
        <v/>
      </c>
      <c r="AK245">
        <f>AF245^2</f>
        <v/>
      </c>
      <c r="AL245">
        <f>IF(AD245=1,AB245,IF(AL244&lt;&gt;"",AL244,""))</f>
        <v/>
      </c>
      <c r="AM245">
        <f>IF(AND(AD245=1,AL244&lt;&gt;""),ABS(AB245-AL244),"")</f>
        <v/>
      </c>
    </row>
    <row r="246">
      <c r="A246" t="n">
        <v>1776753902</v>
      </c>
      <c r="B246" t="inlineStr">
        <is>
          <t>XAUUSD</t>
        </is>
      </c>
      <c r="C246" t="inlineStr">
        <is>
          <t>M15</t>
        </is>
      </c>
      <c r="D246" t="n">
        <v>4778.73</v>
      </c>
      <c r="E246" t="n">
        <v>4518.59282</v>
      </c>
      <c r="F246" t="n">
        <v>4596.05595</v>
      </c>
      <c r="G246" t="n">
        <v>4755.40355</v>
      </c>
      <c r="H246" t="n">
        <v>4792.76972</v>
      </c>
      <c r="Q246" t="n">
        <v>4752.34233</v>
      </c>
      <c r="R246" t="n">
        <v>4781.70563</v>
      </c>
      <c r="S246" t="n">
        <v>4808.2944</v>
      </c>
      <c r="V246" t="n">
        <v>4717.40256</v>
      </c>
      <c r="W246" t="n">
        <v>4683.83757</v>
      </c>
      <c r="AB246" t="n">
        <v>4781.04479</v>
      </c>
      <c r="AC246" t="n">
        <v>4781.97061</v>
      </c>
      <c r="AD246" t="n">
        <v>0</v>
      </c>
      <c r="AE246">
        <f>AE245+1</f>
        <v/>
      </c>
      <c r="AF246">
        <f>AF245+1</f>
        <v/>
      </c>
      <c r="AG246">
        <f>D246-Q246</f>
        <v/>
      </c>
      <c r="AH246">
        <f>AG246^2</f>
        <v/>
      </c>
      <c r="AI246">
        <f>(AG246/STDEV($AG$3:$AG$1137))^3</f>
        <v/>
      </c>
      <c r="AJ246">
        <f>(AG246/STDEV($AG$3:$AG$1137))^4</f>
        <v/>
      </c>
      <c r="AK246">
        <f>AF246^2</f>
        <v/>
      </c>
      <c r="AL246">
        <f>IF(AD246=1,AB246,IF(AL245&lt;&gt;"",AL245,""))</f>
        <v/>
      </c>
      <c r="AM246">
        <f>IF(AND(AD246=1,AL245&lt;&gt;""),ABS(AB246-AL245),"")</f>
        <v/>
      </c>
    </row>
    <row r="247">
      <c r="A247" t="n">
        <v>1776754802</v>
      </c>
      <c r="B247" t="inlineStr">
        <is>
          <t>XAUUSD</t>
        </is>
      </c>
      <c r="C247" t="inlineStr">
        <is>
          <t>M15</t>
        </is>
      </c>
      <c r="D247" t="n">
        <v>4782.82</v>
      </c>
      <c r="E247" t="n">
        <v>4518.59282</v>
      </c>
      <c r="F247" t="n">
        <v>4596.05595</v>
      </c>
      <c r="G247" t="n">
        <v>4755.40355</v>
      </c>
      <c r="H247" t="n">
        <v>4792.76972</v>
      </c>
      <c r="Q247" t="n">
        <v>4752.07473</v>
      </c>
      <c r="R247" t="n">
        <v>4781.43803</v>
      </c>
      <c r="S247" t="n">
        <v>4808.0268</v>
      </c>
      <c r="V247" t="n">
        <v>4717.13496</v>
      </c>
      <c r="W247" t="n">
        <v>4683.56996</v>
      </c>
      <c r="AA247" t="n">
        <v>4772.78</v>
      </c>
      <c r="AB247" t="n">
        <v>4781.27052</v>
      </c>
      <c r="AC247" t="n">
        <v>4781.62056</v>
      </c>
      <c r="AD247" t="n">
        <v>0</v>
      </c>
      <c r="AE247">
        <f>AE246+1</f>
        <v/>
      </c>
      <c r="AF247">
        <f>AF246+1</f>
        <v/>
      </c>
      <c r="AG247">
        <f>D247-Q247</f>
        <v/>
      </c>
      <c r="AH247">
        <f>AG247^2</f>
        <v/>
      </c>
      <c r="AI247">
        <f>(AG247/STDEV($AG$3:$AG$1137))^3</f>
        <v/>
      </c>
      <c r="AJ247">
        <f>(AG247/STDEV($AG$3:$AG$1137))^4</f>
        <v/>
      </c>
      <c r="AK247">
        <f>AF247^2</f>
        <v/>
      </c>
      <c r="AL247">
        <f>IF(AD247=1,AB247,IF(AL246&lt;&gt;"",AL246,""))</f>
        <v/>
      </c>
      <c r="AM247">
        <f>IF(AND(AD247=1,AL246&lt;&gt;""),ABS(AB247-AL246),"")</f>
        <v/>
      </c>
    </row>
    <row r="248">
      <c r="A248" t="n">
        <v>1776755702</v>
      </c>
      <c r="B248" t="inlineStr">
        <is>
          <t>XAUUSD</t>
        </is>
      </c>
      <c r="C248" t="inlineStr">
        <is>
          <t>M15</t>
        </is>
      </c>
      <c r="D248" t="n">
        <v>4783.35</v>
      </c>
      <c r="E248" t="n">
        <v>4518.59282</v>
      </c>
      <c r="F248" t="n">
        <v>4596.05595</v>
      </c>
      <c r="G248" t="n">
        <v>4755.40355</v>
      </c>
      <c r="H248" t="n">
        <v>4792.76972</v>
      </c>
      <c r="Q248" t="n">
        <v>4751.80712</v>
      </c>
      <c r="R248" t="n">
        <v>4781.17042</v>
      </c>
      <c r="S248" t="n">
        <v>4807.75919</v>
      </c>
      <c r="V248" t="n">
        <v>4716.86735</v>
      </c>
      <c r="W248" t="n">
        <v>4683.30236</v>
      </c>
      <c r="AB248" t="n">
        <v>4782.07631</v>
      </c>
      <c r="AC248" t="n">
        <v>4781.84844</v>
      </c>
      <c r="AD248" t="n">
        <v>1</v>
      </c>
      <c r="AE248">
        <f>AE247+1</f>
        <v/>
      </c>
      <c r="AF248">
        <f>AF247+1</f>
        <v/>
      </c>
      <c r="AG248">
        <f>D248-Q248</f>
        <v/>
      </c>
      <c r="AH248">
        <f>AG248^2</f>
        <v/>
      </c>
      <c r="AI248">
        <f>(AG248/STDEV($AG$3:$AG$1137))^3</f>
        <v/>
      </c>
      <c r="AJ248">
        <f>(AG248/STDEV($AG$3:$AG$1137))^4</f>
        <v/>
      </c>
      <c r="AK248">
        <f>AF248^2</f>
        <v/>
      </c>
      <c r="AL248">
        <f>IF(AD248=1,AB248,IF(AL247&lt;&gt;"",AL247,""))</f>
        <v/>
      </c>
      <c r="AM248">
        <f>IF(AND(AD248=1,AL247&lt;&gt;""),ABS(AB248-AL247),"")</f>
        <v/>
      </c>
    </row>
    <row r="249">
      <c r="A249" t="n">
        <v>1776756602</v>
      </c>
      <c r="B249" t="inlineStr">
        <is>
          <t>XAUUSD</t>
        </is>
      </c>
      <c r="C249" t="inlineStr">
        <is>
          <t>M15</t>
        </is>
      </c>
      <c r="D249" t="n">
        <v>4786.75</v>
      </c>
      <c r="E249" t="n">
        <v>4518.59282</v>
      </c>
      <c r="F249" t="n">
        <v>4596.05595</v>
      </c>
      <c r="G249" t="n">
        <v>4755.40355</v>
      </c>
      <c r="H249" t="n">
        <v>4792.76972</v>
      </c>
      <c r="Q249" t="n">
        <v>4751.53952</v>
      </c>
      <c r="R249" t="n">
        <v>4780.90282</v>
      </c>
      <c r="S249" t="n">
        <v>4807.49159</v>
      </c>
      <c r="V249" t="n">
        <v>4716.59975</v>
      </c>
      <c r="W249" t="n">
        <v>4683.03475</v>
      </c>
      <c r="AB249" t="n">
        <v>4783.25381</v>
      </c>
      <c r="AC249" t="n">
        <v>4782.55112</v>
      </c>
      <c r="AD249" t="n">
        <v>0</v>
      </c>
      <c r="AE249">
        <f>AE248+1</f>
        <v/>
      </c>
      <c r="AF249">
        <f>AF248+1</f>
        <v/>
      </c>
      <c r="AG249">
        <f>D249-Q249</f>
        <v/>
      </c>
      <c r="AH249">
        <f>AG249^2</f>
        <v/>
      </c>
      <c r="AI249">
        <f>(AG249/STDEV($AG$3:$AG$1137))^3</f>
        <v/>
      </c>
      <c r="AJ249">
        <f>(AG249/STDEV($AG$3:$AG$1137))^4</f>
        <v/>
      </c>
      <c r="AK249">
        <f>AF249^2</f>
        <v/>
      </c>
      <c r="AL249">
        <f>IF(AD249=1,AB249,IF(AL248&lt;&gt;"",AL248,""))</f>
        <v/>
      </c>
      <c r="AM249">
        <f>IF(AND(AD249=1,AL248&lt;&gt;""),ABS(AB249-AL248),"")</f>
        <v/>
      </c>
    </row>
    <row r="250">
      <c r="A250" t="n">
        <v>1776757502</v>
      </c>
      <c r="B250" t="inlineStr">
        <is>
          <t>XAUUSD</t>
        </is>
      </c>
      <c r="C250" t="inlineStr">
        <is>
          <t>M15</t>
        </is>
      </c>
      <c r="D250" t="n">
        <v>4785.87</v>
      </c>
      <c r="E250" t="n">
        <v>4518.59282</v>
      </c>
      <c r="F250" t="n">
        <v>4596.05595</v>
      </c>
      <c r="G250" t="n">
        <v>4755.40355</v>
      </c>
      <c r="H250" t="n">
        <v>4792.76972</v>
      </c>
      <c r="Q250" t="n">
        <v>4751.27192</v>
      </c>
      <c r="R250" t="n">
        <v>4780.63522</v>
      </c>
      <c r="S250" t="n">
        <v>4807.22399</v>
      </c>
      <c r="V250" t="n">
        <v>4716.33215</v>
      </c>
      <c r="W250" t="n">
        <v>4682.76715</v>
      </c>
      <c r="AB250" t="n">
        <v>4784.41239</v>
      </c>
      <c r="AC250" t="n">
        <v>4783.48176</v>
      </c>
      <c r="AD250" t="n">
        <v>0</v>
      </c>
      <c r="AE250">
        <f>AE249+1</f>
        <v/>
      </c>
      <c r="AF250">
        <f>AF249+1</f>
        <v/>
      </c>
      <c r="AG250">
        <f>D250-Q250</f>
        <v/>
      </c>
      <c r="AH250">
        <f>AG250^2</f>
        <v/>
      </c>
      <c r="AI250">
        <f>(AG250/STDEV($AG$3:$AG$1137))^3</f>
        <v/>
      </c>
      <c r="AJ250">
        <f>(AG250/STDEV($AG$3:$AG$1137))^4</f>
        <v/>
      </c>
      <c r="AK250">
        <f>AF250^2</f>
        <v/>
      </c>
      <c r="AL250">
        <f>IF(AD250=1,AB250,IF(AL249&lt;&gt;"",AL249,""))</f>
        <v/>
      </c>
      <c r="AM250">
        <f>IF(AND(AD250=1,AL249&lt;&gt;""),ABS(AB250-AL249),"")</f>
        <v/>
      </c>
    </row>
    <row r="251">
      <c r="A251" t="n">
        <v>1776758402</v>
      </c>
      <c r="B251" t="inlineStr">
        <is>
          <t>XAUUSD</t>
        </is>
      </c>
      <c r="C251" t="inlineStr">
        <is>
          <t>M15</t>
        </is>
      </c>
      <c r="D251" t="n">
        <v>4776.03</v>
      </c>
      <c r="E251" t="n">
        <v>4518.59282</v>
      </c>
      <c r="F251" t="n">
        <v>4596.05595</v>
      </c>
      <c r="G251" t="n">
        <v>4755.40355</v>
      </c>
      <c r="H251" t="n">
        <v>4792.76972</v>
      </c>
      <c r="Q251" t="n">
        <v>4751.00431</v>
      </c>
      <c r="R251" t="n">
        <v>4780.36761</v>
      </c>
      <c r="S251" t="n">
        <v>4806.95638</v>
      </c>
      <c r="V251" t="n">
        <v>4716.06454</v>
      </c>
      <c r="W251" t="n">
        <v>4682.49955</v>
      </c>
      <c r="AB251" t="n">
        <v>4785.34761</v>
      </c>
      <c r="AC251" t="n">
        <v>4784.41468</v>
      </c>
      <c r="AD251" t="n">
        <v>0</v>
      </c>
      <c r="AE251">
        <f>AE250+1</f>
        <v/>
      </c>
      <c r="AF251">
        <f>AF250+1</f>
        <v/>
      </c>
      <c r="AG251">
        <f>D251-Q251</f>
        <v/>
      </c>
      <c r="AH251">
        <f>AG251^2</f>
        <v/>
      </c>
      <c r="AI251">
        <f>(AG251/STDEV($AG$3:$AG$1137))^3</f>
        <v/>
      </c>
      <c r="AJ251">
        <f>(AG251/STDEV($AG$3:$AG$1137))^4</f>
        <v/>
      </c>
      <c r="AK251">
        <f>AF251^2</f>
        <v/>
      </c>
      <c r="AL251">
        <f>IF(AD251=1,AB251,IF(AL250&lt;&gt;"",AL250,""))</f>
        <v/>
      </c>
      <c r="AM251">
        <f>IF(AND(AD251=1,AL250&lt;&gt;""),ABS(AB251-AL250),"")</f>
        <v/>
      </c>
    </row>
    <row r="252">
      <c r="A252" t="n">
        <v>1776759302</v>
      </c>
      <c r="B252" t="inlineStr">
        <is>
          <t>XAUUSD</t>
        </is>
      </c>
      <c r="C252" t="inlineStr">
        <is>
          <t>M15</t>
        </is>
      </c>
      <c r="D252" t="n">
        <v>4787.2</v>
      </c>
      <c r="E252" t="n">
        <v>4518.59282</v>
      </c>
      <c r="F252" t="n">
        <v>4596.05595</v>
      </c>
      <c r="G252" t="n">
        <v>4755.40355</v>
      </c>
      <c r="H252" t="n">
        <v>4792.76972</v>
      </c>
      <c r="Q252" t="n">
        <v>4750.73671</v>
      </c>
      <c r="R252" t="n">
        <v>4780.10001</v>
      </c>
      <c r="S252" t="n">
        <v>4806.68878</v>
      </c>
      <c r="V252" t="n">
        <v>4715.79694</v>
      </c>
      <c r="W252" t="n">
        <v>4682.23194</v>
      </c>
      <c r="AB252" t="n">
        <v>4786.12541</v>
      </c>
      <c r="AC252" t="n">
        <v>4785.27005</v>
      </c>
      <c r="AD252" t="n">
        <v>0</v>
      </c>
      <c r="AE252">
        <f>AE251+1</f>
        <v/>
      </c>
      <c r="AF252">
        <f>AF251+1</f>
        <v/>
      </c>
      <c r="AG252">
        <f>D252-Q252</f>
        <v/>
      </c>
      <c r="AH252">
        <f>AG252^2</f>
        <v/>
      </c>
      <c r="AI252">
        <f>(AG252/STDEV($AG$3:$AG$1137))^3</f>
        <v/>
      </c>
      <c r="AJ252">
        <f>(AG252/STDEV($AG$3:$AG$1137))^4</f>
        <v/>
      </c>
      <c r="AK252">
        <f>AF252^2</f>
        <v/>
      </c>
      <c r="AL252">
        <f>IF(AD252=1,AB252,IF(AL251&lt;&gt;"",AL251,""))</f>
        <v/>
      </c>
      <c r="AM252">
        <f>IF(AND(AD252=1,AL251&lt;&gt;""),ABS(AB252-AL251),"")</f>
        <v/>
      </c>
    </row>
    <row r="253">
      <c r="A253" t="n">
        <v>1776760202</v>
      </c>
      <c r="B253" t="inlineStr">
        <is>
          <t>XAUUSD</t>
        </is>
      </c>
      <c r="C253" t="inlineStr">
        <is>
          <t>M15</t>
        </is>
      </c>
      <c r="D253" t="n">
        <v>4791.78</v>
      </c>
      <c r="E253" t="n">
        <v>4518.59282</v>
      </c>
      <c r="F253" t="n">
        <v>4596.05595</v>
      </c>
      <c r="G253" t="n">
        <v>4755.40355</v>
      </c>
      <c r="H253" t="n">
        <v>4792.76972</v>
      </c>
      <c r="Q253" t="n">
        <v>4750.4691</v>
      </c>
      <c r="R253" t="n">
        <v>4779.8324</v>
      </c>
      <c r="S253" t="n">
        <v>4806.42117</v>
      </c>
      <c r="V253" t="n">
        <v>4715.52933</v>
      </c>
      <c r="W253" t="n">
        <v>4681.96434</v>
      </c>
      <c r="AB253" t="n">
        <v>4786.33799</v>
      </c>
      <c r="AC253" t="n">
        <v>4785.80402</v>
      </c>
      <c r="AD253" t="n">
        <v>0</v>
      </c>
      <c r="AE253">
        <f>AE252+1</f>
        <v/>
      </c>
      <c r="AF253">
        <f>AF252+1</f>
        <v/>
      </c>
      <c r="AG253">
        <f>D253-Q253</f>
        <v/>
      </c>
      <c r="AH253">
        <f>AG253^2</f>
        <v/>
      </c>
      <c r="AI253">
        <f>(AG253/STDEV($AG$3:$AG$1137))^3</f>
        <v/>
      </c>
      <c r="AJ253">
        <f>(AG253/STDEV($AG$3:$AG$1137))^4</f>
        <v/>
      </c>
      <c r="AK253">
        <f>AF253^2</f>
        <v/>
      </c>
      <c r="AL253">
        <f>IF(AD253=1,AB253,IF(AL252&lt;&gt;"",AL252,""))</f>
        <v/>
      </c>
      <c r="AM253">
        <f>IF(AND(AD253=1,AL252&lt;&gt;""),ABS(AB253-AL252),"")</f>
        <v/>
      </c>
    </row>
    <row r="254">
      <c r="A254" t="n">
        <v>1776761102</v>
      </c>
      <c r="B254" t="inlineStr">
        <is>
          <t>XAUUSD</t>
        </is>
      </c>
      <c r="C254" t="inlineStr">
        <is>
          <t>M15</t>
        </is>
      </c>
      <c r="D254" t="n">
        <v>4786.04</v>
      </c>
      <c r="E254" t="n">
        <v>4518.59282</v>
      </c>
      <c r="F254" t="n">
        <v>4596.05595</v>
      </c>
      <c r="G254" t="n">
        <v>4755.40355</v>
      </c>
      <c r="H254" t="n">
        <v>4792.76972</v>
      </c>
      <c r="Q254" t="n">
        <v>4750.2015</v>
      </c>
      <c r="R254" t="n">
        <v>4779.5648</v>
      </c>
      <c r="S254" t="n">
        <v>4806.15357</v>
      </c>
      <c r="V254" t="n">
        <v>4715.26173</v>
      </c>
      <c r="W254" t="n">
        <v>4681.69673</v>
      </c>
      <c r="AB254" t="n">
        <v>4785.91941</v>
      </c>
      <c r="AC254" t="n">
        <v>4785.86171</v>
      </c>
      <c r="AD254" t="n">
        <v>0</v>
      </c>
      <c r="AE254">
        <f>AE253+1</f>
        <v/>
      </c>
      <c r="AF254">
        <f>AF253+1</f>
        <v/>
      </c>
      <c r="AG254">
        <f>D254-Q254</f>
        <v/>
      </c>
      <c r="AH254">
        <f>AG254^2</f>
        <v/>
      </c>
      <c r="AI254">
        <f>(AG254/STDEV($AG$3:$AG$1137))^3</f>
        <v/>
      </c>
      <c r="AJ254">
        <f>(AG254/STDEV($AG$3:$AG$1137))^4</f>
        <v/>
      </c>
      <c r="AK254">
        <f>AF254^2</f>
        <v/>
      </c>
      <c r="AL254">
        <f>IF(AD254=1,AB254,IF(AL253&lt;&gt;"",AL253,""))</f>
        <v/>
      </c>
      <c r="AM254">
        <f>IF(AND(AD254=1,AL253&lt;&gt;""),ABS(AB254-AL253),"")</f>
        <v/>
      </c>
    </row>
    <row r="255">
      <c r="A255" t="n">
        <v>1776762002</v>
      </c>
      <c r="B255" t="inlineStr">
        <is>
          <t>XAUUSD</t>
        </is>
      </c>
      <c r="C255" t="inlineStr">
        <is>
          <t>M15</t>
        </is>
      </c>
      <c r="D255" t="n">
        <v>4784.2</v>
      </c>
      <c r="E255" t="n">
        <v>4518.59282</v>
      </c>
      <c r="F255" t="n">
        <v>4596.05595</v>
      </c>
      <c r="G255" t="n">
        <v>4755.40355</v>
      </c>
      <c r="H255" t="n">
        <v>4792.76972</v>
      </c>
      <c r="Q255" t="n">
        <v>4749.9339</v>
      </c>
      <c r="R255" t="n">
        <v>4779.2972</v>
      </c>
      <c r="S255" t="n">
        <v>4805.88597</v>
      </c>
      <c r="V255" t="n">
        <v>4714.99413</v>
      </c>
      <c r="W255" t="n">
        <v>4681.42913</v>
      </c>
      <c r="AB255" t="n">
        <v>4785.19286</v>
      </c>
      <c r="AC255" t="n">
        <v>4785.52728</v>
      </c>
      <c r="AD255" t="n">
        <v>1</v>
      </c>
      <c r="AE255">
        <f>AE254+1</f>
        <v/>
      </c>
      <c r="AF255">
        <f>AF254+1</f>
        <v/>
      </c>
      <c r="AG255">
        <f>D255-Q255</f>
        <v/>
      </c>
      <c r="AH255">
        <f>AG255^2</f>
        <v/>
      </c>
      <c r="AI255">
        <f>(AG255/STDEV($AG$3:$AG$1137))^3</f>
        <v/>
      </c>
      <c r="AJ255">
        <f>(AG255/STDEV($AG$3:$AG$1137))^4</f>
        <v/>
      </c>
      <c r="AK255">
        <f>AF255^2</f>
        <v/>
      </c>
      <c r="AL255">
        <f>IF(AD255=1,AB255,IF(AL254&lt;&gt;"",AL254,""))</f>
        <v/>
      </c>
      <c r="AM255">
        <f>IF(AND(AD255=1,AL254&lt;&gt;""),ABS(AB255-AL254),"")</f>
        <v/>
      </c>
    </row>
    <row r="256">
      <c r="A256" t="n">
        <v>1776762902</v>
      </c>
      <c r="B256" t="inlineStr">
        <is>
          <t>XAUUSD</t>
        </is>
      </c>
      <c r="C256" t="inlineStr">
        <is>
          <t>M15</t>
        </is>
      </c>
      <c r="D256" t="n">
        <v>4782.14</v>
      </c>
      <c r="E256" t="n">
        <v>4518.59282</v>
      </c>
      <c r="F256" t="n">
        <v>4596.05595</v>
      </c>
      <c r="G256" t="n">
        <v>4755.40355</v>
      </c>
      <c r="H256" t="n">
        <v>4792.76972</v>
      </c>
      <c r="Q256" t="n">
        <v>4749.66629</v>
      </c>
      <c r="R256" t="n">
        <v>4779.02959</v>
      </c>
      <c r="S256" t="n">
        <v>4805.61836</v>
      </c>
      <c r="V256" t="n">
        <v>4714.72652</v>
      </c>
      <c r="W256" t="n">
        <v>4681.16153</v>
      </c>
      <c r="AB256" t="n">
        <v>4784.44546</v>
      </c>
      <c r="AC256" t="n">
        <v>4784.98637</v>
      </c>
      <c r="AD256" t="n">
        <v>0</v>
      </c>
      <c r="AE256">
        <f>AE255+1</f>
        <v/>
      </c>
      <c r="AF256">
        <f>AF255+1</f>
        <v/>
      </c>
      <c r="AG256">
        <f>D256-Q256</f>
        <v/>
      </c>
      <c r="AH256">
        <f>AG256^2</f>
        <v/>
      </c>
      <c r="AI256">
        <f>(AG256/STDEV($AG$3:$AG$1137))^3</f>
        <v/>
      </c>
      <c r="AJ256">
        <f>(AG256/STDEV($AG$3:$AG$1137))^4</f>
        <v/>
      </c>
      <c r="AK256">
        <f>AF256^2</f>
        <v/>
      </c>
      <c r="AL256">
        <f>IF(AD256=1,AB256,IF(AL255&lt;&gt;"",AL255,""))</f>
        <v/>
      </c>
      <c r="AM256">
        <f>IF(AND(AD256=1,AL255&lt;&gt;""),ABS(AB256-AL255),"")</f>
        <v/>
      </c>
    </row>
    <row r="257">
      <c r="A257" t="n">
        <v>1776763802</v>
      </c>
      <c r="B257" t="inlineStr">
        <is>
          <t>XAUUSD</t>
        </is>
      </c>
      <c r="C257" t="inlineStr">
        <is>
          <t>M15</t>
        </is>
      </c>
      <c r="D257" t="n">
        <v>4787.2</v>
      </c>
      <c r="E257" t="n">
        <v>4518.59282</v>
      </c>
      <c r="F257" t="n">
        <v>4596.05595</v>
      </c>
      <c r="G257" t="n">
        <v>4755.40355</v>
      </c>
      <c r="H257" t="n">
        <v>4792.76972</v>
      </c>
      <c r="Q257" t="n">
        <v>4749.39869</v>
      </c>
      <c r="R257" t="n">
        <v>4778.76199</v>
      </c>
      <c r="S257" t="n">
        <v>4805.35076</v>
      </c>
      <c r="V257" t="n">
        <v>4714.45892</v>
      </c>
      <c r="W257" t="n">
        <v>4680.89392</v>
      </c>
      <c r="AB257" t="n">
        <v>4783.97823</v>
      </c>
      <c r="AC257" t="n">
        <v>4784.4823</v>
      </c>
      <c r="AD257" t="n">
        <v>0</v>
      </c>
      <c r="AE257">
        <f>AE256+1</f>
        <v/>
      </c>
      <c r="AF257">
        <f>AF256+1</f>
        <v/>
      </c>
      <c r="AG257">
        <f>D257-Q257</f>
        <v/>
      </c>
      <c r="AH257">
        <f>AG257^2</f>
        <v/>
      </c>
      <c r="AI257">
        <f>(AG257/STDEV($AG$3:$AG$1137))^3</f>
        <v/>
      </c>
      <c r="AJ257">
        <f>(AG257/STDEV($AG$3:$AG$1137))^4</f>
        <v/>
      </c>
      <c r="AK257">
        <f>AF257^2</f>
        <v/>
      </c>
      <c r="AL257">
        <f>IF(AD257=1,AB257,IF(AL256&lt;&gt;"",AL256,""))</f>
        <v/>
      </c>
      <c r="AM257">
        <f>IF(AND(AD257=1,AL256&lt;&gt;""),ABS(AB257-AL256),"")</f>
        <v/>
      </c>
    </row>
    <row r="258">
      <c r="A258" t="n">
        <v>1776764702</v>
      </c>
      <c r="B258" t="inlineStr">
        <is>
          <t>XAUUSD</t>
        </is>
      </c>
      <c r="C258" t="inlineStr">
        <is>
          <t>M15</t>
        </is>
      </c>
      <c r="D258" t="n">
        <v>4783.8</v>
      </c>
      <c r="E258" t="n">
        <v>4518.59282</v>
      </c>
      <c r="F258" t="n">
        <v>4596.05595</v>
      </c>
      <c r="G258" t="n">
        <v>4755.40355</v>
      </c>
      <c r="H258" t="n">
        <v>4792.76972</v>
      </c>
      <c r="Q258" t="n">
        <v>4749.13108</v>
      </c>
      <c r="R258" t="n">
        <v>4778.49438</v>
      </c>
      <c r="S258" t="n">
        <v>4805.08315</v>
      </c>
      <c r="V258" t="n">
        <v>4714.19131</v>
      </c>
      <c r="W258" t="n">
        <v>4680.62632</v>
      </c>
      <c r="AB258" t="n">
        <v>4783.81954</v>
      </c>
      <c r="AC258" t="n">
        <v>4784.15092</v>
      </c>
      <c r="AD258" t="n">
        <v>0</v>
      </c>
      <c r="AE258">
        <f>AE257+1</f>
        <v/>
      </c>
      <c r="AF258">
        <f>AF257+1</f>
        <v/>
      </c>
      <c r="AG258">
        <f>D258-Q258</f>
        <v/>
      </c>
      <c r="AH258">
        <f>AG258^2</f>
        <v/>
      </c>
      <c r="AI258">
        <f>(AG258/STDEV($AG$3:$AG$1137))^3</f>
        <v/>
      </c>
      <c r="AJ258">
        <f>(AG258/STDEV($AG$3:$AG$1137))^4</f>
        <v/>
      </c>
      <c r="AK258">
        <f>AF258^2</f>
        <v/>
      </c>
      <c r="AL258">
        <f>IF(AD258=1,AB258,IF(AL257&lt;&gt;"",AL257,""))</f>
        <v/>
      </c>
      <c r="AM258">
        <f>IF(AND(AD258=1,AL257&lt;&gt;""),ABS(AB258-AL257),"")</f>
        <v/>
      </c>
    </row>
    <row r="259">
      <c r="A259" t="n">
        <v>1776765602</v>
      </c>
      <c r="B259" t="inlineStr">
        <is>
          <t>XAUUSD</t>
        </is>
      </c>
      <c r="C259" t="inlineStr">
        <is>
          <t>M15</t>
        </is>
      </c>
      <c r="D259" t="n">
        <v>4783.02</v>
      </c>
      <c r="E259" t="n">
        <v>4518.59282</v>
      </c>
      <c r="F259" t="n">
        <v>4596.05595</v>
      </c>
      <c r="G259" t="n">
        <v>4755.40355</v>
      </c>
      <c r="H259" t="n">
        <v>4792.76972</v>
      </c>
      <c r="Q259" t="n">
        <v>4748.86348</v>
      </c>
      <c r="R259" t="n">
        <v>4778.22678</v>
      </c>
      <c r="S259" t="n">
        <v>4804.81555</v>
      </c>
      <c r="V259" t="n">
        <v>4713.92371</v>
      </c>
      <c r="W259" t="n">
        <v>4680.35871</v>
      </c>
      <c r="AB259" t="n">
        <v>4784.12581</v>
      </c>
      <c r="AC259" t="n">
        <v>4784.13837</v>
      </c>
      <c r="AD259" t="n">
        <v>0</v>
      </c>
      <c r="AE259">
        <f>AE258+1</f>
        <v/>
      </c>
      <c r="AF259">
        <f>AF258+1</f>
        <v/>
      </c>
      <c r="AG259">
        <f>D259-Q259</f>
        <v/>
      </c>
      <c r="AH259">
        <f>AG259^2</f>
        <v/>
      </c>
      <c r="AI259">
        <f>(AG259/STDEV($AG$3:$AG$1137))^3</f>
        <v/>
      </c>
      <c r="AJ259">
        <f>(AG259/STDEV($AG$3:$AG$1137))^4</f>
        <v/>
      </c>
      <c r="AK259">
        <f>AF259^2</f>
        <v/>
      </c>
      <c r="AL259">
        <f>IF(AD259=1,AB259,IF(AL258&lt;&gt;"",AL258,""))</f>
        <v/>
      </c>
      <c r="AM259">
        <f>IF(AND(AD259=1,AL258&lt;&gt;""),ABS(AB259-AL258),"")</f>
        <v/>
      </c>
    </row>
    <row r="260">
      <c r="A260" t="n">
        <v>1776766502</v>
      </c>
      <c r="B260" t="inlineStr">
        <is>
          <t>XAUUSD</t>
        </is>
      </c>
      <c r="C260" t="inlineStr">
        <is>
          <t>M15</t>
        </is>
      </c>
      <c r="D260" t="n">
        <v>4783.07</v>
      </c>
      <c r="E260" t="n">
        <v>4518.59282</v>
      </c>
      <c r="F260" t="n">
        <v>4596.05595</v>
      </c>
      <c r="G260" t="n">
        <v>4755.40355</v>
      </c>
      <c r="H260" t="n">
        <v>4792.76972</v>
      </c>
      <c r="Q260" t="n">
        <v>4748.59588</v>
      </c>
      <c r="R260" t="n">
        <v>4777.95917</v>
      </c>
      <c r="S260" t="n">
        <v>4804.54795</v>
      </c>
      <c r="V260" t="n">
        <v>4713.65611</v>
      </c>
      <c r="W260" t="n">
        <v>4680.09111</v>
      </c>
      <c r="AB260" t="n">
        <v>4784.83732</v>
      </c>
      <c r="AC260" t="n">
        <v>4784.48784</v>
      </c>
      <c r="AD260" t="n">
        <v>1</v>
      </c>
      <c r="AE260">
        <f>AE259+1</f>
        <v/>
      </c>
      <c r="AF260">
        <f>AF259+1</f>
        <v/>
      </c>
      <c r="AG260">
        <f>D260-Q260</f>
        <v/>
      </c>
      <c r="AH260">
        <f>AG260^2</f>
        <v/>
      </c>
      <c r="AI260">
        <f>(AG260/STDEV($AG$3:$AG$1137))^3</f>
        <v/>
      </c>
      <c r="AJ260">
        <f>(AG260/STDEV($AG$3:$AG$1137))^4</f>
        <v/>
      </c>
      <c r="AK260">
        <f>AF260^2</f>
        <v/>
      </c>
      <c r="AL260">
        <f>IF(AD260=1,AB260,IF(AL259&lt;&gt;"",AL259,""))</f>
        <v/>
      </c>
      <c r="AM260">
        <f>IF(AND(AD260=1,AL259&lt;&gt;""),ABS(AB260-AL259),"")</f>
        <v/>
      </c>
    </row>
    <row r="261">
      <c r="A261" t="n">
        <v>1776767402</v>
      </c>
      <c r="B261" t="inlineStr">
        <is>
          <t>XAUUSD</t>
        </is>
      </c>
      <c r="C261" t="inlineStr">
        <is>
          <t>M15</t>
        </is>
      </c>
      <c r="D261" t="n">
        <v>4786.25</v>
      </c>
      <c r="E261" t="n">
        <v>4518.59282</v>
      </c>
      <c r="F261" t="n">
        <v>4596.05595</v>
      </c>
      <c r="G261" t="n">
        <v>4755.40355</v>
      </c>
      <c r="H261" t="n">
        <v>4792.76972</v>
      </c>
      <c r="Q261" t="n">
        <v>4748.32827</v>
      </c>
      <c r="R261" t="n">
        <v>4777.69157</v>
      </c>
      <c r="S261" t="n">
        <v>4804.28034</v>
      </c>
      <c r="V261" t="n">
        <v>4713.3885</v>
      </c>
      <c r="W261" t="n">
        <v>4679.82351</v>
      </c>
      <c r="AB261" t="n">
        <v>4785.818</v>
      </c>
      <c r="AC261" t="n">
        <v>4785.15292</v>
      </c>
      <c r="AD261" t="n">
        <v>0</v>
      </c>
      <c r="AE261">
        <f>AE260+1</f>
        <v/>
      </c>
      <c r="AF261">
        <f>AF260+1</f>
        <v/>
      </c>
      <c r="AG261">
        <f>D261-Q261</f>
        <v/>
      </c>
      <c r="AH261">
        <f>AG261^2</f>
        <v/>
      </c>
      <c r="AI261">
        <f>(AG261/STDEV($AG$3:$AG$1137))^3</f>
        <v/>
      </c>
      <c r="AJ261">
        <f>(AG261/STDEV($AG$3:$AG$1137))^4</f>
        <v/>
      </c>
      <c r="AK261">
        <f>AF261^2</f>
        <v/>
      </c>
      <c r="AL261">
        <f>IF(AD261=1,AB261,IF(AL260&lt;&gt;"",AL260,""))</f>
        <v/>
      </c>
      <c r="AM261">
        <f>IF(AND(AD261=1,AL260&lt;&gt;""),ABS(AB261-AL260),"")</f>
        <v/>
      </c>
    </row>
    <row r="262">
      <c r="A262" t="n">
        <v>1776768302</v>
      </c>
      <c r="B262" t="inlineStr">
        <is>
          <t>XAUUSD</t>
        </is>
      </c>
      <c r="C262" t="inlineStr">
        <is>
          <t>M15</t>
        </is>
      </c>
      <c r="D262" t="n">
        <v>4789.79</v>
      </c>
      <c r="E262" t="n">
        <v>4518.59282</v>
      </c>
      <c r="F262" t="n">
        <v>4596.05595</v>
      </c>
      <c r="G262" t="n">
        <v>4755.40355</v>
      </c>
      <c r="H262" t="n">
        <v>4792.76972</v>
      </c>
      <c r="Q262" t="n">
        <v>4748.06067</v>
      </c>
      <c r="R262" t="n">
        <v>4777.42397</v>
      </c>
      <c r="S262" t="n">
        <v>4804.01274</v>
      </c>
      <c r="V262" t="n">
        <v>4713.1209</v>
      </c>
      <c r="W262" t="n">
        <v>4679.5559</v>
      </c>
      <c r="AB262" t="n">
        <v>4786.79737</v>
      </c>
      <c r="AC262" t="n">
        <v>4785.97515</v>
      </c>
      <c r="AD262" t="n">
        <v>0</v>
      </c>
      <c r="AE262">
        <f>AE261+1</f>
        <v/>
      </c>
      <c r="AF262">
        <f>AF261+1</f>
        <v/>
      </c>
      <c r="AG262">
        <f>D262-Q262</f>
        <v/>
      </c>
      <c r="AH262">
        <f>AG262^2</f>
        <v/>
      </c>
      <c r="AI262">
        <f>(AG262/STDEV($AG$3:$AG$1137))^3</f>
        <v/>
      </c>
      <c r="AJ262">
        <f>(AG262/STDEV($AG$3:$AG$1137))^4</f>
        <v/>
      </c>
      <c r="AK262">
        <f>AF262^2</f>
        <v/>
      </c>
      <c r="AL262">
        <f>IF(AD262=1,AB262,IF(AL261&lt;&gt;"",AL261,""))</f>
        <v/>
      </c>
      <c r="AM262">
        <f>IF(AND(AD262=1,AL261&lt;&gt;""),ABS(AB262-AL261),"")</f>
        <v/>
      </c>
    </row>
    <row r="263">
      <c r="A263" t="n">
        <v>1776769202</v>
      </c>
      <c r="B263" t="inlineStr">
        <is>
          <t>XAUUSD</t>
        </is>
      </c>
      <c r="C263" t="inlineStr">
        <is>
          <t>M15</t>
        </is>
      </c>
      <c r="D263" t="n">
        <v>4781.77</v>
      </c>
      <c r="E263" t="n">
        <v>4518.59282</v>
      </c>
      <c r="F263" t="n">
        <v>4596.05595</v>
      </c>
      <c r="G263" t="n">
        <v>4755.40355</v>
      </c>
      <c r="H263" t="n">
        <v>4792.76972</v>
      </c>
      <c r="Q263" t="n">
        <v>4747.79306</v>
      </c>
      <c r="R263" t="n">
        <v>4777.15636</v>
      </c>
      <c r="S263" t="n">
        <v>4803.74513</v>
      </c>
      <c r="V263" t="n">
        <v>4712.85329</v>
      </c>
      <c r="W263" t="n">
        <v>4679.2883</v>
      </c>
      <c r="AB263" t="n">
        <v>4787.4864</v>
      </c>
      <c r="AC263" t="n">
        <v>4786.73077</v>
      </c>
      <c r="AD263" t="n">
        <v>0</v>
      </c>
      <c r="AE263">
        <f>AE262+1</f>
        <v/>
      </c>
      <c r="AF263">
        <f>AF262+1</f>
        <v/>
      </c>
      <c r="AG263">
        <f>D263-Q263</f>
        <v/>
      </c>
      <c r="AH263">
        <f>AG263^2</f>
        <v/>
      </c>
      <c r="AI263">
        <f>(AG263/STDEV($AG$3:$AG$1137))^3</f>
        <v/>
      </c>
      <c r="AJ263">
        <f>(AG263/STDEV($AG$3:$AG$1137))^4</f>
        <v/>
      </c>
      <c r="AK263">
        <f>AF263^2</f>
        <v/>
      </c>
      <c r="AL263">
        <f>IF(AD263=1,AB263,IF(AL262&lt;&gt;"",AL262,""))</f>
        <v/>
      </c>
      <c r="AM263">
        <f>IF(AND(AD263=1,AL262&lt;&gt;""),ABS(AB263-AL262),"")</f>
        <v/>
      </c>
    </row>
    <row r="264">
      <c r="A264" t="n">
        <v>1776770102</v>
      </c>
      <c r="B264" t="inlineStr">
        <is>
          <t>XAUUSD</t>
        </is>
      </c>
      <c r="C264" t="inlineStr">
        <is>
          <t>M15</t>
        </is>
      </c>
      <c r="D264" t="n">
        <v>4783.57</v>
      </c>
      <c r="E264" t="n">
        <v>4518.59282</v>
      </c>
      <c r="F264" t="n">
        <v>4596.05595</v>
      </c>
      <c r="G264" t="n">
        <v>4755.40355</v>
      </c>
      <c r="H264" t="n">
        <v>4792.76972</v>
      </c>
      <c r="Q264" t="n">
        <v>4747.52546</v>
      </c>
      <c r="R264" t="n">
        <v>4776.88876</v>
      </c>
      <c r="S264" t="n">
        <v>4803.47753</v>
      </c>
      <c r="V264" t="n">
        <v>4712.58569</v>
      </c>
      <c r="W264" t="n">
        <v>4679.02069</v>
      </c>
      <c r="AB264" t="n">
        <v>4787.92563</v>
      </c>
      <c r="AC264" t="n">
        <v>4787.3282</v>
      </c>
      <c r="AD264" t="n">
        <v>0</v>
      </c>
      <c r="AE264">
        <f>AE263+1</f>
        <v/>
      </c>
      <c r="AF264">
        <f>AF263+1</f>
        <v/>
      </c>
      <c r="AG264">
        <f>D264-Q264</f>
        <v/>
      </c>
      <c r="AH264">
        <f>AG264^2</f>
        <v/>
      </c>
      <c r="AI264">
        <f>(AG264/STDEV($AG$3:$AG$1137))^3</f>
        <v/>
      </c>
      <c r="AJ264">
        <f>(AG264/STDEV($AG$3:$AG$1137))^4</f>
        <v/>
      </c>
      <c r="AK264">
        <f>AF264^2</f>
        <v/>
      </c>
      <c r="AL264">
        <f>IF(AD264=1,AB264,IF(AL263&lt;&gt;"",AL263,""))</f>
        <v/>
      </c>
      <c r="AM264">
        <f>IF(AND(AD264=1,AL263&lt;&gt;""),ABS(AB264-AL263),"")</f>
        <v/>
      </c>
    </row>
    <row r="265">
      <c r="A265" t="n">
        <v>1776771002</v>
      </c>
      <c r="B265" t="inlineStr">
        <is>
          <t>XAUUSD</t>
        </is>
      </c>
      <c r="C265" t="inlineStr">
        <is>
          <t>M15</t>
        </is>
      </c>
      <c r="D265" t="n">
        <v>4793.1</v>
      </c>
      <c r="E265" t="n">
        <v>4518.59282</v>
      </c>
      <c r="F265" t="n">
        <v>4596.05595</v>
      </c>
      <c r="G265" t="n">
        <v>4755.40355</v>
      </c>
      <c r="H265" t="n">
        <v>4792.76972</v>
      </c>
      <c r="Q265" t="n">
        <v>4747.25786</v>
      </c>
      <c r="R265" t="n">
        <v>4776.62115</v>
      </c>
      <c r="S265" t="n">
        <v>4803.20993</v>
      </c>
      <c r="V265" t="n">
        <v>4712.31809</v>
      </c>
      <c r="W265" t="n">
        <v>4678.75309</v>
      </c>
      <c r="AB265" t="n">
        <v>4787.93018</v>
      </c>
      <c r="AC265" t="n">
        <v>4787.62919</v>
      </c>
      <c r="AD265" t="n">
        <v>0</v>
      </c>
      <c r="AE265">
        <f>AE264+1</f>
        <v/>
      </c>
      <c r="AF265">
        <f>AF264+1</f>
        <v/>
      </c>
      <c r="AG265">
        <f>D265-Q265</f>
        <v/>
      </c>
      <c r="AH265">
        <f>AG265^2</f>
        <v/>
      </c>
      <c r="AI265">
        <f>(AG265/STDEV($AG$3:$AG$1137))^3</f>
        <v/>
      </c>
      <c r="AJ265">
        <f>(AG265/STDEV($AG$3:$AG$1137))^4</f>
        <v/>
      </c>
      <c r="AK265">
        <f>AF265^2</f>
        <v/>
      </c>
      <c r="AL265">
        <f>IF(AD265=1,AB265,IF(AL264&lt;&gt;"",AL264,""))</f>
        <v/>
      </c>
      <c r="AM265">
        <f>IF(AND(AD265=1,AL264&lt;&gt;""),ABS(AB265-AL264),"")</f>
        <v/>
      </c>
    </row>
    <row r="266">
      <c r="A266" t="n">
        <v>1776771902</v>
      </c>
      <c r="B266" t="inlineStr">
        <is>
          <t>XAUUSD</t>
        </is>
      </c>
      <c r="C266" t="inlineStr">
        <is>
          <t>M15</t>
        </is>
      </c>
      <c r="D266" t="n">
        <v>4794.61</v>
      </c>
      <c r="E266" t="n">
        <v>4518.59282</v>
      </c>
      <c r="F266" t="n">
        <v>4596.05595</v>
      </c>
      <c r="G266" t="n">
        <v>4755.40355</v>
      </c>
      <c r="H266" t="n">
        <v>4792.76972</v>
      </c>
      <c r="Q266" t="n">
        <v>4746.99025</v>
      </c>
      <c r="R266" t="n">
        <v>4776.35355</v>
      </c>
      <c r="S266" t="n">
        <v>4802.94232</v>
      </c>
      <c r="V266" t="n">
        <v>4712.05048</v>
      </c>
      <c r="W266" t="n">
        <v>4678.48548</v>
      </c>
      <c r="Z266" t="n">
        <v>4797.91</v>
      </c>
      <c r="AB266" t="n">
        <v>4787.21124</v>
      </c>
      <c r="AC266" t="n">
        <v>4787.42022</v>
      </c>
      <c r="AD266" t="n">
        <v>1</v>
      </c>
      <c r="AE266">
        <f>AE265+1</f>
        <v/>
      </c>
      <c r="AF266">
        <f>AF265+1</f>
        <v/>
      </c>
      <c r="AG266">
        <f>D266-Q266</f>
        <v/>
      </c>
      <c r="AH266">
        <f>AG266^2</f>
        <v/>
      </c>
      <c r="AI266">
        <f>(AG266/STDEV($AG$3:$AG$1137))^3</f>
        <v/>
      </c>
      <c r="AJ266">
        <f>(AG266/STDEV($AG$3:$AG$1137))^4</f>
        <v/>
      </c>
      <c r="AK266">
        <f>AF266^2</f>
        <v/>
      </c>
      <c r="AL266">
        <f>IF(AD266=1,AB266,IF(AL265&lt;&gt;"",AL265,""))</f>
        <v/>
      </c>
      <c r="AM266">
        <f>IF(AND(AD266=1,AL265&lt;&gt;""),ABS(AB266-AL265),"")</f>
        <v/>
      </c>
    </row>
    <row r="267">
      <c r="A267" t="n">
        <v>1776772802</v>
      </c>
      <c r="B267" t="inlineStr">
        <is>
          <t>XAUUSD</t>
        </is>
      </c>
      <c r="C267" t="inlineStr">
        <is>
          <t>M15</t>
        </is>
      </c>
      <c r="D267" t="n">
        <v>4791.06</v>
      </c>
      <c r="E267" t="n">
        <v>4518.59282</v>
      </c>
      <c r="F267" t="n">
        <v>4596.05595</v>
      </c>
      <c r="G267" t="n">
        <v>4755.40355</v>
      </c>
      <c r="H267" t="n">
        <v>4792.76972</v>
      </c>
      <c r="Q267" t="n">
        <v>4746.72265</v>
      </c>
      <c r="R267" t="n">
        <v>4776.08595</v>
      </c>
      <c r="S267" t="n">
        <v>4802.67472</v>
      </c>
      <c r="V267" t="n">
        <v>4711.78288</v>
      </c>
      <c r="W267" t="n">
        <v>4678.21788</v>
      </c>
      <c r="AB267" t="n">
        <v>4785.80212</v>
      </c>
      <c r="AC267" t="n">
        <v>4786.61117</v>
      </c>
      <c r="AD267" t="n">
        <v>0</v>
      </c>
      <c r="AE267">
        <f>AE266+1</f>
        <v/>
      </c>
      <c r="AF267">
        <f>AF266+1</f>
        <v/>
      </c>
      <c r="AG267">
        <f>D267-Q267</f>
        <v/>
      </c>
      <c r="AH267">
        <f>AG267^2</f>
        <v/>
      </c>
      <c r="AI267">
        <f>(AG267/STDEV($AG$3:$AG$1137))^3</f>
        <v/>
      </c>
      <c r="AJ267">
        <f>(AG267/STDEV($AG$3:$AG$1137))^4</f>
        <v/>
      </c>
      <c r="AK267">
        <f>AF267^2</f>
        <v/>
      </c>
      <c r="AL267">
        <f>IF(AD267=1,AB267,IF(AL266&lt;&gt;"",AL266,""))</f>
        <v/>
      </c>
      <c r="AM267">
        <f>IF(AND(AD267=1,AL266&lt;&gt;""),ABS(AB267-AL266),"")</f>
        <v/>
      </c>
    </row>
    <row r="268">
      <c r="A268" t="n">
        <v>1776773702</v>
      </c>
      <c r="B268" t="inlineStr">
        <is>
          <t>XAUUSD</t>
        </is>
      </c>
      <c r="C268" t="inlineStr">
        <is>
          <t>M15</t>
        </is>
      </c>
      <c r="D268" t="n">
        <v>4780.61</v>
      </c>
      <c r="E268" t="n">
        <v>4518.59282</v>
      </c>
      <c r="F268" t="n">
        <v>4596.05595</v>
      </c>
      <c r="G268" t="n">
        <v>4755.40355</v>
      </c>
      <c r="H268" t="n">
        <v>4792.76972</v>
      </c>
      <c r="Q268" t="n">
        <v>4746.45504</v>
      </c>
      <c r="R268" t="n">
        <v>4775.81834</v>
      </c>
      <c r="S268" t="n">
        <v>4802.40711</v>
      </c>
      <c r="V268" t="n">
        <v>4711.51527</v>
      </c>
      <c r="W268" t="n">
        <v>4677.95028</v>
      </c>
      <c r="AB268" t="n">
        <v>4784.03656</v>
      </c>
      <c r="AC268" t="n">
        <v>4785.32387</v>
      </c>
      <c r="AD268" t="n">
        <v>0</v>
      </c>
      <c r="AE268">
        <f>AE267+1</f>
        <v/>
      </c>
      <c r="AF268">
        <f>AF267+1</f>
        <v/>
      </c>
      <c r="AG268">
        <f>D268-Q268</f>
        <v/>
      </c>
      <c r="AH268">
        <f>AG268^2</f>
        <v/>
      </c>
      <c r="AI268">
        <f>(AG268/STDEV($AG$3:$AG$1137))^3</f>
        <v/>
      </c>
      <c r="AJ268">
        <f>(AG268/STDEV($AG$3:$AG$1137))^4</f>
        <v/>
      </c>
      <c r="AK268">
        <f>AF268^2</f>
        <v/>
      </c>
      <c r="AL268">
        <f>IF(AD268=1,AB268,IF(AL267&lt;&gt;"",AL267,""))</f>
        <v/>
      </c>
      <c r="AM268">
        <f>IF(AND(AD268=1,AL267&lt;&gt;""),ABS(AB268-AL267),"")</f>
        <v/>
      </c>
    </row>
    <row r="269">
      <c r="A269" t="n">
        <v>1776774602</v>
      </c>
      <c r="B269" t="inlineStr">
        <is>
          <t>XAUUSD</t>
        </is>
      </c>
      <c r="C269" t="inlineStr">
        <is>
          <t>M15</t>
        </is>
      </c>
      <c r="D269" t="n">
        <v>4778.89</v>
      </c>
      <c r="E269" t="n">
        <v>4518.59282</v>
      </c>
      <c r="F269" t="n">
        <v>4596.05595</v>
      </c>
      <c r="G269" t="n">
        <v>4755.40355</v>
      </c>
      <c r="H269" t="n">
        <v>4792.76972</v>
      </c>
      <c r="Q269" t="n">
        <v>4746.18744</v>
      </c>
      <c r="R269" t="n">
        <v>4775.55074</v>
      </c>
      <c r="S269" t="n">
        <v>4802.13951</v>
      </c>
      <c r="V269" t="n">
        <v>4711.24767</v>
      </c>
      <c r="W269" t="n">
        <v>4677.68267</v>
      </c>
      <c r="AB269" t="n">
        <v>4782.33943</v>
      </c>
      <c r="AC269" t="n">
        <v>4783.83165</v>
      </c>
      <c r="AD269" t="n">
        <v>0</v>
      </c>
      <c r="AE269">
        <f>AE268+1</f>
        <v/>
      </c>
      <c r="AF269">
        <f>AF268+1</f>
        <v/>
      </c>
      <c r="AG269">
        <f>D269-Q269</f>
        <v/>
      </c>
      <c r="AH269">
        <f>AG269^2</f>
        <v/>
      </c>
      <c r="AI269">
        <f>(AG269/STDEV($AG$3:$AG$1137))^3</f>
        <v/>
      </c>
      <c r="AJ269">
        <f>(AG269/STDEV($AG$3:$AG$1137))^4</f>
        <v/>
      </c>
      <c r="AK269">
        <f>AF269^2</f>
        <v/>
      </c>
      <c r="AL269">
        <f>IF(AD269=1,AB269,IF(AL268&lt;&gt;"",AL268,""))</f>
        <v/>
      </c>
      <c r="AM269">
        <f>IF(AND(AD269=1,AL268&lt;&gt;""),ABS(AB269-AL268),"")</f>
        <v/>
      </c>
    </row>
    <row r="270">
      <c r="A270" t="n">
        <v>1776775502</v>
      </c>
      <c r="B270" t="inlineStr">
        <is>
          <t>XAUUSD</t>
        </is>
      </c>
      <c r="C270" t="inlineStr">
        <is>
          <t>M15</t>
        </is>
      </c>
      <c r="D270" t="n">
        <v>4778.78</v>
      </c>
      <c r="E270" t="n">
        <v>4518.59282</v>
      </c>
      <c r="F270" t="n">
        <v>4596.05595</v>
      </c>
      <c r="G270" t="n">
        <v>4755.40355</v>
      </c>
      <c r="H270" t="n">
        <v>4792.76972</v>
      </c>
      <c r="Q270" t="n">
        <v>4745.91984</v>
      </c>
      <c r="R270" t="n">
        <v>4775.28313</v>
      </c>
      <c r="S270" t="n">
        <v>4801.8719</v>
      </c>
      <c r="V270" t="n">
        <v>4710.98006</v>
      </c>
      <c r="W270" t="n">
        <v>4677.41507</v>
      </c>
      <c r="AB270" t="n">
        <v>4780.77437</v>
      </c>
      <c r="AC270" t="n">
        <v>4782.30301</v>
      </c>
      <c r="AD270" t="n">
        <v>0</v>
      </c>
      <c r="AE270">
        <f>AE269+1</f>
        <v/>
      </c>
      <c r="AF270">
        <f>AF269+1</f>
        <v/>
      </c>
      <c r="AG270">
        <f>D270-Q270</f>
        <v/>
      </c>
      <c r="AH270">
        <f>AG270^2</f>
        <v/>
      </c>
      <c r="AI270">
        <f>(AG270/STDEV($AG$3:$AG$1137))^3</f>
        <v/>
      </c>
      <c r="AJ270">
        <f>(AG270/STDEV($AG$3:$AG$1137))^4</f>
        <v/>
      </c>
      <c r="AK270">
        <f>AF270^2</f>
        <v/>
      </c>
      <c r="AL270">
        <f>IF(AD270=1,AB270,IF(AL269&lt;&gt;"",AL269,""))</f>
        <v/>
      </c>
      <c r="AM270">
        <f>IF(AND(AD270=1,AL269&lt;&gt;""),ABS(AB270-AL269),"")</f>
        <v/>
      </c>
    </row>
    <row r="271">
      <c r="A271" t="n">
        <v>1776776402</v>
      </c>
      <c r="B271" t="inlineStr">
        <is>
          <t>XAUUSD</t>
        </is>
      </c>
      <c r="C271" t="inlineStr">
        <is>
          <t>M15</t>
        </is>
      </c>
      <c r="D271" t="n">
        <v>4765.33</v>
      </c>
      <c r="E271" t="n">
        <v>4518.59282</v>
      </c>
      <c r="F271" t="n">
        <v>4596.05595</v>
      </c>
      <c r="G271" t="n">
        <v>4755.40355</v>
      </c>
      <c r="H271" t="n">
        <v>4792.76972</v>
      </c>
      <c r="Q271" t="n">
        <v>4745.65223</v>
      </c>
      <c r="R271" t="n">
        <v>4775.01553</v>
      </c>
      <c r="S271" t="n">
        <v>4801.6043</v>
      </c>
      <c r="V271" t="n">
        <v>4710.71246</v>
      </c>
      <c r="W271" t="n">
        <v>4677.14746</v>
      </c>
      <c r="AB271" t="n">
        <v>4779.25347</v>
      </c>
      <c r="AC271" t="n">
        <v>4780.77824</v>
      </c>
      <c r="AD271" t="n">
        <v>0</v>
      </c>
      <c r="AE271">
        <f>AE270+1</f>
        <v/>
      </c>
      <c r="AF271">
        <f>AF270+1</f>
        <v/>
      </c>
      <c r="AG271">
        <f>D271-Q271</f>
        <v/>
      </c>
      <c r="AH271">
        <f>AG271^2</f>
        <v/>
      </c>
      <c r="AI271">
        <f>(AG271/STDEV($AG$3:$AG$1137))^3</f>
        <v/>
      </c>
      <c r="AJ271">
        <f>(AG271/STDEV($AG$3:$AG$1137))^4</f>
        <v/>
      </c>
      <c r="AK271">
        <f>AF271^2</f>
        <v/>
      </c>
      <c r="AL271">
        <f>IF(AD271=1,AB271,IF(AL270&lt;&gt;"",AL270,""))</f>
        <v/>
      </c>
      <c r="AM271">
        <f>IF(AND(AD271=1,AL270&lt;&gt;""),ABS(AB271-AL270),"")</f>
        <v/>
      </c>
    </row>
    <row r="272">
      <c r="A272" t="n">
        <v>1776777302</v>
      </c>
      <c r="B272" t="inlineStr">
        <is>
          <t>XAUUSD</t>
        </is>
      </c>
      <c r="C272" t="inlineStr">
        <is>
          <t>M15</t>
        </is>
      </c>
      <c r="D272" t="n">
        <v>4774.96</v>
      </c>
      <c r="E272" t="n">
        <v>4518.59282</v>
      </c>
      <c r="F272" t="n">
        <v>4596.05595</v>
      </c>
      <c r="G272" t="n">
        <v>4755.40355</v>
      </c>
      <c r="H272" t="n">
        <v>4792.76972</v>
      </c>
      <c r="Q272" t="n">
        <v>4745.38463</v>
      </c>
      <c r="R272" t="n">
        <v>4774.74793</v>
      </c>
      <c r="S272" t="n">
        <v>4801.3367</v>
      </c>
      <c r="V272" t="n">
        <v>4710.44486</v>
      </c>
      <c r="W272" t="n">
        <v>4676.87986</v>
      </c>
      <c r="AB272" t="n">
        <v>4777.9154</v>
      </c>
      <c r="AC272" t="n">
        <v>4779.34682</v>
      </c>
      <c r="AD272" t="n">
        <v>0</v>
      </c>
      <c r="AE272">
        <f>AE271+1</f>
        <v/>
      </c>
      <c r="AF272">
        <f>AF271+1</f>
        <v/>
      </c>
      <c r="AG272">
        <f>D272-Q272</f>
        <v/>
      </c>
      <c r="AH272">
        <f>AG272^2</f>
        <v/>
      </c>
      <c r="AI272">
        <f>(AG272/STDEV($AG$3:$AG$1137))^3</f>
        <v/>
      </c>
      <c r="AJ272">
        <f>(AG272/STDEV($AG$3:$AG$1137))^4</f>
        <v/>
      </c>
      <c r="AK272">
        <f>AF272^2</f>
        <v/>
      </c>
      <c r="AL272">
        <f>IF(AD272=1,AB272,IF(AL271&lt;&gt;"",AL271,""))</f>
        <v/>
      </c>
      <c r="AM272">
        <f>IF(AND(AD272=1,AL271&lt;&gt;""),ABS(AB272-AL271),"")</f>
        <v/>
      </c>
    </row>
    <row r="273">
      <c r="A273" t="n">
        <v>1776778202</v>
      </c>
      <c r="B273" t="inlineStr">
        <is>
          <t>XAUUSD</t>
        </is>
      </c>
      <c r="C273" t="inlineStr">
        <is>
          <t>M15</t>
        </is>
      </c>
      <c r="D273" t="n">
        <v>4789.04</v>
      </c>
      <c r="E273" t="n">
        <v>4518.59282</v>
      </c>
      <c r="F273" t="n">
        <v>4596.05595</v>
      </c>
      <c r="G273" t="n">
        <v>4755.40355</v>
      </c>
      <c r="H273" t="n">
        <v>4792.76972</v>
      </c>
      <c r="Q273" t="n">
        <v>4745.11702</v>
      </c>
      <c r="R273" t="n">
        <v>4774.48032</v>
      </c>
      <c r="S273" t="n">
        <v>4801.06909</v>
      </c>
      <c r="V273" t="n">
        <v>4710.17725</v>
      </c>
      <c r="W273" t="n">
        <v>4676.61226</v>
      </c>
      <c r="AB273" t="n">
        <v>4776.2013</v>
      </c>
      <c r="AC273" t="n">
        <v>4777.77406</v>
      </c>
      <c r="AD273" t="n">
        <v>0</v>
      </c>
      <c r="AE273">
        <f>AE272+1</f>
        <v/>
      </c>
      <c r="AF273">
        <f>AF272+1</f>
        <v/>
      </c>
      <c r="AG273">
        <f>D273-Q273</f>
        <v/>
      </c>
      <c r="AH273">
        <f>AG273^2</f>
        <v/>
      </c>
      <c r="AI273">
        <f>(AG273/STDEV($AG$3:$AG$1137))^3</f>
        <v/>
      </c>
      <c r="AJ273">
        <f>(AG273/STDEV($AG$3:$AG$1137))^4</f>
        <v/>
      </c>
      <c r="AK273">
        <f>AF273^2</f>
        <v/>
      </c>
      <c r="AL273">
        <f>IF(AD273=1,AB273,IF(AL272&lt;&gt;"",AL272,""))</f>
        <v/>
      </c>
      <c r="AM273">
        <f>IF(AND(AD273=1,AL272&lt;&gt;""),ABS(AB273-AL272),"")</f>
        <v/>
      </c>
    </row>
    <row r="274">
      <c r="A274" t="n">
        <v>1776779102</v>
      </c>
      <c r="B274" t="inlineStr">
        <is>
          <t>XAUUSD</t>
        </is>
      </c>
      <c r="C274" t="inlineStr">
        <is>
          <t>M15</t>
        </is>
      </c>
      <c r="D274" t="n">
        <v>4779.16</v>
      </c>
      <c r="E274" t="n">
        <v>4518.59282</v>
      </c>
      <c r="F274" t="n">
        <v>4596.05595</v>
      </c>
      <c r="G274" t="n">
        <v>4755.40355</v>
      </c>
      <c r="H274" t="n">
        <v>4792.76972</v>
      </c>
      <c r="Q274" t="n">
        <v>4744.84942</v>
      </c>
      <c r="R274" t="n">
        <v>4774.21272</v>
      </c>
      <c r="S274" t="n">
        <v>4800.80149</v>
      </c>
      <c r="V274" t="n">
        <v>4709.90965</v>
      </c>
      <c r="W274" t="n">
        <v>4676.34465</v>
      </c>
      <c r="AB274" t="n">
        <v>4773.42706</v>
      </c>
      <c r="AC274" t="n">
        <v>4775.60056</v>
      </c>
      <c r="AD274" t="n">
        <v>0</v>
      </c>
      <c r="AE274">
        <f>AE273+1</f>
        <v/>
      </c>
      <c r="AF274">
        <f>AF273+1</f>
        <v/>
      </c>
      <c r="AG274">
        <f>D274-Q274</f>
        <v/>
      </c>
      <c r="AH274">
        <f>AG274^2</f>
        <v/>
      </c>
      <c r="AI274">
        <f>(AG274/STDEV($AG$3:$AG$1137))^3</f>
        <v/>
      </c>
      <c r="AJ274">
        <f>(AG274/STDEV($AG$3:$AG$1137))^4</f>
        <v/>
      </c>
      <c r="AK274">
        <f>AF274^2</f>
        <v/>
      </c>
      <c r="AL274">
        <f>IF(AD274=1,AB274,IF(AL273&lt;&gt;"",AL273,""))</f>
        <v/>
      </c>
      <c r="AM274">
        <f>IF(AND(AD274=1,AL273&lt;&gt;""),ABS(AB274-AL273),"")</f>
        <v/>
      </c>
    </row>
    <row r="275">
      <c r="A275" t="n">
        <v>1776780002</v>
      </c>
      <c r="B275" t="inlineStr">
        <is>
          <t>XAUUSD</t>
        </is>
      </c>
      <c r="C275" t="inlineStr">
        <is>
          <t>M15</t>
        </is>
      </c>
      <c r="D275" t="n">
        <v>4778.53</v>
      </c>
      <c r="E275" t="n">
        <v>4518.59282</v>
      </c>
      <c r="F275" t="n">
        <v>4596.05595</v>
      </c>
      <c r="G275" t="n">
        <v>4755.40355</v>
      </c>
      <c r="H275" t="n">
        <v>4792.76972</v>
      </c>
      <c r="Q275" t="n">
        <v>4744.58181</v>
      </c>
      <c r="R275" t="n">
        <v>4773.94511</v>
      </c>
      <c r="S275" t="n">
        <v>4800.53388</v>
      </c>
      <c r="V275" t="n">
        <v>4709.64204</v>
      </c>
      <c r="W275" t="n">
        <v>4676.07705</v>
      </c>
      <c r="AB275" t="n">
        <v>4769.69839</v>
      </c>
      <c r="AC275" t="n">
        <v>4772.64948</v>
      </c>
      <c r="AD275" t="n">
        <v>0</v>
      </c>
      <c r="AE275">
        <f>AE274+1</f>
        <v/>
      </c>
      <c r="AF275">
        <f>AF274+1</f>
        <v/>
      </c>
      <c r="AG275">
        <f>D275-Q275</f>
        <v/>
      </c>
      <c r="AH275">
        <f>AG275^2</f>
        <v/>
      </c>
      <c r="AI275">
        <f>(AG275/STDEV($AG$3:$AG$1137))^3</f>
        <v/>
      </c>
      <c r="AJ275">
        <f>(AG275/STDEV($AG$3:$AG$1137))^4</f>
        <v/>
      </c>
      <c r="AK275">
        <f>AF275^2</f>
        <v/>
      </c>
      <c r="AL275">
        <f>IF(AD275=1,AB275,IF(AL274&lt;&gt;"",AL274,""))</f>
        <v/>
      </c>
      <c r="AM275">
        <f>IF(AND(AD275=1,AL274&lt;&gt;""),ABS(AB275-AL274),"")</f>
        <v/>
      </c>
    </row>
    <row r="276">
      <c r="A276" t="n">
        <v>1776780902</v>
      </c>
      <c r="B276" t="inlineStr">
        <is>
          <t>XAUUSD</t>
        </is>
      </c>
      <c r="C276" t="inlineStr">
        <is>
          <t>M15</t>
        </is>
      </c>
      <c r="D276" t="n">
        <v>4774.24</v>
      </c>
      <c r="E276" t="n">
        <v>4518.59282</v>
      </c>
      <c r="F276" t="n">
        <v>4596.05595</v>
      </c>
      <c r="G276" t="n">
        <v>4755.40355</v>
      </c>
      <c r="H276" t="n">
        <v>4792.76972</v>
      </c>
      <c r="Q276" t="n">
        <v>4744.31421</v>
      </c>
      <c r="R276" t="n">
        <v>4773.67751</v>
      </c>
      <c r="S276" t="n">
        <v>4800.26628</v>
      </c>
      <c r="V276" t="n">
        <v>4709.37444</v>
      </c>
      <c r="W276" t="n">
        <v>4675.80944</v>
      </c>
      <c r="AB276" t="n">
        <v>4764.9909</v>
      </c>
      <c r="AC276" t="n">
        <v>4768.82019</v>
      </c>
      <c r="AD276" t="n">
        <v>0</v>
      </c>
      <c r="AE276">
        <f>AE275+1</f>
        <v/>
      </c>
      <c r="AF276">
        <f>AF275+1</f>
        <v/>
      </c>
      <c r="AG276">
        <f>D276-Q276</f>
        <v/>
      </c>
      <c r="AH276">
        <f>AG276^2</f>
        <v/>
      </c>
      <c r="AI276">
        <f>(AG276/STDEV($AG$3:$AG$1137))^3</f>
        <v/>
      </c>
      <c r="AJ276">
        <f>(AG276/STDEV($AG$3:$AG$1137))^4</f>
        <v/>
      </c>
      <c r="AK276">
        <f>AF276^2</f>
        <v/>
      </c>
      <c r="AL276">
        <f>IF(AD276=1,AB276,IF(AL275&lt;&gt;"",AL275,""))</f>
        <v/>
      </c>
      <c r="AM276">
        <f>IF(AND(AD276=1,AL275&lt;&gt;""),ABS(AB276-AL275),"")</f>
        <v/>
      </c>
    </row>
    <row r="277">
      <c r="A277" t="n">
        <v>1776781802</v>
      </c>
      <c r="B277" t="inlineStr">
        <is>
          <t>XAUUSD</t>
        </is>
      </c>
      <c r="C277" t="inlineStr">
        <is>
          <t>M15</t>
        </is>
      </c>
      <c r="D277" t="n">
        <v>4744.7</v>
      </c>
      <c r="E277" t="n">
        <v>4518.59282</v>
      </c>
      <c r="F277" t="n">
        <v>4596.05595</v>
      </c>
      <c r="G277" t="n">
        <v>4755.40355</v>
      </c>
      <c r="H277" t="n">
        <v>4792.76972</v>
      </c>
      <c r="Q277" t="n">
        <v>4744.04661</v>
      </c>
      <c r="R277" t="n">
        <v>4773.40991</v>
      </c>
      <c r="S277" t="n">
        <v>4799.99868</v>
      </c>
      <c r="V277" t="n">
        <v>4709.10684</v>
      </c>
      <c r="W277" t="n">
        <v>4675.54184</v>
      </c>
      <c r="AB277" t="n">
        <v>4759.49783</v>
      </c>
      <c r="AC277" t="n">
        <v>4764.15901</v>
      </c>
      <c r="AD277" t="n">
        <v>0</v>
      </c>
      <c r="AE277">
        <f>AE276+1</f>
        <v/>
      </c>
      <c r="AF277">
        <f>AF276+1</f>
        <v/>
      </c>
      <c r="AG277">
        <f>D277-Q277</f>
        <v/>
      </c>
      <c r="AH277">
        <f>AG277^2</f>
        <v/>
      </c>
      <c r="AI277">
        <f>(AG277/STDEV($AG$3:$AG$1137))^3</f>
        <v/>
      </c>
      <c r="AJ277">
        <f>(AG277/STDEV($AG$3:$AG$1137))^4</f>
        <v/>
      </c>
      <c r="AK277">
        <f>AF277^2</f>
        <v/>
      </c>
      <c r="AL277">
        <f>IF(AD277=1,AB277,IF(AL276&lt;&gt;"",AL276,""))</f>
        <v/>
      </c>
      <c r="AM277">
        <f>IF(AND(AD277=1,AL276&lt;&gt;""),ABS(AB277-AL276),"")</f>
        <v/>
      </c>
    </row>
    <row r="278">
      <c r="A278" t="n">
        <v>1776782702</v>
      </c>
      <c r="B278" t="inlineStr">
        <is>
          <t>XAUUSD</t>
        </is>
      </c>
      <c r="C278" t="inlineStr">
        <is>
          <t>M15</t>
        </is>
      </c>
      <c r="D278" t="n">
        <v>4738.97</v>
      </c>
      <c r="E278" t="n">
        <v>4518.59282</v>
      </c>
      <c r="F278" t="n">
        <v>4596.05595</v>
      </c>
      <c r="G278" t="n">
        <v>4755.40355</v>
      </c>
      <c r="H278" t="n">
        <v>4792.76972</v>
      </c>
      <c r="Q278" t="n">
        <v>4743.779</v>
      </c>
      <c r="R278" t="n">
        <v>4773.1423</v>
      </c>
      <c r="S278" t="n">
        <v>4799.73107</v>
      </c>
      <c r="V278" t="n">
        <v>4708.83923</v>
      </c>
      <c r="W278" t="n">
        <v>4675.27424</v>
      </c>
      <c r="AB278" t="n">
        <v>4754.12855</v>
      </c>
      <c r="AC278" t="n">
        <v>4759.14378</v>
      </c>
      <c r="AD278" t="n">
        <v>0</v>
      </c>
      <c r="AE278">
        <f>AE277+1</f>
        <v/>
      </c>
      <c r="AF278">
        <f>AF277+1</f>
        <v/>
      </c>
      <c r="AG278">
        <f>D278-Q278</f>
        <v/>
      </c>
      <c r="AH278">
        <f>AG278^2</f>
        <v/>
      </c>
      <c r="AI278">
        <f>(AG278/STDEV($AG$3:$AG$1137))^3</f>
        <v/>
      </c>
      <c r="AJ278">
        <f>(AG278/STDEV($AG$3:$AG$1137))^4</f>
        <v/>
      </c>
      <c r="AK278">
        <f>AF278^2</f>
        <v/>
      </c>
      <c r="AL278">
        <f>IF(AD278=1,AB278,IF(AL277&lt;&gt;"",AL277,""))</f>
        <v/>
      </c>
      <c r="AM278">
        <f>IF(AND(AD278=1,AL277&lt;&gt;""),ABS(AB278-AL277),"")</f>
        <v/>
      </c>
    </row>
    <row r="279">
      <c r="A279" t="n">
        <v>1776783602</v>
      </c>
      <c r="B279" t="inlineStr">
        <is>
          <t>XAUUSD</t>
        </is>
      </c>
      <c r="C279" t="inlineStr">
        <is>
          <t>M15</t>
        </is>
      </c>
      <c r="D279" t="n">
        <v>4748.21</v>
      </c>
      <c r="E279" t="n">
        <v>4518.59282</v>
      </c>
      <c r="F279" t="n">
        <v>4596.05595</v>
      </c>
      <c r="G279" t="n">
        <v>4755.40355</v>
      </c>
      <c r="H279" t="n">
        <v>4792.76972</v>
      </c>
      <c r="Q279" t="n">
        <v>4743.5114</v>
      </c>
      <c r="R279" t="n">
        <v>4772.8747</v>
      </c>
      <c r="S279" t="n">
        <v>4799.46347</v>
      </c>
      <c r="V279" t="n">
        <v>4708.57163</v>
      </c>
      <c r="W279" t="n">
        <v>4675.00663</v>
      </c>
      <c r="AB279" t="n">
        <v>4749.06783</v>
      </c>
      <c r="AC279" t="n">
        <v>4754.1058</v>
      </c>
      <c r="AD279" t="n">
        <v>0</v>
      </c>
      <c r="AE279">
        <f>AE278+1</f>
        <v/>
      </c>
      <c r="AF279">
        <f>AF278+1</f>
        <v/>
      </c>
      <c r="AG279">
        <f>D279-Q279</f>
        <v/>
      </c>
      <c r="AH279">
        <f>AG279^2</f>
        <v/>
      </c>
      <c r="AI279">
        <f>(AG279/STDEV($AG$3:$AG$1137))^3</f>
        <v/>
      </c>
      <c r="AJ279">
        <f>(AG279/STDEV($AG$3:$AG$1137))^4</f>
        <v/>
      </c>
      <c r="AK279">
        <f>AF279^2</f>
        <v/>
      </c>
      <c r="AL279">
        <f>IF(AD279=1,AB279,IF(AL278&lt;&gt;"",AL278,""))</f>
        <v/>
      </c>
      <c r="AM279">
        <f>IF(AND(AD279=1,AL278&lt;&gt;""),ABS(AB279-AL278),"")</f>
        <v/>
      </c>
    </row>
    <row r="280">
      <c r="A280" t="n">
        <v>1776784502</v>
      </c>
      <c r="B280" t="inlineStr">
        <is>
          <t>XAUUSD</t>
        </is>
      </c>
      <c r="C280" t="inlineStr">
        <is>
          <t>M15</t>
        </is>
      </c>
      <c r="D280" t="n">
        <v>4742.57</v>
      </c>
      <c r="E280" t="n">
        <v>4518.59282</v>
      </c>
      <c r="F280" t="n">
        <v>4596.05595</v>
      </c>
      <c r="G280" t="n">
        <v>4755.40355</v>
      </c>
      <c r="H280" t="n">
        <v>4792.76972</v>
      </c>
      <c r="Q280" t="n">
        <v>4743.24379</v>
      </c>
      <c r="R280" t="n">
        <v>4772.60709</v>
      </c>
      <c r="S280" t="n">
        <v>4799.19586</v>
      </c>
      <c r="V280" t="n">
        <v>4708.30402</v>
      </c>
      <c r="W280" t="n">
        <v>4674.73903</v>
      </c>
      <c r="AB280" t="n">
        <v>4743.96764</v>
      </c>
      <c r="AC280" t="n">
        <v>4749.03672</v>
      </c>
      <c r="AD280" t="n">
        <v>0</v>
      </c>
      <c r="AE280">
        <f>AE279+1</f>
        <v/>
      </c>
      <c r="AF280">
        <f>AF279+1</f>
        <v/>
      </c>
      <c r="AG280">
        <f>D280-Q280</f>
        <v/>
      </c>
      <c r="AH280">
        <f>AG280^2</f>
        <v/>
      </c>
      <c r="AI280">
        <f>(AG280/STDEV($AG$3:$AG$1137))^3</f>
        <v/>
      </c>
      <c r="AJ280">
        <f>(AG280/STDEV($AG$3:$AG$1137))^4</f>
        <v/>
      </c>
      <c r="AK280">
        <f>AF280^2</f>
        <v/>
      </c>
      <c r="AL280">
        <f>IF(AD280=1,AB280,IF(AL279&lt;&gt;"",AL279,""))</f>
        <v/>
      </c>
      <c r="AM280">
        <f>IF(AND(AD280=1,AL279&lt;&gt;""),ABS(AB280-AL279),"")</f>
        <v/>
      </c>
    </row>
    <row r="281">
      <c r="A281" t="n">
        <v>1776785402</v>
      </c>
      <c r="B281" t="inlineStr">
        <is>
          <t>XAUUSD</t>
        </is>
      </c>
      <c r="C281" t="inlineStr">
        <is>
          <t>M15</t>
        </is>
      </c>
      <c r="D281" t="n">
        <v>4745.93</v>
      </c>
      <c r="E281" t="n">
        <v>4518.59282</v>
      </c>
      <c r="F281" t="n">
        <v>4596.05595</v>
      </c>
      <c r="G281" t="n">
        <v>4755.40355</v>
      </c>
      <c r="H281" t="n">
        <v>4792.76972</v>
      </c>
      <c r="Q281" t="n">
        <v>4742.97619</v>
      </c>
      <c r="R281" t="n">
        <v>4772.33949</v>
      </c>
      <c r="S281" t="n">
        <v>4798.92826</v>
      </c>
      <c r="V281" t="n">
        <v>4708.03642</v>
      </c>
      <c r="W281" t="n">
        <v>4674.47142</v>
      </c>
      <c r="AB281" t="n">
        <v>4738.84018</v>
      </c>
      <c r="AC281" t="n">
        <v>4743.93845</v>
      </c>
      <c r="AD281" t="n">
        <v>0</v>
      </c>
      <c r="AE281">
        <f>AE280+1</f>
        <v/>
      </c>
      <c r="AF281">
        <f>AF280+1</f>
        <v/>
      </c>
      <c r="AG281">
        <f>D281-Q281</f>
        <v/>
      </c>
      <c r="AH281">
        <f>AG281^2</f>
        <v/>
      </c>
      <c r="AI281">
        <f>(AG281/STDEV($AG$3:$AG$1137))^3</f>
        <v/>
      </c>
      <c r="AJ281">
        <f>(AG281/STDEV($AG$3:$AG$1137))^4</f>
        <v/>
      </c>
      <c r="AK281">
        <f>AF281^2</f>
        <v/>
      </c>
      <c r="AL281">
        <f>IF(AD281=1,AB281,IF(AL280&lt;&gt;"",AL280,""))</f>
        <v/>
      </c>
      <c r="AM281">
        <f>IF(AND(AD281=1,AL280&lt;&gt;""),ABS(AB281-AL280),"")</f>
        <v/>
      </c>
    </row>
    <row r="282">
      <c r="A282" t="n">
        <v>1776786302</v>
      </c>
      <c r="B282" t="inlineStr">
        <is>
          <t>XAUUSD</t>
        </is>
      </c>
      <c r="C282" t="inlineStr">
        <is>
          <t>M15</t>
        </is>
      </c>
      <c r="D282" t="n">
        <v>4741.81</v>
      </c>
      <c r="E282" t="n">
        <v>4518.59282</v>
      </c>
      <c r="F282" t="n">
        <v>4596.05595</v>
      </c>
      <c r="G282" t="n">
        <v>4755.40355</v>
      </c>
      <c r="H282" t="n">
        <v>4792.76972</v>
      </c>
      <c r="Q282" t="n">
        <v>4742.70859</v>
      </c>
      <c r="R282" t="n">
        <v>4772.07188</v>
      </c>
      <c r="S282" t="n">
        <v>4798.66066</v>
      </c>
      <c r="V282" t="n">
        <v>4707.76882</v>
      </c>
      <c r="W282" t="n">
        <v>4674.20382</v>
      </c>
      <c r="AB282" t="n">
        <v>4733.50311</v>
      </c>
      <c r="AC282" t="n">
        <v>4738.72078</v>
      </c>
      <c r="AD282" t="n">
        <v>0</v>
      </c>
      <c r="AE282">
        <f>AE281+1</f>
        <v/>
      </c>
      <c r="AF282">
        <f>AF281+1</f>
        <v/>
      </c>
      <c r="AG282">
        <f>D282-Q282</f>
        <v/>
      </c>
      <c r="AH282">
        <f>AG282^2</f>
        <v/>
      </c>
      <c r="AI282">
        <f>(AG282/STDEV($AG$3:$AG$1137))^3</f>
        <v/>
      </c>
      <c r="AJ282">
        <f>(AG282/STDEV($AG$3:$AG$1137))^4</f>
        <v/>
      </c>
      <c r="AK282">
        <f>AF282^2</f>
        <v/>
      </c>
      <c r="AL282">
        <f>IF(AD282=1,AB282,IF(AL281&lt;&gt;"",AL281,""))</f>
        <v/>
      </c>
      <c r="AM282">
        <f>IF(AND(AD282=1,AL281&lt;&gt;""),ABS(AB282-AL281),"")</f>
        <v/>
      </c>
    </row>
    <row r="283">
      <c r="A283" t="n">
        <v>1776787202</v>
      </c>
      <c r="B283" t="inlineStr">
        <is>
          <t>XAUUSD</t>
        </is>
      </c>
      <c r="C283" t="inlineStr">
        <is>
          <t>M15</t>
        </is>
      </c>
      <c r="D283" t="n">
        <v>4730.44</v>
      </c>
      <c r="E283" t="n">
        <v>4518.59282</v>
      </c>
      <c r="F283" t="n">
        <v>4596.05595</v>
      </c>
      <c r="G283" t="n">
        <v>4755.40355</v>
      </c>
      <c r="H283" t="n">
        <v>4792.76972</v>
      </c>
      <c r="Q283" t="n">
        <v>4742.44098</v>
      </c>
      <c r="R283" t="n">
        <v>4771.80428</v>
      </c>
      <c r="S283" t="n">
        <v>4798.39305</v>
      </c>
      <c r="V283" t="n">
        <v>4707.50121</v>
      </c>
      <c r="W283" t="n">
        <v>4673.93622</v>
      </c>
      <c r="AB283" t="n">
        <v>4728.041</v>
      </c>
      <c r="AC283" t="n">
        <v>4733.38089</v>
      </c>
      <c r="AD283" t="n">
        <v>0</v>
      </c>
      <c r="AE283">
        <f>AE282+1</f>
        <v/>
      </c>
      <c r="AF283">
        <f>AF282+1</f>
        <v/>
      </c>
      <c r="AG283">
        <f>D283-Q283</f>
        <v/>
      </c>
      <c r="AH283">
        <f>AG283^2</f>
        <v/>
      </c>
      <c r="AI283">
        <f>(AG283/STDEV($AG$3:$AG$1137))^3</f>
        <v/>
      </c>
      <c r="AJ283">
        <f>(AG283/STDEV($AG$3:$AG$1137))^4</f>
        <v/>
      </c>
      <c r="AK283">
        <f>AF283^2</f>
        <v/>
      </c>
      <c r="AL283">
        <f>IF(AD283=1,AB283,IF(AL282&lt;&gt;"",AL282,""))</f>
        <v/>
      </c>
      <c r="AM283">
        <f>IF(AND(AD283=1,AL282&lt;&gt;""),ABS(AB283-AL282),"")</f>
        <v/>
      </c>
    </row>
    <row r="284">
      <c r="A284" t="n">
        <v>1776788102</v>
      </c>
      <c r="B284" t="inlineStr">
        <is>
          <t>XAUUSD</t>
        </is>
      </c>
      <c r="C284" t="inlineStr">
        <is>
          <t>M15</t>
        </is>
      </c>
      <c r="D284" t="n">
        <v>4720.86</v>
      </c>
      <c r="E284" t="n">
        <v>4518.59282</v>
      </c>
      <c r="F284" t="n">
        <v>4596.05595</v>
      </c>
      <c r="G284" t="n">
        <v>4755.40355</v>
      </c>
      <c r="H284" t="n">
        <v>4792.76972</v>
      </c>
      <c r="Q284" t="n">
        <v>4742.17338</v>
      </c>
      <c r="R284" t="n">
        <v>4771.53668</v>
      </c>
      <c r="S284" t="n">
        <v>4798.12545</v>
      </c>
      <c r="V284" t="n">
        <v>4707.23361</v>
      </c>
      <c r="W284" t="n">
        <v>4673.66861</v>
      </c>
      <c r="AB284" t="n">
        <v>4722.84116</v>
      </c>
      <c r="AC284" t="n">
        <v>4728.11103</v>
      </c>
      <c r="AD284" t="n">
        <v>0</v>
      </c>
      <c r="AE284">
        <f>AE283+1</f>
        <v/>
      </c>
      <c r="AF284">
        <f>AF283+1</f>
        <v/>
      </c>
      <c r="AG284">
        <f>D284-Q284</f>
        <v/>
      </c>
      <c r="AH284">
        <f>AG284^2</f>
        <v/>
      </c>
      <c r="AI284">
        <f>(AG284/STDEV($AG$3:$AG$1137))^3</f>
        <v/>
      </c>
      <c r="AJ284">
        <f>(AG284/STDEV($AG$3:$AG$1137))^4</f>
        <v/>
      </c>
      <c r="AK284">
        <f>AF284^2</f>
        <v/>
      </c>
      <c r="AL284">
        <f>IF(AD284=1,AB284,IF(AL283&lt;&gt;"",AL283,""))</f>
        <v/>
      </c>
      <c r="AM284">
        <f>IF(AND(AD284=1,AL283&lt;&gt;""),ABS(AB284-AL283),"")</f>
        <v/>
      </c>
    </row>
    <row r="285">
      <c r="A285" t="n">
        <v>1776789002</v>
      </c>
      <c r="B285" t="inlineStr">
        <is>
          <t>XAUUSD</t>
        </is>
      </c>
      <c r="C285" t="inlineStr">
        <is>
          <t>M15</t>
        </is>
      </c>
      <c r="D285" t="n">
        <v>4721.05</v>
      </c>
      <c r="E285" t="n">
        <v>4518.59282</v>
      </c>
      <c r="F285" t="n">
        <v>4596.05595</v>
      </c>
      <c r="G285" t="n">
        <v>4755.40355</v>
      </c>
      <c r="H285" t="n">
        <v>4792.76972</v>
      </c>
      <c r="Q285" t="n">
        <v>4741.90577</v>
      </c>
      <c r="R285" t="n">
        <v>4771.26907</v>
      </c>
      <c r="S285" t="n">
        <v>4797.85784</v>
      </c>
      <c r="V285" t="n">
        <v>4706.966</v>
      </c>
      <c r="W285" t="n">
        <v>4673.40101</v>
      </c>
      <c r="AB285" t="n">
        <v>4718.29378</v>
      </c>
      <c r="AC285" t="n">
        <v>4723.2024</v>
      </c>
      <c r="AD285" t="n">
        <v>0</v>
      </c>
      <c r="AE285">
        <f>AE284+1</f>
        <v/>
      </c>
      <c r="AF285">
        <f>AF284+1</f>
        <v/>
      </c>
      <c r="AG285">
        <f>D285-Q285</f>
        <v/>
      </c>
      <c r="AH285">
        <f>AG285^2</f>
        <v/>
      </c>
      <c r="AI285">
        <f>(AG285/STDEV($AG$3:$AG$1137))^3</f>
        <v/>
      </c>
      <c r="AJ285">
        <f>(AG285/STDEV($AG$3:$AG$1137))^4</f>
        <v/>
      </c>
      <c r="AK285">
        <f>AF285^2</f>
        <v/>
      </c>
      <c r="AL285">
        <f>IF(AD285=1,AB285,IF(AL284&lt;&gt;"",AL284,""))</f>
        <v/>
      </c>
      <c r="AM285">
        <f>IF(AND(AD285=1,AL284&lt;&gt;""),ABS(AB285-AL284),"")</f>
        <v/>
      </c>
    </row>
    <row r="286">
      <c r="A286" t="n">
        <v>1776789902</v>
      </c>
      <c r="B286" t="inlineStr">
        <is>
          <t>XAUUSD</t>
        </is>
      </c>
      <c r="C286" t="inlineStr">
        <is>
          <t>M15</t>
        </is>
      </c>
      <c r="D286" t="n">
        <v>4711.56</v>
      </c>
      <c r="E286" t="n">
        <v>4518.59282</v>
      </c>
      <c r="F286" t="n">
        <v>4596.05595</v>
      </c>
      <c r="G286" t="n">
        <v>4755.40355</v>
      </c>
      <c r="H286" t="n">
        <v>4792.76972</v>
      </c>
      <c r="Q286" t="n">
        <v>4741.63817</v>
      </c>
      <c r="R286" t="n">
        <v>4771.00147</v>
      </c>
      <c r="S286" t="n">
        <v>4797.59024</v>
      </c>
      <c r="V286" t="n">
        <v>4706.6984</v>
      </c>
      <c r="W286" t="n">
        <v>4673.1334</v>
      </c>
      <c r="AB286" t="n">
        <v>4714.47889</v>
      </c>
      <c r="AC286" t="n">
        <v>4718.84065</v>
      </c>
      <c r="AD286" t="n">
        <v>0</v>
      </c>
      <c r="AE286">
        <f>AE285+1</f>
        <v/>
      </c>
      <c r="AF286">
        <f>AF285+1</f>
        <v/>
      </c>
      <c r="AG286">
        <f>D286-Q286</f>
        <v/>
      </c>
      <c r="AH286">
        <f>AG286^2</f>
        <v/>
      </c>
      <c r="AI286">
        <f>(AG286/STDEV($AG$3:$AG$1137))^3</f>
        <v/>
      </c>
      <c r="AJ286">
        <f>(AG286/STDEV($AG$3:$AG$1137))^4</f>
        <v/>
      </c>
      <c r="AK286">
        <f>AF286^2</f>
        <v/>
      </c>
      <c r="AL286">
        <f>IF(AD286=1,AB286,IF(AL285&lt;&gt;"",AL285,""))</f>
        <v/>
      </c>
      <c r="AM286">
        <f>IF(AND(AD286=1,AL285&lt;&gt;""),ABS(AB286-AL285),"")</f>
        <v/>
      </c>
    </row>
    <row r="287">
      <c r="A287" t="n">
        <v>1776790802</v>
      </c>
      <c r="B287" t="inlineStr">
        <is>
          <t>XAUUSD</t>
        </is>
      </c>
      <c r="C287" t="inlineStr">
        <is>
          <t>M15</t>
        </is>
      </c>
      <c r="D287" t="n">
        <v>4706.5</v>
      </c>
      <c r="E287" t="n">
        <v>4518.59282</v>
      </c>
      <c r="F287" t="n">
        <v>4596.05595</v>
      </c>
      <c r="G287" t="n">
        <v>4755.40355</v>
      </c>
      <c r="H287" t="n">
        <v>4792.76972</v>
      </c>
      <c r="Q287" t="n">
        <v>4741.37057</v>
      </c>
      <c r="R287" t="n">
        <v>4770.73386</v>
      </c>
      <c r="S287" t="n">
        <v>4797.32264</v>
      </c>
      <c r="V287" t="n">
        <v>4706.4308</v>
      </c>
      <c r="W287" t="n">
        <v>4672.8658</v>
      </c>
      <c r="AB287" t="n">
        <v>4711.63926</v>
      </c>
      <c r="AC287" t="n">
        <v>4715.23995</v>
      </c>
      <c r="AD287" t="n">
        <v>0</v>
      </c>
      <c r="AE287">
        <f>AE286+1</f>
        <v/>
      </c>
      <c r="AF287">
        <f>AF286+1</f>
        <v/>
      </c>
      <c r="AG287">
        <f>D287-Q287</f>
        <v/>
      </c>
      <c r="AH287">
        <f>AG287^2</f>
        <v/>
      </c>
      <c r="AI287">
        <f>(AG287/STDEV($AG$3:$AG$1137))^3</f>
        <v/>
      </c>
      <c r="AJ287">
        <f>(AG287/STDEV($AG$3:$AG$1137))^4</f>
        <v/>
      </c>
      <c r="AK287">
        <f>AF287^2</f>
        <v/>
      </c>
      <c r="AL287">
        <f>IF(AD287=1,AB287,IF(AL286&lt;&gt;"",AL286,""))</f>
        <v/>
      </c>
      <c r="AM287">
        <f>IF(AND(AD287=1,AL286&lt;&gt;""),ABS(AB287-AL286),"")</f>
        <v/>
      </c>
    </row>
    <row r="288">
      <c r="A288" t="n">
        <v>1776791702</v>
      </c>
      <c r="B288" t="inlineStr">
        <is>
          <t>XAUUSD</t>
        </is>
      </c>
      <c r="C288" t="inlineStr">
        <is>
          <t>M15</t>
        </is>
      </c>
      <c r="D288" t="n">
        <v>4700.29</v>
      </c>
      <c r="E288" t="n">
        <v>4518.59282</v>
      </c>
      <c r="F288" t="n">
        <v>4596.05595</v>
      </c>
      <c r="G288" t="n">
        <v>4755.40355</v>
      </c>
      <c r="H288" t="n">
        <v>4792.76972</v>
      </c>
      <c r="Q288" t="n">
        <v>4741.10296</v>
      </c>
      <c r="R288" t="n">
        <v>4770.46626</v>
      </c>
      <c r="S288" t="n">
        <v>4797.05503</v>
      </c>
      <c r="V288" t="n">
        <v>4706.16319</v>
      </c>
      <c r="W288" t="n">
        <v>4672.59819</v>
      </c>
      <c r="AB288" t="n">
        <v>4709.7586</v>
      </c>
      <c r="AC288" t="n">
        <v>4712.49927</v>
      </c>
      <c r="AD288" t="n">
        <v>0</v>
      </c>
      <c r="AE288">
        <f>AE287+1</f>
        <v/>
      </c>
      <c r="AF288">
        <f>AF287+1</f>
        <v/>
      </c>
      <c r="AG288">
        <f>D288-Q288</f>
        <v/>
      </c>
      <c r="AH288">
        <f>AG288^2</f>
        <v/>
      </c>
      <c r="AI288">
        <f>(AG288/STDEV($AG$3:$AG$1137))^3</f>
        <v/>
      </c>
      <c r="AJ288">
        <f>(AG288/STDEV($AG$3:$AG$1137))^4</f>
        <v/>
      </c>
      <c r="AK288">
        <f>AF288^2</f>
        <v/>
      </c>
      <c r="AL288">
        <f>IF(AD288=1,AB288,IF(AL287&lt;&gt;"",AL287,""))</f>
        <v/>
      </c>
      <c r="AM288">
        <f>IF(AND(AD288=1,AL287&lt;&gt;""),ABS(AB288-AL287),"")</f>
        <v/>
      </c>
    </row>
    <row r="289">
      <c r="A289" t="n">
        <v>1776792602</v>
      </c>
      <c r="B289" t="inlineStr">
        <is>
          <t>XAUUSD</t>
        </is>
      </c>
      <c r="C289" t="inlineStr">
        <is>
          <t>M15</t>
        </is>
      </c>
      <c r="D289" t="n">
        <v>4717.89</v>
      </c>
      <c r="E289" t="n">
        <v>4518.59282</v>
      </c>
      <c r="F289" t="n">
        <v>4596.05595</v>
      </c>
      <c r="G289" t="n">
        <v>4755.40355</v>
      </c>
      <c r="H289" t="n">
        <v>4792.76972</v>
      </c>
      <c r="Q289" t="n">
        <v>4740.83536</v>
      </c>
      <c r="R289" t="n">
        <v>4770.19866</v>
      </c>
      <c r="S289" t="n">
        <v>4796.78743</v>
      </c>
      <c r="V289" t="n">
        <v>4705.89559</v>
      </c>
      <c r="W289" t="n">
        <v>4672.33059</v>
      </c>
      <c r="AB289" t="n">
        <v>4708.71964</v>
      </c>
      <c r="AC289" t="n">
        <v>4710.60946</v>
      </c>
      <c r="AD289" t="n">
        <v>0</v>
      </c>
      <c r="AE289">
        <f>AE288+1</f>
        <v/>
      </c>
      <c r="AF289">
        <f>AF288+1</f>
        <v/>
      </c>
      <c r="AG289">
        <f>D289-Q289</f>
        <v/>
      </c>
      <c r="AH289">
        <f>AG289^2</f>
        <v/>
      </c>
      <c r="AI289">
        <f>(AG289/STDEV($AG$3:$AG$1137))^3</f>
        <v/>
      </c>
      <c r="AJ289">
        <f>(AG289/STDEV($AG$3:$AG$1137))^4</f>
        <v/>
      </c>
      <c r="AK289">
        <f>AF289^2</f>
        <v/>
      </c>
      <c r="AL289">
        <f>IF(AD289=1,AB289,IF(AL288&lt;&gt;"",AL288,""))</f>
        <v/>
      </c>
      <c r="AM289">
        <f>IF(AND(AD289=1,AL288&lt;&gt;""),ABS(AB289-AL288),"")</f>
        <v/>
      </c>
    </row>
    <row r="290">
      <c r="A290" t="n">
        <v>1776793502</v>
      </c>
      <c r="B290" t="inlineStr">
        <is>
          <t>XAUUSD</t>
        </is>
      </c>
      <c r="C290" t="inlineStr">
        <is>
          <t>M15</t>
        </is>
      </c>
      <c r="D290" t="n">
        <v>4711.38</v>
      </c>
      <c r="E290" t="n">
        <v>4518.59282</v>
      </c>
      <c r="F290" t="n">
        <v>4596.05595</v>
      </c>
      <c r="G290" t="n">
        <v>4755.40355</v>
      </c>
      <c r="H290" t="n">
        <v>4792.76972</v>
      </c>
      <c r="Q290" t="n">
        <v>4740.56775</v>
      </c>
      <c r="R290" t="n">
        <v>4769.93105</v>
      </c>
      <c r="S290" t="n">
        <v>4796.51982</v>
      </c>
      <c r="V290" t="n">
        <v>4705.62798</v>
      </c>
      <c r="W290" t="n">
        <v>4672.06299</v>
      </c>
      <c r="AB290" t="n">
        <v>4707.65864</v>
      </c>
      <c r="AC290" t="n">
        <v>4709.13405</v>
      </c>
      <c r="AD290" t="n">
        <v>0</v>
      </c>
      <c r="AE290">
        <f>AE289+1</f>
        <v/>
      </c>
      <c r="AF290">
        <f>AF289+1</f>
        <v/>
      </c>
      <c r="AG290">
        <f>D290-Q290</f>
        <v/>
      </c>
      <c r="AH290">
        <f>AG290^2</f>
        <v/>
      </c>
      <c r="AI290">
        <f>(AG290/STDEV($AG$3:$AG$1137))^3</f>
        <v/>
      </c>
      <c r="AJ290">
        <f>(AG290/STDEV($AG$3:$AG$1137))^4</f>
        <v/>
      </c>
      <c r="AK290">
        <f>AF290^2</f>
        <v/>
      </c>
      <c r="AL290">
        <f>IF(AD290=1,AB290,IF(AL289&lt;&gt;"",AL289,""))</f>
        <v/>
      </c>
      <c r="AM290">
        <f>IF(AND(AD290=1,AL289&lt;&gt;""),ABS(AB290-AL289),"")</f>
        <v/>
      </c>
    </row>
    <row r="291">
      <c r="A291" t="n">
        <v>1776794402</v>
      </c>
      <c r="B291" t="inlineStr">
        <is>
          <t>XAUUSD</t>
        </is>
      </c>
      <c r="C291" t="inlineStr">
        <is>
          <t>M15</t>
        </is>
      </c>
      <c r="D291" t="n">
        <v>4704.63</v>
      </c>
      <c r="E291" t="n">
        <v>4518.59282</v>
      </c>
      <c r="F291" t="n">
        <v>4596.05595</v>
      </c>
      <c r="G291" t="n">
        <v>4755.40355</v>
      </c>
      <c r="H291" t="n">
        <v>4792.76972</v>
      </c>
      <c r="Q291" t="n">
        <v>4740.30015</v>
      </c>
      <c r="R291" t="n">
        <v>4769.66345</v>
      </c>
      <c r="S291" t="n">
        <v>4796.25222</v>
      </c>
      <c r="V291" t="n">
        <v>4705.36038</v>
      </c>
      <c r="W291" t="n">
        <v>4671.79538</v>
      </c>
      <c r="AB291" t="n">
        <v>4706.40683</v>
      </c>
      <c r="AC291" t="n">
        <v>4707.77044</v>
      </c>
      <c r="AD291" t="n">
        <v>0</v>
      </c>
      <c r="AE291">
        <f>AE290+1</f>
        <v/>
      </c>
      <c r="AF291">
        <f>AF290+1</f>
        <v/>
      </c>
      <c r="AG291">
        <f>D291-Q291</f>
        <v/>
      </c>
      <c r="AH291">
        <f>AG291^2</f>
        <v/>
      </c>
      <c r="AI291">
        <f>(AG291/STDEV($AG$3:$AG$1137))^3</f>
        <v/>
      </c>
      <c r="AJ291">
        <f>(AG291/STDEV($AG$3:$AG$1137))^4</f>
        <v/>
      </c>
      <c r="AK291">
        <f>AF291^2</f>
        <v/>
      </c>
      <c r="AL291">
        <f>IF(AD291=1,AB291,IF(AL290&lt;&gt;"",AL290,""))</f>
        <v/>
      </c>
      <c r="AM291">
        <f>IF(AND(AD291=1,AL290&lt;&gt;""),ABS(AB291-AL290),"")</f>
        <v/>
      </c>
    </row>
    <row r="292">
      <c r="A292" t="n">
        <v>1776795302</v>
      </c>
      <c r="B292" t="inlineStr">
        <is>
          <t>XAUUSD</t>
        </is>
      </c>
      <c r="C292" t="inlineStr">
        <is>
          <t>M15</t>
        </is>
      </c>
      <c r="D292" t="n">
        <v>4696.62</v>
      </c>
      <c r="E292" t="n">
        <v>4518.59282</v>
      </c>
      <c r="F292" t="n">
        <v>4596.05595</v>
      </c>
      <c r="G292" t="n">
        <v>4755.40355</v>
      </c>
      <c r="H292" t="n">
        <v>4792.76972</v>
      </c>
      <c r="Q292" t="n">
        <v>4740.03255</v>
      </c>
      <c r="R292" t="n">
        <v>4769.39584</v>
      </c>
      <c r="S292" t="n">
        <v>4795.98461</v>
      </c>
      <c r="V292" t="n">
        <v>4705.09277</v>
      </c>
      <c r="W292" t="n">
        <v>4671.52778</v>
      </c>
      <c r="AB292" t="n">
        <v>4704.91246</v>
      </c>
      <c r="AC292" t="n">
        <v>4706.34145</v>
      </c>
      <c r="AD292" t="n">
        <v>0</v>
      </c>
      <c r="AE292">
        <f>AE291+1</f>
        <v/>
      </c>
      <c r="AF292">
        <f>AF291+1</f>
        <v/>
      </c>
      <c r="AG292">
        <f>D292-Q292</f>
        <v/>
      </c>
      <c r="AH292">
        <f>AG292^2</f>
        <v/>
      </c>
      <c r="AI292">
        <f>(AG292/STDEV($AG$3:$AG$1137))^3</f>
        <v/>
      </c>
      <c r="AJ292">
        <f>(AG292/STDEV($AG$3:$AG$1137))^4</f>
        <v/>
      </c>
      <c r="AK292">
        <f>AF292^2</f>
        <v/>
      </c>
      <c r="AL292">
        <f>IF(AD292=1,AB292,IF(AL291&lt;&gt;"",AL291,""))</f>
        <v/>
      </c>
      <c r="AM292">
        <f>IF(AND(AD292=1,AL291&lt;&gt;""),ABS(AB292-AL291),"")</f>
        <v/>
      </c>
    </row>
    <row r="293">
      <c r="A293" t="n">
        <v>1776796202</v>
      </c>
      <c r="B293" t="inlineStr">
        <is>
          <t>XAUUSD</t>
        </is>
      </c>
      <c r="C293" t="inlineStr">
        <is>
          <t>M15</t>
        </is>
      </c>
      <c r="D293" t="n">
        <v>4703.21</v>
      </c>
      <c r="E293" t="n">
        <v>4518.59282</v>
      </c>
      <c r="F293" t="n">
        <v>4596.05595</v>
      </c>
      <c r="G293" t="n">
        <v>4755.40355</v>
      </c>
      <c r="H293" t="n">
        <v>4792.76972</v>
      </c>
      <c r="Q293" t="n">
        <v>4739.76494</v>
      </c>
      <c r="R293" t="n">
        <v>4769.12824</v>
      </c>
      <c r="S293" t="n">
        <v>4795.71701</v>
      </c>
      <c r="V293" t="n">
        <v>4704.82517</v>
      </c>
      <c r="W293" t="n">
        <v>4671.26017</v>
      </c>
      <c r="AB293" t="n">
        <v>4703.26184</v>
      </c>
      <c r="AC293" t="n">
        <v>4704.80164</v>
      </c>
      <c r="AD293" t="n">
        <v>0</v>
      </c>
      <c r="AE293">
        <f>AE292+1</f>
        <v/>
      </c>
      <c r="AF293">
        <f>AF292+1</f>
        <v/>
      </c>
      <c r="AG293">
        <f>D293-Q293</f>
        <v/>
      </c>
      <c r="AH293">
        <f>AG293^2</f>
        <v/>
      </c>
      <c r="AI293">
        <f>(AG293/STDEV($AG$3:$AG$1137))^3</f>
        <v/>
      </c>
      <c r="AJ293">
        <f>(AG293/STDEV($AG$3:$AG$1137))^4</f>
        <v/>
      </c>
      <c r="AK293">
        <f>AF293^2</f>
        <v/>
      </c>
      <c r="AL293">
        <f>IF(AD293=1,AB293,IF(AL292&lt;&gt;"",AL292,""))</f>
        <v/>
      </c>
      <c r="AM293">
        <f>IF(AND(AD293=1,AL292&lt;&gt;""),ABS(AB293-AL292),"")</f>
        <v/>
      </c>
    </row>
    <row r="294">
      <c r="A294" t="n">
        <v>1776797102</v>
      </c>
      <c r="B294" t="inlineStr">
        <is>
          <t>XAUUSD</t>
        </is>
      </c>
      <c r="C294" t="inlineStr">
        <is>
          <t>M15</t>
        </is>
      </c>
      <c r="D294" t="n">
        <v>4709.51</v>
      </c>
      <c r="E294" t="n">
        <v>4518.59282</v>
      </c>
      <c r="F294" t="n">
        <v>4596.05595</v>
      </c>
      <c r="G294" t="n">
        <v>4755.40355</v>
      </c>
      <c r="H294" t="n">
        <v>4792.76972</v>
      </c>
      <c r="Q294" t="n">
        <v>4739.49734</v>
      </c>
      <c r="R294" t="n">
        <v>4768.86064</v>
      </c>
      <c r="S294" t="n">
        <v>4795.44941</v>
      </c>
      <c r="V294" t="n">
        <v>4704.55757</v>
      </c>
      <c r="W294" t="n">
        <v>4670.99257</v>
      </c>
      <c r="AB294" t="n">
        <v>4701.29942</v>
      </c>
      <c r="AC294" t="n">
        <v>4703.05053</v>
      </c>
      <c r="AD294" t="n">
        <v>0</v>
      </c>
      <c r="AE294">
        <f>AE293+1</f>
        <v/>
      </c>
      <c r="AF294">
        <f>AF293+1</f>
        <v/>
      </c>
      <c r="AG294">
        <f>D294-Q294</f>
        <v/>
      </c>
      <c r="AH294">
        <f>AG294^2</f>
        <v/>
      </c>
      <c r="AI294">
        <f>(AG294/STDEV($AG$3:$AG$1137))^3</f>
        <v/>
      </c>
      <c r="AJ294">
        <f>(AG294/STDEV($AG$3:$AG$1137))^4</f>
        <v/>
      </c>
      <c r="AK294">
        <f>AF294^2</f>
        <v/>
      </c>
      <c r="AL294">
        <f>IF(AD294=1,AB294,IF(AL293&lt;&gt;"",AL293,""))</f>
        <v/>
      </c>
      <c r="AM294">
        <f>IF(AND(AD294=1,AL293&lt;&gt;""),ABS(AB294-AL293),"")</f>
        <v/>
      </c>
    </row>
    <row r="295">
      <c r="A295" t="n">
        <v>1776798002</v>
      </c>
      <c r="B295" t="inlineStr">
        <is>
          <t>XAUUSD</t>
        </is>
      </c>
      <c r="C295" t="inlineStr">
        <is>
          <t>M15</t>
        </is>
      </c>
      <c r="D295" t="n">
        <v>4707.33</v>
      </c>
      <c r="E295" t="n">
        <v>4518.59282</v>
      </c>
      <c r="F295" t="n">
        <v>4596.05595</v>
      </c>
      <c r="G295" t="n">
        <v>4755.40355</v>
      </c>
      <c r="H295" t="n">
        <v>4792.76972</v>
      </c>
      <c r="Q295" t="n">
        <v>4739.22973</v>
      </c>
      <c r="R295" t="n">
        <v>4768.59303</v>
      </c>
      <c r="S295" t="n">
        <v>4795.1818</v>
      </c>
      <c r="V295" t="n">
        <v>4704.28996</v>
      </c>
      <c r="W295" t="n">
        <v>4670.72497</v>
      </c>
      <c r="AB295" t="n">
        <v>4699.02568</v>
      </c>
      <c r="AC295" t="n">
        <v>4701.03811</v>
      </c>
      <c r="AD295" t="n">
        <v>0</v>
      </c>
      <c r="AE295">
        <f>AE294+1</f>
        <v/>
      </c>
      <c r="AF295">
        <f>AF294+1</f>
        <v/>
      </c>
      <c r="AG295">
        <f>D295-Q295</f>
        <v/>
      </c>
      <c r="AH295">
        <f>AG295^2</f>
        <v/>
      </c>
      <c r="AI295">
        <f>(AG295/STDEV($AG$3:$AG$1137))^3</f>
        <v/>
      </c>
      <c r="AJ295">
        <f>(AG295/STDEV($AG$3:$AG$1137))^4</f>
        <v/>
      </c>
      <c r="AK295">
        <f>AF295^2</f>
        <v/>
      </c>
      <c r="AL295">
        <f>IF(AD295=1,AB295,IF(AL294&lt;&gt;"",AL294,""))</f>
        <v/>
      </c>
      <c r="AM295">
        <f>IF(AND(AD295=1,AL294&lt;&gt;""),ABS(AB295-AL294),"")</f>
        <v/>
      </c>
    </row>
    <row r="296">
      <c r="A296" t="n">
        <v>1776798902</v>
      </c>
      <c r="B296" t="inlineStr">
        <is>
          <t>XAUUSD</t>
        </is>
      </c>
      <c r="C296" t="inlineStr">
        <is>
          <t>M15</t>
        </is>
      </c>
      <c r="D296" t="n">
        <v>4714.21</v>
      </c>
      <c r="E296" t="n">
        <v>4518.59282</v>
      </c>
      <c r="F296" t="n">
        <v>4596.05595</v>
      </c>
      <c r="G296" t="n">
        <v>4755.40355</v>
      </c>
      <c r="H296" t="n">
        <v>4792.76972</v>
      </c>
      <c r="Q296" t="n">
        <v>4738.96213</v>
      </c>
      <c r="R296" t="n">
        <v>4768.32543</v>
      </c>
      <c r="S296" t="n">
        <v>4794.9142</v>
      </c>
      <c r="V296" t="n">
        <v>4704.02236</v>
      </c>
      <c r="W296" t="n">
        <v>4670.45736</v>
      </c>
      <c r="AB296" t="n">
        <v>4696.85403</v>
      </c>
      <c r="AC296" t="n">
        <v>4698.94607</v>
      </c>
      <c r="AD296" t="n">
        <v>0</v>
      </c>
      <c r="AE296">
        <f>AE295+1</f>
        <v/>
      </c>
      <c r="AF296">
        <f>AF295+1</f>
        <v/>
      </c>
      <c r="AG296">
        <f>D296-Q296</f>
        <v/>
      </c>
      <c r="AH296">
        <f>AG296^2</f>
        <v/>
      </c>
      <c r="AI296">
        <f>(AG296/STDEV($AG$3:$AG$1137))^3</f>
        <v/>
      </c>
      <c r="AJ296">
        <f>(AG296/STDEV($AG$3:$AG$1137))^4</f>
        <v/>
      </c>
      <c r="AK296">
        <f>AF296^2</f>
        <v/>
      </c>
      <c r="AL296">
        <f>IF(AD296=1,AB296,IF(AL295&lt;&gt;"",AL295,""))</f>
        <v/>
      </c>
      <c r="AM296">
        <f>IF(AND(AD296=1,AL295&lt;&gt;""),ABS(AB296-AL295),"")</f>
        <v/>
      </c>
    </row>
    <row r="297">
      <c r="A297" t="n">
        <v>1776799802</v>
      </c>
      <c r="B297" t="inlineStr">
        <is>
          <t>XAUUSD</t>
        </is>
      </c>
      <c r="C297" t="inlineStr">
        <is>
          <t>M15</t>
        </is>
      </c>
      <c r="D297" t="n">
        <v>4671.47</v>
      </c>
      <c r="E297" t="n">
        <v>4518.59282</v>
      </c>
      <c r="F297" t="n">
        <v>4596.05595</v>
      </c>
      <c r="G297" t="n">
        <v>4755.40355</v>
      </c>
      <c r="H297" t="n">
        <v>4792.76972</v>
      </c>
      <c r="Q297" t="n">
        <v>4738.69452</v>
      </c>
      <c r="R297" t="n">
        <v>4768.05782</v>
      </c>
      <c r="S297" t="n">
        <v>4794.64659</v>
      </c>
      <c r="V297" t="n">
        <v>4703.75475</v>
      </c>
      <c r="W297" t="n">
        <v>4670.18976</v>
      </c>
      <c r="AA297" t="n">
        <v>4668.61</v>
      </c>
      <c r="AB297" t="n">
        <v>4695.08787</v>
      </c>
      <c r="AC297" t="n">
        <v>4697.01697</v>
      </c>
      <c r="AD297" t="n">
        <v>0</v>
      </c>
      <c r="AE297">
        <f>AE296+1</f>
        <v/>
      </c>
      <c r="AF297">
        <f>AF296+1</f>
        <v/>
      </c>
      <c r="AG297">
        <f>D297-Q297</f>
        <v/>
      </c>
      <c r="AH297">
        <f>AG297^2</f>
        <v/>
      </c>
      <c r="AI297">
        <f>(AG297/STDEV($AG$3:$AG$1137))^3</f>
        <v/>
      </c>
      <c r="AJ297">
        <f>(AG297/STDEV($AG$3:$AG$1137))^4</f>
        <v/>
      </c>
      <c r="AK297">
        <f>AF297^2</f>
        <v/>
      </c>
      <c r="AL297">
        <f>IF(AD297=1,AB297,IF(AL296&lt;&gt;"",AL296,""))</f>
        <v/>
      </c>
      <c r="AM297">
        <f>IF(AND(AD297=1,AL296&lt;&gt;""),ABS(AB297-AL296),"")</f>
        <v/>
      </c>
    </row>
    <row r="298">
      <c r="A298" t="n">
        <v>1776800702</v>
      </c>
      <c r="B298" t="inlineStr">
        <is>
          <t>XAUUSD</t>
        </is>
      </c>
      <c r="C298" t="inlineStr">
        <is>
          <t>M15</t>
        </is>
      </c>
      <c r="D298" t="n">
        <v>4679.23</v>
      </c>
      <c r="E298" t="n">
        <v>4518.59282</v>
      </c>
      <c r="F298" t="n">
        <v>4596.05595</v>
      </c>
      <c r="G298" t="n">
        <v>4755.40355</v>
      </c>
      <c r="H298" t="n">
        <v>4792.76972</v>
      </c>
      <c r="Q298" t="n">
        <v>4738.42692</v>
      </c>
      <c r="R298" t="n">
        <v>4767.79022</v>
      </c>
      <c r="S298" t="n">
        <v>4794.37899</v>
      </c>
      <c r="V298" t="n">
        <v>4703.48715</v>
      </c>
      <c r="W298" t="n">
        <v>4669.92215</v>
      </c>
      <c r="AB298" t="n">
        <v>4695.36857</v>
      </c>
      <c r="AC298" t="n">
        <v>4696.19277</v>
      </c>
      <c r="AD298" t="n">
        <v>0</v>
      </c>
      <c r="AE298">
        <f>AE297+1</f>
        <v/>
      </c>
      <c r="AF298">
        <f>AF297+1</f>
        <v/>
      </c>
      <c r="AG298">
        <f>D298-Q298</f>
        <v/>
      </c>
      <c r="AH298">
        <f>AG298^2</f>
        <v/>
      </c>
      <c r="AI298">
        <f>(AG298/STDEV($AG$3:$AG$1137))^3</f>
        <v/>
      </c>
      <c r="AJ298">
        <f>(AG298/STDEV($AG$3:$AG$1137))^4</f>
        <v/>
      </c>
      <c r="AK298">
        <f>AF298^2</f>
        <v/>
      </c>
      <c r="AL298">
        <f>IF(AD298=1,AB298,IF(AL297&lt;&gt;"",AL297,""))</f>
        <v/>
      </c>
      <c r="AM298">
        <f>IF(AND(AD298=1,AL297&lt;&gt;""),ABS(AB298-AL297),"")</f>
        <v/>
      </c>
    </row>
    <row r="299">
      <c r="A299" t="n">
        <v>1776801602</v>
      </c>
      <c r="B299" t="inlineStr">
        <is>
          <t>XAUUSD</t>
        </is>
      </c>
      <c r="C299" t="inlineStr">
        <is>
          <t>M15</t>
        </is>
      </c>
      <c r="D299" t="n">
        <v>4696.98</v>
      </c>
      <c r="E299" t="n">
        <v>4518.59282</v>
      </c>
      <c r="F299" t="n">
        <v>4596.05595</v>
      </c>
      <c r="G299" t="n">
        <v>4755.40355</v>
      </c>
      <c r="H299" t="n">
        <v>4792.76972</v>
      </c>
      <c r="Q299" t="n">
        <v>4738.15932</v>
      </c>
      <c r="R299" t="n">
        <v>4767.52262</v>
      </c>
      <c r="S299" t="n">
        <v>4794.11139</v>
      </c>
      <c r="V299" t="n">
        <v>4703.21955</v>
      </c>
      <c r="W299" t="n">
        <v>4669.65455</v>
      </c>
      <c r="AB299" t="n">
        <v>4697.71023</v>
      </c>
      <c r="AC299" t="n">
        <v>4696.9515</v>
      </c>
      <c r="AD299" t="n">
        <v>1</v>
      </c>
      <c r="AE299">
        <f>AE298+1</f>
        <v/>
      </c>
      <c r="AF299">
        <f>AF298+1</f>
        <v/>
      </c>
      <c r="AG299">
        <f>D299-Q299</f>
        <v/>
      </c>
      <c r="AH299">
        <f>AG299^2</f>
        <v/>
      </c>
      <c r="AI299">
        <f>(AG299/STDEV($AG$3:$AG$1137))^3</f>
        <v/>
      </c>
      <c r="AJ299">
        <f>(AG299/STDEV($AG$3:$AG$1137))^4</f>
        <v/>
      </c>
      <c r="AK299">
        <f>AF299^2</f>
        <v/>
      </c>
      <c r="AL299">
        <f>IF(AD299=1,AB299,IF(AL298&lt;&gt;"",AL298,""))</f>
        <v/>
      </c>
      <c r="AM299">
        <f>IF(AND(AD299=1,AL298&lt;&gt;""),ABS(AB299-AL298),"")</f>
        <v/>
      </c>
    </row>
    <row r="300">
      <c r="A300" t="n">
        <v>1776802502</v>
      </c>
      <c r="B300" t="inlineStr">
        <is>
          <t>XAUUSD</t>
        </is>
      </c>
      <c r="C300" t="inlineStr">
        <is>
          <t>M15</t>
        </is>
      </c>
      <c r="D300" t="n">
        <v>4705.65</v>
      </c>
      <c r="E300" t="n">
        <v>4518.59282</v>
      </c>
      <c r="F300" t="n">
        <v>4596.05595</v>
      </c>
      <c r="G300" t="n">
        <v>4755.40355</v>
      </c>
      <c r="H300" t="n">
        <v>4792.76972</v>
      </c>
      <c r="Q300" t="n">
        <v>4737.89171</v>
      </c>
      <c r="R300" t="n">
        <v>4767.25501</v>
      </c>
      <c r="S300" t="n">
        <v>4793.84378</v>
      </c>
      <c r="V300" t="n">
        <v>4702.95194</v>
      </c>
      <c r="W300" t="n">
        <v>4669.38695</v>
      </c>
      <c r="AB300" t="n">
        <v>4701.50399</v>
      </c>
      <c r="AC300" t="n">
        <v>4699.22775</v>
      </c>
      <c r="AD300" t="n">
        <v>0</v>
      </c>
      <c r="AE300">
        <f>AE299+1</f>
        <v/>
      </c>
      <c r="AF300">
        <f>AF299+1</f>
        <v/>
      </c>
      <c r="AG300">
        <f>D300-Q300</f>
        <v/>
      </c>
      <c r="AH300">
        <f>AG300^2</f>
        <v/>
      </c>
      <c r="AI300">
        <f>(AG300/STDEV($AG$3:$AG$1137))^3</f>
        <v/>
      </c>
      <c r="AJ300">
        <f>(AG300/STDEV($AG$3:$AG$1137))^4</f>
        <v/>
      </c>
      <c r="AK300">
        <f>AF300^2</f>
        <v/>
      </c>
      <c r="AL300">
        <f>IF(AD300=1,AB300,IF(AL299&lt;&gt;"",AL299,""))</f>
        <v/>
      </c>
      <c r="AM300">
        <f>IF(AND(AD300=1,AL299&lt;&gt;""),ABS(AB300-AL299),"")</f>
        <v/>
      </c>
    </row>
    <row r="301">
      <c r="A301" t="n">
        <v>1776803402</v>
      </c>
      <c r="B301" t="inlineStr">
        <is>
          <t>XAUUSD</t>
        </is>
      </c>
      <c r="C301" t="inlineStr">
        <is>
          <t>M15</t>
        </is>
      </c>
      <c r="D301" t="n">
        <v>4711.42</v>
      </c>
      <c r="E301" t="n">
        <v>4518.59282</v>
      </c>
      <c r="F301" t="n">
        <v>4596.05595</v>
      </c>
      <c r="G301" t="n">
        <v>4755.40355</v>
      </c>
      <c r="H301" t="n">
        <v>4792.76972</v>
      </c>
      <c r="Q301" t="n">
        <v>4737.62411</v>
      </c>
      <c r="R301" t="n">
        <v>4766.98741</v>
      </c>
      <c r="S301" t="n">
        <v>4793.57618</v>
      </c>
      <c r="V301" t="n">
        <v>4702.68434</v>
      </c>
      <c r="W301" t="n">
        <v>4669.11934</v>
      </c>
      <c r="AB301" t="n">
        <v>4706.169</v>
      </c>
      <c r="AC301" t="n">
        <v>4702.69837</v>
      </c>
      <c r="AD301" t="n">
        <v>0</v>
      </c>
      <c r="AE301">
        <f>AE300+1</f>
        <v/>
      </c>
      <c r="AF301">
        <f>AF300+1</f>
        <v/>
      </c>
      <c r="AG301">
        <f>D301-Q301</f>
        <v/>
      </c>
      <c r="AH301">
        <f>AG301^2</f>
        <v/>
      </c>
      <c r="AI301">
        <f>(AG301/STDEV($AG$3:$AG$1137))^3</f>
        <v/>
      </c>
      <c r="AJ301">
        <f>(AG301/STDEV($AG$3:$AG$1137))^4</f>
        <v/>
      </c>
      <c r="AK301">
        <f>AF301^2</f>
        <v/>
      </c>
      <c r="AL301">
        <f>IF(AD301=1,AB301,IF(AL300&lt;&gt;"",AL300,""))</f>
        <v/>
      </c>
      <c r="AM301">
        <f>IF(AND(AD301=1,AL300&lt;&gt;""),ABS(AB301-AL300),"")</f>
        <v/>
      </c>
    </row>
    <row r="302">
      <c r="A302" t="n">
        <v>1776804302</v>
      </c>
      <c r="B302" t="inlineStr">
        <is>
          <t>XAUUSD</t>
        </is>
      </c>
      <c r="C302" t="inlineStr">
        <is>
          <t>M15</t>
        </is>
      </c>
      <c r="D302" t="n">
        <v>4720.16</v>
      </c>
      <c r="E302" t="n">
        <v>4518.59282</v>
      </c>
      <c r="F302" t="n">
        <v>4596.05595</v>
      </c>
      <c r="G302" t="n">
        <v>4755.40355</v>
      </c>
      <c r="H302" t="n">
        <v>4792.76972</v>
      </c>
      <c r="Q302" t="n">
        <v>4737.3565</v>
      </c>
      <c r="R302" t="n">
        <v>4766.7198</v>
      </c>
      <c r="S302" t="n">
        <v>4793.30857</v>
      </c>
      <c r="V302" t="n">
        <v>4702.41673</v>
      </c>
      <c r="W302" t="n">
        <v>4668.85174</v>
      </c>
      <c r="AB302" t="n">
        <v>4711.13674</v>
      </c>
      <c r="AC302" t="n">
        <v>4706.91755</v>
      </c>
      <c r="AD302" t="n">
        <v>0</v>
      </c>
      <c r="AE302">
        <f>AE301+1</f>
        <v/>
      </c>
      <c r="AF302">
        <f>AF301+1</f>
        <v/>
      </c>
      <c r="AG302">
        <f>D302-Q302</f>
        <v/>
      </c>
      <c r="AH302">
        <f>AG302^2</f>
        <v/>
      </c>
      <c r="AI302">
        <f>(AG302/STDEV($AG$3:$AG$1137))^3</f>
        <v/>
      </c>
      <c r="AJ302">
        <f>(AG302/STDEV($AG$3:$AG$1137))^4</f>
        <v/>
      </c>
      <c r="AK302">
        <f>AF302^2</f>
        <v/>
      </c>
      <c r="AL302">
        <f>IF(AD302=1,AB302,IF(AL301&lt;&gt;"",AL301,""))</f>
        <v/>
      </c>
      <c r="AM302">
        <f>IF(AND(AD302=1,AL301&lt;&gt;""),ABS(AB302-AL301),"")</f>
        <v/>
      </c>
    </row>
    <row r="303">
      <c r="A303" t="n">
        <v>1776808802</v>
      </c>
      <c r="B303" t="inlineStr">
        <is>
          <t>XAUUSD</t>
        </is>
      </c>
      <c r="C303" t="inlineStr">
        <is>
          <t>M15</t>
        </is>
      </c>
      <c r="D303" t="n">
        <v>4721.88</v>
      </c>
      <c r="E303" t="n">
        <v>4518.59282</v>
      </c>
      <c r="F303" t="n">
        <v>4596.05595</v>
      </c>
      <c r="G303" t="n">
        <v>4755.40355</v>
      </c>
      <c r="H303" t="n">
        <v>4792.76972</v>
      </c>
      <c r="Q303" t="n">
        <v>4737.0889</v>
      </c>
      <c r="R303" t="n">
        <v>4766.4522</v>
      </c>
      <c r="S303" t="n">
        <v>4793.04097</v>
      </c>
      <c r="V303" t="n">
        <v>4702.14913</v>
      </c>
      <c r="W303" t="n">
        <v>4668.58413</v>
      </c>
      <c r="AB303" t="n">
        <v>4715.74831</v>
      </c>
      <c r="AC303" t="n">
        <v>4711.33293</v>
      </c>
      <c r="AD303" t="n">
        <v>0</v>
      </c>
      <c r="AE303">
        <f>AE302+1</f>
        <v/>
      </c>
      <c r="AF303">
        <f>AF302+1</f>
        <v/>
      </c>
      <c r="AG303">
        <f>D303-Q303</f>
        <v/>
      </c>
      <c r="AH303">
        <f>AG303^2</f>
        <v/>
      </c>
      <c r="AI303">
        <f>(AG303/STDEV($AG$3:$AG$1137))^3</f>
        <v/>
      </c>
      <c r="AJ303">
        <f>(AG303/STDEV($AG$3:$AG$1137))^4</f>
        <v/>
      </c>
      <c r="AK303">
        <f>AF303^2</f>
        <v/>
      </c>
      <c r="AL303">
        <f>IF(AD303=1,AB303,IF(AL302&lt;&gt;"",AL302,""))</f>
        <v/>
      </c>
      <c r="AM303">
        <f>IF(AND(AD303=1,AL302&lt;&gt;""),ABS(AB303-AL302),"")</f>
        <v/>
      </c>
    </row>
    <row r="304">
      <c r="A304" t="n">
        <v>1776809702</v>
      </c>
      <c r="B304" t="inlineStr">
        <is>
          <t>XAUUSD</t>
        </is>
      </c>
      <c r="C304" t="inlineStr">
        <is>
          <t>M15</t>
        </is>
      </c>
      <c r="D304" t="n">
        <v>4719.05</v>
      </c>
      <c r="E304" t="n">
        <v>4518.59282</v>
      </c>
      <c r="F304" t="n">
        <v>4596.05595</v>
      </c>
      <c r="G304" t="n">
        <v>4755.40355</v>
      </c>
      <c r="H304" t="n">
        <v>4792.76972</v>
      </c>
      <c r="Q304" t="n">
        <v>4736.8213</v>
      </c>
      <c r="R304" t="n">
        <v>4766.18459</v>
      </c>
      <c r="S304" t="n">
        <v>4792.77337</v>
      </c>
      <c r="V304" t="n">
        <v>4701.88153</v>
      </c>
      <c r="W304" t="n">
        <v>4668.31653</v>
      </c>
      <c r="AB304" t="n">
        <v>4719.6942</v>
      </c>
      <c r="AC304" t="n">
        <v>4715.51357</v>
      </c>
      <c r="AD304" t="n">
        <v>0</v>
      </c>
      <c r="AE304">
        <f>AE303+1</f>
        <v/>
      </c>
      <c r="AF304">
        <f>AF303+1</f>
        <v/>
      </c>
      <c r="AG304">
        <f>D304-Q304</f>
        <v/>
      </c>
      <c r="AH304">
        <f>AG304^2</f>
        <v/>
      </c>
      <c r="AI304">
        <f>(AG304/STDEV($AG$3:$AG$1137))^3</f>
        <v/>
      </c>
      <c r="AJ304">
        <f>(AG304/STDEV($AG$3:$AG$1137))^4</f>
        <v/>
      </c>
      <c r="AK304">
        <f>AF304^2</f>
        <v/>
      </c>
      <c r="AL304">
        <f>IF(AD304=1,AB304,IF(AL303&lt;&gt;"",AL303,""))</f>
        <v/>
      </c>
      <c r="AM304">
        <f>IF(AND(AD304=1,AL303&lt;&gt;""),ABS(AB304-AL303),"")</f>
        <v/>
      </c>
    </row>
    <row r="305">
      <c r="A305" t="n">
        <v>1776810602</v>
      </c>
      <c r="B305" t="inlineStr">
        <is>
          <t>XAUUSD</t>
        </is>
      </c>
      <c r="C305" t="inlineStr">
        <is>
          <t>M15</t>
        </is>
      </c>
      <c r="D305" t="n">
        <v>4716.95</v>
      </c>
      <c r="E305" t="n">
        <v>4518.59282</v>
      </c>
      <c r="F305" t="n">
        <v>4596.05595</v>
      </c>
      <c r="G305" t="n">
        <v>4755.40355</v>
      </c>
      <c r="H305" t="n">
        <v>4792.76972</v>
      </c>
      <c r="Q305" t="n">
        <v>4736.55369</v>
      </c>
      <c r="R305" t="n">
        <v>4765.91699</v>
      </c>
      <c r="S305" t="n">
        <v>4792.50576</v>
      </c>
      <c r="V305" t="n">
        <v>4701.61392</v>
      </c>
      <c r="W305" t="n">
        <v>4668.04893</v>
      </c>
      <c r="AB305" t="n">
        <v>4723.03002</v>
      </c>
      <c r="AC305" t="n">
        <v>4719.2718</v>
      </c>
      <c r="AD305" t="n">
        <v>0</v>
      </c>
      <c r="AE305">
        <f>AE304+1</f>
        <v/>
      </c>
      <c r="AF305">
        <f>AF304+1</f>
        <v/>
      </c>
      <c r="AG305">
        <f>D305-Q305</f>
        <v/>
      </c>
      <c r="AH305">
        <f>AG305^2</f>
        <v/>
      </c>
      <c r="AI305">
        <f>(AG305/STDEV($AG$3:$AG$1137))^3</f>
        <v/>
      </c>
      <c r="AJ305">
        <f>(AG305/STDEV($AG$3:$AG$1137))^4</f>
        <v/>
      </c>
      <c r="AK305">
        <f>AF305^2</f>
        <v/>
      </c>
      <c r="AL305">
        <f>IF(AD305=1,AB305,IF(AL304&lt;&gt;"",AL304,""))</f>
        <v/>
      </c>
      <c r="AM305">
        <f>IF(AND(AD305=1,AL304&lt;&gt;""),ABS(AB305-AL304),"")</f>
        <v/>
      </c>
    </row>
    <row r="306">
      <c r="A306" t="n">
        <v>1776811502</v>
      </c>
      <c r="B306" t="inlineStr">
        <is>
          <t>XAUUSD</t>
        </is>
      </c>
      <c r="C306" t="inlineStr">
        <is>
          <t>M15</t>
        </is>
      </c>
      <c r="D306" t="n">
        <v>4719.51</v>
      </c>
      <c r="E306" t="n">
        <v>4518.59282</v>
      </c>
      <c r="F306" t="n">
        <v>4596.05595</v>
      </c>
      <c r="G306" t="n">
        <v>4755.40355</v>
      </c>
      <c r="H306" t="n">
        <v>4792.76972</v>
      </c>
      <c r="Q306" t="n">
        <v>4736.28609</v>
      </c>
      <c r="R306" t="n">
        <v>4765.64939</v>
      </c>
      <c r="S306" t="n">
        <v>4792.23816</v>
      </c>
      <c r="V306" t="n">
        <v>4701.34632</v>
      </c>
      <c r="W306" t="n">
        <v>4667.78132</v>
      </c>
      <c r="AB306" t="n">
        <v>4725.94303</v>
      </c>
      <c r="AC306" t="n">
        <v>4722.60742</v>
      </c>
      <c r="AD306" t="n">
        <v>0</v>
      </c>
      <c r="AE306">
        <f>AE305+1</f>
        <v/>
      </c>
      <c r="AF306">
        <f>AF305+1</f>
        <v/>
      </c>
      <c r="AG306">
        <f>D306-Q306</f>
        <v/>
      </c>
      <c r="AH306">
        <f>AG306^2</f>
        <v/>
      </c>
      <c r="AI306">
        <f>(AG306/STDEV($AG$3:$AG$1137))^3</f>
        <v/>
      </c>
      <c r="AJ306">
        <f>(AG306/STDEV($AG$3:$AG$1137))^4</f>
        <v/>
      </c>
      <c r="AK306">
        <f>AF306^2</f>
        <v/>
      </c>
      <c r="AL306">
        <f>IF(AD306=1,AB306,IF(AL305&lt;&gt;"",AL305,""))</f>
        <v/>
      </c>
      <c r="AM306">
        <f>IF(AND(AD306=1,AL305&lt;&gt;""),ABS(AB306-AL305),"")</f>
        <v/>
      </c>
    </row>
    <row r="307">
      <c r="A307" t="n">
        <v>1776812402</v>
      </c>
      <c r="B307" t="inlineStr">
        <is>
          <t>XAUUSD</t>
        </is>
      </c>
      <c r="C307" t="inlineStr">
        <is>
          <t>M15</t>
        </is>
      </c>
      <c r="D307" t="n">
        <v>4727.47</v>
      </c>
      <c r="E307" t="n">
        <v>4518.59282</v>
      </c>
      <c r="F307" t="n">
        <v>4596.05595</v>
      </c>
      <c r="G307" t="n">
        <v>4755.40355</v>
      </c>
      <c r="H307" t="n">
        <v>4792.76972</v>
      </c>
      <c r="Q307" t="n">
        <v>4736.01848</v>
      </c>
      <c r="R307" t="n">
        <v>4765.38178</v>
      </c>
      <c r="S307" t="n">
        <v>4791.97055</v>
      </c>
      <c r="V307" t="n">
        <v>4701.07871</v>
      </c>
      <c r="W307" t="n">
        <v>4667.51372</v>
      </c>
      <c r="AB307" t="n">
        <v>4728.56833</v>
      </c>
      <c r="AC307" t="n">
        <v>4725.58787</v>
      </c>
      <c r="AD307" t="n">
        <v>0</v>
      </c>
      <c r="AE307">
        <f>AE306+1</f>
        <v/>
      </c>
      <c r="AF307">
        <f>AF306+1</f>
        <v/>
      </c>
      <c r="AG307">
        <f>D307-Q307</f>
        <v/>
      </c>
      <c r="AH307">
        <f>AG307^2</f>
        <v/>
      </c>
      <c r="AI307">
        <f>(AG307/STDEV($AG$3:$AG$1137))^3</f>
        <v/>
      </c>
      <c r="AJ307">
        <f>(AG307/STDEV($AG$3:$AG$1137))^4</f>
        <v/>
      </c>
      <c r="AK307">
        <f>AF307^2</f>
        <v/>
      </c>
      <c r="AL307">
        <f>IF(AD307=1,AB307,IF(AL306&lt;&gt;"",AL306,""))</f>
        <v/>
      </c>
      <c r="AM307">
        <f>IF(AND(AD307=1,AL306&lt;&gt;""),ABS(AB307-AL306),"")</f>
        <v/>
      </c>
    </row>
    <row r="308">
      <c r="A308" t="n">
        <v>1776813302</v>
      </c>
      <c r="B308" t="inlineStr">
        <is>
          <t>XAUUSD</t>
        </is>
      </c>
      <c r="C308" t="inlineStr">
        <is>
          <t>M15</t>
        </is>
      </c>
      <c r="D308" t="n">
        <v>4730</v>
      </c>
      <c r="E308" t="n">
        <v>4518.59282</v>
      </c>
      <c r="F308" t="n">
        <v>4596.05595</v>
      </c>
      <c r="G308" t="n">
        <v>4755.40355</v>
      </c>
      <c r="H308" t="n">
        <v>4792.76972</v>
      </c>
      <c r="Q308" t="n">
        <v>4735.75088</v>
      </c>
      <c r="R308" t="n">
        <v>4765.11418</v>
      </c>
      <c r="S308" t="n">
        <v>4791.70295</v>
      </c>
      <c r="V308" t="n">
        <v>4700.81111</v>
      </c>
      <c r="W308" t="n">
        <v>4667.24611</v>
      </c>
      <c r="AB308" t="n">
        <v>4730.96557</v>
      </c>
      <c r="AC308" t="n">
        <v>4728.27672</v>
      </c>
      <c r="AD308" t="n">
        <v>0</v>
      </c>
      <c r="AE308">
        <f>AE307+1</f>
        <v/>
      </c>
      <c r="AF308">
        <f>AF307+1</f>
        <v/>
      </c>
      <c r="AG308">
        <f>D308-Q308</f>
        <v/>
      </c>
      <c r="AH308">
        <f>AG308^2</f>
        <v/>
      </c>
      <c r="AI308">
        <f>(AG308/STDEV($AG$3:$AG$1137))^3</f>
        <v/>
      </c>
      <c r="AJ308">
        <f>(AG308/STDEV($AG$3:$AG$1137))^4</f>
        <v/>
      </c>
      <c r="AK308">
        <f>AF308^2</f>
        <v/>
      </c>
      <c r="AL308">
        <f>IF(AD308=1,AB308,IF(AL307&lt;&gt;"",AL307,""))</f>
        <v/>
      </c>
      <c r="AM308">
        <f>IF(AND(AD308=1,AL307&lt;&gt;""),ABS(AB308-AL307),"")</f>
        <v/>
      </c>
    </row>
    <row r="309">
      <c r="A309" t="n">
        <v>1776814202</v>
      </c>
      <c r="B309" t="inlineStr">
        <is>
          <t>XAUUSD</t>
        </is>
      </c>
      <c r="C309" t="inlineStr">
        <is>
          <t>M15</t>
        </is>
      </c>
      <c r="D309" t="n">
        <v>4731.94</v>
      </c>
      <c r="E309" t="n">
        <v>4518.59282</v>
      </c>
      <c r="F309" t="n">
        <v>4596.05595</v>
      </c>
      <c r="G309" t="n">
        <v>4755.40355</v>
      </c>
      <c r="H309" t="n">
        <v>4792.76972</v>
      </c>
      <c r="Q309" t="n">
        <v>4735.48328</v>
      </c>
      <c r="R309" t="n">
        <v>4764.84657</v>
      </c>
      <c r="S309" t="n">
        <v>4791.43535</v>
      </c>
      <c r="V309" t="n">
        <v>4700.54351</v>
      </c>
      <c r="W309" t="n">
        <v>4666.97851</v>
      </c>
      <c r="AB309" t="n">
        <v>4733.2586</v>
      </c>
      <c r="AC309" t="n">
        <v>4730.76766</v>
      </c>
      <c r="AD309" t="n">
        <v>0</v>
      </c>
      <c r="AE309">
        <f>AE308+1</f>
        <v/>
      </c>
      <c r="AF309">
        <f>AF308+1</f>
        <v/>
      </c>
      <c r="AG309">
        <f>D309-Q309</f>
        <v/>
      </c>
      <c r="AH309">
        <f>AG309^2</f>
        <v/>
      </c>
      <c r="AI309">
        <f>(AG309/STDEV($AG$3:$AG$1137))^3</f>
        <v/>
      </c>
      <c r="AJ309">
        <f>(AG309/STDEV($AG$3:$AG$1137))^4</f>
        <v/>
      </c>
      <c r="AK309">
        <f>AF309^2</f>
        <v/>
      </c>
      <c r="AL309">
        <f>IF(AD309=1,AB309,IF(AL308&lt;&gt;"",AL308,""))</f>
        <v/>
      </c>
      <c r="AM309">
        <f>IF(AND(AD309=1,AL308&lt;&gt;""),ABS(AB309-AL308),"")</f>
        <v/>
      </c>
    </row>
    <row r="310">
      <c r="A310" t="n">
        <v>1776815102</v>
      </c>
      <c r="B310" t="inlineStr">
        <is>
          <t>XAUUSD</t>
        </is>
      </c>
      <c r="C310" t="inlineStr">
        <is>
          <t>M15</t>
        </is>
      </c>
      <c r="D310" t="n">
        <v>4737.96</v>
      </c>
      <c r="E310" t="n">
        <v>4518.59282</v>
      </c>
      <c r="F310" t="n">
        <v>4596.05595</v>
      </c>
      <c r="G310" t="n">
        <v>4755.40355</v>
      </c>
      <c r="H310" t="n">
        <v>4792.76972</v>
      </c>
      <c r="Q310" t="n">
        <v>4735.21567</v>
      </c>
      <c r="R310" t="n">
        <v>4764.57897</v>
      </c>
      <c r="S310" t="n">
        <v>4791.16774</v>
      </c>
      <c r="V310" t="n">
        <v>4700.2759</v>
      </c>
      <c r="W310" t="n">
        <v>4666.7109</v>
      </c>
      <c r="AB310" t="n">
        <v>4735.50278</v>
      </c>
      <c r="AC310" t="n">
        <v>4733.13522</v>
      </c>
      <c r="AD310" t="n">
        <v>0</v>
      </c>
      <c r="AE310">
        <f>AE309+1</f>
        <v/>
      </c>
      <c r="AF310">
        <f>AF309+1</f>
        <v/>
      </c>
      <c r="AG310">
        <f>D310-Q310</f>
        <v/>
      </c>
      <c r="AH310">
        <f>AG310^2</f>
        <v/>
      </c>
      <c r="AI310">
        <f>(AG310/STDEV($AG$3:$AG$1137))^3</f>
        <v/>
      </c>
      <c r="AJ310">
        <f>(AG310/STDEV($AG$3:$AG$1137))^4</f>
        <v/>
      </c>
      <c r="AK310">
        <f>AF310^2</f>
        <v/>
      </c>
      <c r="AL310">
        <f>IF(AD310=1,AB310,IF(AL309&lt;&gt;"",AL309,""))</f>
        <v/>
      </c>
      <c r="AM310">
        <f>IF(AND(AD310=1,AL309&lt;&gt;""),ABS(AB310-AL309),"")</f>
        <v/>
      </c>
    </row>
    <row r="311">
      <c r="A311" t="n">
        <v>1776816002</v>
      </c>
      <c r="B311" t="inlineStr">
        <is>
          <t>XAUUSD</t>
        </is>
      </c>
      <c r="C311" t="inlineStr">
        <is>
          <t>M15</t>
        </is>
      </c>
      <c r="D311" t="n">
        <v>4742.93</v>
      </c>
      <c r="E311" t="n">
        <v>4518.59282</v>
      </c>
      <c r="F311" t="n">
        <v>4596.05595</v>
      </c>
      <c r="G311" t="n">
        <v>4755.40355</v>
      </c>
      <c r="H311" t="n">
        <v>4792.76972</v>
      </c>
      <c r="Q311" t="n">
        <v>4734.94807</v>
      </c>
      <c r="R311" t="n">
        <v>4764.31137</v>
      </c>
      <c r="S311" t="n">
        <v>4790.90014</v>
      </c>
      <c r="V311" t="n">
        <v>4700.0083</v>
      </c>
      <c r="W311" t="n">
        <v>4666.4433</v>
      </c>
      <c r="AB311" t="n">
        <v>4737.5975</v>
      </c>
      <c r="AC311" t="n">
        <v>4735.36636</v>
      </c>
      <c r="AD311" t="n">
        <v>0</v>
      </c>
      <c r="AE311">
        <f>AE310+1</f>
        <v/>
      </c>
      <c r="AF311">
        <f>AF310+1</f>
        <v/>
      </c>
      <c r="AG311">
        <f>D311-Q311</f>
        <v/>
      </c>
      <c r="AH311">
        <f>AG311^2</f>
        <v/>
      </c>
      <c r="AI311">
        <f>(AG311/STDEV($AG$3:$AG$1137))^3</f>
        <v/>
      </c>
      <c r="AJ311">
        <f>(AG311/STDEV($AG$3:$AG$1137))^4</f>
        <v/>
      </c>
      <c r="AK311">
        <f>AF311^2</f>
        <v/>
      </c>
      <c r="AL311">
        <f>IF(AD311=1,AB311,IF(AL310&lt;&gt;"",AL310,""))</f>
        <v/>
      </c>
      <c r="AM311">
        <f>IF(AND(AD311=1,AL310&lt;&gt;""),ABS(AB311-AL310),"")</f>
        <v/>
      </c>
    </row>
    <row r="312">
      <c r="A312" t="n">
        <v>1776816902</v>
      </c>
      <c r="B312" t="inlineStr">
        <is>
          <t>XAUUSD</t>
        </is>
      </c>
      <c r="C312" t="inlineStr">
        <is>
          <t>M15</t>
        </is>
      </c>
      <c r="D312" t="n">
        <v>4742.51</v>
      </c>
      <c r="E312" t="n">
        <v>4518.59282</v>
      </c>
      <c r="F312" t="n">
        <v>4596.05595</v>
      </c>
      <c r="G312" t="n">
        <v>4755.40355</v>
      </c>
      <c r="H312" t="n">
        <v>4792.76972</v>
      </c>
      <c r="Q312" t="n">
        <v>4734.68046</v>
      </c>
      <c r="R312" t="n">
        <v>4764.04376</v>
      </c>
      <c r="S312" t="n">
        <v>4790.63253</v>
      </c>
      <c r="V312" t="n">
        <v>4699.74069</v>
      </c>
      <c r="W312" t="n">
        <v>4666.1757</v>
      </c>
      <c r="AB312" t="n">
        <v>4739.43903</v>
      </c>
      <c r="AC312" t="n">
        <v>4737.4027</v>
      </c>
      <c r="AD312" t="n">
        <v>0</v>
      </c>
      <c r="AE312">
        <f>AE311+1</f>
        <v/>
      </c>
      <c r="AF312">
        <f>AF311+1</f>
        <v/>
      </c>
      <c r="AG312">
        <f>D312-Q312</f>
        <v/>
      </c>
      <c r="AH312">
        <f>AG312^2</f>
        <v/>
      </c>
      <c r="AI312">
        <f>(AG312/STDEV($AG$3:$AG$1137))^3</f>
        <v/>
      </c>
      <c r="AJ312">
        <f>(AG312/STDEV($AG$3:$AG$1137))^4</f>
        <v/>
      </c>
      <c r="AK312">
        <f>AF312^2</f>
        <v/>
      </c>
      <c r="AL312">
        <f>IF(AD312=1,AB312,IF(AL311&lt;&gt;"",AL311,""))</f>
        <v/>
      </c>
      <c r="AM312">
        <f>IF(AND(AD312=1,AL311&lt;&gt;""),ABS(AB312-AL311),"")</f>
        <v/>
      </c>
    </row>
    <row r="313">
      <c r="A313" t="n">
        <v>1776817802</v>
      </c>
      <c r="B313" t="inlineStr">
        <is>
          <t>XAUUSD</t>
        </is>
      </c>
      <c r="C313" t="inlineStr">
        <is>
          <t>M15</t>
        </is>
      </c>
      <c r="D313" t="n">
        <v>4742.11</v>
      </c>
      <c r="E313" t="n">
        <v>4518.59282</v>
      </c>
      <c r="F313" t="n">
        <v>4596.05595</v>
      </c>
      <c r="G313" t="n">
        <v>4755.40355</v>
      </c>
      <c r="H313" t="n">
        <v>4792.76972</v>
      </c>
      <c r="Q313" t="n">
        <v>4734.41286</v>
      </c>
      <c r="R313" t="n">
        <v>4763.77616</v>
      </c>
      <c r="S313" t="n">
        <v>4790.36493</v>
      </c>
      <c r="V313" t="n">
        <v>4699.47309</v>
      </c>
      <c r="W313" t="n">
        <v>4665.90809</v>
      </c>
      <c r="AB313" t="n">
        <v>4741.10498</v>
      </c>
      <c r="AC313" t="n">
        <v>4739.25384</v>
      </c>
      <c r="AD313" t="n">
        <v>0</v>
      </c>
      <c r="AE313">
        <f>AE312+1</f>
        <v/>
      </c>
      <c r="AF313">
        <f>AF312+1</f>
        <v/>
      </c>
      <c r="AG313">
        <f>D313-Q313</f>
        <v/>
      </c>
      <c r="AH313">
        <f>AG313^2</f>
        <v/>
      </c>
      <c r="AI313">
        <f>(AG313/STDEV($AG$3:$AG$1137))^3</f>
        <v/>
      </c>
      <c r="AJ313">
        <f>(AG313/STDEV($AG$3:$AG$1137))^4</f>
        <v/>
      </c>
      <c r="AK313">
        <f>AF313^2</f>
        <v/>
      </c>
      <c r="AL313">
        <f>IF(AD313=1,AB313,IF(AL312&lt;&gt;"",AL312,""))</f>
        <v/>
      </c>
      <c r="AM313">
        <f>IF(AND(AD313=1,AL312&lt;&gt;""),ABS(AB313-AL312),"")</f>
        <v/>
      </c>
    </row>
    <row r="314">
      <c r="A314" t="n">
        <v>1776818702</v>
      </c>
      <c r="B314" t="inlineStr">
        <is>
          <t>XAUUSD</t>
        </is>
      </c>
      <c r="C314" t="inlineStr">
        <is>
          <t>M15</t>
        </is>
      </c>
      <c r="D314" t="n">
        <v>4739.77</v>
      </c>
      <c r="E314" t="n">
        <v>4518.59282</v>
      </c>
      <c r="F314" t="n">
        <v>4596.05595</v>
      </c>
      <c r="G314" t="n">
        <v>4755.40355</v>
      </c>
      <c r="H314" t="n">
        <v>4792.76972</v>
      </c>
      <c r="Q314" t="n">
        <v>4734.14526</v>
      </c>
      <c r="R314" t="n">
        <v>4763.50855</v>
      </c>
      <c r="S314" t="n">
        <v>4790.09732</v>
      </c>
      <c r="V314" t="n">
        <v>4699.20548</v>
      </c>
      <c r="W314" t="n">
        <v>4665.64049</v>
      </c>
      <c r="AB314" t="n">
        <v>4742.71741</v>
      </c>
      <c r="AC314" t="n">
        <v>4740.98562</v>
      </c>
      <c r="AD314" t="n">
        <v>0</v>
      </c>
      <c r="AE314">
        <f>AE313+1</f>
        <v/>
      </c>
      <c r="AF314">
        <f>AF313+1</f>
        <v/>
      </c>
      <c r="AG314">
        <f>D314-Q314</f>
        <v/>
      </c>
      <c r="AH314">
        <f>AG314^2</f>
        <v/>
      </c>
      <c r="AI314">
        <f>(AG314/STDEV($AG$3:$AG$1137))^3</f>
        <v/>
      </c>
      <c r="AJ314">
        <f>(AG314/STDEV($AG$3:$AG$1137))^4</f>
        <v/>
      </c>
      <c r="AK314">
        <f>AF314^2</f>
        <v/>
      </c>
      <c r="AL314">
        <f>IF(AD314=1,AB314,IF(AL313&lt;&gt;"",AL313,""))</f>
        <v/>
      </c>
      <c r="AM314">
        <f>IF(AND(AD314=1,AL313&lt;&gt;""),ABS(AB314-AL313),"")</f>
        <v/>
      </c>
    </row>
    <row r="315">
      <c r="A315" t="n">
        <v>1776819602</v>
      </c>
      <c r="B315" t="inlineStr">
        <is>
          <t>XAUUSD</t>
        </is>
      </c>
      <c r="C315" t="inlineStr">
        <is>
          <t>M15</t>
        </is>
      </c>
      <c r="D315" t="n">
        <v>4738.28</v>
      </c>
      <c r="E315" t="n">
        <v>4518.59282</v>
      </c>
      <c r="F315" t="n">
        <v>4596.05595</v>
      </c>
      <c r="G315" t="n">
        <v>4755.40355</v>
      </c>
      <c r="H315" t="n">
        <v>4792.76972</v>
      </c>
      <c r="Q315" t="n">
        <v>4733.87765</v>
      </c>
      <c r="R315" t="n">
        <v>4763.24095</v>
      </c>
      <c r="S315" t="n">
        <v>4789.82972</v>
      </c>
      <c r="V315" t="n">
        <v>4698.93788</v>
      </c>
      <c r="W315" t="n">
        <v>4665.37288</v>
      </c>
      <c r="AB315" t="n">
        <v>4744.46617</v>
      </c>
      <c r="AC315" t="n">
        <v>4742.7259</v>
      </c>
      <c r="AD315" t="n">
        <v>0</v>
      </c>
      <c r="AE315">
        <f>AE314+1</f>
        <v/>
      </c>
      <c r="AF315">
        <f>AF314+1</f>
        <v/>
      </c>
      <c r="AG315">
        <f>D315-Q315</f>
        <v/>
      </c>
      <c r="AH315">
        <f>AG315^2</f>
        <v/>
      </c>
      <c r="AI315">
        <f>(AG315/STDEV($AG$3:$AG$1137))^3</f>
        <v/>
      </c>
      <c r="AJ315">
        <f>(AG315/STDEV($AG$3:$AG$1137))^4</f>
        <v/>
      </c>
      <c r="AK315">
        <f>AF315^2</f>
        <v/>
      </c>
      <c r="AL315">
        <f>IF(AD315=1,AB315,IF(AL314&lt;&gt;"",AL314,""))</f>
        <v/>
      </c>
      <c r="AM315">
        <f>IF(AND(AD315=1,AL314&lt;&gt;""),ABS(AB315-AL314),"")</f>
        <v/>
      </c>
    </row>
    <row r="316">
      <c r="A316" t="n">
        <v>1776820502</v>
      </c>
      <c r="B316" t="inlineStr">
        <is>
          <t>XAUUSD</t>
        </is>
      </c>
      <c r="C316" t="inlineStr">
        <is>
          <t>M15</t>
        </is>
      </c>
      <c r="D316" t="n">
        <v>4746.52</v>
      </c>
      <c r="E316" t="n">
        <v>4518.59282</v>
      </c>
      <c r="F316" t="n">
        <v>4596.05595</v>
      </c>
      <c r="G316" t="n">
        <v>4755.40355</v>
      </c>
      <c r="H316" t="n">
        <v>4792.76972</v>
      </c>
      <c r="Q316" t="n">
        <v>4733.61005</v>
      </c>
      <c r="R316" t="n">
        <v>4762.97335</v>
      </c>
      <c r="S316" t="n">
        <v>4789.56212</v>
      </c>
      <c r="V316" t="n">
        <v>4698.67028</v>
      </c>
      <c r="W316" t="n">
        <v>4665.10528</v>
      </c>
      <c r="AB316" t="n">
        <v>4746.4741</v>
      </c>
      <c r="AC316" t="n">
        <v>4744.6</v>
      </c>
      <c r="AD316" t="n">
        <v>0</v>
      </c>
      <c r="AE316">
        <f>AE315+1</f>
        <v/>
      </c>
      <c r="AF316">
        <f>AF315+1</f>
        <v/>
      </c>
      <c r="AG316">
        <f>D316-Q316</f>
        <v/>
      </c>
      <c r="AH316">
        <f>AG316^2</f>
        <v/>
      </c>
      <c r="AI316">
        <f>(AG316/STDEV($AG$3:$AG$1137))^3</f>
        <v/>
      </c>
      <c r="AJ316">
        <f>(AG316/STDEV($AG$3:$AG$1137))^4</f>
        <v/>
      </c>
      <c r="AK316">
        <f>AF316^2</f>
        <v/>
      </c>
      <c r="AL316">
        <f>IF(AD316=1,AB316,IF(AL315&lt;&gt;"",AL315,""))</f>
        <v/>
      </c>
      <c r="AM316">
        <f>IF(AND(AD316=1,AL315&lt;&gt;""),ABS(AB316-AL315),"")</f>
        <v/>
      </c>
    </row>
    <row r="317">
      <c r="A317" t="n">
        <v>1776821402</v>
      </c>
      <c r="B317" t="inlineStr">
        <is>
          <t>XAUUSD</t>
        </is>
      </c>
      <c r="C317" t="inlineStr">
        <is>
          <t>M15</t>
        </is>
      </c>
      <c r="D317" t="n">
        <v>4749.74</v>
      </c>
      <c r="E317" t="n">
        <v>4518.59282</v>
      </c>
      <c r="F317" t="n">
        <v>4596.05595</v>
      </c>
      <c r="G317" t="n">
        <v>4755.40355</v>
      </c>
      <c r="H317" t="n">
        <v>4792.76972</v>
      </c>
      <c r="Q317" t="n">
        <v>4733.34244</v>
      </c>
      <c r="R317" t="n">
        <v>4762.70574</v>
      </c>
      <c r="S317" t="n">
        <v>4789.29451</v>
      </c>
      <c r="V317" t="n">
        <v>4698.40267</v>
      </c>
      <c r="W317" t="n">
        <v>4664.83768</v>
      </c>
      <c r="AB317" t="n">
        <v>4748.57211</v>
      </c>
      <c r="AC317" t="n">
        <v>4746.58605</v>
      </c>
      <c r="AD317" t="n">
        <v>0</v>
      </c>
      <c r="AE317">
        <f>AE316+1</f>
        <v/>
      </c>
      <c r="AF317">
        <f>AF316+1</f>
        <v/>
      </c>
      <c r="AG317">
        <f>D317-Q317</f>
        <v/>
      </c>
      <c r="AH317">
        <f>AG317^2</f>
        <v/>
      </c>
      <c r="AI317">
        <f>(AG317/STDEV($AG$3:$AG$1137))^3</f>
        <v/>
      </c>
      <c r="AJ317">
        <f>(AG317/STDEV($AG$3:$AG$1137))^4</f>
        <v/>
      </c>
      <c r="AK317">
        <f>AF317^2</f>
        <v/>
      </c>
      <c r="AL317">
        <f>IF(AD317=1,AB317,IF(AL316&lt;&gt;"",AL316,""))</f>
        <v/>
      </c>
      <c r="AM317">
        <f>IF(AND(AD317=1,AL316&lt;&gt;""),ABS(AB317-AL316),"")</f>
        <v/>
      </c>
    </row>
    <row r="318">
      <c r="A318" t="n">
        <v>1776822302</v>
      </c>
      <c r="B318" t="inlineStr">
        <is>
          <t>XAUUSD</t>
        </is>
      </c>
      <c r="C318" t="inlineStr">
        <is>
          <t>M15</t>
        </is>
      </c>
      <c r="D318" t="n">
        <v>4752.31</v>
      </c>
      <c r="E318" t="n">
        <v>4518.59282</v>
      </c>
      <c r="F318" t="n">
        <v>4596.05595</v>
      </c>
      <c r="G318" t="n">
        <v>4755.40355</v>
      </c>
      <c r="H318" t="n">
        <v>4792.76972</v>
      </c>
      <c r="Q318" t="n">
        <v>4733.07484</v>
      </c>
      <c r="R318" t="n">
        <v>4762.43814</v>
      </c>
      <c r="S318" t="n">
        <v>4789.02691</v>
      </c>
      <c r="V318" t="n">
        <v>4698.13507</v>
      </c>
      <c r="W318" t="n">
        <v>4664.57007</v>
      </c>
      <c r="AB318" t="n">
        <v>4750.6825</v>
      </c>
      <c r="AC318" t="n">
        <v>4748.63428</v>
      </c>
      <c r="AD318" t="n">
        <v>0</v>
      </c>
      <c r="AE318">
        <f>AE317+1</f>
        <v/>
      </c>
      <c r="AF318">
        <f>AF317+1</f>
        <v/>
      </c>
      <c r="AG318">
        <f>D318-Q318</f>
        <v/>
      </c>
      <c r="AH318">
        <f>AG318^2</f>
        <v/>
      </c>
      <c r="AI318">
        <f>(AG318/STDEV($AG$3:$AG$1137))^3</f>
        <v/>
      </c>
      <c r="AJ318">
        <f>(AG318/STDEV($AG$3:$AG$1137))^4</f>
        <v/>
      </c>
      <c r="AK318">
        <f>AF318^2</f>
        <v/>
      </c>
      <c r="AL318">
        <f>IF(AD318=1,AB318,IF(AL317&lt;&gt;"",AL317,""))</f>
        <v/>
      </c>
      <c r="AM318">
        <f>IF(AND(AD318=1,AL317&lt;&gt;""),ABS(AB318-AL317),"")</f>
        <v/>
      </c>
    </row>
    <row r="319">
      <c r="A319" t="n">
        <v>1776823202</v>
      </c>
      <c r="B319" t="inlineStr">
        <is>
          <t>XAUUSD</t>
        </is>
      </c>
      <c r="C319" t="inlineStr">
        <is>
          <t>M15</t>
        </is>
      </c>
      <c r="D319" t="n">
        <v>4755.68</v>
      </c>
      <c r="E319" t="n">
        <v>4518.59282</v>
      </c>
      <c r="F319" t="n">
        <v>4596.05595</v>
      </c>
      <c r="G319" t="n">
        <v>4755.40355</v>
      </c>
      <c r="H319" t="n">
        <v>4792.76972</v>
      </c>
      <c r="Q319" t="n">
        <v>4732.80723</v>
      </c>
      <c r="R319" t="n">
        <v>4762.17053</v>
      </c>
      <c r="S319" t="n">
        <v>4788.7593</v>
      </c>
      <c r="V319" t="n">
        <v>4697.86746</v>
      </c>
      <c r="W319" t="n">
        <v>4664.30247</v>
      </c>
      <c r="AB319" t="n">
        <v>4752.72902</v>
      </c>
      <c r="AC319" t="n">
        <v>4750.68165</v>
      </c>
      <c r="AD319" t="n">
        <v>0</v>
      </c>
      <c r="AE319">
        <f>AE318+1</f>
        <v/>
      </c>
      <c r="AF319">
        <f>AF318+1</f>
        <v/>
      </c>
      <c r="AG319">
        <f>D319-Q319</f>
        <v/>
      </c>
      <c r="AH319">
        <f>AG319^2</f>
        <v/>
      </c>
      <c r="AI319">
        <f>(AG319/STDEV($AG$3:$AG$1137))^3</f>
        <v/>
      </c>
      <c r="AJ319">
        <f>(AG319/STDEV($AG$3:$AG$1137))^4</f>
        <v/>
      </c>
      <c r="AK319">
        <f>AF319^2</f>
        <v/>
      </c>
      <c r="AL319">
        <f>IF(AD319=1,AB319,IF(AL318&lt;&gt;"",AL318,""))</f>
        <v/>
      </c>
      <c r="AM319">
        <f>IF(AND(AD319=1,AL318&lt;&gt;""),ABS(AB319-AL318),"")</f>
        <v/>
      </c>
    </row>
    <row r="320">
      <c r="A320" t="n">
        <v>1776824102</v>
      </c>
      <c r="B320" t="inlineStr">
        <is>
          <t>XAUUSD</t>
        </is>
      </c>
      <c r="C320" t="inlineStr">
        <is>
          <t>M15</t>
        </is>
      </c>
      <c r="D320" t="n">
        <v>4755.59</v>
      </c>
      <c r="E320" t="n">
        <v>4518.59282</v>
      </c>
      <c r="F320" t="n">
        <v>4596.05595</v>
      </c>
      <c r="G320" t="n">
        <v>4755.40355</v>
      </c>
      <c r="H320" t="n">
        <v>4792.76972</v>
      </c>
      <c r="Q320" t="n">
        <v>4732.53963</v>
      </c>
      <c r="R320" t="n">
        <v>4761.90293</v>
      </c>
      <c r="S320" t="n">
        <v>4788.4917</v>
      </c>
      <c r="V320" t="n">
        <v>4697.59986</v>
      </c>
      <c r="W320" t="n">
        <v>4664.03486</v>
      </c>
      <c r="AB320" t="n">
        <v>4754.5365</v>
      </c>
      <c r="AC320" t="n">
        <v>4752.60907</v>
      </c>
      <c r="AD320" t="n">
        <v>0</v>
      </c>
      <c r="AE320">
        <f>AE319+1</f>
        <v/>
      </c>
      <c r="AF320">
        <f>AF319+1</f>
        <v/>
      </c>
      <c r="AG320">
        <f>D320-Q320</f>
        <v/>
      </c>
      <c r="AH320">
        <f>AG320^2</f>
        <v/>
      </c>
      <c r="AI320">
        <f>(AG320/STDEV($AG$3:$AG$1137))^3</f>
        <v/>
      </c>
      <c r="AJ320">
        <f>(AG320/STDEV($AG$3:$AG$1137))^4</f>
        <v/>
      </c>
      <c r="AK320">
        <f>AF320^2</f>
        <v/>
      </c>
      <c r="AL320">
        <f>IF(AD320=1,AB320,IF(AL319&lt;&gt;"",AL319,""))</f>
        <v/>
      </c>
      <c r="AM320">
        <f>IF(AND(AD320=1,AL319&lt;&gt;""),ABS(AB320-AL319),"")</f>
        <v/>
      </c>
    </row>
    <row r="321">
      <c r="A321" t="n">
        <v>1776825002</v>
      </c>
      <c r="B321" t="inlineStr">
        <is>
          <t>XAUUSD</t>
        </is>
      </c>
      <c r="C321" t="inlineStr">
        <is>
          <t>M15</t>
        </is>
      </c>
      <c r="D321" t="n">
        <v>4751.37</v>
      </c>
      <c r="E321" t="n">
        <v>4518.59282</v>
      </c>
      <c r="F321" t="n">
        <v>4596.05595</v>
      </c>
      <c r="G321" t="n">
        <v>4755.40355</v>
      </c>
      <c r="H321" t="n">
        <v>4792.76972</v>
      </c>
      <c r="Q321" t="n">
        <v>4732.27203</v>
      </c>
      <c r="R321" t="n">
        <v>4761.63533</v>
      </c>
      <c r="S321" t="n">
        <v>4788.2241</v>
      </c>
      <c r="V321" t="n">
        <v>4697.33226</v>
      </c>
      <c r="W321" t="n">
        <v>4663.76726</v>
      </c>
      <c r="AB321" t="n">
        <v>4756.06197</v>
      </c>
      <c r="AC321" t="n">
        <v>4754.33552</v>
      </c>
      <c r="AD321" t="n">
        <v>0</v>
      </c>
      <c r="AE321">
        <f>AE320+1</f>
        <v/>
      </c>
      <c r="AF321">
        <f>AF320+1</f>
        <v/>
      </c>
      <c r="AG321">
        <f>D321-Q321</f>
        <v/>
      </c>
      <c r="AH321">
        <f>AG321^2</f>
        <v/>
      </c>
      <c r="AI321">
        <f>(AG321/STDEV($AG$3:$AG$1137))^3</f>
        <v/>
      </c>
      <c r="AJ321">
        <f>(AG321/STDEV($AG$3:$AG$1137))^4</f>
        <v/>
      </c>
      <c r="AK321">
        <f>AF321^2</f>
        <v/>
      </c>
      <c r="AL321">
        <f>IF(AD321=1,AB321,IF(AL320&lt;&gt;"",AL320,""))</f>
        <v/>
      </c>
      <c r="AM321">
        <f>IF(AND(AD321=1,AL320&lt;&gt;""),ABS(AB321-AL320),"")</f>
        <v/>
      </c>
    </row>
    <row r="322">
      <c r="A322" t="n">
        <v>1776825902</v>
      </c>
      <c r="B322" t="inlineStr">
        <is>
          <t>XAUUSD</t>
        </is>
      </c>
      <c r="C322" t="inlineStr">
        <is>
          <t>M15</t>
        </is>
      </c>
      <c r="D322" t="n">
        <v>4755.81</v>
      </c>
      <c r="E322" t="n">
        <v>4518.59282</v>
      </c>
      <c r="F322" t="n">
        <v>4596.05595</v>
      </c>
      <c r="G322" t="n">
        <v>4755.40355</v>
      </c>
      <c r="H322" t="n">
        <v>4792.76972</v>
      </c>
      <c r="Q322" t="n">
        <v>4732.00442</v>
      </c>
      <c r="R322" t="n">
        <v>4761.36772</v>
      </c>
      <c r="S322" t="n">
        <v>4787.95649</v>
      </c>
      <c r="V322" t="n">
        <v>4697.06465</v>
      </c>
      <c r="W322" t="n">
        <v>4663.49966</v>
      </c>
      <c r="AB322" t="n">
        <v>4757.37587</v>
      </c>
      <c r="AC322" t="n">
        <v>4755.8557</v>
      </c>
      <c r="AD322" t="n">
        <v>0</v>
      </c>
      <c r="AE322">
        <f>AE321+1</f>
        <v/>
      </c>
      <c r="AF322">
        <f>AF321+1</f>
        <v/>
      </c>
      <c r="AG322">
        <f>D322-Q322</f>
        <v/>
      </c>
      <c r="AH322">
        <f>AG322^2</f>
        <v/>
      </c>
      <c r="AI322">
        <f>(AG322/STDEV($AG$3:$AG$1137))^3</f>
        <v/>
      </c>
      <c r="AJ322">
        <f>(AG322/STDEV($AG$3:$AG$1137))^4</f>
        <v/>
      </c>
      <c r="AK322">
        <f>AF322^2</f>
        <v/>
      </c>
      <c r="AL322">
        <f>IF(AD322=1,AB322,IF(AL321&lt;&gt;"",AL321,""))</f>
        <v/>
      </c>
      <c r="AM322">
        <f>IF(AND(AD322=1,AL321&lt;&gt;""),ABS(AB322-AL321),"")</f>
        <v/>
      </c>
    </row>
    <row r="323">
      <c r="A323" t="n">
        <v>1776826802</v>
      </c>
      <c r="B323" t="inlineStr">
        <is>
          <t>XAUUSD</t>
        </is>
      </c>
      <c r="C323" t="inlineStr">
        <is>
          <t>M15</t>
        </is>
      </c>
      <c r="D323" t="n">
        <v>4757.61</v>
      </c>
      <c r="E323" t="n">
        <v>4518.59282</v>
      </c>
      <c r="F323" t="n">
        <v>4596.05595</v>
      </c>
      <c r="G323" t="n">
        <v>4755.40355</v>
      </c>
      <c r="H323" t="n">
        <v>4792.76972</v>
      </c>
      <c r="Q323" t="n">
        <v>4731.73682</v>
      </c>
      <c r="R323" t="n">
        <v>4761.10012</v>
      </c>
      <c r="S323" t="n">
        <v>4787.68889</v>
      </c>
      <c r="V323" t="n">
        <v>4696.79705</v>
      </c>
      <c r="W323" t="n">
        <v>4663.23205</v>
      </c>
      <c r="AB323" t="n">
        <v>4758.28462</v>
      </c>
      <c r="AC323" t="n">
        <v>4757.07016</v>
      </c>
      <c r="AD323" t="n">
        <v>0</v>
      </c>
      <c r="AE323">
        <f>AE322+1</f>
        <v/>
      </c>
      <c r="AF323">
        <f>AF322+1</f>
        <v/>
      </c>
      <c r="AG323">
        <f>D323-Q323</f>
        <v/>
      </c>
      <c r="AH323">
        <f>AG323^2</f>
        <v/>
      </c>
      <c r="AI323">
        <f>(AG323/STDEV($AG$3:$AG$1137))^3</f>
        <v/>
      </c>
      <c r="AJ323">
        <f>(AG323/STDEV($AG$3:$AG$1137))^4</f>
        <v/>
      </c>
      <c r="AK323">
        <f>AF323^2</f>
        <v/>
      </c>
      <c r="AL323">
        <f>IF(AD323=1,AB323,IF(AL322&lt;&gt;"",AL322,""))</f>
        <v/>
      </c>
      <c r="AM323">
        <f>IF(AND(AD323=1,AL322&lt;&gt;""),ABS(AB323-AL322),"")</f>
        <v/>
      </c>
    </row>
    <row r="324">
      <c r="A324" t="n">
        <v>1776827702</v>
      </c>
      <c r="B324" t="inlineStr">
        <is>
          <t>XAUUSD</t>
        </is>
      </c>
      <c r="C324" t="inlineStr">
        <is>
          <t>M15</t>
        </is>
      </c>
      <c r="D324" t="n">
        <v>4763.12</v>
      </c>
      <c r="E324" t="n">
        <v>4518.59282</v>
      </c>
      <c r="F324" t="n">
        <v>4596.05595</v>
      </c>
      <c r="G324" t="n">
        <v>4755.40355</v>
      </c>
      <c r="H324" t="n">
        <v>4792.76972</v>
      </c>
      <c r="Q324" t="n">
        <v>4731.46921</v>
      </c>
      <c r="R324" t="n">
        <v>4760.83251</v>
      </c>
      <c r="S324" t="n">
        <v>4787.42128</v>
      </c>
      <c r="V324" t="n">
        <v>4696.52944</v>
      </c>
      <c r="W324" t="n">
        <v>4662.96445</v>
      </c>
      <c r="AB324" t="n">
        <v>4758.67654</v>
      </c>
      <c r="AC324" t="n">
        <v>4757.87335</v>
      </c>
      <c r="AD324" t="n">
        <v>0</v>
      </c>
      <c r="AE324">
        <f>AE323+1</f>
        <v/>
      </c>
      <c r="AF324">
        <f>AF323+1</f>
        <v/>
      </c>
      <c r="AG324">
        <f>D324-Q324</f>
        <v/>
      </c>
      <c r="AH324">
        <f>AG324^2</f>
        <v/>
      </c>
      <c r="AI324">
        <f>(AG324/STDEV($AG$3:$AG$1137))^3</f>
        <v/>
      </c>
      <c r="AJ324">
        <f>(AG324/STDEV($AG$3:$AG$1137))^4</f>
        <v/>
      </c>
      <c r="AK324">
        <f>AF324^2</f>
        <v/>
      </c>
      <c r="AL324">
        <f>IF(AD324=1,AB324,IF(AL323&lt;&gt;"",AL323,""))</f>
        <v/>
      </c>
      <c r="AM324">
        <f>IF(AND(AD324=1,AL323&lt;&gt;""),ABS(AB324-AL323),"")</f>
        <v/>
      </c>
    </row>
    <row r="325">
      <c r="A325" t="n">
        <v>1776828602</v>
      </c>
      <c r="B325" t="inlineStr">
        <is>
          <t>XAUUSD</t>
        </is>
      </c>
      <c r="C325" t="inlineStr">
        <is>
          <t>M15</t>
        </is>
      </c>
      <c r="D325" t="n">
        <v>4759.16</v>
      </c>
      <c r="E325" t="n">
        <v>4518.59282</v>
      </c>
      <c r="F325" t="n">
        <v>4596.05595</v>
      </c>
      <c r="G325" t="n">
        <v>4755.40355</v>
      </c>
      <c r="H325" t="n">
        <v>4792.76972</v>
      </c>
      <c r="Q325" t="n">
        <v>4731.20161</v>
      </c>
      <c r="R325" t="n">
        <v>4760.56491</v>
      </c>
      <c r="S325" t="n">
        <v>4787.15368</v>
      </c>
      <c r="V325" t="n">
        <v>4696.26184</v>
      </c>
      <c r="W325" t="n">
        <v>4662.69684</v>
      </c>
      <c r="AB325" t="n">
        <v>4758.42534</v>
      </c>
      <c r="AC325" t="n">
        <v>4758.14934</v>
      </c>
      <c r="AD325" t="n">
        <v>0</v>
      </c>
      <c r="AE325">
        <f>AE324+1</f>
        <v/>
      </c>
      <c r="AF325">
        <f>AF324+1</f>
        <v/>
      </c>
      <c r="AG325">
        <f>D325-Q325</f>
        <v/>
      </c>
      <c r="AH325">
        <f>AG325^2</f>
        <v/>
      </c>
      <c r="AI325">
        <f>(AG325/STDEV($AG$3:$AG$1137))^3</f>
        <v/>
      </c>
      <c r="AJ325">
        <f>(AG325/STDEV($AG$3:$AG$1137))^4</f>
        <v/>
      </c>
      <c r="AK325">
        <f>AF325^2</f>
        <v/>
      </c>
      <c r="AL325">
        <f>IF(AD325=1,AB325,IF(AL324&lt;&gt;"",AL324,""))</f>
        <v/>
      </c>
      <c r="AM325">
        <f>IF(AND(AD325=1,AL324&lt;&gt;""),ABS(AB325-AL324),"")</f>
        <v/>
      </c>
    </row>
    <row r="326">
      <c r="A326" t="n">
        <v>1776829502</v>
      </c>
      <c r="B326" t="inlineStr">
        <is>
          <t>XAUUSD</t>
        </is>
      </c>
      <c r="C326" t="inlineStr">
        <is>
          <t>M15</t>
        </is>
      </c>
      <c r="D326" t="n">
        <v>4758.09</v>
      </c>
      <c r="E326" t="n">
        <v>4518.59282</v>
      </c>
      <c r="F326" t="n">
        <v>4596.05595</v>
      </c>
      <c r="G326" t="n">
        <v>4755.40355</v>
      </c>
      <c r="H326" t="n">
        <v>4792.76972</v>
      </c>
      <c r="Q326" t="n">
        <v>4730.93401</v>
      </c>
      <c r="R326" t="n">
        <v>4760.2973</v>
      </c>
      <c r="S326" t="n">
        <v>4786.88608</v>
      </c>
      <c r="V326" t="n">
        <v>4695.99424</v>
      </c>
      <c r="W326" t="n">
        <v>4662.42924</v>
      </c>
      <c r="AB326" t="n">
        <v>4757.80926</v>
      </c>
      <c r="AC326" t="n">
        <v>4757.9793</v>
      </c>
      <c r="AD326" t="n">
        <v>1</v>
      </c>
      <c r="AE326">
        <f>AE325+1</f>
        <v/>
      </c>
      <c r="AF326">
        <f>AF325+1</f>
        <v/>
      </c>
      <c r="AG326">
        <f>D326-Q326</f>
        <v/>
      </c>
      <c r="AH326">
        <f>AG326^2</f>
        <v/>
      </c>
      <c r="AI326">
        <f>(AG326/STDEV($AG$3:$AG$1137))^3</f>
        <v/>
      </c>
      <c r="AJ326">
        <f>(AG326/STDEV($AG$3:$AG$1137))^4</f>
        <v/>
      </c>
      <c r="AK326">
        <f>AF326^2</f>
        <v/>
      </c>
      <c r="AL326">
        <f>IF(AD326=1,AB326,IF(AL325&lt;&gt;"",AL325,""))</f>
        <v/>
      </c>
      <c r="AM326">
        <f>IF(AND(AD326=1,AL325&lt;&gt;""),ABS(AB326-AL325),"")</f>
        <v/>
      </c>
    </row>
    <row r="327">
      <c r="A327" t="n">
        <v>1776830402</v>
      </c>
      <c r="B327" t="inlineStr">
        <is>
          <t>XAUUSD</t>
        </is>
      </c>
      <c r="C327" t="inlineStr">
        <is>
          <t>M15</t>
        </is>
      </c>
      <c r="D327" t="n">
        <v>4757.32</v>
      </c>
      <c r="E327" t="n">
        <v>4518.59282</v>
      </c>
      <c r="F327" t="n">
        <v>4596.05595</v>
      </c>
      <c r="G327" t="n">
        <v>4755.40355</v>
      </c>
      <c r="H327" t="n">
        <v>4792.76972</v>
      </c>
      <c r="Q327" t="n">
        <v>4730.6664</v>
      </c>
      <c r="R327" t="n">
        <v>4760.0297</v>
      </c>
      <c r="S327" t="n">
        <v>4786.61847</v>
      </c>
      <c r="V327" t="n">
        <v>4695.72663</v>
      </c>
      <c r="W327" t="n">
        <v>4662.16164</v>
      </c>
      <c r="AB327" t="n">
        <v>4757.11602</v>
      </c>
      <c r="AC327" t="n">
        <v>4757.54766</v>
      </c>
      <c r="AD327" t="n">
        <v>0</v>
      </c>
      <c r="AE327">
        <f>AE326+1</f>
        <v/>
      </c>
      <c r="AF327">
        <f>AF326+1</f>
        <v/>
      </c>
      <c r="AG327">
        <f>D327-Q327</f>
        <v/>
      </c>
      <c r="AH327">
        <f>AG327^2</f>
        <v/>
      </c>
      <c r="AI327">
        <f>(AG327/STDEV($AG$3:$AG$1137))^3</f>
        <v/>
      </c>
      <c r="AJ327">
        <f>(AG327/STDEV($AG$3:$AG$1137))^4</f>
        <v/>
      </c>
      <c r="AK327">
        <f>AF327^2</f>
        <v/>
      </c>
      <c r="AL327">
        <f>IF(AD327=1,AB327,IF(AL326&lt;&gt;"",AL326,""))</f>
        <v/>
      </c>
      <c r="AM327">
        <f>IF(AND(AD327=1,AL326&lt;&gt;""),ABS(AB327-AL326),"")</f>
        <v/>
      </c>
    </row>
    <row r="328">
      <c r="A328" t="n">
        <v>1776831302</v>
      </c>
      <c r="B328" t="inlineStr">
        <is>
          <t>XAUUSD</t>
        </is>
      </c>
      <c r="C328" t="inlineStr">
        <is>
          <t>M15</t>
        </is>
      </c>
      <c r="D328" t="n">
        <v>4755.87</v>
      </c>
      <c r="E328" t="n">
        <v>4518.59282</v>
      </c>
      <c r="F328" t="n">
        <v>4596.05595</v>
      </c>
      <c r="G328" t="n">
        <v>4755.40355</v>
      </c>
      <c r="H328" t="n">
        <v>4792.76972</v>
      </c>
      <c r="Q328" t="n">
        <v>4730.3988</v>
      </c>
      <c r="R328" t="n">
        <v>4759.7621</v>
      </c>
      <c r="S328" t="n">
        <v>4786.35087</v>
      </c>
      <c r="V328" t="n">
        <v>4695.45903</v>
      </c>
      <c r="W328" t="n">
        <v>4661.89403</v>
      </c>
      <c r="AB328" t="n">
        <v>4756.76546</v>
      </c>
      <c r="AC328" t="n">
        <v>4757.15656</v>
      </c>
      <c r="AD328" t="n">
        <v>0</v>
      </c>
      <c r="AE328">
        <f>AE327+1</f>
        <v/>
      </c>
      <c r="AF328">
        <f>AF327+1</f>
        <v/>
      </c>
      <c r="AG328">
        <f>D328-Q328</f>
        <v/>
      </c>
      <c r="AH328">
        <f>AG328^2</f>
        <v/>
      </c>
      <c r="AI328">
        <f>(AG328/STDEV($AG$3:$AG$1137))^3</f>
        <v/>
      </c>
      <c r="AJ328">
        <f>(AG328/STDEV($AG$3:$AG$1137))^4</f>
        <v/>
      </c>
      <c r="AK328">
        <f>AF328^2</f>
        <v/>
      </c>
      <c r="AL328">
        <f>IF(AD328=1,AB328,IF(AL327&lt;&gt;"",AL327,""))</f>
        <v/>
      </c>
      <c r="AM328">
        <f>IF(AND(AD328=1,AL327&lt;&gt;""),ABS(AB328-AL327),"")</f>
        <v/>
      </c>
    </row>
    <row r="329">
      <c r="A329" t="n">
        <v>1776832202</v>
      </c>
      <c r="B329" t="inlineStr">
        <is>
          <t>XAUUSD</t>
        </is>
      </c>
      <c r="C329" t="inlineStr">
        <is>
          <t>M15</t>
        </is>
      </c>
      <c r="D329" t="n">
        <v>4756.36</v>
      </c>
      <c r="E329" t="n">
        <v>4518.59282</v>
      </c>
      <c r="F329" t="n">
        <v>4596.05595</v>
      </c>
      <c r="G329" t="n">
        <v>4755.40355</v>
      </c>
      <c r="H329" t="n">
        <v>4792.76972</v>
      </c>
      <c r="Q329" t="n">
        <v>4730.13119</v>
      </c>
      <c r="R329" t="n">
        <v>4759.49449</v>
      </c>
      <c r="S329" t="n">
        <v>4786.08326</v>
      </c>
      <c r="V329" t="n">
        <v>4695.19142</v>
      </c>
      <c r="W329" t="n">
        <v>4661.62643</v>
      </c>
      <c r="AB329" t="n">
        <v>4757.03848</v>
      </c>
      <c r="AC329" t="n">
        <v>4757.09752</v>
      </c>
      <c r="AD329" t="n">
        <v>0</v>
      </c>
      <c r="AE329">
        <f>AE328+1</f>
        <v/>
      </c>
      <c r="AF329">
        <f>AF328+1</f>
        <v/>
      </c>
      <c r="AG329">
        <f>D329-Q329</f>
        <v/>
      </c>
      <c r="AH329">
        <f>AG329^2</f>
        <v/>
      </c>
      <c r="AI329">
        <f>(AG329/STDEV($AG$3:$AG$1137))^3</f>
        <v/>
      </c>
      <c r="AJ329">
        <f>(AG329/STDEV($AG$3:$AG$1137))^4</f>
        <v/>
      </c>
      <c r="AK329">
        <f>AF329^2</f>
        <v/>
      </c>
      <c r="AL329">
        <f>IF(AD329=1,AB329,IF(AL328&lt;&gt;"",AL328,""))</f>
        <v/>
      </c>
      <c r="AM329">
        <f>IF(AND(AD329=1,AL328&lt;&gt;""),ABS(AB329-AL328),"")</f>
        <v/>
      </c>
    </row>
    <row r="330">
      <c r="A330" t="n">
        <v>1776833102</v>
      </c>
      <c r="B330" t="inlineStr">
        <is>
          <t>XAUUSD</t>
        </is>
      </c>
      <c r="C330" t="inlineStr">
        <is>
          <t>M15</t>
        </is>
      </c>
      <c r="D330" t="n">
        <v>4754.62</v>
      </c>
      <c r="E330" t="n">
        <v>4518.59282</v>
      </c>
      <c r="F330" t="n">
        <v>4596.05595</v>
      </c>
      <c r="G330" t="n">
        <v>4755.40355</v>
      </c>
      <c r="H330" t="n">
        <v>4792.76972</v>
      </c>
      <c r="Q330" t="n">
        <v>4729.86359</v>
      </c>
      <c r="R330" t="n">
        <v>4759.22689</v>
      </c>
      <c r="S330" t="n">
        <v>4785.81566</v>
      </c>
      <c r="V330" t="n">
        <v>4694.92382</v>
      </c>
      <c r="W330" t="n">
        <v>4661.35882</v>
      </c>
      <c r="AB330" t="n">
        <v>4758.01061</v>
      </c>
      <c r="AC330" t="n">
        <v>4757.55407</v>
      </c>
      <c r="AD330" t="n">
        <v>1</v>
      </c>
      <c r="AE330">
        <f>AE329+1</f>
        <v/>
      </c>
      <c r="AF330">
        <f>AF329+1</f>
        <v/>
      </c>
      <c r="AG330">
        <f>D330-Q330</f>
        <v/>
      </c>
      <c r="AH330">
        <f>AG330^2</f>
        <v/>
      </c>
      <c r="AI330">
        <f>(AG330/STDEV($AG$3:$AG$1137))^3</f>
        <v/>
      </c>
      <c r="AJ330">
        <f>(AG330/STDEV($AG$3:$AG$1137))^4</f>
        <v/>
      </c>
      <c r="AK330">
        <f>AF330^2</f>
        <v/>
      </c>
      <c r="AL330">
        <f>IF(AD330=1,AB330,IF(AL329&lt;&gt;"",AL329,""))</f>
        <v/>
      </c>
      <c r="AM330">
        <f>IF(AND(AD330=1,AL329&lt;&gt;""),ABS(AB330-AL329),"")</f>
        <v/>
      </c>
    </row>
    <row r="331">
      <c r="A331" t="n">
        <v>1776834002</v>
      </c>
      <c r="B331" t="inlineStr">
        <is>
          <t>XAUUSD</t>
        </is>
      </c>
      <c r="C331" t="inlineStr">
        <is>
          <t>M15</t>
        </is>
      </c>
      <c r="D331" t="n">
        <v>4756.8</v>
      </c>
      <c r="E331" t="n">
        <v>4518.59282</v>
      </c>
      <c r="F331" t="n">
        <v>4596.05595</v>
      </c>
      <c r="G331" t="n">
        <v>4755.40355</v>
      </c>
      <c r="H331" t="n">
        <v>4792.76972</v>
      </c>
      <c r="Q331" t="n">
        <v>4729.59599</v>
      </c>
      <c r="R331" t="n">
        <v>4758.95928</v>
      </c>
      <c r="S331" t="n">
        <v>4785.54806</v>
      </c>
      <c r="V331" t="n">
        <v>4694.65622</v>
      </c>
      <c r="W331" t="n">
        <v>4661.09122</v>
      </c>
      <c r="AB331" t="n">
        <v>4759.67969</v>
      </c>
      <c r="AC331" t="n">
        <v>4758.61688</v>
      </c>
      <c r="AD331" t="n">
        <v>0</v>
      </c>
      <c r="AE331">
        <f>AE330+1</f>
        <v/>
      </c>
      <c r="AF331">
        <f>AF330+1</f>
        <v/>
      </c>
      <c r="AG331">
        <f>D331-Q331</f>
        <v/>
      </c>
      <c r="AH331">
        <f>AG331^2</f>
        <v/>
      </c>
      <c r="AI331">
        <f>(AG331/STDEV($AG$3:$AG$1137))^3</f>
        <v/>
      </c>
      <c r="AJ331">
        <f>(AG331/STDEV($AG$3:$AG$1137))^4</f>
        <v/>
      </c>
      <c r="AK331">
        <f>AF331^2</f>
        <v/>
      </c>
      <c r="AL331">
        <f>IF(AD331=1,AB331,IF(AL330&lt;&gt;"",AL330,""))</f>
        <v/>
      </c>
      <c r="AM331">
        <f>IF(AND(AD331=1,AL330&lt;&gt;""),ABS(AB331-AL330),"")</f>
        <v/>
      </c>
    </row>
    <row r="332">
      <c r="A332" t="n">
        <v>1776834902</v>
      </c>
      <c r="B332" t="inlineStr">
        <is>
          <t>XAUUSD</t>
        </is>
      </c>
      <c r="C332" t="inlineStr">
        <is>
          <t>M15</t>
        </is>
      </c>
      <c r="D332" t="n">
        <v>4766.19</v>
      </c>
      <c r="E332" t="n">
        <v>4518.59282</v>
      </c>
      <c r="F332" t="n">
        <v>4596.05595</v>
      </c>
      <c r="G332" t="n">
        <v>4755.40355</v>
      </c>
      <c r="H332" t="n">
        <v>4792.76972</v>
      </c>
      <c r="Q332" t="n">
        <v>4729.32838</v>
      </c>
      <c r="R332" t="n">
        <v>4758.69168</v>
      </c>
      <c r="S332" t="n">
        <v>4785.28045</v>
      </c>
      <c r="V332" t="n">
        <v>4694.38861</v>
      </c>
      <c r="W332" t="n">
        <v>4660.82362</v>
      </c>
      <c r="AB332" t="n">
        <v>4761.80637</v>
      </c>
      <c r="AC332" t="n">
        <v>4760.21163</v>
      </c>
      <c r="AD332" t="n">
        <v>0</v>
      </c>
      <c r="AE332">
        <f>AE331+1</f>
        <v/>
      </c>
      <c r="AF332">
        <f>AF331+1</f>
        <v/>
      </c>
      <c r="AG332">
        <f>D332-Q332</f>
        <v/>
      </c>
      <c r="AH332">
        <f>AG332^2</f>
        <v/>
      </c>
      <c r="AI332">
        <f>(AG332/STDEV($AG$3:$AG$1137))^3</f>
        <v/>
      </c>
      <c r="AJ332">
        <f>(AG332/STDEV($AG$3:$AG$1137))^4</f>
        <v/>
      </c>
      <c r="AK332">
        <f>AF332^2</f>
        <v/>
      </c>
      <c r="AL332">
        <f>IF(AD332=1,AB332,IF(AL331&lt;&gt;"",AL331,""))</f>
        <v/>
      </c>
      <c r="AM332">
        <f>IF(AND(AD332=1,AL331&lt;&gt;""),ABS(AB332-AL331),"")</f>
        <v/>
      </c>
    </row>
    <row r="333">
      <c r="A333" t="n">
        <v>1776835802</v>
      </c>
      <c r="B333" t="inlineStr">
        <is>
          <t>XAUUSD</t>
        </is>
      </c>
      <c r="C333" t="inlineStr">
        <is>
          <t>M15</t>
        </is>
      </c>
      <c r="D333" t="n">
        <v>4767.48</v>
      </c>
      <c r="E333" t="n">
        <v>4518.59282</v>
      </c>
      <c r="F333" t="n">
        <v>4596.05595</v>
      </c>
      <c r="G333" t="n">
        <v>4755.40355</v>
      </c>
      <c r="H333" t="n">
        <v>4792.76972</v>
      </c>
      <c r="Q333" t="n">
        <v>4729.06078</v>
      </c>
      <c r="R333" t="n">
        <v>4758.42408</v>
      </c>
      <c r="S333" t="n">
        <v>4785.01285</v>
      </c>
      <c r="V333" t="n">
        <v>4694.12101</v>
      </c>
      <c r="W333" t="n">
        <v>4660.55601</v>
      </c>
      <c r="AB333" t="n">
        <v>4763.85389</v>
      </c>
      <c r="AC333" t="n">
        <v>4762.03276</v>
      </c>
      <c r="AD333" t="n">
        <v>0</v>
      </c>
      <c r="AE333">
        <f>AE332+1</f>
        <v/>
      </c>
      <c r="AF333">
        <f>AF332+1</f>
        <v/>
      </c>
      <c r="AG333">
        <f>D333-Q333</f>
        <v/>
      </c>
      <c r="AH333">
        <f>AG333^2</f>
        <v/>
      </c>
      <c r="AI333">
        <f>(AG333/STDEV($AG$3:$AG$1137))^3</f>
        <v/>
      </c>
      <c r="AJ333">
        <f>(AG333/STDEV($AG$3:$AG$1137))^4</f>
        <v/>
      </c>
      <c r="AK333">
        <f>AF333^2</f>
        <v/>
      </c>
      <c r="AL333">
        <f>IF(AD333=1,AB333,IF(AL332&lt;&gt;"",AL332,""))</f>
        <v/>
      </c>
      <c r="AM333">
        <f>IF(AND(AD333=1,AL332&lt;&gt;""),ABS(AB333-AL332),"")</f>
        <v/>
      </c>
    </row>
    <row r="334">
      <c r="A334" t="n">
        <v>1776836702</v>
      </c>
      <c r="B334" t="inlineStr">
        <is>
          <t>XAUUSD</t>
        </is>
      </c>
      <c r="C334" t="inlineStr">
        <is>
          <t>M15</t>
        </is>
      </c>
      <c r="D334" t="n">
        <v>4767.64</v>
      </c>
      <c r="E334" t="n">
        <v>4518.59282</v>
      </c>
      <c r="F334" t="n">
        <v>4596.05595</v>
      </c>
      <c r="G334" t="n">
        <v>4755.40355</v>
      </c>
      <c r="H334" t="n">
        <v>4792.76972</v>
      </c>
      <c r="Q334" t="n">
        <v>4728.79317</v>
      </c>
      <c r="R334" t="n">
        <v>4758.15647</v>
      </c>
      <c r="S334" t="n">
        <v>4784.74524</v>
      </c>
      <c r="V334" t="n">
        <v>4693.8534</v>
      </c>
      <c r="W334" t="n">
        <v>4660.28841</v>
      </c>
      <c r="AB334" t="n">
        <v>4765.52447</v>
      </c>
      <c r="AC334" t="n">
        <v>4763.77861</v>
      </c>
      <c r="AD334" t="n">
        <v>0</v>
      </c>
      <c r="AE334">
        <f>AE333+1</f>
        <v/>
      </c>
      <c r="AF334">
        <f>AF333+1</f>
        <v/>
      </c>
      <c r="AG334">
        <f>D334-Q334</f>
        <v/>
      </c>
      <c r="AH334">
        <f>AG334^2</f>
        <v/>
      </c>
      <c r="AI334">
        <f>(AG334/STDEV($AG$3:$AG$1137))^3</f>
        <v/>
      </c>
      <c r="AJ334">
        <f>(AG334/STDEV($AG$3:$AG$1137))^4</f>
        <v/>
      </c>
      <c r="AK334">
        <f>AF334^2</f>
        <v/>
      </c>
      <c r="AL334">
        <f>IF(AD334=1,AB334,IF(AL333&lt;&gt;"",AL333,""))</f>
        <v/>
      </c>
      <c r="AM334">
        <f>IF(AND(AD334=1,AL333&lt;&gt;""),ABS(AB334-AL333),"")</f>
        <v/>
      </c>
    </row>
    <row r="335">
      <c r="A335" t="n">
        <v>1776837602</v>
      </c>
      <c r="B335" t="inlineStr">
        <is>
          <t>XAUUSD</t>
        </is>
      </c>
      <c r="C335" t="inlineStr">
        <is>
          <t>M15</t>
        </is>
      </c>
      <c r="D335" t="n">
        <v>4762.84</v>
      </c>
      <c r="E335" t="n">
        <v>4518.59282</v>
      </c>
      <c r="F335" t="n">
        <v>4596.05595</v>
      </c>
      <c r="G335" t="n">
        <v>4755.40355</v>
      </c>
      <c r="H335" t="n">
        <v>4792.76972</v>
      </c>
      <c r="Q335" t="n">
        <v>4728.52557</v>
      </c>
      <c r="R335" t="n">
        <v>4757.88887</v>
      </c>
      <c r="S335" t="n">
        <v>4784.47764</v>
      </c>
      <c r="V335" t="n">
        <v>4693.5858</v>
      </c>
      <c r="W335" t="n">
        <v>4660.0208</v>
      </c>
      <c r="AB335" t="n">
        <v>4766.62177</v>
      </c>
      <c r="AC335" t="n">
        <v>4765.20019</v>
      </c>
      <c r="AD335" t="n">
        <v>0</v>
      </c>
      <c r="AE335">
        <f>AE334+1</f>
        <v/>
      </c>
      <c r="AF335">
        <f>AF334+1</f>
        <v/>
      </c>
      <c r="AG335">
        <f>D335-Q335</f>
        <v/>
      </c>
      <c r="AH335">
        <f>AG335^2</f>
        <v/>
      </c>
      <c r="AI335">
        <f>(AG335/STDEV($AG$3:$AG$1137))^3</f>
        <v/>
      </c>
      <c r="AJ335">
        <f>(AG335/STDEV($AG$3:$AG$1137))^4</f>
        <v/>
      </c>
      <c r="AK335">
        <f>AF335^2</f>
        <v/>
      </c>
      <c r="AL335">
        <f>IF(AD335=1,AB335,IF(AL334&lt;&gt;"",AL334,""))</f>
        <v/>
      </c>
      <c r="AM335">
        <f>IF(AND(AD335=1,AL334&lt;&gt;""),ABS(AB335-AL334),"")</f>
        <v/>
      </c>
    </row>
    <row r="336">
      <c r="A336" t="n">
        <v>1776838502</v>
      </c>
      <c r="B336" t="inlineStr">
        <is>
          <t>XAUUSD</t>
        </is>
      </c>
      <c r="C336" t="inlineStr">
        <is>
          <t>M15</t>
        </is>
      </c>
      <c r="D336" t="n">
        <v>4767.37</v>
      </c>
      <c r="E336" t="n">
        <v>4518.59282</v>
      </c>
      <c r="F336" t="n">
        <v>4596.05595</v>
      </c>
      <c r="G336" t="n">
        <v>4755.40355</v>
      </c>
      <c r="H336" t="n">
        <v>4792.76972</v>
      </c>
      <c r="Q336" t="n">
        <v>4728.25797</v>
      </c>
      <c r="R336" t="n">
        <v>4757.62126</v>
      </c>
      <c r="S336" t="n">
        <v>4784.21003</v>
      </c>
      <c r="V336" t="n">
        <v>4693.31819</v>
      </c>
      <c r="W336" t="n">
        <v>4659.7532</v>
      </c>
      <c r="AB336" t="n">
        <v>4767.18899</v>
      </c>
      <c r="AC336" t="n">
        <v>4766.19459</v>
      </c>
      <c r="AD336" t="n">
        <v>0</v>
      </c>
      <c r="AE336">
        <f>AE335+1</f>
        <v/>
      </c>
      <c r="AF336">
        <f>AF335+1</f>
        <v/>
      </c>
      <c r="AG336">
        <f>D336-Q336</f>
        <v/>
      </c>
      <c r="AH336">
        <f>AG336^2</f>
        <v/>
      </c>
      <c r="AI336">
        <f>(AG336/STDEV($AG$3:$AG$1137))^3</f>
        <v/>
      </c>
      <c r="AJ336">
        <f>(AG336/STDEV($AG$3:$AG$1137))^4</f>
        <v/>
      </c>
      <c r="AK336">
        <f>AF336^2</f>
        <v/>
      </c>
      <c r="AL336">
        <f>IF(AD336=1,AB336,IF(AL335&lt;&gt;"",AL335,""))</f>
        <v/>
      </c>
      <c r="AM336">
        <f>IF(AND(AD336=1,AL335&lt;&gt;""),ABS(AB336-AL335),"")</f>
        <v/>
      </c>
    </row>
    <row r="337">
      <c r="A337" t="n">
        <v>1776839402</v>
      </c>
      <c r="B337" t="inlineStr">
        <is>
          <t>XAUUSD</t>
        </is>
      </c>
      <c r="C337" t="inlineStr">
        <is>
          <t>M15</t>
        </is>
      </c>
      <c r="D337" t="n">
        <v>4763.8</v>
      </c>
      <c r="E337" t="n">
        <v>4518.59282</v>
      </c>
      <c r="F337" t="n">
        <v>4596.05595</v>
      </c>
      <c r="G337" t="n">
        <v>4755.40355</v>
      </c>
      <c r="H337" t="n">
        <v>4792.76972</v>
      </c>
      <c r="Q337" t="n">
        <v>4727.99036</v>
      </c>
      <c r="R337" t="n">
        <v>4757.35366</v>
      </c>
      <c r="S337" t="n">
        <v>4783.94243</v>
      </c>
      <c r="V337" t="n">
        <v>4693.05059</v>
      </c>
      <c r="W337" t="n">
        <v>4659.48559</v>
      </c>
      <c r="AB337" t="n">
        <v>4767.10523</v>
      </c>
      <c r="AC337" t="n">
        <v>4766.64991</v>
      </c>
      <c r="AD337" t="n">
        <v>0</v>
      </c>
      <c r="AE337">
        <f>AE336+1</f>
        <v/>
      </c>
      <c r="AF337">
        <f>AF336+1</f>
        <v/>
      </c>
      <c r="AG337">
        <f>D337-Q337</f>
        <v/>
      </c>
      <c r="AH337">
        <f>AG337^2</f>
        <v/>
      </c>
      <c r="AI337">
        <f>(AG337/STDEV($AG$3:$AG$1137))^3</f>
        <v/>
      </c>
      <c r="AJ337">
        <f>(AG337/STDEV($AG$3:$AG$1137))^4</f>
        <v/>
      </c>
      <c r="AK337">
        <f>AF337^2</f>
        <v/>
      </c>
      <c r="AL337">
        <f>IF(AD337=1,AB337,IF(AL336&lt;&gt;"",AL336,""))</f>
        <v/>
      </c>
      <c r="AM337">
        <f>IF(AND(AD337=1,AL336&lt;&gt;""),ABS(AB337-AL336),"")</f>
        <v/>
      </c>
    </row>
    <row r="338">
      <c r="A338" t="n">
        <v>1776840302</v>
      </c>
      <c r="B338" t="inlineStr">
        <is>
          <t>XAUUSD</t>
        </is>
      </c>
      <c r="C338" t="inlineStr">
        <is>
          <t>M15</t>
        </is>
      </c>
      <c r="D338" t="n">
        <v>4767.69</v>
      </c>
      <c r="E338" t="n">
        <v>4518.59282</v>
      </c>
      <c r="F338" t="n">
        <v>4596.05595</v>
      </c>
      <c r="G338" t="n">
        <v>4755.40355</v>
      </c>
      <c r="H338" t="n">
        <v>4792.76972</v>
      </c>
      <c r="Q338" t="n">
        <v>4727.72276</v>
      </c>
      <c r="R338" t="n">
        <v>4757.08606</v>
      </c>
      <c r="S338" t="n">
        <v>4783.67483</v>
      </c>
      <c r="V338" t="n">
        <v>4692.78299</v>
      </c>
      <c r="W338" t="n">
        <v>4659.21799</v>
      </c>
      <c r="AB338" t="n">
        <v>4766.53112</v>
      </c>
      <c r="AC338" t="n">
        <v>4766.59051</v>
      </c>
      <c r="AD338" t="n">
        <v>1</v>
      </c>
      <c r="AE338">
        <f>AE337+1</f>
        <v/>
      </c>
      <c r="AF338">
        <f>AF337+1</f>
        <v/>
      </c>
      <c r="AG338">
        <f>D338-Q338</f>
        <v/>
      </c>
      <c r="AH338">
        <f>AG338^2</f>
        <v/>
      </c>
      <c r="AI338">
        <f>(AG338/STDEV($AG$3:$AG$1137))^3</f>
        <v/>
      </c>
      <c r="AJ338">
        <f>(AG338/STDEV($AG$3:$AG$1137))^4</f>
        <v/>
      </c>
      <c r="AK338">
        <f>AF338^2</f>
        <v/>
      </c>
      <c r="AL338">
        <f>IF(AD338=1,AB338,IF(AL337&lt;&gt;"",AL337,""))</f>
        <v/>
      </c>
      <c r="AM338">
        <f>IF(AND(AD338=1,AL337&lt;&gt;""),ABS(AB338-AL337),"")</f>
        <v/>
      </c>
    </row>
    <row r="339">
      <c r="A339" t="n">
        <v>1776841202</v>
      </c>
      <c r="B339" t="inlineStr">
        <is>
          <t>XAUUSD</t>
        </is>
      </c>
      <c r="C339" t="inlineStr">
        <is>
          <t>M15</t>
        </is>
      </c>
      <c r="D339" t="n">
        <v>4765.67</v>
      </c>
      <c r="E339" t="n">
        <v>4518.59282</v>
      </c>
      <c r="F339" t="n">
        <v>4596.05595</v>
      </c>
      <c r="G339" t="n">
        <v>4755.40355</v>
      </c>
      <c r="H339" t="n">
        <v>4792.76972</v>
      </c>
      <c r="Q339" t="n">
        <v>4727.45515</v>
      </c>
      <c r="R339" t="n">
        <v>4756.81845</v>
      </c>
      <c r="S339" t="n">
        <v>4783.40722</v>
      </c>
      <c r="V339" t="n">
        <v>4692.51538</v>
      </c>
      <c r="W339" t="n">
        <v>4658.95039</v>
      </c>
      <c r="Z339" t="n">
        <v>4772.15</v>
      </c>
      <c r="AB339" t="n">
        <v>4765.45658</v>
      </c>
      <c r="AC339" t="n">
        <v>4766.02355</v>
      </c>
      <c r="AD339" t="n">
        <v>0</v>
      </c>
      <c r="AE339">
        <f>AE338+1</f>
        <v/>
      </c>
      <c r="AF339">
        <f>AF338+1</f>
        <v/>
      </c>
      <c r="AG339">
        <f>D339-Q339</f>
        <v/>
      </c>
      <c r="AH339">
        <f>AG339^2</f>
        <v/>
      </c>
      <c r="AI339">
        <f>(AG339/STDEV($AG$3:$AG$1137))^3</f>
        <v/>
      </c>
      <c r="AJ339">
        <f>(AG339/STDEV($AG$3:$AG$1137))^4</f>
        <v/>
      </c>
      <c r="AK339">
        <f>AF339^2</f>
        <v/>
      </c>
      <c r="AL339">
        <f>IF(AD339=1,AB339,IF(AL338&lt;&gt;"",AL338,""))</f>
        <v/>
      </c>
      <c r="AM339">
        <f>IF(AND(AD339=1,AL338&lt;&gt;""),ABS(AB339-AL338),"")</f>
        <v/>
      </c>
    </row>
    <row r="340">
      <c r="A340" t="n">
        <v>1776842102</v>
      </c>
      <c r="B340" t="inlineStr">
        <is>
          <t>XAUUSD</t>
        </is>
      </c>
      <c r="C340" t="inlineStr">
        <is>
          <t>M15</t>
        </is>
      </c>
      <c r="D340" t="n">
        <v>4766.08</v>
      </c>
      <c r="E340" t="n">
        <v>4518.59282</v>
      </c>
      <c r="F340" t="n">
        <v>4596.05595</v>
      </c>
      <c r="G340" t="n">
        <v>4755.40355</v>
      </c>
      <c r="H340" t="n">
        <v>4792.76972</v>
      </c>
      <c r="Q340" t="n">
        <v>4727.18755</v>
      </c>
      <c r="R340" t="n">
        <v>4756.55085</v>
      </c>
      <c r="S340" t="n">
        <v>4783.13962</v>
      </c>
      <c r="V340" t="n">
        <v>4692.24778</v>
      </c>
      <c r="W340" t="n">
        <v>4658.68278</v>
      </c>
      <c r="AB340" t="n">
        <v>4764.06552</v>
      </c>
      <c r="AC340" t="n">
        <v>4765.04453</v>
      </c>
      <c r="AD340" t="n">
        <v>0</v>
      </c>
      <c r="AE340">
        <f>AE339+1</f>
        <v/>
      </c>
      <c r="AF340">
        <f>AF339+1</f>
        <v/>
      </c>
      <c r="AG340">
        <f>D340-Q340</f>
        <v/>
      </c>
      <c r="AH340">
        <f>AG340^2</f>
        <v/>
      </c>
      <c r="AI340">
        <f>(AG340/STDEV($AG$3:$AG$1137))^3</f>
        <v/>
      </c>
      <c r="AJ340">
        <f>(AG340/STDEV($AG$3:$AG$1137))^4</f>
        <v/>
      </c>
      <c r="AK340">
        <f>AF340^2</f>
        <v/>
      </c>
      <c r="AL340">
        <f>IF(AD340=1,AB340,IF(AL339&lt;&gt;"",AL339,""))</f>
        <v/>
      </c>
      <c r="AM340">
        <f>IF(AND(AD340=1,AL339&lt;&gt;""),ABS(AB340-AL339),"")</f>
        <v/>
      </c>
    </row>
    <row r="341">
      <c r="A341" t="n">
        <v>1776843002</v>
      </c>
      <c r="B341" t="inlineStr">
        <is>
          <t>XAUUSD</t>
        </is>
      </c>
      <c r="C341" t="inlineStr">
        <is>
          <t>M15</t>
        </is>
      </c>
      <c r="D341" t="n">
        <v>4763.82</v>
      </c>
      <c r="E341" t="n">
        <v>4518.59282</v>
      </c>
      <c r="F341" t="n">
        <v>4596.05595</v>
      </c>
      <c r="G341" t="n">
        <v>4755.40355</v>
      </c>
      <c r="H341" t="n">
        <v>4792.76972</v>
      </c>
      <c r="Q341" t="n">
        <v>4726.91994</v>
      </c>
      <c r="R341" t="n">
        <v>4756.28324</v>
      </c>
      <c r="S341" t="n">
        <v>4782.87201</v>
      </c>
      <c r="V341" t="n">
        <v>4691.98017</v>
      </c>
      <c r="W341" t="n">
        <v>4658.41518</v>
      </c>
      <c r="AB341" t="n">
        <v>4762.4421</v>
      </c>
      <c r="AC341" t="n">
        <v>4763.74332</v>
      </c>
      <c r="AD341" t="n">
        <v>0</v>
      </c>
      <c r="AE341">
        <f>AE340+1</f>
        <v/>
      </c>
      <c r="AF341">
        <f>AF340+1</f>
        <v/>
      </c>
      <c r="AG341">
        <f>D341-Q341</f>
        <v/>
      </c>
      <c r="AH341">
        <f>AG341^2</f>
        <v/>
      </c>
      <c r="AI341">
        <f>(AG341/STDEV($AG$3:$AG$1137))^3</f>
        <v/>
      </c>
      <c r="AJ341">
        <f>(AG341/STDEV($AG$3:$AG$1137))^4</f>
        <v/>
      </c>
      <c r="AK341">
        <f>AF341^2</f>
        <v/>
      </c>
      <c r="AL341">
        <f>IF(AD341=1,AB341,IF(AL340&lt;&gt;"",AL340,""))</f>
        <v/>
      </c>
      <c r="AM341">
        <f>IF(AND(AD341=1,AL340&lt;&gt;""),ABS(AB341-AL340),"")</f>
        <v/>
      </c>
    </row>
    <row r="342">
      <c r="A342" t="n">
        <v>1776843902</v>
      </c>
      <c r="B342" t="inlineStr">
        <is>
          <t>XAUUSD</t>
        </is>
      </c>
      <c r="C342" t="inlineStr">
        <is>
          <t>M15</t>
        </is>
      </c>
      <c r="D342" t="n">
        <v>4760.46</v>
      </c>
      <c r="E342" t="n">
        <v>4518.59282</v>
      </c>
      <c r="F342" t="n">
        <v>4596.05595</v>
      </c>
      <c r="G342" t="n">
        <v>4755.40355</v>
      </c>
      <c r="H342" t="n">
        <v>4792.76972</v>
      </c>
      <c r="Q342" t="n">
        <v>4726.65234</v>
      </c>
      <c r="R342" t="n">
        <v>4756.01564</v>
      </c>
      <c r="S342" t="n">
        <v>4782.60441</v>
      </c>
      <c r="V342" t="n">
        <v>4691.71257</v>
      </c>
      <c r="W342" t="n">
        <v>4658.14757</v>
      </c>
      <c r="AB342" t="n">
        <v>4760.74375</v>
      </c>
      <c r="AC342" t="n">
        <v>4762.24353</v>
      </c>
      <c r="AD342" t="n">
        <v>0</v>
      </c>
      <c r="AE342">
        <f>AE341+1</f>
        <v/>
      </c>
      <c r="AF342">
        <f>AF341+1</f>
        <v/>
      </c>
      <c r="AG342">
        <f>D342-Q342</f>
        <v/>
      </c>
      <c r="AH342">
        <f>AG342^2</f>
        <v/>
      </c>
      <c r="AI342">
        <f>(AG342/STDEV($AG$3:$AG$1137))^3</f>
        <v/>
      </c>
      <c r="AJ342">
        <f>(AG342/STDEV($AG$3:$AG$1137))^4</f>
        <v/>
      </c>
      <c r="AK342">
        <f>AF342^2</f>
        <v/>
      </c>
      <c r="AL342">
        <f>IF(AD342=1,AB342,IF(AL341&lt;&gt;"",AL341,""))</f>
        <v/>
      </c>
      <c r="AM342">
        <f>IF(AND(AD342=1,AL341&lt;&gt;""),ABS(AB342-AL341),"")</f>
        <v/>
      </c>
    </row>
    <row r="343">
      <c r="A343" t="n">
        <v>1776844802</v>
      </c>
      <c r="B343" t="inlineStr">
        <is>
          <t>XAUUSD</t>
        </is>
      </c>
      <c r="C343" t="inlineStr">
        <is>
          <t>M15</t>
        </is>
      </c>
      <c r="D343" t="n">
        <v>4758.02</v>
      </c>
      <c r="E343" t="n">
        <v>4518.59282</v>
      </c>
      <c r="F343" t="n">
        <v>4596.05595</v>
      </c>
      <c r="G343" t="n">
        <v>4755.40355</v>
      </c>
      <c r="H343" t="n">
        <v>4792.76972</v>
      </c>
      <c r="Q343" t="n">
        <v>4726.38474</v>
      </c>
      <c r="R343" t="n">
        <v>4755.74804</v>
      </c>
      <c r="S343" t="n">
        <v>4782.33681</v>
      </c>
      <c r="V343" t="n">
        <v>4691.44497</v>
      </c>
      <c r="W343" t="n">
        <v>4657.87997</v>
      </c>
      <c r="AB343" t="n">
        <v>4759.16796</v>
      </c>
      <c r="AC343" t="n">
        <v>4760.70574</v>
      </c>
      <c r="AD343" t="n">
        <v>0</v>
      </c>
      <c r="AE343">
        <f>AE342+1</f>
        <v/>
      </c>
      <c r="AF343">
        <f>AF342+1</f>
        <v/>
      </c>
      <c r="AG343">
        <f>D343-Q343</f>
        <v/>
      </c>
      <c r="AH343">
        <f>AG343^2</f>
        <v/>
      </c>
      <c r="AI343">
        <f>(AG343/STDEV($AG$3:$AG$1137))^3</f>
        <v/>
      </c>
      <c r="AJ343">
        <f>(AG343/STDEV($AG$3:$AG$1137))^4</f>
        <v/>
      </c>
      <c r="AK343">
        <f>AF343^2</f>
        <v/>
      </c>
      <c r="AL343">
        <f>IF(AD343=1,AB343,IF(AL342&lt;&gt;"",AL342,""))</f>
        <v/>
      </c>
      <c r="AM343">
        <f>IF(AND(AD343=1,AL342&lt;&gt;""),ABS(AB343-AL342),"")</f>
        <v/>
      </c>
    </row>
    <row r="344">
      <c r="A344" t="n">
        <v>1776845702</v>
      </c>
      <c r="B344" t="inlineStr">
        <is>
          <t>XAUUSD</t>
        </is>
      </c>
      <c r="C344" t="inlineStr">
        <is>
          <t>M15</t>
        </is>
      </c>
      <c r="D344" t="n">
        <v>4754.37</v>
      </c>
      <c r="E344" t="n">
        <v>4518.59282</v>
      </c>
      <c r="F344" t="n">
        <v>4596.05595</v>
      </c>
      <c r="G344" t="n">
        <v>4755.40355</v>
      </c>
      <c r="H344" t="n">
        <v>4792.76972</v>
      </c>
      <c r="Q344" t="n">
        <v>4726.11713</v>
      </c>
      <c r="R344" t="n">
        <v>4755.48043</v>
      </c>
      <c r="S344" t="n">
        <v>4782.0692</v>
      </c>
      <c r="V344" t="n">
        <v>4691.17736</v>
      </c>
      <c r="W344" t="n">
        <v>4657.61237</v>
      </c>
      <c r="AB344" t="n">
        <v>4757.87044</v>
      </c>
      <c r="AC344" t="n">
        <v>4759.28809</v>
      </c>
      <c r="AD344" t="n">
        <v>0</v>
      </c>
      <c r="AE344">
        <f>AE343+1</f>
        <v/>
      </c>
      <c r="AF344">
        <f>AF343+1</f>
        <v/>
      </c>
      <c r="AG344">
        <f>D344-Q344</f>
        <v/>
      </c>
      <c r="AH344">
        <f>AG344^2</f>
        <v/>
      </c>
      <c r="AI344">
        <f>(AG344/STDEV($AG$3:$AG$1137))^3</f>
        <v/>
      </c>
      <c r="AJ344">
        <f>(AG344/STDEV($AG$3:$AG$1137))^4</f>
        <v/>
      </c>
      <c r="AK344">
        <f>AF344^2</f>
        <v/>
      </c>
      <c r="AL344">
        <f>IF(AD344=1,AB344,IF(AL343&lt;&gt;"",AL343,""))</f>
        <v/>
      </c>
      <c r="AM344">
        <f>IF(AND(AD344=1,AL343&lt;&gt;""),ABS(AB344-AL343),"")</f>
        <v/>
      </c>
    </row>
    <row r="345">
      <c r="A345" t="n">
        <v>1776846602</v>
      </c>
      <c r="B345" t="inlineStr">
        <is>
          <t>XAUUSD</t>
        </is>
      </c>
      <c r="C345" t="inlineStr">
        <is>
          <t>M15</t>
        </is>
      </c>
      <c r="D345" t="n">
        <v>4756.15</v>
      </c>
      <c r="E345" t="n">
        <v>4518.59282</v>
      </c>
      <c r="F345" t="n">
        <v>4596.05595</v>
      </c>
      <c r="G345" t="n">
        <v>4755.40355</v>
      </c>
      <c r="H345" t="n">
        <v>4792.76972</v>
      </c>
      <c r="Q345" t="n">
        <v>4725.84953</v>
      </c>
      <c r="R345" t="n">
        <v>4755.21283</v>
      </c>
      <c r="S345" t="n">
        <v>4781.8016</v>
      </c>
      <c r="V345" t="n">
        <v>4690.90976</v>
      </c>
      <c r="W345" t="n">
        <v>4657.34476</v>
      </c>
      <c r="AB345" t="n">
        <v>4756.98444</v>
      </c>
      <c r="AC345" t="n">
        <v>4758.13627</v>
      </c>
      <c r="AD345" t="n">
        <v>0</v>
      </c>
      <c r="AE345">
        <f>AE344+1</f>
        <v/>
      </c>
      <c r="AF345">
        <f>AF344+1</f>
        <v/>
      </c>
      <c r="AG345">
        <f>D345-Q345</f>
        <v/>
      </c>
      <c r="AH345">
        <f>AG345^2</f>
        <v/>
      </c>
      <c r="AI345">
        <f>(AG345/STDEV($AG$3:$AG$1137))^3</f>
        <v/>
      </c>
      <c r="AJ345">
        <f>(AG345/STDEV($AG$3:$AG$1137))^4</f>
        <v/>
      </c>
      <c r="AK345">
        <f>AF345^2</f>
        <v/>
      </c>
      <c r="AL345">
        <f>IF(AD345=1,AB345,IF(AL344&lt;&gt;"",AL344,""))</f>
        <v/>
      </c>
      <c r="AM345">
        <f>IF(AND(AD345=1,AL344&lt;&gt;""),ABS(AB345-AL344),"")</f>
        <v/>
      </c>
    </row>
    <row r="346">
      <c r="A346" t="n">
        <v>1776847502</v>
      </c>
      <c r="B346" t="inlineStr">
        <is>
          <t>XAUUSD</t>
        </is>
      </c>
      <c r="C346" t="inlineStr">
        <is>
          <t>M15</t>
        </is>
      </c>
      <c r="D346" t="n">
        <v>4757.14</v>
      </c>
      <c r="E346" t="n">
        <v>4518.59282</v>
      </c>
      <c r="F346" t="n">
        <v>4596.05595</v>
      </c>
      <c r="G346" t="n">
        <v>4755.40355</v>
      </c>
      <c r="H346" t="n">
        <v>4792.76972</v>
      </c>
      <c r="Q346" t="n">
        <v>4725.58192</v>
      </c>
      <c r="R346" t="n">
        <v>4754.94522</v>
      </c>
      <c r="S346" t="n">
        <v>4781.53399</v>
      </c>
      <c r="V346" t="n">
        <v>4690.64215</v>
      </c>
      <c r="W346" t="n">
        <v>4657.07716</v>
      </c>
      <c r="AB346" t="n">
        <v>4756.44079</v>
      </c>
      <c r="AC346" t="n">
        <v>4757.28853</v>
      </c>
      <c r="AD346" t="n">
        <v>0</v>
      </c>
      <c r="AE346">
        <f>AE345+1</f>
        <v/>
      </c>
      <c r="AF346">
        <f>AF345+1</f>
        <v/>
      </c>
      <c r="AG346">
        <f>D346-Q346</f>
        <v/>
      </c>
      <c r="AH346">
        <f>AG346^2</f>
        <v/>
      </c>
      <c r="AI346">
        <f>(AG346/STDEV($AG$3:$AG$1137))^3</f>
        <v/>
      </c>
      <c r="AJ346">
        <f>(AG346/STDEV($AG$3:$AG$1137))^4</f>
        <v/>
      </c>
      <c r="AK346">
        <f>AF346^2</f>
        <v/>
      </c>
      <c r="AL346">
        <f>IF(AD346=1,AB346,IF(AL345&lt;&gt;"",AL345,""))</f>
        <v/>
      </c>
      <c r="AM346">
        <f>IF(AND(AD346=1,AL345&lt;&gt;""),ABS(AB346-AL345),"")</f>
        <v/>
      </c>
    </row>
    <row r="347">
      <c r="A347" t="n">
        <v>1776848402</v>
      </c>
      <c r="B347" t="inlineStr">
        <is>
          <t>XAUUSD</t>
        </is>
      </c>
      <c r="C347" t="inlineStr">
        <is>
          <t>M15</t>
        </is>
      </c>
      <c r="D347" t="n">
        <v>4760.72</v>
      </c>
      <c r="E347" t="n">
        <v>4518.59282</v>
      </c>
      <c r="F347" t="n">
        <v>4596.05595</v>
      </c>
      <c r="G347" t="n">
        <v>4755.40355</v>
      </c>
      <c r="H347" t="n">
        <v>4792.76972</v>
      </c>
      <c r="Q347" t="n">
        <v>4725.31432</v>
      </c>
      <c r="R347" t="n">
        <v>4754.67762</v>
      </c>
      <c r="S347" t="n">
        <v>4781.26639</v>
      </c>
      <c r="V347" t="n">
        <v>4690.37455</v>
      </c>
      <c r="W347" t="n">
        <v>4656.80955</v>
      </c>
      <c r="AB347" t="n">
        <v>4756.14817</v>
      </c>
      <c r="AC347" t="n">
        <v>4756.71835</v>
      </c>
      <c r="AD347" t="n">
        <v>0</v>
      </c>
      <c r="AE347">
        <f>AE346+1</f>
        <v/>
      </c>
      <c r="AF347">
        <f>AF346+1</f>
        <v/>
      </c>
      <c r="AG347">
        <f>D347-Q347</f>
        <v/>
      </c>
      <c r="AH347">
        <f>AG347^2</f>
        <v/>
      </c>
      <c r="AI347">
        <f>(AG347/STDEV($AG$3:$AG$1137))^3</f>
        <v/>
      </c>
      <c r="AJ347">
        <f>(AG347/STDEV($AG$3:$AG$1137))^4</f>
        <v/>
      </c>
      <c r="AK347">
        <f>AF347^2</f>
        <v/>
      </c>
      <c r="AL347">
        <f>IF(AD347=1,AB347,IF(AL346&lt;&gt;"",AL346,""))</f>
        <v/>
      </c>
      <c r="AM347">
        <f>IF(AND(AD347=1,AL346&lt;&gt;""),ABS(AB347-AL346),"")</f>
        <v/>
      </c>
    </row>
    <row r="348">
      <c r="A348" t="n">
        <v>1776849302</v>
      </c>
      <c r="B348" t="inlineStr">
        <is>
          <t>XAUUSD</t>
        </is>
      </c>
      <c r="C348" t="inlineStr">
        <is>
          <t>M15</t>
        </is>
      </c>
      <c r="D348" t="n">
        <v>4756.45</v>
      </c>
      <c r="E348" t="n">
        <v>4518.59282</v>
      </c>
      <c r="F348" t="n">
        <v>4596.05595</v>
      </c>
      <c r="G348" t="n">
        <v>4755.40355</v>
      </c>
      <c r="H348" t="n">
        <v>4792.76972</v>
      </c>
      <c r="Q348" t="n">
        <v>4725.04672</v>
      </c>
      <c r="R348" t="n">
        <v>4754.41001</v>
      </c>
      <c r="S348" t="n">
        <v>4780.99879</v>
      </c>
      <c r="V348" t="n">
        <v>4690.10695</v>
      </c>
      <c r="W348" t="n">
        <v>4656.54195</v>
      </c>
      <c r="AB348" t="n">
        <v>4755.93888</v>
      </c>
      <c r="AC348" t="n">
        <v>4756.32861</v>
      </c>
      <c r="AD348" t="n">
        <v>0</v>
      </c>
      <c r="AE348">
        <f>AE347+1</f>
        <v/>
      </c>
      <c r="AF348">
        <f>AF347+1</f>
        <v/>
      </c>
      <c r="AG348">
        <f>D348-Q348</f>
        <v/>
      </c>
      <c r="AH348">
        <f>AG348^2</f>
        <v/>
      </c>
      <c r="AI348">
        <f>(AG348/STDEV($AG$3:$AG$1137))^3</f>
        <v/>
      </c>
      <c r="AJ348">
        <f>(AG348/STDEV($AG$3:$AG$1137))^4</f>
        <v/>
      </c>
      <c r="AK348">
        <f>AF348^2</f>
        <v/>
      </c>
      <c r="AL348">
        <f>IF(AD348=1,AB348,IF(AL347&lt;&gt;"",AL347,""))</f>
        <v/>
      </c>
      <c r="AM348">
        <f>IF(AND(AD348=1,AL347&lt;&gt;""),ABS(AB348-AL347),"")</f>
        <v/>
      </c>
    </row>
    <row r="349">
      <c r="A349" t="n">
        <v>1776850202</v>
      </c>
      <c r="B349" t="inlineStr">
        <is>
          <t>XAUUSD</t>
        </is>
      </c>
      <c r="C349" t="inlineStr">
        <is>
          <t>M15</t>
        </is>
      </c>
      <c r="D349" t="n">
        <v>4758.47</v>
      </c>
      <c r="E349" t="n">
        <v>4518.59282</v>
      </c>
      <c r="F349" t="n">
        <v>4596.05595</v>
      </c>
      <c r="G349" t="n">
        <v>4755.40355</v>
      </c>
      <c r="H349" t="n">
        <v>4792.76972</v>
      </c>
      <c r="Q349" t="n">
        <v>4724.77911</v>
      </c>
      <c r="R349" t="n">
        <v>4754.14241</v>
      </c>
      <c r="S349" t="n">
        <v>4780.73118</v>
      </c>
      <c r="V349" t="n">
        <v>4689.83934</v>
      </c>
      <c r="W349" t="n">
        <v>4656.27435</v>
      </c>
      <c r="AB349" t="n">
        <v>4755.87512</v>
      </c>
      <c r="AC349" t="n">
        <v>4756.10187</v>
      </c>
      <c r="AD349" t="n">
        <v>0</v>
      </c>
      <c r="AE349">
        <f>AE348+1</f>
        <v/>
      </c>
      <c r="AF349">
        <f>AF348+1</f>
        <v/>
      </c>
      <c r="AG349">
        <f>D349-Q349</f>
        <v/>
      </c>
      <c r="AH349">
        <f>AG349^2</f>
        <v/>
      </c>
      <c r="AI349">
        <f>(AG349/STDEV($AG$3:$AG$1137))^3</f>
        <v/>
      </c>
      <c r="AJ349">
        <f>(AG349/STDEV($AG$3:$AG$1137))^4</f>
        <v/>
      </c>
      <c r="AK349">
        <f>AF349^2</f>
        <v/>
      </c>
      <c r="AL349">
        <f>IF(AD349=1,AB349,IF(AL348&lt;&gt;"",AL348,""))</f>
        <v/>
      </c>
      <c r="AM349">
        <f>IF(AND(AD349=1,AL348&lt;&gt;""),ABS(AB349-AL348),"")</f>
        <v/>
      </c>
    </row>
    <row r="350">
      <c r="A350" t="n">
        <v>1776851102</v>
      </c>
      <c r="B350" t="inlineStr">
        <is>
          <t>XAUUSD</t>
        </is>
      </c>
      <c r="C350" t="inlineStr">
        <is>
          <t>M15</t>
        </is>
      </c>
      <c r="D350" t="n">
        <v>4755.32</v>
      </c>
      <c r="E350" t="n">
        <v>4518.59282</v>
      </c>
      <c r="F350" t="n">
        <v>4596.05595</v>
      </c>
      <c r="G350" t="n">
        <v>4755.40355</v>
      </c>
      <c r="H350" t="n">
        <v>4792.76972</v>
      </c>
      <c r="Q350" t="n">
        <v>4724.51151</v>
      </c>
      <c r="R350" t="n">
        <v>4753.87481</v>
      </c>
      <c r="S350" t="n">
        <v>4780.46358</v>
      </c>
      <c r="V350" t="n">
        <v>4689.57174</v>
      </c>
      <c r="W350" t="n">
        <v>4656.00674</v>
      </c>
      <c r="AB350" t="n">
        <v>4755.84414</v>
      </c>
      <c r="AC350" t="n">
        <v>4755.973</v>
      </c>
      <c r="AD350" t="n">
        <v>0</v>
      </c>
      <c r="AE350">
        <f>AE349+1</f>
        <v/>
      </c>
      <c r="AF350">
        <f>AF349+1</f>
        <v/>
      </c>
      <c r="AG350">
        <f>D350-Q350</f>
        <v/>
      </c>
      <c r="AH350">
        <f>AG350^2</f>
        <v/>
      </c>
      <c r="AI350">
        <f>(AG350/STDEV($AG$3:$AG$1137))^3</f>
        <v/>
      </c>
      <c r="AJ350">
        <f>(AG350/STDEV($AG$3:$AG$1137))^4</f>
        <v/>
      </c>
      <c r="AK350">
        <f>AF350^2</f>
        <v/>
      </c>
      <c r="AL350">
        <f>IF(AD350=1,AB350,IF(AL349&lt;&gt;"",AL349,""))</f>
        <v/>
      </c>
      <c r="AM350">
        <f>IF(AND(AD350=1,AL349&lt;&gt;""),ABS(AB350-AL349),"")</f>
        <v/>
      </c>
    </row>
    <row r="351">
      <c r="A351" t="n">
        <v>1776852002</v>
      </c>
      <c r="B351" t="inlineStr">
        <is>
          <t>XAUUSD</t>
        </is>
      </c>
      <c r="C351" t="inlineStr">
        <is>
          <t>M15</t>
        </is>
      </c>
      <c r="D351" t="n">
        <v>4748.72</v>
      </c>
      <c r="E351" t="n">
        <v>4518.59282</v>
      </c>
      <c r="F351" t="n">
        <v>4596.05595</v>
      </c>
      <c r="G351" t="n">
        <v>4755.40355</v>
      </c>
      <c r="H351" t="n">
        <v>4792.76972</v>
      </c>
      <c r="Q351" t="n">
        <v>4724.2439</v>
      </c>
      <c r="R351" t="n">
        <v>4753.6072</v>
      </c>
      <c r="S351" t="n">
        <v>4780.19597</v>
      </c>
      <c r="V351" t="n">
        <v>4689.30413</v>
      </c>
      <c r="W351" t="n">
        <v>4655.73914</v>
      </c>
      <c r="AB351" t="n">
        <v>4755.88984</v>
      </c>
      <c r="AC351" t="n">
        <v>4755.93142</v>
      </c>
      <c r="AD351" t="n">
        <v>0</v>
      </c>
      <c r="AE351">
        <f>AE350+1</f>
        <v/>
      </c>
      <c r="AF351">
        <f>AF350+1</f>
        <v/>
      </c>
      <c r="AG351">
        <f>D351-Q351</f>
        <v/>
      </c>
      <c r="AH351">
        <f>AG351^2</f>
        <v/>
      </c>
      <c r="AI351">
        <f>(AG351/STDEV($AG$3:$AG$1137))^3</f>
        <v/>
      </c>
      <c r="AJ351">
        <f>(AG351/STDEV($AG$3:$AG$1137))^4</f>
        <v/>
      </c>
      <c r="AK351">
        <f>AF351^2</f>
        <v/>
      </c>
      <c r="AL351">
        <f>IF(AD351=1,AB351,IF(AL350&lt;&gt;"",AL350,""))</f>
        <v/>
      </c>
      <c r="AM351">
        <f>IF(AND(AD351=1,AL350&lt;&gt;""),ABS(AB351-AL350),"")</f>
        <v/>
      </c>
    </row>
    <row r="352">
      <c r="A352" t="n">
        <v>1776852902</v>
      </c>
      <c r="B352" t="inlineStr">
        <is>
          <t>XAUUSD</t>
        </is>
      </c>
      <c r="C352" t="inlineStr">
        <is>
          <t>M15</t>
        </is>
      </c>
      <c r="D352" t="n">
        <v>4754.63</v>
      </c>
      <c r="E352" t="n">
        <v>4518.59282</v>
      </c>
      <c r="F352" t="n">
        <v>4596.05595</v>
      </c>
      <c r="G352" t="n">
        <v>4755.40355</v>
      </c>
      <c r="H352" t="n">
        <v>4792.76972</v>
      </c>
      <c r="Q352" t="n">
        <v>4723.9763</v>
      </c>
      <c r="R352" t="n">
        <v>4753.3396</v>
      </c>
      <c r="S352" t="n">
        <v>4779.92837</v>
      </c>
      <c r="V352" t="n">
        <v>4689.03653</v>
      </c>
      <c r="W352" t="n">
        <v>4655.47153</v>
      </c>
      <c r="AB352" t="n">
        <v>4756.12543</v>
      </c>
      <c r="AC352" t="n">
        <v>4756.02843</v>
      </c>
      <c r="AD352" t="n">
        <v>1</v>
      </c>
      <c r="AE352">
        <f>AE351+1</f>
        <v/>
      </c>
      <c r="AF352">
        <f>AF351+1</f>
        <v/>
      </c>
      <c r="AG352">
        <f>D352-Q352</f>
        <v/>
      </c>
      <c r="AH352">
        <f>AG352^2</f>
        <v/>
      </c>
      <c r="AI352">
        <f>(AG352/STDEV($AG$3:$AG$1137))^3</f>
        <v/>
      </c>
      <c r="AJ352">
        <f>(AG352/STDEV($AG$3:$AG$1137))^4</f>
        <v/>
      </c>
      <c r="AK352">
        <f>AF352^2</f>
        <v/>
      </c>
      <c r="AL352">
        <f>IF(AD352=1,AB352,IF(AL351&lt;&gt;"",AL351,""))</f>
        <v/>
      </c>
      <c r="AM352">
        <f>IF(AND(AD352=1,AL351&lt;&gt;""),ABS(AB352-AL351),"")</f>
        <v/>
      </c>
    </row>
    <row r="353">
      <c r="A353" t="n">
        <v>1776853802</v>
      </c>
      <c r="B353" t="inlineStr">
        <is>
          <t>XAUUSD</t>
        </is>
      </c>
      <c r="C353" t="inlineStr">
        <is>
          <t>M15</t>
        </is>
      </c>
      <c r="D353" t="n">
        <v>4756.53</v>
      </c>
      <c r="E353" t="n">
        <v>4518.59282</v>
      </c>
      <c r="F353" t="n">
        <v>4596.05595</v>
      </c>
      <c r="G353" t="n">
        <v>4755.40355</v>
      </c>
      <c r="H353" t="n">
        <v>4792.76972</v>
      </c>
      <c r="Q353" t="n">
        <v>4723.7087</v>
      </c>
      <c r="R353" t="n">
        <v>4753.07199</v>
      </c>
      <c r="S353" t="n">
        <v>4779.66077</v>
      </c>
      <c r="V353" t="n">
        <v>4688.76893</v>
      </c>
      <c r="W353" t="n">
        <v>4655.20393</v>
      </c>
      <c r="AB353" t="n">
        <v>4756.25617</v>
      </c>
      <c r="AC353" t="n">
        <v>4756.1423</v>
      </c>
      <c r="AD353" t="n">
        <v>0</v>
      </c>
      <c r="AE353">
        <f>AE352+1</f>
        <v/>
      </c>
      <c r="AF353">
        <f>AF352+1</f>
        <v/>
      </c>
      <c r="AG353">
        <f>D353-Q353</f>
        <v/>
      </c>
      <c r="AH353">
        <f>AG353^2</f>
        <v/>
      </c>
      <c r="AI353">
        <f>(AG353/STDEV($AG$3:$AG$1137))^3</f>
        <v/>
      </c>
      <c r="AJ353">
        <f>(AG353/STDEV($AG$3:$AG$1137))^4</f>
        <v/>
      </c>
      <c r="AK353">
        <f>AF353^2</f>
        <v/>
      </c>
      <c r="AL353">
        <f>IF(AD353=1,AB353,IF(AL352&lt;&gt;"",AL352,""))</f>
        <v/>
      </c>
      <c r="AM353">
        <f>IF(AND(AD353=1,AL352&lt;&gt;""),ABS(AB353-AL352),"")</f>
        <v/>
      </c>
    </row>
    <row r="354">
      <c r="A354" t="n">
        <v>1776854702</v>
      </c>
      <c r="B354" t="inlineStr">
        <is>
          <t>XAUUSD</t>
        </is>
      </c>
      <c r="C354" t="inlineStr">
        <is>
          <t>M15</t>
        </is>
      </c>
      <c r="D354" t="n">
        <v>4759.21</v>
      </c>
      <c r="E354" t="n">
        <v>4518.59282</v>
      </c>
      <c r="F354" t="n">
        <v>4596.05595</v>
      </c>
      <c r="G354" t="n">
        <v>4755.40355</v>
      </c>
      <c r="H354" t="n">
        <v>4792.76972</v>
      </c>
      <c r="Q354" t="n">
        <v>4723.44109</v>
      </c>
      <c r="R354" t="n">
        <v>4752.80439</v>
      </c>
      <c r="S354" t="n">
        <v>4779.39316</v>
      </c>
      <c r="V354" t="n">
        <v>4688.50132</v>
      </c>
      <c r="W354" t="n">
        <v>4654.93633</v>
      </c>
      <c r="AB354" t="n">
        <v>4756.08775</v>
      </c>
      <c r="AC354" t="n">
        <v>4756.11502</v>
      </c>
      <c r="AD354" t="n">
        <v>1</v>
      </c>
      <c r="AE354">
        <f>AE353+1</f>
        <v/>
      </c>
      <c r="AF354">
        <f>AF353+1</f>
        <v/>
      </c>
      <c r="AG354">
        <f>D354-Q354</f>
        <v/>
      </c>
      <c r="AH354">
        <f>AG354^2</f>
        <v/>
      </c>
      <c r="AI354">
        <f>(AG354/STDEV($AG$3:$AG$1137))^3</f>
        <v/>
      </c>
      <c r="AJ354">
        <f>(AG354/STDEV($AG$3:$AG$1137))^4</f>
        <v/>
      </c>
      <c r="AK354">
        <f>AF354^2</f>
        <v/>
      </c>
      <c r="AL354">
        <f>IF(AD354=1,AB354,IF(AL353&lt;&gt;"",AL353,""))</f>
        <v/>
      </c>
      <c r="AM354">
        <f>IF(AND(AD354=1,AL353&lt;&gt;""),ABS(AB354-AL353),"")</f>
        <v/>
      </c>
    </row>
    <row r="355">
      <c r="A355" t="n">
        <v>1776855602</v>
      </c>
      <c r="B355" t="inlineStr">
        <is>
          <t>XAUUSD</t>
        </is>
      </c>
      <c r="C355" t="inlineStr">
        <is>
          <t>M15</t>
        </is>
      </c>
      <c r="D355" t="n">
        <v>4757.27</v>
      </c>
      <c r="E355" t="n">
        <v>4518.59282</v>
      </c>
      <c r="F355" t="n">
        <v>4596.05595</v>
      </c>
      <c r="G355" t="n">
        <v>4755.40355</v>
      </c>
      <c r="H355" t="n">
        <v>4792.76972</v>
      </c>
      <c r="Q355" t="n">
        <v>4723.17349</v>
      </c>
      <c r="R355" t="n">
        <v>4752.53679</v>
      </c>
      <c r="S355" t="n">
        <v>4779.12556</v>
      </c>
      <c r="V355" t="n">
        <v>4688.23372</v>
      </c>
      <c r="W355" t="n">
        <v>4654.66872</v>
      </c>
      <c r="AB355" t="n">
        <v>4755.44322</v>
      </c>
      <c r="AC355" t="n">
        <v>4755.77912</v>
      </c>
      <c r="AD355" t="n">
        <v>0</v>
      </c>
      <c r="AE355">
        <f>AE354+1</f>
        <v/>
      </c>
      <c r="AF355">
        <f>AF354+1</f>
        <v/>
      </c>
      <c r="AG355">
        <f>D355-Q355</f>
        <v/>
      </c>
      <c r="AH355">
        <f>AG355^2</f>
        <v/>
      </c>
      <c r="AI355">
        <f>(AG355/STDEV($AG$3:$AG$1137))^3</f>
        <v/>
      </c>
      <c r="AJ355">
        <f>(AG355/STDEV($AG$3:$AG$1137))^4</f>
        <v/>
      </c>
      <c r="AK355">
        <f>AF355^2</f>
        <v/>
      </c>
      <c r="AL355">
        <f>IF(AD355=1,AB355,IF(AL354&lt;&gt;"",AL354,""))</f>
        <v/>
      </c>
      <c r="AM355">
        <f>IF(AND(AD355=1,AL354&lt;&gt;""),ABS(AB355-AL354),"")</f>
        <v/>
      </c>
    </row>
    <row r="356">
      <c r="A356" t="n">
        <v>1776856502</v>
      </c>
      <c r="B356" t="inlineStr">
        <is>
          <t>XAUUSD</t>
        </is>
      </c>
      <c r="C356" t="inlineStr">
        <is>
          <t>M15</t>
        </is>
      </c>
      <c r="D356" t="n">
        <v>4757.36</v>
      </c>
      <c r="E356" t="n">
        <v>4518.59282</v>
      </c>
      <c r="F356" t="n">
        <v>4596.05595</v>
      </c>
      <c r="G356" t="n">
        <v>4755.40355</v>
      </c>
      <c r="H356" t="n">
        <v>4792.76972</v>
      </c>
      <c r="Q356" t="n">
        <v>4722.90588</v>
      </c>
      <c r="R356" t="n">
        <v>4752.26918</v>
      </c>
      <c r="S356" t="n">
        <v>4778.85795</v>
      </c>
      <c r="V356" t="n">
        <v>4687.96611</v>
      </c>
      <c r="W356" t="n">
        <v>4654.40112</v>
      </c>
      <c r="AB356" t="n">
        <v>4754.34907</v>
      </c>
      <c r="AC356" t="n">
        <v>4755.06409</v>
      </c>
      <c r="AD356" t="n">
        <v>0</v>
      </c>
      <c r="AE356">
        <f>AE355+1</f>
        <v/>
      </c>
      <c r="AF356">
        <f>AF355+1</f>
        <v/>
      </c>
      <c r="AG356">
        <f>D356-Q356</f>
        <v/>
      </c>
      <c r="AH356">
        <f>AG356^2</f>
        <v/>
      </c>
      <c r="AI356">
        <f>(AG356/STDEV($AG$3:$AG$1137))^3</f>
        <v/>
      </c>
      <c r="AJ356">
        <f>(AG356/STDEV($AG$3:$AG$1137))^4</f>
        <v/>
      </c>
      <c r="AK356">
        <f>AF356^2</f>
        <v/>
      </c>
      <c r="AL356">
        <f>IF(AD356=1,AB356,IF(AL355&lt;&gt;"",AL355,""))</f>
        <v/>
      </c>
      <c r="AM356">
        <f>IF(AND(AD356=1,AL355&lt;&gt;""),ABS(AB356-AL355),"")</f>
        <v/>
      </c>
    </row>
    <row r="357">
      <c r="A357" t="n">
        <v>1776857402</v>
      </c>
      <c r="B357" t="inlineStr">
        <is>
          <t>XAUUSD</t>
        </is>
      </c>
      <c r="C357" t="inlineStr">
        <is>
          <t>M15</t>
        </is>
      </c>
      <c r="D357" t="n">
        <v>4748.68</v>
      </c>
      <c r="E357" t="n">
        <v>4518.59282</v>
      </c>
      <c r="F357" t="n">
        <v>4596.05595</v>
      </c>
      <c r="G357" t="n">
        <v>4755.40355</v>
      </c>
      <c r="H357" t="n">
        <v>4792.76972</v>
      </c>
      <c r="Q357" t="n">
        <v>4722.63828</v>
      </c>
      <c r="R357" t="n">
        <v>4752.00158</v>
      </c>
      <c r="S357" t="n">
        <v>4778.59035</v>
      </c>
      <c r="V357" t="n">
        <v>4687.69851</v>
      </c>
      <c r="W357" t="n">
        <v>4654.13351</v>
      </c>
      <c r="AB357" t="n">
        <v>4752.8876</v>
      </c>
      <c r="AC357" t="n">
        <v>4753.97585</v>
      </c>
      <c r="AD357" t="n">
        <v>0</v>
      </c>
      <c r="AE357">
        <f>AE356+1</f>
        <v/>
      </c>
      <c r="AF357">
        <f>AF356+1</f>
        <v/>
      </c>
      <c r="AG357">
        <f>D357-Q357</f>
        <v/>
      </c>
      <c r="AH357">
        <f>AG357^2</f>
        <v/>
      </c>
      <c r="AI357">
        <f>(AG357/STDEV($AG$3:$AG$1137))^3</f>
        <v/>
      </c>
      <c r="AJ357">
        <f>(AG357/STDEV($AG$3:$AG$1137))^4</f>
        <v/>
      </c>
      <c r="AK357">
        <f>AF357^2</f>
        <v/>
      </c>
      <c r="AL357">
        <f>IF(AD357=1,AB357,IF(AL356&lt;&gt;"",AL356,""))</f>
        <v/>
      </c>
      <c r="AM357">
        <f>IF(AND(AD357=1,AL356&lt;&gt;""),ABS(AB357-AL356),"")</f>
        <v/>
      </c>
    </row>
    <row r="358">
      <c r="A358" t="n">
        <v>1776858302</v>
      </c>
      <c r="B358" t="inlineStr">
        <is>
          <t>XAUUSD</t>
        </is>
      </c>
      <c r="C358" t="inlineStr">
        <is>
          <t>M15</t>
        </is>
      </c>
      <c r="D358" t="n">
        <v>4750.31</v>
      </c>
      <c r="E358" t="n">
        <v>4518.59282</v>
      </c>
      <c r="F358" t="n">
        <v>4596.05595</v>
      </c>
      <c r="G358" t="n">
        <v>4755.40355</v>
      </c>
      <c r="H358" t="n">
        <v>4792.76972</v>
      </c>
      <c r="Q358" t="n">
        <v>4722.37068</v>
      </c>
      <c r="R358" t="n">
        <v>4751.73397</v>
      </c>
      <c r="S358" t="n">
        <v>4778.32274</v>
      </c>
      <c r="V358" t="n">
        <v>4687.4309</v>
      </c>
      <c r="W358" t="n">
        <v>4653.86591</v>
      </c>
      <c r="AB358" t="n">
        <v>4751.46673</v>
      </c>
      <c r="AC358" t="n">
        <v>4752.72129</v>
      </c>
      <c r="AD358" t="n">
        <v>0</v>
      </c>
      <c r="AE358">
        <f>AE357+1</f>
        <v/>
      </c>
      <c r="AF358">
        <f>AF357+1</f>
        <v/>
      </c>
      <c r="AG358">
        <f>D358-Q358</f>
        <v/>
      </c>
      <c r="AH358">
        <f>AG358^2</f>
        <v/>
      </c>
      <c r="AI358">
        <f>(AG358/STDEV($AG$3:$AG$1137))^3</f>
        <v/>
      </c>
      <c r="AJ358">
        <f>(AG358/STDEV($AG$3:$AG$1137))^4</f>
        <v/>
      </c>
      <c r="AK358">
        <f>AF358^2</f>
        <v/>
      </c>
      <c r="AL358">
        <f>IF(AD358=1,AB358,IF(AL357&lt;&gt;"",AL357,""))</f>
        <v/>
      </c>
      <c r="AM358">
        <f>IF(AND(AD358=1,AL357&lt;&gt;""),ABS(AB358-AL357),"")</f>
        <v/>
      </c>
    </row>
    <row r="359">
      <c r="A359" t="n">
        <v>1776859202</v>
      </c>
      <c r="B359" t="inlineStr">
        <is>
          <t>XAUUSD</t>
        </is>
      </c>
      <c r="C359" t="inlineStr">
        <is>
          <t>M15</t>
        </is>
      </c>
      <c r="D359" t="n">
        <v>4752.51</v>
      </c>
      <c r="E359" t="n">
        <v>4518.59282</v>
      </c>
      <c r="F359" t="n">
        <v>4596.05595</v>
      </c>
      <c r="G359" t="n">
        <v>4755.40355</v>
      </c>
      <c r="H359" t="n">
        <v>4792.76972</v>
      </c>
      <c r="Q359" t="n">
        <v>4722.10307</v>
      </c>
      <c r="R359" t="n">
        <v>4751.46637</v>
      </c>
      <c r="S359" t="n">
        <v>4778.05514</v>
      </c>
      <c r="V359" t="n">
        <v>4687.1633</v>
      </c>
      <c r="W359" t="n">
        <v>4653.5983</v>
      </c>
      <c r="AB359" t="n">
        <v>4750.21421</v>
      </c>
      <c r="AC359" t="n">
        <v>4751.46775</v>
      </c>
      <c r="AD359" t="n">
        <v>0</v>
      </c>
      <c r="AE359">
        <f>AE358+1</f>
        <v/>
      </c>
      <c r="AF359">
        <f>AF358+1</f>
        <v/>
      </c>
      <c r="AG359">
        <f>D359-Q359</f>
        <v/>
      </c>
      <c r="AH359">
        <f>AG359^2</f>
        <v/>
      </c>
      <c r="AI359">
        <f>(AG359/STDEV($AG$3:$AG$1137))^3</f>
        <v/>
      </c>
      <c r="AJ359">
        <f>(AG359/STDEV($AG$3:$AG$1137))^4</f>
        <v/>
      </c>
      <c r="AK359">
        <f>AF359^2</f>
        <v/>
      </c>
      <c r="AL359">
        <f>IF(AD359=1,AB359,IF(AL358&lt;&gt;"",AL358,""))</f>
        <v/>
      </c>
      <c r="AM359">
        <f>IF(AND(AD359=1,AL358&lt;&gt;""),ABS(AB359-AL358),"")</f>
        <v/>
      </c>
    </row>
    <row r="360">
      <c r="A360" t="n">
        <v>1776860102</v>
      </c>
      <c r="B360" t="inlineStr">
        <is>
          <t>XAUUSD</t>
        </is>
      </c>
      <c r="C360" t="inlineStr">
        <is>
          <t>M15</t>
        </is>
      </c>
      <c r="D360" t="n">
        <v>4753.2</v>
      </c>
      <c r="E360" t="n">
        <v>4518.59282</v>
      </c>
      <c r="F360" t="n">
        <v>4596.05595</v>
      </c>
      <c r="G360" t="n">
        <v>4755.40355</v>
      </c>
      <c r="H360" t="n">
        <v>4792.76972</v>
      </c>
      <c r="Q360" t="n">
        <v>4721.83547</v>
      </c>
      <c r="R360" t="n">
        <v>4751.19877</v>
      </c>
      <c r="S360" t="n">
        <v>4777.78754</v>
      </c>
      <c r="V360" t="n">
        <v>4686.8957</v>
      </c>
      <c r="W360" t="n">
        <v>4653.3307</v>
      </c>
      <c r="AB360" t="n">
        <v>4749.22443</v>
      </c>
      <c r="AC360" t="n">
        <v>4750.34609</v>
      </c>
      <c r="AD360" t="n">
        <v>0</v>
      </c>
      <c r="AE360">
        <f>AE359+1</f>
        <v/>
      </c>
      <c r="AF360">
        <f>AF359+1</f>
        <v/>
      </c>
      <c r="AG360">
        <f>D360-Q360</f>
        <v/>
      </c>
      <c r="AH360">
        <f>AG360^2</f>
        <v/>
      </c>
      <c r="AI360">
        <f>(AG360/STDEV($AG$3:$AG$1137))^3</f>
        <v/>
      </c>
      <c r="AJ360">
        <f>(AG360/STDEV($AG$3:$AG$1137))^4</f>
        <v/>
      </c>
      <c r="AK360">
        <f>AF360^2</f>
        <v/>
      </c>
      <c r="AL360">
        <f>IF(AD360=1,AB360,IF(AL359&lt;&gt;"",AL359,""))</f>
        <v/>
      </c>
      <c r="AM360">
        <f>IF(AND(AD360=1,AL359&lt;&gt;""),ABS(AB360-AL359),"")</f>
        <v/>
      </c>
    </row>
    <row r="361">
      <c r="A361" t="n">
        <v>1776861002</v>
      </c>
      <c r="B361" t="inlineStr">
        <is>
          <t>XAUUSD</t>
        </is>
      </c>
      <c r="C361" t="inlineStr">
        <is>
          <t>M15</t>
        </is>
      </c>
      <c r="D361" t="n">
        <v>4746.73</v>
      </c>
      <c r="E361" t="n">
        <v>4518.59282</v>
      </c>
      <c r="F361" t="n">
        <v>4596.05595</v>
      </c>
      <c r="G361" t="n">
        <v>4755.40355</v>
      </c>
      <c r="H361" t="n">
        <v>4792.76972</v>
      </c>
      <c r="Q361" t="n">
        <v>4721.56786</v>
      </c>
      <c r="R361" t="n">
        <v>4750.93116</v>
      </c>
      <c r="S361" t="n">
        <v>4777.51993</v>
      </c>
      <c r="V361" t="n">
        <v>4686.62809</v>
      </c>
      <c r="W361" t="n">
        <v>4653.0631</v>
      </c>
      <c r="AB361" t="n">
        <v>4748.56373</v>
      </c>
      <c r="AC361" t="n">
        <v>4749.45491</v>
      </c>
      <c r="AD361" t="n">
        <v>0</v>
      </c>
      <c r="AE361">
        <f>AE360+1</f>
        <v/>
      </c>
      <c r="AF361">
        <f>AF360+1</f>
        <v/>
      </c>
      <c r="AG361">
        <f>D361-Q361</f>
        <v/>
      </c>
      <c r="AH361">
        <f>AG361^2</f>
        <v/>
      </c>
      <c r="AI361">
        <f>(AG361/STDEV($AG$3:$AG$1137))^3</f>
        <v/>
      </c>
      <c r="AJ361">
        <f>(AG361/STDEV($AG$3:$AG$1137))^4</f>
        <v/>
      </c>
      <c r="AK361">
        <f>AF361^2</f>
        <v/>
      </c>
      <c r="AL361">
        <f>IF(AD361=1,AB361,IF(AL360&lt;&gt;"",AL360,""))</f>
        <v/>
      </c>
      <c r="AM361">
        <f>IF(AND(AD361=1,AL360&lt;&gt;""),ABS(AB361-AL360),"")</f>
        <v/>
      </c>
    </row>
    <row r="362">
      <c r="A362" t="n">
        <v>1776861902</v>
      </c>
      <c r="B362" t="inlineStr">
        <is>
          <t>XAUUSD</t>
        </is>
      </c>
      <c r="C362" t="inlineStr">
        <is>
          <t>M15</t>
        </is>
      </c>
      <c r="D362" t="n">
        <v>4744.23</v>
      </c>
      <c r="E362" t="n">
        <v>4518.59282</v>
      </c>
      <c r="F362" t="n">
        <v>4596.05595</v>
      </c>
      <c r="G362" t="n">
        <v>4755.40355</v>
      </c>
      <c r="H362" t="n">
        <v>4792.76972</v>
      </c>
      <c r="Q362" t="n">
        <v>4721.30026</v>
      </c>
      <c r="R362" t="n">
        <v>4750.66356</v>
      </c>
      <c r="S362" t="n">
        <v>4777.25233</v>
      </c>
      <c r="V362" t="n">
        <v>4686.36049</v>
      </c>
      <c r="W362" t="n">
        <v>4652.79549</v>
      </c>
      <c r="AB362" t="n">
        <v>4748.39413</v>
      </c>
      <c r="AC362" t="n">
        <v>4748.92452</v>
      </c>
      <c r="AD362" t="n">
        <v>0</v>
      </c>
      <c r="AE362">
        <f>AE361+1</f>
        <v/>
      </c>
      <c r="AF362">
        <f>AF361+1</f>
        <v/>
      </c>
      <c r="AG362">
        <f>D362-Q362</f>
        <v/>
      </c>
      <c r="AH362">
        <f>AG362^2</f>
        <v/>
      </c>
      <c r="AI362">
        <f>(AG362/STDEV($AG$3:$AG$1137))^3</f>
        <v/>
      </c>
      <c r="AJ362">
        <f>(AG362/STDEV($AG$3:$AG$1137))^4</f>
        <v/>
      </c>
      <c r="AK362">
        <f>AF362^2</f>
        <v/>
      </c>
      <c r="AL362">
        <f>IF(AD362=1,AB362,IF(AL361&lt;&gt;"",AL361,""))</f>
        <v/>
      </c>
      <c r="AM362">
        <f>IF(AND(AD362=1,AL361&lt;&gt;""),ABS(AB362-AL361),"")</f>
        <v/>
      </c>
    </row>
    <row r="363">
      <c r="A363" t="n">
        <v>1776862802</v>
      </c>
      <c r="B363" t="inlineStr">
        <is>
          <t>XAUUSD</t>
        </is>
      </c>
      <c r="C363" t="inlineStr">
        <is>
          <t>M15</t>
        </is>
      </c>
      <c r="D363" t="n">
        <v>4742.39</v>
      </c>
      <c r="E363" t="n">
        <v>4518.59282</v>
      </c>
      <c r="F363" t="n">
        <v>4596.05595</v>
      </c>
      <c r="G363" t="n">
        <v>4755.40355</v>
      </c>
      <c r="H363" t="n">
        <v>4792.76972</v>
      </c>
      <c r="Q363" t="n">
        <v>4721.03265</v>
      </c>
      <c r="R363" t="n">
        <v>4750.39595</v>
      </c>
      <c r="S363" t="n">
        <v>4776.98472</v>
      </c>
      <c r="V363" t="n">
        <v>4686.09288</v>
      </c>
      <c r="W363" t="n">
        <v>4652.52789</v>
      </c>
      <c r="AB363" t="n">
        <v>4748.61334</v>
      </c>
      <c r="AC363" t="n">
        <v>4748.76893</v>
      </c>
      <c r="AD363" t="n">
        <v>0</v>
      </c>
      <c r="AE363">
        <f>AE362+1</f>
        <v/>
      </c>
      <c r="AF363">
        <f>AF362+1</f>
        <v/>
      </c>
      <c r="AG363">
        <f>D363-Q363</f>
        <v/>
      </c>
      <c r="AH363">
        <f>AG363^2</f>
        <v/>
      </c>
      <c r="AI363">
        <f>(AG363/STDEV($AG$3:$AG$1137))^3</f>
        <v/>
      </c>
      <c r="AJ363">
        <f>(AG363/STDEV($AG$3:$AG$1137))^4</f>
        <v/>
      </c>
      <c r="AK363">
        <f>AF363^2</f>
        <v/>
      </c>
      <c r="AL363">
        <f>IF(AD363=1,AB363,IF(AL362&lt;&gt;"",AL362,""))</f>
        <v/>
      </c>
      <c r="AM363">
        <f>IF(AND(AD363=1,AL362&lt;&gt;""),ABS(AB363-AL362),"")</f>
        <v/>
      </c>
    </row>
    <row r="364">
      <c r="A364" t="n">
        <v>1776863702</v>
      </c>
      <c r="B364" t="inlineStr">
        <is>
          <t>XAUUSD</t>
        </is>
      </c>
      <c r="C364" t="inlineStr">
        <is>
          <t>M15</t>
        </is>
      </c>
      <c r="D364" t="n">
        <v>4750.2</v>
      </c>
      <c r="E364" t="n">
        <v>4518.59282</v>
      </c>
      <c r="F364" t="n">
        <v>4596.05595</v>
      </c>
      <c r="G364" t="n">
        <v>4755.40355</v>
      </c>
      <c r="H364" t="n">
        <v>4792.76972</v>
      </c>
      <c r="Q364" t="n">
        <v>4720.76505</v>
      </c>
      <c r="R364" t="n">
        <v>4750.12835</v>
      </c>
      <c r="S364" t="n">
        <v>4776.71712</v>
      </c>
      <c r="V364" t="n">
        <v>4685.82528</v>
      </c>
      <c r="W364" t="n">
        <v>4652.26028</v>
      </c>
      <c r="AB364" t="n">
        <v>4748.9847</v>
      </c>
      <c r="AC364" t="n">
        <v>4748.87681</v>
      </c>
      <c r="AD364" t="n">
        <v>1</v>
      </c>
      <c r="AE364">
        <f>AE363+1</f>
        <v/>
      </c>
      <c r="AF364">
        <f>AF363+1</f>
        <v/>
      </c>
      <c r="AG364">
        <f>D364-Q364</f>
        <v/>
      </c>
      <c r="AH364">
        <f>AG364^2</f>
        <v/>
      </c>
      <c r="AI364">
        <f>(AG364/STDEV($AG$3:$AG$1137))^3</f>
        <v/>
      </c>
      <c r="AJ364">
        <f>(AG364/STDEV($AG$3:$AG$1137))^4</f>
        <v/>
      </c>
      <c r="AK364">
        <f>AF364^2</f>
        <v/>
      </c>
      <c r="AL364">
        <f>IF(AD364=1,AB364,IF(AL363&lt;&gt;"",AL363,""))</f>
        <v/>
      </c>
      <c r="AM364">
        <f>IF(AND(AD364=1,AL363&lt;&gt;""),ABS(AB364-AL363),"")</f>
        <v/>
      </c>
    </row>
    <row r="365">
      <c r="A365" t="n">
        <v>1776864602</v>
      </c>
      <c r="B365" t="inlineStr">
        <is>
          <t>XAUUSD</t>
        </is>
      </c>
      <c r="C365" t="inlineStr">
        <is>
          <t>M15</t>
        </is>
      </c>
      <c r="D365" t="n">
        <v>4755.33</v>
      </c>
      <c r="E365" t="n">
        <v>4518.59282</v>
      </c>
      <c r="F365" t="n">
        <v>4596.05595</v>
      </c>
      <c r="G365" t="n">
        <v>4755.40355</v>
      </c>
      <c r="H365" t="n">
        <v>4792.76972</v>
      </c>
      <c r="Q365" t="n">
        <v>4720.49745</v>
      </c>
      <c r="R365" t="n">
        <v>4749.86075</v>
      </c>
      <c r="S365" t="n">
        <v>4776.44952</v>
      </c>
      <c r="V365" t="n">
        <v>4685.55768</v>
      </c>
      <c r="W365" t="n">
        <v>4651.99268</v>
      </c>
      <c r="AB365" t="n">
        <v>4748.94313</v>
      </c>
      <c r="AC365" t="n">
        <v>4748.90997</v>
      </c>
      <c r="AD365" t="n">
        <v>0</v>
      </c>
      <c r="AE365">
        <f>AE364+1</f>
        <v/>
      </c>
      <c r="AF365">
        <f>AF364+1</f>
        <v/>
      </c>
      <c r="AG365">
        <f>D365-Q365</f>
        <v/>
      </c>
      <c r="AH365">
        <f>AG365^2</f>
        <v/>
      </c>
      <c r="AI365">
        <f>(AG365/STDEV($AG$3:$AG$1137))^3</f>
        <v/>
      </c>
      <c r="AJ365">
        <f>(AG365/STDEV($AG$3:$AG$1137))^4</f>
        <v/>
      </c>
      <c r="AK365">
        <f>AF365^2</f>
        <v/>
      </c>
      <c r="AL365">
        <f>IF(AD365=1,AB365,IF(AL364&lt;&gt;"",AL364,""))</f>
        <v/>
      </c>
      <c r="AM365">
        <f>IF(AND(AD365=1,AL364&lt;&gt;""),ABS(AB365-AL364),"")</f>
        <v/>
      </c>
    </row>
    <row r="366">
      <c r="A366" t="n">
        <v>1776865502</v>
      </c>
      <c r="B366" t="inlineStr">
        <is>
          <t>XAUUSD</t>
        </is>
      </c>
      <c r="C366" t="inlineStr">
        <is>
          <t>M15</t>
        </is>
      </c>
      <c r="D366" t="n">
        <v>4752.94</v>
      </c>
      <c r="E366" t="n">
        <v>4518.59282</v>
      </c>
      <c r="F366" t="n">
        <v>4596.05595</v>
      </c>
      <c r="G366" t="n">
        <v>4755.40355</v>
      </c>
      <c r="H366" t="n">
        <v>4792.76972</v>
      </c>
      <c r="Q366" t="n">
        <v>4720.22984</v>
      </c>
      <c r="R366" t="n">
        <v>4749.59314</v>
      </c>
      <c r="S366" t="n">
        <v>4776.18191</v>
      </c>
      <c r="V366" t="n">
        <v>4685.29007</v>
      </c>
      <c r="W366" t="n">
        <v>4651.72508</v>
      </c>
      <c r="AB366" t="n">
        <v>4748.06252</v>
      </c>
      <c r="AC366" t="n">
        <v>4748.48625</v>
      </c>
      <c r="AD366" t="n">
        <v>1</v>
      </c>
      <c r="AE366">
        <f>AE365+1</f>
        <v/>
      </c>
      <c r="AF366">
        <f>AF365+1</f>
        <v/>
      </c>
      <c r="AG366">
        <f>D366-Q366</f>
        <v/>
      </c>
      <c r="AH366">
        <f>AG366^2</f>
        <v/>
      </c>
      <c r="AI366">
        <f>(AG366/STDEV($AG$3:$AG$1137))^3</f>
        <v/>
      </c>
      <c r="AJ366">
        <f>(AG366/STDEV($AG$3:$AG$1137))^4</f>
        <v/>
      </c>
      <c r="AK366">
        <f>AF366^2</f>
        <v/>
      </c>
      <c r="AL366">
        <f>IF(AD366=1,AB366,IF(AL365&lt;&gt;"",AL365,""))</f>
        <v/>
      </c>
      <c r="AM366">
        <f>IF(AND(AD366=1,AL365&lt;&gt;""),ABS(AB366-AL365),"")</f>
        <v/>
      </c>
    </row>
    <row r="367">
      <c r="A367" t="n">
        <v>1776866402</v>
      </c>
      <c r="B367" t="inlineStr">
        <is>
          <t>XAUUSD</t>
        </is>
      </c>
      <c r="C367" t="inlineStr">
        <is>
          <t>M15</t>
        </is>
      </c>
      <c r="D367" t="n">
        <v>4745.59</v>
      </c>
      <c r="E367" t="n">
        <v>4518.59282</v>
      </c>
      <c r="F367" t="n">
        <v>4596.05595</v>
      </c>
      <c r="G367" t="n">
        <v>4755.40355</v>
      </c>
      <c r="H367" t="n">
        <v>4792.76972</v>
      </c>
      <c r="Q367" t="n">
        <v>4719.96224</v>
      </c>
      <c r="R367" t="n">
        <v>4749.32554</v>
      </c>
      <c r="S367" t="n">
        <v>4775.91431</v>
      </c>
      <c r="V367" t="n">
        <v>4685.02247</v>
      </c>
      <c r="W367" t="n">
        <v>4651.45747</v>
      </c>
      <c r="AB367" t="n">
        <v>4746.24435</v>
      </c>
      <c r="AC367" t="n">
        <v>4747.3653</v>
      </c>
      <c r="AD367" t="n">
        <v>0</v>
      </c>
      <c r="AE367">
        <f>AE366+1</f>
        <v/>
      </c>
      <c r="AF367">
        <f>AF366+1</f>
        <v/>
      </c>
      <c r="AG367">
        <f>D367-Q367</f>
        <v/>
      </c>
      <c r="AH367">
        <f>AG367^2</f>
        <v/>
      </c>
      <c r="AI367">
        <f>(AG367/STDEV($AG$3:$AG$1137))^3</f>
        <v/>
      </c>
      <c r="AJ367">
        <f>(AG367/STDEV($AG$3:$AG$1137))^4</f>
        <v/>
      </c>
      <c r="AK367">
        <f>AF367^2</f>
        <v/>
      </c>
      <c r="AL367">
        <f>IF(AD367=1,AB367,IF(AL366&lt;&gt;"",AL366,""))</f>
        <v/>
      </c>
      <c r="AM367">
        <f>IF(AND(AD367=1,AL366&lt;&gt;""),ABS(AB367-AL366),"")</f>
        <v/>
      </c>
    </row>
    <row r="368">
      <c r="A368" t="n">
        <v>1776867302</v>
      </c>
      <c r="B368" t="inlineStr">
        <is>
          <t>XAUUSD</t>
        </is>
      </c>
      <c r="C368" t="inlineStr">
        <is>
          <t>M15</t>
        </is>
      </c>
      <c r="D368" t="n">
        <v>4743.96</v>
      </c>
      <c r="E368" t="n">
        <v>4518.59282</v>
      </c>
      <c r="F368" t="n">
        <v>4596.05595</v>
      </c>
      <c r="G368" t="n">
        <v>4755.40355</v>
      </c>
      <c r="H368" t="n">
        <v>4792.76972</v>
      </c>
      <c r="Q368" t="n">
        <v>4719.69463</v>
      </c>
      <c r="R368" t="n">
        <v>4749.05793</v>
      </c>
      <c r="S368" t="n">
        <v>4775.6467</v>
      </c>
      <c r="V368" t="n">
        <v>4684.75486</v>
      </c>
      <c r="W368" t="n">
        <v>4651.18987</v>
      </c>
      <c r="AB368" t="n">
        <v>4743.69873</v>
      </c>
      <c r="AC368" t="n">
        <v>4745.53201</v>
      </c>
      <c r="AD368" t="n">
        <v>0</v>
      </c>
      <c r="AE368">
        <f>AE367+1</f>
        <v/>
      </c>
      <c r="AF368">
        <f>AF367+1</f>
        <v/>
      </c>
      <c r="AG368">
        <f>D368-Q368</f>
        <v/>
      </c>
      <c r="AH368">
        <f>AG368^2</f>
        <v/>
      </c>
      <c r="AI368">
        <f>(AG368/STDEV($AG$3:$AG$1137))^3</f>
        <v/>
      </c>
      <c r="AJ368">
        <f>(AG368/STDEV($AG$3:$AG$1137))^4</f>
        <v/>
      </c>
      <c r="AK368">
        <f>AF368^2</f>
        <v/>
      </c>
      <c r="AL368">
        <f>IF(AD368=1,AB368,IF(AL367&lt;&gt;"",AL367,""))</f>
        <v/>
      </c>
      <c r="AM368">
        <f>IF(AND(AD368=1,AL367&lt;&gt;""),ABS(AB368-AL367),"")</f>
        <v/>
      </c>
    </row>
    <row r="369">
      <c r="A369" t="n">
        <v>1776868202</v>
      </c>
      <c r="B369" t="inlineStr">
        <is>
          <t>XAUUSD</t>
        </is>
      </c>
      <c r="C369" t="inlineStr">
        <is>
          <t>M15</t>
        </is>
      </c>
      <c r="D369" t="n">
        <v>4733.08</v>
      </c>
      <c r="E369" t="n">
        <v>4518.59282</v>
      </c>
      <c r="F369" t="n">
        <v>4596.05595</v>
      </c>
      <c r="G369" t="n">
        <v>4755.40355</v>
      </c>
      <c r="H369" t="n">
        <v>4792.76972</v>
      </c>
      <c r="Q369" t="n">
        <v>4719.42703</v>
      </c>
      <c r="R369" t="n">
        <v>4748.79033</v>
      </c>
      <c r="S369" t="n">
        <v>4775.3791</v>
      </c>
      <c r="V369" t="n">
        <v>4684.48726</v>
      </c>
      <c r="W369" t="n">
        <v>4650.92226</v>
      </c>
      <c r="AB369" t="n">
        <v>4740.60264</v>
      </c>
      <c r="AC369" t="n">
        <v>4743.06733</v>
      </c>
      <c r="AD369" t="n">
        <v>0</v>
      </c>
      <c r="AE369">
        <f>AE368+1</f>
        <v/>
      </c>
      <c r="AF369">
        <f>AF368+1</f>
        <v/>
      </c>
      <c r="AG369">
        <f>D369-Q369</f>
        <v/>
      </c>
      <c r="AH369">
        <f>AG369^2</f>
        <v/>
      </c>
      <c r="AI369">
        <f>(AG369/STDEV($AG$3:$AG$1137))^3</f>
        <v/>
      </c>
      <c r="AJ369">
        <f>(AG369/STDEV($AG$3:$AG$1137))^4</f>
        <v/>
      </c>
      <c r="AK369">
        <f>AF369^2</f>
        <v/>
      </c>
      <c r="AL369">
        <f>IF(AD369=1,AB369,IF(AL368&lt;&gt;"",AL368,""))</f>
        <v/>
      </c>
      <c r="AM369">
        <f>IF(AND(AD369=1,AL368&lt;&gt;""),ABS(AB369-AL368),"")</f>
        <v/>
      </c>
    </row>
    <row r="370">
      <c r="A370" t="n">
        <v>1776869102</v>
      </c>
      <c r="B370" t="inlineStr">
        <is>
          <t>XAUUSD</t>
        </is>
      </c>
      <c r="C370" t="inlineStr">
        <is>
          <t>M15</t>
        </is>
      </c>
      <c r="D370" t="n">
        <v>4736.03</v>
      </c>
      <c r="E370" t="n">
        <v>4518.59282</v>
      </c>
      <c r="F370" t="n">
        <v>4596.05595</v>
      </c>
      <c r="G370" t="n">
        <v>4755.40355</v>
      </c>
      <c r="H370" t="n">
        <v>4792.76972</v>
      </c>
      <c r="Q370" t="n">
        <v>4719.15943</v>
      </c>
      <c r="R370" t="n">
        <v>4748.52273</v>
      </c>
      <c r="S370" t="n">
        <v>4775.1115</v>
      </c>
      <c r="V370" t="n">
        <v>4684.21966</v>
      </c>
      <c r="W370" t="n">
        <v>4650.65466</v>
      </c>
      <c r="AB370" t="n">
        <v>4737.47015</v>
      </c>
      <c r="AC370" t="n">
        <v>4740.26874</v>
      </c>
      <c r="AD370" t="n">
        <v>0</v>
      </c>
      <c r="AE370">
        <f>AE369+1</f>
        <v/>
      </c>
      <c r="AF370">
        <f>AF369+1</f>
        <v/>
      </c>
      <c r="AG370">
        <f>D370-Q370</f>
        <v/>
      </c>
      <c r="AH370">
        <f>AG370^2</f>
        <v/>
      </c>
      <c r="AI370">
        <f>(AG370/STDEV($AG$3:$AG$1137))^3</f>
        <v/>
      </c>
      <c r="AJ370">
        <f>(AG370/STDEV($AG$3:$AG$1137))^4</f>
        <v/>
      </c>
      <c r="AK370">
        <f>AF370^2</f>
        <v/>
      </c>
      <c r="AL370">
        <f>IF(AD370=1,AB370,IF(AL369&lt;&gt;"",AL369,""))</f>
        <v/>
      </c>
      <c r="AM370">
        <f>IF(AND(AD370=1,AL369&lt;&gt;""),ABS(AB370-AL369),"")</f>
        <v/>
      </c>
    </row>
    <row r="371">
      <c r="A371" t="n">
        <v>1776870002</v>
      </c>
      <c r="B371" t="inlineStr">
        <is>
          <t>XAUUSD</t>
        </is>
      </c>
      <c r="C371" t="inlineStr">
        <is>
          <t>M15</t>
        </is>
      </c>
      <c r="D371" t="n">
        <v>4737.74</v>
      </c>
      <c r="E371" t="n">
        <v>4518.59282</v>
      </c>
      <c r="F371" t="n">
        <v>4596.05595</v>
      </c>
      <c r="G371" t="n">
        <v>4755.40355</v>
      </c>
      <c r="H371" t="n">
        <v>4792.76972</v>
      </c>
      <c r="Q371" t="n">
        <v>4718.89182</v>
      </c>
      <c r="R371" t="n">
        <v>4748.25512</v>
      </c>
      <c r="S371" t="n">
        <v>4774.84389</v>
      </c>
      <c r="V371" t="n">
        <v>4683.95205</v>
      </c>
      <c r="W371" t="n">
        <v>4650.38706</v>
      </c>
      <c r="AB371" t="n">
        <v>4734.44925</v>
      </c>
      <c r="AC371" t="n">
        <v>4737.359</v>
      </c>
      <c r="AD371" t="n">
        <v>0</v>
      </c>
      <c r="AE371">
        <f>AE370+1</f>
        <v/>
      </c>
      <c r="AF371">
        <f>AF370+1</f>
        <v/>
      </c>
      <c r="AG371">
        <f>D371-Q371</f>
        <v/>
      </c>
      <c r="AH371">
        <f>AG371^2</f>
        <v/>
      </c>
      <c r="AI371">
        <f>(AG371/STDEV($AG$3:$AG$1137))^3</f>
        <v/>
      </c>
      <c r="AJ371">
        <f>(AG371/STDEV($AG$3:$AG$1137))^4</f>
        <v/>
      </c>
      <c r="AK371">
        <f>AF371^2</f>
        <v/>
      </c>
      <c r="AL371">
        <f>IF(AD371=1,AB371,IF(AL370&lt;&gt;"",AL370,""))</f>
        <v/>
      </c>
      <c r="AM371">
        <f>IF(AND(AD371=1,AL370&lt;&gt;""),ABS(AB371-AL370),"")</f>
        <v/>
      </c>
    </row>
    <row r="372">
      <c r="A372" t="n">
        <v>1776870902</v>
      </c>
      <c r="B372" t="inlineStr">
        <is>
          <t>XAUUSD</t>
        </is>
      </c>
      <c r="C372" t="inlineStr">
        <is>
          <t>M15</t>
        </is>
      </c>
      <c r="D372" t="n">
        <v>4735.09</v>
      </c>
      <c r="E372" t="n">
        <v>4518.59282</v>
      </c>
      <c r="F372" t="n">
        <v>4596.05595</v>
      </c>
      <c r="G372" t="n">
        <v>4755.40355</v>
      </c>
      <c r="H372" t="n">
        <v>4792.76972</v>
      </c>
      <c r="Q372" t="n">
        <v>4718.62422</v>
      </c>
      <c r="R372" t="n">
        <v>4747.98752</v>
      </c>
      <c r="S372" t="n">
        <v>4774.57629</v>
      </c>
      <c r="V372" t="n">
        <v>4683.68445</v>
      </c>
      <c r="W372" t="n">
        <v>4650.11945</v>
      </c>
      <c r="AB372" t="n">
        <v>4731.72628</v>
      </c>
      <c r="AC372" t="n">
        <v>4734.54264</v>
      </c>
      <c r="AD372" t="n">
        <v>0</v>
      </c>
      <c r="AE372">
        <f>AE371+1</f>
        <v/>
      </c>
      <c r="AF372">
        <f>AF371+1</f>
        <v/>
      </c>
      <c r="AG372">
        <f>D372-Q372</f>
        <v/>
      </c>
      <c r="AH372">
        <f>AG372^2</f>
        <v/>
      </c>
      <c r="AI372">
        <f>(AG372/STDEV($AG$3:$AG$1137))^3</f>
        <v/>
      </c>
      <c r="AJ372">
        <f>(AG372/STDEV($AG$3:$AG$1137))^4</f>
        <v/>
      </c>
      <c r="AK372">
        <f>AF372^2</f>
        <v/>
      </c>
      <c r="AL372">
        <f>IF(AD372=1,AB372,IF(AL371&lt;&gt;"",AL371,""))</f>
        <v/>
      </c>
      <c r="AM372">
        <f>IF(AND(AD372=1,AL371&lt;&gt;""),ABS(AB372-AL371),"")</f>
        <v/>
      </c>
    </row>
    <row r="373">
      <c r="A373" t="n">
        <v>1776871802</v>
      </c>
      <c r="B373" t="inlineStr">
        <is>
          <t>XAUUSD</t>
        </is>
      </c>
      <c r="C373" t="inlineStr">
        <is>
          <t>M15</t>
        </is>
      </c>
      <c r="D373" t="n">
        <v>4727.2</v>
      </c>
      <c r="E373" t="n">
        <v>4518.59282</v>
      </c>
      <c r="F373" t="n">
        <v>4596.05595</v>
      </c>
      <c r="G373" t="n">
        <v>4755.40355</v>
      </c>
      <c r="H373" t="n">
        <v>4792.76972</v>
      </c>
      <c r="Q373" t="n">
        <v>4718.35661</v>
      </c>
      <c r="R373" t="n">
        <v>4747.71991</v>
      </c>
      <c r="S373" t="n">
        <v>4774.30868</v>
      </c>
      <c r="V373" t="n">
        <v>4683.41684</v>
      </c>
      <c r="W373" t="n">
        <v>4649.85185</v>
      </c>
      <c r="AB373" t="n">
        <v>4729.57026</v>
      </c>
      <c r="AC373" t="n">
        <v>4732.05645</v>
      </c>
      <c r="AD373" t="n">
        <v>0</v>
      </c>
      <c r="AE373">
        <f>AE372+1</f>
        <v/>
      </c>
      <c r="AF373">
        <f>AF372+1</f>
        <v/>
      </c>
      <c r="AG373">
        <f>D373-Q373</f>
        <v/>
      </c>
      <c r="AH373">
        <f>AG373^2</f>
        <v/>
      </c>
      <c r="AI373">
        <f>(AG373/STDEV($AG$3:$AG$1137))^3</f>
        <v/>
      </c>
      <c r="AJ373">
        <f>(AG373/STDEV($AG$3:$AG$1137))^4</f>
        <v/>
      </c>
      <c r="AK373">
        <f>AF373^2</f>
        <v/>
      </c>
      <c r="AL373">
        <f>IF(AD373=1,AB373,IF(AL372&lt;&gt;"",AL372,""))</f>
        <v/>
      </c>
      <c r="AM373">
        <f>IF(AND(AD373=1,AL372&lt;&gt;""),ABS(AB373-AL372),"")</f>
        <v/>
      </c>
    </row>
    <row r="374">
      <c r="A374" t="n">
        <v>1776872702</v>
      </c>
      <c r="B374" t="inlineStr">
        <is>
          <t>XAUUSD</t>
        </is>
      </c>
      <c r="C374" t="inlineStr">
        <is>
          <t>M15</t>
        </is>
      </c>
      <c r="D374" t="n">
        <v>4727.69</v>
      </c>
      <c r="E374" t="n">
        <v>4518.59282</v>
      </c>
      <c r="F374" t="n">
        <v>4596.05595</v>
      </c>
      <c r="G374" t="n">
        <v>4755.40355</v>
      </c>
      <c r="H374" t="n">
        <v>4792.76972</v>
      </c>
      <c r="Q374" t="n">
        <v>4718.08901</v>
      </c>
      <c r="R374" t="n">
        <v>4747.45231</v>
      </c>
      <c r="S374" t="n">
        <v>4774.04108</v>
      </c>
      <c r="V374" t="n">
        <v>4683.14924</v>
      </c>
      <c r="W374" t="n">
        <v>4649.58424</v>
      </c>
      <c r="AB374" t="n">
        <v>4728.36522</v>
      </c>
      <c r="AC374" t="n">
        <v>4730.21083</v>
      </c>
      <c r="AD374" t="n">
        <v>0</v>
      </c>
      <c r="AE374">
        <f>AE373+1</f>
        <v/>
      </c>
      <c r="AF374">
        <f>AF373+1</f>
        <v/>
      </c>
      <c r="AG374">
        <f>D374-Q374</f>
        <v/>
      </c>
      <c r="AH374">
        <f>AG374^2</f>
        <v/>
      </c>
      <c r="AI374">
        <f>(AG374/STDEV($AG$3:$AG$1137))^3</f>
        <v/>
      </c>
      <c r="AJ374">
        <f>(AG374/STDEV($AG$3:$AG$1137))^4</f>
        <v/>
      </c>
      <c r="AK374">
        <f>AF374^2</f>
        <v/>
      </c>
      <c r="AL374">
        <f>IF(AD374=1,AB374,IF(AL373&lt;&gt;"",AL373,""))</f>
        <v/>
      </c>
      <c r="AM374">
        <f>IF(AND(AD374=1,AL373&lt;&gt;""),ABS(AB374-AL373),"")</f>
        <v/>
      </c>
    </row>
    <row r="375">
      <c r="A375" t="n">
        <v>1776873602</v>
      </c>
      <c r="B375" t="inlineStr">
        <is>
          <t>XAUUSD</t>
        </is>
      </c>
      <c r="C375" t="inlineStr">
        <is>
          <t>M15</t>
        </is>
      </c>
      <c r="D375" t="n">
        <v>4730.22</v>
      </c>
      <c r="E375" t="n">
        <v>4518.59282</v>
      </c>
      <c r="F375" t="n">
        <v>4596.05595</v>
      </c>
      <c r="G375" t="n">
        <v>4755.40355</v>
      </c>
      <c r="H375" t="n">
        <v>4792.76972</v>
      </c>
      <c r="Q375" t="n">
        <v>4717.82141</v>
      </c>
      <c r="R375" t="n">
        <v>4747.1847</v>
      </c>
      <c r="S375" t="n">
        <v>4773.77348</v>
      </c>
      <c r="V375" t="n">
        <v>4682.88164</v>
      </c>
      <c r="W375" t="n">
        <v>4649.31664</v>
      </c>
      <c r="AB375" t="n">
        <v>4728.0326</v>
      </c>
      <c r="AC375" t="n">
        <v>4729.12172</v>
      </c>
      <c r="AD375" t="n">
        <v>0</v>
      </c>
      <c r="AE375">
        <f>AE374+1</f>
        <v/>
      </c>
      <c r="AF375">
        <f>AF374+1</f>
        <v/>
      </c>
      <c r="AG375">
        <f>D375-Q375</f>
        <v/>
      </c>
      <c r="AH375">
        <f>AG375^2</f>
        <v/>
      </c>
      <c r="AI375">
        <f>(AG375/STDEV($AG$3:$AG$1137))^3</f>
        <v/>
      </c>
      <c r="AJ375">
        <f>(AG375/STDEV($AG$3:$AG$1137))^4</f>
        <v/>
      </c>
      <c r="AK375">
        <f>AF375^2</f>
        <v/>
      </c>
      <c r="AL375">
        <f>IF(AD375=1,AB375,IF(AL374&lt;&gt;"",AL374,""))</f>
        <v/>
      </c>
      <c r="AM375">
        <f>IF(AND(AD375=1,AL374&lt;&gt;""),ABS(AB375-AL374),"")</f>
        <v/>
      </c>
    </row>
    <row r="376">
      <c r="A376" t="n">
        <v>1776874502</v>
      </c>
      <c r="B376" t="inlineStr">
        <is>
          <t>XAUUSD</t>
        </is>
      </c>
      <c r="C376" t="inlineStr">
        <is>
          <t>M15</t>
        </is>
      </c>
      <c r="D376" t="n">
        <v>4727.08</v>
      </c>
      <c r="E376" t="n">
        <v>4518.59282</v>
      </c>
      <c r="F376" t="n">
        <v>4596.05595</v>
      </c>
      <c r="G376" t="n">
        <v>4755.40355</v>
      </c>
      <c r="H376" t="n">
        <v>4792.76972</v>
      </c>
      <c r="Q376" t="n">
        <v>4717.5538</v>
      </c>
      <c r="R376" t="n">
        <v>4746.9171</v>
      </c>
      <c r="S376" t="n">
        <v>4773.50587</v>
      </c>
      <c r="V376" t="n">
        <v>4682.61403</v>
      </c>
      <c r="W376" t="n">
        <v>4649.04904</v>
      </c>
      <c r="AB376" t="n">
        <v>4728.40577</v>
      </c>
      <c r="AC376" t="n">
        <v>4728.76374</v>
      </c>
      <c r="AD376" t="n">
        <v>0</v>
      </c>
      <c r="AE376">
        <f>AE375+1</f>
        <v/>
      </c>
      <c r="AF376">
        <f>AF375+1</f>
        <v/>
      </c>
      <c r="AG376">
        <f>D376-Q376</f>
        <v/>
      </c>
      <c r="AH376">
        <f>AG376^2</f>
        <v/>
      </c>
      <c r="AI376">
        <f>(AG376/STDEV($AG$3:$AG$1137))^3</f>
        <v/>
      </c>
      <c r="AJ376">
        <f>(AG376/STDEV($AG$3:$AG$1137))^4</f>
        <v/>
      </c>
      <c r="AK376">
        <f>AF376^2</f>
        <v/>
      </c>
      <c r="AL376">
        <f>IF(AD376=1,AB376,IF(AL375&lt;&gt;"",AL375,""))</f>
        <v/>
      </c>
      <c r="AM376">
        <f>IF(AND(AD376=1,AL375&lt;&gt;""),ABS(AB376-AL375),"")</f>
        <v/>
      </c>
    </row>
    <row r="377">
      <c r="A377" t="n">
        <v>1776875402</v>
      </c>
      <c r="B377" t="inlineStr">
        <is>
          <t>XAUUSD</t>
        </is>
      </c>
      <c r="C377" t="inlineStr">
        <is>
          <t>M15</t>
        </is>
      </c>
      <c r="D377" t="n">
        <v>4728.3</v>
      </c>
      <c r="E377" t="n">
        <v>4518.59282</v>
      </c>
      <c r="F377" t="n">
        <v>4596.05595</v>
      </c>
      <c r="G377" t="n">
        <v>4755.40355</v>
      </c>
      <c r="H377" t="n">
        <v>4792.76972</v>
      </c>
      <c r="Q377" t="n">
        <v>4717.2862</v>
      </c>
      <c r="R377" t="n">
        <v>4746.6495</v>
      </c>
      <c r="S377" t="n">
        <v>4773.23827</v>
      </c>
      <c r="V377" t="n">
        <v>4682.34643</v>
      </c>
      <c r="W377" t="n">
        <v>4648.78143</v>
      </c>
      <c r="AA377" t="n">
        <v>4724.03</v>
      </c>
      <c r="AB377" t="n">
        <v>4729.41639</v>
      </c>
      <c r="AC377" t="n">
        <v>4729.09007</v>
      </c>
      <c r="AD377" t="n">
        <v>1</v>
      </c>
      <c r="AE377">
        <f>AE376+1</f>
        <v/>
      </c>
      <c r="AF377">
        <f>AF376+1</f>
        <v/>
      </c>
      <c r="AG377">
        <f>D377-Q377</f>
        <v/>
      </c>
      <c r="AH377">
        <f>AG377^2</f>
        <v/>
      </c>
      <c r="AI377">
        <f>(AG377/STDEV($AG$3:$AG$1137))^3</f>
        <v/>
      </c>
      <c r="AJ377">
        <f>(AG377/STDEV($AG$3:$AG$1137))^4</f>
        <v/>
      </c>
      <c r="AK377">
        <f>AF377^2</f>
        <v/>
      </c>
      <c r="AL377">
        <f>IF(AD377=1,AB377,IF(AL376&lt;&gt;"",AL376,""))</f>
        <v/>
      </c>
      <c r="AM377">
        <f>IF(AND(AD377=1,AL376&lt;&gt;""),ABS(AB377-AL376),"")</f>
        <v/>
      </c>
    </row>
    <row r="378">
      <c r="A378" t="n">
        <v>1776876302</v>
      </c>
      <c r="B378" t="inlineStr">
        <is>
          <t>XAUUSD</t>
        </is>
      </c>
      <c r="C378" t="inlineStr">
        <is>
          <t>M15</t>
        </is>
      </c>
      <c r="D378" t="n">
        <v>4728.79</v>
      </c>
      <c r="E378" t="n">
        <v>4518.59282</v>
      </c>
      <c r="F378" t="n">
        <v>4596.05595</v>
      </c>
      <c r="G378" t="n">
        <v>4755.40355</v>
      </c>
      <c r="H378" t="n">
        <v>4792.76972</v>
      </c>
      <c r="Q378" t="n">
        <v>4717.01859</v>
      </c>
      <c r="R378" t="n">
        <v>4746.38189</v>
      </c>
      <c r="S378" t="n">
        <v>4772.97066</v>
      </c>
      <c r="V378" t="n">
        <v>4682.07882</v>
      </c>
      <c r="W378" t="n">
        <v>4648.51383</v>
      </c>
      <c r="AB378" t="n">
        <v>4730.85564</v>
      </c>
      <c r="AC378" t="n">
        <v>4729.97285</v>
      </c>
      <c r="AD378" t="n">
        <v>0</v>
      </c>
      <c r="AE378">
        <f>AE377+1</f>
        <v/>
      </c>
      <c r="AF378">
        <f>AF377+1</f>
        <v/>
      </c>
      <c r="AG378">
        <f>D378-Q378</f>
        <v/>
      </c>
      <c r="AH378">
        <f>AG378^2</f>
        <v/>
      </c>
      <c r="AI378">
        <f>(AG378/STDEV($AG$3:$AG$1137))^3</f>
        <v/>
      </c>
      <c r="AJ378">
        <f>(AG378/STDEV($AG$3:$AG$1137))^4</f>
        <v/>
      </c>
      <c r="AK378">
        <f>AF378^2</f>
        <v/>
      </c>
      <c r="AL378">
        <f>IF(AD378=1,AB378,IF(AL377&lt;&gt;"",AL377,""))</f>
        <v/>
      </c>
      <c r="AM378">
        <f>IF(AND(AD378=1,AL377&lt;&gt;""),ABS(AB378-AL377),"")</f>
        <v/>
      </c>
    </row>
    <row r="379">
      <c r="A379" t="n">
        <v>1776877202</v>
      </c>
      <c r="B379" t="inlineStr">
        <is>
          <t>XAUUSD</t>
        </is>
      </c>
      <c r="C379" t="inlineStr">
        <is>
          <t>M15</t>
        </is>
      </c>
      <c r="D379" t="n">
        <v>4735.49</v>
      </c>
      <c r="E379" t="n">
        <v>4518.59282</v>
      </c>
      <c r="F379" t="n">
        <v>4596.05595</v>
      </c>
      <c r="G379" t="n">
        <v>4755.40355</v>
      </c>
      <c r="H379" t="n">
        <v>4792.76972</v>
      </c>
      <c r="Q379" t="n">
        <v>4716.75099</v>
      </c>
      <c r="R379" t="n">
        <v>4746.11429</v>
      </c>
      <c r="S379" t="n">
        <v>4772.70306</v>
      </c>
      <c r="V379" t="n">
        <v>4681.81122</v>
      </c>
      <c r="W379" t="n">
        <v>4648.24622</v>
      </c>
      <c r="AB379" t="n">
        <v>4732.52412</v>
      </c>
      <c r="AC379" t="n">
        <v>4731.24849</v>
      </c>
      <c r="AD379" t="n">
        <v>0</v>
      </c>
      <c r="AE379">
        <f>AE378+1</f>
        <v/>
      </c>
      <c r="AF379">
        <f>AF378+1</f>
        <v/>
      </c>
      <c r="AG379">
        <f>D379-Q379</f>
        <v/>
      </c>
      <c r="AH379">
        <f>AG379^2</f>
        <v/>
      </c>
      <c r="AI379">
        <f>(AG379/STDEV($AG$3:$AG$1137))^3</f>
        <v/>
      </c>
      <c r="AJ379">
        <f>(AG379/STDEV($AG$3:$AG$1137))^4</f>
        <v/>
      </c>
      <c r="AK379">
        <f>AF379^2</f>
        <v/>
      </c>
      <c r="AL379">
        <f>IF(AD379=1,AB379,IF(AL378&lt;&gt;"",AL378,""))</f>
        <v/>
      </c>
      <c r="AM379">
        <f>IF(AND(AD379=1,AL378&lt;&gt;""),ABS(AB379-AL378),"")</f>
        <v/>
      </c>
    </row>
    <row r="380">
      <c r="A380" t="n">
        <v>1776878102</v>
      </c>
      <c r="B380" t="inlineStr">
        <is>
          <t>XAUUSD</t>
        </is>
      </c>
      <c r="C380" t="inlineStr">
        <is>
          <t>M15</t>
        </is>
      </c>
      <c r="D380" t="n">
        <v>4735.05</v>
      </c>
      <c r="E380" t="n">
        <v>4518.59282</v>
      </c>
      <c r="F380" t="n">
        <v>4596.05595</v>
      </c>
      <c r="G380" t="n">
        <v>4755.40355</v>
      </c>
      <c r="H380" t="n">
        <v>4792.76972</v>
      </c>
      <c r="Q380" t="n">
        <v>4716.48339</v>
      </c>
      <c r="R380" t="n">
        <v>4745.84668</v>
      </c>
      <c r="S380" t="n">
        <v>4772.43545</v>
      </c>
      <c r="V380" t="n">
        <v>4681.54362</v>
      </c>
      <c r="W380" t="n">
        <v>4647.97862</v>
      </c>
      <c r="AB380" t="n">
        <v>4734.03574</v>
      </c>
      <c r="AC380" t="n">
        <v>4732.64211</v>
      </c>
      <c r="AD380" t="n">
        <v>0</v>
      </c>
      <c r="AE380">
        <f>AE379+1</f>
        <v/>
      </c>
      <c r="AF380">
        <f>AF379+1</f>
        <v/>
      </c>
      <c r="AG380">
        <f>D380-Q380</f>
        <v/>
      </c>
      <c r="AH380">
        <f>AG380^2</f>
        <v/>
      </c>
      <c r="AI380">
        <f>(AG380/STDEV($AG$3:$AG$1137))^3</f>
        <v/>
      </c>
      <c r="AJ380">
        <f>(AG380/STDEV($AG$3:$AG$1137))^4</f>
        <v/>
      </c>
      <c r="AK380">
        <f>AF380^2</f>
        <v/>
      </c>
      <c r="AL380">
        <f>IF(AD380=1,AB380,IF(AL379&lt;&gt;"",AL379,""))</f>
        <v/>
      </c>
      <c r="AM380">
        <f>IF(AND(AD380=1,AL379&lt;&gt;""),ABS(AB380-AL379),"")</f>
        <v/>
      </c>
    </row>
    <row r="381">
      <c r="A381" t="n">
        <v>1776879002</v>
      </c>
      <c r="B381" t="inlineStr">
        <is>
          <t>XAUUSD</t>
        </is>
      </c>
      <c r="C381" t="inlineStr">
        <is>
          <t>M15</t>
        </is>
      </c>
      <c r="D381" t="n">
        <v>4736.17</v>
      </c>
      <c r="E381" t="n">
        <v>4518.59282</v>
      </c>
      <c r="F381" t="n">
        <v>4596.05595</v>
      </c>
      <c r="G381" t="n">
        <v>4755.40355</v>
      </c>
      <c r="H381" t="n">
        <v>4792.76972</v>
      </c>
      <c r="Q381" t="n">
        <v>4716.21578</v>
      </c>
      <c r="R381" t="n">
        <v>4745.57908</v>
      </c>
      <c r="S381" t="n">
        <v>4772.16785</v>
      </c>
      <c r="V381" t="n">
        <v>4681.27601</v>
      </c>
      <c r="W381" t="n">
        <v>4647.71101</v>
      </c>
      <c r="AB381" t="n">
        <v>4735.30192</v>
      </c>
      <c r="AC381" t="n">
        <v>4733.97202</v>
      </c>
      <c r="AD381" t="n">
        <v>0</v>
      </c>
      <c r="AE381">
        <f>AE380+1</f>
        <v/>
      </c>
      <c r="AF381">
        <f>AF380+1</f>
        <v/>
      </c>
      <c r="AG381">
        <f>D381-Q381</f>
        <v/>
      </c>
      <c r="AH381">
        <f>AG381^2</f>
        <v/>
      </c>
      <c r="AI381">
        <f>(AG381/STDEV($AG$3:$AG$1137))^3</f>
        <v/>
      </c>
      <c r="AJ381">
        <f>(AG381/STDEV($AG$3:$AG$1137))^4</f>
        <v/>
      </c>
      <c r="AK381">
        <f>AF381^2</f>
        <v/>
      </c>
      <c r="AL381">
        <f>IF(AD381=1,AB381,IF(AL380&lt;&gt;"",AL380,""))</f>
        <v/>
      </c>
      <c r="AM381">
        <f>IF(AND(AD381=1,AL380&lt;&gt;""),ABS(AB381-AL380),"")</f>
        <v/>
      </c>
    </row>
    <row r="382">
      <c r="A382" t="n">
        <v>1776879902</v>
      </c>
      <c r="B382" t="inlineStr">
        <is>
          <t>XAUUSD</t>
        </is>
      </c>
      <c r="C382" t="inlineStr">
        <is>
          <t>M15</t>
        </is>
      </c>
      <c r="D382" t="n">
        <v>4737.15</v>
      </c>
      <c r="E382" t="n">
        <v>4518.59282</v>
      </c>
      <c r="F382" t="n">
        <v>4596.05595</v>
      </c>
      <c r="G382" t="n">
        <v>4755.40355</v>
      </c>
      <c r="H382" t="n">
        <v>4792.76972</v>
      </c>
      <c r="Q382" t="n">
        <v>4715.94818</v>
      </c>
      <c r="R382" t="n">
        <v>4745.31148</v>
      </c>
      <c r="S382" t="n">
        <v>4771.90025</v>
      </c>
      <c r="V382" t="n">
        <v>4681.00841</v>
      </c>
      <c r="W382" t="n">
        <v>4647.44341</v>
      </c>
      <c r="AB382" t="n">
        <v>4736.28767</v>
      </c>
      <c r="AC382" t="n">
        <v>4735.12984</v>
      </c>
      <c r="AD382" t="n">
        <v>0</v>
      </c>
      <c r="AE382">
        <f>AE381+1</f>
        <v/>
      </c>
      <c r="AF382">
        <f>AF381+1</f>
        <v/>
      </c>
      <c r="AG382">
        <f>D382-Q382</f>
        <v/>
      </c>
      <c r="AH382">
        <f>AG382^2</f>
        <v/>
      </c>
      <c r="AI382">
        <f>(AG382/STDEV($AG$3:$AG$1137))^3</f>
        <v/>
      </c>
      <c r="AJ382">
        <f>(AG382/STDEV($AG$3:$AG$1137))^4</f>
        <v/>
      </c>
      <c r="AK382">
        <f>AF382^2</f>
        <v/>
      </c>
      <c r="AL382">
        <f>IF(AD382=1,AB382,IF(AL381&lt;&gt;"",AL381,""))</f>
        <v/>
      </c>
      <c r="AM382">
        <f>IF(AND(AD382=1,AL381&lt;&gt;""),ABS(AB382-AL381),"")</f>
        <v/>
      </c>
    </row>
    <row r="383">
      <c r="A383" t="n">
        <v>1776880802</v>
      </c>
      <c r="B383" t="inlineStr">
        <is>
          <t>XAUUSD</t>
        </is>
      </c>
      <c r="C383" t="inlineStr">
        <is>
          <t>M15</t>
        </is>
      </c>
      <c r="D383" t="n">
        <v>4735.94</v>
      </c>
      <c r="E383" t="n">
        <v>4518.59282</v>
      </c>
      <c r="F383" t="n">
        <v>4596.05595</v>
      </c>
      <c r="G383" t="n">
        <v>4755.40355</v>
      </c>
      <c r="H383" t="n">
        <v>4792.76972</v>
      </c>
      <c r="Q383" t="n">
        <v>4715.68057</v>
      </c>
      <c r="R383" t="n">
        <v>4745.04387</v>
      </c>
      <c r="S383" t="n">
        <v>4771.63264</v>
      </c>
      <c r="V383" t="n">
        <v>4680.7408</v>
      </c>
      <c r="W383" t="n">
        <v>4647.17581</v>
      </c>
      <c r="AB383" t="n">
        <v>4736.96908</v>
      </c>
      <c r="AC383" t="n">
        <v>4736.04946</v>
      </c>
      <c r="AD383" t="n">
        <v>0</v>
      </c>
      <c r="AE383">
        <f>AE382+1</f>
        <v/>
      </c>
      <c r="AF383">
        <f>AF382+1</f>
        <v/>
      </c>
      <c r="AG383">
        <f>D383-Q383</f>
        <v/>
      </c>
      <c r="AH383">
        <f>AG383^2</f>
        <v/>
      </c>
      <c r="AI383">
        <f>(AG383/STDEV($AG$3:$AG$1137))^3</f>
        <v/>
      </c>
      <c r="AJ383">
        <f>(AG383/STDEV($AG$3:$AG$1137))^4</f>
        <v/>
      </c>
      <c r="AK383">
        <f>AF383^2</f>
        <v/>
      </c>
      <c r="AL383">
        <f>IF(AD383=1,AB383,IF(AL382&lt;&gt;"",AL382,""))</f>
        <v/>
      </c>
      <c r="AM383">
        <f>IF(AND(AD383=1,AL382&lt;&gt;""),ABS(AB383-AL382),"")</f>
        <v/>
      </c>
    </row>
    <row r="384">
      <c r="A384" t="n">
        <v>1776881702</v>
      </c>
      <c r="B384" t="inlineStr">
        <is>
          <t>XAUUSD</t>
        </is>
      </c>
      <c r="C384" t="inlineStr">
        <is>
          <t>M15</t>
        </is>
      </c>
      <c r="D384" t="n">
        <v>4730.43</v>
      </c>
      <c r="E384" t="n">
        <v>4518.59282</v>
      </c>
      <c r="F384" t="n">
        <v>4596.05595</v>
      </c>
      <c r="G384" t="n">
        <v>4755.40355</v>
      </c>
      <c r="H384" t="n">
        <v>4792.76972</v>
      </c>
      <c r="Q384" t="n">
        <v>4715.41297</v>
      </c>
      <c r="R384" t="n">
        <v>4744.77627</v>
      </c>
      <c r="S384" t="n">
        <v>4771.36504</v>
      </c>
      <c r="V384" t="n">
        <v>4680.4732</v>
      </c>
      <c r="W384" t="n">
        <v>4646.9082</v>
      </c>
      <c r="AB384" t="n">
        <v>4737.4774</v>
      </c>
      <c r="AC384" t="n">
        <v>4736.76343</v>
      </c>
      <c r="AD384" t="n">
        <v>0</v>
      </c>
      <c r="AE384">
        <f>AE383+1</f>
        <v/>
      </c>
      <c r="AF384">
        <f>AF383+1</f>
        <v/>
      </c>
      <c r="AG384">
        <f>D384-Q384</f>
        <v/>
      </c>
      <c r="AH384">
        <f>AG384^2</f>
        <v/>
      </c>
      <c r="AI384">
        <f>(AG384/STDEV($AG$3:$AG$1137))^3</f>
        <v/>
      </c>
      <c r="AJ384">
        <f>(AG384/STDEV($AG$3:$AG$1137))^4</f>
        <v/>
      </c>
      <c r="AK384">
        <f>AF384^2</f>
        <v/>
      </c>
      <c r="AL384">
        <f>IF(AD384=1,AB384,IF(AL383&lt;&gt;"",AL383,""))</f>
        <v/>
      </c>
      <c r="AM384">
        <f>IF(AND(AD384=1,AL383&lt;&gt;""),ABS(AB384-AL383),"")</f>
        <v/>
      </c>
    </row>
    <row r="385">
      <c r="A385" t="n">
        <v>1776882602</v>
      </c>
      <c r="B385" t="inlineStr">
        <is>
          <t>XAUUSD</t>
        </is>
      </c>
      <c r="C385" t="inlineStr">
        <is>
          <t>M15</t>
        </is>
      </c>
      <c r="D385" t="n">
        <v>4739.45</v>
      </c>
      <c r="E385" t="n">
        <v>4518.59282</v>
      </c>
      <c r="F385" t="n">
        <v>4596.05595</v>
      </c>
      <c r="G385" t="n">
        <v>4755.40355</v>
      </c>
      <c r="H385" t="n">
        <v>4792.76972</v>
      </c>
      <c r="Q385" t="n">
        <v>4715.14536</v>
      </c>
      <c r="R385" t="n">
        <v>4744.50866</v>
      </c>
      <c r="S385" t="n">
        <v>4771.09743</v>
      </c>
      <c r="V385" t="n">
        <v>4680.20559</v>
      </c>
      <c r="W385" t="n">
        <v>4646.6406</v>
      </c>
      <c r="AB385" t="n">
        <v>4738.05683</v>
      </c>
      <c r="AC385" t="n">
        <v>4737.41013</v>
      </c>
      <c r="AD385" t="n">
        <v>0</v>
      </c>
      <c r="AE385">
        <f>AE384+1</f>
        <v/>
      </c>
      <c r="AF385">
        <f>AF384+1</f>
        <v/>
      </c>
      <c r="AG385">
        <f>D385-Q385</f>
        <v/>
      </c>
      <c r="AH385">
        <f>AG385^2</f>
        <v/>
      </c>
      <c r="AI385">
        <f>(AG385/STDEV($AG$3:$AG$1137))^3</f>
        <v/>
      </c>
      <c r="AJ385">
        <f>(AG385/STDEV($AG$3:$AG$1137))^4</f>
        <v/>
      </c>
      <c r="AK385">
        <f>AF385^2</f>
        <v/>
      </c>
      <c r="AL385">
        <f>IF(AD385=1,AB385,IF(AL384&lt;&gt;"",AL384,""))</f>
        <v/>
      </c>
      <c r="AM385">
        <f>IF(AND(AD385=1,AL384&lt;&gt;""),ABS(AB385-AL384),"")</f>
        <v/>
      </c>
    </row>
    <row r="386">
      <c r="A386" t="n">
        <v>1776883502</v>
      </c>
      <c r="B386" t="inlineStr">
        <is>
          <t>XAUUSD</t>
        </is>
      </c>
      <c r="C386" t="inlineStr">
        <is>
          <t>M15</t>
        </is>
      </c>
      <c r="D386" t="n">
        <v>4741.69</v>
      </c>
      <c r="E386" t="n">
        <v>4518.59282</v>
      </c>
      <c r="F386" t="n">
        <v>4596.05595</v>
      </c>
      <c r="G386" t="n">
        <v>4755.40355</v>
      </c>
      <c r="H386" t="n">
        <v>4792.76972</v>
      </c>
      <c r="Q386" t="n">
        <v>4714.87776</v>
      </c>
      <c r="R386" t="n">
        <v>4744.24106</v>
      </c>
      <c r="S386" t="n">
        <v>4770.82983</v>
      </c>
      <c r="V386" t="n">
        <v>4679.93799</v>
      </c>
      <c r="W386" t="n">
        <v>4646.37299</v>
      </c>
      <c r="Z386" t="n">
        <v>4749.34</v>
      </c>
      <c r="AB386" t="n">
        <v>4738.53711</v>
      </c>
      <c r="AC386" t="n">
        <v>4737.97362</v>
      </c>
      <c r="AD386" t="n">
        <v>0</v>
      </c>
      <c r="AE386">
        <f>AE385+1</f>
        <v/>
      </c>
      <c r="AF386">
        <f>AF385+1</f>
        <v/>
      </c>
      <c r="AG386">
        <f>D386-Q386</f>
        <v/>
      </c>
      <c r="AH386">
        <f>AG386^2</f>
        <v/>
      </c>
      <c r="AI386">
        <f>(AG386/STDEV($AG$3:$AG$1137))^3</f>
        <v/>
      </c>
      <c r="AJ386">
        <f>(AG386/STDEV($AG$3:$AG$1137))^4</f>
        <v/>
      </c>
      <c r="AK386">
        <f>AF386^2</f>
        <v/>
      </c>
      <c r="AL386">
        <f>IF(AD386=1,AB386,IF(AL385&lt;&gt;"",AL385,""))</f>
        <v/>
      </c>
      <c r="AM386">
        <f>IF(AND(AD386=1,AL385&lt;&gt;""),ABS(AB386-AL385),"")</f>
        <v/>
      </c>
    </row>
    <row r="387">
      <c r="A387" t="n">
        <v>1776884402</v>
      </c>
      <c r="B387" t="inlineStr">
        <is>
          <t>XAUUSD</t>
        </is>
      </c>
      <c r="C387" t="inlineStr">
        <is>
          <t>M15</t>
        </is>
      </c>
      <c r="D387" t="n">
        <v>4738.64</v>
      </c>
      <c r="E387" t="n">
        <v>4518.59282</v>
      </c>
      <c r="F387" t="n">
        <v>4596.05595</v>
      </c>
      <c r="G387" t="n">
        <v>4755.40355</v>
      </c>
      <c r="H387" t="n">
        <v>4792.76972</v>
      </c>
      <c r="Q387" t="n">
        <v>4714.61016</v>
      </c>
      <c r="R387" t="n">
        <v>4743.97346</v>
      </c>
      <c r="S387" t="n">
        <v>4770.56223</v>
      </c>
      <c r="V387" t="n">
        <v>4679.67039</v>
      </c>
      <c r="W387" t="n">
        <v>4646.10539</v>
      </c>
      <c r="AB387" t="n">
        <v>4738.92084</v>
      </c>
      <c r="AC387" t="n">
        <v>4738.44723</v>
      </c>
      <c r="AD387" t="n">
        <v>0</v>
      </c>
      <c r="AE387">
        <f>AE386+1</f>
        <v/>
      </c>
      <c r="AF387">
        <f>AF386+1</f>
        <v/>
      </c>
      <c r="AG387">
        <f>D387-Q387</f>
        <v/>
      </c>
      <c r="AH387">
        <f>AG387^2</f>
        <v/>
      </c>
      <c r="AI387">
        <f>(AG387/STDEV($AG$3:$AG$1137))^3</f>
        <v/>
      </c>
      <c r="AJ387">
        <f>(AG387/STDEV($AG$3:$AG$1137))^4</f>
        <v/>
      </c>
      <c r="AK387">
        <f>AF387^2</f>
        <v/>
      </c>
      <c r="AL387">
        <f>IF(AD387=1,AB387,IF(AL386&lt;&gt;"",AL386,""))</f>
        <v/>
      </c>
      <c r="AM387">
        <f>IF(AND(AD387=1,AL386&lt;&gt;""),ABS(AB387-AL386),"")</f>
        <v/>
      </c>
    </row>
    <row r="388">
      <c r="A388" t="n">
        <v>1776885302</v>
      </c>
      <c r="B388" t="inlineStr">
        <is>
          <t>XAUUSD</t>
        </is>
      </c>
      <c r="C388" t="inlineStr">
        <is>
          <t>M15</t>
        </is>
      </c>
      <c r="D388" t="n">
        <v>4744.32</v>
      </c>
      <c r="E388" t="n">
        <v>4518.59282</v>
      </c>
      <c r="F388" t="n">
        <v>4596.05595</v>
      </c>
      <c r="G388" t="n">
        <v>4755.40355</v>
      </c>
      <c r="H388" t="n">
        <v>4792.76972</v>
      </c>
      <c r="Q388" t="n">
        <v>4714.34255</v>
      </c>
      <c r="R388" t="n">
        <v>4743.70585</v>
      </c>
      <c r="S388" t="n">
        <v>4770.29462</v>
      </c>
      <c r="V388" t="n">
        <v>4679.40278</v>
      </c>
      <c r="W388" t="n">
        <v>4645.83779</v>
      </c>
      <c r="AB388" t="n">
        <v>4739.35332</v>
      </c>
      <c r="AC388" t="n">
        <v>4738.90028</v>
      </c>
      <c r="AD388" t="n">
        <v>0</v>
      </c>
      <c r="AE388">
        <f>AE387+1</f>
        <v/>
      </c>
      <c r="AF388">
        <f>AF387+1</f>
        <v/>
      </c>
      <c r="AG388">
        <f>D388-Q388</f>
        <v/>
      </c>
      <c r="AH388">
        <f>AG388^2</f>
        <v/>
      </c>
      <c r="AI388">
        <f>(AG388/STDEV($AG$3:$AG$1137))^3</f>
        <v/>
      </c>
      <c r="AJ388">
        <f>(AG388/STDEV($AG$3:$AG$1137))^4</f>
        <v/>
      </c>
      <c r="AK388">
        <f>AF388^2</f>
        <v/>
      </c>
      <c r="AL388">
        <f>IF(AD388=1,AB388,IF(AL387&lt;&gt;"",AL387,""))</f>
        <v/>
      </c>
      <c r="AM388">
        <f>IF(AND(AD388=1,AL387&lt;&gt;""),ABS(AB388-AL387),"")</f>
        <v/>
      </c>
    </row>
    <row r="389">
      <c r="A389" t="n">
        <v>1776886202</v>
      </c>
      <c r="B389" t="inlineStr">
        <is>
          <t>XAUUSD</t>
        </is>
      </c>
      <c r="C389" t="inlineStr">
        <is>
          <t>M15</t>
        </is>
      </c>
      <c r="D389" t="n">
        <v>4739.38</v>
      </c>
      <c r="E389" t="n">
        <v>4518.59282</v>
      </c>
      <c r="F389" t="n">
        <v>4596.05595</v>
      </c>
      <c r="G389" t="n">
        <v>4755.40355</v>
      </c>
      <c r="H389" t="n">
        <v>4792.76972</v>
      </c>
      <c r="Q389" t="n">
        <v>4714.07495</v>
      </c>
      <c r="R389" t="n">
        <v>4743.43825</v>
      </c>
      <c r="S389" t="n">
        <v>4770.02702</v>
      </c>
      <c r="V389" t="n">
        <v>4679.13518</v>
      </c>
      <c r="W389" t="n">
        <v>4645.57018</v>
      </c>
      <c r="AB389" t="n">
        <v>4739.67749</v>
      </c>
      <c r="AC389" t="n">
        <v>4739.28888</v>
      </c>
      <c r="AD389" t="n">
        <v>0</v>
      </c>
      <c r="AE389">
        <f>AE388+1</f>
        <v/>
      </c>
      <c r="AF389">
        <f>AF388+1</f>
        <v/>
      </c>
      <c r="AG389">
        <f>D389-Q389</f>
        <v/>
      </c>
      <c r="AH389">
        <f>AG389^2</f>
        <v/>
      </c>
      <c r="AI389">
        <f>(AG389/STDEV($AG$3:$AG$1137))^3</f>
        <v/>
      </c>
      <c r="AJ389">
        <f>(AG389/STDEV($AG$3:$AG$1137))^4</f>
        <v/>
      </c>
      <c r="AK389">
        <f>AF389^2</f>
        <v/>
      </c>
      <c r="AL389">
        <f>IF(AD389=1,AB389,IF(AL388&lt;&gt;"",AL388,""))</f>
        <v/>
      </c>
      <c r="AM389">
        <f>IF(AND(AD389=1,AL388&lt;&gt;""),ABS(AB389-AL388),"")</f>
        <v/>
      </c>
    </row>
    <row r="390">
      <c r="A390" t="n">
        <v>1776887102</v>
      </c>
      <c r="B390" t="inlineStr">
        <is>
          <t>XAUUSD</t>
        </is>
      </c>
      <c r="C390" t="inlineStr">
        <is>
          <t>M15</t>
        </is>
      </c>
      <c r="D390" t="n">
        <v>4740.36</v>
      </c>
      <c r="E390" t="n">
        <v>4518.59282</v>
      </c>
      <c r="F390" t="n">
        <v>4596.05595</v>
      </c>
      <c r="G390" t="n">
        <v>4755.40355</v>
      </c>
      <c r="H390" t="n">
        <v>4792.76972</v>
      </c>
      <c r="Q390" t="n">
        <v>4713.80734</v>
      </c>
      <c r="R390" t="n">
        <v>4743.17064</v>
      </c>
      <c r="S390" t="n">
        <v>4769.75941</v>
      </c>
      <c r="V390" t="n">
        <v>4678.86757</v>
      </c>
      <c r="W390" t="n">
        <v>4645.30258</v>
      </c>
      <c r="AB390" t="n">
        <v>4739.95904</v>
      </c>
      <c r="AC390" t="n">
        <v>4739.62396</v>
      </c>
      <c r="AD390" t="n">
        <v>0</v>
      </c>
      <c r="AE390">
        <f>AE389+1</f>
        <v/>
      </c>
      <c r="AF390">
        <f>AF389+1</f>
        <v/>
      </c>
      <c r="AG390">
        <f>D390-Q390</f>
        <v/>
      </c>
      <c r="AH390">
        <f>AG390^2</f>
        <v/>
      </c>
      <c r="AI390">
        <f>(AG390/STDEV($AG$3:$AG$1137))^3</f>
        <v/>
      </c>
      <c r="AJ390">
        <f>(AG390/STDEV($AG$3:$AG$1137))^4</f>
        <v/>
      </c>
      <c r="AK390">
        <f>AF390^2</f>
        <v/>
      </c>
      <c r="AL390">
        <f>IF(AD390=1,AB390,IF(AL389&lt;&gt;"",AL389,""))</f>
        <v/>
      </c>
      <c r="AM390">
        <f>IF(AND(AD390=1,AL389&lt;&gt;""),ABS(AB390-AL389),"")</f>
        <v/>
      </c>
    </row>
    <row r="391">
      <c r="A391" t="n">
        <v>1776888002</v>
      </c>
      <c r="B391" t="inlineStr">
        <is>
          <t>XAUUSD</t>
        </is>
      </c>
      <c r="C391" t="inlineStr">
        <is>
          <t>M15</t>
        </is>
      </c>
      <c r="D391" t="n">
        <v>4736.16</v>
      </c>
      <c r="E391" t="n">
        <v>4518.59282</v>
      </c>
      <c r="F391" t="n">
        <v>4596.05595</v>
      </c>
      <c r="G391" t="n">
        <v>4755.40355</v>
      </c>
      <c r="H391" t="n">
        <v>4792.76972</v>
      </c>
      <c r="Q391" t="n">
        <v>4713.53974</v>
      </c>
      <c r="R391" t="n">
        <v>4742.90304</v>
      </c>
      <c r="S391" t="n">
        <v>4769.49181</v>
      </c>
      <c r="V391" t="n">
        <v>4678.59997</v>
      </c>
      <c r="W391" t="n">
        <v>4645.03497</v>
      </c>
      <c r="AB391" t="n">
        <v>4740.03754</v>
      </c>
      <c r="AC391" t="n">
        <v>4739.83075</v>
      </c>
      <c r="AD391" t="n">
        <v>0</v>
      </c>
      <c r="AE391">
        <f>AE390+1</f>
        <v/>
      </c>
      <c r="AF391">
        <f>AF390+1</f>
        <v/>
      </c>
      <c r="AG391">
        <f>D391-Q391</f>
        <v/>
      </c>
      <c r="AH391">
        <f>AG391^2</f>
        <v/>
      </c>
      <c r="AI391">
        <f>(AG391/STDEV($AG$3:$AG$1137))^3</f>
        <v/>
      </c>
      <c r="AJ391">
        <f>(AG391/STDEV($AG$3:$AG$1137))^4</f>
        <v/>
      </c>
      <c r="AK391">
        <f>AF391^2</f>
        <v/>
      </c>
      <c r="AL391">
        <f>IF(AD391=1,AB391,IF(AL390&lt;&gt;"",AL390,""))</f>
        <v/>
      </c>
      <c r="AM391">
        <f>IF(AND(AD391=1,AL390&lt;&gt;""),ABS(AB391-AL390),"")</f>
        <v/>
      </c>
    </row>
    <row r="392">
      <c r="A392" t="n">
        <v>1776888902</v>
      </c>
      <c r="B392" t="inlineStr">
        <is>
          <t>XAUUSD</t>
        </is>
      </c>
      <c r="C392" t="inlineStr">
        <is>
          <t>M15</t>
        </is>
      </c>
      <c r="D392" t="n">
        <v>4736.99</v>
      </c>
      <c r="E392" t="n">
        <v>4518.59282</v>
      </c>
      <c r="F392" t="n">
        <v>4596.05595</v>
      </c>
      <c r="G392" t="n">
        <v>4755.40355</v>
      </c>
      <c r="H392" t="n">
        <v>4792.76972</v>
      </c>
      <c r="Q392" t="n">
        <v>4713.27214</v>
      </c>
      <c r="R392" t="n">
        <v>4742.63544</v>
      </c>
      <c r="S392" t="n">
        <v>4769.22421</v>
      </c>
      <c r="V392" t="n">
        <v>4678.33237</v>
      </c>
      <c r="W392" t="n">
        <v>4644.76737</v>
      </c>
      <c r="AB392" t="n">
        <v>4739.85448</v>
      </c>
      <c r="AC392" t="n">
        <v>4739.84262</v>
      </c>
      <c r="AD392" t="n">
        <v>0</v>
      </c>
      <c r="AE392">
        <f>AE391+1</f>
        <v/>
      </c>
      <c r="AF392">
        <f>AF391+1</f>
        <v/>
      </c>
      <c r="AG392">
        <f>D392-Q392</f>
        <v/>
      </c>
      <c r="AH392">
        <f>AG392^2</f>
        <v/>
      </c>
      <c r="AI392">
        <f>(AG392/STDEV($AG$3:$AG$1137))^3</f>
        <v/>
      </c>
      <c r="AJ392">
        <f>(AG392/STDEV($AG$3:$AG$1137))^4</f>
        <v/>
      </c>
      <c r="AK392">
        <f>AF392^2</f>
        <v/>
      </c>
      <c r="AL392">
        <f>IF(AD392=1,AB392,IF(AL391&lt;&gt;"",AL391,""))</f>
        <v/>
      </c>
      <c r="AM392">
        <f>IF(AND(AD392=1,AL391&lt;&gt;""),ABS(AB392-AL391),"")</f>
        <v/>
      </c>
    </row>
    <row r="393">
      <c r="A393" t="n">
        <v>1776889802</v>
      </c>
      <c r="B393" t="inlineStr">
        <is>
          <t>XAUUSD</t>
        </is>
      </c>
      <c r="C393" t="inlineStr">
        <is>
          <t>M15</t>
        </is>
      </c>
      <c r="D393" t="n">
        <v>4737.48</v>
      </c>
      <c r="E393" t="n">
        <v>4518.59282</v>
      </c>
      <c r="F393" t="n">
        <v>4596.05595</v>
      </c>
      <c r="G393" t="n">
        <v>4755.40355</v>
      </c>
      <c r="H393" t="n">
        <v>4792.76972</v>
      </c>
      <c r="Q393" t="n">
        <v>4713.00453</v>
      </c>
      <c r="R393" t="n">
        <v>4742.36783</v>
      </c>
      <c r="S393" t="n">
        <v>4768.9566</v>
      </c>
      <c r="V393" t="n">
        <v>4678.06476</v>
      </c>
      <c r="W393" t="n">
        <v>4644.49977</v>
      </c>
      <c r="AB393" t="n">
        <v>4739.16871</v>
      </c>
      <c r="AC393" t="n">
        <v>4739.50566</v>
      </c>
      <c r="AD393" t="n">
        <v>1</v>
      </c>
      <c r="AE393">
        <f>AE392+1</f>
        <v/>
      </c>
      <c r="AF393">
        <f>AF392+1</f>
        <v/>
      </c>
      <c r="AG393">
        <f>D393-Q393</f>
        <v/>
      </c>
      <c r="AH393">
        <f>AG393^2</f>
        <v/>
      </c>
      <c r="AI393">
        <f>(AG393/STDEV($AG$3:$AG$1137))^3</f>
        <v/>
      </c>
      <c r="AJ393">
        <f>(AG393/STDEV($AG$3:$AG$1137))^4</f>
        <v/>
      </c>
      <c r="AK393">
        <f>AF393^2</f>
        <v/>
      </c>
      <c r="AL393">
        <f>IF(AD393=1,AB393,IF(AL392&lt;&gt;"",AL392,""))</f>
        <v/>
      </c>
      <c r="AM393">
        <f>IF(AND(AD393=1,AL392&lt;&gt;""),ABS(AB393-AL392),"")</f>
        <v/>
      </c>
    </row>
    <row r="394">
      <c r="A394" t="n">
        <v>1776890702</v>
      </c>
      <c r="B394" t="inlineStr">
        <is>
          <t>XAUUSD</t>
        </is>
      </c>
      <c r="C394" t="inlineStr">
        <is>
          <t>M15</t>
        </is>
      </c>
      <c r="D394" t="n">
        <v>4740.38</v>
      </c>
      <c r="E394" t="n">
        <v>4518.59282</v>
      </c>
      <c r="F394" t="n">
        <v>4596.05595</v>
      </c>
      <c r="G394" t="n">
        <v>4755.40355</v>
      </c>
      <c r="H394" t="n">
        <v>4792.76972</v>
      </c>
      <c r="Q394" t="n">
        <v>4712.73693</v>
      </c>
      <c r="R394" t="n">
        <v>4742.10023</v>
      </c>
      <c r="S394" t="n">
        <v>4768.689</v>
      </c>
      <c r="V394" t="n">
        <v>4677.79716</v>
      </c>
      <c r="W394" t="n">
        <v>4644.23216</v>
      </c>
      <c r="AB394" t="n">
        <v>4737.77412</v>
      </c>
      <c r="AC394" t="n">
        <v>4738.63989</v>
      </c>
      <c r="AD394" t="n">
        <v>0</v>
      </c>
      <c r="AE394">
        <f>AE393+1</f>
        <v/>
      </c>
      <c r="AF394">
        <f>AF393+1</f>
        <v/>
      </c>
      <c r="AG394">
        <f>D394-Q394</f>
        <v/>
      </c>
      <c r="AH394">
        <f>AG394^2</f>
        <v/>
      </c>
      <c r="AI394">
        <f>(AG394/STDEV($AG$3:$AG$1137))^3</f>
        <v/>
      </c>
      <c r="AJ394">
        <f>(AG394/STDEV($AG$3:$AG$1137))^4</f>
        <v/>
      </c>
      <c r="AK394">
        <f>AF394^2</f>
        <v/>
      </c>
      <c r="AL394">
        <f>IF(AD394=1,AB394,IF(AL393&lt;&gt;"",AL393,""))</f>
        <v/>
      </c>
      <c r="AM394">
        <f>IF(AND(AD394=1,AL393&lt;&gt;""),ABS(AB394-AL393),"")</f>
        <v/>
      </c>
    </row>
    <row r="395">
      <c r="A395" t="n">
        <v>1776895202</v>
      </c>
      <c r="B395" t="inlineStr">
        <is>
          <t>XAUUSD</t>
        </is>
      </c>
      <c r="C395" t="inlineStr">
        <is>
          <t>M15</t>
        </is>
      </c>
      <c r="D395" t="n">
        <v>4736.69</v>
      </c>
      <c r="E395" t="n">
        <v>4518.59282</v>
      </c>
      <c r="F395" t="n">
        <v>4596.05595</v>
      </c>
      <c r="G395" t="n">
        <v>4755.40355</v>
      </c>
      <c r="H395" t="n">
        <v>4792.76972</v>
      </c>
      <c r="Q395" t="n">
        <v>4712.46932</v>
      </c>
      <c r="R395" t="n">
        <v>4741.83262</v>
      </c>
      <c r="S395" t="n">
        <v>4768.42139</v>
      </c>
      <c r="V395" t="n">
        <v>4677.52955</v>
      </c>
      <c r="W395" t="n">
        <v>4643.96456</v>
      </c>
      <c r="AB395" t="n">
        <v>4735.50404</v>
      </c>
      <c r="AC395" t="n">
        <v>4737.07196</v>
      </c>
      <c r="AD395" t="n">
        <v>0</v>
      </c>
      <c r="AE395">
        <f>AE394+1</f>
        <v/>
      </c>
      <c r="AF395">
        <f>AF394+1</f>
        <v/>
      </c>
      <c r="AG395">
        <f>D395-Q395</f>
        <v/>
      </c>
      <c r="AH395">
        <f>AG395^2</f>
        <v/>
      </c>
      <c r="AI395">
        <f>(AG395/STDEV($AG$3:$AG$1137))^3</f>
        <v/>
      </c>
      <c r="AJ395">
        <f>(AG395/STDEV($AG$3:$AG$1137))^4</f>
        <v/>
      </c>
      <c r="AK395">
        <f>AF395^2</f>
        <v/>
      </c>
      <c r="AL395">
        <f>IF(AD395=1,AB395,IF(AL394&lt;&gt;"",AL394,""))</f>
        <v/>
      </c>
      <c r="AM395">
        <f>IF(AND(AD395=1,AL394&lt;&gt;""),ABS(AB395-AL394),"")</f>
        <v/>
      </c>
    </row>
    <row r="396">
      <c r="A396" t="n">
        <v>1776896102</v>
      </c>
      <c r="B396" t="inlineStr">
        <is>
          <t>XAUUSD</t>
        </is>
      </c>
      <c r="C396" t="inlineStr">
        <is>
          <t>M15</t>
        </is>
      </c>
      <c r="D396" t="n">
        <v>4732.96</v>
      </c>
      <c r="E396" t="n">
        <v>4518.59282</v>
      </c>
      <c r="F396" t="n">
        <v>4596.05595</v>
      </c>
      <c r="G396" t="n">
        <v>4755.40355</v>
      </c>
      <c r="H396" t="n">
        <v>4792.76972</v>
      </c>
      <c r="Q396" t="n">
        <v>4712.20172</v>
      </c>
      <c r="R396" t="n">
        <v>4741.56502</v>
      </c>
      <c r="S396" t="n">
        <v>4768.15379</v>
      </c>
      <c r="V396" t="n">
        <v>4677.26195</v>
      </c>
      <c r="W396" t="n">
        <v>4643.69695</v>
      </c>
      <c r="AB396" t="n">
        <v>4732.55742</v>
      </c>
      <c r="AC396" t="n">
        <v>4734.81469</v>
      </c>
      <c r="AD396" t="n">
        <v>0</v>
      </c>
      <c r="AE396">
        <f>AE395+1</f>
        <v/>
      </c>
      <c r="AF396">
        <f>AF395+1</f>
        <v/>
      </c>
      <c r="AG396">
        <f>D396-Q396</f>
        <v/>
      </c>
      <c r="AH396">
        <f>AG396^2</f>
        <v/>
      </c>
      <c r="AI396">
        <f>(AG396/STDEV($AG$3:$AG$1137))^3</f>
        <v/>
      </c>
      <c r="AJ396">
        <f>(AG396/STDEV($AG$3:$AG$1137))^4</f>
        <v/>
      </c>
      <c r="AK396">
        <f>AF396^2</f>
        <v/>
      </c>
      <c r="AL396">
        <f>IF(AD396=1,AB396,IF(AL395&lt;&gt;"",AL395,""))</f>
        <v/>
      </c>
      <c r="AM396">
        <f>IF(AND(AD396=1,AL395&lt;&gt;""),ABS(AB396-AL395),"")</f>
        <v/>
      </c>
    </row>
    <row r="397">
      <c r="A397" t="n">
        <v>1776897002</v>
      </c>
      <c r="B397" t="inlineStr">
        <is>
          <t>XAUUSD</t>
        </is>
      </c>
      <c r="C397" t="inlineStr">
        <is>
          <t>M15</t>
        </is>
      </c>
      <c r="D397" t="n">
        <v>4729.94</v>
      </c>
      <c r="E397" t="n">
        <v>4518.59282</v>
      </c>
      <c r="F397" t="n">
        <v>4596.05595</v>
      </c>
      <c r="G397" t="n">
        <v>4755.40355</v>
      </c>
      <c r="H397" t="n">
        <v>4792.76972</v>
      </c>
      <c r="Q397" t="n">
        <v>4711.93412</v>
      </c>
      <c r="R397" t="n">
        <v>4741.29741</v>
      </c>
      <c r="S397" t="n">
        <v>4767.88619</v>
      </c>
      <c r="V397" t="n">
        <v>4676.99435</v>
      </c>
      <c r="W397" t="n">
        <v>4643.42935</v>
      </c>
      <c r="AB397" t="n">
        <v>4729.31539</v>
      </c>
      <c r="AC397" t="n">
        <v>4732.06504</v>
      </c>
      <c r="AD397" t="n">
        <v>0</v>
      </c>
      <c r="AE397">
        <f>AE396+1</f>
        <v/>
      </c>
      <c r="AF397">
        <f>AF396+1</f>
        <v/>
      </c>
      <c r="AG397">
        <f>D397-Q397</f>
        <v/>
      </c>
      <c r="AH397">
        <f>AG397^2</f>
        <v/>
      </c>
      <c r="AI397">
        <f>(AG397/STDEV($AG$3:$AG$1137))^3</f>
        <v/>
      </c>
      <c r="AJ397">
        <f>(AG397/STDEV($AG$3:$AG$1137))^4</f>
        <v/>
      </c>
      <c r="AK397">
        <f>AF397^2</f>
        <v/>
      </c>
      <c r="AL397">
        <f>IF(AD397=1,AB397,IF(AL396&lt;&gt;"",AL396,""))</f>
        <v/>
      </c>
      <c r="AM397">
        <f>IF(AND(AD397=1,AL396&lt;&gt;""),ABS(AB397-AL396),"")</f>
        <v/>
      </c>
    </row>
    <row r="398">
      <c r="A398" t="n">
        <v>1776897902</v>
      </c>
      <c r="B398" t="inlineStr">
        <is>
          <t>XAUUSD</t>
        </is>
      </c>
      <c r="C398" t="inlineStr">
        <is>
          <t>M15</t>
        </is>
      </c>
      <c r="D398" t="n">
        <v>4725.92</v>
      </c>
      <c r="E398" t="n">
        <v>4518.59282</v>
      </c>
      <c r="F398" t="n">
        <v>4596.05595</v>
      </c>
      <c r="G398" t="n">
        <v>4755.40355</v>
      </c>
      <c r="H398" t="n">
        <v>4792.76972</v>
      </c>
      <c r="Q398" t="n">
        <v>4711.66651</v>
      </c>
      <c r="R398" t="n">
        <v>4741.02981</v>
      </c>
      <c r="S398" t="n">
        <v>4767.61858</v>
      </c>
      <c r="V398" t="n">
        <v>4676.72674</v>
      </c>
      <c r="W398" t="n">
        <v>4643.16175</v>
      </c>
      <c r="AB398" t="n">
        <v>4726.32231</v>
      </c>
      <c r="AC398" t="n">
        <v>4729.19368</v>
      </c>
      <c r="AD398" t="n">
        <v>0</v>
      </c>
      <c r="AE398">
        <f>AE397+1</f>
        <v/>
      </c>
      <c r="AF398">
        <f>AF397+1</f>
        <v/>
      </c>
      <c r="AG398">
        <f>D398-Q398</f>
        <v/>
      </c>
      <c r="AH398">
        <f>AG398^2</f>
        <v/>
      </c>
      <c r="AI398">
        <f>(AG398/STDEV($AG$3:$AG$1137))^3</f>
        <v/>
      </c>
      <c r="AJ398">
        <f>(AG398/STDEV($AG$3:$AG$1137))^4</f>
        <v/>
      </c>
      <c r="AK398">
        <f>AF398^2</f>
        <v/>
      </c>
      <c r="AL398">
        <f>IF(AD398=1,AB398,IF(AL397&lt;&gt;"",AL397,""))</f>
        <v/>
      </c>
      <c r="AM398">
        <f>IF(AND(AD398=1,AL397&lt;&gt;""),ABS(AB398-AL397),"")</f>
        <v/>
      </c>
    </row>
    <row r="399">
      <c r="A399" t="n">
        <v>1776898802</v>
      </c>
      <c r="B399" t="inlineStr">
        <is>
          <t>XAUUSD</t>
        </is>
      </c>
      <c r="C399" t="inlineStr">
        <is>
          <t>M15</t>
        </is>
      </c>
      <c r="D399" t="n">
        <v>4725.95</v>
      </c>
      <c r="E399" t="n">
        <v>4518.59282</v>
      </c>
      <c r="F399" t="n">
        <v>4596.05595</v>
      </c>
      <c r="G399" t="n">
        <v>4755.40355</v>
      </c>
      <c r="H399" t="n">
        <v>4792.76972</v>
      </c>
      <c r="Q399" t="n">
        <v>4711.39891</v>
      </c>
      <c r="R399" t="n">
        <v>4740.76221</v>
      </c>
      <c r="S399" t="n">
        <v>4767.35098</v>
      </c>
      <c r="V399" t="n">
        <v>4676.45914</v>
      </c>
      <c r="W399" t="n">
        <v>4642.89414</v>
      </c>
      <c r="AB399" t="n">
        <v>4724.18073</v>
      </c>
      <c r="AC399" t="n">
        <v>4726.68721</v>
      </c>
      <c r="AD399" t="n">
        <v>0</v>
      </c>
      <c r="AE399">
        <f>AE398+1</f>
        <v/>
      </c>
      <c r="AF399">
        <f>AF398+1</f>
        <v/>
      </c>
      <c r="AG399">
        <f>D399-Q399</f>
        <v/>
      </c>
      <c r="AH399">
        <f>AG399^2</f>
        <v/>
      </c>
      <c r="AI399">
        <f>(AG399/STDEV($AG$3:$AG$1137))^3</f>
        <v/>
      </c>
      <c r="AJ399">
        <f>(AG399/STDEV($AG$3:$AG$1137))^4</f>
        <v/>
      </c>
      <c r="AK399">
        <f>AF399^2</f>
        <v/>
      </c>
      <c r="AL399">
        <f>IF(AD399=1,AB399,IF(AL398&lt;&gt;"",AL398,""))</f>
        <v/>
      </c>
      <c r="AM399">
        <f>IF(AND(AD399=1,AL398&lt;&gt;""),ABS(AB399-AL398),"")</f>
        <v/>
      </c>
    </row>
    <row r="400">
      <c r="A400" t="n">
        <v>1776899702</v>
      </c>
      <c r="B400" t="inlineStr">
        <is>
          <t>XAUUSD</t>
        </is>
      </c>
      <c r="C400" t="inlineStr">
        <is>
          <t>M15</t>
        </is>
      </c>
      <c r="D400" t="n">
        <v>4728.14</v>
      </c>
      <c r="E400" t="n">
        <v>4518.59282</v>
      </c>
      <c r="F400" t="n">
        <v>4596.05595</v>
      </c>
      <c r="G400" t="n">
        <v>4755.40355</v>
      </c>
      <c r="H400" t="n">
        <v>4792.76972</v>
      </c>
      <c r="Q400" t="n">
        <v>4711.1313</v>
      </c>
      <c r="R400" t="n">
        <v>4740.4946</v>
      </c>
      <c r="S400" t="n">
        <v>4767.08337</v>
      </c>
      <c r="V400" t="n">
        <v>4676.19153</v>
      </c>
      <c r="W400" t="n">
        <v>4642.62654</v>
      </c>
      <c r="AB400" t="n">
        <v>4723.31179</v>
      </c>
      <c r="AC400" t="n">
        <v>4724.9995</v>
      </c>
      <c r="AD400" t="n">
        <v>0</v>
      </c>
      <c r="AE400">
        <f>AE399+1</f>
        <v/>
      </c>
      <c r="AF400">
        <f>AF399+1</f>
        <v/>
      </c>
      <c r="AG400">
        <f>D400-Q400</f>
        <v/>
      </c>
      <c r="AH400">
        <f>AG400^2</f>
        <v/>
      </c>
      <c r="AI400">
        <f>(AG400/STDEV($AG$3:$AG$1137))^3</f>
        <v/>
      </c>
      <c r="AJ400">
        <f>(AG400/STDEV($AG$3:$AG$1137))^4</f>
        <v/>
      </c>
      <c r="AK400">
        <f>AF400^2</f>
        <v/>
      </c>
      <c r="AL400">
        <f>IF(AD400=1,AB400,IF(AL399&lt;&gt;"",AL399,""))</f>
        <v/>
      </c>
      <c r="AM400">
        <f>IF(AND(AD400=1,AL399&lt;&gt;""),ABS(AB400-AL399),"")</f>
        <v/>
      </c>
    </row>
    <row r="401">
      <c r="A401" t="n">
        <v>1776900602</v>
      </c>
      <c r="B401" t="inlineStr">
        <is>
          <t>XAUUSD</t>
        </is>
      </c>
      <c r="C401" t="inlineStr">
        <is>
          <t>M15</t>
        </is>
      </c>
      <c r="D401" t="n">
        <v>4724.57</v>
      </c>
      <c r="E401" t="n">
        <v>4518.59282</v>
      </c>
      <c r="F401" t="n">
        <v>4596.05595</v>
      </c>
      <c r="G401" t="n">
        <v>4755.40355</v>
      </c>
      <c r="H401" t="n">
        <v>4792.76972</v>
      </c>
      <c r="Q401" t="n">
        <v>4710.8637</v>
      </c>
      <c r="R401" t="n">
        <v>4740.227</v>
      </c>
      <c r="S401" t="n">
        <v>4766.81577</v>
      </c>
      <c r="V401" t="n">
        <v>4675.92393</v>
      </c>
      <c r="W401" t="n">
        <v>4642.35893</v>
      </c>
      <c r="AB401" t="n">
        <v>4723.87045</v>
      </c>
      <c r="AC401" t="n">
        <v>4724.43497</v>
      </c>
      <c r="AD401" t="n">
        <v>0</v>
      </c>
      <c r="AE401">
        <f>AE400+1</f>
        <v/>
      </c>
      <c r="AF401">
        <f>AF400+1</f>
        <v/>
      </c>
      <c r="AG401">
        <f>D401-Q401</f>
        <v/>
      </c>
      <c r="AH401">
        <f>AG401^2</f>
        <v/>
      </c>
      <c r="AI401">
        <f>(AG401/STDEV($AG$3:$AG$1137))^3</f>
        <v/>
      </c>
      <c r="AJ401">
        <f>(AG401/STDEV($AG$3:$AG$1137))^4</f>
        <v/>
      </c>
      <c r="AK401">
        <f>AF401^2</f>
        <v/>
      </c>
      <c r="AL401">
        <f>IF(AD401=1,AB401,IF(AL400&lt;&gt;"",AL400,""))</f>
        <v/>
      </c>
      <c r="AM401">
        <f>IF(AND(AD401=1,AL400&lt;&gt;""),ABS(AB401-AL400),"")</f>
        <v/>
      </c>
    </row>
    <row r="402">
      <c r="A402" t="n">
        <v>1776901502</v>
      </c>
      <c r="B402" t="inlineStr">
        <is>
          <t>XAUUSD</t>
        </is>
      </c>
      <c r="C402" t="inlineStr">
        <is>
          <t>M15</t>
        </is>
      </c>
      <c r="D402" t="n">
        <v>4727.72</v>
      </c>
      <c r="E402" t="n">
        <v>4518.59282</v>
      </c>
      <c r="F402" t="n">
        <v>4596.05595</v>
      </c>
      <c r="G402" t="n">
        <v>4755.40355</v>
      </c>
      <c r="H402" t="n">
        <v>4792.76972</v>
      </c>
      <c r="Q402" t="n">
        <v>4710.5961</v>
      </c>
      <c r="R402" t="n">
        <v>4739.95939</v>
      </c>
      <c r="S402" t="n">
        <v>4766.54817</v>
      </c>
      <c r="V402" t="n">
        <v>4675.65633</v>
      </c>
      <c r="W402" t="n">
        <v>4642.09133</v>
      </c>
      <c r="AB402" t="n">
        <v>4725.89757</v>
      </c>
      <c r="AC402" t="n">
        <v>4725.16627</v>
      </c>
      <c r="AD402" t="n">
        <v>1</v>
      </c>
      <c r="AE402">
        <f>AE401+1</f>
        <v/>
      </c>
      <c r="AF402">
        <f>AF401+1</f>
        <v/>
      </c>
      <c r="AG402">
        <f>D402-Q402</f>
        <v/>
      </c>
      <c r="AH402">
        <f>AG402^2</f>
        <v/>
      </c>
      <c r="AI402">
        <f>(AG402/STDEV($AG$3:$AG$1137))^3</f>
        <v/>
      </c>
      <c r="AJ402">
        <f>(AG402/STDEV($AG$3:$AG$1137))^4</f>
        <v/>
      </c>
      <c r="AK402">
        <f>AF402^2</f>
        <v/>
      </c>
      <c r="AL402">
        <f>IF(AD402=1,AB402,IF(AL401&lt;&gt;"",AL401,""))</f>
        <v/>
      </c>
      <c r="AM402">
        <f>IF(AND(AD402=1,AL401&lt;&gt;""),ABS(AB402-AL401),"")</f>
        <v/>
      </c>
    </row>
    <row r="403">
      <c r="A403" t="n">
        <v>1776902402</v>
      </c>
      <c r="B403" t="inlineStr">
        <is>
          <t>XAUUSD</t>
        </is>
      </c>
      <c r="C403" t="inlineStr">
        <is>
          <t>M15</t>
        </is>
      </c>
      <c r="D403" t="n">
        <v>4699.48</v>
      </c>
      <c r="E403" t="n">
        <v>4518.59282</v>
      </c>
      <c r="F403" t="n">
        <v>4596.05595</v>
      </c>
      <c r="G403" t="n">
        <v>4755.40355</v>
      </c>
      <c r="H403" t="n">
        <v>4792.76972</v>
      </c>
      <c r="Q403" t="n">
        <v>4710.32849</v>
      </c>
      <c r="R403" t="n">
        <v>4739.69179</v>
      </c>
      <c r="S403" t="n">
        <v>4766.28056</v>
      </c>
      <c r="V403" t="n">
        <v>4675.38872</v>
      </c>
      <c r="W403" t="n">
        <v>4641.82372</v>
      </c>
      <c r="AB403" t="n">
        <v>4728.96889</v>
      </c>
      <c r="AC403" t="n">
        <v>4727.06758</v>
      </c>
      <c r="AD403" t="n">
        <v>0</v>
      </c>
      <c r="AE403">
        <f>AE402+1</f>
        <v/>
      </c>
      <c r="AF403">
        <f>AF402+1</f>
        <v/>
      </c>
      <c r="AG403">
        <f>D403-Q403</f>
        <v/>
      </c>
      <c r="AH403">
        <f>AG403^2</f>
        <v/>
      </c>
      <c r="AI403">
        <f>(AG403/STDEV($AG$3:$AG$1137))^3</f>
        <v/>
      </c>
      <c r="AJ403">
        <f>(AG403/STDEV($AG$3:$AG$1137))^4</f>
        <v/>
      </c>
      <c r="AK403">
        <f>AF403^2</f>
        <v/>
      </c>
      <c r="AL403">
        <f>IF(AD403=1,AB403,IF(AL402&lt;&gt;"",AL402,""))</f>
        <v/>
      </c>
      <c r="AM403">
        <f>IF(AND(AD403=1,AL402&lt;&gt;""),ABS(AB403-AL402),"")</f>
        <v/>
      </c>
    </row>
    <row r="404">
      <c r="A404" t="n">
        <v>1776903302</v>
      </c>
      <c r="B404" t="inlineStr">
        <is>
          <t>XAUUSD</t>
        </is>
      </c>
      <c r="C404" t="inlineStr">
        <is>
          <t>M15</t>
        </is>
      </c>
      <c r="D404" t="n">
        <v>4741.59</v>
      </c>
      <c r="E404" t="n">
        <v>4518.59282</v>
      </c>
      <c r="F404" t="n">
        <v>4596.05595</v>
      </c>
      <c r="G404" t="n">
        <v>4755.40355</v>
      </c>
      <c r="H404" t="n">
        <v>4792.76972</v>
      </c>
      <c r="Q404" t="n">
        <v>4710.06089</v>
      </c>
      <c r="R404" t="n">
        <v>4739.42419</v>
      </c>
      <c r="S404" t="n">
        <v>4766.01296</v>
      </c>
      <c r="V404" t="n">
        <v>4675.12112</v>
      </c>
      <c r="W404" t="n">
        <v>4641.55612</v>
      </c>
      <c r="AA404" t="n">
        <v>4694.34</v>
      </c>
      <c r="AB404" t="n">
        <v>4733.19299</v>
      </c>
      <c r="AC404" t="n">
        <v>4730.13028</v>
      </c>
      <c r="AD404" t="n">
        <v>0</v>
      </c>
      <c r="AE404">
        <f>AE403+1</f>
        <v/>
      </c>
      <c r="AF404">
        <f>AF403+1</f>
        <v/>
      </c>
      <c r="AG404">
        <f>D404-Q404</f>
        <v/>
      </c>
      <c r="AH404">
        <f>AG404^2</f>
        <v/>
      </c>
      <c r="AI404">
        <f>(AG404/STDEV($AG$3:$AG$1137))^3</f>
        <v/>
      </c>
      <c r="AJ404">
        <f>(AG404/STDEV($AG$3:$AG$1137))^4</f>
        <v/>
      </c>
      <c r="AK404">
        <f>AF404^2</f>
        <v/>
      </c>
      <c r="AL404">
        <f>IF(AD404=1,AB404,IF(AL403&lt;&gt;"",AL403,""))</f>
        <v/>
      </c>
      <c r="AM404">
        <f>IF(AND(AD404=1,AL403&lt;&gt;""),ABS(AB404-AL403),"")</f>
        <v/>
      </c>
    </row>
    <row r="405">
      <c r="A405" t="n">
        <v>1776904202</v>
      </c>
      <c r="B405" t="inlineStr">
        <is>
          <t>XAUUSD</t>
        </is>
      </c>
      <c r="C405" t="inlineStr">
        <is>
          <t>M15</t>
        </is>
      </c>
      <c r="D405" t="n">
        <v>4744.84</v>
      </c>
      <c r="E405" t="n">
        <v>4518.59282</v>
      </c>
      <c r="F405" t="n">
        <v>4596.05595</v>
      </c>
      <c r="G405" t="n">
        <v>4755.40355</v>
      </c>
      <c r="H405" t="n">
        <v>4792.76972</v>
      </c>
      <c r="Q405" t="n">
        <v>4709.79328</v>
      </c>
      <c r="R405" t="n">
        <v>4739.15658</v>
      </c>
      <c r="S405" t="n">
        <v>4765.74535</v>
      </c>
      <c r="V405" t="n">
        <v>4674.85351</v>
      </c>
      <c r="W405" t="n">
        <v>4641.28852</v>
      </c>
      <c r="AB405" t="n">
        <v>4736.52253</v>
      </c>
      <c r="AC405" t="n">
        <v>4733.32641</v>
      </c>
      <c r="AD405" t="n">
        <v>0</v>
      </c>
      <c r="AE405">
        <f>AE404+1</f>
        <v/>
      </c>
      <c r="AF405">
        <f>AF404+1</f>
        <v/>
      </c>
      <c r="AG405">
        <f>D405-Q405</f>
        <v/>
      </c>
      <c r="AH405">
        <f>AG405^2</f>
        <v/>
      </c>
      <c r="AI405">
        <f>(AG405/STDEV($AG$3:$AG$1137))^3</f>
        <v/>
      </c>
      <c r="AJ405">
        <f>(AG405/STDEV($AG$3:$AG$1137))^4</f>
        <v/>
      </c>
      <c r="AK405">
        <f>AF405^2</f>
        <v/>
      </c>
      <c r="AL405">
        <f>IF(AD405=1,AB405,IF(AL404&lt;&gt;"",AL404,""))</f>
        <v/>
      </c>
      <c r="AM405">
        <f>IF(AND(AD405=1,AL404&lt;&gt;""),ABS(AB405-AL404),"")</f>
        <v/>
      </c>
    </row>
    <row r="406">
      <c r="A406" t="n">
        <v>1776905102</v>
      </c>
      <c r="B406" t="inlineStr">
        <is>
          <t>XAUUSD</t>
        </is>
      </c>
      <c r="C406" t="inlineStr">
        <is>
          <t>M15</t>
        </is>
      </c>
      <c r="D406" t="n">
        <v>4748.05</v>
      </c>
      <c r="E406" t="n">
        <v>4518.59282</v>
      </c>
      <c r="F406" t="n">
        <v>4596.05595</v>
      </c>
      <c r="G406" t="n">
        <v>4755.40355</v>
      </c>
      <c r="H406" t="n">
        <v>4792.76972</v>
      </c>
      <c r="Q406" t="n">
        <v>4709.52568</v>
      </c>
      <c r="R406" t="n">
        <v>4738.88898</v>
      </c>
      <c r="S406" t="n">
        <v>4765.47775</v>
      </c>
      <c r="V406" t="n">
        <v>4674.58591</v>
      </c>
      <c r="W406" t="n">
        <v>4641.02091</v>
      </c>
      <c r="Z406" t="n">
        <v>4753.33</v>
      </c>
      <c r="AB406" t="n">
        <v>4738.03398</v>
      </c>
      <c r="AC406" t="n">
        <v>4735.68019</v>
      </c>
      <c r="AD406" t="n">
        <v>0</v>
      </c>
      <c r="AE406">
        <f>AE405+1</f>
        <v/>
      </c>
      <c r="AF406">
        <f>AF405+1</f>
        <v/>
      </c>
      <c r="AG406">
        <f>D406-Q406</f>
        <v/>
      </c>
      <c r="AH406">
        <f>AG406^2</f>
        <v/>
      </c>
      <c r="AI406">
        <f>(AG406/STDEV($AG$3:$AG$1137))^3</f>
        <v/>
      </c>
      <c r="AJ406">
        <f>(AG406/STDEV($AG$3:$AG$1137))^4</f>
        <v/>
      </c>
      <c r="AK406">
        <f>AF406^2</f>
        <v/>
      </c>
      <c r="AL406">
        <f>IF(AD406=1,AB406,IF(AL405&lt;&gt;"",AL405,""))</f>
        <v/>
      </c>
      <c r="AM406">
        <f>IF(AND(AD406=1,AL405&lt;&gt;""),ABS(AB406-AL405),"")</f>
        <v/>
      </c>
    </row>
    <row r="407">
      <c r="A407" t="n">
        <v>1776906002</v>
      </c>
      <c r="B407" t="inlineStr">
        <is>
          <t>XAUUSD</t>
        </is>
      </c>
      <c r="C407" t="inlineStr">
        <is>
          <t>M15</t>
        </is>
      </c>
      <c r="D407" t="n">
        <v>4737</v>
      </c>
      <c r="E407" t="n">
        <v>4518.59282</v>
      </c>
      <c r="F407" t="n">
        <v>4596.05595</v>
      </c>
      <c r="G407" t="n">
        <v>4755.40355</v>
      </c>
      <c r="H407" t="n">
        <v>4792.76972</v>
      </c>
      <c r="Q407" t="n">
        <v>4709.25807</v>
      </c>
      <c r="R407" t="n">
        <v>4738.62137</v>
      </c>
      <c r="S407" t="n">
        <v>4765.21014</v>
      </c>
      <c r="V407" t="n">
        <v>4674.3183</v>
      </c>
      <c r="W407" t="n">
        <v>4640.75331</v>
      </c>
      <c r="AB407" t="n">
        <v>4737.12096</v>
      </c>
      <c r="AC407" t="n">
        <v>4736.40058</v>
      </c>
      <c r="AD407" t="n">
        <v>0</v>
      </c>
      <c r="AE407">
        <f>AE406+1</f>
        <v/>
      </c>
      <c r="AF407">
        <f>AF406+1</f>
        <v/>
      </c>
      <c r="AG407">
        <f>D407-Q407</f>
        <v/>
      </c>
      <c r="AH407">
        <f>AG407^2</f>
        <v/>
      </c>
      <c r="AI407">
        <f>(AG407/STDEV($AG$3:$AG$1137))^3</f>
        <v/>
      </c>
      <c r="AJ407">
        <f>(AG407/STDEV($AG$3:$AG$1137))^4</f>
        <v/>
      </c>
      <c r="AK407">
        <f>AF407^2</f>
        <v/>
      </c>
      <c r="AL407">
        <f>IF(AD407=1,AB407,IF(AL406&lt;&gt;"",AL406,""))</f>
        <v/>
      </c>
      <c r="AM407">
        <f>IF(AND(AD407=1,AL406&lt;&gt;""),ABS(AB407-AL406),"")</f>
        <v/>
      </c>
    </row>
    <row r="408">
      <c r="A408" t="n">
        <v>1776906902</v>
      </c>
      <c r="B408" t="inlineStr">
        <is>
          <t>XAUUSD</t>
        </is>
      </c>
      <c r="C408" t="inlineStr">
        <is>
          <t>M15</t>
        </is>
      </c>
      <c r="D408" t="n">
        <v>4728.26</v>
      </c>
      <c r="E408" t="n">
        <v>4518.59282</v>
      </c>
      <c r="F408" t="n">
        <v>4596.05595</v>
      </c>
      <c r="G408" t="n">
        <v>4755.40355</v>
      </c>
      <c r="H408" t="n">
        <v>4792.76972</v>
      </c>
      <c r="Q408" t="n">
        <v>4708.99047</v>
      </c>
      <c r="R408" t="n">
        <v>4738.35377</v>
      </c>
      <c r="S408" t="n">
        <v>4764.94254</v>
      </c>
      <c r="V408" t="n">
        <v>4674.0507</v>
      </c>
      <c r="W408" t="n">
        <v>4640.4857</v>
      </c>
      <c r="AB408" t="n">
        <v>4733.97211</v>
      </c>
      <c r="AC408" t="n">
        <v>4735.18634</v>
      </c>
      <c r="AD408" t="n">
        <v>1</v>
      </c>
      <c r="AE408">
        <f>AE407+1</f>
        <v/>
      </c>
      <c r="AF408">
        <f>AF407+1</f>
        <v/>
      </c>
      <c r="AG408">
        <f>D408-Q408</f>
        <v/>
      </c>
      <c r="AH408">
        <f>AG408^2</f>
        <v/>
      </c>
      <c r="AI408">
        <f>(AG408/STDEV($AG$3:$AG$1137))^3</f>
        <v/>
      </c>
      <c r="AJ408">
        <f>(AG408/STDEV($AG$3:$AG$1137))^4</f>
        <v/>
      </c>
      <c r="AK408">
        <f>AF408^2</f>
        <v/>
      </c>
      <c r="AL408">
        <f>IF(AD408=1,AB408,IF(AL407&lt;&gt;"",AL407,""))</f>
        <v/>
      </c>
      <c r="AM408">
        <f>IF(AND(AD408=1,AL407&lt;&gt;""),ABS(AB408-AL407),"")</f>
        <v/>
      </c>
    </row>
    <row r="409">
      <c r="A409" t="n">
        <v>1776907802</v>
      </c>
      <c r="B409" t="inlineStr">
        <is>
          <t>XAUUSD</t>
        </is>
      </c>
      <c r="C409" t="inlineStr">
        <is>
          <t>M15</t>
        </is>
      </c>
      <c r="D409" t="n">
        <v>4733.91</v>
      </c>
      <c r="E409" t="n">
        <v>4518.59282</v>
      </c>
      <c r="F409" t="n">
        <v>4596.05595</v>
      </c>
      <c r="G409" t="n">
        <v>4755.40355</v>
      </c>
      <c r="H409" t="n">
        <v>4792.76972</v>
      </c>
      <c r="Q409" t="n">
        <v>4708.72287</v>
      </c>
      <c r="R409" t="n">
        <v>4738.08617</v>
      </c>
      <c r="S409" t="n">
        <v>4764.67494</v>
      </c>
      <c r="V409" t="n">
        <v>4673.7831</v>
      </c>
      <c r="W409" t="n">
        <v>4640.2181</v>
      </c>
      <c r="AB409" t="n">
        <v>4729.06024</v>
      </c>
      <c r="AC409" t="n">
        <v>4732.12329</v>
      </c>
      <c r="AD409" t="n">
        <v>0</v>
      </c>
      <c r="AE409">
        <f>AE408+1</f>
        <v/>
      </c>
      <c r="AF409">
        <f>AF408+1</f>
        <v/>
      </c>
      <c r="AG409">
        <f>D409-Q409</f>
        <v/>
      </c>
      <c r="AH409">
        <f>AG409^2</f>
        <v/>
      </c>
      <c r="AI409">
        <f>(AG409/STDEV($AG$3:$AG$1137))^3</f>
        <v/>
      </c>
      <c r="AJ409">
        <f>(AG409/STDEV($AG$3:$AG$1137))^4</f>
        <v/>
      </c>
      <c r="AK409">
        <f>AF409^2</f>
        <v/>
      </c>
      <c r="AL409">
        <f>IF(AD409=1,AB409,IF(AL408&lt;&gt;"",AL408,""))</f>
        <v/>
      </c>
      <c r="AM409">
        <f>IF(AND(AD409=1,AL408&lt;&gt;""),ABS(AB409-AL408),"")</f>
        <v/>
      </c>
    </row>
    <row r="410">
      <c r="A410" t="n">
        <v>1776908702</v>
      </c>
      <c r="B410" t="inlineStr">
        <is>
          <t>XAUUSD</t>
        </is>
      </c>
      <c r="C410" t="inlineStr">
        <is>
          <t>M15</t>
        </is>
      </c>
      <c r="D410" t="n">
        <v>4723.33</v>
      </c>
      <c r="E410" t="n">
        <v>4518.59282</v>
      </c>
      <c r="F410" t="n">
        <v>4596.05595</v>
      </c>
      <c r="G410" t="n">
        <v>4755.40355</v>
      </c>
      <c r="H410" t="n">
        <v>4792.76972</v>
      </c>
      <c r="Q410" t="n">
        <v>4708.45526</v>
      </c>
      <c r="R410" t="n">
        <v>4737.81856</v>
      </c>
      <c r="S410" t="n">
        <v>4764.40733</v>
      </c>
      <c r="V410" t="n">
        <v>4673.51549</v>
      </c>
      <c r="W410" t="n">
        <v>4639.9505</v>
      </c>
      <c r="AB410" t="n">
        <v>4722.74552</v>
      </c>
      <c r="AC410" t="n">
        <v>4727.43441</v>
      </c>
      <c r="AD410" t="n">
        <v>0</v>
      </c>
      <c r="AE410">
        <f>AE409+1</f>
        <v/>
      </c>
      <c r="AF410">
        <f>AF409+1</f>
        <v/>
      </c>
      <c r="AG410">
        <f>D410-Q410</f>
        <v/>
      </c>
      <c r="AH410">
        <f>AG410^2</f>
        <v/>
      </c>
      <c r="AI410">
        <f>(AG410/STDEV($AG$3:$AG$1137))^3</f>
        <v/>
      </c>
      <c r="AJ410">
        <f>(AG410/STDEV($AG$3:$AG$1137))^4</f>
        <v/>
      </c>
      <c r="AK410">
        <f>AF410^2</f>
        <v/>
      </c>
      <c r="AL410">
        <f>IF(AD410=1,AB410,IF(AL409&lt;&gt;"",AL409,""))</f>
        <v/>
      </c>
      <c r="AM410">
        <f>IF(AND(AD410=1,AL409&lt;&gt;""),ABS(AB410-AL409),"")</f>
        <v/>
      </c>
    </row>
    <row r="411">
      <c r="A411" t="n">
        <v>1776909602</v>
      </c>
      <c r="B411" t="inlineStr">
        <is>
          <t>XAUUSD</t>
        </is>
      </c>
      <c r="C411" t="inlineStr">
        <is>
          <t>M15</t>
        </is>
      </c>
      <c r="D411" t="n">
        <v>4707.19</v>
      </c>
      <c r="E411" t="n">
        <v>4518.59282</v>
      </c>
      <c r="F411" t="n">
        <v>4596.05595</v>
      </c>
      <c r="G411" t="n">
        <v>4755.40355</v>
      </c>
      <c r="H411" t="n">
        <v>4792.76972</v>
      </c>
      <c r="Q411" t="n">
        <v>4708.18766</v>
      </c>
      <c r="R411" t="n">
        <v>4737.55096</v>
      </c>
      <c r="S411" t="n">
        <v>4764.13973</v>
      </c>
      <c r="V411" t="n">
        <v>4673.24789</v>
      </c>
      <c r="W411" t="n">
        <v>4639.68289</v>
      </c>
      <c r="AB411" t="n">
        <v>4716.00944</v>
      </c>
      <c r="AC411" t="n">
        <v>4721.72192</v>
      </c>
      <c r="AD411" t="n">
        <v>0</v>
      </c>
      <c r="AE411">
        <f>AE410+1</f>
        <v/>
      </c>
      <c r="AF411">
        <f>AF410+1</f>
        <v/>
      </c>
      <c r="AG411">
        <f>D411-Q411</f>
        <v/>
      </c>
      <c r="AH411">
        <f>AG411^2</f>
        <v/>
      </c>
      <c r="AI411">
        <f>(AG411/STDEV($AG$3:$AG$1137))^3</f>
        <v/>
      </c>
      <c r="AJ411">
        <f>(AG411/STDEV($AG$3:$AG$1137))^4</f>
        <v/>
      </c>
      <c r="AK411">
        <f>AF411^2</f>
        <v/>
      </c>
      <c r="AL411">
        <f>IF(AD411=1,AB411,IF(AL410&lt;&gt;"",AL410,""))</f>
        <v/>
      </c>
      <c r="AM411">
        <f>IF(AND(AD411=1,AL410&lt;&gt;""),ABS(AB411-AL410),"")</f>
        <v/>
      </c>
    </row>
    <row r="412">
      <c r="A412" t="n">
        <v>1776910502</v>
      </c>
      <c r="B412" t="inlineStr">
        <is>
          <t>XAUUSD</t>
        </is>
      </c>
      <c r="C412" t="inlineStr">
        <is>
          <t>M15</t>
        </is>
      </c>
      <c r="D412" t="n">
        <v>4714.1</v>
      </c>
      <c r="E412" t="n">
        <v>4518.59282</v>
      </c>
      <c r="F412" t="n">
        <v>4596.05595</v>
      </c>
      <c r="G412" t="n">
        <v>4755.40355</v>
      </c>
      <c r="H412" t="n">
        <v>4792.76972</v>
      </c>
      <c r="Q412" t="n">
        <v>4707.92005</v>
      </c>
      <c r="R412" t="n">
        <v>4737.28335</v>
      </c>
      <c r="S412" t="n">
        <v>4763.87212</v>
      </c>
      <c r="V412" t="n">
        <v>4672.98028</v>
      </c>
      <c r="W412" t="n">
        <v>4639.41529</v>
      </c>
      <c r="AB412" t="n">
        <v>4710.01029</v>
      </c>
      <c r="AC412" t="n">
        <v>4715.8661</v>
      </c>
      <c r="AD412" t="n">
        <v>0</v>
      </c>
      <c r="AE412">
        <f>AE411+1</f>
        <v/>
      </c>
      <c r="AF412">
        <f>AF411+1</f>
        <v/>
      </c>
      <c r="AG412">
        <f>D412-Q412</f>
        <v/>
      </c>
      <c r="AH412">
        <f>AG412^2</f>
        <v/>
      </c>
      <c r="AI412">
        <f>(AG412/STDEV($AG$3:$AG$1137))^3</f>
        <v/>
      </c>
      <c r="AJ412">
        <f>(AG412/STDEV($AG$3:$AG$1137))^4</f>
        <v/>
      </c>
      <c r="AK412">
        <f>AF412^2</f>
        <v/>
      </c>
      <c r="AL412">
        <f>IF(AD412=1,AB412,IF(AL411&lt;&gt;"",AL411,""))</f>
        <v/>
      </c>
      <c r="AM412">
        <f>IF(AND(AD412=1,AL411&lt;&gt;""),ABS(AB412-AL411),"")</f>
        <v/>
      </c>
    </row>
    <row r="413">
      <c r="A413" t="n">
        <v>1776911402</v>
      </c>
      <c r="B413" t="inlineStr">
        <is>
          <t>XAUUSD</t>
        </is>
      </c>
      <c r="C413" t="inlineStr">
        <is>
          <t>M15</t>
        </is>
      </c>
      <c r="D413" t="n">
        <v>4701.42</v>
      </c>
      <c r="E413" t="n">
        <v>4518.59282</v>
      </c>
      <c r="F413" t="n">
        <v>4596.05595</v>
      </c>
      <c r="G413" t="n">
        <v>4755.40355</v>
      </c>
      <c r="H413" t="n">
        <v>4792.76972</v>
      </c>
      <c r="Q413" t="n">
        <v>4707.65245</v>
      </c>
      <c r="R413" t="n">
        <v>4737.01575</v>
      </c>
      <c r="S413" t="n">
        <v>4763.60452</v>
      </c>
      <c r="V413" t="n">
        <v>4672.71268</v>
      </c>
      <c r="W413" t="n">
        <v>4639.14768</v>
      </c>
      <c r="AB413" t="n">
        <v>4705.12454</v>
      </c>
      <c r="AC413" t="n">
        <v>4710.49532</v>
      </c>
      <c r="AD413" t="n">
        <v>0</v>
      </c>
      <c r="AE413">
        <f>AE412+1</f>
        <v/>
      </c>
      <c r="AF413">
        <f>AF412+1</f>
        <v/>
      </c>
      <c r="AG413">
        <f>D413-Q413</f>
        <v/>
      </c>
      <c r="AH413">
        <f>AG413^2</f>
        <v/>
      </c>
      <c r="AI413">
        <f>(AG413/STDEV($AG$3:$AG$1137))^3</f>
        <v/>
      </c>
      <c r="AJ413">
        <f>(AG413/STDEV($AG$3:$AG$1137))^4</f>
        <v/>
      </c>
      <c r="AK413">
        <f>AF413^2</f>
        <v/>
      </c>
      <c r="AL413">
        <f>IF(AD413=1,AB413,IF(AL412&lt;&gt;"",AL412,""))</f>
        <v/>
      </c>
      <c r="AM413">
        <f>IF(AND(AD413=1,AL412&lt;&gt;""),ABS(AB413-AL412),"")</f>
        <v/>
      </c>
    </row>
    <row r="414">
      <c r="A414" t="n">
        <v>1776912302</v>
      </c>
      <c r="B414" t="inlineStr">
        <is>
          <t>XAUUSD</t>
        </is>
      </c>
      <c r="C414" t="inlineStr">
        <is>
          <t>M15</t>
        </is>
      </c>
      <c r="D414" t="n">
        <v>4699.23</v>
      </c>
      <c r="E414" t="n">
        <v>4518.59282</v>
      </c>
      <c r="F414" t="n">
        <v>4596.05595</v>
      </c>
      <c r="G414" t="n">
        <v>4755.40355</v>
      </c>
      <c r="H414" t="n">
        <v>4792.76972</v>
      </c>
      <c r="Q414" t="n">
        <v>4707.38485</v>
      </c>
      <c r="R414" t="n">
        <v>4736.74815</v>
      </c>
      <c r="S414" t="n">
        <v>4763.33692</v>
      </c>
      <c r="V414" t="n">
        <v>4672.44508</v>
      </c>
      <c r="W414" t="n">
        <v>4638.88008</v>
      </c>
      <c r="AB414" t="n">
        <v>4702.01564</v>
      </c>
      <c r="AC414" t="n">
        <v>4706.25548</v>
      </c>
      <c r="AD414" t="n">
        <v>0</v>
      </c>
      <c r="AE414">
        <f>AE413+1</f>
        <v/>
      </c>
      <c r="AF414">
        <f>AF413+1</f>
        <v/>
      </c>
      <c r="AG414">
        <f>D414-Q414</f>
        <v/>
      </c>
      <c r="AH414">
        <f>AG414^2</f>
        <v/>
      </c>
      <c r="AI414">
        <f>(AG414/STDEV($AG$3:$AG$1137))^3</f>
        <v/>
      </c>
      <c r="AJ414">
        <f>(AG414/STDEV($AG$3:$AG$1137))^4</f>
        <v/>
      </c>
      <c r="AK414">
        <f>AF414^2</f>
        <v/>
      </c>
      <c r="AL414">
        <f>IF(AD414=1,AB414,IF(AL413&lt;&gt;"",AL413,""))</f>
        <v/>
      </c>
      <c r="AM414">
        <f>IF(AND(AD414=1,AL413&lt;&gt;""),ABS(AB414-AL413),"")</f>
        <v/>
      </c>
    </row>
    <row r="415">
      <c r="A415" t="n">
        <v>1776913202</v>
      </c>
      <c r="B415" t="inlineStr">
        <is>
          <t>XAUUSD</t>
        </is>
      </c>
      <c r="C415" t="inlineStr">
        <is>
          <t>M15</t>
        </is>
      </c>
      <c r="D415" t="n">
        <v>4702.06</v>
      </c>
      <c r="E415" t="n">
        <v>4518.59282</v>
      </c>
      <c r="F415" t="n">
        <v>4596.05595</v>
      </c>
      <c r="G415" t="n">
        <v>4755.40355</v>
      </c>
      <c r="H415" t="n">
        <v>4792.76972</v>
      </c>
      <c r="Q415" t="n">
        <v>4707.11724</v>
      </c>
      <c r="R415" t="n">
        <v>4736.48054</v>
      </c>
      <c r="S415" t="n">
        <v>4763.06931</v>
      </c>
      <c r="V415" t="n">
        <v>4672.17747</v>
      </c>
      <c r="W415" t="n">
        <v>4638.61248</v>
      </c>
      <c r="AB415" t="n">
        <v>4700.73951</v>
      </c>
      <c r="AC415" t="n">
        <v>4703.4975</v>
      </c>
      <c r="AD415" t="n">
        <v>0</v>
      </c>
      <c r="AE415">
        <f>AE414+1</f>
        <v/>
      </c>
      <c r="AF415">
        <f>AF414+1</f>
        <v/>
      </c>
      <c r="AG415">
        <f>D415-Q415</f>
        <v/>
      </c>
      <c r="AH415">
        <f>AG415^2</f>
        <v/>
      </c>
      <c r="AI415">
        <f>(AG415/STDEV($AG$3:$AG$1137))^3</f>
        <v/>
      </c>
      <c r="AJ415">
        <f>(AG415/STDEV($AG$3:$AG$1137))^4</f>
        <v/>
      </c>
      <c r="AK415">
        <f>AF415^2</f>
        <v/>
      </c>
      <c r="AL415">
        <f>IF(AD415=1,AB415,IF(AL414&lt;&gt;"",AL414,""))</f>
        <v/>
      </c>
      <c r="AM415">
        <f>IF(AND(AD415=1,AL414&lt;&gt;""),ABS(AB415-AL414),"")</f>
        <v/>
      </c>
    </row>
    <row r="416">
      <c r="A416" t="n">
        <v>1776914102</v>
      </c>
      <c r="B416" t="inlineStr">
        <is>
          <t>XAUUSD</t>
        </is>
      </c>
      <c r="C416" t="inlineStr">
        <is>
          <t>M15</t>
        </is>
      </c>
      <c r="D416" t="n">
        <v>4703.22</v>
      </c>
      <c r="E416" t="n">
        <v>4518.59282</v>
      </c>
      <c r="F416" t="n">
        <v>4596.05595</v>
      </c>
      <c r="G416" t="n">
        <v>4755.40355</v>
      </c>
      <c r="H416" t="n">
        <v>4792.76972</v>
      </c>
      <c r="Q416" t="n">
        <v>4706.84964</v>
      </c>
      <c r="R416" t="n">
        <v>4736.21294</v>
      </c>
      <c r="S416" t="n">
        <v>4762.80171</v>
      </c>
      <c r="V416" t="n">
        <v>4671.90987</v>
      </c>
      <c r="W416" t="n">
        <v>4638.34487</v>
      </c>
      <c r="AB416" t="n">
        <v>4700.88109</v>
      </c>
      <c r="AC416" t="n">
        <v>4702.18929</v>
      </c>
      <c r="AD416" t="n">
        <v>0</v>
      </c>
      <c r="AE416">
        <f>AE415+1</f>
        <v/>
      </c>
      <c r="AF416">
        <f>AF415+1</f>
        <v/>
      </c>
      <c r="AG416">
        <f>D416-Q416</f>
        <v/>
      </c>
      <c r="AH416">
        <f>AG416^2</f>
        <v/>
      </c>
      <c r="AI416">
        <f>(AG416/STDEV($AG$3:$AG$1137))^3</f>
        <v/>
      </c>
      <c r="AJ416">
        <f>(AG416/STDEV($AG$3:$AG$1137))^4</f>
        <v/>
      </c>
      <c r="AK416">
        <f>AF416^2</f>
        <v/>
      </c>
      <c r="AL416">
        <f>IF(AD416=1,AB416,IF(AL415&lt;&gt;"",AL415,""))</f>
        <v/>
      </c>
      <c r="AM416">
        <f>IF(AND(AD416=1,AL415&lt;&gt;""),ABS(AB416-AL415),"")</f>
        <v/>
      </c>
    </row>
    <row r="417">
      <c r="A417" t="n">
        <v>1776915002</v>
      </c>
      <c r="B417" t="inlineStr">
        <is>
          <t>XAUUSD</t>
        </is>
      </c>
      <c r="C417" t="inlineStr">
        <is>
          <t>M15</t>
        </is>
      </c>
      <c r="D417" t="n">
        <v>4704.99</v>
      </c>
      <c r="E417" t="n">
        <v>4518.59282</v>
      </c>
      <c r="F417" t="n">
        <v>4596.05595</v>
      </c>
      <c r="G417" t="n">
        <v>4755.40355</v>
      </c>
      <c r="H417" t="n">
        <v>4792.76972</v>
      </c>
      <c r="Q417" t="n">
        <v>4706.58203</v>
      </c>
      <c r="R417" t="n">
        <v>4735.94533</v>
      </c>
      <c r="S417" t="n">
        <v>4762.5341</v>
      </c>
      <c r="V417" t="n">
        <v>4671.64226</v>
      </c>
      <c r="W417" t="n">
        <v>4638.07727</v>
      </c>
      <c r="AB417" t="n">
        <v>4701.90823</v>
      </c>
      <c r="AC417" t="n">
        <v>4702.04876</v>
      </c>
      <c r="AD417" t="n">
        <v>0</v>
      </c>
      <c r="AE417">
        <f>AE416+1</f>
        <v/>
      </c>
      <c r="AF417">
        <f>AF416+1</f>
        <v/>
      </c>
      <c r="AG417">
        <f>D417-Q417</f>
        <v/>
      </c>
      <c r="AH417">
        <f>AG417^2</f>
        <v/>
      </c>
      <c r="AI417">
        <f>(AG417/STDEV($AG$3:$AG$1137))^3</f>
        <v/>
      </c>
      <c r="AJ417">
        <f>(AG417/STDEV($AG$3:$AG$1137))^4</f>
        <v/>
      </c>
      <c r="AK417">
        <f>AF417^2</f>
        <v/>
      </c>
      <c r="AL417">
        <f>IF(AD417=1,AB417,IF(AL416&lt;&gt;"",AL416,""))</f>
        <v/>
      </c>
      <c r="AM417">
        <f>IF(AND(AD417=1,AL416&lt;&gt;""),ABS(AB417-AL416),"")</f>
        <v/>
      </c>
    </row>
    <row r="418">
      <c r="A418" t="n">
        <v>1776915902</v>
      </c>
      <c r="B418" t="inlineStr">
        <is>
          <t>XAUUSD</t>
        </is>
      </c>
      <c r="C418" t="inlineStr">
        <is>
          <t>M15</t>
        </is>
      </c>
      <c r="D418" t="n">
        <v>4704.1</v>
      </c>
      <c r="E418" t="n">
        <v>4518.59282</v>
      </c>
      <c r="F418" t="n">
        <v>4596.05595</v>
      </c>
      <c r="G418" t="n">
        <v>4755.40355</v>
      </c>
      <c r="H418" t="n">
        <v>4792.76972</v>
      </c>
      <c r="Q418" t="n">
        <v>4706.31443</v>
      </c>
      <c r="R418" t="n">
        <v>4735.67773</v>
      </c>
      <c r="S418" t="n">
        <v>4762.2665</v>
      </c>
      <c r="V418" t="n">
        <v>4671.37466</v>
      </c>
      <c r="W418" t="n">
        <v>4637.80966</v>
      </c>
      <c r="AB418" t="n">
        <v>4703.26299</v>
      </c>
      <c r="AC418" t="n">
        <v>4702.65587</v>
      </c>
      <c r="AD418" t="n">
        <v>1</v>
      </c>
      <c r="AE418">
        <f>AE417+1</f>
        <v/>
      </c>
      <c r="AF418">
        <f>AF417+1</f>
        <v/>
      </c>
      <c r="AG418">
        <f>D418-Q418</f>
        <v/>
      </c>
      <c r="AH418">
        <f>AG418^2</f>
        <v/>
      </c>
      <c r="AI418">
        <f>(AG418/STDEV($AG$3:$AG$1137))^3</f>
        <v/>
      </c>
      <c r="AJ418">
        <f>(AG418/STDEV($AG$3:$AG$1137))^4</f>
        <v/>
      </c>
      <c r="AK418">
        <f>AF418^2</f>
        <v/>
      </c>
      <c r="AL418">
        <f>IF(AD418=1,AB418,IF(AL417&lt;&gt;"",AL417,""))</f>
        <v/>
      </c>
      <c r="AM418">
        <f>IF(AND(AD418=1,AL417&lt;&gt;""),ABS(AB418-AL417),"")</f>
        <v/>
      </c>
    </row>
    <row r="419">
      <c r="A419" t="n">
        <v>1776916802</v>
      </c>
      <c r="B419" t="inlineStr">
        <is>
          <t>XAUUSD</t>
        </is>
      </c>
      <c r="C419" t="inlineStr">
        <is>
          <t>M15</t>
        </is>
      </c>
      <c r="D419" t="n">
        <v>4706.25</v>
      </c>
      <c r="E419" t="n">
        <v>4518.59282</v>
      </c>
      <c r="F419" t="n">
        <v>4596.05595</v>
      </c>
      <c r="G419" t="n">
        <v>4755.40355</v>
      </c>
      <c r="H419" t="n">
        <v>4792.76972</v>
      </c>
      <c r="Q419" t="n">
        <v>4706.04683</v>
      </c>
      <c r="R419" t="n">
        <v>4735.41012</v>
      </c>
      <c r="S419" t="n">
        <v>4761.9989</v>
      </c>
      <c r="V419" t="n">
        <v>4671.10706</v>
      </c>
      <c r="W419" t="n">
        <v>4637.54206</v>
      </c>
      <c r="AB419" t="n">
        <v>4704.53773</v>
      </c>
      <c r="AC419" t="n">
        <v>4703.5968</v>
      </c>
      <c r="AD419" t="n">
        <v>0</v>
      </c>
      <c r="AE419">
        <f>AE418+1</f>
        <v/>
      </c>
      <c r="AF419">
        <f>AF418+1</f>
        <v/>
      </c>
      <c r="AG419">
        <f>D419-Q419</f>
        <v/>
      </c>
      <c r="AH419">
        <f>AG419^2</f>
        <v/>
      </c>
      <c r="AI419">
        <f>(AG419/STDEV($AG$3:$AG$1137))^3</f>
        <v/>
      </c>
      <c r="AJ419">
        <f>(AG419/STDEV($AG$3:$AG$1137))^4</f>
        <v/>
      </c>
      <c r="AK419">
        <f>AF419^2</f>
        <v/>
      </c>
      <c r="AL419">
        <f>IF(AD419=1,AB419,IF(AL418&lt;&gt;"",AL418,""))</f>
        <v/>
      </c>
      <c r="AM419">
        <f>IF(AND(AD419=1,AL418&lt;&gt;""),ABS(AB419-AL418),"")</f>
        <v/>
      </c>
    </row>
    <row r="420">
      <c r="A420" t="n">
        <v>1776917702</v>
      </c>
      <c r="B420" t="inlineStr">
        <is>
          <t>XAUUSD</t>
        </is>
      </c>
      <c r="C420" t="inlineStr">
        <is>
          <t>M15</t>
        </is>
      </c>
      <c r="D420" t="n">
        <v>4705.73</v>
      </c>
      <c r="E420" t="n">
        <v>4518.59282</v>
      </c>
      <c r="F420" t="n">
        <v>4596.05595</v>
      </c>
      <c r="G420" t="n">
        <v>4755.40355</v>
      </c>
      <c r="H420" t="n">
        <v>4792.76972</v>
      </c>
      <c r="Q420" t="n">
        <v>4705.77922</v>
      </c>
      <c r="R420" t="n">
        <v>4735.14252</v>
      </c>
      <c r="S420" t="n">
        <v>4761.73129</v>
      </c>
      <c r="V420" t="n">
        <v>4670.83945</v>
      </c>
      <c r="W420" t="n">
        <v>4637.27446</v>
      </c>
      <c r="AB420" t="n">
        <v>4705.42947</v>
      </c>
      <c r="AC420" t="n">
        <v>4704.51314</v>
      </c>
      <c r="AD420" t="n">
        <v>0</v>
      </c>
      <c r="AE420">
        <f>AE419+1</f>
        <v/>
      </c>
      <c r="AF420">
        <f>AF419+1</f>
        <v/>
      </c>
      <c r="AG420">
        <f>D420-Q420</f>
        <v/>
      </c>
      <c r="AH420">
        <f>AG420^2</f>
        <v/>
      </c>
      <c r="AI420">
        <f>(AG420/STDEV($AG$3:$AG$1137))^3</f>
        <v/>
      </c>
      <c r="AJ420">
        <f>(AG420/STDEV($AG$3:$AG$1137))^4</f>
        <v/>
      </c>
      <c r="AK420">
        <f>AF420^2</f>
        <v/>
      </c>
      <c r="AL420">
        <f>IF(AD420=1,AB420,IF(AL419&lt;&gt;"",AL419,""))</f>
        <v/>
      </c>
      <c r="AM420">
        <f>IF(AND(AD420=1,AL419&lt;&gt;""),ABS(AB420-AL419),"")</f>
        <v/>
      </c>
    </row>
    <row r="421">
      <c r="A421" t="n">
        <v>1776918602</v>
      </c>
      <c r="B421" t="inlineStr">
        <is>
          <t>XAUUSD</t>
        </is>
      </c>
      <c r="C421" t="inlineStr">
        <is>
          <t>M15</t>
        </is>
      </c>
      <c r="D421" t="n">
        <v>4701.88</v>
      </c>
      <c r="E421" t="n">
        <v>4518.59282</v>
      </c>
      <c r="F421" t="n">
        <v>4596.05595</v>
      </c>
      <c r="G421" t="n">
        <v>4755.40355</v>
      </c>
      <c r="H421" t="n">
        <v>4792.76972</v>
      </c>
      <c r="Q421" t="n">
        <v>4705.51162</v>
      </c>
      <c r="R421" t="n">
        <v>4734.87492</v>
      </c>
      <c r="S421" t="n">
        <v>4761.46369</v>
      </c>
      <c r="V421" t="n">
        <v>4670.57185</v>
      </c>
      <c r="W421" t="n">
        <v>4637.00685</v>
      </c>
      <c r="AB421" t="n">
        <v>4705.88832</v>
      </c>
      <c r="AC421" t="n">
        <v>4705.20073</v>
      </c>
      <c r="AD421" t="n">
        <v>0</v>
      </c>
      <c r="AE421">
        <f>AE420+1</f>
        <v/>
      </c>
      <c r="AF421">
        <f>AF420+1</f>
        <v/>
      </c>
      <c r="AG421">
        <f>D421-Q421</f>
        <v/>
      </c>
      <c r="AH421">
        <f>AG421^2</f>
        <v/>
      </c>
      <c r="AI421">
        <f>(AG421/STDEV($AG$3:$AG$1137))^3</f>
        <v/>
      </c>
      <c r="AJ421">
        <f>(AG421/STDEV($AG$3:$AG$1137))^4</f>
        <v/>
      </c>
      <c r="AK421">
        <f>AF421^2</f>
        <v/>
      </c>
      <c r="AL421">
        <f>IF(AD421=1,AB421,IF(AL420&lt;&gt;"",AL420,""))</f>
        <v/>
      </c>
      <c r="AM421">
        <f>IF(AND(AD421=1,AL420&lt;&gt;""),ABS(AB421-AL420),"")</f>
        <v/>
      </c>
    </row>
    <row r="422">
      <c r="A422" t="n">
        <v>1776919502</v>
      </c>
      <c r="B422" t="inlineStr">
        <is>
          <t>XAUUSD</t>
        </is>
      </c>
      <c r="C422" t="inlineStr">
        <is>
          <t>M15</t>
        </is>
      </c>
      <c r="D422" t="n">
        <v>4704.35</v>
      </c>
      <c r="E422" t="n">
        <v>4518.59282</v>
      </c>
      <c r="F422" t="n">
        <v>4596.05595</v>
      </c>
      <c r="G422" t="n">
        <v>4755.40355</v>
      </c>
      <c r="H422" t="n">
        <v>4792.76972</v>
      </c>
      <c r="Q422" t="n">
        <v>4705.24401</v>
      </c>
      <c r="R422" t="n">
        <v>4734.60731</v>
      </c>
      <c r="S422" t="n">
        <v>4761.19608</v>
      </c>
      <c r="V422" t="n">
        <v>4670.30424</v>
      </c>
      <c r="W422" t="n">
        <v>4636.73925</v>
      </c>
      <c r="AB422" t="n">
        <v>4706.15433</v>
      </c>
      <c r="AC422" t="n">
        <v>4705.67753</v>
      </c>
      <c r="AD422" t="n">
        <v>0</v>
      </c>
      <c r="AE422">
        <f>AE421+1</f>
        <v/>
      </c>
      <c r="AF422">
        <f>AF421+1</f>
        <v/>
      </c>
      <c r="AG422">
        <f>D422-Q422</f>
        <v/>
      </c>
      <c r="AH422">
        <f>AG422^2</f>
        <v/>
      </c>
      <c r="AI422">
        <f>(AG422/STDEV($AG$3:$AG$1137))^3</f>
        <v/>
      </c>
      <c r="AJ422">
        <f>(AG422/STDEV($AG$3:$AG$1137))^4</f>
        <v/>
      </c>
      <c r="AK422">
        <f>AF422^2</f>
        <v/>
      </c>
      <c r="AL422">
        <f>IF(AD422=1,AB422,IF(AL421&lt;&gt;"",AL421,""))</f>
        <v/>
      </c>
      <c r="AM422">
        <f>IF(AND(AD422=1,AL421&lt;&gt;""),ABS(AB422-AL421),"")</f>
        <v/>
      </c>
    </row>
    <row r="423">
      <c r="A423" t="n">
        <v>1776920402</v>
      </c>
      <c r="B423" t="inlineStr">
        <is>
          <t>XAUUSD</t>
        </is>
      </c>
      <c r="C423" t="inlineStr">
        <is>
          <t>M15</t>
        </is>
      </c>
      <c r="D423" t="n">
        <v>4707.71</v>
      </c>
      <c r="E423" t="n">
        <v>4518.59282</v>
      </c>
      <c r="F423" t="n">
        <v>4596.05595</v>
      </c>
      <c r="G423" t="n">
        <v>4755.40355</v>
      </c>
      <c r="H423" t="n">
        <v>4792.76972</v>
      </c>
      <c r="Q423" t="n">
        <v>4704.97641</v>
      </c>
      <c r="R423" t="n">
        <v>4734.33971</v>
      </c>
      <c r="S423" t="n">
        <v>4760.92848</v>
      </c>
      <c r="V423" t="n">
        <v>4670.03664</v>
      </c>
      <c r="W423" t="n">
        <v>4636.47164</v>
      </c>
      <c r="AB423" t="n">
        <v>4706.3814</v>
      </c>
      <c r="AC423" t="n">
        <v>4706.02946</v>
      </c>
      <c r="AD423" t="n">
        <v>0</v>
      </c>
      <c r="AE423">
        <f>AE422+1</f>
        <v/>
      </c>
      <c r="AF423">
        <f>AF422+1</f>
        <v/>
      </c>
      <c r="AG423">
        <f>D423-Q423</f>
        <v/>
      </c>
      <c r="AH423">
        <f>AG423^2</f>
        <v/>
      </c>
      <c r="AI423">
        <f>(AG423/STDEV($AG$3:$AG$1137))^3</f>
        <v/>
      </c>
      <c r="AJ423">
        <f>(AG423/STDEV($AG$3:$AG$1137))^4</f>
        <v/>
      </c>
      <c r="AK423">
        <f>AF423^2</f>
        <v/>
      </c>
      <c r="AL423">
        <f>IF(AD423=1,AB423,IF(AL422&lt;&gt;"",AL422,""))</f>
        <v/>
      </c>
      <c r="AM423">
        <f>IF(AND(AD423=1,AL422&lt;&gt;""),ABS(AB423-AL422),"")</f>
        <v/>
      </c>
    </row>
    <row r="424">
      <c r="A424" t="n">
        <v>1776921302</v>
      </c>
      <c r="B424" t="inlineStr">
        <is>
          <t>XAUUSD</t>
        </is>
      </c>
      <c r="C424" t="inlineStr">
        <is>
          <t>M15</t>
        </is>
      </c>
      <c r="D424" t="n">
        <v>4705.92</v>
      </c>
      <c r="E424" t="n">
        <v>4518.59282</v>
      </c>
      <c r="F424" t="n">
        <v>4596.05595</v>
      </c>
      <c r="G424" t="n">
        <v>4755.40355</v>
      </c>
      <c r="H424" t="n">
        <v>4792.76972</v>
      </c>
      <c r="Q424" t="n">
        <v>4704.70881</v>
      </c>
      <c r="R424" t="n">
        <v>4734.0721</v>
      </c>
      <c r="S424" t="n">
        <v>4760.66088</v>
      </c>
      <c r="V424" t="n">
        <v>4669.76904</v>
      </c>
      <c r="W424" t="n">
        <v>4636.20404</v>
      </c>
      <c r="AB424" t="n">
        <v>4706.70367</v>
      </c>
      <c r="AC424" t="n">
        <v>4706.36657</v>
      </c>
      <c r="AD424" t="n">
        <v>0</v>
      </c>
      <c r="AE424">
        <f>AE423+1</f>
        <v/>
      </c>
      <c r="AF424">
        <f>AF423+1</f>
        <v/>
      </c>
      <c r="AG424">
        <f>D424-Q424</f>
        <v/>
      </c>
      <c r="AH424">
        <f>AG424^2</f>
        <v/>
      </c>
      <c r="AI424">
        <f>(AG424/STDEV($AG$3:$AG$1137))^3</f>
        <v/>
      </c>
      <c r="AJ424">
        <f>(AG424/STDEV($AG$3:$AG$1137))^4</f>
        <v/>
      </c>
      <c r="AK424">
        <f>AF424^2</f>
        <v/>
      </c>
      <c r="AL424">
        <f>IF(AD424=1,AB424,IF(AL423&lt;&gt;"",AL423,""))</f>
        <v/>
      </c>
      <c r="AM424">
        <f>IF(AND(AD424=1,AL423&lt;&gt;""),ABS(AB424-AL423),"")</f>
        <v/>
      </c>
    </row>
    <row r="425">
      <c r="A425" t="n">
        <v>1776922202</v>
      </c>
      <c r="B425" t="inlineStr">
        <is>
          <t>XAUUSD</t>
        </is>
      </c>
      <c r="C425" t="inlineStr">
        <is>
          <t>M15</t>
        </is>
      </c>
      <c r="D425" t="n">
        <v>4701.58</v>
      </c>
      <c r="E425" t="n">
        <v>4518.59282</v>
      </c>
      <c r="F425" t="n">
        <v>4596.05595</v>
      </c>
      <c r="G425" t="n">
        <v>4755.40355</v>
      </c>
      <c r="H425" t="n">
        <v>4792.76972</v>
      </c>
      <c r="Q425" t="n">
        <v>4704.4412</v>
      </c>
      <c r="R425" t="n">
        <v>4733.8045</v>
      </c>
      <c r="S425" t="n">
        <v>4760.39327</v>
      </c>
      <c r="V425" t="n">
        <v>4669.50143</v>
      </c>
      <c r="W425" t="n">
        <v>4635.93643</v>
      </c>
      <c r="AA425" t="n">
        <v>4693.06</v>
      </c>
      <c r="AB425" t="n">
        <v>4707.34591</v>
      </c>
      <c r="AC425" t="n">
        <v>4706.85624</v>
      </c>
      <c r="AD425" t="n">
        <v>0</v>
      </c>
      <c r="AE425">
        <f>AE424+1</f>
        <v/>
      </c>
      <c r="AF425">
        <f>AF424+1</f>
        <v/>
      </c>
      <c r="AG425">
        <f>D425-Q425</f>
        <v/>
      </c>
      <c r="AH425">
        <f>AG425^2</f>
        <v/>
      </c>
      <c r="AI425">
        <f>(AG425/STDEV($AG$3:$AG$1137))^3</f>
        <v/>
      </c>
      <c r="AJ425">
        <f>(AG425/STDEV($AG$3:$AG$1137))^4</f>
        <v/>
      </c>
      <c r="AK425">
        <f>AF425^2</f>
        <v/>
      </c>
      <c r="AL425">
        <f>IF(AD425=1,AB425,IF(AL424&lt;&gt;"",AL424,""))</f>
        <v/>
      </c>
      <c r="AM425">
        <f>IF(AND(AD425=1,AL424&lt;&gt;""),ABS(AB425-AL424),"")</f>
        <v/>
      </c>
    </row>
    <row r="426">
      <c r="A426" t="n">
        <v>1776923102</v>
      </c>
      <c r="B426" t="inlineStr">
        <is>
          <t>XAUUSD</t>
        </is>
      </c>
      <c r="C426" t="inlineStr">
        <is>
          <t>M15</t>
        </is>
      </c>
      <c r="D426" t="n">
        <v>4713.6</v>
      </c>
      <c r="E426" t="n">
        <v>4518.59282</v>
      </c>
      <c r="F426" t="n">
        <v>4596.05595</v>
      </c>
      <c r="G426" t="n">
        <v>4755.40355</v>
      </c>
      <c r="H426" t="n">
        <v>4792.76972</v>
      </c>
      <c r="Q426" t="n">
        <v>4704.1736</v>
      </c>
      <c r="R426" t="n">
        <v>4733.5369</v>
      </c>
      <c r="S426" t="n">
        <v>4760.12567</v>
      </c>
      <c r="V426" t="n">
        <v>4669.23383</v>
      </c>
      <c r="W426" t="n">
        <v>4635.66883</v>
      </c>
      <c r="AB426" t="n">
        <v>4708.52042</v>
      </c>
      <c r="AC426" t="n">
        <v>4707.68833</v>
      </c>
      <c r="AD426" t="n">
        <v>0</v>
      </c>
      <c r="AE426">
        <f>AE425+1</f>
        <v/>
      </c>
      <c r="AF426">
        <f>AF425+1</f>
        <v/>
      </c>
      <c r="AG426">
        <f>D426-Q426</f>
        <v/>
      </c>
      <c r="AH426">
        <f>AG426^2</f>
        <v/>
      </c>
      <c r="AI426">
        <f>(AG426/STDEV($AG$3:$AG$1137))^3</f>
        <v/>
      </c>
      <c r="AJ426">
        <f>(AG426/STDEV($AG$3:$AG$1137))^4</f>
        <v/>
      </c>
      <c r="AK426">
        <f>AF426^2</f>
        <v/>
      </c>
      <c r="AL426">
        <f>IF(AD426=1,AB426,IF(AL425&lt;&gt;"",AL425,""))</f>
        <v/>
      </c>
      <c r="AM426">
        <f>IF(AND(AD426=1,AL425&lt;&gt;""),ABS(AB426-AL425),"")</f>
        <v/>
      </c>
    </row>
    <row r="427">
      <c r="A427" t="n">
        <v>1776924002</v>
      </c>
      <c r="B427" t="inlineStr">
        <is>
          <t>XAUUSD</t>
        </is>
      </c>
      <c r="C427" t="inlineStr">
        <is>
          <t>M15</t>
        </is>
      </c>
      <c r="D427" t="n">
        <v>4711.99</v>
      </c>
      <c r="E427" t="n">
        <v>4518.59282</v>
      </c>
      <c r="F427" t="n">
        <v>4596.05595</v>
      </c>
      <c r="G427" t="n">
        <v>4755.40355</v>
      </c>
      <c r="H427" t="n">
        <v>4792.76972</v>
      </c>
      <c r="Q427" t="n">
        <v>4703.90599</v>
      </c>
      <c r="R427" t="n">
        <v>4733.26929</v>
      </c>
      <c r="S427" t="n">
        <v>4759.85806</v>
      </c>
      <c r="V427" t="n">
        <v>4668.96622</v>
      </c>
      <c r="W427" t="n">
        <v>4635.40123</v>
      </c>
      <c r="AB427" t="n">
        <v>4709.83013</v>
      </c>
      <c r="AC427" t="n">
        <v>4708.75923</v>
      </c>
      <c r="AD427" t="n">
        <v>0</v>
      </c>
      <c r="AE427">
        <f>AE426+1</f>
        <v/>
      </c>
      <c r="AF427">
        <f>AF426+1</f>
        <v/>
      </c>
      <c r="AG427">
        <f>D427-Q427</f>
        <v/>
      </c>
      <c r="AH427">
        <f>AG427^2</f>
        <v/>
      </c>
      <c r="AI427">
        <f>(AG427/STDEV($AG$3:$AG$1137))^3</f>
        <v/>
      </c>
      <c r="AJ427">
        <f>(AG427/STDEV($AG$3:$AG$1137))^4</f>
        <v/>
      </c>
      <c r="AK427">
        <f>AF427^2</f>
        <v/>
      </c>
      <c r="AL427">
        <f>IF(AD427=1,AB427,IF(AL426&lt;&gt;"",AL426,""))</f>
        <v/>
      </c>
      <c r="AM427">
        <f>IF(AND(AD427=1,AL426&lt;&gt;""),ABS(AB427-AL426),"")</f>
        <v/>
      </c>
    </row>
    <row r="428">
      <c r="A428" t="n">
        <v>1776924902</v>
      </c>
      <c r="B428" t="inlineStr">
        <is>
          <t>XAUUSD</t>
        </is>
      </c>
      <c r="C428" t="inlineStr">
        <is>
          <t>M15</t>
        </is>
      </c>
      <c r="D428" t="n">
        <v>4712.13</v>
      </c>
      <c r="E428" t="n">
        <v>4518.59282</v>
      </c>
      <c r="F428" t="n">
        <v>4596.05595</v>
      </c>
      <c r="G428" t="n">
        <v>4755.40355</v>
      </c>
      <c r="H428" t="n">
        <v>4792.76972</v>
      </c>
      <c r="Q428" t="n">
        <v>4703.63839</v>
      </c>
      <c r="R428" t="n">
        <v>4733.00169</v>
      </c>
      <c r="S428" t="n">
        <v>4759.59046</v>
      </c>
      <c r="V428" t="n">
        <v>4668.69862</v>
      </c>
      <c r="W428" t="n">
        <v>4635.13362</v>
      </c>
      <c r="AB428" t="n">
        <v>4711.17063</v>
      </c>
      <c r="AC428" t="n">
        <v>4709.96493</v>
      </c>
      <c r="AD428" t="n">
        <v>0</v>
      </c>
      <c r="AE428">
        <f>AE427+1</f>
        <v/>
      </c>
      <c r="AF428">
        <f>AF427+1</f>
        <v/>
      </c>
      <c r="AG428">
        <f>D428-Q428</f>
        <v/>
      </c>
      <c r="AH428">
        <f>AG428^2</f>
        <v/>
      </c>
      <c r="AI428">
        <f>(AG428/STDEV($AG$3:$AG$1137))^3</f>
        <v/>
      </c>
      <c r="AJ428">
        <f>(AG428/STDEV($AG$3:$AG$1137))^4</f>
        <v/>
      </c>
      <c r="AK428">
        <f>AF428^2</f>
        <v/>
      </c>
      <c r="AL428">
        <f>IF(AD428=1,AB428,IF(AL427&lt;&gt;"",AL427,""))</f>
        <v/>
      </c>
      <c r="AM428">
        <f>IF(AND(AD428=1,AL427&lt;&gt;""),ABS(AB428-AL427),"")</f>
        <v/>
      </c>
    </row>
    <row r="429">
      <c r="A429" t="n">
        <v>1776925802</v>
      </c>
      <c r="B429" t="inlineStr">
        <is>
          <t>XAUUSD</t>
        </is>
      </c>
      <c r="C429" t="inlineStr">
        <is>
          <t>M15</t>
        </is>
      </c>
      <c r="D429" t="n">
        <v>4714.98</v>
      </c>
      <c r="E429" t="n">
        <v>4518.59282</v>
      </c>
      <c r="F429" t="n">
        <v>4596.05595</v>
      </c>
      <c r="G429" t="n">
        <v>4755.40355</v>
      </c>
      <c r="H429" t="n">
        <v>4792.76972</v>
      </c>
      <c r="Q429" t="n">
        <v>4703.37078</v>
      </c>
      <c r="R429" t="n">
        <v>4732.73408</v>
      </c>
      <c r="S429" t="n">
        <v>4759.32285</v>
      </c>
      <c r="V429" t="n">
        <v>4668.43101</v>
      </c>
      <c r="W429" t="n">
        <v>4634.86602</v>
      </c>
      <c r="AB429" t="n">
        <v>4712.40766</v>
      </c>
      <c r="AC429" t="n">
        <v>4711.1863</v>
      </c>
      <c r="AD429" t="n">
        <v>0</v>
      </c>
      <c r="AE429">
        <f>AE428+1</f>
        <v/>
      </c>
      <c r="AF429">
        <f>AF428+1</f>
        <v/>
      </c>
      <c r="AG429">
        <f>D429-Q429</f>
        <v/>
      </c>
      <c r="AH429">
        <f>AG429^2</f>
        <v/>
      </c>
      <c r="AI429">
        <f>(AG429/STDEV($AG$3:$AG$1137))^3</f>
        <v/>
      </c>
      <c r="AJ429">
        <f>(AG429/STDEV($AG$3:$AG$1137))^4</f>
        <v/>
      </c>
      <c r="AK429">
        <f>AF429^2</f>
        <v/>
      </c>
      <c r="AL429">
        <f>IF(AD429=1,AB429,IF(AL428&lt;&gt;"",AL428,""))</f>
        <v/>
      </c>
      <c r="AM429">
        <f>IF(AND(AD429=1,AL428&lt;&gt;""),ABS(AB429-AL428),"")</f>
        <v/>
      </c>
    </row>
    <row r="430">
      <c r="A430" t="n">
        <v>1776926702</v>
      </c>
      <c r="B430" t="inlineStr">
        <is>
          <t>XAUUSD</t>
        </is>
      </c>
      <c r="C430" t="inlineStr">
        <is>
          <t>M15</t>
        </is>
      </c>
      <c r="D430" t="n">
        <v>4713.02</v>
      </c>
      <c r="E430" t="n">
        <v>4518.59282</v>
      </c>
      <c r="F430" t="n">
        <v>4596.05595</v>
      </c>
      <c r="G430" t="n">
        <v>4755.40355</v>
      </c>
      <c r="H430" t="n">
        <v>4792.76972</v>
      </c>
      <c r="Q430" t="n">
        <v>4703.10318</v>
      </c>
      <c r="R430" t="n">
        <v>4732.46648</v>
      </c>
      <c r="S430" t="n">
        <v>4759.05525</v>
      </c>
      <c r="V430" t="n">
        <v>4668.16341</v>
      </c>
      <c r="W430" t="n">
        <v>4634.59841</v>
      </c>
      <c r="AB430" t="n">
        <v>4713.33647</v>
      </c>
      <c r="AC430" t="n">
        <v>4712.26138</v>
      </c>
      <c r="AD430" t="n">
        <v>0</v>
      </c>
      <c r="AE430">
        <f>AE429+1</f>
        <v/>
      </c>
      <c r="AF430">
        <f>AF429+1</f>
        <v/>
      </c>
      <c r="AG430">
        <f>D430-Q430</f>
        <v/>
      </c>
      <c r="AH430">
        <f>AG430^2</f>
        <v/>
      </c>
      <c r="AI430">
        <f>(AG430/STDEV($AG$3:$AG$1137))^3</f>
        <v/>
      </c>
      <c r="AJ430">
        <f>(AG430/STDEV($AG$3:$AG$1137))^4</f>
        <v/>
      </c>
      <c r="AK430">
        <f>AF430^2</f>
        <v/>
      </c>
      <c r="AL430">
        <f>IF(AD430=1,AB430,IF(AL429&lt;&gt;"",AL429,""))</f>
        <v/>
      </c>
      <c r="AM430">
        <f>IF(AND(AD430=1,AL429&lt;&gt;""),ABS(AB430-AL429),"")</f>
        <v/>
      </c>
    </row>
    <row r="431">
      <c r="A431" t="n">
        <v>1776927602</v>
      </c>
      <c r="B431" t="inlineStr">
        <is>
          <t>XAUUSD</t>
        </is>
      </c>
      <c r="C431" t="inlineStr">
        <is>
          <t>M15</t>
        </is>
      </c>
      <c r="D431" t="n">
        <v>4712.47</v>
      </c>
      <c r="E431" t="n">
        <v>4518.59282</v>
      </c>
      <c r="F431" t="n">
        <v>4596.05595</v>
      </c>
      <c r="G431" t="n">
        <v>4755.40355</v>
      </c>
      <c r="H431" t="n">
        <v>4792.76972</v>
      </c>
      <c r="Q431" t="n">
        <v>4702.83558</v>
      </c>
      <c r="R431" t="n">
        <v>4732.19888</v>
      </c>
      <c r="S431" t="n">
        <v>4758.78765</v>
      </c>
      <c r="V431" t="n">
        <v>4667.89581</v>
      </c>
      <c r="W431" t="n">
        <v>4634.33081</v>
      </c>
      <c r="AB431" t="n">
        <v>4713.92865</v>
      </c>
      <c r="AC431" t="n">
        <v>4713.09502</v>
      </c>
      <c r="AD431" t="n">
        <v>0</v>
      </c>
      <c r="AE431">
        <f>AE430+1</f>
        <v/>
      </c>
      <c r="AF431">
        <f>AF430+1</f>
        <v/>
      </c>
      <c r="AG431">
        <f>D431-Q431</f>
        <v/>
      </c>
      <c r="AH431">
        <f>AG431^2</f>
        <v/>
      </c>
      <c r="AI431">
        <f>(AG431/STDEV($AG$3:$AG$1137))^3</f>
        <v/>
      </c>
      <c r="AJ431">
        <f>(AG431/STDEV($AG$3:$AG$1137))^4</f>
        <v/>
      </c>
      <c r="AK431">
        <f>AF431^2</f>
        <v/>
      </c>
      <c r="AL431">
        <f>IF(AD431=1,AB431,IF(AL430&lt;&gt;"",AL430,""))</f>
        <v/>
      </c>
      <c r="AM431">
        <f>IF(AND(AD431=1,AL430&lt;&gt;""),ABS(AB431-AL430),"")</f>
        <v/>
      </c>
    </row>
    <row r="432">
      <c r="A432" t="n">
        <v>1776928502</v>
      </c>
      <c r="B432" t="inlineStr">
        <is>
          <t>XAUUSD</t>
        </is>
      </c>
      <c r="C432" t="inlineStr">
        <is>
          <t>M15</t>
        </is>
      </c>
      <c r="D432" t="n">
        <v>4706.12</v>
      </c>
      <c r="E432" t="n">
        <v>4518.59282</v>
      </c>
      <c r="F432" t="n">
        <v>4596.05595</v>
      </c>
      <c r="G432" t="n">
        <v>4755.40355</v>
      </c>
      <c r="H432" t="n">
        <v>4792.76972</v>
      </c>
      <c r="Q432" t="n">
        <v>4702.56797</v>
      </c>
      <c r="R432" t="n">
        <v>4731.93127</v>
      </c>
      <c r="S432" t="n">
        <v>4758.52004</v>
      </c>
      <c r="V432" t="n">
        <v>4667.6282</v>
      </c>
      <c r="W432" t="n">
        <v>4634.06321</v>
      </c>
      <c r="AB432" t="n">
        <v>4714.19761</v>
      </c>
      <c r="AC432" t="n">
        <v>4713.64631</v>
      </c>
      <c r="AD432" t="n">
        <v>0</v>
      </c>
      <c r="AE432">
        <f>AE431+1</f>
        <v/>
      </c>
      <c r="AF432">
        <f>AF431+1</f>
        <v/>
      </c>
      <c r="AG432">
        <f>D432-Q432</f>
        <v/>
      </c>
      <c r="AH432">
        <f>AG432^2</f>
        <v/>
      </c>
      <c r="AI432">
        <f>(AG432/STDEV($AG$3:$AG$1137))^3</f>
        <v/>
      </c>
      <c r="AJ432">
        <f>(AG432/STDEV($AG$3:$AG$1137))^4</f>
        <v/>
      </c>
      <c r="AK432">
        <f>AF432^2</f>
        <v/>
      </c>
      <c r="AL432">
        <f>IF(AD432=1,AB432,IF(AL431&lt;&gt;"",AL431,""))</f>
        <v/>
      </c>
      <c r="AM432">
        <f>IF(AND(AD432=1,AL431&lt;&gt;""),ABS(AB432-AL431),"")</f>
        <v/>
      </c>
    </row>
    <row r="433">
      <c r="A433" t="n">
        <v>1776929402</v>
      </c>
      <c r="B433" t="inlineStr">
        <is>
          <t>XAUUSD</t>
        </is>
      </c>
      <c r="C433" t="inlineStr">
        <is>
          <t>M15</t>
        </is>
      </c>
      <c r="D433" t="n">
        <v>4713.77</v>
      </c>
      <c r="E433" t="n">
        <v>4518.59282</v>
      </c>
      <c r="F433" t="n">
        <v>4596.05595</v>
      </c>
      <c r="G433" t="n">
        <v>4755.40355</v>
      </c>
      <c r="H433" t="n">
        <v>4792.76972</v>
      </c>
      <c r="Q433" t="n">
        <v>4702.30037</v>
      </c>
      <c r="R433" t="n">
        <v>4731.66367</v>
      </c>
      <c r="S433" t="n">
        <v>4758.25244</v>
      </c>
      <c r="V433" t="n">
        <v>4667.3606</v>
      </c>
      <c r="W433" t="n">
        <v>4633.7956</v>
      </c>
      <c r="AB433" t="n">
        <v>4714.31114</v>
      </c>
      <c r="AC433" t="n">
        <v>4713.97873</v>
      </c>
      <c r="AD433" t="n">
        <v>0</v>
      </c>
      <c r="AE433">
        <f>AE432+1</f>
        <v/>
      </c>
      <c r="AF433">
        <f>AF432+1</f>
        <v/>
      </c>
      <c r="AG433">
        <f>D433-Q433</f>
        <v/>
      </c>
      <c r="AH433">
        <f>AG433^2</f>
        <v/>
      </c>
      <c r="AI433">
        <f>(AG433/STDEV($AG$3:$AG$1137))^3</f>
        <v/>
      </c>
      <c r="AJ433">
        <f>(AG433/STDEV($AG$3:$AG$1137))^4</f>
        <v/>
      </c>
      <c r="AK433">
        <f>AF433^2</f>
        <v/>
      </c>
      <c r="AL433">
        <f>IF(AD433=1,AB433,IF(AL432&lt;&gt;"",AL432,""))</f>
        <v/>
      </c>
      <c r="AM433">
        <f>IF(AND(AD433=1,AL432&lt;&gt;""),ABS(AB433-AL432),"")</f>
        <v/>
      </c>
    </row>
    <row r="434">
      <c r="A434" t="n">
        <v>1776930302</v>
      </c>
      <c r="B434" t="inlineStr">
        <is>
          <t>XAUUSD</t>
        </is>
      </c>
      <c r="C434" t="inlineStr">
        <is>
          <t>M15</t>
        </is>
      </c>
      <c r="D434" t="n">
        <v>4719.22</v>
      </c>
      <c r="E434" t="n">
        <v>4518.59282</v>
      </c>
      <c r="F434" t="n">
        <v>4596.05595</v>
      </c>
      <c r="G434" t="n">
        <v>4755.40355</v>
      </c>
      <c r="H434" t="n">
        <v>4792.76972</v>
      </c>
      <c r="Q434" t="n">
        <v>4702.03276</v>
      </c>
      <c r="R434" t="n">
        <v>4731.39606</v>
      </c>
      <c r="S434" t="n">
        <v>4757.98483</v>
      </c>
      <c r="V434" t="n">
        <v>4667.09299</v>
      </c>
      <c r="W434" t="n">
        <v>4633.528</v>
      </c>
      <c r="AB434" t="n">
        <v>4714.075</v>
      </c>
      <c r="AC434" t="n">
        <v>4714.02686</v>
      </c>
      <c r="AD434" t="n">
        <v>0</v>
      </c>
      <c r="AE434">
        <f>AE433+1</f>
        <v/>
      </c>
      <c r="AF434">
        <f>AF433+1</f>
        <v/>
      </c>
      <c r="AG434">
        <f>D434-Q434</f>
        <v/>
      </c>
      <c r="AH434">
        <f>AG434^2</f>
        <v/>
      </c>
      <c r="AI434">
        <f>(AG434/STDEV($AG$3:$AG$1137))^3</f>
        <v/>
      </c>
      <c r="AJ434">
        <f>(AG434/STDEV($AG$3:$AG$1137))^4</f>
        <v/>
      </c>
      <c r="AK434">
        <f>AF434^2</f>
        <v/>
      </c>
      <c r="AL434">
        <f>IF(AD434=1,AB434,IF(AL433&lt;&gt;"",AL433,""))</f>
        <v/>
      </c>
      <c r="AM434">
        <f>IF(AND(AD434=1,AL433&lt;&gt;""),ABS(AB434-AL433),"")</f>
        <v/>
      </c>
    </row>
    <row r="435">
      <c r="A435" t="n">
        <v>1776931202</v>
      </c>
      <c r="B435" t="inlineStr">
        <is>
          <t>XAUUSD</t>
        </is>
      </c>
      <c r="C435" t="inlineStr">
        <is>
          <t>M15</t>
        </is>
      </c>
      <c r="D435" t="n">
        <v>4718.21</v>
      </c>
      <c r="E435" t="n">
        <v>4518.59282</v>
      </c>
      <c r="F435" t="n">
        <v>4596.05595</v>
      </c>
      <c r="G435" t="n">
        <v>4755.40355</v>
      </c>
      <c r="H435" t="n">
        <v>4792.76972</v>
      </c>
      <c r="Q435" t="n">
        <v>4701.76516</v>
      </c>
      <c r="R435" t="n">
        <v>4731.12846</v>
      </c>
      <c r="S435" t="n">
        <v>4757.71723</v>
      </c>
      <c r="V435" t="n">
        <v>4666.82539</v>
      </c>
      <c r="W435" t="n">
        <v>4633.26039</v>
      </c>
      <c r="AB435" t="n">
        <v>4713.17172</v>
      </c>
      <c r="AC435" t="n">
        <v>4713.59929</v>
      </c>
      <c r="AD435" t="n">
        <v>1</v>
      </c>
      <c r="AE435">
        <f>AE434+1</f>
        <v/>
      </c>
      <c r="AF435">
        <f>AF434+1</f>
        <v/>
      </c>
      <c r="AG435">
        <f>D435-Q435</f>
        <v/>
      </c>
      <c r="AH435">
        <f>AG435^2</f>
        <v/>
      </c>
      <c r="AI435">
        <f>(AG435/STDEV($AG$3:$AG$1137))^3</f>
        <v/>
      </c>
      <c r="AJ435">
        <f>(AG435/STDEV($AG$3:$AG$1137))^4</f>
        <v/>
      </c>
      <c r="AK435">
        <f>AF435^2</f>
        <v/>
      </c>
      <c r="AL435">
        <f>IF(AD435=1,AB435,IF(AL434&lt;&gt;"",AL434,""))</f>
        <v/>
      </c>
      <c r="AM435">
        <f>IF(AND(AD435=1,AL434&lt;&gt;""),ABS(AB435-AL434),"")</f>
        <v/>
      </c>
    </row>
    <row r="436">
      <c r="A436" t="n">
        <v>1776932102</v>
      </c>
      <c r="B436" t="inlineStr">
        <is>
          <t>XAUUSD</t>
        </is>
      </c>
      <c r="C436" t="inlineStr">
        <is>
          <t>M15</t>
        </is>
      </c>
      <c r="D436" t="n">
        <v>4715.43</v>
      </c>
      <c r="E436" t="n">
        <v>4518.59282</v>
      </c>
      <c r="F436" t="n">
        <v>4596.05595</v>
      </c>
      <c r="G436" t="n">
        <v>4755.40355</v>
      </c>
      <c r="H436" t="n">
        <v>4792.76972</v>
      </c>
      <c r="Q436" t="n">
        <v>4701.49756</v>
      </c>
      <c r="R436" t="n">
        <v>4730.86086</v>
      </c>
      <c r="S436" t="n">
        <v>4757.44963</v>
      </c>
      <c r="V436" t="n">
        <v>4666.55779</v>
      </c>
      <c r="W436" t="n">
        <v>4632.99279</v>
      </c>
      <c r="AB436" t="n">
        <v>4711.52544</v>
      </c>
      <c r="AC436" t="n">
        <v>4712.56237</v>
      </c>
      <c r="AD436" t="n">
        <v>0</v>
      </c>
      <c r="AE436">
        <f>AE435+1</f>
        <v/>
      </c>
      <c r="AF436">
        <f>AF435+1</f>
        <v/>
      </c>
      <c r="AG436">
        <f>D436-Q436</f>
        <v/>
      </c>
      <c r="AH436">
        <f>AG436^2</f>
        <v/>
      </c>
      <c r="AI436">
        <f>(AG436/STDEV($AG$3:$AG$1137))^3</f>
        <v/>
      </c>
      <c r="AJ436">
        <f>(AG436/STDEV($AG$3:$AG$1137))^4</f>
        <v/>
      </c>
      <c r="AK436">
        <f>AF436^2</f>
        <v/>
      </c>
      <c r="AL436">
        <f>IF(AD436=1,AB436,IF(AL435&lt;&gt;"",AL435,""))</f>
        <v/>
      </c>
      <c r="AM436">
        <f>IF(AND(AD436=1,AL435&lt;&gt;""),ABS(AB436-AL435),"")</f>
        <v/>
      </c>
    </row>
    <row r="437">
      <c r="A437" t="n">
        <v>1776933002</v>
      </c>
      <c r="B437" t="inlineStr">
        <is>
          <t>XAUUSD</t>
        </is>
      </c>
      <c r="C437" t="inlineStr">
        <is>
          <t>M15</t>
        </is>
      </c>
      <c r="D437" t="n">
        <v>4703.76</v>
      </c>
      <c r="E437" t="n">
        <v>4518.59282</v>
      </c>
      <c r="F437" t="n">
        <v>4596.05595</v>
      </c>
      <c r="G437" t="n">
        <v>4755.40355</v>
      </c>
      <c r="H437" t="n">
        <v>4792.76972</v>
      </c>
      <c r="Q437" t="n">
        <v>4701.22995</v>
      </c>
      <c r="R437" t="n">
        <v>4730.59325</v>
      </c>
      <c r="S437" t="n">
        <v>4757.18202</v>
      </c>
      <c r="V437" t="n">
        <v>4666.29018</v>
      </c>
      <c r="W437" t="n">
        <v>4632.72519</v>
      </c>
      <c r="AB437" t="n">
        <v>4709.14176</v>
      </c>
      <c r="AC437" t="n">
        <v>4710.85206</v>
      </c>
      <c r="AD437" t="n">
        <v>0</v>
      </c>
      <c r="AE437">
        <f>AE436+1</f>
        <v/>
      </c>
      <c r="AF437">
        <f>AF436+1</f>
        <v/>
      </c>
      <c r="AG437">
        <f>D437-Q437</f>
        <v/>
      </c>
      <c r="AH437">
        <f>AG437^2</f>
        <v/>
      </c>
      <c r="AI437">
        <f>(AG437/STDEV($AG$3:$AG$1137))^3</f>
        <v/>
      </c>
      <c r="AJ437">
        <f>(AG437/STDEV($AG$3:$AG$1137))^4</f>
        <v/>
      </c>
      <c r="AK437">
        <f>AF437^2</f>
        <v/>
      </c>
      <c r="AL437">
        <f>IF(AD437=1,AB437,IF(AL436&lt;&gt;"",AL436,""))</f>
        <v/>
      </c>
      <c r="AM437">
        <f>IF(AND(AD437=1,AL436&lt;&gt;""),ABS(AB437-AL436),"")</f>
        <v/>
      </c>
    </row>
    <row r="438">
      <c r="A438" t="n">
        <v>1776933902</v>
      </c>
      <c r="B438" t="inlineStr">
        <is>
          <t>XAUUSD</t>
        </is>
      </c>
      <c r="C438" t="inlineStr">
        <is>
          <t>M15</t>
        </is>
      </c>
      <c r="D438" t="n">
        <v>4703.28</v>
      </c>
      <c r="E438" t="n">
        <v>4518.59282</v>
      </c>
      <c r="F438" t="n">
        <v>4596.05595</v>
      </c>
      <c r="G438" t="n">
        <v>4755.40355</v>
      </c>
      <c r="H438" t="n">
        <v>4792.76972</v>
      </c>
      <c r="Q438" t="n">
        <v>4700.96235</v>
      </c>
      <c r="R438" t="n">
        <v>4730.32565</v>
      </c>
      <c r="S438" t="n">
        <v>4756.91442</v>
      </c>
      <c r="V438" t="n">
        <v>4666.02258</v>
      </c>
      <c r="W438" t="n">
        <v>4632.45758</v>
      </c>
      <c r="AB438" t="n">
        <v>4706.31914</v>
      </c>
      <c r="AC438" t="n">
        <v>4708.5856</v>
      </c>
      <c r="AD438" t="n">
        <v>0</v>
      </c>
      <c r="AE438">
        <f>AE437+1</f>
        <v/>
      </c>
      <c r="AF438">
        <f>AF437+1</f>
        <v/>
      </c>
      <c r="AG438">
        <f>D438-Q438</f>
        <v/>
      </c>
      <c r="AH438">
        <f>AG438^2</f>
        <v/>
      </c>
      <c r="AI438">
        <f>(AG438/STDEV($AG$3:$AG$1137))^3</f>
        <v/>
      </c>
      <c r="AJ438">
        <f>(AG438/STDEV($AG$3:$AG$1137))^4</f>
        <v/>
      </c>
      <c r="AK438">
        <f>AF438^2</f>
        <v/>
      </c>
      <c r="AL438">
        <f>IF(AD438=1,AB438,IF(AL437&lt;&gt;"",AL437,""))</f>
        <v/>
      </c>
      <c r="AM438">
        <f>IF(AND(AD438=1,AL437&lt;&gt;""),ABS(AB438-AL437),"")</f>
        <v/>
      </c>
    </row>
    <row r="439">
      <c r="A439" t="n">
        <v>1776934802</v>
      </c>
      <c r="B439" t="inlineStr">
        <is>
          <t>XAUUSD</t>
        </is>
      </c>
      <c r="C439" t="inlineStr">
        <is>
          <t>M15</t>
        </is>
      </c>
      <c r="D439" t="n">
        <v>4696.92</v>
      </c>
      <c r="E439" t="n">
        <v>4518.59282</v>
      </c>
      <c r="F439" t="n">
        <v>4596.05595</v>
      </c>
      <c r="G439" t="n">
        <v>4755.40355</v>
      </c>
      <c r="H439" t="n">
        <v>4792.76972</v>
      </c>
      <c r="Q439" t="n">
        <v>4700.69474</v>
      </c>
      <c r="R439" t="n">
        <v>4730.05804</v>
      </c>
      <c r="S439" t="n">
        <v>4756.64681</v>
      </c>
      <c r="V439" t="n">
        <v>4665.75497</v>
      </c>
      <c r="W439" t="n">
        <v>4632.18998</v>
      </c>
      <c r="AB439" t="n">
        <v>4703.07922</v>
      </c>
      <c r="AC439" t="n">
        <v>4705.83241</v>
      </c>
      <c r="AD439" t="n">
        <v>0</v>
      </c>
      <c r="AE439">
        <f>AE438+1</f>
        <v/>
      </c>
      <c r="AF439">
        <f>AF438+1</f>
        <v/>
      </c>
      <c r="AG439">
        <f>D439-Q439</f>
        <v/>
      </c>
      <c r="AH439">
        <f>AG439^2</f>
        <v/>
      </c>
      <c r="AI439">
        <f>(AG439/STDEV($AG$3:$AG$1137))^3</f>
        <v/>
      </c>
      <c r="AJ439">
        <f>(AG439/STDEV($AG$3:$AG$1137))^4</f>
        <v/>
      </c>
      <c r="AK439">
        <f>AF439^2</f>
        <v/>
      </c>
      <c r="AL439">
        <f>IF(AD439=1,AB439,IF(AL438&lt;&gt;"",AL438,""))</f>
        <v/>
      </c>
      <c r="AM439">
        <f>IF(AND(AD439=1,AL438&lt;&gt;""),ABS(AB439-AL438),"")</f>
        <v/>
      </c>
    </row>
    <row r="440">
      <c r="A440" t="n">
        <v>1776935702</v>
      </c>
      <c r="B440" t="inlineStr">
        <is>
          <t>XAUUSD</t>
        </is>
      </c>
      <c r="C440" t="inlineStr">
        <is>
          <t>M15</t>
        </is>
      </c>
      <c r="D440" t="n">
        <v>4700.94</v>
      </c>
      <c r="E440" t="n">
        <v>4518.59282</v>
      </c>
      <c r="F440" t="n">
        <v>4596.05595</v>
      </c>
      <c r="G440" t="n">
        <v>4755.40355</v>
      </c>
      <c r="H440" t="n">
        <v>4792.76972</v>
      </c>
      <c r="Q440" t="n">
        <v>4700.42714</v>
      </c>
      <c r="R440" t="n">
        <v>4729.79044</v>
      </c>
      <c r="S440" t="n">
        <v>4756.37921</v>
      </c>
      <c r="V440" t="n">
        <v>4665.48737</v>
      </c>
      <c r="W440" t="n">
        <v>4631.92237</v>
      </c>
      <c r="AB440" t="n">
        <v>4699.63858</v>
      </c>
      <c r="AC440" t="n">
        <v>4702.73549</v>
      </c>
      <c r="AD440" t="n">
        <v>0</v>
      </c>
      <c r="AE440">
        <f>AE439+1</f>
        <v/>
      </c>
      <c r="AF440">
        <f>AF439+1</f>
        <v/>
      </c>
      <c r="AG440">
        <f>D440-Q440</f>
        <v/>
      </c>
      <c r="AH440">
        <f>AG440^2</f>
        <v/>
      </c>
      <c r="AI440">
        <f>(AG440/STDEV($AG$3:$AG$1137))^3</f>
        <v/>
      </c>
      <c r="AJ440">
        <f>(AG440/STDEV($AG$3:$AG$1137))^4</f>
        <v/>
      </c>
      <c r="AK440">
        <f>AF440^2</f>
        <v/>
      </c>
      <c r="AL440">
        <f>IF(AD440=1,AB440,IF(AL439&lt;&gt;"",AL439,""))</f>
        <v/>
      </c>
      <c r="AM440">
        <f>IF(AND(AD440=1,AL439&lt;&gt;""),ABS(AB440-AL439),"")</f>
        <v/>
      </c>
    </row>
    <row r="441">
      <c r="A441" t="n">
        <v>1776936602</v>
      </c>
      <c r="B441" t="inlineStr">
        <is>
          <t>XAUUSD</t>
        </is>
      </c>
      <c r="C441" t="inlineStr">
        <is>
          <t>M15</t>
        </is>
      </c>
      <c r="D441" t="n">
        <v>4700.99</v>
      </c>
      <c r="E441" t="n">
        <v>4518.59282</v>
      </c>
      <c r="F441" t="n">
        <v>4596.05595</v>
      </c>
      <c r="G441" t="n">
        <v>4755.40355</v>
      </c>
      <c r="H441" t="n">
        <v>4792.76972</v>
      </c>
      <c r="Q441" t="n">
        <v>4700.15954</v>
      </c>
      <c r="R441" t="n">
        <v>4729.52283</v>
      </c>
      <c r="S441" t="n">
        <v>4756.11161</v>
      </c>
      <c r="V441" t="n">
        <v>4665.21977</v>
      </c>
      <c r="W441" t="n">
        <v>4631.65477</v>
      </c>
      <c r="AB441" t="n">
        <v>4696.09443</v>
      </c>
      <c r="AC441" t="n">
        <v>4699.41496</v>
      </c>
      <c r="AD441" t="n">
        <v>0</v>
      </c>
      <c r="AE441">
        <f>AE440+1</f>
        <v/>
      </c>
      <c r="AF441">
        <f>AF440+1</f>
        <v/>
      </c>
      <c r="AG441">
        <f>D441-Q441</f>
        <v/>
      </c>
      <c r="AH441">
        <f>AG441^2</f>
        <v/>
      </c>
      <c r="AI441">
        <f>(AG441/STDEV($AG$3:$AG$1137))^3</f>
        <v/>
      </c>
      <c r="AJ441">
        <f>(AG441/STDEV($AG$3:$AG$1137))^4</f>
        <v/>
      </c>
      <c r="AK441">
        <f>AF441^2</f>
        <v/>
      </c>
      <c r="AL441">
        <f>IF(AD441=1,AB441,IF(AL440&lt;&gt;"",AL440,""))</f>
        <v/>
      </c>
      <c r="AM441">
        <f>IF(AND(AD441=1,AL440&lt;&gt;""),ABS(AB441-AL440),"")</f>
        <v/>
      </c>
    </row>
    <row r="442">
      <c r="A442" t="n">
        <v>1776937502</v>
      </c>
      <c r="B442" t="inlineStr">
        <is>
          <t>XAUUSD</t>
        </is>
      </c>
      <c r="C442" t="inlineStr">
        <is>
          <t>M15</t>
        </is>
      </c>
      <c r="D442" t="n">
        <v>4697.62</v>
      </c>
      <c r="E442" t="n">
        <v>4518.59282</v>
      </c>
      <c r="F442" t="n">
        <v>4596.05595</v>
      </c>
      <c r="G442" t="n">
        <v>4755.40355</v>
      </c>
      <c r="H442" t="n">
        <v>4792.76972</v>
      </c>
      <c r="Q442" t="n">
        <v>4699.89193</v>
      </c>
      <c r="R442" t="n">
        <v>4729.25523</v>
      </c>
      <c r="S442" t="n">
        <v>4755.844</v>
      </c>
      <c r="V442" t="n">
        <v>4664.95216</v>
      </c>
      <c r="W442" t="n">
        <v>4631.38717</v>
      </c>
      <c r="AB442" t="n">
        <v>4692.82893</v>
      </c>
      <c r="AC442" t="n">
        <v>4696.12195</v>
      </c>
      <c r="AD442" t="n">
        <v>0</v>
      </c>
      <c r="AE442">
        <f>AE441+1</f>
        <v/>
      </c>
      <c r="AF442">
        <f>AF441+1</f>
        <v/>
      </c>
      <c r="AG442">
        <f>D442-Q442</f>
        <v/>
      </c>
      <c r="AH442">
        <f>AG442^2</f>
        <v/>
      </c>
      <c r="AI442">
        <f>(AG442/STDEV($AG$3:$AG$1137))^3</f>
        <v/>
      </c>
      <c r="AJ442">
        <f>(AG442/STDEV($AG$3:$AG$1137))^4</f>
        <v/>
      </c>
      <c r="AK442">
        <f>AF442^2</f>
        <v/>
      </c>
      <c r="AL442">
        <f>IF(AD442=1,AB442,IF(AL441&lt;&gt;"",AL441,""))</f>
        <v/>
      </c>
      <c r="AM442">
        <f>IF(AND(AD442=1,AL441&lt;&gt;""),ABS(AB442-AL441),"")</f>
        <v/>
      </c>
    </row>
    <row r="443">
      <c r="A443" t="n">
        <v>1776938402</v>
      </c>
      <c r="B443" t="inlineStr">
        <is>
          <t>XAUUSD</t>
        </is>
      </c>
      <c r="C443" t="inlineStr">
        <is>
          <t>M15</t>
        </is>
      </c>
      <c r="D443" t="n">
        <v>4689.14</v>
      </c>
      <c r="E443" t="n">
        <v>4518.59282</v>
      </c>
      <c r="F443" t="n">
        <v>4596.05595</v>
      </c>
      <c r="G443" t="n">
        <v>4755.40355</v>
      </c>
      <c r="H443" t="n">
        <v>4792.76972</v>
      </c>
      <c r="Q443" t="n">
        <v>4699.62433</v>
      </c>
      <c r="R443" t="n">
        <v>4728.98763</v>
      </c>
      <c r="S443" t="n">
        <v>4755.5764</v>
      </c>
      <c r="V443" t="n">
        <v>4664.68456</v>
      </c>
      <c r="W443" t="n">
        <v>4631.11956</v>
      </c>
      <c r="AB443" t="n">
        <v>4690.37226</v>
      </c>
      <c r="AC443" t="n">
        <v>4693.2471</v>
      </c>
      <c r="AD443" t="n">
        <v>0</v>
      </c>
      <c r="AE443">
        <f>AE442+1</f>
        <v/>
      </c>
      <c r="AF443">
        <f>AF442+1</f>
        <v/>
      </c>
      <c r="AG443">
        <f>D443-Q443</f>
        <v/>
      </c>
      <c r="AH443">
        <f>AG443^2</f>
        <v/>
      </c>
      <c r="AI443">
        <f>(AG443/STDEV($AG$3:$AG$1137))^3</f>
        <v/>
      </c>
      <c r="AJ443">
        <f>(AG443/STDEV($AG$3:$AG$1137))^4</f>
        <v/>
      </c>
      <c r="AK443">
        <f>AF443^2</f>
        <v/>
      </c>
      <c r="AL443">
        <f>IF(AD443=1,AB443,IF(AL442&lt;&gt;"",AL442,""))</f>
        <v/>
      </c>
      <c r="AM443">
        <f>IF(AND(AD443=1,AL442&lt;&gt;""),ABS(AB443-AL442),"")</f>
        <v/>
      </c>
    </row>
    <row r="444">
      <c r="A444" t="n">
        <v>1776939302</v>
      </c>
      <c r="B444" t="inlineStr">
        <is>
          <t>XAUUSD</t>
        </is>
      </c>
      <c r="C444" t="inlineStr">
        <is>
          <t>M15</t>
        </is>
      </c>
      <c r="D444" t="n">
        <v>4686.7</v>
      </c>
      <c r="E444" t="n">
        <v>4518.59282</v>
      </c>
      <c r="F444" t="n">
        <v>4596.05595</v>
      </c>
      <c r="G444" t="n">
        <v>4755.40355</v>
      </c>
      <c r="H444" t="n">
        <v>4792.76972</v>
      </c>
      <c r="Q444" t="n">
        <v>4699.35672</v>
      </c>
      <c r="R444" t="n">
        <v>4728.72002</v>
      </c>
      <c r="S444" t="n">
        <v>4755.30879</v>
      </c>
      <c r="V444" t="n">
        <v>4664.41695</v>
      </c>
      <c r="W444" t="n">
        <v>4630.85196</v>
      </c>
      <c r="AB444" t="n">
        <v>4689.47204</v>
      </c>
      <c r="AC444" t="n">
        <v>4691.35957</v>
      </c>
      <c r="AD444" t="n">
        <v>0</v>
      </c>
      <c r="AE444">
        <f>AE443+1</f>
        <v/>
      </c>
      <c r="AF444">
        <f>AF443+1</f>
        <v/>
      </c>
      <c r="AG444">
        <f>D444-Q444</f>
        <v/>
      </c>
      <c r="AH444">
        <f>AG444^2</f>
        <v/>
      </c>
      <c r="AI444">
        <f>(AG444/STDEV($AG$3:$AG$1137))^3</f>
        <v/>
      </c>
      <c r="AJ444">
        <f>(AG444/STDEV($AG$3:$AG$1137))^4</f>
        <v/>
      </c>
      <c r="AK444">
        <f>AF444^2</f>
        <v/>
      </c>
      <c r="AL444">
        <f>IF(AD444=1,AB444,IF(AL443&lt;&gt;"",AL443,""))</f>
        <v/>
      </c>
      <c r="AM444">
        <f>IF(AND(AD444=1,AL443&lt;&gt;""),ABS(AB444-AL443),"")</f>
        <v/>
      </c>
    </row>
    <row r="445">
      <c r="A445" t="n">
        <v>1776940202</v>
      </c>
      <c r="B445" t="inlineStr">
        <is>
          <t>XAUUSD</t>
        </is>
      </c>
      <c r="C445" t="inlineStr">
        <is>
          <t>M15</t>
        </is>
      </c>
      <c r="D445" t="n">
        <v>4690.77</v>
      </c>
      <c r="E445" t="n">
        <v>4518.59282</v>
      </c>
      <c r="F445" t="n">
        <v>4596.05595</v>
      </c>
      <c r="G445" t="n">
        <v>4755.40355</v>
      </c>
      <c r="H445" t="n">
        <v>4792.76972</v>
      </c>
      <c r="Q445" t="n">
        <v>4699.08912</v>
      </c>
      <c r="R445" t="n">
        <v>4728.45242</v>
      </c>
      <c r="S445" t="n">
        <v>4755.04119</v>
      </c>
      <c r="V445" t="n">
        <v>4664.14935</v>
      </c>
      <c r="W445" t="n">
        <v>4630.58435</v>
      </c>
      <c r="AA445" t="n">
        <v>4684.26</v>
      </c>
      <c r="AB445" t="n">
        <v>4690.48655</v>
      </c>
      <c r="AC445" t="n">
        <v>4690.92306</v>
      </c>
      <c r="AD445" t="n">
        <v>0</v>
      </c>
      <c r="AE445">
        <f>AE444+1</f>
        <v/>
      </c>
      <c r="AF445">
        <f>AF444+1</f>
        <v/>
      </c>
      <c r="AG445">
        <f>D445-Q445</f>
        <v/>
      </c>
      <c r="AH445">
        <f>AG445^2</f>
        <v/>
      </c>
      <c r="AI445">
        <f>(AG445/STDEV($AG$3:$AG$1137))^3</f>
        <v/>
      </c>
      <c r="AJ445">
        <f>(AG445/STDEV($AG$3:$AG$1137))^4</f>
        <v/>
      </c>
      <c r="AK445">
        <f>AF445^2</f>
        <v/>
      </c>
      <c r="AL445">
        <f>IF(AD445=1,AB445,IF(AL444&lt;&gt;"",AL444,""))</f>
        <v/>
      </c>
      <c r="AM445">
        <f>IF(AND(AD445=1,AL444&lt;&gt;""),ABS(AB445-AL444),"")</f>
        <v/>
      </c>
    </row>
    <row r="446">
      <c r="A446" t="n">
        <v>1776941102</v>
      </c>
      <c r="B446" t="inlineStr">
        <is>
          <t>XAUUSD</t>
        </is>
      </c>
      <c r="C446" t="inlineStr">
        <is>
          <t>M15</t>
        </is>
      </c>
      <c r="D446" t="n">
        <v>4696.61</v>
      </c>
      <c r="E446" t="n">
        <v>4518.59282</v>
      </c>
      <c r="F446" t="n">
        <v>4596.05595</v>
      </c>
      <c r="G446" t="n">
        <v>4755.40355</v>
      </c>
      <c r="H446" t="n">
        <v>4792.76972</v>
      </c>
      <c r="Q446" t="n">
        <v>4698.82152</v>
      </c>
      <c r="R446" t="n">
        <v>4728.18481</v>
      </c>
      <c r="S446" t="n">
        <v>4754.77359</v>
      </c>
      <c r="V446" t="n">
        <v>4663.88175</v>
      </c>
      <c r="W446" t="n">
        <v>4630.31675</v>
      </c>
      <c r="AB446" t="n">
        <v>4693.45927</v>
      </c>
      <c r="AC446" t="n">
        <v>4692.19117</v>
      </c>
      <c r="AD446" t="n">
        <v>1</v>
      </c>
      <c r="AE446">
        <f>AE445+1</f>
        <v/>
      </c>
      <c r="AF446">
        <f>AF445+1</f>
        <v/>
      </c>
      <c r="AG446">
        <f>D446-Q446</f>
        <v/>
      </c>
      <c r="AH446">
        <f>AG446^2</f>
        <v/>
      </c>
      <c r="AI446">
        <f>(AG446/STDEV($AG$3:$AG$1137))^3</f>
        <v/>
      </c>
      <c r="AJ446">
        <f>(AG446/STDEV($AG$3:$AG$1137))^4</f>
        <v/>
      </c>
      <c r="AK446">
        <f>AF446^2</f>
        <v/>
      </c>
      <c r="AL446">
        <f>IF(AD446=1,AB446,IF(AL445&lt;&gt;"",AL445,""))</f>
        <v/>
      </c>
      <c r="AM446">
        <f>IF(AND(AD446=1,AL445&lt;&gt;""),ABS(AB446-AL445),"")</f>
        <v/>
      </c>
    </row>
    <row r="447">
      <c r="A447" t="n">
        <v>1776942002</v>
      </c>
      <c r="B447" t="inlineStr">
        <is>
          <t>XAUUSD</t>
        </is>
      </c>
      <c r="C447" t="inlineStr">
        <is>
          <t>M15</t>
        </is>
      </c>
      <c r="D447" t="n">
        <v>4697.96</v>
      </c>
      <c r="E447" t="n">
        <v>4518.59282</v>
      </c>
      <c r="F447" t="n">
        <v>4596.05595</v>
      </c>
      <c r="G447" t="n">
        <v>4755.40355</v>
      </c>
      <c r="H447" t="n">
        <v>4792.76972</v>
      </c>
      <c r="Q447" t="n">
        <v>4698.55391</v>
      </c>
      <c r="R447" t="n">
        <v>4727.91721</v>
      </c>
      <c r="S447" t="n">
        <v>4754.50598</v>
      </c>
      <c r="V447" t="n">
        <v>4663.61414</v>
      </c>
      <c r="W447" t="n">
        <v>4630.04914</v>
      </c>
      <c r="AB447" t="n">
        <v>4698.19147</v>
      </c>
      <c r="AC447" t="n">
        <v>4695.19132</v>
      </c>
      <c r="AD447" t="n">
        <v>0</v>
      </c>
      <c r="AE447">
        <f>AE446+1</f>
        <v/>
      </c>
      <c r="AF447">
        <f>AF446+1</f>
        <v/>
      </c>
      <c r="AG447">
        <f>D447-Q447</f>
        <v/>
      </c>
      <c r="AH447">
        <f>AG447^2</f>
        <v/>
      </c>
      <c r="AI447">
        <f>(AG447/STDEV($AG$3:$AG$1137))^3</f>
        <v/>
      </c>
      <c r="AJ447">
        <f>(AG447/STDEV($AG$3:$AG$1137))^4</f>
        <v/>
      </c>
      <c r="AK447">
        <f>AF447^2</f>
        <v/>
      </c>
      <c r="AL447">
        <f>IF(AD447=1,AB447,IF(AL446&lt;&gt;"",AL446,""))</f>
        <v/>
      </c>
      <c r="AM447">
        <f>IF(AND(AD447=1,AL446&lt;&gt;""),ABS(AB447-AL446),"")</f>
        <v/>
      </c>
    </row>
    <row r="448">
      <c r="A448" t="n">
        <v>1776942902</v>
      </c>
      <c r="B448" t="inlineStr">
        <is>
          <t>XAUUSD</t>
        </is>
      </c>
      <c r="C448" t="inlineStr">
        <is>
          <t>M15</t>
        </is>
      </c>
      <c r="D448" t="n">
        <v>4699.27</v>
      </c>
      <c r="E448" t="n">
        <v>4518.59282</v>
      </c>
      <c r="F448" t="n">
        <v>4596.05595</v>
      </c>
      <c r="G448" t="n">
        <v>4755.40355</v>
      </c>
      <c r="H448" t="n">
        <v>4792.76972</v>
      </c>
      <c r="Q448" t="n">
        <v>4698.28631</v>
      </c>
      <c r="R448" t="n">
        <v>4727.64961</v>
      </c>
      <c r="S448" t="n">
        <v>4754.23838</v>
      </c>
      <c r="V448" t="n">
        <v>4663.34654</v>
      </c>
      <c r="W448" t="n">
        <v>4629.78154</v>
      </c>
      <c r="AB448" t="n">
        <v>4704.41131</v>
      </c>
      <c r="AC448" t="n">
        <v>4699.80131</v>
      </c>
      <c r="AD448" t="n">
        <v>0</v>
      </c>
      <c r="AE448">
        <f>AE447+1</f>
        <v/>
      </c>
      <c r="AF448">
        <f>AF447+1</f>
        <v/>
      </c>
      <c r="AG448">
        <f>D448-Q448</f>
        <v/>
      </c>
      <c r="AH448">
        <f>AG448^2</f>
        <v/>
      </c>
      <c r="AI448">
        <f>(AG448/STDEV($AG$3:$AG$1137))^3</f>
        <v/>
      </c>
      <c r="AJ448">
        <f>(AG448/STDEV($AG$3:$AG$1137))^4</f>
        <v/>
      </c>
      <c r="AK448">
        <f>AF448^2</f>
        <v/>
      </c>
      <c r="AL448">
        <f>IF(AD448=1,AB448,IF(AL447&lt;&gt;"",AL447,""))</f>
        <v/>
      </c>
      <c r="AM448">
        <f>IF(AND(AD448=1,AL447&lt;&gt;""),ABS(AB448-AL447),"")</f>
        <v/>
      </c>
    </row>
    <row r="449">
      <c r="A449" t="n">
        <v>1776943802</v>
      </c>
      <c r="B449" t="inlineStr">
        <is>
          <t>XAUUSD</t>
        </is>
      </c>
      <c r="C449" t="inlineStr">
        <is>
          <t>M15</t>
        </is>
      </c>
      <c r="D449" t="n">
        <v>4705.48</v>
      </c>
      <c r="E449" t="n">
        <v>4518.59282</v>
      </c>
      <c r="F449" t="n">
        <v>4596.05595</v>
      </c>
      <c r="G449" t="n">
        <v>4755.40355</v>
      </c>
      <c r="H449" t="n">
        <v>4792.76972</v>
      </c>
      <c r="Q449" t="n">
        <v>4698.0187</v>
      </c>
      <c r="R449" t="n">
        <v>4727.382</v>
      </c>
      <c r="S449" t="n">
        <v>4753.97077</v>
      </c>
      <c r="V449" t="n">
        <v>4663.07893</v>
      </c>
      <c r="W449" t="n">
        <v>4629.51394</v>
      </c>
      <c r="AB449" t="n">
        <v>4711.65604</v>
      </c>
      <c r="AC449" t="n">
        <v>4705.72867</v>
      </c>
      <c r="AD449" t="n">
        <v>0</v>
      </c>
      <c r="AE449">
        <f>AE448+1</f>
        <v/>
      </c>
      <c r="AF449">
        <f>AF448+1</f>
        <v/>
      </c>
      <c r="AG449">
        <f>D449-Q449</f>
        <v/>
      </c>
      <c r="AH449">
        <f>AG449^2</f>
        <v/>
      </c>
      <c r="AI449">
        <f>(AG449/STDEV($AG$3:$AG$1137))^3</f>
        <v/>
      </c>
      <c r="AJ449">
        <f>(AG449/STDEV($AG$3:$AG$1137))^4</f>
        <v/>
      </c>
      <c r="AK449">
        <f>AF449^2</f>
        <v/>
      </c>
      <c r="AL449">
        <f>IF(AD449=1,AB449,IF(AL448&lt;&gt;"",AL448,""))</f>
        <v/>
      </c>
      <c r="AM449">
        <f>IF(AND(AD449=1,AL448&lt;&gt;""),ABS(AB449-AL448),"")</f>
        <v/>
      </c>
    </row>
    <row r="450">
      <c r="A450" t="n">
        <v>1776944702</v>
      </c>
      <c r="B450" t="inlineStr">
        <is>
          <t>XAUUSD</t>
        </is>
      </c>
      <c r="C450" t="inlineStr">
        <is>
          <t>M15</t>
        </is>
      </c>
      <c r="D450" t="n">
        <v>4720.71</v>
      </c>
      <c r="E450" t="n">
        <v>4518.59282</v>
      </c>
      <c r="F450" t="n">
        <v>4596.05595</v>
      </c>
      <c r="G450" t="n">
        <v>4755.40355</v>
      </c>
      <c r="H450" t="n">
        <v>4792.76972</v>
      </c>
      <c r="Q450" t="n">
        <v>4697.7511</v>
      </c>
      <c r="R450" t="n">
        <v>4727.1144</v>
      </c>
      <c r="S450" t="n">
        <v>4753.70317</v>
      </c>
      <c r="V450" t="n">
        <v>4662.81133</v>
      </c>
      <c r="W450" t="n">
        <v>4629.24633</v>
      </c>
      <c r="AB450" t="n">
        <v>4719.14721</v>
      </c>
      <c r="AC450" t="n">
        <v>4712.43794</v>
      </c>
      <c r="AD450" t="n">
        <v>0</v>
      </c>
      <c r="AE450">
        <f>AE449+1</f>
        <v/>
      </c>
      <c r="AF450">
        <f>AF449+1</f>
        <v/>
      </c>
      <c r="AG450">
        <f>D450-Q450</f>
        <v/>
      </c>
      <c r="AH450">
        <f>AG450^2</f>
        <v/>
      </c>
      <c r="AI450">
        <f>(AG450/STDEV($AG$3:$AG$1137))^3</f>
        <v/>
      </c>
      <c r="AJ450">
        <f>(AG450/STDEV($AG$3:$AG$1137))^4</f>
        <v/>
      </c>
      <c r="AK450">
        <f>AF450^2</f>
        <v/>
      </c>
      <c r="AL450">
        <f>IF(AD450=1,AB450,IF(AL449&lt;&gt;"",AL449,""))</f>
        <v/>
      </c>
      <c r="AM450">
        <f>IF(AND(AD450=1,AL449&lt;&gt;""),ABS(AB450-AL449),"")</f>
        <v/>
      </c>
    </row>
    <row r="451">
      <c r="A451" t="n">
        <v>1776945602</v>
      </c>
      <c r="B451" t="inlineStr">
        <is>
          <t>XAUUSD</t>
        </is>
      </c>
      <c r="C451" t="inlineStr">
        <is>
          <t>M15</t>
        </is>
      </c>
      <c r="D451" t="n">
        <v>4729.21</v>
      </c>
      <c r="E451" t="n">
        <v>4518.59282</v>
      </c>
      <c r="F451" t="n">
        <v>4596.05595</v>
      </c>
      <c r="G451" t="n">
        <v>4755.40355</v>
      </c>
      <c r="H451" t="n">
        <v>4792.76972</v>
      </c>
      <c r="Q451" t="n">
        <v>4697.48349</v>
      </c>
      <c r="R451" t="n">
        <v>4726.84679</v>
      </c>
      <c r="S451" t="n">
        <v>4753.43556</v>
      </c>
      <c r="V451" t="n">
        <v>4662.54372</v>
      </c>
      <c r="W451" t="n">
        <v>4628.97873</v>
      </c>
      <c r="AB451" t="n">
        <v>4725.80123</v>
      </c>
      <c r="AC451" t="n">
        <v>4719.11958</v>
      </c>
      <c r="AD451" t="n">
        <v>0</v>
      </c>
      <c r="AE451">
        <f>AE450+1</f>
        <v/>
      </c>
      <c r="AF451">
        <f>AF450+1</f>
        <v/>
      </c>
      <c r="AG451">
        <f>D451-Q451</f>
        <v/>
      </c>
      <c r="AH451">
        <f>AG451^2</f>
        <v/>
      </c>
      <c r="AI451">
        <f>(AG451/STDEV($AG$3:$AG$1137))^3</f>
        <v/>
      </c>
      <c r="AJ451">
        <f>(AG451/STDEV($AG$3:$AG$1137))^4</f>
        <v/>
      </c>
      <c r="AK451">
        <f>AF451^2</f>
        <v/>
      </c>
      <c r="AL451">
        <f>IF(AD451=1,AB451,IF(AL450&lt;&gt;"",AL450,""))</f>
        <v/>
      </c>
      <c r="AM451">
        <f>IF(AND(AD451=1,AL450&lt;&gt;""),ABS(AB451-AL450),"")</f>
        <v/>
      </c>
    </row>
    <row r="452">
      <c r="A452" t="n">
        <v>1776946502</v>
      </c>
      <c r="B452" t="inlineStr">
        <is>
          <t>XAUUSD</t>
        </is>
      </c>
      <c r="C452" t="inlineStr">
        <is>
          <t>M15</t>
        </is>
      </c>
      <c r="D452" t="n">
        <v>4733.39</v>
      </c>
      <c r="E452" t="n">
        <v>4518.59282</v>
      </c>
      <c r="F452" t="n">
        <v>4596.05595</v>
      </c>
      <c r="G452" t="n">
        <v>4755.40355</v>
      </c>
      <c r="H452" t="n">
        <v>4792.76972</v>
      </c>
      <c r="Q452" t="n">
        <v>4697.21589</v>
      </c>
      <c r="R452" t="n">
        <v>4726.57919</v>
      </c>
      <c r="S452" t="n">
        <v>4753.16796</v>
      </c>
      <c r="V452" t="n">
        <v>4662.27612</v>
      </c>
      <c r="W452" t="n">
        <v>4628.71112</v>
      </c>
      <c r="AB452" t="n">
        <v>4730.86558</v>
      </c>
      <c r="AC452" t="n">
        <v>4724.99258</v>
      </c>
      <c r="AD452" t="n">
        <v>0</v>
      </c>
      <c r="AE452">
        <f>AE451+1</f>
        <v/>
      </c>
      <c r="AF452">
        <f>AF451+1</f>
        <v/>
      </c>
      <c r="AG452">
        <f>D452-Q452</f>
        <v/>
      </c>
      <c r="AH452">
        <f>AG452^2</f>
        <v/>
      </c>
      <c r="AI452">
        <f>(AG452/STDEV($AG$3:$AG$1137))^3</f>
        <v/>
      </c>
      <c r="AJ452">
        <f>(AG452/STDEV($AG$3:$AG$1137))^4</f>
        <v/>
      </c>
      <c r="AK452">
        <f>AF452^2</f>
        <v/>
      </c>
      <c r="AL452">
        <f>IF(AD452=1,AB452,IF(AL451&lt;&gt;"",AL451,""))</f>
        <v/>
      </c>
      <c r="AM452">
        <f>IF(AND(AD452=1,AL451&lt;&gt;""),ABS(AB452-AL451),"")</f>
        <v/>
      </c>
    </row>
    <row r="453">
      <c r="A453" t="n">
        <v>1776947402</v>
      </c>
      <c r="B453" t="inlineStr">
        <is>
          <t>XAUUSD</t>
        </is>
      </c>
      <c r="C453" t="inlineStr">
        <is>
          <t>M15</t>
        </is>
      </c>
      <c r="D453" t="n">
        <v>4739.41</v>
      </c>
      <c r="E453" t="n">
        <v>4518.59282</v>
      </c>
      <c r="F453" t="n">
        <v>4596.05595</v>
      </c>
      <c r="G453" t="n">
        <v>4755.40355</v>
      </c>
      <c r="H453" t="n">
        <v>4792.76972</v>
      </c>
      <c r="Q453" t="n">
        <v>4696.94829</v>
      </c>
      <c r="R453" t="n">
        <v>4726.31159</v>
      </c>
      <c r="S453" t="n">
        <v>4752.90036</v>
      </c>
      <c r="V453" t="n">
        <v>4662.00852</v>
      </c>
      <c r="W453" t="n">
        <v>4628.44352</v>
      </c>
      <c r="AB453" t="n">
        <v>4733.93202</v>
      </c>
      <c r="AC453" t="n">
        <v>4729.4623</v>
      </c>
      <c r="AD453" t="n">
        <v>0</v>
      </c>
      <c r="AE453">
        <f>AE452+1</f>
        <v/>
      </c>
      <c r="AF453">
        <f>AF452+1</f>
        <v/>
      </c>
      <c r="AG453">
        <f>D453-Q453</f>
        <v/>
      </c>
      <c r="AH453">
        <f>AG453^2</f>
        <v/>
      </c>
      <c r="AI453">
        <f>(AG453/STDEV($AG$3:$AG$1137))^3</f>
        <v/>
      </c>
      <c r="AJ453">
        <f>(AG453/STDEV($AG$3:$AG$1137))^4</f>
        <v/>
      </c>
      <c r="AK453">
        <f>AF453^2</f>
        <v/>
      </c>
      <c r="AL453">
        <f>IF(AD453=1,AB453,IF(AL452&lt;&gt;"",AL452,""))</f>
        <v/>
      </c>
      <c r="AM453">
        <f>IF(AND(AD453=1,AL452&lt;&gt;""),ABS(AB453-AL452),"")</f>
        <v/>
      </c>
    </row>
    <row r="454">
      <c r="A454" t="n">
        <v>1776948302</v>
      </c>
      <c r="B454" t="inlineStr">
        <is>
          <t>XAUUSD</t>
        </is>
      </c>
      <c r="C454" t="inlineStr">
        <is>
          <t>M15</t>
        </is>
      </c>
      <c r="D454" t="n">
        <v>4740.04</v>
      </c>
      <c r="E454" t="n">
        <v>4518.59282</v>
      </c>
      <c r="F454" t="n">
        <v>4596.05595</v>
      </c>
      <c r="G454" t="n">
        <v>4755.40355</v>
      </c>
      <c r="H454" t="n">
        <v>4792.76972</v>
      </c>
      <c r="Q454" t="n">
        <v>4696.68068</v>
      </c>
      <c r="R454" t="n">
        <v>4726.04398</v>
      </c>
      <c r="S454" t="n">
        <v>4752.63275</v>
      </c>
      <c r="V454" t="n">
        <v>4661.74091</v>
      </c>
      <c r="W454" t="n">
        <v>4628.17592</v>
      </c>
      <c r="Z454" t="n">
        <v>4743.22</v>
      </c>
      <c r="AB454" t="n">
        <v>4734.87766</v>
      </c>
      <c r="AC454" t="n">
        <v>4732.16998</v>
      </c>
      <c r="AD454" t="n">
        <v>0</v>
      </c>
      <c r="AE454">
        <f>AE453+1</f>
        <v/>
      </c>
      <c r="AF454">
        <f>AF453+1</f>
        <v/>
      </c>
      <c r="AG454">
        <f>D454-Q454</f>
        <v/>
      </c>
      <c r="AH454">
        <f>AG454^2</f>
        <v/>
      </c>
      <c r="AI454">
        <f>(AG454/STDEV($AG$3:$AG$1137))^3</f>
        <v/>
      </c>
      <c r="AJ454">
        <f>(AG454/STDEV($AG$3:$AG$1137))^4</f>
        <v/>
      </c>
      <c r="AK454">
        <f>AF454^2</f>
        <v/>
      </c>
      <c r="AL454">
        <f>IF(AD454=1,AB454,IF(AL453&lt;&gt;"",AL453,""))</f>
        <v/>
      </c>
      <c r="AM454">
        <f>IF(AND(AD454=1,AL453&lt;&gt;""),ABS(AB454-AL453),"")</f>
        <v/>
      </c>
    </row>
    <row r="455">
      <c r="A455" t="n">
        <v>1776949202</v>
      </c>
      <c r="B455" t="inlineStr">
        <is>
          <t>XAUUSD</t>
        </is>
      </c>
      <c r="C455" t="inlineStr">
        <is>
          <t>M15</t>
        </is>
      </c>
      <c r="D455" t="n">
        <v>4725.95</v>
      </c>
      <c r="E455" t="n">
        <v>4518.59282</v>
      </c>
      <c r="F455" t="n">
        <v>4596.05595</v>
      </c>
      <c r="G455" t="n">
        <v>4755.40355</v>
      </c>
      <c r="H455" t="n">
        <v>4792.76972</v>
      </c>
      <c r="Q455" t="n">
        <v>4696.41308</v>
      </c>
      <c r="R455" t="n">
        <v>4725.77638</v>
      </c>
      <c r="S455" t="n">
        <v>4752.36515</v>
      </c>
      <c r="V455" t="n">
        <v>4661.47331</v>
      </c>
      <c r="W455" t="n">
        <v>4627.90831</v>
      </c>
      <c r="AB455" t="n">
        <v>4734.05049</v>
      </c>
      <c r="AC455" t="n">
        <v>4733.11024</v>
      </c>
      <c r="AD455" t="n">
        <v>0</v>
      </c>
      <c r="AE455">
        <f>AE454+1</f>
        <v/>
      </c>
      <c r="AF455">
        <f>AF454+1</f>
        <v/>
      </c>
      <c r="AG455">
        <f>D455-Q455</f>
        <v/>
      </c>
      <c r="AH455">
        <f>AG455^2</f>
        <v/>
      </c>
      <c r="AI455">
        <f>(AG455/STDEV($AG$3:$AG$1137))^3</f>
        <v/>
      </c>
      <c r="AJ455">
        <f>(AG455/STDEV($AG$3:$AG$1137))^4</f>
        <v/>
      </c>
      <c r="AK455">
        <f>AF455^2</f>
        <v/>
      </c>
      <c r="AL455">
        <f>IF(AD455=1,AB455,IF(AL454&lt;&gt;"",AL454,""))</f>
        <v/>
      </c>
      <c r="AM455">
        <f>IF(AND(AD455=1,AL454&lt;&gt;""),ABS(AB455-AL454),"")</f>
        <v/>
      </c>
    </row>
    <row r="456">
      <c r="A456" t="n">
        <v>1776950102</v>
      </c>
      <c r="B456" t="inlineStr">
        <is>
          <t>XAUUSD</t>
        </is>
      </c>
      <c r="C456" t="inlineStr">
        <is>
          <t>M15</t>
        </is>
      </c>
      <c r="D456" t="n">
        <v>4727.53</v>
      </c>
      <c r="E456" t="n">
        <v>4518.59282</v>
      </c>
      <c r="F456" t="n">
        <v>4596.05595</v>
      </c>
      <c r="G456" t="n">
        <v>4755.40355</v>
      </c>
      <c r="H456" t="n">
        <v>4792.76972</v>
      </c>
      <c r="Q456" t="n">
        <v>4696.14547</v>
      </c>
      <c r="R456" t="n">
        <v>4725.50877</v>
      </c>
      <c r="S456" t="n">
        <v>4752.09754</v>
      </c>
      <c r="V456" t="n">
        <v>4661.2057</v>
      </c>
      <c r="W456" t="n">
        <v>4627.64071</v>
      </c>
      <c r="AB456" t="n">
        <v>4732.42029</v>
      </c>
      <c r="AC456" t="n">
        <v>4732.76526</v>
      </c>
      <c r="AD456" t="n">
        <v>1</v>
      </c>
      <c r="AE456">
        <f>AE455+1</f>
        <v/>
      </c>
      <c r="AF456">
        <f>AF455+1</f>
        <v/>
      </c>
      <c r="AG456">
        <f>D456-Q456</f>
        <v/>
      </c>
      <c r="AH456">
        <f>AG456^2</f>
        <v/>
      </c>
      <c r="AI456">
        <f>(AG456/STDEV($AG$3:$AG$1137))^3</f>
        <v/>
      </c>
      <c r="AJ456">
        <f>(AG456/STDEV($AG$3:$AG$1137))^4</f>
        <v/>
      </c>
      <c r="AK456">
        <f>AF456^2</f>
        <v/>
      </c>
      <c r="AL456">
        <f>IF(AD456=1,AB456,IF(AL455&lt;&gt;"",AL455,""))</f>
        <v/>
      </c>
      <c r="AM456">
        <f>IF(AND(AD456=1,AL455&lt;&gt;""),ABS(AB456-AL455),"")</f>
        <v/>
      </c>
    </row>
    <row r="457">
      <c r="A457" t="n">
        <v>1776951002</v>
      </c>
      <c r="B457" t="inlineStr">
        <is>
          <t>XAUUSD</t>
        </is>
      </c>
      <c r="C457" t="inlineStr">
        <is>
          <t>M15</t>
        </is>
      </c>
      <c r="D457" t="n">
        <v>4734.55</v>
      </c>
      <c r="E457" t="n">
        <v>4518.59282</v>
      </c>
      <c r="F457" t="n">
        <v>4596.05595</v>
      </c>
      <c r="G457" t="n">
        <v>4755.40355</v>
      </c>
      <c r="H457" t="n">
        <v>4792.76972</v>
      </c>
      <c r="Q457" t="n">
        <v>4695.87787</v>
      </c>
      <c r="R457" t="n">
        <v>4725.24117</v>
      </c>
      <c r="S457" t="n">
        <v>4751.82994</v>
      </c>
      <c r="V457" t="n">
        <v>4660.9381</v>
      </c>
      <c r="W457" t="n">
        <v>4627.3731</v>
      </c>
      <c r="AB457" t="n">
        <v>4730.54749</v>
      </c>
      <c r="AC457" t="n">
        <v>4731.65638</v>
      </c>
      <c r="AD457" t="n">
        <v>0</v>
      </c>
      <c r="AE457">
        <f>AE456+1</f>
        <v/>
      </c>
      <c r="AF457">
        <f>AF456+1</f>
        <v/>
      </c>
      <c r="AG457">
        <f>D457-Q457</f>
        <v/>
      </c>
      <c r="AH457">
        <f>AG457^2</f>
        <v/>
      </c>
      <c r="AI457">
        <f>(AG457/STDEV($AG$3:$AG$1137))^3</f>
        <v/>
      </c>
      <c r="AJ457">
        <f>(AG457/STDEV($AG$3:$AG$1137))^4</f>
        <v/>
      </c>
      <c r="AK457">
        <f>AF457^2</f>
        <v/>
      </c>
      <c r="AL457">
        <f>IF(AD457=1,AB457,IF(AL456&lt;&gt;"",AL456,""))</f>
        <v/>
      </c>
      <c r="AM457">
        <f>IF(AND(AD457=1,AL456&lt;&gt;""),ABS(AB457-AL456),"")</f>
        <v/>
      </c>
    </row>
    <row r="458">
      <c r="A458" t="n">
        <v>1776951902</v>
      </c>
      <c r="B458" t="inlineStr">
        <is>
          <t>XAUUSD</t>
        </is>
      </c>
      <c r="C458" t="inlineStr">
        <is>
          <t>M15</t>
        </is>
      </c>
      <c r="D458" t="n">
        <v>4724.46</v>
      </c>
      <c r="E458" t="n">
        <v>4518.59282</v>
      </c>
      <c r="F458" t="n">
        <v>4596.05595</v>
      </c>
      <c r="G458" t="n">
        <v>4755.40355</v>
      </c>
      <c r="H458" t="n">
        <v>4792.76972</v>
      </c>
      <c r="Q458" t="n">
        <v>4695.61027</v>
      </c>
      <c r="R458" t="n">
        <v>4724.97357</v>
      </c>
      <c r="S458" t="n">
        <v>4751.56234</v>
      </c>
      <c r="V458" t="n">
        <v>4660.6705</v>
      </c>
      <c r="W458" t="n">
        <v>4627.1055</v>
      </c>
      <c r="AB458" t="n">
        <v>4728.79684</v>
      </c>
      <c r="AC458" t="n">
        <v>4730.22661</v>
      </c>
      <c r="AD458" t="n">
        <v>0</v>
      </c>
      <c r="AE458">
        <f>AE457+1</f>
        <v/>
      </c>
      <c r="AF458">
        <f>AF457+1</f>
        <v/>
      </c>
      <c r="AG458">
        <f>D458-Q458</f>
        <v/>
      </c>
      <c r="AH458">
        <f>AG458^2</f>
        <v/>
      </c>
      <c r="AI458">
        <f>(AG458/STDEV($AG$3:$AG$1137))^3</f>
        <v/>
      </c>
      <c r="AJ458">
        <f>(AG458/STDEV($AG$3:$AG$1137))^4</f>
        <v/>
      </c>
      <c r="AK458">
        <f>AF458^2</f>
        <v/>
      </c>
      <c r="AL458">
        <f>IF(AD458=1,AB458,IF(AL457&lt;&gt;"",AL457,""))</f>
        <v/>
      </c>
      <c r="AM458">
        <f>IF(AND(AD458=1,AL457&lt;&gt;""),ABS(AB458-AL457),"")</f>
        <v/>
      </c>
    </row>
    <row r="459">
      <c r="A459" t="n">
        <v>1776952802</v>
      </c>
      <c r="B459" t="inlineStr">
        <is>
          <t>XAUUSD</t>
        </is>
      </c>
      <c r="C459" t="inlineStr">
        <is>
          <t>M15</t>
        </is>
      </c>
      <c r="D459" t="n">
        <v>4724.31</v>
      </c>
      <c r="E459" t="n">
        <v>4518.59282</v>
      </c>
      <c r="F459" t="n">
        <v>4596.05595</v>
      </c>
      <c r="G459" t="n">
        <v>4755.40355</v>
      </c>
      <c r="H459" t="n">
        <v>4792.76972</v>
      </c>
      <c r="Q459" t="n">
        <v>4695.34266</v>
      </c>
      <c r="R459" t="n">
        <v>4724.70596</v>
      </c>
      <c r="S459" t="n">
        <v>4751.29473</v>
      </c>
      <c r="V459" t="n">
        <v>4660.40289</v>
      </c>
      <c r="W459" t="n">
        <v>4626.8379</v>
      </c>
      <c r="AB459" t="n">
        <v>4727.84824</v>
      </c>
      <c r="AC459" t="n">
        <v>4729.03742</v>
      </c>
      <c r="AD459" t="n">
        <v>0</v>
      </c>
      <c r="AE459">
        <f>AE458+1</f>
        <v/>
      </c>
      <c r="AF459">
        <f>AF458+1</f>
        <v/>
      </c>
      <c r="AG459">
        <f>D459-Q459</f>
        <v/>
      </c>
      <c r="AH459">
        <f>AG459^2</f>
        <v/>
      </c>
      <c r="AI459">
        <f>(AG459/STDEV($AG$3:$AG$1137))^3</f>
        <v/>
      </c>
      <c r="AJ459">
        <f>(AG459/STDEV($AG$3:$AG$1137))^4</f>
        <v/>
      </c>
      <c r="AK459">
        <f>AF459^2</f>
        <v/>
      </c>
      <c r="AL459">
        <f>IF(AD459=1,AB459,IF(AL458&lt;&gt;"",AL458,""))</f>
        <v/>
      </c>
      <c r="AM459">
        <f>IF(AND(AD459=1,AL458&lt;&gt;""),ABS(AB459-AL458),"")</f>
        <v/>
      </c>
    </row>
    <row r="460">
      <c r="A460" t="n">
        <v>1776953702</v>
      </c>
      <c r="B460" t="inlineStr">
        <is>
          <t>XAUUSD</t>
        </is>
      </c>
      <c r="C460" t="inlineStr">
        <is>
          <t>M15</t>
        </is>
      </c>
      <c r="D460" t="n">
        <v>4731.54</v>
      </c>
      <c r="E460" t="n">
        <v>4518.59282</v>
      </c>
      <c r="F460" t="n">
        <v>4596.05595</v>
      </c>
      <c r="G460" t="n">
        <v>4755.40355</v>
      </c>
      <c r="H460" t="n">
        <v>4792.76972</v>
      </c>
      <c r="Q460" t="n">
        <v>4695.07506</v>
      </c>
      <c r="R460" t="n">
        <v>4724.43836</v>
      </c>
      <c r="S460" t="n">
        <v>4751.02713</v>
      </c>
      <c r="V460" t="n">
        <v>4660.13529</v>
      </c>
      <c r="W460" t="n">
        <v>4626.57029</v>
      </c>
      <c r="AB460" t="n">
        <v>4727.84825</v>
      </c>
      <c r="AC460" t="n">
        <v>4728.44283</v>
      </c>
      <c r="AD460" t="n">
        <v>0</v>
      </c>
      <c r="AE460">
        <f>AE459+1</f>
        <v/>
      </c>
      <c r="AF460">
        <f>AF459+1</f>
        <v/>
      </c>
      <c r="AG460">
        <f>D460-Q460</f>
        <v/>
      </c>
      <c r="AH460">
        <f>AG460^2</f>
        <v/>
      </c>
      <c r="AI460">
        <f>(AG460/STDEV($AG$3:$AG$1137))^3</f>
        <v/>
      </c>
      <c r="AJ460">
        <f>(AG460/STDEV($AG$3:$AG$1137))^4</f>
        <v/>
      </c>
      <c r="AK460">
        <f>AF460^2</f>
        <v/>
      </c>
      <c r="AL460">
        <f>IF(AD460=1,AB460,IF(AL459&lt;&gt;"",AL459,""))</f>
        <v/>
      </c>
      <c r="AM460">
        <f>IF(AND(AD460=1,AL459&lt;&gt;""),ABS(AB460-AL459),"")</f>
        <v/>
      </c>
    </row>
    <row r="461">
      <c r="A461" t="n">
        <v>1776954602</v>
      </c>
      <c r="B461" t="inlineStr">
        <is>
          <t>XAUUSD</t>
        </is>
      </c>
      <c r="C461" t="inlineStr">
        <is>
          <t>M15</t>
        </is>
      </c>
      <c r="D461" t="n">
        <v>4730.97</v>
      </c>
      <c r="E461" t="n">
        <v>4518.59282</v>
      </c>
      <c r="F461" t="n">
        <v>4596.05595</v>
      </c>
      <c r="G461" t="n">
        <v>4755.40355</v>
      </c>
      <c r="H461" t="n">
        <v>4792.76972</v>
      </c>
      <c r="Q461" t="n">
        <v>4694.80745</v>
      </c>
      <c r="R461" t="n">
        <v>4724.17075</v>
      </c>
      <c r="S461" t="n">
        <v>4750.75952</v>
      </c>
      <c r="V461" t="n">
        <v>4659.86768</v>
      </c>
      <c r="W461" t="n">
        <v>4626.30269</v>
      </c>
      <c r="AB461" t="n">
        <v>4728.48977</v>
      </c>
      <c r="AC461" t="n">
        <v>4728.4663</v>
      </c>
      <c r="AD461" t="n">
        <v>1</v>
      </c>
      <c r="AE461">
        <f>AE460+1</f>
        <v/>
      </c>
      <c r="AF461">
        <f>AF460+1</f>
        <v/>
      </c>
      <c r="AG461">
        <f>D461-Q461</f>
        <v/>
      </c>
      <c r="AH461">
        <f>AG461^2</f>
        <v/>
      </c>
      <c r="AI461">
        <f>(AG461/STDEV($AG$3:$AG$1137))^3</f>
        <v/>
      </c>
      <c r="AJ461">
        <f>(AG461/STDEV($AG$3:$AG$1137))^4</f>
        <v/>
      </c>
      <c r="AK461">
        <f>AF461^2</f>
        <v/>
      </c>
      <c r="AL461">
        <f>IF(AD461=1,AB461,IF(AL460&lt;&gt;"",AL460,""))</f>
        <v/>
      </c>
      <c r="AM461">
        <f>IF(AND(AD461=1,AL460&lt;&gt;""),ABS(AB461-AL460),"")</f>
        <v/>
      </c>
    </row>
    <row r="462">
      <c r="A462" t="n">
        <v>1776955502</v>
      </c>
      <c r="B462" t="inlineStr">
        <is>
          <t>XAUUSD</t>
        </is>
      </c>
      <c r="C462" t="inlineStr">
        <is>
          <t>M15</t>
        </is>
      </c>
      <c r="D462" t="n">
        <v>4733.72</v>
      </c>
      <c r="E462" t="n">
        <v>4518.59282</v>
      </c>
      <c r="F462" t="n">
        <v>4596.05595</v>
      </c>
      <c r="G462" t="n">
        <v>4755.40355</v>
      </c>
      <c r="H462" t="n">
        <v>4792.76972</v>
      </c>
      <c r="Q462" t="n">
        <v>4694.53985</v>
      </c>
      <c r="R462" t="n">
        <v>4723.90315</v>
      </c>
      <c r="S462" t="n">
        <v>4750.49192</v>
      </c>
      <c r="V462" t="n">
        <v>4659.60008</v>
      </c>
      <c r="W462" t="n">
        <v>4626.03508</v>
      </c>
      <c r="AB462" t="n">
        <v>4729.49372</v>
      </c>
      <c r="AC462" t="n">
        <v>4728.98001</v>
      </c>
      <c r="AD462" t="n">
        <v>0</v>
      </c>
      <c r="AE462">
        <f>AE461+1</f>
        <v/>
      </c>
      <c r="AF462">
        <f>AF461+1</f>
        <v/>
      </c>
      <c r="AG462">
        <f>D462-Q462</f>
        <v/>
      </c>
      <c r="AH462">
        <f>AG462^2</f>
        <v/>
      </c>
      <c r="AI462">
        <f>(AG462/STDEV($AG$3:$AG$1137))^3</f>
        <v/>
      </c>
      <c r="AJ462">
        <f>(AG462/STDEV($AG$3:$AG$1137))^4</f>
        <v/>
      </c>
      <c r="AK462">
        <f>AF462^2</f>
        <v/>
      </c>
      <c r="AL462">
        <f>IF(AD462=1,AB462,IF(AL461&lt;&gt;"",AL461,""))</f>
        <v/>
      </c>
      <c r="AM462">
        <f>IF(AND(AD462=1,AL461&lt;&gt;""),ABS(AB462-AL461),"")</f>
        <v/>
      </c>
    </row>
    <row r="463">
      <c r="A463" t="n">
        <v>1776956402</v>
      </c>
      <c r="B463" t="inlineStr">
        <is>
          <t>XAUUSD</t>
        </is>
      </c>
      <c r="C463" t="inlineStr">
        <is>
          <t>M15</t>
        </is>
      </c>
      <c r="D463" t="n">
        <v>4730.76</v>
      </c>
      <c r="E463" t="n">
        <v>4518.59282</v>
      </c>
      <c r="F463" t="n">
        <v>4596.05595</v>
      </c>
      <c r="G463" t="n">
        <v>4755.40355</v>
      </c>
      <c r="H463" t="n">
        <v>4792.76972</v>
      </c>
      <c r="Q463" t="n">
        <v>4694.27225</v>
      </c>
      <c r="R463" t="n">
        <v>4723.63554</v>
      </c>
      <c r="S463" t="n">
        <v>4750.22432</v>
      </c>
      <c r="V463" t="n">
        <v>4659.33248</v>
      </c>
      <c r="W463" t="n">
        <v>4625.76748</v>
      </c>
      <c r="AB463" t="n">
        <v>4730.38769</v>
      </c>
      <c r="AC463" t="n">
        <v>4729.68385</v>
      </c>
      <c r="AD463" t="n">
        <v>0</v>
      </c>
      <c r="AE463">
        <f>AE462+1</f>
        <v/>
      </c>
      <c r="AF463">
        <f>AF462+1</f>
        <v/>
      </c>
      <c r="AG463">
        <f>D463-Q463</f>
        <v/>
      </c>
      <c r="AH463">
        <f>AG463^2</f>
        <v/>
      </c>
      <c r="AI463">
        <f>(AG463/STDEV($AG$3:$AG$1137))^3</f>
        <v/>
      </c>
      <c r="AJ463">
        <f>(AG463/STDEV($AG$3:$AG$1137))^4</f>
        <v/>
      </c>
      <c r="AK463">
        <f>AF463^2</f>
        <v/>
      </c>
      <c r="AL463">
        <f>IF(AD463=1,AB463,IF(AL462&lt;&gt;"",AL462,""))</f>
        <v/>
      </c>
      <c r="AM463">
        <f>IF(AND(AD463=1,AL462&lt;&gt;""),ABS(AB463-AL462),"")</f>
        <v/>
      </c>
    </row>
    <row r="464">
      <c r="A464" t="n">
        <v>1776957302</v>
      </c>
      <c r="B464" t="inlineStr">
        <is>
          <t>XAUUSD</t>
        </is>
      </c>
      <c r="C464" t="inlineStr">
        <is>
          <t>M15</t>
        </is>
      </c>
      <c r="D464" t="n">
        <v>4733.6</v>
      </c>
      <c r="E464" t="n">
        <v>4518.59282</v>
      </c>
      <c r="F464" t="n">
        <v>4596.05595</v>
      </c>
      <c r="G464" t="n">
        <v>4755.40355</v>
      </c>
      <c r="H464" t="n">
        <v>4792.76972</v>
      </c>
      <c r="Q464" t="n">
        <v>4694.00464</v>
      </c>
      <c r="R464" t="n">
        <v>4723.36794</v>
      </c>
      <c r="S464" t="n">
        <v>4749.95671</v>
      </c>
      <c r="V464" t="n">
        <v>4659.06487</v>
      </c>
      <c r="W464" t="n">
        <v>4625.49988</v>
      </c>
      <c r="AB464" t="n">
        <v>4730.83101</v>
      </c>
      <c r="AC464" t="n">
        <v>4730.25743</v>
      </c>
      <c r="AD464" t="n">
        <v>0</v>
      </c>
      <c r="AE464">
        <f>AE463+1</f>
        <v/>
      </c>
      <c r="AF464">
        <f>AF463+1</f>
        <v/>
      </c>
      <c r="AG464">
        <f>D464-Q464</f>
        <v/>
      </c>
      <c r="AH464">
        <f>AG464^2</f>
        <v/>
      </c>
      <c r="AI464">
        <f>(AG464/STDEV($AG$3:$AG$1137))^3</f>
        <v/>
      </c>
      <c r="AJ464">
        <f>(AG464/STDEV($AG$3:$AG$1137))^4</f>
        <v/>
      </c>
      <c r="AK464">
        <f>AF464^2</f>
        <v/>
      </c>
      <c r="AL464">
        <f>IF(AD464=1,AB464,IF(AL463&lt;&gt;"",AL463,""))</f>
        <v/>
      </c>
      <c r="AM464">
        <f>IF(AND(AD464=1,AL463&lt;&gt;""),ABS(AB464-AL463),"")</f>
        <v/>
      </c>
    </row>
    <row r="465">
      <c r="A465" t="n">
        <v>1776958202</v>
      </c>
      <c r="B465" t="inlineStr">
        <is>
          <t>XAUUSD</t>
        </is>
      </c>
      <c r="C465" t="inlineStr">
        <is>
          <t>M15</t>
        </is>
      </c>
      <c r="D465" t="n">
        <v>4728.34</v>
      </c>
      <c r="E465" t="n">
        <v>4518.59282</v>
      </c>
      <c r="F465" t="n">
        <v>4596.05595</v>
      </c>
      <c r="G465" t="n">
        <v>4755.40355</v>
      </c>
      <c r="H465" t="n">
        <v>4792.76972</v>
      </c>
      <c r="Q465" t="n">
        <v>4693.73704</v>
      </c>
      <c r="R465" t="n">
        <v>4723.10034</v>
      </c>
      <c r="S465" t="n">
        <v>4749.68911</v>
      </c>
      <c r="V465" t="n">
        <v>4658.79727</v>
      </c>
      <c r="W465" t="n">
        <v>4625.23227</v>
      </c>
      <c r="AB465" t="n">
        <v>4730.42014</v>
      </c>
      <c r="AC465" t="n">
        <v>4730.33878</v>
      </c>
      <c r="AD465" t="n">
        <v>0</v>
      </c>
      <c r="AE465">
        <f>AE464+1</f>
        <v/>
      </c>
      <c r="AF465">
        <f>AF464+1</f>
        <v/>
      </c>
      <c r="AG465">
        <f>D465-Q465</f>
        <v/>
      </c>
      <c r="AH465">
        <f>AG465^2</f>
        <v/>
      </c>
      <c r="AI465">
        <f>(AG465/STDEV($AG$3:$AG$1137))^3</f>
        <v/>
      </c>
      <c r="AJ465">
        <f>(AG465/STDEV($AG$3:$AG$1137))^4</f>
        <v/>
      </c>
      <c r="AK465">
        <f>AF465^2</f>
        <v/>
      </c>
      <c r="AL465">
        <f>IF(AD465=1,AB465,IF(AL464&lt;&gt;"",AL464,""))</f>
        <v/>
      </c>
      <c r="AM465">
        <f>IF(AND(AD465=1,AL464&lt;&gt;""),ABS(AB465-AL464),"")</f>
        <v/>
      </c>
    </row>
    <row r="466">
      <c r="A466" t="n">
        <v>1776959102</v>
      </c>
      <c r="B466" t="inlineStr">
        <is>
          <t>XAUUSD</t>
        </is>
      </c>
      <c r="C466" t="inlineStr">
        <is>
          <t>M15</t>
        </is>
      </c>
      <c r="D466" t="n">
        <v>4720.42</v>
      </c>
      <c r="E466" t="n">
        <v>4518.59282</v>
      </c>
      <c r="F466" t="n">
        <v>4596.05595</v>
      </c>
      <c r="G466" t="n">
        <v>4755.40355</v>
      </c>
      <c r="H466" t="n">
        <v>4792.76972</v>
      </c>
      <c r="Q466" t="n">
        <v>4693.46943</v>
      </c>
      <c r="R466" t="n">
        <v>4722.83273</v>
      </c>
      <c r="S466" t="n">
        <v>4749.4215</v>
      </c>
      <c r="V466" t="n">
        <v>4658.52966</v>
      </c>
      <c r="W466" t="n">
        <v>4624.96467</v>
      </c>
      <c r="AB466" t="n">
        <v>4729.11984</v>
      </c>
      <c r="AC466" t="n">
        <v>4729.72931</v>
      </c>
      <c r="AD466" t="n">
        <v>1</v>
      </c>
      <c r="AE466">
        <f>AE465+1</f>
        <v/>
      </c>
      <c r="AF466">
        <f>AF465+1</f>
        <v/>
      </c>
      <c r="AG466">
        <f>D466-Q466</f>
        <v/>
      </c>
      <c r="AH466">
        <f>AG466^2</f>
        <v/>
      </c>
      <c r="AI466">
        <f>(AG466/STDEV($AG$3:$AG$1137))^3</f>
        <v/>
      </c>
      <c r="AJ466">
        <f>(AG466/STDEV($AG$3:$AG$1137))^4</f>
        <v/>
      </c>
      <c r="AK466">
        <f>AF466^2</f>
        <v/>
      </c>
      <c r="AL466">
        <f>IF(AD466=1,AB466,IF(AL465&lt;&gt;"",AL465,""))</f>
        <v/>
      </c>
      <c r="AM466">
        <f>IF(AND(AD466=1,AL465&lt;&gt;""),ABS(AB466-AL465),"")</f>
        <v/>
      </c>
    </row>
    <row r="467">
      <c r="A467" t="n">
        <v>1776960002</v>
      </c>
      <c r="B467" t="inlineStr">
        <is>
          <t>XAUUSD</t>
        </is>
      </c>
      <c r="C467" t="inlineStr">
        <is>
          <t>M15</t>
        </is>
      </c>
      <c r="D467" t="n">
        <v>4719.39</v>
      </c>
      <c r="E467" t="n">
        <v>4518.59282</v>
      </c>
      <c r="F467" t="n">
        <v>4596.05595</v>
      </c>
      <c r="G467" t="n">
        <v>4755.40355</v>
      </c>
      <c r="H467" t="n">
        <v>4792.76972</v>
      </c>
      <c r="Q467" t="n">
        <v>4693.20183</v>
      </c>
      <c r="R467" t="n">
        <v>4722.56513</v>
      </c>
      <c r="S467" t="n">
        <v>4749.1539</v>
      </c>
      <c r="V467" t="n">
        <v>4658.26206</v>
      </c>
      <c r="W467" t="n">
        <v>4624.69706</v>
      </c>
      <c r="AB467" t="n">
        <v>4727.11757</v>
      </c>
      <c r="AC467" t="n">
        <v>4728.42344</v>
      </c>
      <c r="AD467" t="n">
        <v>0</v>
      </c>
      <c r="AE467">
        <f>AE466+1</f>
        <v/>
      </c>
      <c r="AF467">
        <f>AF466+1</f>
        <v/>
      </c>
      <c r="AG467">
        <f>D467-Q467</f>
        <v/>
      </c>
      <c r="AH467">
        <f>AG467^2</f>
        <v/>
      </c>
      <c r="AI467">
        <f>(AG467/STDEV($AG$3:$AG$1137))^3</f>
        <v/>
      </c>
      <c r="AJ467">
        <f>(AG467/STDEV($AG$3:$AG$1137))^4</f>
        <v/>
      </c>
      <c r="AK467">
        <f>AF467^2</f>
        <v/>
      </c>
      <c r="AL467">
        <f>IF(AD467=1,AB467,IF(AL466&lt;&gt;"",AL466,""))</f>
        <v/>
      </c>
      <c r="AM467">
        <f>IF(AND(AD467=1,AL466&lt;&gt;""),ABS(AB467-AL466),"")</f>
        <v/>
      </c>
    </row>
    <row r="468">
      <c r="A468" t="n">
        <v>1776960902</v>
      </c>
      <c r="B468" t="inlineStr">
        <is>
          <t>XAUUSD</t>
        </is>
      </c>
      <c r="C468" t="inlineStr">
        <is>
          <t>M15</t>
        </is>
      </c>
      <c r="D468" t="n">
        <v>4723.22</v>
      </c>
      <c r="E468" t="n">
        <v>4518.59282</v>
      </c>
      <c r="F468" t="n">
        <v>4596.05595</v>
      </c>
      <c r="G468" t="n">
        <v>4755.40355</v>
      </c>
      <c r="H468" t="n">
        <v>4792.76972</v>
      </c>
      <c r="Q468" t="n">
        <v>4692.93423</v>
      </c>
      <c r="R468" t="n">
        <v>4722.29752</v>
      </c>
      <c r="S468" t="n">
        <v>4748.8863</v>
      </c>
      <c r="V468" t="n">
        <v>4657.99446</v>
      </c>
      <c r="W468" t="n">
        <v>4624.42946</v>
      </c>
      <c r="AB468" t="n">
        <v>4724.55839</v>
      </c>
      <c r="AC468" t="n">
        <v>4726.49091</v>
      </c>
      <c r="AD468" t="n">
        <v>0</v>
      </c>
      <c r="AE468">
        <f>AE467+1</f>
        <v/>
      </c>
      <c r="AF468">
        <f>AF467+1</f>
        <v/>
      </c>
      <c r="AG468">
        <f>D468-Q468</f>
        <v/>
      </c>
      <c r="AH468">
        <f>AG468^2</f>
        <v/>
      </c>
      <c r="AI468">
        <f>(AG468/STDEV($AG$3:$AG$1137))^3</f>
        <v/>
      </c>
      <c r="AJ468">
        <f>(AG468/STDEV($AG$3:$AG$1137))^4</f>
        <v/>
      </c>
      <c r="AK468">
        <f>AF468^2</f>
        <v/>
      </c>
      <c r="AL468">
        <f>IF(AD468=1,AB468,IF(AL467&lt;&gt;"",AL467,""))</f>
        <v/>
      </c>
      <c r="AM468">
        <f>IF(AND(AD468=1,AL467&lt;&gt;""),ABS(AB468-AL467),"")</f>
        <v/>
      </c>
    </row>
    <row r="469">
      <c r="A469" t="n">
        <v>1776961802</v>
      </c>
      <c r="B469" t="inlineStr">
        <is>
          <t>XAUUSD</t>
        </is>
      </c>
      <c r="C469" t="inlineStr">
        <is>
          <t>M15</t>
        </is>
      </c>
      <c r="D469" t="n">
        <v>4734.05</v>
      </c>
      <c r="E469" t="n">
        <v>4518.59282</v>
      </c>
      <c r="F469" t="n">
        <v>4596.05595</v>
      </c>
      <c r="G469" t="n">
        <v>4755.40355</v>
      </c>
      <c r="H469" t="n">
        <v>4792.76972</v>
      </c>
      <c r="Q469" t="n">
        <v>4692.66662</v>
      </c>
      <c r="R469" t="n">
        <v>4722.02992</v>
      </c>
      <c r="S469" t="n">
        <v>4748.61869</v>
      </c>
      <c r="V469" t="n">
        <v>4657.72685</v>
      </c>
      <c r="W469" t="n">
        <v>4624.16185</v>
      </c>
      <c r="AB469" t="n">
        <v>4721.48715</v>
      </c>
      <c r="AC469" t="n">
        <v>4723.98903</v>
      </c>
      <c r="AD469" t="n">
        <v>0</v>
      </c>
      <c r="AE469">
        <f>AE468+1</f>
        <v/>
      </c>
      <c r="AF469">
        <f>AF468+1</f>
        <v/>
      </c>
      <c r="AG469">
        <f>D469-Q469</f>
        <v/>
      </c>
      <c r="AH469">
        <f>AG469^2</f>
        <v/>
      </c>
      <c r="AI469">
        <f>(AG469/STDEV($AG$3:$AG$1137))^3</f>
        <v/>
      </c>
      <c r="AJ469">
        <f>(AG469/STDEV($AG$3:$AG$1137))^4</f>
        <v/>
      </c>
      <c r="AK469">
        <f>AF469^2</f>
        <v/>
      </c>
      <c r="AL469">
        <f>IF(AD469=1,AB469,IF(AL468&lt;&gt;"",AL468,""))</f>
        <v/>
      </c>
      <c r="AM469">
        <f>IF(AND(AD469=1,AL468&lt;&gt;""),ABS(AB469-AL468),"")</f>
        <v/>
      </c>
    </row>
    <row r="470">
      <c r="A470" t="n">
        <v>1776962702</v>
      </c>
      <c r="B470" t="inlineStr">
        <is>
          <t>XAUUSD</t>
        </is>
      </c>
      <c r="C470" t="inlineStr">
        <is>
          <t>M15</t>
        </is>
      </c>
      <c r="D470" t="n">
        <v>4733.09</v>
      </c>
      <c r="E470" t="n">
        <v>4518.59282</v>
      </c>
      <c r="F470" t="n">
        <v>4596.05595</v>
      </c>
      <c r="G470" t="n">
        <v>4755.40355</v>
      </c>
      <c r="H470" t="n">
        <v>4792.76972</v>
      </c>
      <c r="Q470" t="n">
        <v>4692.39902</v>
      </c>
      <c r="R470" t="n">
        <v>4721.76232</v>
      </c>
      <c r="S470" t="n">
        <v>4748.35109</v>
      </c>
      <c r="V470" t="n">
        <v>4657.45925</v>
      </c>
      <c r="W470" t="n">
        <v>4623.89425</v>
      </c>
      <c r="AB470" t="n">
        <v>4717.83008</v>
      </c>
      <c r="AC470" t="n">
        <v>4720.90956</v>
      </c>
      <c r="AD470" t="n">
        <v>0</v>
      </c>
      <c r="AE470">
        <f>AE469+1</f>
        <v/>
      </c>
      <c r="AF470">
        <f>AF469+1</f>
        <v/>
      </c>
      <c r="AG470">
        <f>D470-Q470</f>
        <v/>
      </c>
      <c r="AH470">
        <f>AG470^2</f>
        <v/>
      </c>
      <c r="AI470">
        <f>(AG470/STDEV($AG$3:$AG$1137))^3</f>
        <v/>
      </c>
      <c r="AJ470">
        <f>(AG470/STDEV($AG$3:$AG$1137))^4</f>
        <v/>
      </c>
      <c r="AK470">
        <f>AF470^2</f>
        <v/>
      </c>
      <c r="AL470">
        <f>IF(AD470=1,AB470,IF(AL469&lt;&gt;"",AL469,""))</f>
        <v/>
      </c>
      <c r="AM470">
        <f>IF(AND(AD470=1,AL469&lt;&gt;""),ABS(AB470-AL469),"")</f>
        <v/>
      </c>
    </row>
    <row r="471">
      <c r="A471" t="n">
        <v>1776963602</v>
      </c>
      <c r="B471" t="inlineStr">
        <is>
          <t>XAUUSD</t>
        </is>
      </c>
      <c r="C471" t="inlineStr">
        <is>
          <t>M15</t>
        </is>
      </c>
      <c r="D471" t="n">
        <v>4716.04</v>
      </c>
      <c r="E471" t="n">
        <v>4518.59282</v>
      </c>
      <c r="F471" t="n">
        <v>4596.05595</v>
      </c>
      <c r="G471" t="n">
        <v>4755.40355</v>
      </c>
      <c r="H471" t="n">
        <v>4792.76972</v>
      </c>
      <c r="Q471" t="n">
        <v>4692.13141</v>
      </c>
      <c r="R471" t="n">
        <v>4721.49471</v>
      </c>
      <c r="S471" t="n">
        <v>4748.08348</v>
      </c>
      <c r="V471" t="n">
        <v>4657.19164</v>
      </c>
      <c r="W471" t="n">
        <v>4623.62665</v>
      </c>
      <c r="AB471" t="n">
        <v>4713.91308</v>
      </c>
      <c r="AC471" t="n">
        <v>4717.41132</v>
      </c>
      <c r="AD471" t="n">
        <v>0</v>
      </c>
      <c r="AE471">
        <f>AE470+1</f>
        <v/>
      </c>
      <c r="AF471">
        <f>AF470+1</f>
        <v/>
      </c>
      <c r="AG471">
        <f>D471-Q471</f>
        <v/>
      </c>
      <c r="AH471">
        <f>AG471^2</f>
        <v/>
      </c>
      <c r="AI471">
        <f>(AG471/STDEV($AG$3:$AG$1137))^3</f>
        <v/>
      </c>
      <c r="AJ471">
        <f>(AG471/STDEV($AG$3:$AG$1137))^4</f>
        <v/>
      </c>
      <c r="AK471">
        <f>AF471^2</f>
        <v/>
      </c>
      <c r="AL471">
        <f>IF(AD471=1,AB471,IF(AL470&lt;&gt;"",AL470,""))</f>
        <v/>
      </c>
      <c r="AM471">
        <f>IF(AND(AD471=1,AL470&lt;&gt;""),ABS(AB471-AL470),"")</f>
        <v/>
      </c>
    </row>
    <row r="472">
      <c r="A472" t="n">
        <v>1776964502</v>
      </c>
      <c r="B472" t="inlineStr">
        <is>
          <t>XAUUSD</t>
        </is>
      </c>
      <c r="C472" t="inlineStr">
        <is>
          <t>M15</t>
        </is>
      </c>
      <c r="D472" t="n">
        <v>4706.47</v>
      </c>
      <c r="E472" t="n">
        <v>4518.59282</v>
      </c>
      <c r="F472" t="n">
        <v>4596.05595</v>
      </c>
      <c r="G472" t="n">
        <v>4755.40355</v>
      </c>
      <c r="H472" t="n">
        <v>4792.76972</v>
      </c>
      <c r="Q472" t="n">
        <v>4691.86381</v>
      </c>
      <c r="R472" t="n">
        <v>4721.22711</v>
      </c>
      <c r="S472" t="n">
        <v>4747.81588</v>
      </c>
      <c r="V472" t="n">
        <v>4656.92404</v>
      </c>
      <c r="W472" t="n">
        <v>4623.35904</v>
      </c>
      <c r="AB472" t="n">
        <v>4710.49937</v>
      </c>
      <c r="AC472" t="n">
        <v>4713.95534</v>
      </c>
      <c r="AD472" t="n">
        <v>0</v>
      </c>
      <c r="AE472">
        <f>AE471+1</f>
        <v/>
      </c>
      <c r="AF472">
        <f>AF471+1</f>
        <v/>
      </c>
      <c r="AG472">
        <f>D472-Q472</f>
        <v/>
      </c>
      <c r="AH472">
        <f>AG472^2</f>
        <v/>
      </c>
      <c r="AI472">
        <f>(AG472/STDEV($AG$3:$AG$1137))^3</f>
        <v/>
      </c>
      <c r="AJ472">
        <f>(AG472/STDEV($AG$3:$AG$1137))^4</f>
        <v/>
      </c>
      <c r="AK472">
        <f>AF472^2</f>
        <v/>
      </c>
      <c r="AL472">
        <f>IF(AD472=1,AB472,IF(AL471&lt;&gt;"",AL471,""))</f>
        <v/>
      </c>
      <c r="AM472">
        <f>IF(AND(AD472=1,AL471&lt;&gt;""),ABS(AB472-AL471),"")</f>
        <v/>
      </c>
    </row>
    <row r="473">
      <c r="A473" t="n">
        <v>1776965402</v>
      </c>
      <c r="B473" t="inlineStr">
        <is>
          <t>XAUUSD</t>
        </is>
      </c>
      <c r="C473" t="inlineStr">
        <is>
          <t>M15</t>
        </is>
      </c>
      <c r="D473" t="n">
        <v>4677.41</v>
      </c>
      <c r="E473" t="n">
        <v>4518.59282</v>
      </c>
      <c r="F473" t="n">
        <v>4596.05595</v>
      </c>
      <c r="G473" t="n">
        <v>4755.40355</v>
      </c>
      <c r="H473" t="n">
        <v>4792.76972</v>
      </c>
      <c r="Q473" t="n">
        <v>4691.59621</v>
      </c>
      <c r="R473" t="n">
        <v>4720.9595</v>
      </c>
      <c r="S473" t="n">
        <v>4747.54827</v>
      </c>
      <c r="V473" t="n">
        <v>4656.65643</v>
      </c>
      <c r="W473" t="n">
        <v>4623.09144</v>
      </c>
      <c r="AB473" t="n">
        <v>4708.00685</v>
      </c>
      <c r="AC473" t="n">
        <v>4710.9811</v>
      </c>
      <c r="AD473" t="n">
        <v>0</v>
      </c>
      <c r="AE473">
        <f>AE472+1</f>
        <v/>
      </c>
      <c r="AF473">
        <f>AF472+1</f>
        <v/>
      </c>
      <c r="AG473">
        <f>D473-Q473</f>
        <v/>
      </c>
      <c r="AH473">
        <f>AG473^2</f>
        <v/>
      </c>
      <c r="AI473">
        <f>(AG473/STDEV($AG$3:$AG$1137))^3</f>
        <v/>
      </c>
      <c r="AJ473">
        <f>(AG473/STDEV($AG$3:$AG$1137))^4</f>
        <v/>
      </c>
      <c r="AK473">
        <f>AF473^2</f>
        <v/>
      </c>
      <c r="AL473">
        <f>IF(AD473=1,AB473,IF(AL472&lt;&gt;"",AL472,""))</f>
        <v/>
      </c>
      <c r="AM473">
        <f>IF(AND(AD473=1,AL472&lt;&gt;""),ABS(AB473-AL472),"")</f>
        <v/>
      </c>
    </row>
    <row r="474">
      <c r="A474" t="n">
        <v>1776966302</v>
      </c>
      <c r="B474" t="inlineStr">
        <is>
          <t>XAUUSD</t>
        </is>
      </c>
      <c r="C474" t="inlineStr">
        <is>
          <t>M15</t>
        </is>
      </c>
      <c r="D474" t="n">
        <v>4709.41</v>
      </c>
      <c r="E474" t="n">
        <v>4518.59282</v>
      </c>
      <c r="F474" t="n">
        <v>4596.05595</v>
      </c>
      <c r="G474" t="n">
        <v>4755.40355</v>
      </c>
      <c r="H474" t="n">
        <v>4792.76972</v>
      </c>
      <c r="Q474" t="n">
        <v>4691.3286</v>
      </c>
      <c r="R474" t="n">
        <v>4720.6919</v>
      </c>
      <c r="S474" t="n">
        <v>4747.28067</v>
      </c>
      <c r="V474" t="n">
        <v>4656.38883</v>
      </c>
      <c r="W474" t="n">
        <v>4622.82383</v>
      </c>
      <c r="AA474" t="n">
        <v>4664.3</v>
      </c>
      <c r="AB474" t="n">
        <v>4707.16947</v>
      </c>
      <c r="AC474" t="n">
        <v>4709.07528</v>
      </c>
      <c r="AD474" t="n">
        <v>0</v>
      </c>
      <c r="AE474">
        <f>AE473+1</f>
        <v/>
      </c>
      <c r="AF474">
        <f>AF473+1</f>
        <v/>
      </c>
      <c r="AG474">
        <f>D474-Q474</f>
        <v/>
      </c>
      <c r="AH474">
        <f>AG474^2</f>
        <v/>
      </c>
      <c r="AI474">
        <f>(AG474/STDEV($AG$3:$AG$1137))^3</f>
        <v/>
      </c>
      <c r="AJ474">
        <f>(AG474/STDEV($AG$3:$AG$1137))^4</f>
        <v/>
      </c>
      <c r="AK474">
        <f>AF474^2</f>
        <v/>
      </c>
      <c r="AL474">
        <f>IF(AD474=1,AB474,IF(AL473&lt;&gt;"",AL473,""))</f>
        <v/>
      </c>
      <c r="AM474">
        <f>IF(AND(AD474=1,AL473&lt;&gt;""),ABS(AB474-AL473),"")</f>
        <v/>
      </c>
    </row>
    <row r="475">
      <c r="A475" t="n">
        <v>1776967202</v>
      </c>
      <c r="B475" t="inlineStr">
        <is>
          <t>XAUUSD</t>
        </is>
      </c>
      <c r="C475" t="inlineStr">
        <is>
          <t>M15</t>
        </is>
      </c>
      <c r="D475" t="n">
        <v>4713.84</v>
      </c>
      <c r="E475" t="n">
        <v>4518.59282</v>
      </c>
      <c r="F475" t="n">
        <v>4596.05595</v>
      </c>
      <c r="G475" t="n">
        <v>4755.40355</v>
      </c>
      <c r="H475" t="n">
        <v>4792.76972</v>
      </c>
      <c r="Q475" t="n">
        <v>4691.061</v>
      </c>
      <c r="R475" t="n">
        <v>4720.4243</v>
      </c>
      <c r="S475" t="n">
        <v>4747.01307</v>
      </c>
      <c r="V475" t="n">
        <v>4656.12123</v>
      </c>
      <c r="W475" t="n">
        <v>4622.55623</v>
      </c>
      <c r="AB475" t="n">
        <v>4706.76473</v>
      </c>
      <c r="AC475" t="n">
        <v>4707.92001</v>
      </c>
      <c r="AD475" t="n">
        <v>0</v>
      </c>
      <c r="AE475">
        <f>AE474+1</f>
        <v/>
      </c>
      <c r="AF475">
        <f>AF474+1</f>
        <v/>
      </c>
      <c r="AG475">
        <f>D475-Q475</f>
        <v/>
      </c>
      <c r="AH475">
        <f>AG475^2</f>
        <v/>
      </c>
      <c r="AI475">
        <f>(AG475/STDEV($AG$3:$AG$1137))^3</f>
        <v/>
      </c>
      <c r="AJ475">
        <f>(AG475/STDEV($AG$3:$AG$1137))^4</f>
        <v/>
      </c>
      <c r="AK475">
        <f>AF475^2</f>
        <v/>
      </c>
      <c r="AL475">
        <f>IF(AD475=1,AB475,IF(AL474&lt;&gt;"",AL474,""))</f>
        <v/>
      </c>
      <c r="AM475">
        <f>IF(AND(AD475=1,AL474&lt;&gt;""),ABS(AB475-AL474),"")</f>
        <v/>
      </c>
    </row>
    <row r="476">
      <c r="A476" t="n">
        <v>1776968102</v>
      </c>
      <c r="B476" t="inlineStr">
        <is>
          <t>XAUUSD</t>
        </is>
      </c>
      <c r="C476" t="inlineStr">
        <is>
          <t>M15</t>
        </is>
      </c>
      <c r="D476" t="n">
        <v>4716.58</v>
      </c>
      <c r="E476" t="n">
        <v>4518.59282</v>
      </c>
      <c r="F476" t="n">
        <v>4596.05595</v>
      </c>
      <c r="G476" t="n">
        <v>4755.40355</v>
      </c>
      <c r="H476" t="n">
        <v>4792.76972</v>
      </c>
      <c r="Q476" t="n">
        <v>4690.79339</v>
      </c>
      <c r="R476" t="n">
        <v>4720.15669</v>
      </c>
      <c r="S476" t="n">
        <v>4746.74546</v>
      </c>
      <c r="V476" t="n">
        <v>4655.85362</v>
      </c>
      <c r="W476" t="n">
        <v>4622.28863</v>
      </c>
      <c r="AB476" t="n">
        <v>4706.18904</v>
      </c>
      <c r="AC476" t="n">
        <v>4707.05452</v>
      </c>
      <c r="AD476" t="n">
        <v>0</v>
      </c>
      <c r="AE476">
        <f>AE475+1</f>
        <v/>
      </c>
      <c r="AF476">
        <f>AF475+1</f>
        <v/>
      </c>
      <c r="AG476">
        <f>D476-Q476</f>
        <v/>
      </c>
      <c r="AH476">
        <f>AG476^2</f>
        <v/>
      </c>
      <c r="AI476">
        <f>(AG476/STDEV($AG$3:$AG$1137))^3</f>
        <v/>
      </c>
      <c r="AJ476">
        <f>(AG476/STDEV($AG$3:$AG$1137))^4</f>
        <v/>
      </c>
      <c r="AK476">
        <f>AF476^2</f>
        <v/>
      </c>
      <c r="AL476">
        <f>IF(AD476=1,AB476,IF(AL475&lt;&gt;"",AL475,""))</f>
        <v/>
      </c>
      <c r="AM476">
        <f>IF(AND(AD476=1,AL475&lt;&gt;""),ABS(AB476-AL475),"")</f>
        <v/>
      </c>
    </row>
    <row r="477">
      <c r="A477" t="n">
        <v>1776969002</v>
      </c>
      <c r="B477" t="inlineStr">
        <is>
          <t>XAUUSD</t>
        </is>
      </c>
      <c r="C477" t="inlineStr">
        <is>
          <t>M15</t>
        </is>
      </c>
      <c r="D477" t="n">
        <v>4711.31</v>
      </c>
      <c r="E477" t="n">
        <v>4518.59282</v>
      </c>
      <c r="F477" t="n">
        <v>4596.05595</v>
      </c>
      <c r="G477" t="n">
        <v>4755.40355</v>
      </c>
      <c r="H477" t="n">
        <v>4792.76972</v>
      </c>
      <c r="Q477" t="n">
        <v>4690.52579</v>
      </c>
      <c r="R477" t="n">
        <v>4719.88909</v>
      </c>
      <c r="S477" t="n">
        <v>4746.47786</v>
      </c>
      <c r="V477" t="n">
        <v>4655.58602</v>
      </c>
      <c r="W477" t="n">
        <v>4622.02102</v>
      </c>
      <c r="AB477" t="n">
        <v>4704.98929</v>
      </c>
      <c r="AC477" t="n">
        <v>4706.02191</v>
      </c>
      <c r="AD477" t="n">
        <v>0</v>
      </c>
      <c r="AE477">
        <f>AE476+1</f>
        <v/>
      </c>
      <c r="AF477">
        <f>AF476+1</f>
        <v/>
      </c>
      <c r="AG477">
        <f>D477-Q477</f>
        <v/>
      </c>
      <c r="AH477">
        <f>AG477^2</f>
        <v/>
      </c>
      <c r="AI477">
        <f>(AG477/STDEV($AG$3:$AG$1137))^3</f>
        <v/>
      </c>
      <c r="AJ477">
        <f>(AG477/STDEV($AG$3:$AG$1137))^4</f>
        <v/>
      </c>
      <c r="AK477">
        <f>AF477^2</f>
        <v/>
      </c>
      <c r="AL477">
        <f>IF(AD477=1,AB477,IF(AL476&lt;&gt;"",AL476,""))</f>
        <v/>
      </c>
      <c r="AM477">
        <f>IF(AND(AD477=1,AL476&lt;&gt;""),ABS(AB477-AL476),"")</f>
        <v/>
      </c>
    </row>
    <row r="478">
      <c r="A478" t="n">
        <v>1776969902</v>
      </c>
      <c r="B478" t="inlineStr">
        <is>
          <t>XAUUSD</t>
        </is>
      </c>
      <c r="C478" t="inlineStr">
        <is>
          <t>M15</t>
        </is>
      </c>
      <c r="D478" t="n">
        <v>4700.9</v>
      </c>
      <c r="E478" t="n">
        <v>4518.59282</v>
      </c>
      <c r="F478" t="n">
        <v>4596.05595</v>
      </c>
      <c r="G478" t="n">
        <v>4755.40355</v>
      </c>
      <c r="H478" t="n">
        <v>4792.76972</v>
      </c>
      <c r="Q478" t="n">
        <v>4690.25818</v>
      </c>
      <c r="R478" t="n">
        <v>4719.62148</v>
      </c>
      <c r="S478" t="n">
        <v>4746.21025</v>
      </c>
      <c r="V478" t="n">
        <v>4655.31841</v>
      </c>
      <c r="W478" t="n">
        <v>4621.75342</v>
      </c>
      <c r="AB478" t="n">
        <v>4703.1365</v>
      </c>
      <c r="AC478" t="n">
        <v>4704.5792</v>
      </c>
      <c r="AD478" t="n">
        <v>0</v>
      </c>
      <c r="AE478">
        <f>AE477+1</f>
        <v/>
      </c>
      <c r="AF478">
        <f>AF477+1</f>
        <v/>
      </c>
      <c r="AG478">
        <f>D478-Q478</f>
        <v/>
      </c>
      <c r="AH478">
        <f>AG478^2</f>
        <v/>
      </c>
      <c r="AI478">
        <f>(AG478/STDEV($AG$3:$AG$1137))^3</f>
        <v/>
      </c>
      <c r="AJ478">
        <f>(AG478/STDEV($AG$3:$AG$1137))^4</f>
        <v/>
      </c>
      <c r="AK478">
        <f>AF478^2</f>
        <v/>
      </c>
      <c r="AL478">
        <f>IF(AD478=1,AB478,IF(AL477&lt;&gt;"",AL477,""))</f>
        <v/>
      </c>
      <c r="AM478">
        <f>IF(AND(AD478=1,AL477&lt;&gt;""),ABS(AB478-AL477),"")</f>
        <v/>
      </c>
    </row>
    <row r="479">
      <c r="A479" t="n">
        <v>1776970802</v>
      </c>
      <c r="B479" t="inlineStr">
        <is>
          <t>XAUUSD</t>
        </is>
      </c>
      <c r="C479" t="inlineStr">
        <is>
          <t>M15</t>
        </is>
      </c>
      <c r="D479" t="n">
        <v>4696.41</v>
      </c>
      <c r="E479" t="n">
        <v>4518.59282</v>
      </c>
      <c r="F479" t="n">
        <v>4596.05595</v>
      </c>
      <c r="G479" t="n">
        <v>4755.40355</v>
      </c>
      <c r="H479" t="n">
        <v>4792.76972</v>
      </c>
      <c r="Q479" t="n">
        <v>4689.99058</v>
      </c>
      <c r="R479" t="n">
        <v>4719.35388</v>
      </c>
      <c r="S479" t="n">
        <v>4745.94265</v>
      </c>
      <c r="V479" t="n">
        <v>4655.05081</v>
      </c>
      <c r="W479" t="n">
        <v>4621.48581</v>
      </c>
      <c r="AB479" t="n">
        <v>4700.92894</v>
      </c>
      <c r="AC479" t="n">
        <v>4702.75407</v>
      </c>
      <c r="AD479" t="n">
        <v>0</v>
      </c>
      <c r="AE479">
        <f>AE478+1</f>
        <v/>
      </c>
      <c r="AF479">
        <f>AF478+1</f>
        <v/>
      </c>
      <c r="AG479">
        <f>D479-Q479</f>
        <v/>
      </c>
      <c r="AH479">
        <f>AG479^2</f>
        <v/>
      </c>
      <c r="AI479">
        <f>(AG479/STDEV($AG$3:$AG$1137))^3</f>
        <v/>
      </c>
      <c r="AJ479">
        <f>(AG479/STDEV($AG$3:$AG$1137))^4</f>
        <v/>
      </c>
      <c r="AK479">
        <f>AF479^2</f>
        <v/>
      </c>
      <c r="AL479">
        <f>IF(AD479=1,AB479,IF(AL478&lt;&gt;"",AL478,""))</f>
        <v/>
      </c>
      <c r="AM479">
        <f>IF(AND(AD479=1,AL478&lt;&gt;""),ABS(AB479-AL478),"")</f>
        <v/>
      </c>
    </row>
    <row r="480">
      <c r="A480" t="n">
        <v>1776971702</v>
      </c>
      <c r="B480" t="inlineStr">
        <is>
          <t>XAUUSD</t>
        </is>
      </c>
      <c r="C480" t="inlineStr">
        <is>
          <t>M15</t>
        </is>
      </c>
      <c r="D480" t="n">
        <v>4700.16</v>
      </c>
      <c r="E480" t="n">
        <v>4518.59282</v>
      </c>
      <c r="F480" t="n">
        <v>4596.05595</v>
      </c>
      <c r="G480" t="n">
        <v>4755.40355</v>
      </c>
      <c r="H480" t="n">
        <v>4792.76972</v>
      </c>
      <c r="Q480" t="n">
        <v>4689.72298</v>
      </c>
      <c r="R480" t="n">
        <v>4719.08628</v>
      </c>
      <c r="S480" t="n">
        <v>4745.67505</v>
      </c>
      <c r="V480" t="n">
        <v>4654.78321</v>
      </c>
      <c r="W480" t="n">
        <v>4621.21821</v>
      </c>
      <c r="AB480" t="n">
        <v>4698.63754</v>
      </c>
      <c r="AC480" t="n">
        <v>4700.6958</v>
      </c>
      <c r="AD480" t="n">
        <v>0</v>
      </c>
      <c r="AE480">
        <f>AE479+1</f>
        <v/>
      </c>
      <c r="AF480">
        <f>AF479+1</f>
        <v/>
      </c>
      <c r="AG480">
        <f>D480-Q480</f>
        <v/>
      </c>
      <c r="AH480">
        <f>AG480^2</f>
        <v/>
      </c>
      <c r="AI480">
        <f>(AG480/STDEV($AG$3:$AG$1137))^3</f>
        <v/>
      </c>
      <c r="AJ480">
        <f>(AG480/STDEV($AG$3:$AG$1137))^4</f>
        <v/>
      </c>
      <c r="AK480">
        <f>AF480^2</f>
        <v/>
      </c>
      <c r="AL480">
        <f>IF(AD480=1,AB480,IF(AL479&lt;&gt;"",AL479,""))</f>
        <v/>
      </c>
      <c r="AM480">
        <f>IF(AND(AD480=1,AL479&lt;&gt;""),ABS(AB480-AL479),"")</f>
        <v/>
      </c>
    </row>
    <row r="481">
      <c r="A481" t="n">
        <v>1776972602</v>
      </c>
      <c r="B481" t="inlineStr">
        <is>
          <t>XAUUSD</t>
        </is>
      </c>
      <c r="C481" t="inlineStr">
        <is>
          <t>M15</t>
        </is>
      </c>
      <c r="D481" t="n">
        <v>4692.49</v>
      </c>
      <c r="E481" t="n">
        <v>4518.59282</v>
      </c>
      <c r="F481" t="n">
        <v>4596.05595</v>
      </c>
      <c r="G481" t="n">
        <v>4755.40355</v>
      </c>
      <c r="H481" t="n">
        <v>4792.76972</v>
      </c>
      <c r="Q481" t="n">
        <v>4689.45537</v>
      </c>
      <c r="R481" t="n">
        <v>4718.81867</v>
      </c>
      <c r="S481" t="n">
        <v>4745.40744</v>
      </c>
      <c r="V481" t="n">
        <v>4654.5156</v>
      </c>
      <c r="W481" t="n">
        <v>4620.95061</v>
      </c>
      <c r="AB481" t="n">
        <v>4696.35325</v>
      </c>
      <c r="AC481" t="n">
        <v>4698.52453</v>
      </c>
      <c r="AD481" t="n">
        <v>0</v>
      </c>
      <c r="AE481">
        <f>AE480+1</f>
        <v/>
      </c>
      <c r="AF481">
        <f>AF480+1</f>
        <v/>
      </c>
      <c r="AG481">
        <f>D481-Q481</f>
        <v/>
      </c>
      <c r="AH481">
        <f>AG481^2</f>
        <v/>
      </c>
      <c r="AI481">
        <f>(AG481/STDEV($AG$3:$AG$1137))^3</f>
        <v/>
      </c>
      <c r="AJ481">
        <f>(AG481/STDEV($AG$3:$AG$1137))^4</f>
        <v/>
      </c>
      <c r="AK481">
        <f>AF481^2</f>
        <v/>
      </c>
      <c r="AL481">
        <f>IF(AD481=1,AB481,IF(AL480&lt;&gt;"",AL480,""))</f>
        <v/>
      </c>
      <c r="AM481">
        <f>IF(AND(AD481=1,AL480&lt;&gt;""),ABS(AB481-AL480),"")</f>
        <v/>
      </c>
    </row>
    <row r="482">
      <c r="A482" t="n">
        <v>1776973502</v>
      </c>
      <c r="B482" t="inlineStr">
        <is>
          <t>XAUUSD</t>
        </is>
      </c>
      <c r="C482" t="inlineStr">
        <is>
          <t>M15</t>
        </is>
      </c>
      <c r="D482" t="n">
        <v>4696.1</v>
      </c>
      <c r="E482" t="n">
        <v>4518.59282</v>
      </c>
      <c r="F482" t="n">
        <v>4596.05595</v>
      </c>
      <c r="G482" t="n">
        <v>4755.40355</v>
      </c>
      <c r="H482" t="n">
        <v>4792.76972</v>
      </c>
      <c r="Q482" t="n">
        <v>4689.18777</v>
      </c>
      <c r="R482" t="n">
        <v>4718.55107</v>
      </c>
      <c r="S482" t="n">
        <v>4745.13984</v>
      </c>
      <c r="V482" t="n">
        <v>4654.248</v>
      </c>
      <c r="W482" t="n">
        <v>4620.683</v>
      </c>
      <c r="AB482" t="n">
        <v>4694.4819</v>
      </c>
      <c r="AC482" t="n">
        <v>4696.50321</v>
      </c>
      <c r="AD482" t="n">
        <v>0</v>
      </c>
      <c r="AE482">
        <f>AE481+1</f>
        <v/>
      </c>
      <c r="AF482">
        <f>AF481+1</f>
        <v/>
      </c>
      <c r="AG482">
        <f>D482-Q482</f>
        <v/>
      </c>
      <c r="AH482">
        <f>AG482^2</f>
        <v/>
      </c>
      <c r="AI482">
        <f>(AG482/STDEV($AG$3:$AG$1137))^3</f>
        <v/>
      </c>
      <c r="AJ482">
        <f>(AG482/STDEV($AG$3:$AG$1137))^4</f>
        <v/>
      </c>
      <c r="AK482">
        <f>AF482^2</f>
        <v/>
      </c>
      <c r="AL482">
        <f>IF(AD482=1,AB482,IF(AL481&lt;&gt;"",AL481,""))</f>
        <v/>
      </c>
      <c r="AM482">
        <f>IF(AND(AD482=1,AL481&lt;&gt;""),ABS(AB482-AL481),"")</f>
        <v/>
      </c>
    </row>
    <row r="483">
      <c r="A483" t="n">
        <v>1776974402</v>
      </c>
      <c r="B483" t="inlineStr">
        <is>
          <t>XAUUSD</t>
        </is>
      </c>
      <c r="C483" t="inlineStr">
        <is>
          <t>M15</t>
        </is>
      </c>
      <c r="D483" t="n">
        <v>4690.84</v>
      </c>
      <c r="E483" t="n">
        <v>4518.59282</v>
      </c>
      <c r="F483" t="n">
        <v>4596.05595</v>
      </c>
      <c r="G483" t="n">
        <v>4755.40355</v>
      </c>
      <c r="H483" t="n">
        <v>4792.76972</v>
      </c>
      <c r="Q483" t="n">
        <v>4688.92016</v>
      </c>
      <c r="R483" t="n">
        <v>4718.28346</v>
      </c>
      <c r="S483" t="n">
        <v>4744.87223</v>
      </c>
      <c r="V483" t="n">
        <v>4653.98039</v>
      </c>
      <c r="W483" t="n">
        <v>4620.4154</v>
      </c>
      <c r="AB483" t="n">
        <v>4693.07108</v>
      </c>
      <c r="AC483" t="n">
        <v>4694.78715</v>
      </c>
      <c r="AD483" t="n">
        <v>0</v>
      </c>
      <c r="AE483">
        <f>AE482+1</f>
        <v/>
      </c>
      <c r="AF483">
        <f>AF482+1</f>
        <v/>
      </c>
      <c r="AG483">
        <f>D483-Q483</f>
        <v/>
      </c>
      <c r="AH483">
        <f>AG483^2</f>
        <v/>
      </c>
      <c r="AI483">
        <f>(AG483/STDEV($AG$3:$AG$1137))^3</f>
        <v/>
      </c>
      <c r="AJ483">
        <f>(AG483/STDEV($AG$3:$AG$1137))^4</f>
        <v/>
      </c>
      <c r="AK483">
        <f>AF483^2</f>
        <v/>
      </c>
      <c r="AL483">
        <f>IF(AD483=1,AB483,IF(AL482&lt;&gt;"",AL482,""))</f>
        <v/>
      </c>
      <c r="AM483">
        <f>IF(AND(AD483=1,AL482&lt;&gt;""),ABS(AB483-AL482),"")</f>
        <v/>
      </c>
    </row>
    <row r="484">
      <c r="A484" t="n">
        <v>1776975302</v>
      </c>
      <c r="B484" t="inlineStr">
        <is>
          <t>XAUUSD</t>
        </is>
      </c>
      <c r="C484" t="inlineStr">
        <is>
          <t>M15</t>
        </is>
      </c>
      <c r="D484" t="n">
        <v>4689.41</v>
      </c>
      <c r="E484" t="n">
        <v>4518.59282</v>
      </c>
      <c r="F484" t="n">
        <v>4596.05595</v>
      </c>
      <c r="G484" t="n">
        <v>4755.40355</v>
      </c>
      <c r="H484" t="n">
        <v>4792.76972</v>
      </c>
      <c r="Q484" t="n">
        <v>4688.65256</v>
      </c>
      <c r="R484" t="n">
        <v>4718.01586</v>
      </c>
      <c r="S484" t="n">
        <v>4744.60463</v>
      </c>
      <c r="V484" t="n">
        <v>4653.71279</v>
      </c>
      <c r="W484" t="n">
        <v>4620.14779</v>
      </c>
      <c r="AB484" t="n">
        <v>4692.26685</v>
      </c>
      <c r="AC484" t="n">
        <v>4693.527</v>
      </c>
      <c r="AD484" t="n">
        <v>0</v>
      </c>
      <c r="AE484">
        <f>AE483+1</f>
        <v/>
      </c>
      <c r="AF484">
        <f>AF483+1</f>
        <v/>
      </c>
      <c r="AG484">
        <f>D484-Q484</f>
        <v/>
      </c>
      <c r="AH484">
        <f>AG484^2</f>
        <v/>
      </c>
      <c r="AI484">
        <f>(AG484/STDEV($AG$3:$AG$1137))^3</f>
        <v/>
      </c>
      <c r="AJ484">
        <f>(AG484/STDEV($AG$3:$AG$1137))^4</f>
        <v/>
      </c>
      <c r="AK484">
        <f>AF484^2</f>
        <v/>
      </c>
      <c r="AL484">
        <f>IF(AD484=1,AB484,IF(AL483&lt;&gt;"",AL483,""))</f>
        <v/>
      </c>
      <c r="AM484">
        <f>IF(AND(AD484=1,AL483&lt;&gt;""),ABS(AB484-AL483),"")</f>
        <v/>
      </c>
    </row>
    <row r="485">
      <c r="A485" t="n">
        <v>1776976202</v>
      </c>
      <c r="B485" t="inlineStr">
        <is>
          <t>XAUUSD</t>
        </is>
      </c>
      <c r="C485" t="inlineStr">
        <is>
          <t>M15</t>
        </is>
      </c>
      <c r="D485" t="n">
        <v>4691.39</v>
      </c>
      <c r="E485" t="n">
        <v>4518.59282</v>
      </c>
      <c r="F485" t="n">
        <v>4596.05595</v>
      </c>
      <c r="G485" t="n">
        <v>4755.40355</v>
      </c>
      <c r="H485" t="n">
        <v>4792.76972</v>
      </c>
      <c r="Q485" t="n">
        <v>4688.38496</v>
      </c>
      <c r="R485" t="n">
        <v>4717.74825</v>
      </c>
      <c r="S485" t="n">
        <v>4744.33703</v>
      </c>
      <c r="V485" t="n">
        <v>4653.44519</v>
      </c>
      <c r="W485" t="n">
        <v>4619.88019</v>
      </c>
      <c r="AB485" t="n">
        <v>4692.0237</v>
      </c>
      <c r="AC485" t="n">
        <v>4692.77535</v>
      </c>
      <c r="AD485" t="n">
        <v>0</v>
      </c>
      <c r="AE485">
        <f>AE484+1</f>
        <v/>
      </c>
      <c r="AF485">
        <f>AF484+1</f>
        <v/>
      </c>
      <c r="AG485">
        <f>D485-Q485</f>
        <v/>
      </c>
      <c r="AH485">
        <f>AG485^2</f>
        <v/>
      </c>
      <c r="AI485">
        <f>(AG485/STDEV($AG$3:$AG$1137))^3</f>
        <v/>
      </c>
      <c r="AJ485">
        <f>(AG485/STDEV($AG$3:$AG$1137))^4</f>
        <v/>
      </c>
      <c r="AK485">
        <f>AF485^2</f>
        <v/>
      </c>
      <c r="AL485">
        <f>IF(AD485=1,AB485,IF(AL484&lt;&gt;"",AL484,""))</f>
        <v/>
      </c>
      <c r="AM485">
        <f>IF(AND(AD485=1,AL484&lt;&gt;""),ABS(AB485-AL484),"")</f>
        <v/>
      </c>
    </row>
    <row r="486">
      <c r="A486" t="n">
        <v>1776977102</v>
      </c>
      <c r="B486" t="inlineStr">
        <is>
          <t>XAUUSD</t>
        </is>
      </c>
      <c r="C486" t="inlineStr">
        <is>
          <t>M15</t>
        </is>
      </c>
      <c r="D486" t="n">
        <v>4694.41</v>
      </c>
      <c r="E486" t="n">
        <v>4518.59282</v>
      </c>
      <c r="F486" t="n">
        <v>4596.05595</v>
      </c>
      <c r="G486" t="n">
        <v>4755.40355</v>
      </c>
      <c r="H486" t="n">
        <v>4792.76972</v>
      </c>
      <c r="Q486" t="n">
        <v>4688.11735</v>
      </c>
      <c r="R486" t="n">
        <v>4717.48065</v>
      </c>
      <c r="S486" t="n">
        <v>4744.06942</v>
      </c>
      <c r="V486" t="n">
        <v>4653.17758</v>
      </c>
      <c r="W486" t="n">
        <v>4619.61259</v>
      </c>
      <c r="AB486" t="n">
        <v>4692.16896</v>
      </c>
      <c r="AC486" t="n">
        <v>4692.47215</v>
      </c>
      <c r="AD486" t="n">
        <v>0</v>
      </c>
      <c r="AE486">
        <f>AE485+1</f>
        <v/>
      </c>
      <c r="AF486">
        <f>AF485+1</f>
        <v/>
      </c>
      <c r="AG486">
        <f>D486-Q486</f>
        <v/>
      </c>
      <c r="AH486">
        <f>AG486^2</f>
        <v/>
      </c>
      <c r="AI486">
        <f>(AG486/STDEV($AG$3:$AG$1137))^3</f>
        <v/>
      </c>
      <c r="AJ486">
        <f>(AG486/STDEV($AG$3:$AG$1137))^4</f>
        <v/>
      </c>
      <c r="AK486">
        <f>AF486^2</f>
        <v/>
      </c>
      <c r="AL486">
        <f>IF(AD486=1,AB486,IF(AL485&lt;&gt;"",AL485,""))</f>
        <v/>
      </c>
      <c r="AM486">
        <f>IF(AND(AD486=1,AL485&lt;&gt;""),ABS(AB486-AL485),"")</f>
        <v/>
      </c>
    </row>
    <row r="487">
      <c r="A487" t="n">
        <v>1776981602</v>
      </c>
      <c r="B487" t="inlineStr">
        <is>
          <t>XAUUSD</t>
        </is>
      </c>
      <c r="C487" t="inlineStr">
        <is>
          <t>M15</t>
        </is>
      </c>
      <c r="D487" t="n">
        <v>4697.43</v>
      </c>
      <c r="E487" t="n">
        <v>4518.59282</v>
      </c>
      <c r="F487" t="n">
        <v>4596.05595</v>
      </c>
      <c r="G487" t="n">
        <v>4755.40355</v>
      </c>
      <c r="H487" t="n">
        <v>4792.76972</v>
      </c>
      <c r="Q487" t="n">
        <v>4687.84975</v>
      </c>
      <c r="R487" t="n">
        <v>4717.21305</v>
      </c>
      <c r="S487" t="n">
        <v>4743.80182</v>
      </c>
      <c r="V487" t="n">
        <v>4652.90998</v>
      </c>
      <c r="W487" t="n">
        <v>4619.34498</v>
      </c>
      <c r="AB487" t="n">
        <v>4692.45104</v>
      </c>
      <c r="AC487" t="n">
        <v>4692.4616</v>
      </c>
      <c r="AD487" t="n">
        <v>0</v>
      </c>
      <c r="AE487">
        <f>AE486+1</f>
        <v/>
      </c>
      <c r="AF487">
        <f>AF486+1</f>
        <v/>
      </c>
      <c r="AG487">
        <f>D487-Q487</f>
        <v/>
      </c>
      <c r="AH487">
        <f>AG487^2</f>
        <v/>
      </c>
      <c r="AI487">
        <f>(AG487/STDEV($AG$3:$AG$1137))^3</f>
        <v/>
      </c>
      <c r="AJ487">
        <f>(AG487/STDEV($AG$3:$AG$1137))^4</f>
        <v/>
      </c>
      <c r="AK487">
        <f>AF487^2</f>
        <v/>
      </c>
      <c r="AL487">
        <f>IF(AD487=1,AB487,IF(AL486&lt;&gt;"",AL486,""))</f>
        <v/>
      </c>
      <c r="AM487">
        <f>IF(AND(AD487=1,AL486&lt;&gt;""),ABS(AB487-AL486),"")</f>
        <v/>
      </c>
    </row>
    <row r="488">
      <c r="A488" t="n">
        <v>1776982502</v>
      </c>
      <c r="B488" t="inlineStr">
        <is>
          <t>XAUUSD</t>
        </is>
      </c>
      <c r="C488" t="inlineStr">
        <is>
          <t>M15</t>
        </is>
      </c>
      <c r="D488" t="n">
        <v>4692.9</v>
      </c>
      <c r="E488" t="n">
        <v>4518.59282</v>
      </c>
      <c r="F488" t="n">
        <v>4596.05595</v>
      </c>
      <c r="G488" t="n">
        <v>4755.40355</v>
      </c>
      <c r="H488" t="n">
        <v>4792.76972</v>
      </c>
      <c r="Q488" t="n">
        <v>4687.58214</v>
      </c>
      <c r="R488" t="n">
        <v>4716.94544</v>
      </c>
      <c r="S488" t="n">
        <v>4743.53421</v>
      </c>
      <c r="V488" t="n">
        <v>4652.64237</v>
      </c>
      <c r="W488" t="n">
        <v>4619.07738</v>
      </c>
      <c r="AB488" t="n">
        <v>4692.65681</v>
      </c>
      <c r="AC488" t="n">
        <v>4692.5592</v>
      </c>
      <c r="AD488" t="n">
        <v>1</v>
      </c>
      <c r="AE488">
        <f>AE487+1</f>
        <v/>
      </c>
      <c r="AF488">
        <f>AF487+1</f>
        <v/>
      </c>
      <c r="AG488">
        <f>D488-Q488</f>
        <v/>
      </c>
      <c r="AH488">
        <f>AG488^2</f>
        <v/>
      </c>
      <c r="AI488">
        <f>(AG488/STDEV($AG$3:$AG$1137))^3</f>
        <v/>
      </c>
      <c r="AJ488">
        <f>(AG488/STDEV($AG$3:$AG$1137))^4</f>
        <v/>
      </c>
      <c r="AK488">
        <f>AF488^2</f>
        <v/>
      </c>
      <c r="AL488">
        <f>IF(AD488=1,AB488,IF(AL487&lt;&gt;"",AL487,""))</f>
        <v/>
      </c>
      <c r="AM488">
        <f>IF(AND(AD488=1,AL487&lt;&gt;""),ABS(AB488-AL487),"")</f>
        <v/>
      </c>
    </row>
    <row r="489">
      <c r="A489" t="n">
        <v>1776983402</v>
      </c>
      <c r="B489" t="inlineStr">
        <is>
          <t>XAUUSD</t>
        </is>
      </c>
      <c r="C489" t="inlineStr">
        <is>
          <t>M15</t>
        </is>
      </c>
      <c r="D489" t="n">
        <v>4693.76</v>
      </c>
      <c r="E489" t="n">
        <v>4518.59282</v>
      </c>
      <c r="F489" t="n">
        <v>4596.05595</v>
      </c>
      <c r="G489" t="n">
        <v>4755.40355</v>
      </c>
      <c r="H489" t="n">
        <v>4792.76972</v>
      </c>
      <c r="Q489" t="n">
        <v>4687.31454</v>
      </c>
      <c r="R489" t="n">
        <v>4716.67784</v>
      </c>
      <c r="S489" t="n">
        <v>4743.26661</v>
      </c>
      <c r="V489" t="n">
        <v>4652.37477</v>
      </c>
      <c r="W489" t="n">
        <v>4618.80977</v>
      </c>
      <c r="AB489" t="n">
        <v>4692.91092</v>
      </c>
      <c r="AC489" t="n">
        <v>4692.73506</v>
      </c>
      <c r="AD489" t="n">
        <v>0</v>
      </c>
      <c r="AE489">
        <f>AE488+1</f>
        <v/>
      </c>
      <c r="AF489">
        <f>AF488+1</f>
        <v/>
      </c>
      <c r="AG489">
        <f>D489-Q489</f>
        <v/>
      </c>
      <c r="AH489">
        <f>AG489^2</f>
        <v/>
      </c>
      <c r="AI489">
        <f>(AG489/STDEV($AG$3:$AG$1137))^3</f>
        <v/>
      </c>
      <c r="AJ489">
        <f>(AG489/STDEV($AG$3:$AG$1137))^4</f>
        <v/>
      </c>
      <c r="AK489">
        <f>AF489^2</f>
        <v/>
      </c>
      <c r="AL489">
        <f>IF(AD489=1,AB489,IF(AL488&lt;&gt;"",AL488,""))</f>
        <v/>
      </c>
      <c r="AM489">
        <f>IF(AND(AD489=1,AL488&lt;&gt;""),ABS(AB489-AL488),"")</f>
        <v/>
      </c>
    </row>
    <row r="490">
      <c r="A490" t="n">
        <v>1776984302</v>
      </c>
      <c r="B490" t="inlineStr">
        <is>
          <t>XAUUSD</t>
        </is>
      </c>
      <c r="C490" t="inlineStr">
        <is>
          <t>M15</t>
        </is>
      </c>
      <c r="D490" t="n">
        <v>4693.35</v>
      </c>
      <c r="E490" t="n">
        <v>4518.59282</v>
      </c>
      <c r="F490" t="n">
        <v>4596.05595</v>
      </c>
      <c r="G490" t="n">
        <v>4755.40355</v>
      </c>
      <c r="H490" t="n">
        <v>4792.76972</v>
      </c>
      <c r="Q490" t="n">
        <v>4687.04694</v>
      </c>
      <c r="R490" t="n">
        <v>4716.41023</v>
      </c>
      <c r="S490" t="n">
        <v>4742.99901</v>
      </c>
      <c r="V490" t="n">
        <v>4652.10717</v>
      </c>
      <c r="W490" t="n">
        <v>4618.54217</v>
      </c>
      <c r="AB490" t="n">
        <v>4693.27683</v>
      </c>
      <c r="AC490" t="n">
        <v>4693.00594</v>
      </c>
      <c r="AD490" t="n">
        <v>0</v>
      </c>
      <c r="AE490">
        <f>AE489+1</f>
        <v/>
      </c>
      <c r="AF490">
        <f>AF489+1</f>
        <v/>
      </c>
      <c r="AG490">
        <f>D490-Q490</f>
        <v/>
      </c>
      <c r="AH490">
        <f>AG490^2</f>
        <v/>
      </c>
      <c r="AI490">
        <f>(AG490/STDEV($AG$3:$AG$1137))^3</f>
        <v/>
      </c>
      <c r="AJ490">
        <f>(AG490/STDEV($AG$3:$AG$1137))^4</f>
        <v/>
      </c>
      <c r="AK490">
        <f>AF490^2</f>
        <v/>
      </c>
      <c r="AL490">
        <f>IF(AD490=1,AB490,IF(AL489&lt;&gt;"",AL489,""))</f>
        <v/>
      </c>
      <c r="AM490">
        <f>IF(AND(AD490=1,AL489&lt;&gt;""),ABS(AB490-AL489),"")</f>
        <v/>
      </c>
    </row>
    <row r="491">
      <c r="A491" t="n">
        <v>1776985202</v>
      </c>
      <c r="B491" t="inlineStr">
        <is>
          <t>XAUUSD</t>
        </is>
      </c>
      <c r="C491" t="inlineStr">
        <is>
          <t>M15</t>
        </is>
      </c>
      <c r="D491" t="n">
        <v>4689.74</v>
      </c>
      <c r="E491" t="n">
        <v>4518.59282</v>
      </c>
      <c r="F491" t="n">
        <v>4596.05595</v>
      </c>
      <c r="G491" t="n">
        <v>4755.40355</v>
      </c>
      <c r="H491" t="n">
        <v>4792.76972</v>
      </c>
      <c r="Q491" t="n">
        <v>4686.77933</v>
      </c>
      <c r="R491" t="n">
        <v>4716.14263</v>
      </c>
      <c r="S491" t="n">
        <v>4742.7314</v>
      </c>
      <c r="V491" t="n">
        <v>4651.83956</v>
      </c>
      <c r="W491" t="n">
        <v>4618.27456</v>
      </c>
      <c r="AB491" t="n">
        <v>4693.89013</v>
      </c>
      <c r="AC491" t="n">
        <v>4693.44804</v>
      </c>
      <c r="AD491" t="n">
        <v>0</v>
      </c>
      <c r="AE491">
        <f>AE490+1</f>
        <v/>
      </c>
      <c r="AF491">
        <f>AF490+1</f>
        <v/>
      </c>
      <c r="AG491">
        <f>D491-Q491</f>
        <v/>
      </c>
      <c r="AH491">
        <f>AG491^2</f>
        <v/>
      </c>
      <c r="AI491">
        <f>(AG491/STDEV($AG$3:$AG$1137))^3</f>
        <v/>
      </c>
      <c r="AJ491">
        <f>(AG491/STDEV($AG$3:$AG$1137))^4</f>
        <v/>
      </c>
      <c r="AK491">
        <f>AF491^2</f>
        <v/>
      </c>
      <c r="AL491">
        <f>IF(AD491=1,AB491,IF(AL490&lt;&gt;"",AL490,""))</f>
        <v/>
      </c>
      <c r="AM491">
        <f>IF(AND(AD491=1,AL490&lt;&gt;""),ABS(AB491-AL490),"")</f>
        <v/>
      </c>
    </row>
    <row r="492">
      <c r="A492" t="n">
        <v>1776986102</v>
      </c>
      <c r="B492" t="inlineStr">
        <is>
          <t>XAUUSD</t>
        </is>
      </c>
      <c r="C492" t="inlineStr">
        <is>
          <t>M15</t>
        </is>
      </c>
      <c r="D492" t="n">
        <v>4694.54</v>
      </c>
      <c r="E492" t="n">
        <v>4518.59282</v>
      </c>
      <c r="F492" t="n">
        <v>4596.05595</v>
      </c>
      <c r="G492" t="n">
        <v>4755.40355</v>
      </c>
      <c r="H492" t="n">
        <v>4792.76972</v>
      </c>
      <c r="Q492" t="n">
        <v>4686.51173</v>
      </c>
      <c r="R492" t="n">
        <v>4715.87503</v>
      </c>
      <c r="S492" t="n">
        <v>4742.4638</v>
      </c>
      <c r="V492" t="n">
        <v>4651.57196</v>
      </c>
      <c r="W492" t="n">
        <v>4618.00696</v>
      </c>
      <c r="AB492" t="n">
        <v>4694.95497</v>
      </c>
      <c r="AC492" t="n">
        <v>4694.20151</v>
      </c>
      <c r="AD492" t="n">
        <v>0</v>
      </c>
      <c r="AE492">
        <f>AE491+1</f>
        <v/>
      </c>
      <c r="AF492">
        <f>AF491+1</f>
        <v/>
      </c>
      <c r="AG492">
        <f>D492-Q492</f>
        <v/>
      </c>
      <c r="AH492">
        <f>AG492^2</f>
        <v/>
      </c>
      <c r="AI492">
        <f>(AG492/STDEV($AG$3:$AG$1137))^3</f>
        <v/>
      </c>
      <c r="AJ492">
        <f>(AG492/STDEV($AG$3:$AG$1137))^4</f>
        <v/>
      </c>
      <c r="AK492">
        <f>AF492^2</f>
        <v/>
      </c>
      <c r="AL492">
        <f>IF(AD492=1,AB492,IF(AL491&lt;&gt;"",AL491,""))</f>
        <v/>
      </c>
      <c r="AM492">
        <f>IF(AND(AD492=1,AL491&lt;&gt;""),ABS(AB492-AL491),"")</f>
        <v/>
      </c>
    </row>
    <row r="493">
      <c r="A493" t="n">
        <v>1776987002</v>
      </c>
      <c r="B493" t="inlineStr">
        <is>
          <t>XAUUSD</t>
        </is>
      </c>
      <c r="C493" t="inlineStr">
        <is>
          <t>M15</t>
        </is>
      </c>
      <c r="D493" t="n">
        <v>4697.37</v>
      </c>
      <c r="E493" t="n">
        <v>4518.59282</v>
      </c>
      <c r="F493" t="n">
        <v>4596.05595</v>
      </c>
      <c r="G493" t="n">
        <v>4755.40355</v>
      </c>
      <c r="H493" t="n">
        <v>4792.76972</v>
      </c>
      <c r="Q493" t="n">
        <v>4686.24412</v>
      </c>
      <c r="R493" t="n">
        <v>4715.60742</v>
      </c>
      <c r="S493" t="n">
        <v>4742.19619</v>
      </c>
      <c r="V493" t="n">
        <v>4651.30435</v>
      </c>
      <c r="W493" t="n">
        <v>4617.73936</v>
      </c>
      <c r="AB493" t="n">
        <v>4696.38321</v>
      </c>
      <c r="AC493" t="n">
        <v>4695.29236</v>
      </c>
      <c r="AD493" t="n">
        <v>0</v>
      </c>
      <c r="AE493">
        <f>AE492+1</f>
        <v/>
      </c>
      <c r="AF493">
        <f>AF492+1</f>
        <v/>
      </c>
      <c r="AG493">
        <f>D493-Q493</f>
        <v/>
      </c>
      <c r="AH493">
        <f>AG493^2</f>
        <v/>
      </c>
      <c r="AI493">
        <f>(AG493/STDEV($AG$3:$AG$1137))^3</f>
        <v/>
      </c>
      <c r="AJ493">
        <f>(AG493/STDEV($AG$3:$AG$1137))^4</f>
        <v/>
      </c>
      <c r="AK493">
        <f>AF493^2</f>
        <v/>
      </c>
      <c r="AL493">
        <f>IF(AD493=1,AB493,IF(AL492&lt;&gt;"",AL492,""))</f>
        <v/>
      </c>
      <c r="AM493">
        <f>IF(AND(AD493=1,AL492&lt;&gt;""),ABS(AB493-AL492),"")</f>
        <v/>
      </c>
    </row>
    <row r="494">
      <c r="A494" t="n">
        <v>1776987902</v>
      </c>
      <c r="B494" t="inlineStr">
        <is>
          <t>XAUUSD</t>
        </is>
      </c>
      <c r="C494" t="inlineStr">
        <is>
          <t>M15</t>
        </is>
      </c>
      <c r="D494" t="n">
        <v>4695.41</v>
      </c>
      <c r="E494" t="n">
        <v>4518.59282</v>
      </c>
      <c r="F494" t="n">
        <v>4596.05595</v>
      </c>
      <c r="G494" t="n">
        <v>4755.40355</v>
      </c>
      <c r="H494" t="n">
        <v>4792.76972</v>
      </c>
      <c r="Q494" t="n">
        <v>4685.97652</v>
      </c>
      <c r="R494" t="n">
        <v>4715.33982</v>
      </c>
      <c r="S494" t="n">
        <v>4741.92859</v>
      </c>
      <c r="V494" t="n">
        <v>4651.03675</v>
      </c>
      <c r="W494" t="n">
        <v>4617.47175</v>
      </c>
      <c r="AB494" t="n">
        <v>4698.05338</v>
      </c>
      <c r="AC494" t="n">
        <v>4696.67287</v>
      </c>
      <c r="AD494" t="n">
        <v>0</v>
      </c>
      <c r="AE494">
        <f>AE493+1</f>
        <v/>
      </c>
      <c r="AF494">
        <f>AF493+1</f>
        <v/>
      </c>
      <c r="AG494">
        <f>D494-Q494</f>
        <v/>
      </c>
      <c r="AH494">
        <f>AG494^2</f>
        <v/>
      </c>
      <c r="AI494">
        <f>(AG494/STDEV($AG$3:$AG$1137))^3</f>
        <v/>
      </c>
      <c r="AJ494">
        <f>(AG494/STDEV($AG$3:$AG$1137))^4</f>
        <v/>
      </c>
      <c r="AK494">
        <f>AF494^2</f>
        <v/>
      </c>
      <c r="AL494">
        <f>IF(AD494=1,AB494,IF(AL493&lt;&gt;"",AL493,""))</f>
        <v/>
      </c>
      <c r="AM494">
        <f>IF(AND(AD494=1,AL493&lt;&gt;""),ABS(AB494-AL493),"")</f>
        <v/>
      </c>
    </row>
    <row r="495">
      <c r="A495" t="n">
        <v>1776988802</v>
      </c>
      <c r="B495" t="inlineStr">
        <is>
          <t>XAUUSD</t>
        </is>
      </c>
      <c r="C495" t="inlineStr">
        <is>
          <t>M15</t>
        </is>
      </c>
      <c r="D495" t="n">
        <v>4698.34</v>
      </c>
      <c r="E495" t="n">
        <v>4518.59282</v>
      </c>
      <c r="F495" t="n">
        <v>4596.05595</v>
      </c>
      <c r="G495" t="n">
        <v>4755.40355</v>
      </c>
      <c r="H495" t="n">
        <v>4792.76972</v>
      </c>
      <c r="Q495" t="n">
        <v>4685.70892</v>
      </c>
      <c r="R495" t="n">
        <v>4715.07221</v>
      </c>
      <c r="S495" t="n">
        <v>4741.66098</v>
      </c>
      <c r="V495" t="n">
        <v>4650.76914</v>
      </c>
      <c r="W495" t="n">
        <v>4617.20415</v>
      </c>
      <c r="AB495" t="n">
        <v>4699.89612</v>
      </c>
      <c r="AC495" t="n">
        <v>4698.28449</v>
      </c>
      <c r="AD495" t="n">
        <v>0</v>
      </c>
      <c r="AE495">
        <f>AE494+1</f>
        <v/>
      </c>
      <c r="AF495">
        <f>AF494+1</f>
        <v/>
      </c>
      <c r="AG495">
        <f>D495-Q495</f>
        <v/>
      </c>
      <c r="AH495">
        <f>AG495^2</f>
        <v/>
      </c>
      <c r="AI495">
        <f>(AG495/STDEV($AG$3:$AG$1137))^3</f>
        <v/>
      </c>
      <c r="AJ495">
        <f>(AG495/STDEV($AG$3:$AG$1137))^4</f>
        <v/>
      </c>
      <c r="AK495">
        <f>AF495^2</f>
        <v/>
      </c>
      <c r="AL495">
        <f>IF(AD495=1,AB495,IF(AL494&lt;&gt;"",AL494,""))</f>
        <v/>
      </c>
      <c r="AM495">
        <f>IF(AND(AD495=1,AL494&lt;&gt;""),ABS(AB495-AL494),"")</f>
        <v/>
      </c>
    </row>
    <row r="496">
      <c r="A496" t="n">
        <v>1776989702</v>
      </c>
      <c r="B496" t="inlineStr">
        <is>
          <t>XAUUSD</t>
        </is>
      </c>
      <c r="C496" t="inlineStr">
        <is>
          <t>M15</t>
        </is>
      </c>
      <c r="D496" t="n">
        <v>4705.83</v>
      </c>
      <c r="E496" t="n">
        <v>4518.59282</v>
      </c>
      <c r="F496" t="n">
        <v>4596.05595</v>
      </c>
      <c r="G496" t="n">
        <v>4755.40355</v>
      </c>
      <c r="H496" t="n">
        <v>4792.76972</v>
      </c>
      <c r="Q496" t="n">
        <v>4685.44131</v>
      </c>
      <c r="R496" t="n">
        <v>4714.80461</v>
      </c>
      <c r="S496" t="n">
        <v>4741.39338</v>
      </c>
      <c r="V496" t="n">
        <v>4650.50154</v>
      </c>
      <c r="W496" t="n">
        <v>4616.93654</v>
      </c>
      <c r="AB496" t="n">
        <v>4701.65006</v>
      </c>
      <c r="AC496" t="n">
        <v>4699.96728</v>
      </c>
      <c r="AD496" t="n">
        <v>0</v>
      </c>
      <c r="AE496">
        <f>AE495+1</f>
        <v/>
      </c>
      <c r="AF496">
        <f>AF495+1</f>
        <v/>
      </c>
      <c r="AG496">
        <f>D496-Q496</f>
        <v/>
      </c>
      <c r="AH496">
        <f>AG496^2</f>
        <v/>
      </c>
      <c r="AI496">
        <f>(AG496/STDEV($AG$3:$AG$1137))^3</f>
        <v/>
      </c>
      <c r="AJ496">
        <f>(AG496/STDEV($AG$3:$AG$1137))^4</f>
        <v/>
      </c>
      <c r="AK496">
        <f>AF496^2</f>
        <v/>
      </c>
      <c r="AL496">
        <f>IF(AD496=1,AB496,IF(AL495&lt;&gt;"",AL495,""))</f>
        <v/>
      </c>
      <c r="AM496">
        <f>IF(AND(AD496=1,AL495&lt;&gt;""),ABS(AB496-AL495),"")</f>
        <v/>
      </c>
    </row>
    <row r="497">
      <c r="A497" t="n">
        <v>1776990602</v>
      </c>
      <c r="B497" t="inlineStr">
        <is>
          <t>XAUUSD</t>
        </is>
      </c>
      <c r="C497" t="inlineStr">
        <is>
          <t>M15</t>
        </is>
      </c>
      <c r="D497" t="n">
        <v>4701.8</v>
      </c>
      <c r="E497" t="n">
        <v>4518.59282</v>
      </c>
      <c r="F497" t="n">
        <v>4596.05595</v>
      </c>
      <c r="G497" t="n">
        <v>4755.40355</v>
      </c>
      <c r="H497" t="n">
        <v>4792.76972</v>
      </c>
      <c r="Q497" t="n">
        <v>4685.17371</v>
      </c>
      <c r="R497" t="n">
        <v>4714.53701</v>
      </c>
      <c r="S497" t="n">
        <v>4741.12578</v>
      </c>
      <c r="V497" t="n">
        <v>4650.23394</v>
      </c>
      <c r="W497" t="n">
        <v>4616.66894</v>
      </c>
      <c r="AB497" t="n">
        <v>4702.87104</v>
      </c>
      <c r="AC497" t="n">
        <v>4701.41916</v>
      </c>
      <c r="AD497" t="n">
        <v>0</v>
      </c>
      <c r="AE497">
        <f>AE496+1</f>
        <v/>
      </c>
      <c r="AF497">
        <f>AF496+1</f>
        <v/>
      </c>
      <c r="AG497">
        <f>D497-Q497</f>
        <v/>
      </c>
      <c r="AH497">
        <f>AG497^2</f>
        <v/>
      </c>
      <c r="AI497">
        <f>(AG497/STDEV($AG$3:$AG$1137))^3</f>
        <v/>
      </c>
      <c r="AJ497">
        <f>(AG497/STDEV($AG$3:$AG$1137))^4</f>
        <v/>
      </c>
      <c r="AK497">
        <f>AF497^2</f>
        <v/>
      </c>
      <c r="AL497">
        <f>IF(AD497=1,AB497,IF(AL496&lt;&gt;"",AL496,""))</f>
        <v/>
      </c>
      <c r="AM497">
        <f>IF(AND(AD497=1,AL496&lt;&gt;""),ABS(AB497-AL496),"")</f>
        <v/>
      </c>
    </row>
    <row r="498">
      <c r="A498" t="n">
        <v>1776991502</v>
      </c>
      <c r="B498" t="inlineStr">
        <is>
          <t>XAUUSD</t>
        </is>
      </c>
      <c r="C498" t="inlineStr">
        <is>
          <t>M15</t>
        </is>
      </c>
      <c r="D498" t="n">
        <v>4704.71</v>
      </c>
      <c r="E498" t="n">
        <v>4518.59282</v>
      </c>
      <c r="F498" t="n">
        <v>4596.05595</v>
      </c>
      <c r="G498" t="n">
        <v>4755.40355</v>
      </c>
      <c r="H498" t="n">
        <v>4792.76972</v>
      </c>
      <c r="Q498" t="n">
        <v>4684.9061</v>
      </c>
      <c r="R498" t="n">
        <v>4714.2694</v>
      </c>
      <c r="S498" t="n">
        <v>4740.85817</v>
      </c>
      <c r="V498" t="n">
        <v>4649.96633</v>
      </c>
      <c r="W498" t="n">
        <v>4616.40134</v>
      </c>
      <c r="AB498" t="n">
        <v>4703.43896</v>
      </c>
      <c r="AC498" t="n">
        <v>4702.42906</v>
      </c>
      <c r="AD498" t="n">
        <v>0</v>
      </c>
      <c r="AE498">
        <f>AE497+1</f>
        <v/>
      </c>
      <c r="AF498">
        <f>AF497+1</f>
        <v/>
      </c>
      <c r="AG498">
        <f>D498-Q498</f>
        <v/>
      </c>
      <c r="AH498">
        <f>AG498^2</f>
        <v/>
      </c>
      <c r="AI498">
        <f>(AG498/STDEV($AG$3:$AG$1137))^3</f>
        <v/>
      </c>
      <c r="AJ498">
        <f>(AG498/STDEV($AG$3:$AG$1137))^4</f>
        <v/>
      </c>
      <c r="AK498">
        <f>AF498^2</f>
        <v/>
      </c>
      <c r="AL498">
        <f>IF(AD498=1,AB498,IF(AL497&lt;&gt;"",AL497,""))</f>
        <v/>
      </c>
      <c r="AM498">
        <f>IF(AND(AD498=1,AL497&lt;&gt;""),ABS(AB498-AL497),"")</f>
        <v/>
      </c>
    </row>
    <row r="499">
      <c r="A499" t="n">
        <v>1776992402</v>
      </c>
      <c r="B499" t="inlineStr">
        <is>
          <t>XAUUSD</t>
        </is>
      </c>
      <c r="C499" t="inlineStr">
        <is>
          <t>M15</t>
        </is>
      </c>
      <c r="D499" t="n">
        <v>4709.47</v>
      </c>
      <c r="E499" t="n">
        <v>4518.59282</v>
      </c>
      <c r="F499" t="n">
        <v>4596.05595</v>
      </c>
      <c r="G499" t="n">
        <v>4755.40355</v>
      </c>
      <c r="H499" t="n">
        <v>4792.76972</v>
      </c>
      <c r="Q499" t="n">
        <v>4684.6385</v>
      </c>
      <c r="R499" t="n">
        <v>4714.0018</v>
      </c>
      <c r="S499" t="n">
        <v>4740.59057</v>
      </c>
      <c r="V499" t="n">
        <v>4649.69873</v>
      </c>
      <c r="W499" t="n">
        <v>4616.13373</v>
      </c>
      <c r="AB499" t="n">
        <v>4703.03902</v>
      </c>
      <c r="AC499" t="n">
        <v>4702.73404</v>
      </c>
      <c r="AD499" t="n">
        <v>0</v>
      </c>
      <c r="AE499">
        <f>AE498+1</f>
        <v/>
      </c>
      <c r="AF499">
        <f>AF498+1</f>
        <v/>
      </c>
      <c r="AG499">
        <f>D499-Q499</f>
        <v/>
      </c>
      <c r="AH499">
        <f>AG499^2</f>
        <v/>
      </c>
      <c r="AI499">
        <f>(AG499/STDEV($AG$3:$AG$1137))^3</f>
        <v/>
      </c>
      <c r="AJ499">
        <f>(AG499/STDEV($AG$3:$AG$1137))^4</f>
        <v/>
      </c>
      <c r="AK499">
        <f>AF499^2</f>
        <v/>
      </c>
      <c r="AL499">
        <f>IF(AD499=1,AB499,IF(AL498&lt;&gt;"",AL498,""))</f>
        <v/>
      </c>
      <c r="AM499">
        <f>IF(AND(AD499=1,AL498&lt;&gt;""),ABS(AB499-AL498),"")</f>
        <v/>
      </c>
    </row>
    <row r="500">
      <c r="A500" t="n">
        <v>1776993302</v>
      </c>
      <c r="B500" t="inlineStr">
        <is>
          <t>XAUUSD</t>
        </is>
      </c>
      <c r="C500" t="inlineStr">
        <is>
          <t>M15</t>
        </is>
      </c>
      <c r="D500" t="n">
        <v>4698.41</v>
      </c>
      <c r="E500" t="n">
        <v>4518.59282</v>
      </c>
      <c r="F500" t="n">
        <v>4596.05595</v>
      </c>
      <c r="G500" t="n">
        <v>4755.40355</v>
      </c>
      <c r="H500" t="n">
        <v>4792.76972</v>
      </c>
      <c r="Q500" t="n">
        <v>4684.37089</v>
      </c>
      <c r="R500" t="n">
        <v>4713.73419</v>
      </c>
      <c r="S500" t="n">
        <v>4740.32296</v>
      </c>
      <c r="V500" t="n">
        <v>4649.43112</v>
      </c>
      <c r="W500" t="n">
        <v>4615.86613</v>
      </c>
      <c r="Z500" t="n">
        <v>4711.23</v>
      </c>
      <c r="AB500" t="n">
        <v>4701.3644</v>
      </c>
      <c r="AC500" t="n">
        <v>4702.04922</v>
      </c>
      <c r="AD500" t="n">
        <v>1</v>
      </c>
      <c r="AE500">
        <f>AE499+1</f>
        <v/>
      </c>
      <c r="AF500">
        <f>AF499+1</f>
        <v/>
      </c>
      <c r="AG500">
        <f>D500-Q500</f>
        <v/>
      </c>
      <c r="AH500">
        <f>AG500^2</f>
        <v/>
      </c>
      <c r="AI500">
        <f>(AG500/STDEV($AG$3:$AG$1137))^3</f>
        <v/>
      </c>
      <c r="AJ500">
        <f>(AG500/STDEV($AG$3:$AG$1137))^4</f>
        <v/>
      </c>
      <c r="AK500">
        <f>AF500^2</f>
        <v/>
      </c>
      <c r="AL500">
        <f>IF(AD500=1,AB500,IF(AL499&lt;&gt;"",AL499,""))</f>
        <v/>
      </c>
      <c r="AM500">
        <f>IF(AND(AD500=1,AL499&lt;&gt;""),ABS(AB500-AL499),"")</f>
        <v/>
      </c>
    </row>
    <row r="501">
      <c r="A501" t="n">
        <v>1776994202</v>
      </c>
      <c r="B501" t="inlineStr">
        <is>
          <t>XAUUSD</t>
        </is>
      </c>
      <c r="C501" t="inlineStr">
        <is>
          <t>M15</t>
        </is>
      </c>
      <c r="D501" t="n">
        <v>4690.81</v>
      </c>
      <c r="E501" t="n">
        <v>4518.59282</v>
      </c>
      <c r="F501" t="n">
        <v>4596.05595</v>
      </c>
      <c r="G501" t="n">
        <v>4755.40355</v>
      </c>
      <c r="H501" t="n">
        <v>4792.76972</v>
      </c>
      <c r="Q501" t="n">
        <v>4684.10329</v>
      </c>
      <c r="R501" t="n">
        <v>4713.46659</v>
      </c>
      <c r="S501" t="n">
        <v>4740.05536</v>
      </c>
      <c r="V501" t="n">
        <v>4649.16352</v>
      </c>
      <c r="W501" t="n">
        <v>4615.59852</v>
      </c>
      <c r="AB501" t="n">
        <v>4698.6827</v>
      </c>
      <c r="AC501" t="n">
        <v>4700.36596</v>
      </c>
      <c r="AD501" t="n">
        <v>0</v>
      </c>
      <c r="AE501">
        <f>AE500+1</f>
        <v/>
      </c>
      <c r="AF501">
        <f>AF500+1</f>
        <v/>
      </c>
      <c r="AG501">
        <f>D501-Q501</f>
        <v/>
      </c>
      <c r="AH501">
        <f>AG501^2</f>
        <v/>
      </c>
      <c r="AI501">
        <f>(AG501/STDEV($AG$3:$AG$1137))^3</f>
        <v/>
      </c>
      <c r="AJ501">
        <f>(AG501/STDEV($AG$3:$AG$1137))^4</f>
        <v/>
      </c>
      <c r="AK501">
        <f>AF501^2</f>
        <v/>
      </c>
      <c r="AL501">
        <f>IF(AD501=1,AB501,IF(AL500&lt;&gt;"",AL500,""))</f>
        <v/>
      </c>
      <c r="AM501">
        <f>IF(AND(AD501=1,AL500&lt;&gt;""),ABS(AB501-AL500),"")</f>
        <v/>
      </c>
    </row>
    <row r="502">
      <c r="A502" t="n">
        <v>1776995102</v>
      </c>
      <c r="B502" t="inlineStr">
        <is>
          <t>XAUUSD</t>
        </is>
      </c>
      <c r="C502" t="inlineStr">
        <is>
          <t>M15</t>
        </is>
      </c>
      <c r="D502" t="n">
        <v>4699.09</v>
      </c>
      <c r="E502" t="n">
        <v>4518.59282</v>
      </c>
      <c r="F502" t="n">
        <v>4596.05595</v>
      </c>
      <c r="G502" t="n">
        <v>4755.40355</v>
      </c>
      <c r="H502" t="n">
        <v>4792.76972</v>
      </c>
      <c r="Q502" t="n">
        <v>4683.83569</v>
      </c>
      <c r="R502" t="n">
        <v>4713.19899</v>
      </c>
      <c r="S502" t="n">
        <v>4739.78776</v>
      </c>
      <c r="V502" t="n">
        <v>4648.89592</v>
      </c>
      <c r="W502" t="n">
        <v>4615.33092</v>
      </c>
      <c r="AB502" t="n">
        <v>4695.29842</v>
      </c>
      <c r="AC502" t="n">
        <v>4697.83219</v>
      </c>
      <c r="AD502" t="n">
        <v>0</v>
      </c>
      <c r="AE502">
        <f>AE501+1</f>
        <v/>
      </c>
      <c r="AF502">
        <f>AF501+1</f>
        <v/>
      </c>
      <c r="AG502">
        <f>D502-Q502</f>
        <v/>
      </c>
      <c r="AH502">
        <f>AG502^2</f>
        <v/>
      </c>
      <c r="AI502">
        <f>(AG502/STDEV($AG$3:$AG$1137))^3</f>
        <v/>
      </c>
      <c r="AJ502">
        <f>(AG502/STDEV($AG$3:$AG$1137))^4</f>
        <v/>
      </c>
      <c r="AK502">
        <f>AF502^2</f>
        <v/>
      </c>
      <c r="AL502">
        <f>IF(AD502=1,AB502,IF(AL501&lt;&gt;"",AL501,""))</f>
        <v/>
      </c>
      <c r="AM502">
        <f>IF(AND(AD502=1,AL501&lt;&gt;""),ABS(AB502-AL501),"")</f>
        <v/>
      </c>
    </row>
    <row r="503">
      <c r="A503" t="n">
        <v>1776996002</v>
      </c>
      <c r="B503" t="inlineStr">
        <is>
          <t>XAUUSD</t>
        </is>
      </c>
      <c r="C503" t="inlineStr">
        <is>
          <t>M15</t>
        </is>
      </c>
      <c r="D503" t="n">
        <v>4693.29</v>
      </c>
      <c r="E503" t="n">
        <v>4518.59282</v>
      </c>
      <c r="F503" t="n">
        <v>4596.05595</v>
      </c>
      <c r="G503" t="n">
        <v>4755.40355</v>
      </c>
      <c r="H503" t="n">
        <v>4792.76972</v>
      </c>
      <c r="Q503" t="n">
        <v>4683.56808</v>
      </c>
      <c r="R503" t="n">
        <v>4712.93138</v>
      </c>
      <c r="S503" t="n">
        <v>4739.52015</v>
      </c>
      <c r="V503" t="n">
        <v>4648.62831</v>
      </c>
      <c r="W503" t="n">
        <v>4615.06332</v>
      </c>
      <c r="AB503" t="n">
        <v>4691.1675</v>
      </c>
      <c r="AC503" t="n">
        <v>4694.49984</v>
      </c>
      <c r="AD503" t="n">
        <v>0</v>
      </c>
      <c r="AE503">
        <f>AE502+1</f>
        <v/>
      </c>
      <c r="AF503">
        <f>AF502+1</f>
        <v/>
      </c>
      <c r="AG503">
        <f>D503-Q503</f>
        <v/>
      </c>
      <c r="AH503">
        <f>AG503^2</f>
        <v/>
      </c>
      <c r="AI503">
        <f>(AG503/STDEV($AG$3:$AG$1137))^3</f>
        <v/>
      </c>
      <c r="AJ503">
        <f>(AG503/STDEV($AG$3:$AG$1137))^4</f>
        <v/>
      </c>
      <c r="AK503">
        <f>AF503^2</f>
        <v/>
      </c>
      <c r="AL503">
        <f>IF(AD503=1,AB503,IF(AL502&lt;&gt;"",AL502,""))</f>
        <v/>
      </c>
      <c r="AM503">
        <f>IF(AND(AD503=1,AL502&lt;&gt;""),ABS(AB503-AL502),"")</f>
        <v/>
      </c>
    </row>
    <row r="504">
      <c r="A504" t="n">
        <v>1776996902</v>
      </c>
      <c r="B504" t="inlineStr">
        <is>
          <t>XAUUSD</t>
        </is>
      </c>
      <c r="C504" t="inlineStr">
        <is>
          <t>M15</t>
        </is>
      </c>
      <c r="D504" t="n">
        <v>4684.14</v>
      </c>
      <c r="E504" t="n">
        <v>4518.59282</v>
      </c>
      <c r="F504" t="n">
        <v>4596.05595</v>
      </c>
      <c r="G504" t="n">
        <v>4755.40355</v>
      </c>
      <c r="H504" t="n">
        <v>4792.76972</v>
      </c>
      <c r="Q504" t="n">
        <v>4683.30048</v>
      </c>
      <c r="R504" t="n">
        <v>4712.66378</v>
      </c>
      <c r="S504" t="n">
        <v>4739.25255</v>
      </c>
      <c r="V504" t="n">
        <v>4648.36071</v>
      </c>
      <c r="W504" t="n">
        <v>4614.79571</v>
      </c>
      <c r="AB504" t="n">
        <v>4686.69271</v>
      </c>
      <c r="AC504" t="n">
        <v>4690.59627</v>
      </c>
      <c r="AD504" t="n">
        <v>0</v>
      </c>
      <c r="AE504">
        <f>AE503+1</f>
        <v/>
      </c>
      <c r="AF504">
        <f>AF503+1</f>
        <v/>
      </c>
      <c r="AG504">
        <f>D504-Q504</f>
        <v/>
      </c>
      <c r="AH504">
        <f>AG504^2</f>
        <v/>
      </c>
      <c r="AI504">
        <f>(AG504/STDEV($AG$3:$AG$1137))^3</f>
        <v/>
      </c>
      <c r="AJ504">
        <f>(AG504/STDEV($AG$3:$AG$1137))^4</f>
        <v/>
      </c>
      <c r="AK504">
        <f>AF504^2</f>
        <v/>
      </c>
      <c r="AL504">
        <f>IF(AD504=1,AB504,IF(AL503&lt;&gt;"",AL503,""))</f>
        <v/>
      </c>
      <c r="AM504">
        <f>IF(AND(AD504=1,AL503&lt;&gt;""),ABS(AB504-AL503),"")</f>
        <v/>
      </c>
    </row>
    <row r="505">
      <c r="A505" t="n">
        <v>1776997802</v>
      </c>
      <c r="B505" t="inlineStr">
        <is>
          <t>XAUUSD</t>
        </is>
      </c>
      <c r="C505" t="inlineStr">
        <is>
          <t>M15</t>
        </is>
      </c>
      <c r="D505" t="n">
        <v>4683.54</v>
      </c>
      <c r="E505" t="n">
        <v>4518.59282</v>
      </c>
      <c r="F505" t="n">
        <v>4596.05595</v>
      </c>
      <c r="G505" t="n">
        <v>4755.40355</v>
      </c>
      <c r="H505" t="n">
        <v>4792.76972</v>
      </c>
      <c r="Q505" t="n">
        <v>4683.03287</v>
      </c>
      <c r="R505" t="n">
        <v>4712.39617</v>
      </c>
      <c r="S505" t="n">
        <v>4738.98494</v>
      </c>
      <c r="V505" t="n">
        <v>4648.0931</v>
      </c>
      <c r="W505" t="n">
        <v>4614.52811</v>
      </c>
      <c r="AB505" t="n">
        <v>4682.2824</v>
      </c>
      <c r="AC505" t="n">
        <v>4686.43934</v>
      </c>
      <c r="AD505" t="n">
        <v>0</v>
      </c>
      <c r="AE505">
        <f>AE504+1</f>
        <v/>
      </c>
      <c r="AF505">
        <f>AF504+1</f>
        <v/>
      </c>
      <c r="AG505">
        <f>D505-Q505</f>
        <v/>
      </c>
      <c r="AH505">
        <f>AG505^2</f>
        <v/>
      </c>
      <c r="AI505">
        <f>(AG505/STDEV($AG$3:$AG$1137))^3</f>
        <v/>
      </c>
      <c r="AJ505">
        <f>(AG505/STDEV($AG$3:$AG$1137))^4</f>
        <v/>
      </c>
      <c r="AK505">
        <f>AF505^2</f>
        <v/>
      </c>
      <c r="AL505">
        <f>IF(AD505=1,AB505,IF(AL504&lt;&gt;"",AL504,""))</f>
        <v/>
      </c>
      <c r="AM505">
        <f>IF(AND(AD505=1,AL504&lt;&gt;""),ABS(AB505-AL504),"")</f>
        <v/>
      </c>
    </row>
    <row r="506">
      <c r="A506" t="n">
        <v>1776998702</v>
      </c>
      <c r="B506" t="inlineStr">
        <is>
          <t>XAUUSD</t>
        </is>
      </c>
      <c r="C506" t="inlineStr">
        <is>
          <t>M15</t>
        </is>
      </c>
      <c r="D506" t="n">
        <v>4676.83</v>
      </c>
      <c r="E506" t="n">
        <v>4518.59282</v>
      </c>
      <c r="F506" t="n">
        <v>4596.05595</v>
      </c>
      <c r="G506" t="n">
        <v>4755.40355</v>
      </c>
      <c r="H506" t="n">
        <v>4792.76972</v>
      </c>
      <c r="Q506" t="n">
        <v>4682.76527</v>
      </c>
      <c r="R506" t="n">
        <v>4712.12857</v>
      </c>
      <c r="S506" t="n">
        <v>4738.71734</v>
      </c>
      <c r="V506" t="n">
        <v>4647.8255</v>
      </c>
      <c r="W506" t="n">
        <v>4614.2605</v>
      </c>
      <c r="AB506" t="n">
        <v>4678.12089</v>
      </c>
      <c r="AC506" t="n">
        <v>4682.28011</v>
      </c>
      <c r="AD506" t="n">
        <v>0</v>
      </c>
      <c r="AE506">
        <f>AE505+1</f>
        <v/>
      </c>
      <c r="AF506">
        <f>AF505+1</f>
        <v/>
      </c>
      <c r="AG506">
        <f>D506-Q506</f>
        <v/>
      </c>
      <c r="AH506">
        <f>AG506^2</f>
        <v/>
      </c>
      <c r="AI506">
        <f>(AG506/STDEV($AG$3:$AG$1137))^3</f>
        <v/>
      </c>
      <c r="AJ506">
        <f>(AG506/STDEV($AG$3:$AG$1137))^4</f>
        <v/>
      </c>
      <c r="AK506">
        <f>AF506^2</f>
        <v/>
      </c>
      <c r="AL506">
        <f>IF(AD506=1,AB506,IF(AL505&lt;&gt;"",AL505,""))</f>
        <v/>
      </c>
      <c r="AM506">
        <f>IF(AND(AD506=1,AL505&lt;&gt;""),ABS(AB506-AL505),"")</f>
        <v/>
      </c>
    </row>
    <row r="507">
      <c r="A507" t="n">
        <v>1776999602</v>
      </c>
      <c r="B507" t="inlineStr">
        <is>
          <t>XAUUSD</t>
        </is>
      </c>
      <c r="C507" t="inlineStr">
        <is>
          <t>M15</t>
        </is>
      </c>
      <c r="D507" t="n">
        <v>4670.5</v>
      </c>
      <c r="E507" t="n">
        <v>4518.59282</v>
      </c>
      <c r="F507" t="n">
        <v>4596.05595</v>
      </c>
      <c r="G507" t="n">
        <v>4755.40355</v>
      </c>
      <c r="H507" t="n">
        <v>4792.76972</v>
      </c>
      <c r="Q507" t="n">
        <v>4682.49767</v>
      </c>
      <c r="R507" t="n">
        <v>4711.86096</v>
      </c>
      <c r="S507" t="n">
        <v>4738.44974</v>
      </c>
      <c r="V507" t="n">
        <v>4647.5579</v>
      </c>
      <c r="W507" t="n">
        <v>4613.9929</v>
      </c>
      <c r="AB507" t="n">
        <v>4674.53755</v>
      </c>
      <c r="AC507" t="n">
        <v>4678.40883</v>
      </c>
      <c r="AD507" t="n">
        <v>0</v>
      </c>
      <c r="AE507">
        <f>AE506+1</f>
        <v/>
      </c>
      <c r="AF507">
        <f>AF506+1</f>
        <v/>
      </c>
      <c r="AG507">
        <f>D507-Q507</f>
        <v/>
      </c>
      <c r="AH507">
        <f>AG507^2</f>
        <v/>
      </c>
      <c r="AI507">
        <f>(AG507/STDEV($AG$3:$AG$1137))^3</f>
        <v/>
      </c>
      <c r="AJ507">
        <f>(AG507/STDEV($AG$3:$AG$1137))^4</f>
        <v/>
      </c>
      <c r="AK507">
        <f>AF507^2</f>
        <v/>
      </c>
      <c r="AL507">
        <f>IF(AD507=1,AB507,IF(AL506&lt;&gt;"",AL506,""))</f>
        <v/>
      </c>
      <c r="AM507">
        <f>IF(AND(AD507=1,AL506&lt;&gt;""),ABS(AB507-AL506),"")</f>
        <v/>
      </c>
    </row>
    <row r="508">
      <c r="A508" t="n">
        <v>1777000502</v>
      </c>
      <c r="B508" t="inlineStr">
        <is>
          <t>XAUUSD</t>
        </is>
      </c>
      <c r="C508" t="inlineStr">
        <is>
          <t>M15</t>
        </is>
      </c>
      <c r="D508" t="n">
        <v>4674.62</v>
      </c>
      <c r="E508" t="n">
        <v>4518.59282</v>
      </c>
      <c r="F508" t="n">
        <v>4596.05595</v>
      </c>
      <c r="G508" t="n">
        <v>4755.40355</v>
      </c>
      <c r="H508" t="n">
        <v>4792.76972</v>
      </c>
      <c r="Q508" t="n">
        <v>4682.23006</v>
      </c>
      <c r="R508" t="n">
        <v>4711.59336</v>
      </c>
      <c r="S508" t="n">
        <v>4738.18213</v>
      </c>
      <c r="V508" t="n">
        <v>4647.29029</v>
      </c>
      <c r="W508" t="n">
        <v>4613.7253</v>
      </c>
      <c r="AB508" t="n">
        <v>4671.82662</v>
      </c>
      <c r="AC508" t="n">
        <v>4675.11772</v>
      </c>
      <c r="AD508" t="n">
        <v>0</v>
      </c>
      <c r="AE508">
        <f>AE507+1</f>
        <v/>
      </c>
      <c r="AF508">
        <f>AF507+1</f>
        <v/>
      </c>
      <c r="AG508">
        <f>D508-Q508</f>
        <v/>
      </c>
      <c r="AH508">
        <f>AG508^2</f>
        <v/>
      </c>
      <c r="AI508">
        <f>(AG508/STDEV($AG$3:$AG$1137))^3</f>
        <v/>
      </c>
      <c r="AJ508">
        <f>(AG508/STDEV($AG$3:$AG$1137))^4</f>
        <v/>
      </c>
      <c r="AK508">
        <f>AF508^2</f>
        <v/>
      </c>
      <c r="AL508">
        <f>IF(AD508=1,AB508,IF(AL507&lt;&gt;"",AL507,""))</f>
        <v/>
      </c>
      <c r="AM508">
        <f>IF(AND(AD508=1,AL507&lt;&gt;""),ABS(AB508-AL507),"")</f>
        <v/>
      </c>
    </row>
    <row r="509">
      <c r="A509" t="n">
        <v>1777001402</v>
      </c>
      <c r="B509" t="inlineStr">
        <is>
          <t>XAUUSD</t>
        </is>
      </c>
      <c r="C509" t="inlineStr">
        <is>
          <t>M15</t>
        </is>
      </c>
      <c r="D509" t="n">
        <v>4675.32</v>
      </c>
      <c r="E509" t="n">
        <v>4518.59282</v>
      </c>
      <c r="F509" t="n">
        <v>4596.05595</v>
      </c>
      <c r="G509" t="n">
        <v>4755.40355</v>
      </c>
      <c r="H509" t="n">
        <v>4792.76972</v>
      </c>
      <c r="Q509" t="n">
        <v>4681.96246</v>
      </c>
      <c r="R509" t="n">
        <v>4711.32576</v>
      </c>
      <c r="S509" t="n">
        <v>4737.91453</v>
      </c>
      <c r="V509" t="n">
        <v>4647.02269</v>
      </c>
      <c r="W509" t="n">
        <v>4613.45769</v>
      </c>
      <c r="AB509" t="n">
        <v>4669.94697</v>
      </c>
      <c r="AC509" t="n">
        <v>4672.53235</v>
      </c>
      <c r="AD509" t="n">
        <v>0</v>
      </c>
      <c r="AE509">
        <f>AE508+1</f>
        <v/>
      </c>
      <c r="AF509">
        <f>AF508+1</f>
        <v/>
      </c>
      <c r="AG509">
        <f>D509-Q509</f>
        <v/>
      </c>
      <c r="AH509">
        <f>AG509^2</f>
        <v/>
      </c>
      <c r="AI509">
        <f>(AG509/STDEV($AG$3:$AG$1137))^3</f>
        <v/>
      </c>
      <c r="AJ509">
        <f>(AG509/STDEV($AG$3:$AG$1137))^4</f>
        <v/>
      </c>
      <c r="AK509">
        <f>AF509^2</f>
        <v/>
      </c>
      <c r="AL509">
        <f>IF(AD509=1,AB509,IF(AL508&lt;&gt;"",AL508,""))</f>
        <v/>
      </c>
      <c r="AM509">
        <f>IF(AND(AD509=1,AL508&lt;&gt;""),ABS(AB509-AL508),"")</f>
        <v/>
      </c>
    </row>
    <row r="510">
      <c r="A510" t="n">
        <v>1777002302</v>
      </c>
      <c r="B510" t="inlineStr">
        <is>
          <t>XAUUSD</t>
        </is>
      </c>
      <c r="C510" t="inlineStr">
        <is>
          <t>M15</t>
        </is>
      </c>
      <c r="D510" t="n">
        <v>4672.16</v>
      </c>
      <c r="E510" t="n">
        <v>4518.59282</v>
      </c>
      <c r="F510" t="n">
        <v>4596.05595</v>
      </c>
      <c r="G510" t="n">
        <v>4755.40355</v>
      </c>
      <c r="H510" t="n">
        <v>4792.76972</v>
      </c>
      <c r="Q510" t="n">
        <v>4681.69485</v>
      </c>
      <c r="R510" t="n">
        <v>4711.05815</v>
      </c>
      <c r="S510" t="n">
        <v>4737.64692</v>
      </c>
      <c r="V510" t="n">
        <v>4646.75508</v>
      </c>
      <c r="W510" t="n">
        <v>4613.19009</v>
      </c>
      <c r="AB510" t="n">
        <v>4668.87263</v>
      </c>
      <c r="AC510" t="n">
        <v>4670.70249</v>
      </c>
      <c r="AD510" t="n">
        <v>0</v>
      </c>
      <c r="AE510">
        <f>AE509+1</f>
        <v/>
      </c>
      <c r="AF510">
        <f>AF509+1</f>
        <v/>
      </c>
      <c r="AG510">
        <f>D510-Q510</f>
        <v/>
      </c>
      <c r="AH510">
        <f>AG510^2</f>
        <v/>
      </c>
      <c r="AI510">
        <f>(AG510/STDEV($AG$3:$AG$1137))^3</f>
        <v/>
      </c>
      <c r="AJ510">
        <f>(AG510/STDEV($AG$3:$AG$1137))^4</f>
        <v/>
      </c>
      <c r="AK510">
        <f>AF510^2</f>
        <v/>
      </c>
      <c r="AL510">
        <f>IF(AD510=1,AB510,IF(AL509&lt;&gt;"",AL509,""))</f>
        <v/>
      </c>
      <c r="AM510">
        <f>IF(AND(AD510=1,AL509&lt;&gt;""),ABS(AB510-AL509),"")</f>
        <v/>
      </c>
    </row>
    <row r="511">
      <c r="A511" t="n">
        <v>1777003202</v>
      </c>
      <c r="B511" t="inlineStr">
        <is>
          <t>XAUUSD</t>
        </is>
      </c>
      <c r="C511" t="inlineStr">
        <is>
          <t>M15</t>
        </is>
      </c>
      <c r="D511" t="n">
        <v>4670.01</v>
      </c>
      <c r="E511" t="n">
        <v>4518.59282</v>
      </c>
      <c r="F511" t="n">
        <v>4596.05595</v>
      </c>
      <c r="G511" t="n">
        <v>4755.40355</v>
      </c>
      <c r="H511" t="n">
        <v>4792.76972</v>
      </c>
      <c r="Q511" t="n">
        <v>4681.42725</v>
      </c>
      <c r="R511" t="n">
        <v>4710.79055</v>
      </c>
      <c r="S511" t="n">
        <v>4737.37932</v>
      </c>
      <c r="V511" t="n">
        <v>4646.48748</v>
      </c>
      <c r="W511" t="n">
        <v>4612.92248</v>
      </c>
      <c r="AB511" t="n">
        <v>4668.64906</v>
      </c>
      <c r="AC511" t="n">
        <v>4669.67578</v>
      </c>
      <c r="AD511" t="n">
        <v>0</v>
      </c>
      <c r="AE511">
        <f>AE510+1</f>
        <v/>
      </c>
      <c r="AF511">
        <f>AF510+1</f>
        <v/>
      </c>
      <c r="AG511">
        <f>D511-Q511</f>
        <v/>
      </c>
      <c r="AH511">
        <f>AG511^2</f>
        <v/>
      </c>
      <c r="AI511">
        <f>(AG511/STDEV($AG$3:$AG$1137))^3</f>
        <v/>
      </c>
      <c r="AJ511">
        <f>(AG511/STDEV($AG$3:$AG$1137))^4</f>
        <v/>
      </c>
      <c r="AK511">
        <f>AF511^2</f>
        <v/>
      </c>
      <c r="AL511">
        <f>IF(AD511=1,AB511,IF(AL510&lt;&gt;"",AL510,""))</f>
        <v/>
      </c>
      <c r="AM511">
        <f>IF(AND(AD511=1,AL510&lt;&gt;""),ABS(AB511-AL510),"")</f>
        <v/>
      </c>
    </row>
    <row r="512">
      <c r="A512" t="n">
        <v>1777004102</v>
      </c>
      <c r="B512" t="inlineStr">
        <is>
          <t>XAUUSD</t>
        </is>
      </c>
      <c r="C512" t="inlineStr">
        <is>
          <t>M15</t>
        </is>
      </c>
      <c r="D512" t="n">
        <v>4659.65</v>
      </c>
      <c r="E512" t="n">
        <v>4518.59282</v>
      </c>
      <c r="F512" t="n">
        <v>4596.05595</v>
      </c>
      <c r="G512" t="n">
        <v>4755.40355</v>
      </c>
      <c r="H512" t="n">
        <v>4792.76972</v>
      </c>
      <c r="Q512" t="n">
        <v>4681.15965</v>
      </c>
      <c r="R512" t="n">
        <v>4710.52294</v>
      </c>
      <c r="S512" t="n">
        <v>4737.11172</v>
      </c>
      <c r="V512" t="n">
        <v>4646.21988</v>
      </c>
      <c r="W512" t="n">
        <v>4612.65488</v>
      </c>
      <c r="AB512" t="n">
        <v>4669.31839</v>
      </c>
      <c r="AC512" t="n">
        <v>4669.49708</v>
      </c>
      <c r="AD512" t="n">
        <v>0</v>
      </c>
      <c r="AE512">
        <f>AE511+1</f>
        <v/>
      </c>
      <c r="AF512">
        <f>AF511+1</f>
        <v/>
      </c>
      <c r="AG512">
        <f>D512-Q512</f>
        <v/>
      </c>
      <c r="AH512">
        <f>AG512^2</f>
        <v/>
      </c>
      <c r="AI512">
        <f>(AG512/STDEV($AG$3:$AG$1137))^3</f>
        <v/>
      </c>
      <c r="AJ512">
        <f>(AG512/STDEV($AG$3:$AG$1137))^4</f>
        <v/>
      </c>
      <c r="AK512">
        <f>AF512^2</f>
        <v/>
      </c>
      <c r="AL512">
        <f>IF(AD512=1,AB512,IF(AL511&lt;&gt;"",AL511,""))</f>
        <v/>
      </c>
      <c r="AM512">
        <f>IF(AND(AD512=1,AL511&lt;&gt;""),ABS(AB512-AL511),"")</f>
        <v/>
      </c>
    </row>
    <row r="513">
      <c r="A513" t="n">
        <v>1777005002</v>
      </c>
      <c r="B513" t="inlineStr">
        <is>
          <t>XAUUSD</t>
        </is>
      </c>
      <c r="C513" t="inlineStr">
        <is>
          <t>M15</t>
        </is>
      </c>
      <c r="D513" t="n">
        <v>4668.58</v>
      </c>
      <c r="E513" t="n">
        <v>4518.59282</v>
      </c>
      <c r="F513" t="n">
        <v>4596.05595</v>
      </c>
      <c r="G513" t="n">
        <v>4755.40355</v>
      </c>
      <c r="H513" t="n">
        <v>4792.76972</v>
      </c>
      <c r="Q513" t="n">
        <v>4680.89204</v>
      </c>
      <c r="R513" t="n">
        <v>4710.25534</v>
      </c>
      <c r="S513" t="n">
        <v>4736.84411</v>
      </c>
      <c r="V513" t="n">
        <v>4645.95227</v>
      </c>
      <c r="W513" t="n">
        <v>4612.38727</v>
      </c>
      <c r="AA513" t="n">
        <v>4658.17</v>
      </c>
      <c r="AB513" t="n">
        <v>4671.00852</v>
      </c>
      <c r="AC513" t="n">
        <v>4670.2528</v>
      </c>
      <c r="AD513" t="n">
        <v>1</v>
      </c>
      <c r="AE513">
        <f>AE512+1</f>
        <v/>
      </c>
      <c r="AF513">
        <f>AF512+1</f>
        <v/>
      </c>
      <c r="AG513">
        <f>D513-Q513</f>
        <v/>
      </c>
      <c r="AH513">
        <f>AG513^2</f>
        <v/>
      </c>
      <c r="AI513">
        <f>(AG513/STDEV($AG$3:$AG$1137))^3</f>
        <v/>
      </c>
      <c r="AJ513">
        <f>(AG513/STDEV($AG$3:$AG$1137))^4</f>
        <v/>
      </c>
      <c r="AK513">
        <f>AF513^2</f>
        <v/>
      </c>
      <c r="AL513">
        <f>IF(AD513=1,AB513,IF(AL512&lt;&gt;"",AL512,""))</f>
        <v/>
      </c>
      <c r="AM513">
        <f>IF(AND(AD513=1,AL512&lt;&gt;""),ABS(AB513-AL512),"")</f>
        <v/>
      </c>
    </row>
    <row r="514">
      <c r="A514" t="n">
        <v>1777005902</v>
      </c>
      <c r="B514" t="inlineStr">
        <is>
          <t>XAUUSD</t>
        </is>
      </c>
      <c r="C514" t="inlineStr">
        <is>
          <t>M15</t>
        </is>
      </c>
      <c r="D514" t="n">
        <v>4674.53</v>
      </c>
      <c r="E514" t="n">
        <v>4518.59282</v>
      </c>
      <c r="F514" t="n">
        <v>4596.05595</v>
      </c>
      <c r="G514" t="n">
        <v>4755.40355</v>
      </c>
      <c r="H514" t="n">
        <v>4792.76972</v>
      </c>
      <c r="Q514" t="n">
        <v>4680.62444</v>
      </c>
      <c r="R514" t="n">
        <v>4709.98774</v>
      </c>
      <c r="S514" t="n">
        <v>4736.57651</v>
      </c>
      <c r="V514" t="n">
        <v>4645.68467</v>
      </c>
      <c r="W514" t="n">
        <v>4612.11967</v>
      </c>
      <c r="AB514" t="n">
        <v>4673.20377</v>
      </c>
      <c r="AC514" t="n">
        <v>4671.72829</v>
      </c>
      <c r="AD514" t="n">
        <v>0</v>
      </c>
      <c r="AE514">
        <f>AE513+1</f>
        <v/>
      </c>
      <c r="AF514">
        <f>AF513+1</f>
        <v/>
      </c>
      <c r="AG514">
        <f>D514-Q514</f>
        <v/>
      </c>
      <c r="AH514">
        <f>AG514^2</f>
        <v/>
      </c>
      <c r="AI514">
        <f>(AG514/STDEV($AG$3:$AG$1137))^3</f>
        <v/>
      </c>
      <c r="AJ514">
        <f>(AG514/STDEV($AG$3:$AG$1137))^4</f>
        <v/>
      </c>
      <c r="AK514">
        <f>AF514^2</f>
        <v/>
      </c>
      <c r="AL514">
        <f>IF(AD514=1,AB514,IF(AL513&lt;&gt;"",AL513,""))</f>
        <v/>
      </c>
      <c r="AM514">
        <f>IF(AND(AD514=1,AL513&lt;&gt;""),ABS(AB514-AL513),"")</f>
        <v/>
      </c>
    </row>
    <row r="515">
      <c r="A515" t="n">
        <v>1777006802</v>
      </c>
      <c r="B515" t="inlineStr">
        <is>
          <t>XAUUSD</t>
        </is>
      </c>
      <c r="C515" t="inlineStr">
        <is>
          <t>M15</t>
        </is>
      </c>
      <c r="D515" t="n">
        <v>4673.44</v>
      </c>
      <c r="E515" t="n">
        <v>4518.59282</v>
      </c>
      <c r="F515" t="n">
        <v>4596.05595</v>
      </c>
      <c r="G515" t="n">
        <v>4755.40355</v>
      </c>
      <c r="H515" t="n">
        <v>4792.76972</v>
      </c>
      <c r="Q515" t="n">
        <v>4680.35683</v>
      </c>
      <c r="R515" t="n">
        <v>4709.72013</v>
      </c>
      <c r="S515" t="n">
        <v>4736.3089</v>
      </c>
      <c r="V515" t="n">
        <v>4645.41706</v>
      </c>
      <c r="W515" t="n">
        <v>4611.85207</v>
      </c>
      <c r="AB515" t="n">
        <v>4675.38967</v>
      </c>
      <c r="AC515" t="n">
        <v>4673.55898</v>
      </c>
      <c r="AD515" t="n">
        <v>0</v>
      </c>
      <c r="AE515">
        <f>AE514+1</f>
        <v/>
      </c>
      <c r="AF515">
        <f>AF514+1</f>
        <v/>
      </c>
      <c r="AG515">
        <f>D515-Q515</f>
        <v/>
      </c>
      <c r="AH515">
        <f>AG515^2</f>
        <v/>
      </c>
      <c r="AI515">
        <f>(AG515/STDEV($AG$3:$AG$1137))^3</f>
        <v/>
      </c>
      <c r="AJ515">
        <f>(AG515/STDEV($AG$3:$AG$1137))^4</f>
        <v/>
      </c>
      <c r="AK515">
        <f>AF515^2</f>
        <v/>
      </c>
      <c r="AL515">
        <f>IF(AD515=1,AB515,IF(AL514&lt;&gt;"",AL514,""))</f>
        <v/>
      </c>
      <c r="AM515">
        <f>IF(AND(AD515=1,AL514&lt;&gt;""),ABS(AB515-AL514),"")</f>
        <v/>
      </c>
    </row>
    <row r="516">
      <c r="A516" t="n">
        <v>1777007702</v>
      </c>
      <c r="B516" t="inlineStr">
        <is>
          <t>XAUUSD</t>
        </is>
      </c>
      <c r="C516" t="inlineStr">
        <is>
          <t>M15</t>
        </is>
      </c>
      <c r="D516" t="n">
        <v>4676.49</v>
      </c>
      <c r="E516" t="n">
        <v>4518.59282</v>
      </c>
      <c r="F516" t="n">
        <v>4596.05595</v>
      </c>
      <c r="G516" t="n">
        <v>4755.40355</v>
      </c>
      <c r="H516" t="n">
        <v>4792.76972</v>
      </c>
      <c r="Q516" t="n">
        <v>4680.08923</v>
      </c>
      <c r="R516" t="n">
        <v>4709.45253</v>
      </c>
      <c r="S516" t="n">
        <v>4736.0413</v>
      </c>
      <c r="V516" t="n">
        <v>4645.14946</v>
      </c>
      <c r="W516" t="n">
        <v>4611.58446</v>
      </c>
      <c r="AB516" t="n">
        <v>4677.27477</v>
      </c>
      <c r="AC516" t="n">
        <v>4675.41688</v>
      </c>
      <c r="AD516" t="n">
        <v>0</v>
      </c>
      <c r="AE516">
        <f>AE515+1</f>
        <v/>
      </c>
      <c r="AF516">
        <f>AF515+1</f>
        <v/>
      </c>
      <c r="AG516">
        <f>D516-Q516</f>
        <v/>
      </c>
      <c r="AH516">
        <f>AG516^2</f>
        <v/>
      </c>
      <c r="AI516">
        <f>(AG516/STDEV($AG$3:$AG$1137))^3</f>
        <v/>
      </c>
      <c r="AJ516">
        <f>(AG516/STDEV($AG$3:$AG$1137))^4</f>
        <v/>
      </c>
      <c r="AK516">
        <f>AF516^2</f>
        <v/>
      </c>
      <c r="AL516">
        <f>IF(AD516=1,AB516,IF(AL515&lt;&gt;"",AL515,""))</f>
        <v/>
      </c>
      <c r="AM516">
        <f>IF(AND(AD516=1,AL515&lt;&gt;""),ABS(AB516-AL515),"")</f>
        <v/>
      </c>
    </row>
    <row r="517">
      <c r="A517" t="n">
        <v>1777008602</v>
      </c>
      <c r="B517" t="inlineStr">
        <is>
          <t>XAUUSD</t>
        </is>
      </c>
      <c r="C517" t="inlineStr">
        <is>
          <t>M15</t>
        </is>
      </c>
      <c r="D517" t="n">
        <v>4682.65</v>
      </c>
      <c r="E517" t="n">
        <v>4518.59282</v>
      </c>
      <c r="F517" t="n">
        <v>4596.05595</v>
      </c>
      <c r="G517" t="n">
        <v>4755.40355</v>
      </c>
      <c r="H517" t="n">
        <v>4792.76972</v>
      </c>
      <c r="Q517" t="n">
        <v>4679.82163</v>
      </c>
      <c r="R517" t="n">
        <v>4709.18492</v>
      </c>
      <c r="S517" t="n">
        <v>4735.77369</v>
      </c>
      <c r="V517" t="n">
        <v>4644.88185</v>
      </c>
      <c r="W517" t="n">
        <v>4611.31686</v>
      </c>
      <c r="AB517" t="n">
        <v>4678.51932</v>
      </c>
      <c r="AC517" t="n">
        <v>4676.9681</v>
      </c>
      <c r="AD517" t="n">
        <v>0</v>
      </c>
      <c r="AE517">
        <f>AE516+1</f>
        <v/>
      </c>
      <c r="AF517">
        <f>AF516+1</f>
        <v/>
      </c>
      <c r="AG517">
        <f>D517-Q517</f>
        <v/>
      </c>
      <c r="AH517">
        <f>AG517^2</f>
        <v/>
      </c>
      <c r="AI517">
        <f>(AG517/STDEV($AG$3:$AG$1137))^3</f>
        <v/>
      </c>
      <c r="AJ517">
        <f>(AG517/STDEV($AG$3:$AG$1137))^4</f>
        <v/>
      </c>
      <c r="AK517">
        <f>AF517^2</f>
        <v/>
      </c>
      <c r="AL517">
        <f>IF(AD517=1,AB517,IF(AL516&lt;&gt;"",AL516,""))</f>
        <v/>
      </c>
      <c r="AM517">
        <f>IF(AND(AD517=1,AL516&lt;&gt;""),ABS(AB517-AL516),"")</f>
        <v/>
      </c>
    </row>
    <row r="518">
      <c r="A518" t="n">
        <v>1777009502</v>
      </c>
      <c r="B518" t="inlineStr">
        <is>
          <t>XAUUSD</t>
        </is>
      </c>
      <c r="C518" t="inlineStr">
        <is>
          <t>M15</t>
        </is>
      </c>
      <c r="D518" t="n">
        <v>4686.43</v>
      </c>
      <c r="E518" t="n">
        <v>4518.59282</v>
      </c>
      <c r="F518" t="n">
        <v>4596.05595</v>
      </c>
      <c r="G518" t="n">
        <v>4755.40355</v>
      </c>
      <c r="H518" t="n">
        <v>4792.76972</v>
      </c>
      <c r="Q518" t="n">
        <v>4679.55402</v>
      </c>
      <c r="R518" t="n">
        <v>4708.91732</v>
      </c>
      <c r="S518" t="n">
        <v>4735.50609</v>
      </c>
      <c r="V518" t="n">
        <v>4644.61425</v>
      </c>
      <c r="W518" t="n">
        <v>4611.04925</v>
      </c>
      <c r="AB518" t="n">
        <v>4678.86943</v>
      </c>
      <c r="AC518" t="n">
        <v>4677.91876</v>
      </c>
      <c r="AD518" t="n">
        <v>0</v>
      </c>
      <c r="AE518">
        <f>AE517+1</f>
        <v/>
      </c>
      <c r="AF518">
        <f>AF517+1</f>
        <v/>
      </c>
      <c r="AG518">
        <f>D518-Q518</f>
        <v/>
      </c>
      <c r="AH518">
        <f>AG518^2</f>
        <v/>
      </c>
      <c r="AI518">
        <f>(AG518/STDEV($AG$3:$AG$1137))^3</f>
        <v/>
      </c>
      <c r="AJ518">
        <f>(AG518/STDEV($AG$3:$AG$1137))^4</f>
        <v/>
      </c>
      <c r="AK518">
        <f>AF518^2</f>
        <v/>
      </c>
      <c r="AL518">
        <f>IF(AD518=1,AB518,IF(AL517&lt;&gt;"",AL517,""))</f>
        <v/>
      </c>
      <c r="AM518">
        <f>IF(AND(AD518=1,AL517&lt;&gt;""),ABS(AB518-AL517),"")</f>
        <v/>
      </c>
    </row>
    <row r="519">
      <c r="A519" t="n">
        <v>1777010402</v>
      </c>
      <c r="B519" t="inlineStr">
        <is>
          <t>XAUUSD</t>
        </is>
      </c>
      <c r="C519" t="inlineStr">
        <is>
          <t>M15</t>
        </is>
      </c>
      <c r="D519" t="n">
        <v>4681.83</v>
      </c>
      <c r="E519" t="n">
        <v>4518.59282</v>
      </c>
      <c r="F519" t="n">
        <v>4596.05595</v>
      </c>
      <c r="G519" t="n">
        <v>4755.40355</v>
      </c>
      <c r="H519" t="n">
        <v>4792.76972</v>
      </c>
      <c r="Q519" t="n">
        <v>4679.28642</v>
      </c>
      <c r="R519" t="n">
        <v>4708.64972</v>
      </c>
      <c r="S519" t="n">
        <v>4735.23849</v>
      </c>
      <c r="V519" t="n">
        <v>4644.34665</v>
      </c>
      <c r="W519" t="n">
        <v>4610.78165</v>
      </c>
      <c r="AB519" t="n">
        <v>4678.39947</v>
      </c>
      <c r="AC519" t="n">
        <v>4678.15911</v>
      </c>
      <c r="AD519" t="n">
        <v>0</v>
      </c>
      <c r="AE519">
        <f>AE518+1</f>
        <v/>
      </c>
      <c r="AF519">
        <f>AF518+1</f>
        <v/>
      </c>
      <c r="AG519">
        <f>D519-Q519</f>
        <v/>
      </c>
      <c r="AH519">
        <f>AG519^2</f>
        <v/>
      </c>
      <c r="AI519">
        <f>(AG519/STDEV($AG$3:$AG$1137))^3</f>
        <v/>
      </c>
      <c r="AJ519">
        <f>(AG519/STDEV($AG$3:$AG$1137))^4</f>
        <v/>
      </c>
      <c r="AK519">
        <f>AF519^2</f>
        <v/>
      </c>
      <c r="AL519">
        <f>IF(AD519=1,AB519,IF(AL518&lt;&gt;"",AL518,""))</f>
        <v/>
      </c>
      <c r="AM519">
        <f>IF(AND(AD519=1,AL518&lt;&gt;""),ABS(AB519-AL518),"")</f>
        <v/>
      </c>
    </row>
    <row r="520">
      <c r="A520" t="n">
        <v>1777011302</v>
      </c>
      <c r="B520" t="inlineStr">
        <is>
          <t>XAUUSD</t>
        </is>
      </c>
      <c r="C520" t="inlineStr">
        <is>
          <t>M15</t>
        </is>
      </c>
      <c r="D520" t="n">
        <v>4671.45</v>
      </c>
      <c r="E520" t="n">
        <v>4518.59282</v>
      </c>
      <c r="F520" t="n">
        <v>4596.05595</v>
      </c>
      <c r="G520" t="n">
        <v>4755.40355</v>
      </c>
      <c r="H520" t="n">
        <v>4792.76972</v>
      </c>
      <c r="Q520" t="n">
        <v>4679.01881</v>
      </c>
      <c r="R520" t="n">
        <v>4708.38211</v>
      </c>
      <c r="S520" t="n">
        <v>4734.97088</v>
      </c>
      <c r="V520" t="n">
        <v>4644.07904</v>
      </c>
      <c r="W520" t="n">
        <v>4610.51405</v>
      </c>
      <c r="AB520" t="n">
        <v>4677.59679</v>
      </c>
      <c r="AC520" t="n">
        <v>4677.87795</v>
      </c>
      <c r="AD520" t="n">
        <v>1</v>
      </c>
      <c r="AE520">
        <f>AE519+1</f>
        <v/>
      </c>
      <c r="AF520">
        <f>AF519+1</f>
        <v/>
      </c>
      <c r="AG520">
        <f>D520-Q520</f>
        <v/>
      </c>
      <c r="AH520">
        <f>AG520^2</f>
        <v/>
      </c>
      <c r="AI520">
        <f>(AG520/STDEV($AG$3:$AG$1137))^3</f>
        <v/>
      </c>
      <c r="AJ520">
        <f>(AG520/STDEV($AG$3:$AG$1137))^4</f>
        <v/>
      </c>
      <c r="AK520">
        <f>AF520^2</f>
        <v/>
      </c>
      <c r="AL520">
        <f>IF(AD520=1,AB520,IF(AL519&lt;&gt;"",AL519,""))</f>
        <v/>
      </c>
      <c r="AM520">
        <f>IF(AND(AD520=1,AL519&lt;&gt;""),ABS(AB520-AL519),"")</f>
        <v/>
      </c>
    </row>
    <row r="521">
      <c r="A521" t="n">
        <v>1777012202</v>
      </c>
      <c r="B521" t="inlineStr">
        <is>
          <t>XAUUSD</t>
        </is>
      </c>
      <c r="C521" t="inlineStr">
        <is>
          <t>M15</t>
        </is>
      </c>
      <c r="D521" t="n">
        <v>4673.71</v>
      </c>
      <c r="E521" t="n">
        <v>4518.59282</v>
      </c>
      <c r="F521" t="n">
        <v>4596.05595</v>
      </c>
      <c r="G521" t="n">
        <v>4755.40355</v>
      </c>
      <c r="H521" t="n">
        <v>4792.76972</v>
      </c>
      <c r="Q521" t="n">
        <v>4678.75121</v>
      </c>
      <c r="R521" t="n">
        <v>4708.11451</v>
      </c>
      <c r="S521" t="n">
        <v>4734.70328</v>
      </c>
      <c r="V521" t="n">
        <v>4643.81144</v>
      </c>
      <c r="W521" t="n">
        <v>4610.24644</v>
      </c>
      <c r="AB521" t="n">
        <v>4677.23328</v>
      </c>
      <c r="AC521" t="n">
        <v>4677.55562</v>
      </c>
      <c r="AD521" t="n">
        <v>0</v>
      </c>
      <c r="AE521">
        <f>AE520+1</f>
        <v/>
      </c>
      <c r="AF521">
        <f>AF520+1</f>
        <v/>
      </c>
      <c r="AG521">
        <f>D521-Q521</f>
        <v/>
      </c>
      <c r="AH521">
        <f>AG521^2</f>
        <v/>
      </c>
      <c r="AI521">
        <f>(AG521/STDEV($AG$3:$AG$1137))^3</f>
        <v/>
      </c>
      <c r="AJ521">
        <f>(AG521/STDEV($AG$3:$AG$1137))^4</f>
        <v/>
      </c>
      <c r="AK521">
        <f>AF521^2</f>
        <v/>
      </c>
      <c r="AL521">
        <f>IF(AD521=1,AB521,IF(AL520&lt;&gt;"",AL520,""))</f>
        <v/>
      </c>
      <c r="AM521">
        <f>IF(AND(AD521=1,AL520&lt;&gt;""),ABS(AB521-AL520),"")</f>
        <v/>
      </c>
    </row>
    <row r="522">
      <c r="A522" t="n">
        <v>1777013102</v>
      </c>
      <c r="B522" t="inlineStr">
        <is>
          <t>XAUUSD</t>
        </is>
      </c>
      <c r="C522" t="inlineStr">
        <is>
          <t>M15</t>
        </is>
      </c>
      <c r="D522" t="n">
        <v>4671.98</v>
      </c>
      <c r="E522" t="n">
        <v>4518.59282</v>
      </c>
      <c r="F522" t="n">
        <v>4596.05595</v>
      </c>
      <c r="G522" t="n">
        <v>4755.40355</v>
      </c>
      <c r="H522" t="n">
        <v>4792.76972</v>
      </c>
      <c r="Q522" t="n">
        <v>4678.4836</v>
      </c>
      <c r="R522" t="n">
        <v>4707.8469</v>
      </c>
      <c r="S522" t="n">
        <v>4734.43567</v>
      </c>
      <c r="V522" t="n">
        <v>4643.54383</v>
      </c>
      <c r="W522" t="n">
        <v>4609.97884</v>
      </c>
      <c r="AB522" t="n">
        <v>4677.66873</v>
      </c>
      <c r="AC522" t="n">
        <v>4677.61217</v>
      </c>
      <c r="AD522" t="n">
        <v>1</v>
      </c>
      <c r="AE522">
        <f>AE521+1</f>
        <v/>
      </c>
      <c r="AF522">
        <f>AF521+1</f>
        <v/>
      </c>
      <c r="AG522">
        <f>D522-Q522</f>
        <v/>
      </c>
      <c r="AH522">
        <f>AG522^2</f>
        <v/>
      </c>
      <c r="AI522">
        <f>(AG522/STDEV($AG$3:$AG$1137))^3</f>
        <v/>
      </c>
      <c r="AJ522">
        <f>(AG522/STDEV($AG$3:$AG$1137))^4</f>
        <v/>
      </c>
      <c r="AK522">
        <f>AF522^2</f>
        <v/>
      </c>
      <c r="AL522">
        <f>IF(AD522=1,AB522,IF(AL521&lt;&gt;"",AL521,""))</f>
        <v/>
      </c>
      <c r="AM522">
        <f>IF(AND(AD522=1,AL521&lt;&gt;""),ABS(AB522-AL521),"")</f>
        <v/>
      </c>
    </row>
    <row r="523">
      <c r="A523" t="n">
        <v>1777014002</v>
      </c>
      <c r="B523" t="inlineStr">
        <is>
          <t>XAUUSD</t>
        </is>
      </c>
      <c r="C523" t="inlineStr">
        <is>
          <t>M15</t>
        </is>
      </c>
      <c r="D523" t="n">
        <v>4680.61</v>
      </c>
      <c r="E523" t="n">
        <v>4518.59282</v>
      </c>
      <c r="F523" t="n">
        <v>4596.05595</v>
      </c>
      <c r="G523" t="n">
        <v>4755.40355</v>
      </c>
      <c r="H523" t="n">
        <v>4792.76972</v>
      </c>
      <c r="Q523" t="n">
        <v>4678.216</v>
      </c>
      <c r="R523" t="n">
        <v>4707.5793</v>
      </c>
      <c r="S523" t="n">
        <v>4734.16807</v>
      </c>
      <c r="V523" t="n">
        <v>4643.27623</v>
      </c>
      <c r="W523" t="n">
        <v>4609.71123</v>
      </c>
      <c r="AB523" t="n">
        <v>4679.22718</v>
      </c>
      <c r="AC523" t="n">
        <v>4678.41968</v>
      </c>
      <c r="AD523" t="n">
        <v>0</v>
      </c>
      <c r="AE523">
        <f>AE522+1</f>
        <v/>
      </c>
      <c r="AF523">
        <f>AF522+1</f>
        <v/>
      </c>
      <c r="AG523">
        <f>D523-Q523</f>
        <v/>
      </c>
      <c r="AH523">
        <f>AG523^2</f>
        <v/>
      </c>
      <c r="AI523">
        <f>(AG523/STDEV($AG$3:$AG$1137))^3</f>
        <v/>
      </c>
      <c r="AJ523">
        <f>(AG523/STDEV($AG$3:$AG$1137))^4</f>
        <v/>
      </c>
      <c r="AK523">
        <f>AF523^2</f>
        <v/>
      </c>
      <c r="AL523">
        <f>IF(AD523=1,AB523,IF(AL522&lt;&gt;"",AL522,""))</f>
        <v/>
      </c>
      <c r="AM523">
        <f>IF(AND(AD523=1,AL522&lt;&gt;""),ABS(AB523-AL522),"")</f>
        <v/>
      </c>
    </row>
    <row r="524">
      <c r="A524" t="n">
        <v>1777014902</v>
      </c>
      <c r="B524" t="inlineStr">
        <is>
          <t>XAUUSD</t>
        </is>
      </c>
      <c r="C524" t="inlineStr">
        <is>
          <t>M15</t>
        </is>
      </c>
      <c r="D524" t="n">
        <v>4684.49</v>
      </c>
      <c r="E524" t="n">
        <v>4518.59282</v>
      </c>
      <c r="F524" t="n">
        <v>4596.05595</v>
      </c>
      <c r="G524" t="n">
        <v>4755.40355</v>
      </c>
      <c r="H524" t="n">
        <v>4792.76972</v>
      </c>
      <c r="Q524" t="n">
        <v>4677.9484</v>
      </c>
      <c r="R524" t="n">
        <v>4707.3117</v>
      </c>
      <c r="S524" t="n">
        <v>4733.90047</v>
      </c>
      <c r="V524" t="n">
        <v>4643.00863</v>
      </c>
      <c r="W524" t="n">
        <v>4609.44363</v>
      </c>
      <c r="AB524" t="n">
        <v>4681.6808</v>
      </c>
      <c r="AC524" t="n">
        <v>4680.05024</v>
      </c>
      <c r="AD524" t="n">
        <v>0</v>
      </c>
      <c r="AE524">
        <f>AE523+1</f>
        <v/>
      </c>
      <c r="AF524">
        <f>AF523+1</f>
        <v/>
      </c>
      <c r="AG524">
        <f>D524-Q524</f>
        <v/>
      </c>
      <c r="AH524">
        <f>AG524^2</f>
        <v/>
      </c>
      <c r="AI524">
        <f>(AG524/STDEV($AG$3:$AG$1137))^3</f>
        <v/>
      </c>
      <c r="AJ524">
        <f>(AG524/STDEV($AG$3:$AG$1137))^4</f>
        <v/>
      </c>
      <c r="AK524">
        <f>AF524^2</f>
        <v/>
      </c>
      <c r="AL524">
        <f>IF(AD524=1,AB524,IF(AL523&lt;&gt;"",AL523,""))</f>
        <v/>
      </c>
      <c r="AM524">
        <f>IF(AND(AD524=1,AL523&lt;&gt;""),ABS(AB524-AL523),"")</f>
        <v/>
      </c>
    </row>
    <row r="525">
      <c r="A525" t="n">
        <v>1777015802</v>
      </c>
      <c r="B525" t="inlineStr">
        <is>
          <t>XAUUSD</t>
        </is>
      </c>
      <c r="C525" t="inlineStr">
        <is>
          <t>M15</t>
        </is>
      </c>
      <c r="D525" t="n">
        <v>4685.61</v>
      </c>
      <c r="E525" t="n">
        <v>4518.59282</v>
      </c>
      <c r="F525" t="n">
        <v>4596.05595</v>
      </c>
      <c r="G525" t="n">
        <v>4755.40355</v>
      </c>
      <c r="H525" t="n">
        <v>4792.76972</v>
      </c>
      <c r="Q525" t="n">
        <v>4677.68079</v>
      </c>
      <c r="R525" t="n">
        <v>4707.04409</v>
      </c>
      <c r="S525" t="n">
        <v>4733.63286</v>
      </c>
      <c r="V525" t="n">
        <v>4642.74102</v>
      </c>
      <c r="W525" t="n">
        <v>4609.17603</v>
      </c>
      <c r="AB525" t="n">
        <v>4684.70105</v>
      </c>
      <c r="AC525" t="n">
        <v>4682.37564</v>
      </c>
      <c r="AD525" t="n">
        <v>0</v>
      </c>
      <c r="AE525">
        <f>AE524+1</f>
        <v/>
      </c>
      <c r="AF525">
        <f>AF524+1</f>
        <v/>
      </c>
      <c r="AG525">
        <f>D525-Q525</f>
        <v/>
      </c>
      <c r="AH525">
        <f>AG525^2</f>
        <v/>
      </c>
      <c r="AI525">
        <f>(AG525/STDEV($AG$3:$AG$1137))^3</f>
        <v/>
      </c>
      <c r="AJ525">
        <f>(AG525/STDEV($AG$3:$AG$1137))^4</f>
        <v/>
      </c>
      <c r="AK525">
        <f>AF525^2</f>
        <v/>
      </c>
      <c r="AL525">
        <f>IF(AD525=1,AB525,IF(AL524&lt;&gt;"",AL524,""))</f>
        <v/>
      </c>
      <c r="AM525">
        <f>IF(AND(AD525=1,AL524&lt;&gt;""),ABS(AB525-AL524),"")</f>
        <v/>
      </c>
    </row>
    <row r="526">
      <c r="A526" t="n">
        <v>1777016702</v>
      </c>
      <c r="B526" t="inlineStr">
        <is>
          <t>XAUUSD</t>
        </is>
      </c>
      <c r="C526" t="inlineStr">
        <is>
          <t>M15</t>
        </is>
      </c>
      <c r="D526" t="n">
        <v>4694.57</v>
      </c>
      <c r="E526" t="n">
        <v>4518.59282</v>
      </c>
      <c r="F526" t="n">
        <v>4596.05595</v>
      </c>
      <c r="G526" t="n">
        <v>4755.40355</v>
      </c>
      <c r="H526" t="n">
        <v>4792.76972</v>
      </c>
      <c r="Q526" t="n">
        <v>4677.41319</v>
      </c>
      <c r="R526" t="n">
        <v>4706.77649</v>
      </c>
      <c r="S526" t="n">
        <v>4733.36526</v>
      </c>
      <c r="V526" t="n">
        <v>4642.47342</v>
      </c>
      <c r="W526" t="n">
        <v>4608.90842</v>
      </c>
      <c r="AB526" t="n">
        <v>4687.83029</v>
      </c>
      <c r="AC526" t="n">
        <v>4685.10297</v>
      </c>
      <c r="AD526" t="n">
        <v>0</v>
      </c>
      <c r="AE526">
        <f>AE525+1</f>
        <v/>
      </c>
      <c r="AF526">
        <f>AF525+1</f>
        <v/>
      </c>
      <c r="AG526">
        <f>D526-Q526</f>
        <v/>
      </c>
      <c r="AH526">
        <f>AG526^2</f>
        <v/>
      </c>
      <c r="AI526">
        <f>(AG526/STDEV($AG$3:$AG$1137))^3</f>
        <v/>
      </c>
      <c r="AJ526">
        <f>(AG526/STDEV($AG$3:$AG$1137))^4</f>
        <v/>
      </c>
      <c r="AK526">
        <f>AF526^2</f>
        <v/>
      </c>
      <c r="AL526">
        <f>IF(AD526=1,AB526,IF(AL525&lt;&gt;"",AL525,""))</f>
        <v/>
      </c>
      <c r="AM526">
        <f>IF(AND(AD526=1,AL525&lt;&gt;""),ABS(AB526-AL525),"")</f>
        <v/>
      </c>
    </row>
    <row r="527">
      <c r="A527" t="n">
        <v>1777017602</v>
      </c>
      <c r="B527" t="inlineStr">
        <is>
          <t>XAUUSD</t>
        </is>
      </c>
      <c r="C527" t="inlineStr">
        <is>
          <t>M15</t>
        </is>
      </c>
      <c r="D527" t="n">
        <v>4687.45</v>
      </c>
      <c r="E527" t="n">
        <v>4518.59282</v>
      </c>
      <c r="F527" t="n">
        <v>4596.05595</v>
      </c>
      <c r="G527" t="n">
        <v>4755.40355</v>
      </c>
      <c r="H527" t="n">
        <v>4792.76972</v>
      </c>
      <c r="Q527" t="n">
        <v>4677.14558</v>
      </c>
      <c r="R527" t="n">
        <v>4706.50888</v>
      </c>
      <c r="S527" t="n">
        <v>4733.09765</v>
      </c>
      <c r="V527" t="n">
        <v>4642.20581</v>
      </c>
      <c r="W527" t="n">
        <v>4608.64082</v>
      </c>
      <c r="AB527" t="n">
        <v>4690.29077</v>
      </c>
      <c r="AC527" t="n">
        <v>4687.69687</v>
      </c>
      <c r="AD527" t="n">
        <v>0</v>
      </c>
      <c r="AE527">
        <f>AE526+1</f>
        <v/>
      </c>
      <c r="AF527">
        <f>AF526+1</f>
        <v/>
      </c>
      <c r="AG527">
        <f>D527-Q527</f>
        <v/>
      </c>
      <c r="AH527">
        <f>AG527^2</f>
        <v/>
      </c>
      <c r="AI527">
        <f>(AG527/STDEV($AG$3:$AG$1137))^3</f>
        <v/>
      </c>
      <c r="AJ527">
        <f>(AG527/STDEV($AG$3:$AG$1137))^4</f>
        <v/>
      </c>
      <c r="AK527">
        <f>AF527^2</f>
        <v/>
      </c>
      <c r="AL527">
        <f>IF(AD527=1,AB527,IF(AL526&lt;&gt;"",AL526,""))</f>
        <v/>
      </c>
      <c r="AM527">
        <f>IF(AND(AD527=1,AL526&lt;&gt;""),ABS(AB527-AL526),"")</f>
        <v/>
      </c>
    </row>
    <row r="528">
      <c r="A528" t="n">
        <v>1777018502</v>
      </c>
      <c r="B528" t="inlineStr">
        <is>
          <t>XAUUSD</t>
        </is>
      </c>
      <c r="C528" t="inlineStr">
        <is>
          <t>M15</t>
        </is>
      </c>
      <c r="D528" t="n">
        <v>4687.83</v>
      </c>
      <c r="E528" t="n">
        <v>4518.59282</v>
      </c>
      <c r="F528" t="n">
        <v>4596.05595</v>
      </c>
      <c r="G528" t="n">
        <v>4755.40355</v>
      </c>
      <c r="H528" t="n">
        <v>4792.76972</v>
      </c>
      <c r="Q528" t="n">
        <v>4676.87798</v>
      </c>
      <c r="R528" t="n">
        <v>4706.24128</v>
      </c>
      <c r="S528" t="n">
        <v>4732.83005</v>
      </c>
      <c r="V528" t="n">
        <v>4641.93821</v>
      </c>
      <c r="W528" t="n">
        <v>4608.37321</v>
      </c>
      <c r="AB528" t="n">
        <v>4691.80503</v>
      </c>
      <c r="AC528" t="n">
        <v>4689.75095</v>
      </c>
      <c r="AD528" t="n">
        <v>0</v>
      </c>
      <c r="AE528">
        <f>AE527+1</f>
        <v/>
      </c>
      <c r="AF528">
        <f>AF527+1</f>
        <v/>
      </c>
      <c r="AG528">
        <f>D528-Q528</f>
        <v/>
      </c>
      <c r="AH528">
        <f>AG528^2</f>
        <v/>
      </c>
      <c r="AI528">
        <f>(AG528/STDEV($AG$3:$AG$1137))^3</f>
        <v/>
      </c>
      <c r="AJ528">
        <f>(AG528/STDEV($AG$3:$AG$1137))^4</f>
        <v/>
      </c>
      <c r="AK528">
        <f>AF528^2</f>
        <v/>
      </c>
      <c r="AL528">
        <f>IF(AD528=1,AB528,IF(AL527&lt;&gt;"",AL527,""))</f>
        <v/>
      </c>
      <c r="AM528">
        <f>IF(AND(AD528=1,AL527&lt;&gt;""),ABS(AB528-AL527),"")</f>
        <v/>
      </c>
    </row>
    <row r="529">
      <c r="A529" t="n">
        <v>1777019402</v>
      </c>
      <c r="B529" t="inlineStr">
        <is>
          <t>XAUUSD</t>
        </is>
      </c>
      <c r="C529" t="inlineStr">
        <is>
          <t>M15</t>
        </is>
      </c>
      <c r="D529" t="n">
        <v>4688.13</v>
      </c>
      <c r="E529" t="n">
        <v>4518.59282</v>
      </c>
      <c r="F529" t="n">
        <v>4596.05595</v>
      </c>
      <c r="G529" t="n">
        <v>4755.40355</v>
      </c>
      <c r="H529" t="n">
        <v>4792.76972</v>
      </c>
      <c r="Q529" t="n">
        <v>4676.61038</v>
      </c>
      <c r="R529" t="n">
        <v>4705.97367</v>
      </c>
      <c r="S529" t="n">
        <v>4732.56245</v>
      </c>
      <c r="V529" t="n">
        <v>4641.67061</v>
      </c>
      <c r="W529" t="n">
        <v>4608.10561</v>
      </c>
      <c r="AB529" t="n">
        <v>4692.05335</v>
      </c>
      <c r="AC529" t="n">
        <v>4690.90215</v>
      </c>
      <c r="AD529" t="n">
        <v>0</v>
      </c>
      <c r="AE529">
        <f>AE528+1</f>
        <v/>
      </c>
      <c r="AF529">
        <f>AF528+1</f>
        <v/>
      </c>
      <c r="AG529">
        <f>D529-Q529</f>
        <v/>
      </c>
      <c r="AH529">
        <f>AG529^2</f>
        <v/>
      </c>
      <c r="AI529">
        <f>(AG529/STDEV($AG$3:$AG$1137))^3</f>
        <v/>
      </c>
      <c r="AJ529">
        <f>(AG529/STDEV($AG$3:$AG$1137))^4</f>
        <v/>
      </c>
      <c r="AK529">
        <f>AF529^2</f>
        <v/>
      </c>
      <c r="AL529">
        <f>IF(AD529=1,AB529,IF(AL528&lt;&gt;"",AL528,""))</f>
        <v/>
      </c>
      <c r="AM529">
        <f>IF(AND(AD529=1,AL528&lt;&gt;""),ABS(AB529-AL528),"")</f>
        <v/>
      </c>
    </row>
    <row r="530">
      <c r="A530" t="n">
        <v>1777020302</v>
      </c>
      <c r="B530" t="inlineStr">
        <is>
          <t>XAUUSD</t>
        </is>
      </c>
      <c r="C530" t="inlineStr">
        <is>
          <t>M15</t>
        </is>
      </c>
      <c r="D530" t="n">
        <v>4690.84</v>
      </c>
      <c r="E530" t="n">
        <v>4518.59282</v>
      </c>
      <c r="F530" t="n">
        <v>4596.05595</v>
      </c>
      <c r="G530" t="n">
        <v>4755.40355</v>
      </c>
      <c r="H530" t="n">
        <v>4792.76972</v>
      </c>
      <c r="Q530" t="n">
        <v>4676.34277</v>
      </c>
      <c r="R530" t="n">
        <v>4705.70607</v>
      </c>
      <c r="S530" t="n">
        <v>4732.29484</v>
      </c>
      <c r="V530" t="n">
        <v>4641.403</v>
      </c>
      <c r="W530" t="n">
        <v>4607.83801</v>
      </c>
      <c r="AB530" t="n">
        <v>4690.96206</v>
      </c>
      <c r="AC530" t="n">
        <v>4690.9321</v>
      </c>
      <c r="AD530" t="n">
        <v>0</v>
      </c>
      <c r="AE530">
        <f>AE529+1</f>
        <v/>
      </c>
      <c r="AF530">
        <f>AF529+1</f>
        <v/>
      </c>
      <c r="AG530">
        <f>D530-Q530</f>
        <v/>
      </c>
      <c r="AH530">
        <f>AG530^2</f>
        <v/>
      </c>
      <c r="AI530">
        <f>(AG530/STDEV($AG$3:$AG$1137))^3</f>
        <v/>
      </c>
      <c r="AJ530">
        <f>(AG530/STDEV($AG$3:$AG$1137))^4</f>
        <v/>
      </c>
      <c r="AK530">
        <f>AF530^2</f>
        <v/>
      </c>
      <c r="AL530">
        <f>IF(AD530=1,AB530,IF(AL529&lt;&gt;"",AL529,""))</f>
        <v/>
      </c>
      <c r="AM530">
        <f>IF(AND(AD530=1,AL529&lt;&gt;""),ABS(AB530-AL529),"")</f>
        <v/>
      </c>
    </row>
    <row r="531">
      <c r="A531" t="n">
        <v>1777021202</v>
      </c>
      <c r="B531" t="inlineStr">
        <is>
          <t>XAUUSD</t>
        </is>
      </c>
      <c r="C531" t="inlineStr">
        <is>
          <t>M15</t>
        </is>
      </c>
      <c r="D531" t="n">
        <v>4695.33</v>
      </c>
      <c r="E531" t="n">
        <v>4518.59282</v>
      </c>
      <c r="F531" t="n">
        <v>4596.05595</v>
      </c>
      <c r="G531" t="n">
        <v>4755.40355</v>
      </c>
      <c r="H531" t="n">
        <v>4792.76972</v>
      </c>
      <c r="Q531" t="n">
        <v>4676.07517</v>
      </c>
      <c r="R531" t="n">
        <v>4705.43847</v>
      </c>
      <c r="S531" t="n">
        <v>4732.02724</v>
      </c>
      <c r="V531" t="n">
        <v>4641.1354</v>
      </c>
      <c r="W531" t="n">
        <v>4607.5704</v>
      </c>
      <c r="AB531" t="n">
        <v>4688.69215</v>
      </c>
      <c r="AC531" t="n">
        <v>4689.81213</v>
      </c>
      <c r="AD531" t="n">
        <v>1</v>
      </c>
      <c r="AE531">
        <f>AE530+1</f>
        <v/>
      </c>
      <c r="AF531">
        <f>AF530+1</f>
        <v/>
      </c>
      <c r="AG531">
        <f>D531-Q531</f>
        <v/>
      </c>
      <c r="AH531">
        <f>AG531^2</f>
        <v/>
      </c>
      <c r="AI531">
        <f>(AG531/STDEV($AG$3:$AG$1137))^3</f>
        <v/>
      </c>
      <c r="AJ531">
        <f>(AG531/STDEV($AG$3:$AG$1137))^4</f>
        <v/>
      </c>
      <c r="AK531">
        <f>AF531^2</f>
        <v/>
      </c>
      <c r="AL531">
        <f>IF(AD531=1,AB531,IF(AL530&lt;&gt;"",AL530,""))</f>
        <v/>
      </c>
      <c r="AM531">
        <f>IF(AND(AD531=1,AL530&lt;&gt;""),ABS(AB531-AL530),"")</f>
        <v/>
      </c>
    </row>
    <row r="532">
      <c r="A532" t="n">
        <v>1777022102</v>
      </c>
      <c r="B532" t="inlineStr">
        <is>
          <t>XAUUSD</t>
        </is>
      </c>
      <c r="C532" t="inlineStr">
        <is>
          <t>M15</t>
        </is>
      </c>
      <c r="D532" t="n">
        <v>4683.3</v>
      </c>
      <c r="E532" t="n">
        <v>4518.59282</v>
      </c>
      <c r="F532" t="n">
        <v>4596.05595</v>
      </c>
      <c r="G532" t="n">
        <v>4755.40355</v>
      </c>
      <c r="H532" t="n">
        <v>4792.76972</v>
      </c>
      <c r="Q532" t="n">
        <v>4675.80756</v>
      </c>
      <c r="R532" t="n">
        <v>4705.17086</v>
      </c>
      <c r="S532" t="n">
        <v>4731.75963</v>
      </c>
      <c r="V532" t="n">
        <v>4640.86779</v>
      </c>
      <c r="W532" t="n">
        <v>4607.3028</v>
      </c>
      <c r="AB532" t="n">
        <v>4685.6385</v>
      </c>
      <c r="AC532" t="n">
        <v>4687.72532</v>
      </c>
      <c r="AD532" t="n">
        <v>0</v>
      </c>
      <c r="AE532">
        <f>AE531+1</f>
        <v/>
      </c>
      <c r="AF532">
        <f>AF531+1</f>
        <v/>
      </c>
      <c r="AG532">
        <f>D532-Q532</f>
        <v/>
      </c>
      <c r="AH532">
        <f>AG532^2</f>
        <v/>
      </c>
      <c r="AI532">
        <f>(AG532/STDEV($AG$3:$AG$1137))^3</f>
        <v/>
      </c>
      <c r="AJ532">
        <f>(AG532/STDEV($AG$3:$AG$1137))^4</f>
        <v/>
      </c>
      <c r="AK532">
        <f>AF532^2</f>
        <v/>
      </c>
      <c r="AL532">
        <f>IF(AD532=1,AB532,IF(AL531&lt;&gt;"",AL531,""))</f>
        <v/>
      </c>
      <c r="AM532">
        <f>IF(AND(AD532=1,AL531&lt;&gt;""),ABS(AB532-AL531),"")</f>
        <v/>
      </c>
    </row>
    <row r="533">
      <c r="A533" t="n">
        <v>1777023002</v>
      </c>
      <c r="B533" t="inlineStr">
        <is>
          <t>XAUUSD</t>
        </is>
      </c>
      <c r="C533" t="inlineStr">
        <is>
          <t>M15</t>
        </is>
      </c>
      <c r="D533" t="n">
        <v>4685.99</v>
      </c>
      <c r="E533" t="n">
        <v>4518.59282</v>
      </c>
      <c r="F533" t="n">
        <v>4596.05595</v>
      </c>
      <c r="G533" t="n">
        <v>4755.40355</v>
      </c>
      <c r="H533" t="n">
        <v>4792.76972</v>
      </c>
      <c r="Q533" t="n">
        <v>4675.53996</v>
      </c>
      <c r="R533" t="n">
        <v>4704.90326</v>
      </c>
      <c r="S533" t="n">
        <v>4731.49203</v>
      </c>
      <c r="V533" t="n">
        <v>4640.60019</v>
      </c>
      <c r="W533" t="n">
        <v>4607.03519</v>
      </c>
      <c r="AB533" t="n">
        <v>4682.80503</v>
      </c>
      <c r="AC533" t="n">
        <v>4685.26518</v>
      </c>
      <c r="AD533" t="n">
        <v>0</v>
      </c>
      <c r="AE533">
        <f>AE532+1</f>
        <v/>
      </c>
      <c r="AF533">
        <f>AF532+1</f>
        <v/>
      </c>
      <c r="AG533">
        <f>D533-Q533</f>
        <v/>
      </c>
      <c r="AH533">
        <f>AG533^2</f>
        <v/>
      </c>
      <c r="AI533">
        <f>(AG533/STDEV($AG$3:$AG$1137))^3</f>
        <v/>
      </c>
      <c r="AJ533">
        <f>(AG533/STDEV($AG$3:$AG$1137))^4</f>
        <v/>
      </c>
      <c r="AK533">
        <f>AF533^2</f>
        <v/>
      </c>
      <c r="AL533">
        <f>IF(AD533=1,AB533,IF(AL532&lt;&gt;"",AL532,""))</f>
        <v/>
      </c>
      <c r="AM533">
        <f>IF(AND(AD533=1,AL532&lt;&gt;""),ABS(AB533-AL532),"")</f>
        <v/>
      </c>
    </row>
    <row r="534">
      <c r="A534" t="n">
        <v>1777023902</v>
      </c>
      <c r="B534" t="inlineStr">
        <is>
          <t>XAUUSD</t>
        </is>
      </c>
      <c r="C534" t="inlineStr">
        <is>
          <t>M15</t>
        </is>
      </c>
      <c r="D534" t="n">
        <v>4682.04</v>
      </c>
      <c r="E534" t="n">
        <v>4518.59282</v>
      </c>
      <c r="F534" t="n">
        <v>4596.05595</v>
      </c>
      <c r="G534" t="n">
        <v>4755.40355</v>
      </c>
      <c r="H534" t="n">
        <v>4792.76972</v>
      </c>
      <c r="Q534" t="n">
        <v>4675.27236</v>
      </c>
      <c r="R534" t="n">
        <v>4704.63565</v>
      </c>
      <c r="S534" t="n">
        <v>4731.22443</v>
      </c>
      <c r="V534" t="n">
        <v>4640.33259</v>
      </c>
      <c r="W534" t="n">
        <v>4606.76759</v>
      </c>
      <c r="AB534" t="n">
        <v>4680.85471</v>
      </c>
      <c r="AC534" t="n">
        <v>4683.05994</v>
      </c>
      <c r="AD534" t="n">
        <v>0</v>
      </c>
      <c r="AE534">
        <f>AE533+1</f>
        <v/>
      </c>
      <c r="AF534">
        <f>AF533+1</f>
        <v/>
      </c>
      <c r="AG534">
        <f>D534-Q534</f>
        <v/>
      </c>
      <c r="AH534">
        <f>AG534^2</f>
        <v/>
      </c>
      <c r="AI534">
        <f>(AG534/STDEV($AG$3:$AG$1137))^3</f>
        <v/>
      </c>
      <c r="AJ534">
        <f>(AG534/STDEV($AG$3:$AG$1137))^4</f>
        <v/>
      </c>
      <c r="AK534">
        <f>AF534^2</f>
        <v/>
      </c>
      <c r="AL534">
        <f>IF(AD534=1,AB534,IF(AL533&lt;&gt;"",AL533,""))</f>
        <v/>
      </c>
      <c r="AM534">
        <f>IF(AND(AD534=1,AL533&lt;&gt;""),ABS(AB534-AL533),"")</f>
        <v/>
      </c>
    </row>
    <row r="535">
      <c r="A535" t="n">
        <v>1777024802</v>
      </c>
      <c r="B535" t="inlineStr">
        <is>
          <t>XAUUSD</t>
        </is>
      </c>
      <c r="C535" t="inlineStr">
        <is>
          <t>M15</t>
        </is>
      </c>
      <c r="D535" t="n">
        <v>4682.45</v>
      </c>
      <c r="E535" t="n">
        <v>4518.59282</v>
      </c>
      <c r="F535" t="n">
        <v>4596.05595</v>
      </c>
      <c r="G535" t="n">
        <v>4755.40355</v>
      </c>
      <c r="H535" t="n">
        <v>4792.76972</v>
      </c>
      <c r="Q535" t="n">
        <v>4675.00475</v>
      </c>
      <c r="R535" t="n">
        <v>4704.36805</v>
      </c>
      <c r="S535" t="n">
        <v>4730.95682</v>
      </c>
      <c r="V535" t="n">
        <v>4640.06498</v>
      </c>
      <c r="W535" t="n">
        <v>4606.49999</v>
      </c>
      <c r="AB535" t="n">
        <v>4680.51171</v>
      </c>
      <c r="AC535" t="n">
        <v>4681.78582</v>
      </c>
      <c r="AD535" t="n">
        <v>0</v>
      </c>
      <c r="AE535">
        <f>AE534+1</f>
        <v/>
      </c>
      <c r="AF535">
        <f>AF534+1</f>
        <v/>
      </c>
      <c r="AG535">
        <f>D535-Q535</f>
        <v/>
      </c>
      <c r="AH535">
        <f>AG535^2</f>
        <v/>
      </c>
      <c r="AI535">
        <f>(AG535/STDEV($AG$3:$AG$1137))^3</f>
        <v/>
      </c>
      <c r="AJ535">
        <f>(AG535/STDEV($AG$3:$AG$1137))^4</f>
        <v/>
      </c>
      <c r="AK535">
        <f>AF535^2</f>
        <v/>
      </c>
      <c r="AL535">
        <f>IF(AD535=1,AB535,IF(AL534&lt;&gt;"",AL534,""))</f>
        <v/>
      </c>
      <c r="AM535">
        <f>IF(AND(AD535=1,AL534&lt;&gt;""),ABS(AB535-AL534),"")</f>
        <v/>
      </c>
    </row>
    <row r="536">
      <c r="A536" t="n">
        <v>1777025702</v>
      </c>
      <c r="B536" t="inlineStr">
        <is>
          <t>XAUUSD</t>
        </is>
      </c>
      <c r="C536" t="inlineStr">
        <is>
          <t>M15</t>
        </is>
      </c>
      <c r="D536" t="n">
        <v>4682.25</v>
      </c>
      <c r="E536" t="n">
        <v>4518.59282</v>
      </c>
      <c r="F536" t="n">
        <v>4596.05595</v>
      </c>
      <c r="G536" t="n">
        <v>4755.40355</v>
      </c>
      <c r="H536" t="n">
        <v>4792.76972</v>
      </c>
      <c r="Q536" t="n">
        <v>4674.73715</v>
      </c>
      <c r="R536" t="n">
        <v>4704.10045</v>
      </c>
      <c r="S536" t="n">
        <v>4730.68922</v>
      </c>
      <c r="V536" t="n">
        <v>4639.79738</v>
      </c>
      <c r="W536" t="n">
        <v>4606.23238</v>
      </c>
      <c r="AB536" t="n">
        <v>4682.07412</v>
      </c>
      <c r="AC536" t="n">
        <v>4681.92997</v>
      </c>
      <c r="AD536" t="n">
        <v>1</v>
      </c>
      <c r="AE536">
        <f>AE535+1</f>
        <v/>
      </c>
      <c r="AF536">
        <f>AF535+1</f>
        <v/>
      </c>
      <c r="AG536">
        <f>D536-Q536</f>
        <v/>
      </c>
      <c r="AH536">
        <f>AG536^2</f>
        <v/>
      </c>
      <c r="AI536">
        <f>(AG536/STDEV($AG$3:$AG$1137))^3</f>
        <v/>
      </c>
      <c r="AJ536">
        <f>(AG536/STDEV($AG$3:$AG$1137))^4</f>
        <v/>
      </c>
      <c r="AK536">
        <f>AF536^2</f>
        <v/>
      </c>
      <c r="AL536">
        <f>IF(AD536=1,AB536,IF(AL535&lt;&gt;"",AL535,""))</f>
        <v/>
      </c>
      <c r="AM536">
        <f>IF(AND(AD536=1,AL535&lt;&gt;""),ABS(AB536-AL535),"")</f>
        <v/>
      </c>
    </row>
    <row r="537">
      <c r="A537" t="n">
        <v>1777026602</v>
      </c>
      <c r="B537" t="inlineStr">
        <is>
          <t>XAUUSD</t>
        </is>
      </c>
      <c r="C537" t="inlineStr">
        <is>
          <t>M15</t>
        </is>
      </c>
      <c r="D537" t="n">
        <v>4679.01</v>
      </c>
      <c r="E537" t="n">
        <v>4518.59282</v>
      </c>
      <c r="F537" t="n">
        <v>4596.05595</v>
      </c>
      <c r="G537" t="n">
        <v>4755.40355</v>
      </c>
      <c r="H537" t="n">
        <v>4792.76972</v>
      </c>
      <c r="Q537" t="n">
        <v>4674.46954</v>
      </c>
      <c r="R537" t="n">
        <v>4703.83284</v>
      </c>
      <c r="S537" t="n">
        <v>4730.42161</v>
      </c>
      <c r="V537" t="n">
        <v>4639.52977</v>
      </c>
      <c r="W537" t="n">
        <v>4605.96478</v>
      </c>
      <c r="AB537" t="n">
        <v>4685.49979</v>
      </c>
      <c r="AC537" t="n">
        <v>4683.71488</v>
      </c>
      <c r="AD537" t="n">
        <v>0</v>
      </c>
      <c r="AE537">
        <f>AE536+1</f>
        <v/>
      </c>
      <c r="AF537">
        <f>AF536+1</f>
        <v/>
      </c>
      <c r="AG537">
        <f>D537-Q537</f>
        <v/>
      </c>
      <c r="AH537">
        <f>AG537^2</f>
        <v/>
      </c>
      <c r="AI537">
        <f>(AG537/STDEV($AG$3:$AG$1137))^3</f>
        <v/>
      </c>
      <c r="AJ537">
        <f>(AG537/STDEV($AG$3:$AG$1137))^4</f>
        <v/>
      </c>
      <c r="AK537">
        <f>AF537^2</f>
        <v/>
      </c>
      <c r="AL537">
        <f>IF(AD537=1,AB537,IF(AL536&lt;&gt;"",AL536,""))</f>
        <v/>
      </c>
      <c r="AM537">
        <f>IF(AND(AD537=1,AL536&lt;&gt;""),ABS(AB537-AL536),"")</f>
        <v/>
      </c>
    </row>
    <row r="538">
      <c r="A538" t="n">
        <v>1777027502</v>
      </c>
      <c r="B538" t="inlineStr">
        <is>
          <t>XAUUSD</t>
        </is>
      </c>
      <c r="C538" t="inlineStr">
        <is>
          <t>M15</t>
        </is>
      </c>
      <c r="D538" t="n">
        <v>4678.04</v>
      </c>
      <c r="E538" t="n">
        <v>4518.59282</v>
      </c>
      <c r="F538" t="n">
        <v>4596.05595</v>
      </c>
      <c r="G538" t="n">
        <v>4755.40355</v>
      </c>
      <c r="H538" t="n">
        <v>4792.76972</v>
      </c>
      <c r="Q538" t="n">
        <v>4674.20194</v>
      </c>
      <c r="R538" t="n">
        <v>4703.56524</v>
      </c>
      <c r="S538" t="n">
        <v>4730.15401</v>
      </c>
      <c r="V538" t="n">
        <v>4639.26217</v>
      </c>
      <c r="W538" t="n">
        <v>4605.69717</v>
      </c>
      <c r="AB538" t="n">
        <v>4690.45723</v>
      </c>
      <c r="AC538" t="n">
        <v>4687.08605</v>
      </c>
      <c r="AD538" t="n">
        <v>0</v>
      </c>
      <c r="AE538">
        <f>AE537+1</f>
        <v/>
      </c>
      <c r="AF538">
        <f>AF537+1</f>
        <v/>
      </c>
      <c r="AG538">
        <f>D538-Q538</f>
        <v/>
      </c>
      <c r="AH538">
        <f>AG538^2</f>
        <v/>
      </c>
      <c r="AI538">
        <f>(AG538/STDEV($AG$3:$AG$1137))^3</f>
        <v/>
      </c>
      <c r="AJ538">
        <f>(AG538/STDEV($AG$3:$AG$1137))^4</f>
        <v/>
      </c>
      <c r="AK538">
        <f>AF538^2</f>
        <v/>
      </c>
      <c r="AL538">
        <f>IF(AD538=1,AB538,IF(AL537&lt;&gt;"",AL537,""))</f>
        <v/>
      </c>
      <c r="AM538">
        <f>IF(AND(AD538=1,AL537&lt;&gt;""),ABS(AB538-AL537),"")</f>
        <v/>
      </c>
    </row>
    <row r="539">
      <c r="A539" t="n">
        <v>1777028402</v>
      </c>
      <c r="B539" t="inlineStr">
        <is>
          <t>XAUUSD</t>
        </is>
      </c>
      <c r="C539" t="inlineStr">
        <is>
          <t>M15</t>
        </is>
      </c>
      <c r="D539" t="n">
        <v>4696.78</v>
      </c>
      <c r="E539" t="n">
        <v>4518.59282</v>
      </c>
      <c r="F539" t="n">
        <v>4596.05595</v>
      </c>
      <c r="G539" t="n">
        <v>4755.40355</v>
      </c>
      <c r="H539" t="n">
        <v>4792.76972</v>
      </c>
      <c r="Q539" t="n">
        <v>4673.93434</v>
      </c>
      <c r="R539" t="n">
        <v>4703.29763</v>
      </c>
      <c r="S539" t="n">
        <v>4729.8864</v>
      </c>
      <c r="V539" t="n">
        <v>4638.99456</v>
      </c>
      <c r="W539" t="n">
        <v>4605.42957</v>
      </c>
      <c r="AB539" t="n">
        <v>4696.24289</v>
      </c>
      <c r="AC539" t="n">
        <v>4691.66447</v>
      </c>
      <c r="AD539" t="n">
        <v>0</v>
      </c>
      <c r="AE539">
        <f>AE538+1</f>
        <v/>
      </c>
      <c r="AF539">
        <f>AF538+1</f>
        <v/>
      </c>
      <c r="AG539">
        <f>D539-Q539</f>
        <v/>
      </c>
      <c r="AH539">
        <f>AG539^2</f>
        <v/>
      </c>
      <c r="AI539">
        <f>(AG539/STDEV($AG$3:$AG$1137))^3</f>
        <v/>
      </c>
      <c r="AJ539">
        <f>(AG539/STDEV($AG$3:$AG$1137))^4</f>
        <v/>
      </c>
      <c r="AK539">
        <f>AF539^2</f>
        <v/>
      </c>
      <c r="AL539">
        <f>IF(AD539=1,AB539,IF(AL538&lt;&gt;"",AL538,""))</f>
        <v/>
      </c>
      <c r="AM539">
        <f>IF(AND(AD539=1,AL538&lt;&gt;""),ABS(AB539-AL538),"")</f>
        <v/>
      </c>
    </row>
    <row r="540">
      <c r="A540" t="n">
        <v>1777029302</v>
      </c>
      <c r="B540" t="inlineStr">
        <is>
          <t>XAUUSD</t>
        </is>
      </c>
      <c r="C540" t="inlineStr">
        <is>
          <t>M15</t>
        </is>
      </c>
      <c r="D540" t="n">
        <v>4715.3</v>
      </c>
      <c r="E540" t="n">
        <v>4518.59282</v>
      </c>
      <c r="F540" t="n">
        <v>4596.05595</v>
      </c>
      <c r="G540" t="n">
        <v>4755.40355</v>
      </c>
      <c r="H540" t="n">
        <v>4792.76972</v>
      </c>
      <c r="Q540" t="n">
        <v>4673.66673</v>
      </c>
      <c r="R540" t="n">
        <v>4703.03003</v>
      </c>
      <c r="S540" t="n">
        <v>4729.6188</v>
      </c>
      <c r="V540" t="n">
        <v>4638.72696</v>
      </c>
      <c r="W540" t="n">
        <v>4605.16196</v>
      </c>
      <c r="AB540" t="n">
        <v>4701.47942</v>
      </c>
      <c r="AC540" t="n">
        <v>4696.57194</v>
      </c>
      <c r="AD540" t="n">
        <v>0</v>
      </c>
      <c r="AE540">
        <f>AE539+1</f>
        <v/>
      </c>
      <c r="AF540">
        <f>AF539+1</f>
        <v/>
      </c>
      <c r="AG540">
        <f>D540-Q540</f>
        <v/>
      </c>
      <c r="AH540">
        <f>AG540^2</f>
        <v/>
      </c>
      <c r="AI540">
        <f>(AG540/STDEV($AG$3:$AG$1137))^3</f>
        <v/>
      </c>
      <c r="AJ540">
        <f>(AG540/STDEV($AG$3:$AG$1137))^4</f>
        <v/>
      </c>
      <c r="AK540">
        <f>AF540^2</f>
        <v/>
      </c>
      <c r="AL540">
        <f>IF(AD540=1,AB540,IF(AL539&lt;&gt;"",AL539,""))</f>
        <v/>
      </c>
      <c r="AM540">
        <f>IF(AND(AD540=1,AL539&lt;&gt;""),ABS(AB540-AL539),"")</f>
        <v/>
      </c>
    </row>
    <row r="541">
      <c r="A541" t="n">
        <v>1777030202</v>
      </c>
      <c r="B541" t="inlineStr">
        <is>
          <t>XAUUSD</t>
        </is>
      </c>
      <c r="C541" t="inlineStr">
        <is>
          <t>M15</t>
        </is>
      </c>
      <c r="D541" t="n">
        <v>4705.4</v>
      </c>
      <c r="E541" t="n">
        <v>4518.59282</v>
      </c>
      <c r="F541" t="n">
        <v>4596.05595</v>
      </c>
      <c r="G541" t="n">
        <v>4755.40355</v>
      </c>
      <c r="H541" t="n">
        <v>4792.76972</v>
      </c>
      <c r="Q541" t="n">
        <v>4673.39913</v>
      </c>
      <c r="R541" t="n">
        <v>4702.76243</v>
      </c>
      <c r="S541" t="n">
        <v>4729.3512</v>
      </c>
      <c r="V541" t="n">
        <v>4638.45936</v>
      </c>
      <c r="W541" t="n">
        <v>4604.89436</v>
      </c>
      <c r="AB541" t="n">
        <v>4704.96247</v>
      </c>
      <c r="AC541" t="n">
        <v>4700.76721</v>
      </c>
      <c r="AD541" t="n">
        <v>0</v>
      </c>
      <c r="AE541">
        <f>AE540+1</f>
        <v/>
      </c>
      <c r="AF541">
        <f>AF540+1</f>
        <v/>
      </c>
      <c r="AG541">
        <f>D541-Q541</f>
        <v/>
      </c>
      <c r="AH541">
        <f>AG541^2</f>
        <v/>
      </c>
      <c r="AI541">
        <f>(AG541/STDEV($AG$3:$AG$1137))^3</f>
        <v/>
      </c>
      <c r="AJ541">
        <f>(AG541/STDEV($AG$3:$AG$1137))^4</f>
        <v/>
      </c>
      <c r="AK541">
        <f>AF541^2</f>
        <v/>
      </c>
      <c r="AL541">
        <f>IF(AD541=1,AB541,IF(AL540&lt;&gt;"",AL540,""))</f>
        <v/>
      </c>
      <c r="AM541">
        <f>IF(AND(AD541=1,AL540&lt;&gt;""),ABS(AB541-AL540),"")</f>
        <v/>
      </c>
    </row>
    <row r="542">
      <c r="A542" t="n">
        <v>1777031102</v>
      </c>
      <c r="B542" t="inlineStr">
        <is>
          <t>XAUUSD</t>
        </is>
      </c>
      <c r="C542" t="inlineStr">
        <is>
          <t>M15</t>
        </is>
      </c>
      <c r="D542" t="n">
        <v>4706.76</v>
      </c>
      <c r="E542" t="n">
        <v>4518.59282</v>
      </c>
      <c r="F542" t="n">
        <v>4596.05595</v>
      </c>
      <c r="G542" t="n">
        <v>4755.40355</v>
      </c>
      <c r="H542" t="n">
        <v>4792.76972</v>
      </c>
      <c r="Q542" t="n">
        <v>4673.13152</v>
      </c>
      <c r="R542" t="n">
        <v>4702.49482</v>
      </c>
      <c r="S542" t="n">
        <v>4729.08359</v>
      </c>
      <c r="V542" t="n">
        <v>4638.19175</v>
      </c>
      <c r="W542" t="n">
        <v>4604.62676</v>
      </c>
      <c r="AB542" t="n">
        <v>4706.66789</v>
      </c>
      <c r="AC542" t="n">
        <v>4703.71755</v>
      </c>
      <c r="AD542" t="n">
        <v>0</v>
      </c>
      <c r="AE542">
        <f>AE541+1</f>
        <v/>
      </c>
      <c r="AF542">
        <f>AF541+1</f>
        <v/>
      </c>
      <c r="AG542">
        <f>D542-Q542</f>
        <v/>
      </c>
      <c r="AH542">
        <f>AG542^2</f>
        <v/>
      </c>
      <c r="AI542">
        <f>(AG542/STDEV($AG$3:$AG$1137))^3</f>
        <v/>
      </c>
      <c r="AJ542">
        <f>(AG542/STDEV($AG$3:$AG$1137))^4</f>
        <v/>
      </c>
      <c r="AK542">
        <f>AF542^2</f>
        <v/>
      </c>
      <c r="AL542">
        <f>IF(AD542=1,AB542,IF(AL541&lt;&gt;"",AL541,""))</f>
        <v/>
      </c>
      <c r="AM542">
        <f>IF(AND(AD542=1,AL541&lt;&gt;""),ABS(AB542-AL541),"")</f>
        <v/>
      </c>
    </row>
    <row r="543">
      <c r="A543" t="n">
        <v>1777032002</v>
      </c>
      <c r="B543" t="inlineStr">
        <is>
          <t>XAUUSD</t>
        </is>
      </c>
      <c r="C543" t="inlineStr">
        <is>
          <t>M15</t>
        </is>
      </c>
      <c r="D543" t="n">
        <v>4708.7</v>
      </c>
      <c r="E543" t="n">
        <v>4518.59282</v>
      </c>
      <c r="F543" t="n">
        <v>4596.05595</v>
      </c>
      <c r="G543" t="n">
        <v>4755.40355</v>
      </c>
      <c r="H543" t="n">
        <v>4792.76972</v>
      </c>
      <c r="Q543" t="n">
        <v>4672.86392</v>
      </c>
      <c r="R543" t="n">
        <v>4702.22722</v>
      </c>
      <c r="S543" t="n">
        <v>4728.81599</v>
      </c>
      <c r="V543" t="n">
        <v>4637.92415</v>
      </c>
      <c r="W543" t="n">
        <v>4604.35915</v>
      </c>
      <c r="AB543" t="n">
        <v>4706.72572</v>
      </c>
      <c r="AC543" t="n">
        <v>4705.22163</v>
      </c>
      <c r="AD543" t="n">
        <v>0</v>
      </c>
      <c r="AE543">
        <f>AE542+1</f>
        <v/>
      </c>
      <c r="AF543">
        <f>AF542+1</f>
        <v/>
      </c>
      <c r="AG543">
        <f>D543-Q543</f>
        <v/>
      </c>
      <c r="AH543">
        <f>AG543^2</f>
        <v/>
      </c>
      <c r="AI543">
        <f>(AG543/STDEV($AG$3:$AG$1137))^3</f>
        <v/>
      </c>
      <c r="AJ543">
        <f>(AG543/STDEV($AG$3:$AG$1137))^4</f>
        <v/>
      </c>
      <c r="AK543">
        <f>AF543^2</f>
        <v/>
      </c>
      <c r="AL543">
        <f>IF(AD543=1,AB543,IF(AL542&lt;&gt;"",AL542,""))</f>
        <v/>
      </c>
      <c r="AM543">
        <f>IF(AND(AD543=1,AL542&lt;&gt;""),ABS(AB543-AL542),"")</f>
        <v/>
      </c>
    </row>
    <row r="544">
      <c r="A544" t="n">
        <v>1777032902</v>
      </c>
      <c r="B544" t="inlineStr">
        <is>
          <t>XAUUSD</t>
        </is>
      </c>
      <c r="C544" t="inlineStr">
        <is>
          <t>M15</t>
        </is>
      </c>
      <c r="D544" t="n">
        <v>4710.63</v>
      </c>
      <c r="E544" t="n">
        <v>4518.59282</v>
      </c>
      <c r="F544" t="n">
        <v>4596.05595</v>
      </c>
      <c r="G544" t="n">
        <v>4755.40355</v>
      </c>
      <c r="H544" t="n">
        <v>4792.76972</v>
      </c>
      <c r="Q544" t="n">
        <v>4672.59631</v>
      </c>
      <c r="R544" t="n">
        <v>4701.95961</v>
      </c>
      <c r="S544" t="n">
        <v>4728.54838</v>
      </c>
      <c r="V544" t="n">
        <v>4637.65654</v>
      </c>
      <c r="W544" t="n">
        <v>4604.09155</v>
      </c>
      <c r="AB544" t="n">
        <v>4705.59402</v>
      </c>
      <c r="AC544" t="n">
        <v>4705.40783</v>
      </c>
      <c r="AD544" t="n">
        <v>0</v>
      </c>
      <c r="AE544">
        <f>AE543+1</f>
        <v/>
      </c>
      <c r="AF544">
        <f>AF543+1</f>
        <v/>
      </c>
      <c r="AG544">
        <f>D544-Q544</f>
        <v/>
      </c>
      <c r="AH544">
        <f>AG544^2</f>
        <v/>
      </c>
      <c r="AI544">
        <f>(AG544/STDEV($AG$3:$AG$1137))^3</f>
        <v/>
      </c>
      <c r="AJ544">
        <f>(AG544/STDEV($AG$3:$AG$1137))^4</f>
        <v/>
      </c>
      <c r="AK544">
        <f>AF544^2</f>
        <v/>
      </c>
      <c r="AL544">
        <f>IF(AD544=1,AB544,IF(AL543&lt;&gt;"",AL543,""))</f>
        <v/>
      </c>
      <c r="AM544">
        <f>IF(AND(AD544=1,AL543&lt;&gt;""),ABS(AB544-AL543),"")</f>
        <v/>
      </c>
    </row>
    <row r="545">
      <c r="A545" t="n">
        <v>1777033802</v>
      </c>
      <c r="B545" t="inlineStr">
        <is>
          <t>XAUUSD</t>
        </is>
      </c>
      <c r="C545" t="inlineStr">
        <is>
          <t>M15</t>
        </is>
      </c>
      <c r="D545" t="n">
        <v>4698.83</v>
      </c>
      <c r="E545" t="n">
        <v>4518.59282</v>
      </c>
      <c r="F545" t="n">
        <v>4596.05595</v>
      </c>
      <c r="G545" t="n">
        <v>4755.40355</v>
      </c>
      <c r="H545" t="n">
        <v>4792.76972</v>
      </c>
      <c r="Q545" t="n">
        <v>4672.32871</v>
      </c>
      <c r="R545" t="n">
        <v>4701.69201</v>
      </c>
      <c r="S545" t="n">
        <v>4728.28078</v>
      </c>
      <c r="V545" t="n">
        <v>4637.38894</v>
      </c>
      <c r="W545" t="n">
        <v>4603.82394</v>
      </c>
      <c r="AB545" t="n">
        <v>4703.98622</v>
      </c>
      <c r="AC545" t="n">
        <v>4704.69702</v>
      </c>
      <c r="AD545" t="n">
        <v>1</v>
      </c>
      <c r="AE545">
        <f>AE544+1</f>
        <v/>
      </c>
      <c r="AF545">
        <f>AF544+1</f>
        <v/>
      </c>
      <c r="AG545">
        <f>D545-Q545</f>
        <v/>
      </c>
      <c r="AH545">
        <f>AG545^2</f>
        <v/>
      </c>
      <c r="AI545">
        <f>(AG545/STDEV($AG$3:$AG$1137))^3</f>
        <v/>
      </c>
      <c r="AJ545">
        <f>(AG545/STDEV($AG$3:$AG$1137))^4</f>
        <v/>
      </c>
      <c r="AK545">
        <f>AF545^2</f>
        <v/>
      </c>
      <c r="AL545">
        <f>IF(AD545=1,AB545,IF(AL544&lt;&gt;"",AL544,""))</f>
        <v/>
      </c>
      <c r="AM545">
        <f>IF(AND(AD545=1,AL544&lt;&gt;""),ABS(AB545-AL544),"")</f>
        <v/>
      </c>
    </row>
    <row r="546">
      <c r="A546" t="n">
        <v>1777034702</v>
      </c>
      <c r="B546" t="inlineStr">
        <is>
          <t>XAUUSD</t>
        </is>
      </c>
      <c r="C546" t="inlineStr">
        <is>
          <t>M15</t>
        </is>
      </c>
      <c r="D546" t="n">
        <v>4700.67</v>
      </c>
      <c r="E546" t="n">
        <v>4518.59282</v>
      </c>
      <c r="F546" t="n">
        <v>4596.05595</v>
      </c>
      <c r="G546" t="n">
        <v>4755.40355</v>
      </c>
      <c r="H546" t="n">
        <v>4792.76972</v>
      </c>
      <c r="Q546" t="n">
        <v>4672.06111</v>
      </c>
      <c r="R546" t="n">
        <v>4701.42441</v>
      </c>
      <c r="S546" t="n">
        <v>4728.01318</v>
      </c>
      <c r="V546" t="n">
        <v>4637.12134</v>
      </c>
      <c r="W546" t="n">
        <v>4603.55634</v>
      </c>
      <c r="AB546" t="n">
        <v>4703.08054</v>
      </c>
      <c r="AC546" t="n">
        <v>4703.88878</v>
      </c>
      <c r="AD546" t="n">
        <v>0</v>
      </c>
      <c r="AE546">
        <f>AE545+1</f>
        <v/>
      </c>
      <c r="AF546">
        <f>AF545+1</f>
        <v/>
      </c>
      <c r="AG546">
        <f>D546-Q546</f>
        <v/>
      </c>
      <c r="AH546">
        <f>AG546^2</f>
        <v/>
      </c>
      <c r="AI546">
        <f>(AG546/STDEV($AG$3:$AG$1137))^3</f>
        <v/>
      </c>
      <c r="AJ546">
        <f>(AG546/STDEV($AG$3:$AG$1137))^4</f>
        <v/>
      </c>
      <c r="AK546">
        <f>AF546^2</f>
        <v/>
      </c>
      <c r="AL546">
        <f>IF(AD546=1,AB546,IF(AL545&lt;&gt;"",AL545,""))</f>
        <v/>
      </c>
      <c r="AM546">
        <f>IF(AND(AD546=1,AL545&lt;&gt;""),ABS(AB546-AL545),"")</f>
        <v/>
      </c>
    </row>
    <row r="547">
      <c r="A547" t="n">
        <v>1777035602</v>
      </c>
      <c r="B547" t="inlineStr">
        <is>
          <t>XAUUSD</t>
        </is>
      </c>
      <c r="C547" t="inlineStr">
        <is>
          <t>M15</t>
        </is>
      </c>
      <c r="D547" t="n">
        <v>4702.99</v>
      </c>
      <c r="E547" t="n">
        <v>4518.59282</v>
      </c>
      <c r="F547" t="n">
        <v>4596.05595</v>
      </c>
      <c r="G547" t="n">
        <v>4755.40355</v>
      </c>
      <c r="H547" t="n">
        <v>4792.76972</v>
      </c>
      <c r="Q547" t="n">
        <v>4671.7935</v>
      </c>
      <c r="R547" t="n">
        <v>4701.1568</v>
      </c>
      <c r="S547" t="n">
        <v>4727.74557</v>
      </c>
      <c r="V547" t="n">
        <v>4636.85373</v>
      </c>
      <c r="W547" t="n">
        <v>4603.28874</v>
      </c>
      <c r="AB547" t="n">
        <v>4703.48662</v>
      </c>
      <c r="AC547" t="n">
        <v>4703.6877</v>
      </c>
      <c r="AD547" t="n">
        <v>0</v>
      </c>
      <c r="AE547">
        <f>AE546+1</f>
        <v/>
      </c>
      <c r="AF547">
        <f>AF546+1</f>
        <v/>
      </c>
      <c r="AG547">
        <f>D547-Q547</f>
        <v/>
      </c>
      <c r="AH547">
        <f>AG547^2</f>
        <v/>
      </c>
      <c r="AI547">
        <f>(AG547/STDEV($AG$3:$AG$1137))^3</f>
        <v/>
      </c>
      <c r="AJ547">
        <f>(AG547/STDEV($AG$3:$AG$1137))^4</f>
        <v/>
      </c>
      <c r="AK547">
        <f>AF547^2</f>
        <v/>
      </c>
      <c r="AL547">
        <f>IF(AD547=1,AB547,IF(AL546&lt;&gt;"",AL546,""))</f>
        <v/>
      </c>
      <c r="AM547">
        <f>IF(AND(AD547=1,AL546&lt;&gt;""),ABS(AB547-AL546),"")</f>
        <v/>
      </c>
    </row>
    <row r="548">
      <c r="A548" t="n">
        <v>1777036502</v>
      </c>
      <c r="B548" t="inlineStr">
        <is>
          <t>XAUUSD</t>
        </is>
      </c>
      <c r="C548" t="inlineStr">
        <is>
          <t>M15</t>
        </is>
      </c>
      <c r="D548" t="n">
        <v>4697.13</v>
      </c>
      <c r="E548" t="n">
        <v>4518.59282</v>
      </c>
      <c r="F548" t="n">
        <v>4596.05595</v>
      </c>
      <c r="G548" t="n">
        <v>4755.40355</v>
      </c>
      <c r="H548" t="n">
        <v>4792.76972</v>
      </c>
      <c r="Q548" t="n">
        <v>4671.5259</v>
      </c>
      <c r="R548" t="n">
        <v>4700.8892</v>
      </c>
      <c r="S548" t="n">
        <v>4727.47797</v>
      </c>
      <c r="V548" t="n">
        <v>4636.58613</v>
      </c>
      <c r="W548" t="n">
        <v>4603.02113</v>
      </c>
      <c r="AB548" t="n">
        <v>4705.476</v>
      </c>
      <c r="AC548" t="n">
        <v>4704.58185</v>
      </c>
      <c r="AD548" t="n">
        <v>1</v>
      </c>
      <c r="AE548">
        <f>AE547+1</f>
        <v/>
      </c>
      <c r="AF548">
        <f>AF547+1</f>
        <v/>
      </c>
      <c r="AG548">
        <f>D548-Q548</f>
        <v/>
      </c>
      <c r="AH548">
        <f>AG548^2</f>
        <v/>
      </c>
      <c r="AI548">
        <f>(AG548/STDEV($AG$3:$AG$1137))^3</f>
        <v/>
      </c>
      <c r="AJ548">
        <f>(AG548/STDEV($AG$3:$AG$1137))^4</f>
        <v/>
      </c>
      <c r="AK548">
        <f>AF548^2</f>
        <v/>
      </c>
      <c r="AL548">
        <f>IF(AD548=1,AB548,IF(AL547&lt;&gt;"",AL547,""))</f>
        <v/>
      </c>
      <c r="AM548">
        <f>IF(AND(AD548=1,AL547&lt;&gt;""),ABS(AB548-AL547),"")</f>
        <v/>
      </c>
    </row>
    <row r="549">
      <c r="A549" t="n">
        <v>1777037402</v>
      </c>
      <c r="B549" t="inlineStr">
        <is>
          <t>XAUUSD</t>
        </is>
      </c>
      <c r="C549" t="inlineStr">
        <is>
          <t>M15</t>
        </is>
      </c>
      <c r="D549" t="n">
        <v>4708.23</v>
      </c>
      <c r="E549" t="n">
        <v>4518.59282</v>
      </c>
      <c r="F549" t="n">
        <v>4596.05595</v>
      </c>
      <c r="G549" t="n">
        <v>4755.40355</v>
      </c>
      <c r="H549" t="n">
        <v>4792.76972</v>
      </c>
      <c r="Q549" t="n">
        <v>4671.25829</v>
      </c>
      <c r="R549" t="n">
        <v>4700.62159</v>
      </c>
      <c r="S549" t="n">
        <v>4727.21036</v>
      </c>
      <c r="V549" t="n">
        <v>4636.31852</v>
      </c>
      <c r="W549" t="n">
        <v>4602.75353</v>
      </c>
      <c r="AB549" t="n">
        <v>4709.16285</v>
      </c>
      <c r="AC549" t="n">
        <v>4706.87235</v>
      </c>
      <c r="AD549" t="n">
        <v>0</v>
      </c>
      <c r="AE549">
        <f>AE548+1</f>
        <v/>
      </c>
      <c r="AF549">
        <f>AF548+1</f>
        <v/>
      </c>
      <c r="AG549">
        <f>D549-Q549</f>
        <v/>
      </c>
      <c r="AH549">
        <f>AG549^2</f>
        <v/>
      </c>
      <c r="AI549">
        <f>(AG549/STDEV($AG$3:$AG$1137))^3</f>
        <v/>
      </c>
      <c r="AJ549">
        <f>(AG549/STDEV($AG$3:$AG$1137))^4</f>
        <v/>
      </c>
      <c r="AK549">
        <f>AF549^2</f>
        <v/>
      </c>
      <c r="AL549">
        <f>IF(AD549=1,AB549,IF(AL548&lt;&gt;"",AL548,""))</f>
        <v/>
      </c>
      <c r="AM549">
        <f>IF(AND(AD549=1,AL548&lt;&gt;""),ABS(AB549-AL548),"")</f>
        <v/>
      </c>
    </row>
    <row r="550">
      <c r="A550" t="n">
        <v>1777038302</v>
      </c>
      <c r="B550" t="inlineStr">
        <is>
          <t>XAUUSD</t>
        </is>
      </c>
      <c r="C550" t="inlineStr">
        <is>
          <t>M15</t>
        </is>
      </c>
      <c r="D550" t="n">
        <v>4711.2</v>
      </c>
      <c r="E550" t="n">
        <v>4518.59282</v>
      </c>
      <c r="F550" t="n">
        <v>4596.05595</v>
      </c>
      <c r="G550" t="n">
        <v>4755.40355</v>
      </c>
      <c r="H550" t="n">
        <v>4792.76972</v>
      </c>
      <c r="Q550" t="n">
        <v>4670.99069</v>
      </c>
      <c r="R550" t="n">
        <v>4700.35399</v>
      </c>
      <c r="S550" t="n">
        <v>4726.94276</v>
      </c>
      <c r="V550" t="n">
        <v>4636.05092</v>
      </c>
      <c r="W550" t="n">
        <v>4602.48592</v>
      </c>
      <c r="AB550" t="n">
        <v>4713.89201</v>
      </c>
      <c r="AC550" t="n">
        <v>4710.38218</v>
      </c>
      <c r="AD550" t="n">
        <v>0</v>
      </c>
      <c r="AE550">
        <f>AE549+1</f>
        <v/>
      </c>
      <c r="AF550">
        <f>AF549+1</f>
        <v/>
      </c>
      <c r="AG550">
        <f>D550-Q550</f>
        <v/>
      </c>
      <c r="AH550">
        <f>AG550^2</f>
        <v/>
      </c>
      <c r="AI550">
        <f>(AG550/STDEV($AG$3:$AG$1137))^3</f>
        <v/>
      </c>
      <c r="AJ550">
        <f>(AG550/STDEV($AG$3:$AG$1137))^4</f>
        <v/>
      </c>
      <c r="AK550">
        <f>AF550^2</f>
        <v/>
      </c>
      <c r="AL550">
        <f>IF(AD550=1,AB550,IF(AL549&lt;&gt;"",AL549,""))</f>
        <v/>
      </c>
      <c r="AM550">
        <f>IF(AND(AD550=1,AL549&lt;&gt;""),ABS(AB550-AL549),"")</f>
        <v/>
      </c>
    </row>
    <row r="551">
      <c r="A551" t="n">
        <v>1777039202</v>
      </c>
      <c r="B551" t="inlineStr">
        <is>
          <t>XAUUSD</t>
        </is>
      </c>
      <c r="C551" t="inlineStr">
        <is>
          <t>M15</t>
        </is>
      </c>
      <c r="D551" t="n">
        <v>4731.95</v>
      </c>
      <c r="E551" t="n">
        <v>4518.59282</v>
      </c>
      <c r="F551" t="n">
        <v>4596.05595</v>
      </c>
      <c r="G551" t="n">
        <v>4755.40355</v>
      </c>
      <c r="H551" t="n">
        <v>4792.76972</v>
      </c>
      <c r="Q551" t="n">
        <v>4670.72309</v>
      </c>
      <c r="R551" t="n">
        <v>4700.08638</v>
      </c>
      <c r="S551" t="n">
        <v>4726.67516</v>
      </c>
      <c r="V551" t="n">
        <v>4635.78332</v>
      </c>
      <c r="W551" t="n">
        <v>4602.21832</v>
      </c>
      <c r="Z551" t="n">
        <v>4740.49</v>
      </c>
      <c r="AB551" t="n">
        <v>4718.96621</v>
      </c>
      <c r="AC551" t="n">
        <v>4714.6742</v>
      </c>
      <c r="AD551" t="n">
        <v>0</v>
      </c>
      <c r="AE551">
        <f>AE550+1</f>
        <v/>
      </c>
      <c r="AF551">
        <f>AF550+1</f>
        <v/>
      </c>
      <c r="AG551">
        <f>D551-Q551</f>
        <v/>
      </c>
      <c r="AH551">
        <f>AG551^2</f>
        <v/>
      </c>
      <c r="AI551">
        <f>(AG551/STDEV($AG$3:$AG$1137))^3</f>
        <v/>
      </c>
      <c r="AJ551">
        <f>(AG551/STDEV($AG$3:$AG$1137))^4</f>
        <v/>
      </c>
      <c r="AK551">
        <f>AF551^2</f>
        <v/>
      </c>
      <c r="AL551">
        <f>IF(AD551=1,AB551,IF(AL550&lt;&gt;"",AL550,""))</f>
        <v/>
      </c>
      <c r="AM551">
        <f>IF(AND(AD551=1,AL550&lt;&gt;""),ABS(AB551-AL550),"")</f>
        <v/>
      </c>
    </row>
    <row r="552">
      <c r="A552" t="n">
        <v>1777040102</v>
      </c>
      <c r="B552" t="inlineStr">
        <is>
          <t>XAUUSD</t>
        </is>
      </c>
      <c r="C552" t="inlineStr">
        <is>
          <t>M15</t>
        </is>
      </c>
      <c r="D552" t="n">
        <v>4725.46</v>
      </c>
      <c r="E552" t="n">
        <v>4518.59282</v>
      </c>
      <c r="F552" t="n">
        <v>4596.05595</v>
      </c>
      <c r="G552" t="n">
        <v>4755.40355</v>
      </c>
      <c r="H552" t="n">
        <v>4792.76972</v>
      </c>
      <c r="Q552" t="n">
        <v>4670.45548</v>
      </c>
      <c r="R552" t="n">
        <v>4699.81878</v>
      </c>
      <c r="S552" t="n">
        <v>4726.40755</v>
      </c>
      <c r="V552" t="n">
        <v>4635.51571</v>
      </c>
      <c r="W552" t="n">
        <v>4601.95072</v>
      </c>
      <c r="AB552" t="n">
        <v>4723.15627</v>
      </c>
      <c r="AC552" t="n">
        <v>4718.91523</v>
      </c>
      <c r="AD552" t="n">
        <v>0</v>
      </c>
      <c r="AE552">
        <f>AE551+1</f>
        <v/>
      </c>
      <c r="AF552">
        <f>AF551+1</f>
        <v/>
      </c>
      <c r="AG552">
        <f>D552-Q552</f>
        <v/>
      </c>
      <c r="AH552">
        <f>AG552^2</f>
        <v/>
      </c>
      <c r="AI552">
        <f>(AG552/STDEV($AG$3:$AG$1137))^3</f>
        <v/>
      </c>
      <c r="AJ552">
        <f>(AG552/STDEV($AG$3:$AG$1137))^4</f>
        <v/>
      </c>
      <c r="AK552">
        <f>AF552^2</f>
        <v/>
      </c>
      <c r="AL552">
        <f>IF(AD552=1,AB552,IF(AL551&lt;&gt;"",AL551,""))</f>
        <v/>
      </c>
      <c r="AM552">
        <f>IF(AND(AD552=1,AL551&lt;&gt;""),ABS(AB552-AL551),"")</f>
        <v/>
      </c>
    </row>
    <row r="553">
      <c r="A553" t="n">
        <v>1777041002</v>
      </c>
      <c r="B553" t="inlineStr">
        <is>
          <t>XAUUSD</t>
        </is>
      </c>
      <c r="C553" t="inlineStr">
        <is>
          <t>M15</t>
        </is>
      </c>
      <c r="D553" t="n">
        <v>4730.38</v>
      </c>
      <c r="E553" t="n">
        <v>4518.59282</v>
      </c>
      <c r="F553" t="n">
        <v>4596.05595</v>
      </c>
      <c r="G553" t="n">
        <v>4755.40355</v>
      </c>
      <c r="H553" t="n">
        <v>4792.76972</v>
      </c>
      <c r="Q553" t="n">
        <v>4670.18788</v>
      </c>
      <c r="R553" t="n">
        <v>4699.55118</v>
      </c>
      <c r="S553" t="n">
        <v>4726.13995</v>
      </c>
      <c r="V553" t="n">
        <v>4635.24811</v>
      </c>
      <c r="W553" t="n">
        <v>4601.68311</v>
      </c>
      <c r="AB553" t="n">
        <v>4726.1589</v>
      </c>
      <c r="AC553" t="n">
        <v>4722.53707</v>
      </c>
      <c r="AD553" t="n">
        <v>0</v>
      </c>
      <c r="AE553">
        <f>AE552+1</f>
        <v/>
      </c>
      <c r="AF553">
        <f>AF552+1</f>
        <v/>
      </c>
      <c r="AG553">
        <f>D553-Q553</f>
        <v/>
      </c>
      <c r="AH553">
        <f>AG553^2</f>
        <v/>
      </c>
      <c r="AI553">
        <f>(AG553/STDEV($AG$3:$AG$1137))^3</f>
        <v/>
      </c>
      <c r="AJ553">
        <f>(AG553/STDEV($AG$3:$AG$1137))^4</f>
        <v/>
      </c>
      <c r="AK553">
        <f>AF553^2</f>
        <v/>
      </c>
      <c r="AL553">
        <f>IF(AD553=1,AB553,IF(AL552&lt;&gt;"",AL552,""))</f>
        <v/>
      </c>
      <c r="AM553">
        <f>IF(AND(AD553=1,AL552&lt;&gt;""),ABS(AB553-AL552),"")</f>
        <v/>
      </c>
    </row>
    <row r="554">
      <c r="A554" t="n">
        <v>1777041902</v>
      </c>
      <c r="B554" t="inlineStr">
        <is>
          <t>XAUUSD</t>
        </is>
      </c>
      <c r="C554" t="inlineStr">
        <is>
          <t>M15</t>
        </is>
      </c>
      <c r="D554" t="n">
        <v>4726.41</v>
      </c>
      <c r="E554" t="n">
        <v>4518.59282</v>
      </c>
      <c r="F554" t="n">
        <v>4596.05595</v>
      </c>
      <c r="G554" t="n">
        <v>4755.40355</v>
      </c>
      <c r="H554" t="n">
        <v>4792.76972</v>
      </c>
      <c r="Q554" t="n">
        <v>4669.92027</v>
      </c>
      <c r="R554" t="n">
        <v>4699.28357</v>
      </c>
      <c r="S554" t="n">
        <v>4725.87234</v>
      </c>
      <c r="V554" t="n">
        <v>4634.9805</v>
      </c>
      <c r="W554" t="n">
        <v>4601.41551</v>
      </c>
      <c r="AB554" t="n">
        <v>4727.63112</v>
      </c>
      <c r="AC554" t="n">
        <v>4725.08409</v>
      </c>
      <c r="AD554" t="n">
        <v>0</v>
      </c>
      <c r="AE554">
        <f>AE553+1</f>
        <v/>
      </c>
      <c r="AF554">
        <f>AF553+1</f>
        <v/>
      </c>
      <c r="AG554">
        <f>D554-Q554</f>
        <v/>
      </c>
      <c r="AH554">
        <f>AG554^2</f>
        <v/>
      </c>
      <c r="AI554">
        <f>(AG554/STDEV($AG$3:$AG$1137))^3</f>
        <v/>
      </c>
      <c r="AJ554">
        <f>(AG554/STDEV($AG$3:$AG$1137))^4</f>
        <v/>
      </c>
      <c r="AK554">
        <f>AF554^2</f>
        <v/>
      </c>
      <c r="AL554">
        <f>IF(AD554=1,AB554,IF(AL553&lt;&gt;"",AL553,""))</f>
        <v/>
      </c>
      <c r="AM554">
        <f>IF(AND(AD554=1,AL553&lt;&gt;""),ABS(AB554-AL553),"")</f>
        <v/>
      </c>
    </row>
    <row r="555">
      <c r="A555" t="n">
        <v>1777042802</v>
      </c>
      <c r="B555" t="inlineStr">
        <is>
          <t>XAUUSD</t>
        </is>
      </c>
      <c r="C555" t="inlineStr">
        <is>
          <t>M15</t>
        </is>
      </c>
      <c r="D555" t="n">
        <v>4721.97</v>
      </c>
      <c r="E555" t="n">
        <v>4518.59282</v>
      </c>
      <c r="F555" t="n">
        <v>4596.05595</v>
      </c>
      <c r="G555" t="n">
        <v>4755.40355</v>
      </c>
      <c r="H555" t="n">
        <v>4792.76972</v>
      </c>
      <c r="Q555" t="n">
        <v>4669.65267</v>
      </c>
      <c r="R555" t="n">
        <v>4699.01597</v>
      </c>
      <c r="S555" t="n">
        <v>4725.60474</v>
      </c>
      <c r="V555" t="n">
        <v>4634.7129</v>
      </c>
      <c r="W555" t="n">
        <v>4601.1479</v>
      </c>
      <c r="AB555" t="n">
        <v>4727.79328</v>
      </c>
      <c r="AC555" t="n">
        <v>4726.43869</v>
      </c>
      <c r="AD555" t="n">
        <v>0</v>
      </c>
      <c r="AE555">
        <f>AE554+1</f>
        <v/>
      </c>
      <c r="AF555">
        <f>AF554+1</f>
        <v/>
      </c>
      <c r="AG555">
        <f>D555-Q555</f>
        <v/>
      </c>
      <c r="AH555">
        <f>AG555^2</f>
        <v/>
      </c>
      <c r="AI555">
        <f>(AG555/STDEV($AG$3:$AG$1137))^3</f>
        <v/>
      </c>
      <c r="AJ555">
        <f>(AG555/STDEV($AG$3:$AG$1137))^4</f>
        <v/>
      </c>
      <c r="AK555">
        <f>AF555^2</f>
        <v/>
      </c>
      <c r="AL555">
        <f>IF(AD555=1,AB555,IF(AL554&lt;&gt;"",AL554,""))</f>
        <v/>
      </c>
      <c r="AM555">
        <f>IF(AND(AD555=1,AL554&lt;&gt;""),ABS(AB555-AL554),"")</f>
        <v/>
      </c>
    </row>
    <row r="556">
      <c r="A556" t="n">
        <v>1777043702</v>
      </c>
      <c r="B556" t="inlineStr">
        <is>
          <t>XAUUSD</t>
        </is>
      </c>
      <c r="C556" t="inlineStr">
        <is>
          <t>M15</t>
        </is>
      </c>
      <c r="D556" t="n">
        <v>4721.74</v>
      </c>
      <c r="E556" t="n">
        <v>4518.59282</v>
      </c>
      <c r="F556" t="n">
        <v>4596.05595</v>
      </c>
      <c r="G556" t="n">
        <v>4755.40355</v>
      </c>
      <c r="H556" t="n">
        <v>4792.76972</v>
      </c>
      <c r="Q556" t="n">
        <v>4669.38507</v>
      </c>
      <c r="R556" t="n">
        <v>4698.74836</v>
      </c>
      <c r="S556" t="n">
        <v>4725.33714</v>
      </c>
      <c r="V556" t="n">
        <v>4634.4453</v>
      </c>
      <c r="W556" t="n">
        <v>4600.8803</v>
      </c>
      <c r="AB556" t="n">
        <v>4727.10565</v>
      </c>
      <c r="AC556" t="n">
        <v>4726.77217</v>
      </c>
      <c r="AD556" t="n">
        <v>0</v>
      </c>
      <c r="AE556">
        <f>AE555+1</f>
        <v/>
      </c>
      <c r="AF556">
        <f>AF555+1</f>
        <v/>
      </c>
      <c r="AG556">
        <f>D556-Q556</f>
        <v/>
      </c>
      <c r="AH556">
        <f>AG556^2</f>
        <v/>
      </c>
      <c r="AI556">
        <f>(AG556/STDEV($AG$3:$AG$1137))^3</f>
        <v/>
      </c>
      <c r="AJ556">
        <f>(AG556/STDEV($AG$3:$AG$1137))^4</f>
        <v/>
      </c>
      <c r="AK556">
        <f>AF556^2</f>
        <v/>
      </c>
      <c r="AL556">
        <f>IF(AD556=1,AB556,IF(AL555&lt;&gt;"",AL555,""))</f>
        <v/>
      </c>
      <c r="AM556">
        <f>IF(AND(AD556=1,AL555&lt;&gt;""),ABS(AB556-AL555),"")</f>
        <v/>
      </c>
    </row>
    <row r="557">
      <c r="A557" t="n">
        <v>1777044602</v>
      </c>
      <c r="B557" t="inlineStr">
        <is>
          <t>XAUUSD</t>
        </is>
      </c>
      <c r="C557" t="inlineStr">
        <is>
          <t>M15</t>
        </is>
      </c>
      <c r="D557" t="n">
        <v>4728.12</v>
      </c>
      <c r="E557" t="n">
        <v>4518.59282</v>
      </c>
      <c r="F557" t="n">
        <v>4596.05595</v>
      </c>
      <c r="G557" t="n">
        <v>4755.40355</v>
      </c>
      <c r="H557" t="n">
        <v>4792.76972</v>
      </c>
      <c r="Q557" t="n">
        <v>4669.11746</v>
      </c>
      <c r="R557" t="n">
        <v>4698.48076</v>
      </c>
      <c r="S557" t="n">
        <v>4725.06953</v>
      </c>
      <c r="V557" t="n">
        <v>4634.17769</v>
      </c>
      <c r="W557" t="n">
        <v>4600.6127</v>
      </c>
      <c r="AB557" t="n">
        <v>4725.99974</v>
      </c>
      <c r="AC557" t="n">
        <v>4726.38596</v>
      </c>
      <c r="AD557" t="n">
        <v>1</v>
      </c>
      <c r="AE557">
        <f>AE556+1</f>
        <v/>
      </c>
      <c r="AF557">
        <f>AF556+1</f>
        <v/>
      </c>
      <c r="AG557">
        <f>D557-Q557</f>
        <v/>
      </c>
      <c r="AH557">
        <f>AG557^2</f>
        <v/>
      </c>
      <c r="AI557">
        <f>(AG557/STDEV($AG$3:$AG$1137))^3</f>
        <v/>
      </c>
      <c r="AJ557">
        <f>(AG557/STDEV($AG$3:$AG$1137))^4</f>
        <v/>
      </c>
      <c r="AK557">
        <f>AF557^2</f>
        <v/>
      </c>
      <c r="AL557">
        <f>IF(AD557=1,AB557,IF(AL556&lt;&gt;"",AL556,""))</f>
        <v/>
      </c>
      <c r="AM557">
        <f>IF(AND(AD557=1,AL556&lt;&gt;""),ABS(AB557-AL556),"")</f>
        <v/>
      </c>
    </row>
    <row r="558">
      <c r="A558" t="n">
        <v>1777045502</v>
      </c>
      <c r="B558" t="inlineStr">
        <is>
          <t>XAUUSD</t>
        </is>
      </c>
      <c r="C558" t="inlineStr">
        <is>
          <t>M15</t>
        </is>
      </c>
      <c r="D558" t="n">
        <v>4727.24</v>
      </c>
      <c r="E558" t="n">
        <v>4518.59282</v>
      </c>
      <c r="F558" t="n">
        <v>4596.05595</v>
      </c>
      <c r="G558" t="n">
        <v>4755.40355</v>
      </c>
      <c r="H558" t="n">
        <v>4792.76972</v>
      </c>
      <c r="Q558" t="n">
        <v>4668.84986</v>
      </c>
      <c r="R558" t="n">
        <v>4698.21316</v>
      </c>
      <c r="S558" t="n">
        <v>4724.80193</v>
      </c>
      <c r="V558" t="n">
        <v>4633.91009</v>
      </c>
      <c r="W558" t="n">
        <v>4600.34509</v>
      </c>
      <c r="AB558" t="n">
        <v>4724.75206</v>
      </c>
      <c r="AC558" t="n">
        <v>4725.56901</v>
      </c>
      <c r="AD558" t="n">
        <v>0</v>
      </c>
      <c r="AE558">
        <f>AE557+1</f>
        <v/>
      </c>
      <c r="AF558">
        <f>AF557+1</f>
        <v/>
      </c>
      <c r="AG558">
        <f>D558-Q558</f>
        <v/>
      </c>
      <c r="AH558">
        <f>AG558^2</f>
        <v/>
      </c>
      <c r="AI558">
        <f>(AG558/STDEV($AG$3:$AG$1137))^3</f>
        <v/>
      </c>
      <c r="AJ558">
        <f>(AG558/STDEV($AG$3:$AG$1137))^4</f>
        <v/>
      </c>
      <c r="AK558">
        <f>AF558^2</f>
        <v/>
      </c>
      <c r="AL558">
        <f>IF(AD558=1,AB558,IF(AL557&lt;&gt;"",AL557,""))</f>
        <v/>
      </c>
      <c r="AM558">
        <f>IF(AND(AD558=1,AL557&lt;&gt;""),ABS(AB558-AL557),"")</f>
        <v/>
      </c>
    </row>
    <row r="559">
      <c r="A559" t="n">
        <v>1777046402</v>
      </c>
      <c r="B559" t="inlineStr">
        <is>
          <t>XAUUSD</t>
        </is>
      </c>
      <c r="C559" t="inlineStr">
        <is>
          <t>M15</t>
        </is>
      </c>
      <c r="D559" t="n">
        <v>4720.65</v>
      </c>
      <c r="E559" t="n">
        <v>4518.59282</v>
      </c>
      <c r="F559" t="n">
        <v>4596.05595</v>
      </c>
      <c r="G559" t="n">
        <v>4755.40355</v>
      </c>
      <c r="H559" t="n">
        <v>4792.76972</v>
      </c>
      <c r="Q559" t="n">
        <v>4668.58225</v>
      </c>
      <c r="R559" t="n">
        <v>4697.94555</v>
      </c>
      <c r="S559" t="n">
        <v>4724.53432</v>
      </c>
      <c r="V559" t="n">
        <v>4633.64248</v>
      </c>
      <c r="W559" t="n">
        <v>4600.07749</v>
      </c>
      <c r="AB559" t="n">
        <v>4723.73149</v>
      </c>
      <c r="AC559" t="n">
        <v>4724.65025</v>
      </c>
      <c r="AD559" t="n">
        <v>0</v>
      </c>
      <c r="AE559">
        <f>AE558+1</f>
        <v/>
      </c>
      <c r="AF559">
        <f>AF558+1</f>
        <v/>
      </c>
      <c r="AG559">
        <f>D559-Q559</f>
        <v/>
      </c>
      <c r="AH559">
        <f>AG559^2</f>
        <v/>
      </c>
      <c r="AI559">
        <f>(AG559/STDEV($AG$3:$AG$1137))^3</f>
        <v/>
      </c>
      <c r="AJ559">
        <f>(AG559/STDEV($AG$3:$AG$1137))^4</f>
        <v/>
      </c>
      <c r="AK559">
        <f>AF559^2</f>
        <v/>
      </c>
      <c r="AL559">
        <f>IF(AD559=1,AB559,IF(AL558&lt;&gt;"",AL558,""))</f>
        <v/>
      </c>
      <c r="AM559">
        <f>IF(AND(AD559=1,AL558&lt;&gt;""),ABS(AB559-AL558),"")</f>
        <v/>
      </c>
    </row>
    <row r="560">
      <c r="A560" t="n">
        <v>1777047302</v>
      </c>
      <c r="B560" t="inlineStr">
        <is>
          <t>XAUUSD</t>
        </is>
      </c>
      <c r="C560" t="inlineStr">
        <is>
          <t>M15</t>
        </is>
      </c>
      <c r="D560" t="n">
        <v>4723.32</v>
      </c>
      <c r="E560" t="n">
        <v>4518.59282</v>
      </c>
      <c r="F560" t="n">
        <v>4596.05595</v>
      </c>
      <c r="G560" t="n">
        <v>4755.40355</v>
      </c>
      <c r="H560" t="n">
        <v>4792.76972</v>
      </c>
      <c r="Q560" t="n">
        <v>4668.31465</v>
      </c>
      <c r="R560" t="n">
        <v>4697.67795</v>
      </c>
      <c r="S560" t="n">
        <v>4724.26672</v>
      </c>
      <c r="V560" t="n">
        <v>4633.37488</v>
      </c>
      <c r="W560" t="n">
        <v>4599.80988</v>
      </c>
      <c r="AB560" t="n">
        <v>4723.30128</v>
      </c>
      <c r="AC560" t="n">
        <v>4723.97577</v>
      </c>
      <c r="AD560" t="n">
        <v>0</v>
      </c>
      <c r="AE560">
        <f>AE559+1</f>
        <v/>
      </c>
      <c r="AF560">
        <f>AF559+1</f>
        <v/>
      </c>
      <c r="AG560">
        <f>D560-Q560</f>
        <v/>
      </c>
      <c r="AH560">
        <f>AG560^2</f>
        <v/>
      </c>
      <c r="AI560">
        <f>(AG560/STDEV($AG$3:$AG$1137))^3</f>
        <v/>
      </c>
      <c r="AJ560">
        <f>(AG560/STDEV($AG$3:$AG$1137))^4</f>
        <v/>
      </c>
      <c r="AK560">
        <f>AF560^2</f>
        <v/>
      </c>
      <c r="AL560">
        <f>IF(AD560=1,AB560,IF(AL559&lt;&gt;"",AL559,""))</f>
        <v/>
      </c>
      <c r="AM560">
        <f>IF(AND(AD560=1,AL559&lt;&gt;""),ABS(AB560-AL559),"")</f>
        <v/>
      </c>
    </row>
    <row r="561">
      <c r="A561" t="n">
        <v>1777048202</v>
      </c>
      <c r="B561" t="inlineStr">
        <is>
          <t>XAUUSD</t>
        </is>
      </c>
      <c r="C561" t="inlineStr">
        <is>
          <t>M15</t>
        </is>
      </c>
      <c r="D561" t="n">
        <v>4722.58</v>
      </c>
      <c r="E561" t="n">
        <v>4518.59282</v>
      </c>
      <c r="F561" t="n">
        <v>4596.05595</v>
      </c>
      <c r="G561" t="n">
        <v>4755.40355</v>
      </c>
      <c r="H561" t="n">
        <v>4792.76972</v>
      </c>
      <c r="Q561" t="n">
        <v>4668.04705</v>
      </c>
      <c r="R561" t="n">
        <v>4697.41034</v>
      </c>
      <c r="S561" t="n">
        <v>4723.99911</v>
      </c>
      <c r="V561" t="n">
        <v>4633.10727</v>
      </c>
      <c r="W561" t="n">
        <v>4599.54228</v>
      </c>
      <c r="AB561" t="n">
        <v>4723.33921</v>
      </c>
      <c r="AC561" t="n">
        <v>4723.65749</v>
      </c>
      <c r="AD561" t="n">
        <v>0</v>
      </c>
      <c r="AE561">
        <f>AE560+1</f>
        <v/>
      </c>
      <c r="AF561">
        <f>AF560+1</f>
        <v/>
      </c>
      <c r="AG561">
        <f>D561-Q561</f>
        <v/>
      </c>
      <c r="AH561">
        <f>AG561^2</f>
        <v/>
      </c>
      <c r="AI561">
        <f>(AG561/STDEV($AG$3:$AG$1137))^3</f>
        <v/>
      </c>
      <c r="AJ561">
        <f>(AG561/STDEV($AG$3:$AG$1137))^4</f>
        <v/>
      </c>
      <c r="AK561">
        <f>AF561^2</f>
        <v/>
      </c>
      <c r="AL561">
        <f>IF(AD561=1,AB561,IF(AL560&lt;&gt;"",AL560,""))</f>
        <v/>
      </c>
      <c r="AM561">
        <f>IF(AND(AD561=1,AL560&lt;&gt;""),ABS(AB561-AL560),"")</f>
        <v/>
      </c>
    </row>
    <row r="562">
      <c r="A562" t="n">
        <v>1777049102</v>
      </c>
      <c r="B562" t="inlineStr">
        <is>
          <t>XAUUSD</t>
        </is>
      </c>
      <c r="C562" t="inlineStr">
        <is>
          <t>M15</t>
        </is>
      </c>
      <c r="D562" t="n">
        <v>4726.84</v>
      </c>
      <c r="E562" t="n">
        <v>4518.59282</v>
      </c>
      <c r="F562" t="n">
        <v>4596.05595</v>
      </c>
      <c r="G562" t="n">
        <v>4755.40355</v>
      </c>
      <c r="H562" t="n">
        <v>4792.76972</v>
      </c>
      <c r="Q562" t="n">
        <v>4667.77944</v>
      </c>
      <c r="R562" t="n">
        <v>4697.14274</v>
      </c>
      <c r="S562" t="n">
        <v>4723.73151</v>
      </c>
      <c r="V562" t="n">
        <v>4632.83967</v>
      </c>
      <c r="W562" t="n">
        <v>4599.27467</v>
      </c>
      <c r="AB562" t="n">
        <v>4723.69626</v>
      </c>
      <c r="AC562" t="n">
        <v>4723.67687</v>
      </c>
      <c r="AD562" t="n">
        <v>1</v>
      </c>
      <c r="AE562">
        <f>AE561+1</f>
        <v/>
      </c>
      <c r="AF562">
        <f>AF561+1</f>
        <v/>
      </c>
      <c r="AG562">
        <f>D562-Q562</f>
        <v/>
      </c>
      <c r="AH562">
        <f>AG562^2</f>
        <v/>
      </c>
      <c r="AI562">
        <f>(AG562/STDEV($AG$3:$AG$1137))^3</f>
        <v/>
      </c>
      <c r="AJ562">
        <f>(AG562/STDEV($AG$3:$AG$1137))^4</f>
        <v/>
      </c>
      <c r="AK562">
        <f>AF562^2</f>
        <v/>
      </c>
      <c r="AL562">
        <f>IF(AD562=1,AB562,IF(AL561&lt;&gt;"",AL561,""))</f>
        <v/>
      </c>
      <c r="AM562">
        <f>IF(AND(AD562=1,AL561&lt;&gt;""),ABS(AB562-AL561),"")</f>
        <v/>
      </c>
    </row>
    <row r="563">
      <c r="A563" t="n">
        <v>1777050002</v>
      </c>
      <c r="B563" t="inlineStr">
        <is>
          <t>XAUUSD</t>
        </is>
      </c>
      <c r="C563" t="inlineStr">
        <is>
          <t>M15</t>
        </is>
      </c>
      <c r="D563" t="n">
        <v>4727.78</v>
      </c>
      <c r="E563" t="n">
        <v>4518.59282</v>
      </c>
      <c r="F563" t="n">
        <v>4596.05595</v>
      </c>
      <c r="G563" t="n">
        <v>4755.40355</v>
      </c>
      <c r="H563" t="n">
        <v>4792.76972</v>
      </c>
      <c r="Q563" t="n">
        <v>4667.51184</v>
      </c>
      <c r="R563" t="n">
        <v>4696.87514</v>
      </c>
      <c r="S563" t="n">
        <v>4723.46391</v>
      </c>
      <c r="V563" t="n">
        <v>4632.57207</v>
      </c>
      <c r="W563" t="n">
        <v>4599.00707</v>
      </c>
      <c r="AB563" t="n">
        <v>4724.02465</v>
      </c>
      <c r="AC563" t="n">
        <v>4723.85076</v>
      </c>
      <c r="AD563" t="n">
        <v>0</v>
      </c>
      <c r="AE563">
        <f>AE562+1</f>
        <v/>
      </c>
      <c r="AF563">
        <f>AF562+1</f>
        <v/>
      </c>
      <c r="AG563">
        <f>D563-Q563</f>
        <v/>
      </c>
      <c r="AH563">
        <f>AG563^2</f>
        <v/>
      </c>
      <c r="AI563">
        <f>(AG563/STDEV($AG$3:$AG$1137))^3</f>
        <v/>
      </c>
      <c r="AJ563">
        <f>(AG563/STDEV($AG$3:$AG$1137))^4</f>
        <v/>
      </c>
      <c r="AK563">
        <f>AF563^2</f>
        <v/>
      </c>
      <c r="AL563">
        <f>IF(AD563=1,AB563,IF(AL562&lt;&gt;"",AL562,""))</f>
        <v/>
      </c>
      <c r="AM563">
        <f>IF(AND(AD563=1,AL562&lt;&gt;""),ABS(AB563-AL562),"")</f>
        <v/>
      </c>
    </row>
    <row r="564">
      <c r="A564" t="n">
        <v>1777050902</v>
      </c>
      <c r="B564" t="inlineStr">
        <is>
          <t>XAUUSD</t>
        </is>
      </c>
      <c r="C564" t="inlineStr">
        <is>
          <t>M15</t>
        </is>
      </c>
      <c r="D564" t="n">
        <v>4723.06</v>
      </c>
      <c r="E564" t="n">
        <v>4518.59282</v>
      </c>
      <c r="F564" t="n">
        <v>4596.05595</v>
      </c>
      <c r="G564" t="n">
        <v>4755.40355</v>
      </c>
      <c r="H564" t="n">
        <v>4792.76972</v>
      </c>
      <c r="Q564" t="n">
        <v>4667.24423</v>
      </c>
      <c r="R564" t="n">
        <v>4696.60753</v>
      </c>
      <c r="S564" t="n">
        <v>4723.1963</v>
      </c>
      <c r="V564" t="n">
        <v>4632.30446</v>
      </c>
      <c r="W564" t="n">
        <v>4598.73947</v>
      </c>
      <c r="AB564" t="n">
        <v>4724.07794</v>
      </c>
      <c r="AC564" t="n">
        <v>4723.96435</v>
      </c>
      <c r="AD564" t="n">
        <v>0</v>
      </c>
      <c r="AE564">
        <f>AE563+1</f>
        <v/>
      </c>
      <c r="AF564">
        <f>AF563+1</f>
        <v/>
      </c>
      <c r="AG564">
        <f>D564-Q564</f>
        <v/>
      </c>
      <c r="AH564">
        <f>AG564^2</f>
        <v/>
      </c>
      <c r="AI564">
        <f>(AG564/STDEV($AG$3:$AG$1137))^3</f>
        <v/>
      </c>
      <c r="AJ564">
        <f>(AG564/STDEV($AG$3:$AG$1137))^4</f>
        <v/>
      </c>
      <c r="AK564">
        <f>AF564^2</f>
        <v/>
      </c>
      <c r="AL564">
        <f>IF(AD564=1,AB564,IF(AL563&lt;&gt;"",AL563,""))</f>
        <v/>
      </c>
      <c r="AM564">
        <f>IF(AND(AD564=1,AL563&lt;&gt;""),ABS(AB564-AL563),"")</f>
        <v/>
      </c>
    </row>
    <row r="565">
      <c r="A565" t="n">
        <v>1777051802</v>
      </c>
      <c r="B565" t="inlineStr">
        <is>
          <t>XAUUSD</t>
        </is>
      </c>
      <c r="C565" t="inlineStr">
        <is>
          <t>M15</t>
        </is>
      </c>
      <c r="D565" t="n">
        <v>4722.48</v>
      </c>
      <c r="E565" t="n">
        <v>4518.59282</v>
      </c>
      <c r="F565" t="n">
        <v>4596.05595</v>
      </c>
      <c r="G565" t="n">
        <v>4755.40355</v>
      </c>
      <c r="H565" t="n">
        <v>4792.76972</v>
      </c>
      <c r="Q565" t="n">
        <v>4666.97663</v>
      </c>
      <c r="R565" t="n">
        <v>4696.33993</v>
      </c>
      <c r="S565" t="n">
        <v>4722.9287</v>
      </c>
      <c r="V565" t="n">
        <v>4632.03686</v>
      </c>
      <c r="W565" t="n">
        <v>4598.47186</v>
      </c>
      <c r="AB565" t="n">
        <v>4723.85954</v>
      </c>
      <c r="AC565" t="n">
        <v>4723.91195</v>
      </c>
      <c r="AD565" t="n">
        <v>1</v>
      </c>
      <c r="AE565">
        <f>AE564+1</f>
        <v/>
      </c>
      <c r="AF565">
        <f>AF564+1</f>
        <v/>
      </c>
      <c r="AG565">
        <f>D565-Q565</f>
        <v/>
      </c>
      <c r="AH565">
        <f>AG565^2</f>
        <v/>
      </c>
      <c r="AI565">
        <f>(AG565/STDEV($AG$3:$AG$1137))^3</f>
        <v/>
      </c>
      <c r="AJ565">
        <f>(AG565/STDEV($AG$3:$AG$1137))^4</f>
        <v/>
      </c>
      <c r="AK565">
        <f>AF565^2</f>
        <v/>
      </c>
      <c r="AL565">
        <f>IF(AD565=1,AB565,IF(AL564&lt;&gt;"",AL564,""))</f>
        <v/>
      </c>
      <c r="AM565">
        <f>IF(AND(AD565=1,AL564&lt;&gt;""),ABS(AB565-AL564),"")</f>
        <v/>
      </c>
    </row>
    <row r="566">
      <c r="A566" t="n">
        <v>1777052702</v>
      </c>
      <c r="B566" t="inlineStr">
        <is>
          <t>XAUUSD</t>
        </is>
      </c>
      <c r="C566" t="inlineStr">
        <is>
          <t>M15</t>
        </is>
      </c>
      <c r="D566" t="n">
        <v>4723.38</v>
      </c>
      <c r="E566" t="n">
        <v>4518.59282</v>
      </c>
      <c r="F566" t="n">
        <v>4596.05595</v>
      </c>
      <c r="G566" t="n">
        <v>4755.40355</v>
      </c>
      <c r="H566" t="n">
        <v>4792.76972</v>
      </c>
      <c r="Q566" t="n">
        <v>4666.70902</v>
      </c>
      <c r="R566" t="n">
        <v>4696.07232</v>
      </c>
      <c r="S566" t="n">
        <v>4722.66109</v>
      </c>
      <c r="V566" t="n">
        <v>4631.76925</v>
      </c>
      <c r="W566" t="n">
        <v>4598.20426</v>
      </c>
      <c r="AB566" t="n">
        <v>4723.3713</v>
      </c>
      <c r="AC566" t="n">
        <v>4723.64162</v>
      </c>
      <c r="AD566" t="n">
        <v>0</v>
      </c>
      <c r="AE566">
        <f>AE565+1</f>
        <v/>
      </c>
      <c r="AF566">
        <f>AF565+1</f>
        <v/>
      </c>
      <c r="AG566">
        <f>D566-Q566</f>
        <v/>
      </c>
      <c r="AH566">
        <f>AG566^2</f>
        <v/>
      </c>
      <c r="AI566">
        <f>(AG566/STDEV($AG$3:$AG$1137))^3</f>
        <v/>
      </c>
      <c r="AJ566">
        <f>(AG566/STDEV($AG$3:$AG$1137))^4</f>
        <v/>
      </c>
      <c r="AK566">
        <f>AF566^2</f>
        <v/>
      </c>
      <c r="AL566">
        <f>IF(AD566=1,AB566,IF(AL565&lt;&gt;"",AL565,""))</f>
        <v/>
      </c>
      <c r="AM566">
        <f>IF(AND(AD566=1,AL565&lt;&gt;""),ABS(AB566-AL565),"")</f>
        <v/>
      </c>
    </row>
    <row r="567">
      <c r="A567" t="n">
        <v>1777053602</v>
      </c>
      <c r="B567" t="inlineStr">
        <is>
          <t>XAUUSD</t>
        </is>
      </c>
      <c r="C567" t="inlineStr">
        <is>
          <t>M15</t>
        </is>
      </c>
      <c r="D567" t="n">
        <v>4723.94</v>
      </c>
      <c r="E567" t="n">
        <v>4518.59282</v>
      </c>
      <c r="F567" t="n">
        <v>4596.05595</v>
      </c>
      <c r="G567" t="n">
        <v>4755.40355</v>
      </c>
      <c r="H567" t="n">
        <v>4792.76972</v>
      </c>
      <c r="Q567" t="n">
        <v>4666.44142</v>
      </c>
      <c r="R567" t="n">
        <v>4695.80472</v>
      </c>
      <c r="S567" t="n">
        <v>4722.39349</v>
      </c>
      <c r="V567" t="n">
        <v>4631.50165</v>
      </c>
      <c r="W567" t="n">
        <v>4597.93665</v>
      </c>
      <c r="AB567" t="n">
        <v>4722.649</v>
      </c>
      <c r="AC567" t="n">
        <v>4723.14531</v>
      </c>
      <c r="AD567" t="n">
        <v>0</v>
      </c>
      <c r="AE567">
        <f>AE566+1</f>
        <v/>
      </c>
      <c r="AF567">
        <f>AF566+1</f>
        <v/>
      </c>
      <c r="AG567">
        <f>D567-Q567</f>
        <v/>
      </c>
      <c r="AH567">
        <f>AG567^2</f>
        <v/>
      </c>
      <c r="AI567">
        <f>(AG567/STDEV($AG$3:$AG$1137))^3</f>
        <v/>
      </c>
      <c r="AJ567">
        <f>(AG567/STDEV($AG$3:$AG$1137))^4</f>
        <v/>
      </c>
      <c r="AK567">
        <f>AF567^2</f>
        <v/>
      </c>
      <c r="AL567">
        <f>IF(AD567=1,AB567,IF(AL566&lt;&gt;"",AL566,""))</f>
        <v/>
      </c>
      <c r="AM567">
        <f>IF(AND(AD567=1,AL566&lt;&gt;""),ABS(AB567-AL566),"")</f>
        <v/>
      </c>
    </row>
    <row r="568">
      <c r="A568" t="n">
        <v>1777054502</v>
      </c>
      <c r="B568" t="inlineStr">
        <is>
          <t>XAUUSD</t>
        </is>
      </c>
      <c r="C568" t="inlineStr">
        <is>
          <t>M15</t>
        </is>
      </c>
      <c r="D568" t="n">
        <v>4717.26</v>
      </c>
      <c r="E568" t="n">
        <v>4518.59282</v>
      </c>
      <c r="F568" t="n">
        <v>4596.05595</v>
      </c>
      <c r="G568" t="n">
        <v>4755.40355</v>
      </c>
      <c r="H568" t="n">
        <v>4792.76972</v>
      </c>
      <c r="Q568" t="n">
        <v>4666.17382</v>
      </c>
      <c r="R568" t="n">
        <v>4695.53712</v>
      </c>
      <c r="S568" t="n">
        <v>4722.12589</v>
      </c>
      <c r="V568" t="n">
        <v>4631.23405</v>
      </c>
      <c r="W568" t="n">
        <v>4597.66905</v>
      </c>
      <c r="AB568" t="n">
        <v>4721.79404</v>
      </c>
      <c r="AC568" t="n">
        <v>4722.46968</v>
      </c>
      <c r="AD568" t="n">
        <v>0</v>
      </c>
      <c r="AE568">
        <f>AE567+1</f>
        <v/>
      </c>
      <c r="AF568">
        <f>AF567+1</f>
        <v/>
      </c>
      <c r="AG568">
        <f>D568-Q568</f>
        <v/>
      </c>
      <c r="AH568">
        <f>AG568^2</f>
        <v/>
      </c>
      <c r="AI568">
        <f>(AG568/STDEV($AG$3:$AG$1137))^3</f>
        <v/>
      </c>
      <c r="AJ568">
        <f>(AG568/STDEV($AG$3:$AG$1137))^4</f>
        <v/>
      </c>
      <c r="AK568">
        <f>AF568^2</f>
        <v/>
      </c>
      <c r="AL568">
        <f>IF(AD568=1,AB568,IF(AL567&lt;&gt;"",AL567,""))</f>
        <v/>
      </c>
      <c r="AM568">
        <f>IF(AND(AD568=1,AL567&lt;&gt;""),ABS(AB568-AL567),"")</f>
        <v/>
      </c>
    </row>
    <row r="569">
      <c r="A569" t="n">
        <v>1777055402</v>
      </c>
      <c r="B569" t="inlineStr">
        <is>
          <t>XAUUSD</t>
        </is>
      </c>
      <c r="C569" t="inlineStr">
        <is>
          <t>M15</t>
        </is>
      </c>
      <c r="D569" t="n">
        <v>4718.98</v>
      </c>
      <c r="E569" t="n">
        <v>4518.59282</v>
      </c>
      <c r="F569" t="n">
        <v>4596.05595</v>
      </c>
      <c r="G569" t="n">
        <v>4755.40355</v>
      </c>
      <c r="H569" t="n">
        <v>4792.76972</v>
      </c>
      <c r="Q569" t="n">
        <v>4665.90621</v>
      </c>
      <c r="R569" t="n">
        <v>4695.26951</v>
      </c>
      <c r="S569" t="n">
        <v>4721.85828</v>
      </c>
      <c r="V569" t="n">
        <v>4630.96644</v>
      </c>
      <c r="W569" t="n">
        <v>4597.40145</v>
      </c>
      <c r="AB569" t="n">
        <v>4721.09485</v>
      </c>
      <c r="AC569" t="n">
        <v>4721.78226</v>
      </c>
      <c r="AD569" t="n">
        <v>0</v>
      </c>
      <c r="AE569">
        <f>AE568+1</f>
        <v/>
      </c>
      <c r="AF569">
        <f>AF568+1</f>
        <v/>
      </c>
      <c r="AG569">
        <f>D569-Q569</f>
        <v/>
      </c>
      <c r="AH569">
        <f>AG569^2</f>
        <v/>
      </c>
      <c r="AI569">
        <f>(AG569/STDEV($AG$3:$AG$1137))^3</f>
        <v/>
      </c>
      <c r="AJ569">
        <f>(AG569/STDEV($AG$3:$AG$1137))^4</f>
        <v/>
      </c>
      <c r="AK569">
        <f>AF569^2</f>
        <v/>
      </c>
      <c r="AL569">
        <f>IF(AD569=1,AB569,IF(AL568&lt;&gt;"",AL568,""))</f>
        <v/>
      </c>
      <c r="AM569">
        <f>IF(AND(AD569=1,AL568&lt;&gt;""),ABS(AB569-AL568),"")</f>
        <v/>
      </c>
    </row>
    <row r="570">
      <c r="A570" t="n">
        <v>1777056302</v>
      </c>
      <c r="B570" t="inlineStr">
        <is>
          <t>XAUUSD</t>
        </is>
      </c>
      <c r="C570" t="inlineStr">
        <is>
          <t>M15</t>
        </is>
      </c>
      <c r="D570" t="n">
        <v>4722.91</v>
      </c>
      <c r="E570" t="n">
        <v>4518.59282</v>
      </c>
      <c r="F570" t="n">
        <v>4596.05595</v>
      </c>
      <c r="G570" t="n">
        <v>4755.40355</v>
      </c>
      <c r="H570" t="n">
        <v>4792.76972</v>
      </c>
      <c r="Q570" t="n">
        <v>4665.63861</v>
      </c>
      <c r="R570" t="n">
        <v>4695.00191</v>
      </c>
      <c r="S570" t="n">
        <v>4721.59068</v>
      </c>
      <c r="V570" t="n">
        <v>4630.69884</v>
      </c>
      <c r="W570" t="n">
        <v>4597.13384</v>
      </c>
      <c r="AB570" t="n">
        <v>4720.49046</v>
      </c>
      <c r="AC570" t="n">
        <v>4721.13636</v>
      </c>
      <c r="AD570" t="n">
        <v>0</v>
      </c>
      <c r="AE570">
        <f>AE569+1</f>
        <v/>
      </c>
      <c r="AF570">
        <f>AF569+1</f>
        <v/>
      </c>
      <c r="AG570">
        <f>D570-Q570</f>
        <v/>
      </c>
      <c r="AH570">
        <f>AG570^2</f>
        <v/>
      </c>
      <c r="AI570">
        <f>(AG570/STDEV($AG$3:$AG$1137))^3</f>
        <v/>
      </c>
      <c r="AJ570">
        <f>(AG570/STDEV($AG$3:$AG$1137))^4</f>
        <v/>
      </c>
      <c r="AK570">
        <f>AF570^2</f>
        <v/>
      </c>
      <c r="AL570">
        <f>IF(AD570=1,AB570,IF(AL569&lt;&gt;"",AL569,""))</f>
        <v/>
      </c>
      <c r="AM570">
        <f>IF(AND(AD570=1,AL569&lt;&gt;""),ABS(AB570-AL569),"")</f>
        <v/>
      </c>
    </row>
    <row r="571">
      <c r="A571" t="n">
        <v>1777057202</v>
      </c>
      <c r="B571" t="inlineStr">
        <is>
          <t>XAUUSD</t>
        </is>
      </c>
      <c r="C571" t="inlineStr">
        <is>
          <t>M15</t>
        </is>
      </c>
      <c r="D571" t="n">
        <v>4722.47</v>
      </c>
      <c r="E571" t="n">
        <v>4518.59282</v>
      </c>
      <c r="F571" t="n">
        <v>4596.05595</v>
      </c>
      <c r="G571" t="n">
        <v>4755.40355</v>
      </c>
      <c r="H571" t="n">
        <v>4792.76972</v>
      </c>
      <c r="Q571" t="n">
        <v>4665.371</v>
      </c>
      <c r="R571" t="n">
        <v>4694.7343</v>
      </c>
      <c r="S571" t="n">
        <v>4721.32307</v>
      </c>
      <c r="V571" t="n">
        <v>4630.43123</v>
      </c>
      <c r="W571" t="n">
        <v>4596.86624</v>
      </c>
      <c r="AB571" t="n">
        <v>4719.74574</v>
      </c>
      <c r="AC571" t="n">
        <v>4720.44105</v>
      </c>
      <c r="AD571" t="n">
        <v>0</v>
      </c>
      <c r="AE571">
        <f>AE570+1</f>
        <v/>
      </c>
      <c r="AF571">
        <f>AF570+1</f>
        <v/>
      </c>
      <c r="AG571">
        <f>D571-Q571</f>
        <v/>
      </c>
      <c r="AH571">
        <f>AG571^2</f>
        <v/>
      </c>
      <c r="AI571">
        <f>(AG571/STDEV($AG$3:$AG$1137))^3</f>
        <v/>
      </c>
      <c r="AJ571">
        <f>(AG571/STDEV($AG$3:$AG$1137))^4</f>
        <v/>
      </c>
      <c r="AK571">
        <f>AF571^2</f>
        <v/>
      </c>
      <c r="AL571">
        <f>IF(AD571=1,AB571,IF(AL570&lt;&gt;"",AL570,""))</f>
        <v/>
      </c>
      <c r="AM571">
        <f>IF(AND(AD571=1,AL570&lt;&gt;""),ABS(AB571-AL570),"")</f>
        <v/>
      </c>
    </row>
    <row r="572">
      <c r="A572" t="n">
        <v>1777058102</v>
      </c>
      <c r="B572" t="inlineStr">
        <is>
          <t>XAUUSD</t>
        </is>
      </c>
      <c r="C572" t="inlineStr">
        <is>
          <t>M15</t>
        </is>
      </c>
      <c r="D572" t="n">
        <v>4719.08</v>
      </c>
      <c r="E572" t="n">
        <v>4518.59282</v>
      </c>
      <c r="F572" t="n">
        <v>4596.05595</v>
      </c>
      <c r="G572" t="n">
        <v>4755.40355</v>
      </c>
      <c r="H572" t="n">
        <v>4792.76972</v>
      </c>
      <c r="Q572" t="n">
        <v>4665.1034</v>
      </c>
      <c r="R572" t="n">
        <v>4694.4667</v>
      </c>
      <c r="S572" t="n">
        <v>4721.05547</v>
      </c>
      <c r="V572" t="n">
        <v>4630.16363</v>
      </c>
      <c r="W572" t="n">
        <v>4596.59863</v>
      </c>
      <c r="AB572" t="n">
        <v>4718.68756</v>
      </c>
      <c r="AC572" t="n">
        <v>4719.56431</v>
      </c>
      <c r="AD572" t="n">
        <v>0</v>
      </c>
      <c r="AE572">
        <f>AE571+1</f>
        <v/>
      </c>
      <c r="AF572">
        <f>AF571+1</f>
        <v/>
      </c>
      <c r="AG572">
        <f>D572-Q572</f>
        <v/>
      </c>
      <c r="AH572">
        <f>AG572^2</f>
        <v/>
      </c>
      <c r="AI572">
        <f>(AG572/STDEV($AG$3:$AG$1137))^3</f>
        <v/>
      </c>
      <c r="AJ572">
        <f>(AG572/STDEV($AG$3:$AG$1137))^4</f>
        <v/>
      </c>
      <c r="AK572">
        <f>AF572^2</f>
        <v/>
      </c>
      <c r="AL572">
        <f>IF(AD572=1,AB572,IF(AL571&lt;&gt;"",AL571,""))</f>
        <v/>
      </c>
      <c r="AM572">
        <f>IF(AND(AD572=1,AL571&lt;&gt;""),ABS(AB572-AL571),"")</f>
        <v/>
      </c>
    </row>
    <row r="573">
      <c r="A573" t="n">
        <v>1777059002</v>
      </c>
      <c r="B573" t="inlineStr">
        <is>
          <t>XAUUSD</t>
        </is>
      </c>
      <c r="C573" t="inlineStr">
        <is>
          <t>M15</t>
        </is>
      </c>
      <c r="D573" t="n">
        <v>4716.82</v>
      </c>
      <c r="E573" t="n">
        <v>4518.59282</v>
      </c>
      <c r="F573" t="n">
        <v>4596.05595</v>
      </c>
      <c r="G573" t="n">
        <v>4755.40355</v>
      </c>
      <c r="H573" t="n">
        <v>4792.76972</v>
      </c>
      <c r="Q573" t="n">
        <v>4664.8358</v>
      </c>
      <c r="R573" t="n">
        <v>4694.1991</v>
      </c>
      <c r="S573" t="n">
        <v>4720.78787</v>
      </c>
      <c r="V573" t="n">
        <v>4629.89603</v>
      </c>
      <c r="W573" t="n">
        <v>4596.33103</v>
      </c>
      <c r="AB573" t="n">
        <v>4717.19394</v>
      </c>
      <c r="AC573" t="n">
        <v>4718.37912</v>
      </c>
      <c r="AD573" t="n">
        <v>0</v>
      </c>
      <c r="AE573">
        <f>AE572+1</f>
        <v/>
      </c>
      <c r="AF573">
        <f>AF572+1</f>
        <v/>
      </c>
      <c r="AG573">
        <f>D573-Q573</f>
        <v/>
      </c>
      <c r="AH573">
        <f>AG573^2</f>
        <v/>
      </c>
      <c r="AI573">
        <f>(AG573/STDEV($AG$3:$AG$1137))^3</f>
        <v/>
      </c>
      <c r="AJ573">
        <f>(AG573/STDEV($AG$3:$AG$1137))^4</f>
        <v/>
      </c>
      <c r="AK573">
        <f>AF573^2</f>
        <v/>
      </c>
      <c r="AL573">
        <f>IF(AD573=1,AB573,IF(AL572&lt;&gt;"",AL572,""))</f>
        <v/>
      </c>
      <c r="AM573">
        <f>IF(AND(AD573=1,AL572&lt;&gt;""),ABS(AB573-AL572),"")</f>
        <v/>
      </c>
    </row>
    <row r="574">
      <c r="A574" t="n">
        <v>1777059902</v>
      </c>
      <c r="B574" t="inlineStr">
        <is>
          <t>XAUUSD</t>
        </is>
      </c>
      <c r="C574" t="inlineStr">
        <is>
          <t>M15</t>
        </is>
      </c>
      <c r="D574" t="n">
        <v>4717.02</v>
      </c>
      <c r="E574" t="n">
        <v>4518.59282</v>
      </c>
      <c r="F574" t="n">
        <v>4596.05595</v>
      </c>
      <c r="G574" t="n">
        <v>4755.40355</v>
      </c>
      <c r="H574" t="n">
        <v>4792.76972</v>
      </c>
      <c r="Q574" t="n">
        <v>4664.56819</v>
      </c>
      <c r="R574" t="n">
        <v>4693.93149</v>
      </c>
      <c r="S574" t="n">
        <v>4720.52026</v>
      </c>
      <c r="V574" t="n">
        <v>4629.62842</v>
      </c>
      <c r="W574" t="n">
        <v>4596.06343</v>
      </c>
      <c r="AB574" t="n">
        <v>4715.08967</v>
      </c>
      <c r="AC574" t="n">
        <v>4716.7344</v>
      </c>
      <c r="AD574" t="n">
        <v>0</v>
      </c>
      <c r="AE574">
        <f>AE573+1</f>
        <v/>
      </c>
      <c r="AF574">
        <f>AF573+1</f>
        <v/>
      </c>
      <c r="AG574">
        <f>D574-Q574</f>
        <v/>
      </c>
      <c r="AH574">
        <f>AG574^2</f>
        <v/>
      </c>
      <c r="AI574">
        <f>(AG574/STDEV($AG$3:$AG$1137))^3</f>
        <v/>
      </c>
      <c r="AJ574">
        <f>(AG574/STDEV($AG$3:$AG$1137))^4</f>
        <v/>
      </c>
      <c r="AK574">
        <f>AF574^2</f>
        <v/>
      </c>
      <c r="AL574">
        <f>IF(AD574=1,AB574,IF(AL573&lt;&gt;"",AL573,""))</f>
        <v/>
      </c>
      <c r="AM574">
        <f>IF(AND(AD574=1,AL573&lt;&gt;""),ABS(AB574-AL573),"")</f>
        <v/>
      </c>
    </row>
    <row r="575">
      <c r="A575" t="n">
        <v>1777060802</v>
      </c>
      <c r="B575" t="inlineStr">
        <is>
          <t>XAUUSD</t>
        </is>
      </c>
      <c r="C575" t="inlineStr">
        <is>
          <t>M15</t>
        </is>
      </c>
      <c r="D575" t="n">
        <v>4706.56</v>
      </c>
      <c r="E575" t="n">
        <v>4518.59282</v>
      </c>
      <c r="F575" t="n">
        <v>4596.05595</v>
      </c>
      <c r="G575" t="n">
        <v>4755.40355</v>
      </c>
      <c r="H575" t="n">
        <v>4792.76972</v>
      </c>
      <c r="Q575" t="n">
        <v>4664.30059</v>
      </c>
      <c r="R575" t="n">
        <v>4693.66389</v>
      </c>
      <c r="S575" t="n">
        <v>4720.25266</v>
      </c>
      <c r="V575" t="n">
        <v>4629.36082</v>
      </c>
      <c r="W575" t="n">
        <v>4595.79582</v>
      </c>
      <c r="AB575" t="n">
        <v>4712.17613</v>
      </c>
      <c r="AC575" t="n">
        <v>4714.45526</v>
      </c>
      <c r="AD575" t="n">
        <v>0</v>
      </c>
      <c r="AE575">
        <f>AE574+1</f>
        <v/>
      </c>
      <c r="AF575">
        <f>AF574+1</f>
        <v/>
      </c>
      <c r="AG575">
        <f>D575-Q575</f>
        <v/>
      </c>
      <c r="AH575">
        <f>AG575^2</f>
        <v/>
      </c>
      <c r="AI575">
        <f>(AG575/STDEV($AG$3:$AG$1137))^3</f>
        <v/>
      </c>
      <c r="AJ575">
        <f>(AG575/STDEV($AG$3:$AG$1137))^4</f>
        <v/>
      </c>
      <c r="AK575">
        <f>AF575^2</f>
        <v/>
      </c>
      <c r="AL575">
        <f>IF(AD575=1,AB575,IF(AL574&lt;&gt;"",AL574,""))</f>
        <v/>
      </c>
      <c r="AM575">
        <f>IF(AND(AD575=1,AL574&lt;&gt;""),ABS(AB575-AL574),"")</f>
        <v/>
      </c>
    </row>
    <row r="576">
      <c r="A576" t="n">
        <v>1777061702</v>
      </c>
      <c r="B576" t="inlineStr">
        <is>
          <t>XAUUSD</t>
        </is>
      </c>
      <c r="C576" t="inlineStr">
        <is>
          <t>M15</t>
        </is>
      </c>
      <c r="D576" t="n">
        <v>4708.18</v>
      </c>
      <c r="E576" t="n">
        <v>4518.59282</v>
      </c>
      <c r="F576" t="n">
        <v>4596.05595</v>
      </c>
      <c r="G576" t="n">
        <v>4755.40355</v>
      </c>
      <c r="H576" t="n">
        <v>4792.76972</v>
      </c>
      <c r="Q576" t="n">
        <v>4664.03298</v>
      </c>
      <c r="R576" t="n">
        <v>4693.39628</v>
      </c>
      <c r="S576" t="n">
        <v>4719.98505</v>
      </c>
      <c r="V576" t="n">
        <v>4629.09321</v>
      </c>
      <c r="W576" t="n">
        <v>4595.52822</v>
      </c>
      <c r="AB576" t="n">
        <v>4708.64593</v>
      </c>
      <c r="AC576" t="n">
        <v>4711.5506</v>
      </c>
      <c r="AD576" t="n">
        <v>0</v>
      </c>
      <c r="AE576">
        <f>AE575+1</f>
        <v/>
      </c>
      <c r="AF576">
        <f>AF575+1</f>
        <v/>
      </c>
      <c r="AG576">
        <f>D576-Q576</f>
        <v/>
      </c>
      <c r="AH576">
        <f>AG576^2</f>
        <v/>
      </c>
      <c r="AI576">
        <f>(AG576/STDEV($AG$3:$AG$1137))^3</f>
        <v/>
      </c>
      <c r="AJ576">
        <f>(AG576/STDEV($AG$3:$AG$1137))^4</f>
        <v/>
      </c>
      <c r="AK576">
        <f>AF576^2</f>
        <v/>
      </c>
      <c r="AL576">
        <f>IF(AD576=1,AB576,IF(AL575&lt;&gt;"",AL575,""))</f>
        <v/>
      </c>
      <c r="AM576">
        <f>IF(AND(AD576=1,AL575&lt;&gt;""),ABS(AB576-AL575),"")</f>
        <v/>
      </c>
    </row>
    <row r="577">
      <c r="A577" t="n">
        <v>1777062602</v>
      </c>
      <c r="B577" t="inlineStr">
        <is>
          <t>XAUUSD</t>
        </is>
      </c>
      <c r="C577" t="inlineStr">
        <is>
          <t>M15</t>
        </is>
      </c>
      <c r="D577" t="n">
        <v>4707.61</v>
      </c>
      <c r="E577" t="n">
        <v>4518.59282</v>
      </c>
      <c r="F577" t="n">
        <v>4596.05595</v>
      </c>
      <c r="G577" t="n">
        <v>4755.40355</v>
      </c>
      <c r="H577" t="n">
        <v>4792.76972</v>
      </c>
      <c r="Q577" t="n">
        <v>4663.76538</v>
      </c>
      <c r="R577" t="n">
        <v>4693.12868</v>
      </c>
      <c r="S577" t="n">
        <v>4719.71745</v>
      </c>
      <c r="V577" t="n">
        <v>4628.82561</v>
      </c>
      <c r="W577" t="n">
        <v>4595.26061</v>
      </c>
      <c r="AB577" t="n">
        <v>4704.42352</v>
      </c>
      <c r="AC577" t="n">
        <v>4707.98706</v>
      </c>
      <c r="AD577" t="n">
        <v>0</v>
      </c>
      <c r="AE577">
        <f>AE576+1</f>
        <v/>
      </c>
      <c r="AF577">
        <f>AF576+1</f>
        <v/>
      </c>
      <c r="AG577">
        <f>D577-Q577</f>
        <v/>
      </c>
      <c r="AH577">
        <f>AG577^2</f>
        <v/>
      </c>
      <c r="AI577">
        <f>(AG577/STDEV($AG$3:$AG$1137))^3</f>
        <v/>
      </c>
      <c r="AJ577">
        <f>(AG577/STDEV($AG$3:$AG$1137))^4</f>
        <v/>
      </c>
      <c r="AK577">
        <f>AF577^2</f>
        <v/>
      </c>
      <c r="AL577">
        <f>IF(AD577=1,AB577,IF(AL576&lt;&gt;"",AL576,""))</f>
        <v/>
      </c>
      <c r="AM577">
        <f>IF(AND(AD577=1,AL576&lt;&gt;""),ABS(AB577-AL576),"")</f>
        <v/>
      </c>
    </row>
    <row r="578">
      <c r="A578" t="n">
        <v>1777063502</v>
      </c>
      <c r="B578" t="inlineStr">
        <is>
          <t>XAUUSD</t>
        </is>
      </c>
      <c r="C578" t="inlineStr">
        <is>
          <t>M15</t>
        </is>
      </c>
      <c r="D578" t="n">
        <v>4708.24</v>
      </c>
      <c r="E578" t="n">
        <v>4518.59282</v>
      </c>
      <c r="F578" t="n">
        <v>4596.05595</v>
      </c>
      <c r="G578" t="n">
        <v>4755.40355</v>
      </c>
      <c r="H578" t="n">
        <v>4792.76972</v>
      </c>
      <c r="Q578" t="n">
        <v>4663.49778</v>
      </c>
      <c r="R578" t="n">
        <v>4692.86107</v>
      </c>
      <c r="S578" t="n">
        <v>4719.44985</v>
      </c>
      <c r="V578" t="n">
        <v>4628.55801</v>
      </c>
      <c r="W578" t="n">
        <v>4594.99301</v>
      </c>
      <c r="AB578" t="n">
        <v>4699.60235</v>
      </c>
      <c r="AC578" t="n">
        <v>4703.7947</v>
      </c>
      <c r="AD578" t="n">
        <v>0</v>
      </c>
      <c r="AE578">
        <f>AE577+1</f>
        <v/>
      </c>
      <c r="AF578">
        <f>AF577+1</f>
        <v/>
      </c>
      <c r="AG578">
        <f>D578-Q578</f>
        <v/>
      </c>
      <c r="AH578">
        <f>AG578^2</f>
        <v/>
      </c>
      <c r="AI578">
        <f>(AG578/STDEV($AG$3:$AG$1137))^3</f>
        <v/>
      </c>
      <c r="AJ578">
        <f>(AG578/STDEV($AG$3:$AG$1137))^4</f>
        <v/>
      </c>
      <c r="AK578">
        <f>AF578^2</f>
        <v/>
      </c>
      <c r="AL578">
        <f>IF(AD578=1,AB578,IF(AL577&lt;&gt;"",AL577,""))</f>
        <v/>
      </c>
      <c r="AM578">
        <f>IF(AND(AD578=1,AL577&lt;&gt;""),ABS(AB578-AL577),"")</f>
        <v/>
      </c>
    </row>
    <row r="579">
      <c r="A579" t="n">
        <v>1777240802</v>
      </c>
      <c r="B579" t="inlineStr">
        <is>
          <t>XAUUSD</t>
        </is>
      </c>
      <c r="C579" t="inlineStr">
        <is>
          <t>M15</t>
        </is>
      </c>
      <c r="D579" t="n">
        <v>4685.5</v>
      </c>
      <c r="E579" t="n">
        <v>4518.59282</v>
      </c>
      <c r="F579" t="n">
        <v>4596.05595</v>
      </c>
      <c r="G579" t="n">
        <v>4755.40355</v>
      </c>
      <c r="H579" t="n">
        <v>4792.76972</v>
      </c>
      <c r="Q579" t="n">
        <v>4663.23017</v>
      </c>
      <c r="R579" t="n">
        <v>4692.59347</v>
      </c>
      <c r="S579" t="n">
        <v>4719.18224</v>
      </c>
      <c r="V579" t="n">
        <v>4628.2904</v>
      </c>
      <c r="W579" t="n">
        <v>4594.72541</v>
      </c>
      <c r="AB579" t="n">
        <v>4694.36168</v>
      </c>
      <c r="AC579" t="n">
        <v>4699.07819</v>
      </c>
      <c r="AD579" t="n">
        <v>0</v>
      </c>
      <c r="AE579">
        <f>AE578+1</f>
        <v/>
      </c>
      <c r="AF579">
        <f>AF578+1</f>
        <v/>
      </c>
      <c r="AG579">
        <f>D579-Q579</f>
        <v/>
      </c>
      <c r="AH579">
        <f>AG579^2</f>
        <v/>
      </c>
      <c r="AI579">
        <f>(AG579/STDEV($AG$3:$AG$1137))^3</f>
        <v/>
      </c>
      <c r="AJ579">
        <f>(AG579/STDEV($AG$3:$AG$1137))^4</f>
        <v/>
      </c>
      <c r="AK579">
        <f>AF579^2</f>
        <v/>
      </c>
      <c r="AL579">
        <f>IF(AD579=1,AB579,IF(AL578&lt;&gt;"",AL578,""))</f>
        <v/>
      </c>
      <c r="AM579">
        <f>IF(AND(AD579=1,AL578&lt;&gt;""),ABS(AB579-AL578),"")</f>
        <v/>
      </c>
    </row>
    <row r="580">
      <c r="A580" t="n">
        <v>1777241702</v>
      </c>
      <c r="B580" t="inlineStr">
        <is>
          <t>XAUUSD</t>
        </is>
      </c>
      <c r="C580" t="inlineStr">
        <is>
          <t>M15</t>
        </is>
      </c>
      <c r="D580" t="n">
        <v>4686.88</v>
      </c>
      <c r="E580" t="n">
        <v>4518.59282</v>
      </c>
      <c r="F580" t="n">
        <v>4596.05595</v>
      </c>
      <c r="G580" t="n">
        <v>4755.40355</v>
      </c>
      <c r="H580" t="n">
        <v>4792.76972</v>
      </c>
      <c r="Q580" t="n">
        <v>4662.96257</v>
      </c>
      <c r="R580" t="n">
        <v>4692.32587</v>
      </c>
      <c r="S580" t="n">
        <v>4718.91464</v>
      </c>
      <c r="V580" t="n">
        <v>4628.0228</v>
      </c>
      <c r="W580" t="n">
        <v>4594.4578</v>
      </c>
      <c r="AB580" t="n">
        <v>4689.56991</v>
      </c>
      <c r="AC580" t="n">
        <v>4694.32405</v>
      </c>
      <c r="AD580" t="n">
        <v>0</v>
      </c>
      <c r="AE580">
        <f>AE579+1</f>
        <v/>
      </c>
      <c r="AF580">
        <f>AF579+1</f>
        <v/>
      </c>
      <c r="AG580">
        <f>D580-Q580</f>
        <v/>
      </c>
      <c r="AH580">
        <f>AG580^2</f>
        <v/>
      </c>
      <c r="AI580">
        <f>(AG580/STDEV($AG$3:$AG$1137))^3</f>
        <v/>
      </c>
      <c r="AJ580">
        <f>(AG580/STDEV($AG$3:$AG$1137))^4</f>
        <v/>
      </c>
      <c r="AK580">
        <f>AF580^2</f>
        <v/>
      </c>
      <c r="AL580">
        <f>IF(AD580=1,AB580,IF(AL579&lt;&gt;"",AL579,""))</f>
        <v/>
      </c>
      <c r="AM580">
        <f>IF(AND(AD580=1,AL579&lt;&gt;""),ABS(AB580-AL579),"")</f>
        <v/>
      </c>
    </row>
    <row r="581">
      <c r="A581" t="n">
        <v>1777242602</v>
      </c>
      <c r="B581" t="inlineStr">
        <is>
          <t>XAUUSD</t>
        </is>
      </c>
      <c r="C581" t="inlineStr">
        <is>
          <t>M15</t>
        </is>
      </c>
      <c r="D581" t="n">
        <v>4684.48</v>
      </c>
      <c r="E581" t="n">
        <v>4518.59282</v>
      </c>
      <c r="F581" t="n">
        <v>4596.05595</v>
      </c>
      <c r="G581" t="n">
        <v>4755.40355</v>
      </c>
      <c r="H581" t="n">
        <v>4792.76972</v>
      </c>
      <c r="Q581" t="n">
        <v>4662.69496</v>
      </c>
      <c r="R581" t="n">
        <v>4692.05826</v>
      </c>
      <c r="S581" t="n">
        <v>4718.64703</v>
      </c>
      <c r="V581" t="n">
        <v>4627.75519</v>
      </c>
      <c r="W581" t="n">
        <v>4594.1902</v>
      </c>
      <c r="AB581" t="n">
        <v>4685.41227</v>
      </c>
      <c r="AC581" t="n">
        <v>4689.86816</v>
      </c>
      <c r="AD581" t="n">
        <v>0</v>
      </c>
      <c r="AE581">
        <f>AE580+1</f>
        <v/>
      </c>
      <c r="AF581">
        <f>AF580+1</f>
        <v/>
      </c>
      <c r="AG581">
        <f>D581-Q581</f>
        <v/>
      </c>
      <c r="AH581">
        <f>AG581^2</f>
        <v/>
      </c>
      <c r="AI581">
        <f>(AG581/STDEV($AG$3:$AG$1137))^3</f>
        <v/>
      </c>
      <c r="AJ581">
        <f>(AG581/STDEV($AG$3:$AG$1137))^4</f>
        <v/>
      </c>
      <c r="AK581">
        <f>AF581^2</f>
        <v/>
      </c>
      <c r="AL581">
        <f>IF(AD581=1,AB581,IF(AL580&lt;&gt;"",AL580,""))</f>
        <v/>
      </c>
      <c r="AM581">
        <f>IF(AND(AD581=1,AL580&lt;&gt;""),ABS(AB581-AL580),"")</f>
        <v/>
      </c>
    </row>
    <row r="582">
      <c r="A582" t="n">
        <v>1777243502</v>
      </c>
      <c r="B582" t="inlineStr">
        <is>
          <t>XAUUSD</t>
        </is>
      </c>
      <c r="C582" t="inlineStr">
        <is>
          <t>M15</t>
        </is>
      </c>
      <c r="D582" t="n">
        <v>4684.52</v>
      </c>
      <c r="E582" t="n">
        <v>4518.59282</v>
      </c>
      <c r="F582" t="n">
        <v>4596.05595</v>
      </c>
      <c r="G582" t="n">
        <v>4755.40355</v>
      </c>
      <c r="H582" t="n">
        <v>4792.76972</v>
      </c>
      <c r="Q582" t="n">
        <v>4662.42736</v>
      </c>
      <c r="R582" t="n">
        <v>4691.79066</v>
      </c>
      <c r="S582" t="n">
        <v>4718.37943</v>
      </c>
      <c r="V582" t="n">
        <v>4627.48759</v>
      </c>
      <c r="W582" t="n">
        <v>4593.92259</v>
      </c>
      <c r="AB582" t="n">
        <v>4682.06813</v>
      </c>
      <c r="AC582" t="n">
        <v>4685.96815</v>
      </c>
      <c r="AD582" t="n">
        <v>0</v>
      </c>
      <c r="AE582">
        <f>AE581+1</f>
        <v/>
      </c>
      <c r="AF582">
        <f>AF581+1</f>
        <v/>
      </c>
      <c r="AG582">
        <f>D582-Q582</f>
        <v/>
      </c>
      <c r="AH582">
        <f>AG582^2</f>
        <v/>
      </c>
      <c r="AI582">
        <f>(AG582/STDEV($AG$3:$AG$1137))^3</f>
        <v/>
      </c>
      <c r="AJ582">
        <f>(AG582/STDEV($AG$3:$AG$1137))^4</f>
        <v/>
      </c>
      <c r="AK582">
        <f>AF582^2</f>
        <v/>
      </c>
      <c r="AL582">
        <f>IF(AD582=1,AB582,IF(AL581&lt;&gt;"",AL581,""))</f>
        <v/>
      </c>
      <c r="AM582">
        <f>IF(AND(AD582=1,AL581&lt;&gt;""),ABS(AB582-AL581),"")</f>
        <v/>
      </c>
    </row>
    <row r="583">
      <c r="A583" t="n">
        <v>1777244402</v>
      </c>
      <c r="B583" t="inlineStr">
        <is>
          <t>XAUUSD</t>
        </is>
      </c>
      <c r="C583" t="inlineStr">
        <is>
          <t>M15</t>
        </is>
      </c>
      <c r="D583" t="n">
        <v>4683.71</v>
      </c>
      <c r="E583" t="n">
        <v>4518.59282</v>
      </c>
      <c r="F583" t="n">
        <v>4596.05595</v>
      </c>
      <c r="G583" t="n">
        <v>4755.40355</v>
      </c>
      <c r="H583" t="n">
        <v>4792.76972</v>
      </c>
      <c r="Q583" t="n">
        <v>4662.15976</v>
      </c>
      <c r="R583" t="n">
        <v>4691.52305</v>
      </c>
      <c r="S583" t="n">
        <v>4718.11182</v>
      </c>
      <c r="V583" t="n">
        <v>4627.21999</v>
      </c>
      <c r="W583" t="n">
        <v>4593.65499</v>
      </c>
      <c r="AB583" t="n">
        <v>4679.64993</v>
      </c>
      <c r="AC583" t="n">
        <v>4682.80904</v>
      </c>
      <c r="AD583" t="n">
        <v>0</v>
      </c>
      <c r="AE583">
        <f>AE582+1</f>
        <v/>
      </c>
      <c r="AF583">
        <f>AF582+1</f>
        <v/>
      </c>
      <c r="AG583">
        <f>D583-Q583</f>
        <v/>
      </c>
      <c r="AH583">
        <f>AG583^2</f>
        <v/>
      </c>
      <c r="AI583">
        <f>(AG583/STDEV($AG$3:$AG$1137))^3</f>
        <v/>
      </c>
      <c r="AJ583">
        <f>(AG583/STDEV($AG$3:$AG$1137))^4</f>
        <v/>
      </c>
      <c r="AK583">
        <f>AF583^2</f>
        <v/>
      </c>
      <c r="AL583">
        <f>IF(AD583=1,AB583,IF(AL582&lt;&gt;"",AL582,""))</f>
        <v/>
      </c>
      <c r="AM583">
        <f>IF(AND(AD583=1,AL582&lt;&gt;""),ABS(AB583-AL582),"")</f>
        <v/>
      </c>
    </row>
    <row r="584">
      <c r="A584" t="n">
        <v>1777245302</v>
      </c>
      <c r="B584" t="inlineStr">
        <is>
          <t>XAUUSD</t>
        </is>
      </c>
      <c r="C584" t="inlineStr">
        <is>
          <t>M15</t>
        </is>
      </c>
      <c r="D584" t="n">
        <v>4677.41</v>
      </c>
      <c r="E584" t="n">
        <v>4518.59282</v>
      </c>
      <c r="F584" t="n">
        <v>4596.05595</v>
      </c>
      <c r="G584" t="n">
        <v>4755.40355</v>
      </c>
      <c r="H584" t="n">
        <v>4792.76972</v>
      </c>
      <c r="Q584" t="n">
        <v>4661.89215</v>
      </c>
      <c r="R584" t="n">
        <v>4691.25545</v>
      </c>
      <c r="S584" t="n">
        <v>4717.84422</v>
      </c>
      <c r="V584" t="n">
        <v>4626.95238</v>
      </c>
      <c r="W584" t="n">
        <v>4593.38738</v>
      </c>
      <c r="AB584" t="n">
        <v>4678.23661</v>
      </c>
      <c r="AC584" t="n">
        <v>4680.52283</v>
      </c>
      <c r="AD584" t="n">
        <v>0</v>
      </c>
      <c r="AE584">
        <f>AE583+1</f>
        <v/>
      </c>
      <c r="AF584">
        <f>AF583+1</f>
        <v/>
      </c>
      <c r="AG584">
        <f>D584-Q584</f>
        <v/>
      </c>
      <c r="AH584">
        <f>AG584^2</f>
        <v/>
      </c>
      <c r="AI584">
        <f>(AG584/STDEV($AG$3:$AG$1137))^3</f>
        <v/>
      </c>
      <c r="AJ584">
        <f>(AG584/STDEV($AG$3:$AG$1137))^4</f>
        <v/>
      </c>
      <c r="AK584">
        <f>AF584^2</f>
        <v/>
      </c>
      <c r="AL584">
        <f>IF(AD584=1,AB584,IF(AL583&lt;&gt;"",AL583,""))</f>
        <v/>
      </c>
      <c r="AM584">
        <f>IF(AND(AD584=1,AL583&lt;&gt;""),ABS(AB584-AL583),"")</f>
        <v/>
      </c>
    </row>
    <row r="585">
      <c r="A585" t="n">
        <v>1777246202</v>
      </c>
      <c r="B585" t="inlineStr">
        <is>
          <t>XAUUSD</t>
        </is>
      </c>
      <c r="C585" t="inlineStr">
        <is>
          <t>M15</t>
        </is>
      </c>
      <c r="D585" t="n">
        <v>4676.93</v>
      </c>
      <c r="E585" t="n">
        <v>4518.59282</v>
      </c>
      <c r="F585" t="n">
        <v>4596.05595</v>
      </c>
      <c r="G585" t="n">
        <v>4755.40355</v>
      </c>
      <c r="H585" t="n">
        <v>4792.76972</v>
      </c>
      <c r="Q585" t="n">
        <v>4661.62455</v>
      </c>
      <c r="R585" t="n">
        <v>4690.98785</v>
      </c>
      <c r="S585" t="n">
        <v>4717.57662</v>
      </c>
      <c r="V585" t="n">
        <v>4626.68478</v>
      </c>
      <c r="W585" t="n">
        <v>4593.11978</v>
      </c>
      <c r="AB585" t="n">
        <v>4678.01111</v>
      </c>
      <c r="AC585" t="n">
        <v>4679.26697</v>
      </c>
      <c r="AD585" t="n">
        <v>0</v>
      </c>
      <c r="AE585">
        <f>AE584+1</f>
        <v/>
      </c>
      <c r="AF585">
        <f>AF584+1</f>
        <v/>
      </c>
      <c r="AG585">
        <f>D585-Q585</f>
        <v/>
      </c>
      <c r="AH585">
        <f>AG585^2</f>
        <v/>
      </c>
      <c r="AI585">
        <f>(AG585/STDEV($AG$3:$AG$1137))^3</f>
        <v/>
      </c>
      <c r="AJ585">
        <f>(AG585/STDEV($AG$3:$AG$1137))^4</f>
        <v/>
      </c>
      <c r="AK585">
        <f>AF585^2</f>
        <v/>
      </c>
      <c r="AL585">
        <f>IF(AD585=1,AB585,IF(AL584&lt;&gt;"",AL584,""))</f>
        <v/>
      </c>
      <c r="AM585">
        <f>IF(AND(AD585=1,AL584&lt;&gt;""),ABS(AB585-AL584),"")</f>
        <v/>
      </c>
    </row>
    <row r="586">
      <c r="A586" t="n">
        <v>1777247102</v>
      </c>
      <c r="B586" t="inlineStr">
        <is>
          <t>XAUUSD</t>
        </is>
      </c>
      <c r="C586" t="inlineStr">
        <is>
          <t>M15</t>
        </is>
      </c>
      <c r="D586" t="n">
        <v>4680.04</v>
      </c>
      <c r="E586" t="n">
        <v>4518.59282</v>
      </c>
      <c r="F586" t="n">
        <v>4596.05595</v>
      </c>
      <c r="G586" t="n">
        <v>4755.40355</v>
      </c>
      <c r="H586" t="n">
        <v>4792.76972</v>
      </c>
      <c r="Q586" t="n">
        <v>4661.35694</v>
      </c>
      <c r="R586" t="n">
        <v>4690.72024</v>
      </c>
      <c r="S586" t="n">
        <v>4717.30901</v>
      </c>
      <c r="V586" t="n">
        <v>4626.41717</v>
      </c>
      <c r="W586" t="n">
        <v>4592.85218</v>
      </c>
      <c r="AB586" t="n">
        <v>4678.92486</v>
      </c>
      <c r="AC586" t="n">
        <v>4679.09592</v>
      </c>
      <c r="AD586" t="n">
        <v>0</v>
      </c>
      <c r="AE586">
        <f>AE585+1</f>
        <v/>
      </c>
      <c r="AF586">
        <f>AF585+1</f>
        <v/>
      </c>
      <c r="AG586">
        <f>D586-Q586</f>
        <v/>
      </c>
      <c r="AH586">
        <f>AG586^2</f>
        <v/>
      </c>
      <c r="AI586">
        <f>(AG586/STDEV($AG$3:$AG$1137))^3</f>
        <v/>
      </c>
      <c r="AJ586">
        <f>(AG586/STDEV($AG$3:$AG$1137))^4</f>
        <v/>
      </c>
      <c r="AK586">
        <f>AF586^2</f>
        <v/>
      </c>
      <c r="AL586">
        <f>IF(AD586=1,AB586,IF(AL585&lt;&gt;"",AL585,""))</f>
        <v/>
      </c>
      <c r="AM586">
        <f>IF(AND(AD586=1,AL585&lt;&gt;""),ABS(AB586-AL585),"")</f>
        <v/>
      </c>
    </row>
    <row r="587">
      <c r="A587" t="n">
        <v>1777248002</v>
      </c>
      <c r="B587" t="inlineStr">
        <is>
          <t>XAUUSD</t>
        </is>
      </c>
      <c r="C587" t="inlineStr">
        <is>
          <t>M15</t>
        </is>
      </c>
      <c r="D587" t="n">
        <v>4679.86</v>
      </c>
      <c r="E587" t="n">
        <v>4518.59282</v>
      </c>
      <c r="F587" t="n">
        <v>4596.05595</v>
      </c>
      <c r="G587" t="n">
        <v>4755.40355</v>
      </c>
      <c r="H587" t="n">
        <v>4792.76972</v>
      </c>
      <c r="Q587" t="n">
        <v>4661.08934</v>
      </c>
      <c r="R587" t="n">
        <v>4690.45264</v>
      </c>
      <c r="S587" t="n">
        <v>4717.04141</v>
      </c>
      <c r="V587" t="n">
        <v>4626.14957</v>
      </c>
      <c r="W587" t="n">
        <v>4592.58457</v>
      </c>
      <c r="AA587" t="n">
        <v>4672.35</v>
      </c>
      <c r="AB587" t="n">
        <v>4680.76262</v>
      </c>
      <c r="AC587" t="n">
        <v>4679.92927</v>
      </c>
      <c r="AD587" t="n">
        <v>1</v>
      </c>
      <c r="AE587">
        <f>AE586+1</f>
        <v/>
      </c>
      <c r="AF587">
        <f>AF586+1</f>
        <v/>
      </c>
      <c r="AG587">
        <f>D587-Q587</f>
        <v/>
      </c>
      <c r="AH587">
        <f>AG587^2</f>
        <v/>
      </c>
      <c r="AI587">
        <f>(AG587/STDEV($AG$3:$AG$1137))^3</f>
        <v/>
      </c>
      <c r="AJ587">
        <f>(AG587/STDEV($AG$3:$AG$1137))^4</f>
        <v/>
      </c>
      <c r="AK587">
        <f>AF587^2</f>
        <v/>
      </c>
      <c r="AL587">
        <f>IF(AD587=1,AB587,IF(AL586&lt;&gt;"",AL586,""))</f>
        <v/>
      </c>
      <c r="AM587">
        <f>IF(AND(AD587=1,AL586&lt;&gt;""),ABS(AB587-AL586),"")</f>
        <v/>
      </c>
    </row>
    <row r="588">
      <c r="A588" t="n">
        <v>1777248902</v>
      </c>
      <c r="B588" t="inlineStr">
        <is>
          <t>XAUUSD</t>
        </is>
      </c>
      <c r="C588" t="inlineStr">
        <is>
          <t>M15</t>
        </is>
      </c>
      <c r="D588" t="n">
        <v>4680.65</v>
      </c>
      <c r="E588" t="n">
        <v>4518.59282</v>
      </c>
      <c r="F588" t="n">
        <v>4596.05595</v>
      </c>
      <c r="G588" t="n">
        <v>4755.40355</v>
      </c>
      <c r="H588" t="n">
        <v>4792.76972</v>
      </c>
      <c r="Q588" t="n">
        <v>4660.82173</v>
      </c>
      <c r="R588" t="n">
        <v>4690.18503</v>
      </c>
      <c r="S588" t="n">
        <v>4716.7738</v>
      </c>
      <c r="V588" t="n">
        <v>4625.88196</v>
      </c>
      <c r="W588" t="n">
        <v>4592.31697</v>
      </c>
      <c r="AB588" t="n">
        <v>4683.33908</v>
      </c>
      <c r="AC588" t="n">
        <v>4681.63417</v>
      </c>
      <c r="AD588" t="n">
        <v>0</v>
      </c>
      <c r="AE588">
        <f>AE587+1</f>
        <v/>
      </c>
      <c r="AF588">
        <f>AF587+1</f>
        <v/>
      </c>
      <c r="AG588">
        <f>D588-Q588</f>
        <v/>
      </c>
      <c r="AH588">
        <f>AG588^2</f>
        <v/>
      </c>
      <c r="AI588">
        <f>(AG588/STDEV($AG$3:$AG$1137))^3</f>
        <v/>
      </c>
      <c r="AJ588">
        <f>(AG588/STDEV($AG$3:$AG$1137))^4</f>
        <v/>
      </c>
      <c r="AK588">
        <f>AF588^2</f>
        <v/>
      </c>
      <c r="AL588">
        <f>IF(AD588=1,AB588,IF(AL587&lt;&gt;"",AL587,""))</f>
        <v/>
      </c>
      <c r="AM588">
        <f>IF(AND(AD588=1,AL587&lt;&gt;""),ABS(AB588-AL587),"")</f>
        <v/>
      </c>
    </row>
    <row r="589">
      <c r="A589" t="n">
        <v>1777249802</v>
      </c>
      <c r="B589" t="inlineStr">
        <is>
          <t>XAUUSD</t>
        </is>
      </c>
      <c r="C589" t="inlineStr">
        <is>
          <t>M15</t>
        </is>
      </c>
      <c r="D589" t="n">
        <v>4680.47</v>
      </c>
      <c r="E589" t="n">
        <v>4518.59282</v>
      </c>
      <c r="F589" t="n">
        <v>4596.05595</v>
      </c>
      <c r="G589" t="n">
        <v>4755.40355</v>
      </c>
      <c r="H589" t="n">
        <v>4792.76972</v>
      </c>
      <c r="Q589" t="n">
        <v>4660.55413</v>
      </c>
      <c r="R589" t="n">
        <v>4689.91743</v>
      </c>
      <c r="S589" t="n">
        <v>4716.5062</v>
      </c>
      <c r="V589" t="n">
        <v>4625.61436</v>
      </c>
      <c r="W589" t="n">
        <v>4592.04936</v>
      </c>
      <c r="AB589" t="n">
        <v>4686.43622</v>
      </c>
      <c r="AC589" t="n">
        <v>4684.0352</v>
      </c>
      <c r="AD589" t="n">
        <v>0</v>
      </c>
      <c r="AE589">
        <f>AE588+1</f>
        <v/>
      </c>
      <c r="AF589">
        <f>AF588+1</f>
        <v/>
      </c>
      <c r="AG589">
        <f>D589-Q589</f>
        <v/>
      </c>
      <c r="AH589">
        <f>AG589^2</f>
        <v/>
      </c>
      <c r="AI589">
        <f>(AG589/STDEV($AG$3:$AG$1137))^3</f>
        <v/>
      </c>
      <c r="AJ589">
        <f>(AG589/STDEV($AG$3:$AG$1137))^4</f>
        <v/>
      </c>
      <c r="AK589">
        <f>AF589^2</f>
        <v/>
      </c>
      <c r="AL589">
        <f>IF(AD589=1,AB589,IF(AL588&lt;&gt;"",AL588,""))</f>
        <v/>
      </c>
      <c r="AM589">
        <f>IF(AND(AD589=1,AL588&lt;&gt;""),ABS(AB589-AL588),"")</f>
        <v/>
      </c>
    </row>
    <row r="590">
      <c r="A590" t="n">
        <v>1777250702</v>
      </c>
      <c r="B590" t="inlineStr">
        <is>
          <t>XAUUSD</t>
        </is>
      </c>
      <c r="C590" t="inlineStr">
        <is>
          <t>M15</t>
        </is>
      </c>
      <c r="D590" t="n">
        <v>4697.98</v>
      </c>
      <c r="E590" t="n">
        <v>4518.59282</v>
      </c>
      <c r="F590" t="n">
        <v>4596.05595</v>
      </c>
      <c r="G590" t="n">
        <v>4755.40355</v>
      </c>
      <c r="H590" t="n">
        <v>4792.76972</v>
      </c>
      <c r="Q590" t="n">
        <v>4660.28653</v>
      </c>
      <c r="R590" t="n">
        <v>4689.64983</v>
      </c>
      <c r="S590" t="n">
        <v>4716.2386</v>
      </c>
      <c r="V590" t="n">
        <v>4625.34676</v>
      </c>
      <c r="W590" t="n">
        <v>4591.78176</v>
      </c>
      <c r="AB590" t="n">
        <v>4689.87739</v>
      </c>
      <c r="AC590" t="n">
        <v>4686.9563</v>
      </c>
      <c r="AD590" t="n">
        <v>0</v>
      </c>
      <c r="AE590">
        <f>AE589+1</f>
        <v/>
      </c>
      <c r="AF590">
        <f>AF589+1</f>
        <v/>
      </c>
      <c r="AG590">
        <f>D590-Q590</f>
        <v/>
      </c>
      <c r="AH590">
        <f>AG590^2</f>
        <v/>
      </c>
      <c r="AI590">
        <f>(AG590/STDEV($AG$3:$AG$1137))^3</f>
        <v/>
      </c>
      <c r="AJ590">
        <f>(AG590/STDEV($AG$3:$AG$1137))^4</f>
        <v/>
      </c>
      <c r="AK590">
        <f>AF590^2</f>
        <v/>
      </c>
      <c r="AL590">
        <f>IF(AD590=1,AB590,IF(AL589&lt;&gt;"",AL589,""))</f>
        <v/>
      </c>
      <c r="AM590">
        <f>IF(AND(AD590=1,AL589&lt;&gt;""),ABS(AB590-AL589),"")</f>
        <v/>
      </c>
    </row>
    <row r="591">
      <c r="A591" t="n">
        <v>1777251602</v>
      </c>
      <c r="B591" t="inlineStr">
        <is>
          <t>XAUUSD</t>
        </is>
      </c>
      <c r="C591" t="inlineStr">
        <is>
          <t>M15</t>
        </is>
      </c>
      <c r="D591" t="n">
        <v>4692.94</v>
      </c>
      <c r="E591" t="n">
        <v>4518.59282</v>
      </c>
      <c r="F591" t="n">
        <v>4596.05595</v>
      </c>
      <c r="G591" t="n">
        <v>4755.40355</v>
      </c>
      <c r="H591" t="n">
        <v>4792.76972</v>
      </c>
      <c r="Q591" t="n">
        <v>4660.01892</v>
      </c>
      <c r="R591" t="n">
        <v>4689.38222</v>
      </c>
      <c r="S591" t="n">
        <v>4715.97099</v>
      </c>
      <c r="V591" t="n">
        <v>4625.07915</v>
      </c>
      <c r="W591" t="n">
        <v>4591.51416</v>
      </c>
      <c r="AB591" t="n">
        <v>4693.03417</v>
      </c>
      <c r="AC591" t="n">
        <v>4689.99523</v>
      </c>
      <c r="AD591" t="n">
        <v>0</v>
      </c>
      <c r="AE591">
        <f>AE590+1</f>
        <v/>
      </c>
      <c r="AF591">
        <f>AF590+1</f>
        <v/>
      </c>
      <c r="AG591">
        <f>D591-Q591</f>
        <v/>
      </c>
      <c r="AH591">
        <f>AG591^2</f>
        <v/>
      </c>
      <c r="AI591">
        <f>(AG591/STDEV($AG$3:$AG$1137))^3</f>
        <v/>
      </c>
      <c r="AJ591">
        <f>(AG591/STDEV($AG$3:$AG$1137))^4</f>
        <v/>
      </c>
      <c r="AK591">
        <f>AF591^2</f>
        <v/>
      </c>
      <c r="AL591">
        <f>IF(AD591=1,AB591,IF(AL590&lt;&gt;"",AL590,""))</f>
        <v/>
      </c>
      <c r="AM591">
        <f>IF(AND(AD591=1,AL590&lt;&gt;""),ABS(AB591-AL590),"")</f>
        <v/>
      </c>
    </row>
    <row r="592">
      <c r="A592" t="n">
        <v>1777252502</v>
      </c>
      <c r="B592" t="inlineStr">
        <is>
          <t>XAUUSD</t>
        </is>
      </c>
      <c r="C592" t="inlineStr">
        <is>
          <t>M15</t>
        </is>
      </c>
      <c r="D592" t="n">
        <v>4697.97</v>
      </c>
      <c r="E592" t="n">
        <v>4518.59282</v>
      </c>
      <c r="F592" t="n">
        <v>4596.05595</v>
      </c>
      <c r="G592" t="n">
        <v>4755.40355</v>
      </c>
      <c r="H592" t="n">
        <v>4792.76972</v>
      </c>
      <c r="Q592" t="n">
        <v>4659.75132</v>
      </c>
      <c r="R592" t="n">
        <v>4689.11462</v>
      </c>
      <c r="S592" t="n">
        <v>4715.70339</v>
      </c>
      <c r="V592" t="n">
        <v>4624.81155</v>
      </c>
      <c r="W592" t="n">
        <v>4591.24655</v>
      </c>
      <c r="AB592" t="n">
        <v>4696.01419</v>
      </c>
      <c r="AC592" t="n">
        <v>4693.00471</v>
      </c>
      <c r="AD592" t="n">
        <v>0</v>
      </c>
      <c r="AE592">
        <f>AE591+1</f>
        <v/>
      </c>
      <c r="AF592">
        <f>AF591+1</f>
        <v/>
      </c>
      <c r="AG592">
        <f>D592-Q592</f>
        <v/>
      </c>
      <c r="AH592">
        <f>AG592^2</f>
        <v/>
      </c>
      <c r="AI592">
        <f>(AG592/STDEV($AG$3:$AG$1137))^3</f>
        <v/>
      </c>
      <c r="AJ592">
        <f>(AG592/STDEV($AG$3:$AG$1137))^4</f>
        <v/>
      </c>
      <c r="AK592">
        <f>AF592^2</f>
        <v/>
      </c>
      <c r="AL592">
        <f>IF(AD592=1,AB592,IF(AL591&lt;&gt;"",AL591,""))</f>
        <v/>
      </c>
      <c r="AM592">
        <f>IF(AND(AD592=1,AL591&lt;&gt;""),ABS(AB592-AL591),"")</f>
        <v/>
      </c>
    </row>
    <row r="593">
      <c r="A593" t="n">
        <v>1777253402</v>
      </c>
      <c r="B593" t="inlineStr">
        <is>
          <t>XAUUSD</t>
        </is>
      </c>
      <c r="C593" t="inlineStr">
        <is>
          <t>M15</t>
        </is>
      </c>
      <c r="D593" t="n">
        <v>4697.87</v>
      </c>
      <c r="E593" t="n">
        <v>4518.59282</v>
      </c>
      <c r="F593" t="n">
        <v>4596.05595</v>
      </c>
      <c r="G593" t="n">
        <v>4755.40355</v>
      </c>
      <c r="H593" t="n">
        <v>4792.76972</v>
      </c>
      <c r="Q593" t="n">
        <v>4659.48371</v>
      </c>
      <c r="R593" t="n">
        <v>4688.84701</v>
      </c>
      <c r="S593" t="n">
        <v>4715.43578</v>
      </c>
      <c r="V593" t="n">
        <v>4624.54394</v>
      </c>
      <c r="W593" t="n">
        <v>4590.97895</v>
      </c>
      <c r="AB593" t="n">
        <v>4698.77389</v>
      </c>
      <c r="AC593" t="n">
        <v>4695.8893</v>
      </c>
      <c r="AD593" t="n">
        <v>0</v>
      </c>
      <c r="AE593">
        <f>AE592+1</f>
        <v/>
      </c>
      <c r="AF593">
        <f>AF592+1</f>
        <v/>
      </c>
      <c r="AG593">
        <f>D593-Q593</f>
        <v/>
      </c>
      <c r="AH593">
        <f>AG593^2</f>
        <v/>
      </c>
      <c r="AI593">
        <f>(AG593/STDEV($AG$3:$AG$1137))^3</f>
        <v/>
      </c>
      <c r="AJ593">
        <f>(AG593/STDEV($AG$3:$AG$1137))^4</f>
        <v/>
      </c>
      <c r="AK593">
        <f>AF593^2</f>
        <v/>
      </c>
      <c r="AL593">
        <f>IF(AD593=1,AB593,IF(AL592&lt;&gt;"",AL592,""))</f>
        <v/>
      </c>
      <c r="AM593">
        <f>IF(AND(AD593=1,AL592&lt;&gt;""),ABS(AB593-AL592),"")</f>
        <v/>
      </c>
    </row>
    <row r="594">
      <c r="A594" t="n">
        <v>1777254302</v>
      </c>
      <c r="B594" t="inlineStr">
        <is>
          <t>XAUUSD</t>
        </is>
      </c>
      <c r="C594" t="inlineStr">
        <is>
          <t>M15</t>
        </is>
      </c>
      <c r="D594" t="n">
        <v>4702.74</v>
      </c>
      <c r="E594" t="n">
        <v>4518.59282</v>
      </c>
      <c r="F594" t="n">
        <v>4596.05595</v>
      </c>
      <c r="G594" t="n">
        <v>4755.40355</v>
      </c>
      <c r="H594" t="n">
        <v>4792.76972</v>
      </c>
      <c r="Q594" t="n">
        <v>4659.21611</v>
      </c>
      <c r="R594" t="n">
        <v>4688.57941</v>
      </c>
      <c r="S594" t="n">
        <v>4715.16818</v>
      </c>
      <c r="V594" t="n">
        <v>4624.27634</v>
      </c>
      <c r="W594" t="n">
        <v>4590.71134</v>
      </c>
      <c r="AB594" t="n">
        <v>4701.50178</v>
      </c>
      <c r="AC594" t="n">
        <v>4698.69554</v>
      </c>
      <c r="AD594" t="n">
        <v>0</v>
      </c>
      <c r="AE594">
        <f>AE593+1</f>
        <v/>
      </c>
      <c r="AF594">
        <f>AF593+1</f>
        <v/>
      </c>
      <c r="AG594">
        <f>D594-Q594</f>
        <v/>
      </c>
      <c r="AH594">
        <f>AG594^2</f>
        <v/>
      </c>
      <c r="AI594">
        <f>(AG594/STDEV($AG$3:$AG$1137))^3</f>
        <v/>
      </c>
      <c r="AJ594">
        <f>(AG594/STDEV($AG$3:$AG$1137))^4</f>
        <v/>
      </c>
      <c r="AK594">
        <f>AF594^2</f>
        <v/>
      </c>
      <c r="AL594">
        <f>IF(AD594=1,AB594,IF(AL593&lt;&gt;"",AL593,""))</f>
        <v/>
      </c>
      <c r="AM594">
        <f>IF(AND(AD594=1,AL593&lt;&gt;""),ABS(AB594-AL593),"")</f>
        <v/>
      </c>
    </row>
    <row r="595">
      <c r="A595" t="n">
        <v>1777255202</v>
      </c>
      <c r="B595" t="inlineStr">
        <is>
          <t>XAUUSD</t>
        </is>
      </c>
      <c r="C595" t="inlineStr">
        <is>
          <t>M15</t>
        </is>
      </c>
      <c r="D595" t="n">
        <v>4699.73</v>
      </c>
      <c r="E595" t="n">
        <v>4518.59282</v>
      </c>
      <c r="F595" t="n">
        <v>4596.05595</v>
      </c>
      <c r="G595" t="n">
        <v>4755.40355</v>
      </c>
      <c r="H595" t="n">
        <v>4792.76972</v>
      </c>
      <c r="Q595" t="n">
        <v>4658.94851</v>
      </c>
      <c r="R595" t="n">
        <v>4688.31181</v>
      </c>
      <c r="S595" t="n">
        <v>4714.90058</v>
      </c>
      <c r="V595" t="n">
        <v>4624.00874</v>
      </c>
      <c r="W595" t="n">
        <v>4590.44374</v>
      </c>
      <c r="AB595" t="n">
        <v>4704.305</v>
      </c>
      <c r="AC595" t="n">
        <v>4701.50027</v>
      </c>
      <c r="AD595" t="n">
        <v>0</v>
      </c>
      <c r="AE595">
        <f>AE594+1</f>
        <v/>
      </c>
      <c r="AF595">
        <f>AF594+1</f>
        <v/>
      </c>
      <c r="AG595">
        <f>D595-Q595</f>
        <v/>
      </c>
      <c r="AH595">
        <f>AG595^2</f>
        <v/>
      </c>
      <c r="AI595">
        <f>(AG595/STDEV($AG$3:$AG$1137))^3</f>
        <v/>
      </c>
      <c r="AJ595">
        <f>(AG595/STDEV($AG$3:$AG$1137))^4</f>
        <v/>
      </c>
      <c r="AK595">
        <f>AF595^2</f>
        <v/>
      </c>
      <c r="AL595">
        <f>IF(AD595=1,AB595,IF(AL594&lt;&gt;"",AL594,""))</f>
        <v/>
      </c>
      <c r="AM595">
        <f>IF(AND(AD595=1,AL594&lt;&gt;""),ABS(AB595-AL594),"")</f>
        <v/>
      </c>
    </row>
    <row r="596">
      <c r="A596" t="n">
        <v>1777256102</v>
      </c>
      <c r="B596" t="inlineStr">
        <is>
          <t>XAUUSD</t>
        </is>
      </c>
      <c r="C596" t="inlineStr">
        <is>
          <t>M15</t>
        </is>
      </c>
      <c r="D596" t="n">
        <v>4705.71</v>
      </c>
      <c r="E596" t="n">
        <v>4518.59282</v>
      </c>
      <c r="F596" t="n">
        <v>4596.05595</v>
      </c>
      <c r="G596" t="n">
        <v>4755.40355</v>
      </c>
      <c r="H596" t="n">
        <v>4792.76972</v>
      </c>
      <c r="Q596" t="n">
        <v>4658.6809</v>
      </c>
      <c r="R596" t="n">
        <v>4688.0442</v>
      </c>
      <c r="S596" t="n">
        <v>4714.63297</v>
      </c>
      <c r="V596" t="n">
        <v>4623.74113</v>
      </c>
      <c r="W596" t="n">
        <v>4590.17614</v>
      </c>
      <c r="AB596" t="n">
        <v>4707.46925</v>
      </c>
      <c r="AC596" t="n">
        <v>4704.48476</v>
      </c>
      <c r="AD596" t="n">
        <v>0</v>
      </c>
      <c r="AE596">
        <f>AE595+1</f>
        <v/>
      </c>
      <c r="AF596">
        <f>AF595+1</f>
        <v/>
      </c>
      <c r="AG596">
        <f>D596-Q596</f>
        <v/>
      </c>
      <c r="AH596">
        <f>AG596^2</f>
        <v/>
      </c>
      <c r="AI596">
        <f>(AG596/STDEV($AG$3:$AG$1137))^3</f>
        <v/>
      </c>
      <c r="AJ596">
        <f>(AG596/STDEV($AG$3:$AG$1137))^4</f>
        <v/>
      </c>
      <c r="AK596">
        <f>AF596^2</f>
        <v/>
      </c>
      <c r="AL596">
        <f>IF(AD596=1,AB596,IF(AL595&lt;&gt;"",AL595,""))</f>
        <v/>
      </c>
      <c r="AM596">
        <f>IF(AND(AD596=1,AL595&lt;&gt;""),ABS(AB596-AL595),"")</f>
        <v/>
      </c>
    </row>
    <row r="597">
      <c r="A597" t="n">
        <v>1777257002</v>
      </c>
      <c r="B597" t="inlineStr">
        <is>
          <t>XAUUSD</t>
        </is>
      </c>
      <c r="C597" t="inlineStr">
        <is>
          <t>M15</t>
        </is>
      </c>
      <c r="D597" t="n">
        <v>4713.51</v>
      </c>
      <c r="E597" t="n">
        <v>4518.59282</v>
      </c>
      <c r="F597" t="n">
        <v>4596.05595</v>
      </c>
      <c r="G597" t="n">
        <v>4755.40355</v>
      </c>
      <c r="H597" t="n">
        <v>4792.76972</v>
      </c>
      <c r="Q597" t="n">
        <v>4658.4133</v>
      </c>
      <c r="R597" t="n">
        <v>4687.7766</v>
      </c>
      <c r="S597" t="n">
        <v>4714.36537</v>
      </c>
      <c r="V597" t="n">
        <v>4623.47353</v>
      </c>
      <c r="W597" t="n">
        <v>4589.90853</v>
      </c>
      <c r="AB597" t="n">
        <v>4710.9511</v>
      </c>
      <c r="AC597" t="n">
        <v>4707.71793</v>
      </c>
      <c r="AD597" t="n">
        <v>0</v>
      </c>
      <c r="AE597">
        <f>AE596+1</f>
        <v/>
      </c>
      <c r="AF597">
        <f>AF596+1</f>
        <v/>
      </c>
      <c r="AG597">
        <f>D597-Q597</f>
        <v/>
      </c>
      <c r="AH597">
        <f>AG597^2</f>
        <v/>
      </c>
      <c r="AI597">
        <f>(AG597/STDEV($AG$3:$AG$1137))^3</f>
        <v/>
      </c>
      <c r="AJ597">
        <f>(AG597/STDEV($AG$3:$AG$1137))^4</f>
        <v/>
      </c>
      <c r="AK597">
        <f>AF597^2</f>
        <v/>
      </c>
      <c r="AL597">
        <f>IF(AD597=1,AB597,IF(AL596&lt;&gt;"",AL596,""))</f>
        <v/>
      </c>
      <c r="AM597">
        <f>IF(AND(AD597=1,AL596&lt;&gt;""),ABS(AB597-AL596),"")</f>
        <v/>
      </c>
    </row>
    <row r="598">
      <c r="A598" t="n">
        <v>1777257902</v>
      </c>
      <c r="B598" t="inlineStr">
        <is>
          <t>XAUUSD</t>
        </is>
      </c>
      <c r="C598" t="inlineStr">
        <is>
          <t>M15</t>
        </is>
      </c>
      <c r="D598" t="n">
        <v>4718.18</v>
      </c>
      <c r="E598" t="n">
        <v>4518.59282</v>
      </c>
      <c r="F598" t="n">
        <v>4596.05595</v>
      </c>
      <c r="G598" t="n">
        <v>4755.40355</v>
      </c>
      <c r="H598" t="n">
        <v>4792.76972</v>
      </c>
      <c r="Q598" t="n">
        <v>4658.14569</v>
      </c>
      <c r="R598" t="n">
        <v>4687.50899</v>
      </c>
      <c r="S598" t="n">
        <v>4714.09776</v>
      </c>
      <c r="V598" t="n">
        <v>4623.20592</v>
      </c>
      <c r="W598" t="n">
        <v>4589.64093</v>
      </c>
      <c r="AB598" t="n">
        <v>4714.55172</v>
      </c>
      <c r="AC598" t="n">
        <v>4711.13483</v>
      </c>
      <c r="AD598" t="n">
        <v>0</v>
      </c>
      <c r="AE598">
        <f>AE597+1</f>
        <v/>
      </c>
      <c r="AF598">
        <f>AF597+1</f>
        <v/>
      </c>
      <c r="AG598">
        <f>D598-Q598</f>
        <v/>
      </c>
      <c r="AH598">
        <f>AG598^2</f>
        <v/>
      </c>
      <c r="AI598">
        <f>(AG598/STDEV($AG$3:$AG$1137))^3</f>
        <v/>
      </c>
      <c r="AJ598">
        <f>(AG598/STDEV($AG$3:$AG$1137))^4</f>
        <v/>
      </c>
      <c r="AK598">
        <f>AF598^2</f>
        <v/>
      </c>
      <c r="AL598">
        <f>IF(AD598=1,AB598,IF(AL597&lt;&gt;"",AL597,""))</f>
        <v/>
      </c>
      <c r="AM598">
        <f>IF(AND(AD598=1,AL597&lt;&gt;""),ABS(AB598-AL597),"")</f>
        <v/>
      </c>
    </row>
    <row r="599">
      <c r="A599" t="n">
        <v>1777258802</v>
      </c>
      <c r="B599" t="inlineStr">
        <is>
          <t>XAUUSD</t>
        </is>
      </c>
      <c r="C599" t="inlineStr">
        <is>
          <t>M15</t>
        </is>
      </c>
      <c r="D599" t="n">
        <v>4717.72</v>
      </c>
      <c r="E599" t="n">
        <v>4518.59282</v>
      </c>
      <c r="F599" t="n">
        <v>4596.05595</v>
      </c>
      <c r="G599" t="n">
        <v>4755.40355</v>
      </c>
      <c r="H599" t="n">
        <v>4792.76972</v>
      </c>
      <c r="Q599" t="n">
        <v>4657.87809</v>
      </c>
      <c r="R599" t="n">
        <v>4687.24139</v>
      </c>
      <c r="S599" t="n">
        <v>4713.83016</v>
      </c>
      <c r="V599" t="n">
        <v>4622.93832</v>
      </c>
      <c r="W599" t="n">
        <v>4589.37332</v>
      </c>
      <c r="AB599" t="n">
        <v>4718.06835</v>
      </c>
      <c r="AC599" t="n">
        <v>4714.60159</v>
      </c>
      <c r="AD599" t="n">
        <v>0</v>
      </c>
      <c r="AE599">
        <f>AE598+1</f>
        <v/>
      </c>
      <c r="AF599">
        <f>AF598+1</f>
        <v/>
      </c>
      <c r="AG599">
        <f>D599-Q599</f>
        <v/>
      </c>
      <c r="AH599">
        <f>AG599^2</f>
        <v/>
      </c>
      <c r="AI599">
        <f>(AG599/STDEV($AG$3:$AG$1137))^3</f>
        <v/>
      </c>
      <c r="AJ599">
        <f>(AG599/STDEV($AG$3:$AG$1137))^4</f>
        <v/>
      </c>
      <c r="AK599">
        <f>AF599^2</f>
        <v/>
      </c>
      <c r="AL599">
        <f>IF(AD599=1,AB599,IF(AL598&lt;&gt;"",AL598,""))</f>
        <v/>
      </c>
      <c r="AM599">
        <f>IF(AND(AD599=1,AL598&lt;&gt;""),ABS(AB599-AL598),"")</f>
        <v/>
      </c>
    </row>
    <row r="600">
      <c r="A600" t="n">
        <v>1777259702</v>
      </c>
      <c r="B600" t="inlineStr">
        <is>
          <t>XAUUSD</t>
        </is>
      </c>
      <c r="C600" t="inlineStr">
        <is>
          <t>M15</t>
        </is>
      </c>
      <c r="D600" t="n">
        <v>4715.68</v>
      </c>
      <c r="E600" t="n">
        <v>4518.59282</v>
      </c>
      <c r="F600" t="n">
        <v>4596.05595</v>
      </c>
      <c r="G600" t="n">
        <v>4755.40355</v>
      </c>
      <c r="H600" t="n">
        <v>4792.76972</v>
      </c>
      <c r="Q600" t="n">
        <v>4657.61049</v>
      </c>
      <c r="R600" t="n">
        <v>4686.97378</v>
      </c>
      <c r="S600" t="n">
        <v>4713.56256</v>
      </c>
      <c r="V600" t="n">
        <v>4622.67072</v>
      </c>
      <c r="W600" t="n">
        <v>4589.10572</v>
      </c>
      <c r="AB600" t="n">
        <v>4721.3482</v>
      </c>
      <c r="AC600" t="n">
        <v>4717.97489</v>
      </c>
      <c r="AD600" t="n">
        <v>0</v>
      </c>
      <c r="AE600">
        <f>AE599+1</f>
        <v/>
      </c>
      <c r="AF600">
        <f>AF599+1</f>
        <v/>
      </c>
      <c r="AG600">
        <f>D600-Q600</f>
        <v/>
      </c>
      <c r="AH600">
        <f>AG600^2</f>
        <v/>
      </c>
      <c r="AI600">
        <f>(AG600/STDEV($AG$3:$AG$1137))^3</f>
        <v/>
      </c>
      <c r="AJ600">
        <f>(AG600/STDEV($AG$3:$AG$1137))^4</f>
        <v/>
      </c>
      <c r="AK600">
        <f>AF600^2</f>
        <v/>
      </c>
      <c r="AL600">
        <f>IF(AD600=1,AB600,IF(AL599&lt;&gt;"",AL599,""))</f>
        <v/>
      </c>
      <c r="AM600">
        <f>IF(AND(AD600=1,AL599&lt;&gt;""),ABS(AB600-AL599),"")</f>
        <v/>
      </c>
    </row>
    <row r="601">
      <c r="A601" t="n">
        <v>1777260602</v>
      </c>
      <c r="B601" t="inlineStr">
        <is>
          <t>XAUUSD</t>
        </is>
      </c>
      <c r="C601" t="inlineStr">
        <is>
          <t>M15</t>
        </is>
      </c>
      <c r="D601" t="n">
        <v>4728.4</v>
      </c>
      <c r="E601" t="n">
        <v>4518.59282</v>
      </c>
      <c r="F601" t="n">
        <v>4596.05595</v>
      </c>
      <c r="G601" t="n">
        <v>4755.40355</v>
      </c>
      <c r="H601" t="n">
        <v>4792.76972</v>
      </c>
      <c r="Q601" t="n">
        <v>4657.34288</v>
      </c>
      <c r="R601" t="n">
        <v>4686.70618</v>
      </c>
      <c r="S601" t="n">
        <v>4713.29495</v>
      </c>
      <c r="V601" t="n">
        <v>4622.40311</v>
      </c>
      <c r="W601" t="n">
        <v>4588.83812</v>
      </c>
      <c r="AB601" t="n">
        <v>4724.22216</v>
      </c>
      <c r="AC601" t="n">
        <v>4721.09853</v>
      </c>
      <c r="AD601" t="n">
        <v>0</v>
      </c>
      <c r="AE601">
        <f>AE600+1</f>
        <v/>
      </c>
      <c r="AF601">
        <f>AF600+1</f>
        <v/>
      </c>
      <c r="AG601">
        <f>D601-Q601</f>
        <v/>
      </c>
      <c r="AH601">
        <f>AG601^2</f>
        <v/>
      </c>
      <c r="AI601">
        <f>(AG601/STDEV($AG$3:$AG$1137))^3</f>
        <v/>
      </c>
      <c r="AJ601">
        <f>(AG601/STDEV($AG$3:$AG$1137))^4</f>
        <v/>
      </c>
      <c r="AK601">
        <f>AF601^2</f>
        <v/>
      </c>
      <c r="AL601">
        <f>IF(AD601=1,AB601,IF(AL600&lt;&gt;"",AL600,""))</f>
        <v/>
      </c>
      <c r="AM601">
        <f>IF(AND(AD601=1,AL600&lt;&gt;""),ABS(AB601-AL600),"")</f>
        <v/>
      </c>
    </row>
    <row r="602">
      <c r="A602" t="n">
        <v>1777261502</v>
      </c>
      <c r="B602" t="inlineStr">
        <is>
          <t>XAUUSD</t>
        </is>
      </c>
      <c r="C602" t="inlineStr">
        <is>
          <t>M15</t>
        </is>
      </c>
      <c r="D602" t="n">
        <v>4724.1</v>
      </c>
      <c r="E602" t="n">
        <v>4518.59282</v>
      </c>
      <c r="F602" t="n">
        <v>4596.05595</v>
      </c>
      <c r="G602" t="n">
        <v>4755.40355</v>
      </c>
      <c r="H602" t="n">
        <v>4792.76972</v>
      </c>
      <c r="Q602" t="n">
        <v>4657.07528</v>
      </c>
      <c r="R602" t="n">
        <v>4686.43858</v>
      </c>
      <c r="S602" t="n">
        <v>4713.02735</v>
      </c>
      <c r="V602" t="n">
        <v>4622.13551</v>
      </c>
      <c r="W602" t="n">
        <v>4588.57051</v>
      </c>
      <c r="AB602" t="n">
        <v>4726.11259</v>
      </c>
      <c r="AC602" t="n">
        <v>4723.60556</v>
      </c>
      <c r="AD602" t="n">
        <v>0</v>
      </c>
      <c r="AE602">
        <f>AE601+1</f>
        <v/>
      </c>
      <c r="AF602">
        <f>AF601+1</f>
        <v/>
      </c>
      <c r="AG602">
        <f>D602-Q602</f>
        <v/>
      </c>
      <c r="AH602">
        <f>AG602^2</f>
        <v/>
      </c>
      <c r="AI602">
        <f>(AG602/STDEV($AG$3:$AG$1137))^3</f>
        <v/>
      </c>
      <c r="AJ602">
        <f>(AG602/STDEV($AG$3:$AG$1137))^4</f>
        <v/>
      </c>
      <c r="AK602">
        <f>AF602^2</f>
        <v/>
      </c>
      <c r="AL602">
        <f>IF(AD602=1,AB602,IF(AL601&lt;&gt;"",AL601,""))</f>
        <v/>
      </c>
      <c r="AM602">
        <f>IF(AND(AD602=1,AL601&lt;&gt;""),ABS(AB602-AL601),"")</f>
        <v/>
      </c>
    </row>
    <row r="603">
      <c r="A603" t="n">
        <v>1777262402</v>
      </c>
      <c r="B603" t="inlineStr">
        <is>
          <t>XAUUSD</t>
        </is>
      </c>
      <c r="C603" t="inlineStr">
        <is>
          <t>M15</t>
        </is>
      </c>
      <c r="D603" t="n">
        <v>4727.47</v>
      </c>
      <c r="E603" t="n">
        <v>4518.59282</v>
      </c>
      <c r="F603" t="n">
        <v>4596.05595</v>
      </c>
      <c r="G603" t="n">
        <v>4755.40355</v>
      </c>
      <c r="H603" t="n">
        <v>4792.76972</v>
      </c>
      <c r="Q603" t="n">
        <v>4656.80767</v>
      </c>
      <c r="R603" t="n">
        <v>4686.17097</v>
      </c>
      <c r="S603" t="n">
        <v>4712.75974</v>
      </c>
      <c r="V603" t="n">
        <v>4621.8679</v>
      </c>
      <c r="W603" t="n">
        <v>4588.30291</v>
      </c>
      <c r="AB603" t="n">
        <v>4726.95955</v>
      </c>
      <c r="AC603" t="n">
        <v>4725.28255</v>
      </c>
      <c r="AD603" t="n">
        <v>0</v>
      </c>
      <c r="AE603">
        <f>AE602+1</f>
        <v/>
      </c>
      <c r="AF603">
        <f>AF602+1</f>
        <v/>
      </c>
      <c r="AG603">
        <f>D603-Q603</f>
        <v/>
      </c>
      <c r="AH603">
        <f>AG603^2</f>
        <v/>
      </c>
      <c r="AI603">
        <f>(AG603/STDEV($AG$3:$AG$1137))^3</f>
        <v/>
      </c>
      <c r="AJ603">
        <f>(AG603/STDEV($AG$3:$AG$1137))^4</f>
        <v/>
      </c>
      <c r="AK603">
        <f>AF603^2</f>
        <v/>
      </c>
      <c r="AL603">
        <f>IF(AD603=1,AB603,IF(AL602&lt;&gt;"",AL602,""))</f>
        <v/>
      </c>
      <c r="AM603">
        <f>IF(AND(AD603=1,AL602&lt;&gt;""),ABS(AB603-AL602),"")</f>
        <v/>
      </c>
    </row>
    <row r="604">
      <c r="A604" t="n">
        <v>1777263302</v>
      </c>
      <c r="B604" t="inlineStr">
        <is>
          <t>XAUUSD</t>
        </is>
      </c>
      <c r="C604" t="inlineStr">
        <is>
          <t>M15</t>
        </is>
      </c>
      <c r="D604" t="n">
        <v>4726.85</v>
      </c>
      <c r="E604" t="n">
        <v>4518.59282</v>
      </c>
      <c r="F604" t="n">
        <v>4596.05595</v>
      </c>
      <c r="G604" t="n">
        <v>4755.40355</v>
      </c>
      <c r="H604" t="n">
        <v>4792.76972</v>
      </c>
      <c r="Q604" t="n">
        <v>4656.54007</v>
      </c>
      <c r="R604" t="n">
        <v>4685.90337</v>
      </c>
      <c r="S604" t="n">
        <v>4712.49214</v>
      </c>
      <c r="V604" t="n">
        <v>4621.6003</v>
      </c>
      <c r="W604" t="n">
        <v>4588.0353</v>
      </c>
      <c r="AB604" t="n">
        <v>4726.60536</v>
      </c>
      <c r="AC604" t="n">
        <v>4725.94396</v>
      </c>
      <c r="AD604" t="n">
        <v>0</v>
      </c>
      <c r="AE604">
        <f>AE603+1</f>
        <v/>
      </c>
      <c r="AF604">
        <f>AF603+1</f>
        <v/>
      </c>
      <c r="AG604">
        <f>D604-Q604</f>
        <v/>
      </c>
      <c r="AH604">
        <f>AG604^2</f>
        <v/>
      </c>
      <c r="AI604">
        <f>(AG604/STDEV($AG$3:$AG$1137))^3</f>
        <v/>
      </c>
      <c r="AJ604">
        <f>(AG604/STDEV($AG$3:$AG$1137))^4</f>
        <v/>
      </c>
      <c r="AK604">
        <f>AF604^2</f>
        <v/>
      </c>
      <c r="AL604">
        <f>IF(AD604=1,AB604,IF(AL603&lt;&gt;"",AL603,""))</f>
        <v/>
      </c>
      <c r="AM604">
        <f>IF(AND(AD604=1,AL603&lt;&gt;""),ABS(AB604-AL603),"")</f>
        <v/>
      </c>
    </row>
    <row r="605">
      <c r="A605" t="n">
        <v>1777264202</v>
      </c>
      <c r="B605" t="inlineStr">
        <is>
          <t>XAUUSD</t>
        </is>
      </c>
      <c r="C605" t="inlineStr">
        <is>
          <t>M15</t>
        </is>
      </c>
      <c r="D605" t="n">
        <v>4726.18</v>
      </c>
      <c r="E605" t="n">
        <v>4518.59282</v>
      </c>
      <c r="F605" t="n">
        <v>4596.05595</v>
      </c>
      <c r="G605" t="n">
        <v>4755.40355</v>
      </c>
      <c r="H605" t="n">
        <v>4792.76972</v>
      </c>
      <c r="Q605" t="n">
        <v>4656.27247</v>
      </c>
      <c r="R605" t="n">
        <v>4685.63576</v>
      </c>
      <c r="S605" t="n">
        <v>4712.22454</v>
      </c>
      <c r="V605" t="n">
        <v>4621.3327</v>
      </c>
      <c r="W605" t="n">
        <v>4587.7677</v>
      </c>
      <c r="Z605" t="n">
        <v>4729.92</v>
      </c>
      <c r="AB605" t="n">
        <v>4725.12374</v>
      </c>
      <c r="AC605" t="n">
        <v>4725.53385</v>
      </c>
      <c r="AD605" t="n">
        <v>1</v>
      </c>
      <c r="AE605">
        <f>AE604+1</f>
        <v/>
      </c>
      <c r="AF605">
        <f>AF604+1</f>
        <v/>
      </c>
      <c r="AG605">
        <f>D605-Q605</f>
        <v/>
      </c>
      <c r="AH605">
        <f>AG605^2</f>
        <v/>
      </c>
      <c r="AI605">
        <f>(AG605/STDEV($AG$3:$AG$1137))^3</f>
        <v/>
      </c>
      <c r="AJ605">
        <f>(AG605/STDEV($AG$3:$AG$1137))^4</f>
        <v/>
      </c>
      <c r="AK605">
        <f>AF605^2</f>
        <v/>
      </c>
      <c r="AL605">
        <f>IF(AD605=1,AB605,IF(AL604&lt;&gt;"",AL604,""))</f>
        <v/>
      </c>
      <c r="AM605">
        <f>IF(AND(AD605=1,AL604&lt;&gt;""),ABS(AB605-AL604),"")</f>
        <v/>
      </c>
    </row>
    <row r="606">
      <c r="A606" t="n">
        <v>1777265102</v>
      </c>
      <c r="B606" t="inlineStr">
        <is>
          <t>XAUUSD</t>
        </is>
      </c>
      <c r="C606" t="inlineStr">
        <is>
          <t>M15</t>
        </is>
      </c>
      <c r="D606" t="n">
        <v>4724.74</v>
      </c>
      <c r="E606" t="n">
        <v>4518.59282</v>
      </c>
      <c r="F606" t="n">
        <v>4596.05595</v>
      </c>
      <c r="G606" t="n">
        <v>4755.40355</v>
      </c>
      <c r="H606" t="n">
        <v>4792.76972</v>
      </c>
      <c r="Q606" t="n">
        <v>4656.00486</v>
      </c>
      <c r="R606" t="n">
        <v>4685.36816</v>
      </c>
      <c r="S606" t="n">
        <v>4711.95693</v>
      </c>
      <c r="V606" t="n">
        <v>4621.06509</v>
      </c>
      <c r="W606" t="n">
        <v>4587.50009</v>
      </c>
      <c r="AB606" t="n">
        <v>4722.74901</v>
      </c>
      <c r="AC606" t="n">
        <v>4724.14143</v>
      </c>
      <c r="AD606" t="n">
        <v>0</v>
      </c>
      <c r="AE606">
        <f>AE605+1</f>
        <v/>
      </c>
      <c r="AF606">
        <f>AF605+1</f>
        <v/>
      </c>
      <c r="AG606">
        <f>D606-Q606</f>
        <v/>
      </c>
      <c r="AH606">
        <f>AG606^2</f>
        <v/>
      </c>
      <c r="AI606">
        <f>(AG606/STDEV($AG$3:$AG$1137))^3</f>
        <v/>
      </c>
      <c r="AJ606">
        <f>(AG606/STDEV($AG$3:$AG$1137))^4</f>
        <v/>
      </c>
      <c r="AK606">
        <f>AF606^2</f>
        <v/>
      </c>
      <c r="AL606">
        <f>IF(AD606=1,AB606,IF(AL605&lt;&gt;"",AL605,""))</f>
        <v/>
      </c>
      <c r="AM606">
        <f>IF(AND(AD606=1,AL605&lt;&gt;""),ABS(AB606-AL605),"")</f>
        <v/>
      </c>
    </row>
    <row r="607">
      <c r="A607" t="n">
        <v>1777266002</v>
      </c>
      <c r="B607" t="inlineStr">
        <is>
          <t>XAUUSD</t>
        </is>
      </c>
      <c r="C607" t="inlineStr">
        <is>
          <t>M15</t>
        </is>
      </c>
      <c r="D607" t="n">
        <v>4718.21</v>
      </c>
      <c r="E607" t="n">
        <v>4518.59282</v>
      </c>
      <c r="F607" t="n">
        <v>4596.05595</v>
      </c>
      <c r="G607" t="n">
        <v>4755.40355</v>
      </c>
      <c r="H607" t="n">
        <v>4792.76972</v>
      </c>
      <c r="Q607" t="n">
        <v>4655.73726</v>
      </c>
      <c r="R607" t="n">
        <v>4685.10056</v>
      </c>
      <c r="S607" t="n">
        <v>4711.68933</v>
      </c>
      <c r="V607" t="n">
        <v>4620.79749</v>
      </c>
      <c r="W607" t="n">
        <v>4587.23249</v>
      </c>
      <c r="AB607" t="n">
        <v>4719.84245</v>
      </c>
      <c r="AC607" t="n">
        <v>4721.99194</v>
      </c>
      <c r="AD607" t="n">
        <v>0</v>
      </c>
      <c r="AE607">
        <f>AE606+1</f>
        <v/>
      </c>
      <c r="AF607">
        <f>AF606+1</f>
        <v/>
      </c>
      <c r="AG607">
        <f>D607-Q607</f>
        <v/>
      </c>
      <c r="AH607">
        <f>AG607^2</f>
        <v/>
      </c>
      <c r="AI607">
        <f>(AG607/STDEV($AG$3:$AG$1137))^3</f>
        <v/>
      </c>
      <c r="AJ607">
        <f>(AG607/STDEV($AG$3:$AG$1137))^4</f>
        <v/>
      </c>
      <c r="AK607">
        <f>AF607^2</f>
        <v/>
      </c>
      <c r="AL607">
        <f>IF(AD607=1,AB607,IF(AL606&lt;&gt;"",AL606,""))</f>
        <v/>
      </c>
      <c r="AM607">
        <f>IF(AND(AD607=1,AL606&lt;&gt;""),ABS(AB607-AL606),"")</f>
        <v/>
      </c>
    </row>
    <row r="608">
      <c r="A608" t="n">
        <v>1777266902</v>
      </c>
      <c r="B608" t="inlineStr">
        <is>
          <t>XAUUSD</t>
        </is>
      </c>
      <c r="C608" t="inlineStr">
        <is>
          <t>M15</t>
        </is>
      </c>
      <c r="D608" t="n">
        <v>4718.25</v>
      </c>
      <c r="E608" t="n">
        <v>4518.59282</v>
      </c>
      <c r="F608" t="n">
        <v>4596.05595</v>
      </c>
      <c r="G608" t="n">
        <v>4755.40355</v>
      </c>
      <c r="H608" t="n">
        <v>4792.76972</v>
      </c>
      <c r="Q608" t="n">
        <v>4655.46965</v>
      </c>
      <c r="R608" t="n">
        <v>4684.83295</v>
      </c>
      <c r="S608" t="n">
        <v>4711.42172</v>
      </c>
      <c r="V608" t="n">
        <v>4620.52988</v>
      </c>
      <c r="W608" t="n">
        <v>4586.96489</v>
      </c>
      <c r="AB608" t="n">
        <v>4716.97046</v>
      </c>
      <c r="AC608" t="n">
        <v>4719.4812</v>
      </c>
      <c r="AD608" t="n">
        <v>0</v>
      </c>
      <c r="AE608">
        <f>AE607+1</f>
        <v/>
      </c>
      <c r="AF608">
        <f>AF607+1</f>
        <v/>
      </c>
      <c r="AG608">
        <f>D608-Q608</f>
        <v/>
      </c>
      <c r="AH608">
        <f>AG608^2</f>
        <v/>
      </c>
      <c r="AI608">
        <f>(AG608/STDEV($AG$3:$AG$1137))^3</f>
        <v/>
      </c>
      <c r="AJ608">
        <f>(AG608/STDEV($AG$3:$AG$1137))^4</f>
        <v/>
      </c>
      <c r="AK608">
        <f>AF608^2</f>
        <v/>
      </c>
      <c r="AL608">
        <f>IF(AD608=1,AB608,IF(AL607&lt;&gt;"",AL607,""))</f>
        <v/>
      </c>
      <c r="AM608">
        <f>IF(AND(AD608=1,AL607&lt;&gt;""),ABS(AB608-AL607),"")</f>
        <v/>
      </c>
    </row>
    <row r="609">
      <c r="A609" t="n">
        <v>1777267802</v>
      </c>
      <c r="B609" t="inlineStr">
        <is>
          <t>XAUUSD</t>
        </is>
      </c>
      <c r="C609" t="inlineStr">
        <is>
          <t>M15</t>
        </is>
      </c>
      <c r="D609" t="n">
        <v>4711.84</v>
      </c>
      <c r="E609" t="n">
        <v>4518.59282</v>
      </c>
      <c r="F609" t="n">
        <v>4596.05595</v>
      </c>
      <c r="G609" t="n">
        <v>4755.40355</v>
      </c>
      <c r="H609" t="n">
        <v>4792.76972</v>
      </c>
      <c r="Q609" t="n">
        <v>4655.20205</v>
      </c>
      <c r="R609" t="n">
        <v>4684.56535</v>
      </c>
      <c r="S609" t="n">
        <v>4711.15412</v>
      </c>
      <c r="V609" t="n">
        <v>4620.26228</v>
      </c>
      <c r="W609" t="n">
        <v>4586.69728</v>
      </c>
      <c r="AB609" t="n">
        <v>4714.47603</v>
      </c>
      <c r="AC609" t="n">
        <v>4716.97861</v>
      </c>
      <c r="AD609" t="n">
        <v>0</v>
      </c>
      <c r="AE609">
        <f>AE608+1</f>
        <v/>
      </c>
      <c r="AF609">
        <f>AF608+1</f>
        <v/>
      </c>
      <c r="AG609">
        <f>D609-Q609</f>
        <v/>
      </c>
      <c r="AH609">
        <f>AG609^2</f>
        <v/>
      </c>
      <c r="AI609">
        <f>(AG609/STDEV($AG$3:$AG$1137))^3</f>
        <v/>
      </c>
      <c r="AJ609">
        <f>(AG609/STDEV($AG$3:$AG$1137))^4</f>
        <v/>
      </c>
      <c r="AK609">
        <f>AF609^2</f>
        <v/>
      </c>
      <c r="AL609">
        <f>IF(AD609=1,AB609,IF(AL608&lt;&gt;"",AL608,""))</f>
        <v/>
      </c>
      <c r="AM609">
        <f>IF(AND(AD609=1,AL608&lt;&gt;""),ABS(AB609-AL608),"")</f>
        <v/>
      </c>
    </row>
    <row r="610">
      <c r="A610" t="n">
        <v>1777268702</v>
      </c>
      <c r="B610" t="inlineStr">
        <is>
          <t>XAUUSD</t>
        </is>
      </c>
      <c r="C610" t="inlineStr">
        <is>
          <t>M15</t>
        </is>
      </c>
      <c r="D610" t="n">
        <v>4710.13</v>
      </c>
      <c r="E610" t="n">
        <v>4518.59282</v>
      </c>
      <c r="F610" t="n">
        <v>4596.05595</v>
      </c>
      <c r="G610" t="n">
        <v>4755.40355</v>
      </c>
      <c r="H610" t="n">
        <v>4792.76972</v>
      </c>
      <c r="Q610" t="n">
        <v>4654.93444</v>
      </c>
      <c r="R610" t="n">
        <v>4684.29774</v>
      </c>
      <c r="S610" t="n">
        <v>4710.88651</v>
      </c>
      <c r="V610" t="n">
        <v>4619.99467</v>
      </c>
      <c r="W610" t="n">
        <v>4586.42968</v>
      </c>
      <c r="AB610" t="n">
        <v>4712.82716</v>
      </c>
      <c r="AC610" t="n">
        <v>4714.90289</v>
      </c>
      <c r="AD610" t="n">
        <v>0</v>
      </c>
      <c r="AE610">
        <f>AE609+1</f>
        <v/>
      </c>
      <c r="AF610">
        <f>AF609+1</f>
        <v/>
      </c>
      <c r="AG610">
        <f>D610-Q610</f>
        <v/>
      </c>
      <c r="AH610">
        <f>AG610^2</f>
        <v/>
      </c>
      <c r="AI610">
        <f>(AG610/STDEV($AG$3:$AG$1137))^3</f>
        <v/>
      </c>
      <c r="AJ610">
        <f>(AG610/STDEV($AG$3:$AG$1137))^4</f>
        <v/>
      </c>
      <c r="AK610">
        <f>AF610^2</f>
        <v/>
      </c>
      <c r="AL610">
        <f>IF(AD610=1,AB610,IF(AL609&lt;&gt;"",AL609,""))</f>
        <v/>
      </c>
      <c r="AM610">
        <f>IF(AND(AD610=1,AL609&lt;&gt;""),ABS(AB610-AL609),"")</f>
        <v/>
      </c>
    </row>
    <row r="611">
      <c r="A611" t="n">
        <v>1777269602</v>
      </c>
      <c r="B611" t="inlineStr">
        <is>
          <t>XAUUSD</t>
        </is>
      </c>
      <c r="C611" t="inlineStr">
        <is>
          <t>M15</t>
        </is>
      </c>
      <c r="D611" t="n">
        <v>4714.43</v>
      </c>
      <c r="E611" t="n">
        <v>4518.59282</v>
      </c>
      <c r="F611" t="n">
        <v>4596.05595</v>
      </c>
      <c r="G611" t="n">
        <v>4755.40355</v>
      </c>
      <c r="H611" t="n">
        <v>4792.76972</v>
      </c>
      <c r="Q611" t="n">
        <v>4654.66684</v>
      </c>
      <c r="R611" t="n">
        <v>4684.03014</v>
      </c>
      <c r="S611" t="n">
        <v>4710.61891</v>
      </c>
      <c r="V611" t="n">
        <v>4619.72707</v>
      </c>
      <c r="W611" t="n">
        <v>4586.16207</v>
      </c>
      <c r="AB611" t="n">
        <v>4712.14793</v>
      </c>
      <c r="AC611" t="n">
        <v>4713.52541</v>
      </c>
      <c r="AD611" t="n">
        <v>0</v>
      </c>
      <c r="AE611">
        <f>AE610+1</f>
        <v/>
      </c>
      <c r="AF611">
        <f>AF610+1</f>
        <v/>
      </c>
      <c r="AG611">
        <f>D611-Q611</f>
        <v/>
      </c>
      <c r="AH611">
        <f>AG611^2</f>
        <v/>
      </c>
      <c r="AI611">
        <f>(AG611/STDEV($AG$3:$AG$1137))^3</f>
        <v/>
      </c>
      <c r="AJ611">
        <f>(AG611/STDEV($AG$3:$AG$1137))^4</f>
        <v/>
      </c>
      <c r="AK611">
        <f>AF611^2</f>
        <v/>
      </c>
      <c r="AL611">
        <f>IF(AD611=1,AB611,IF(AL610&lt;&gt;"",AL610,""))</f>
        <v/>
      </c>
      <c r="AM611">
        <f>IF(AND(AD611=1,AL610&lt;&gt;""),ABS(AB611-AL610),"")</f>
        <v/>
      </c>
    </row>
    <row r="612">
      <c r="A612" t="n">
        <v>1777270502</v>
      </c>
      <c r="B612" t="inlineStr">
        <is>
          <t>XAUUSD</t>
        </is>
      </c>
      <c r="C612" t="inlineStr">
        <is>
          <t>M15</t>
        </is>
      </c>
      <c r="D612" t="n">
        <v>4714.53</v>
      </c>
      <c r="E612" t="n">
        <v>4518.59282</v>
      </c>
      <c r="F612" t="n">
        <v>4596.05595</v>
      </c>
      <c r="G612" t="n">
        <v>4755.40355</v>
      </c>
      <c r="H612" t="n">
        <v>4792.76972</v>
      </c>
      <c r="Q612" t="n">
        <v>4654.39924</v>
      </c>
      <c r="R612" t="n">
        <v>4683.76254</v>
      </c>
      <c r="S612" t="n">
        <v>4710.35131</v>
      </c>
      <c r="V612" t="n">
        <v>4619.45947</v>
      </c>
      <c r="W612" t="n">
        <v>4585.89447</v>
      </c>
      <c r="AB612" t="n">
        <v>4712.24302</v>
      </c>
      <c r="AC612" t="n">
        <v>4712.88422</v>
      </c>
      <c r="AD612" t="n">
        <v>0</v>
      </c>
      <c r="AE612">
        <f>AE611+1</f>
        <v/>
      </c>
      <c r="AF612">
        <f>AF611+1</f>
        <v/>
      </c>
      <c r="AG612">
        <f>D612-Q612</f>
        <v/>
      </c>
      <c r="AH612">
        <f>AG612^2</f>
        <v/>
      </c>
      <c r="AI612">
        <f>(AG612/STDEV($AG$3:$AG$1137))^3</f>
        <v/>
      </c>
      <c r="AJ612">
        <f>(AG612/STDEV($AG$3:$AG$1137))^4</f>
        <v/>
      </c>
      <c r="AK612">
        <f>AF612^2</f>
        <v/>
      </c>
      <c r="AL612">
        <f>IF(AD612=1,AB612,IF(AL611&lt;&gt;"",AL611,""))</f>
        <v/>
      </c>
      <c r="AM612">
        <f>IF(AND(AD612=1,AL611&lt;&gt;""),ABS(AB612-AL611),"")</f>
        <v/>
      </c>
    </row>
    <row r="613">
      <c r="A613" t="n">
        <v>1777271402</v>
      </c>
      <c r="B613" t="inlineStr">
        <is>
          <t>XAUUSD</t>
        </is>
      </c>
      <c r="C613" t="inlineStr">
        <is>
          <t>M15</t>
        </is>
      </c>
      <c r="D613" t="n">
        <v>4710.77</v>
      </c>
      <c r="E613" t="n">
        <v>4518.59282</v>
      </c>
      <c r="F613" t="n">
        <v>4596.05595</v>
      </c>
      <c r="G613" t="n">
        <v>4755.40355</v>
      </c>
      <c r="H613" t="n">
        <v>4792.76972</v>
      </c>
      <c r="Q613" t="n">
        <v>4654.13163</v>
      </c>
      <c r="R613" t="n">
        <v>4683.49493</v>
      </c>
      <c r="S613" t="n">
        <v>4710.0837</v>
      </c>
      <c r="V613" t="n">
        <v>4619.19186</v>
      </c>
      <c r="W613" t="n">
        <v>4585.62687</v>
      </c>
      <c r="AB613" t="n">
        <v>4712.87561</v>
      </c>
      <c r="AC613" t="n">
        <v>4712.87991</v>
      </c>
      <c r="AD613" t="n">
        <v>0</v>
      </c>
      <c r="AE613">
        <f>AE612+1</f>
        <v/>
      </c>
      <c r="AF613">
        <f>AF612+1</f>
        <v/>
      </c>
      <c r="AG613">
        <f>D613-Q613</f>
        <v/>
      </c>
      <c r="AH613">
        <f>AG613^2</f>
        <v/>
      </c>
      <c r="AI613">
        <f>(AG613/STDEV($AG$3:$AG$1137))^3</f>
        <v/>
      </c>
      <c r="AJ613">
        <f>(AG613/STDEV($AG$3:$AG$1137))^4</f>
        <v/>
      </c>
      <c r="AK613">
        <f>AF613^2</f>
        <v/>
      </c>
      <c r="AL613">
        <f>IF(AD613=1,AB613,IF(AL612&lt;&gt;"",AL612,""))</f>
        <v/>
      </c>
      <c r="AM613">
        <f>IF(AND(AD613=1,AL612&lt;&gt;""),ABS(AB613-AL612),"")</f>
        <v/>
      </c>
    </row>
    <row r="614">
      <c r="A614" t="n">
        <v>1777272302</v>
      </c>
      <c r="B614" t="inlineStr">
        <is>
          <t>XAUUSD</t>
        </is>
      </c>
      <c r="C614" t="inlineStr">
        <is>
          <t>M15</t>
        </is>
      </c>
      <c r="D614" t="n">
        <v>4712.84</v>
      </c>
      <c r="E614" t="n">
        <v>4518.59282</v>
      </c>
      <c r="F614" t="n">
        <v>4596.05595</v>
      </c>
      <c r="G614" t="n">
        <v>4755.40355</v>
      </c>
      <c r="H614" t="n">
        <v>4792.76972</v>
      </c>
      <c r="Q614" t="n">
        <v>4653.86403</v>
      </c>
      <c r="R614" t="n">
        <v>4683.22733</v>
      </c>
      <c r="S614" t="n">
        <v>4709.8161</v>
      </c>
      <c r="V614" t="n">
        <v>4618.92426</v>
      </c>
      <c r="W614" t="n">
        <v>4585.35926</v>
      </c>
      <c r="AB614" t="n">
        <v>4713.84707</v>
      </c>
      <c r="AC614" t="n">
        <v>4713.36349</v>
      </c>
      <c r="AD614" t="n">
        <v>1</v>
      </c>
      <c r="AE614">
        <f>AE613+1</f>
        <v/>
      </c>
      <c r="AF614">
        <f>AF613+1</f>
        <v/>
      </c>
      <c r="AG614">
        <f>D614-Q614</f>
        <v/>
      </c>
      <c r="AH614">
        <f>AG614^2</f>
        <v/>
      </c>
      <c r="AI614">
        <f>(AG614/STDEV($AG$3:$AG$1137))^3</f>
        <v/>
      </c>
      <c r="AJ614">
        <f>(AG614/STDEV($AG$3:$AG$1137))^4</f>
        <v/>
      </c>
      <c r="AK614">
        <f>AF614^2</f>
        <v/>
      </c>
      <c r="AL614">
        <f>IF(AD614=1,AB614,IF(AL613&lt;&gt;"",AL613,""))</f>
        <v/>
      </c>
      <c r="AM614">
        <f>IF(AND(AD614=1,AL613&lt;&gt;""),ABS(AB614-AL613),"")</f>
        <v/>
      </c>
    </row>
    <row r="615">
      <c r="A615" t="n">
        <v>1777273202</v>
      </c>
      <c r="B615" t="inlineStr">
        <is>
          <t>XAUUSD</t>
        </is>
      </c>
      <c r="C615" t="inlineStr">
        <is>
          <t>M15</t>
        </is>
      </c>
      <c r="D615" t="n">
        <v>4717.2</v>
      </c>
      <c r="E615" t="n">
        <v>4518.59282</v>
      </c>
      <c r="F615" t="n">
        <v>4596.05595</v>
      </c>
      <c r="G615" t="n">
        <v>4755.40355</v>
      </c>
      <c r="H615" t="n">
        <v>4792.76972</v>
      </c>
      <c r="Q615" t="n">
        <v>4653.59642</v>
      </c>
      <c r="R615" t="n">
        <v>4682.95972</v>
      </c>
      <c r="S615" t="n">
        <v>4709.54849</v>
      </c>
      <c r="V615" t="n">
        <v>4618.65665</v>
      </c>
      <c r="W615" t="n">
        <v>4585.09166</v>
      </c>
      <c r="AB615" t="n">
        <v>4714.77643</v>
      </c>
      <c r="AC615" t="n">
        <v>4714.06996</v>
      </c>
      <c r="AD615" t="n">
        <v>0</v>
      </c>
      <c r="AE615">
        <f>AE614+1</f>
        <v/>
      </c>
      <c r="AF615">
        <f>AF614+1</f>
        <v/>
      </c>
      <c r="AG615">
        <f>D615-Q615</f>
        <v/>
      </c>
      <c r="AH615">
        <f>AG615^2</f>
        <v/>
      </c>
      <c r="AI615">
        <f>(AG615/STDEV($AG$3:$AG$1137))^3</f>
        <v/>
      </c>
      <c r="AJ615">
        <f>(AG615/STDEV($AG$3:$AG$1137))^4</f>
        <v/>
      </c>
      <c r="AK615">
        <f>AF615^2</f>
        <v/>
      </c>
      <c r="AL615">
        <f>IF(AD615=1,AB615,IF(AL614&lt;&gt;"",AL614,""))</f>
        <v/>
      </c>
      <c r="AM615">
        <f>IF(AND(AD615=1,AL614&lt;&gt;""),ABS(AB615-AL614),"")</f>
        <v/>
      </c>
    </row>
    <row r="616">
      <c r="A616" t="n">
        <v>1777274102</v>
      </c>
      <c r="B616" t="inlineStr">
        <is>
          <t>XAUUSD</t>
        </is>
      </c>
      <c r="C616" t="inlineStr">
        <is>
          <t>M15</t>
        </is>
      </c>
      <c r="D616" t="n">
        <v>4716.12</v>
      </c>
      <c r="E616" t="n">
        <v>4518.59282</v>
      </c>
      <c r="F616" t="n">
        <v>4596.05595</v>
      </c>
      <c r="G616" t="n">
        <v>4755.40355</v>
      </c>
      <c r="H616" t="n">
        <v>4792.76972</v>
      </c>
      <c r="Q616" t="n">
        <v>4653.32882</v>
      </c>
      <c r="R616" t="n">
        <v>4682.69212</v>
      </c>
      <c r="S616" t="n">
        <v>4709.28089</v>
      </c>
      <c r="V616" t="n">
        <v>4618.38905</v>
      </c>
      <c r="W616" t="n">
        <v>4584.82405</v>
      </c>
      <c r="AB616" t="n">
        <v>4715.23428</v>
      </c>
      <c r="AC616" t="n">
        <v>4714.65212</v>
      </c>
      <c r="AD616" t="n">
        <v>0</v>
      </c>
      <c r="AE616">
        <f>AE615+1</f>
        <v/>
      </c>
      <c r="AF616">
        <f>AF615+1</f>
        <v/>
      </c>
      <c r="AG616">
        <f>D616-Q616</f>
        <v/>
      </c>
      <c r="AH616">
        <f>AG616^2</f>
        <v/>
      </c>
      <c r="AI616">
        <f>(AG616/STDEV($AG$3:$AG$1137))^3</f>
        <v/>
      </c>
      <c r="AJ616">
        <f>(AG616/STDEV($AG$3:$AG$1137))^4</f>
        <v/>
      </c>
      <c r="AK616">
        <f>AF616^2</f>
        <v/>
      </c>
      <c r="AL616">
        <f>IF(AD616=1,AB616,IF(AL615&lt;&gt;"",AL615,""))</f>
        <v/>
      </c>
      <c r="AM616">
        <f>IF(AND(AD616=1,AL615&lt;&gt;""),ABS(AB616-AL615),"")</f>
        <v/>
      </c>
    </row>
    <row r="617">
      <c r="A617" t="n">
        <v>1777275002</v>
      </c>
      <c r="B617" t="inlineStr">
        <is>
          <t>XAUUSD</t>
        </is>
      </c>
      <c r="C617" t="inlineStr">
        <is>
          <t>M15</t>
        </is>
      </c>
      <c r="D617" t="n">
        <v>4714.85</v>
      </c>
      <c r="E617" t="n">
        <v>4518.59282</v>
      </c>
      <c r="F617" t="n">
        <v>4596.05595</v>
      </c>
      <c r="G617" t="n">
        <v>4755.40355</v>
      </c>
      <c r="H617" t="n">
        <v>4792.76972</v>
      </c>
      <c r="Q617" t="n">
        <v>4653.06122</v>
      </c>
      <c r="R617" t="n">
        <v>4682.42452</v>
      </c>
      <c r="S617" t="n">
        <v>4709.01329</v>
      </c>
      <c r="V617" t="n">
        <v>4618.12145</v>
      </c>
      <c r="W617" t="n">
        <v>4584.55645</v>
      </c>
      <c r="AB617" t="n">
        <v>4715.06779</v>
      </c>
      <c r="AC617" t="n">
        <v>4714.85996</v>
      </c>
      <c r="AD617" t="n">
        <v>0</v>
      </c>
      <c r="AE617">
        <f>AE616+1</f>
        <v/>
      </c>
      <c r="AF617">
        <f>AF616+1</f>
        <v/>
      </c>
      <c r="AG617">
        <f>D617-Q617</f>
        <v/>
      </c>
      <c r="AH617">
        <f>AG617^2</f>
        <v/>
      </c>
      <c r="AI617">
        <f>(AG617/STDEV($AG$3:$AG$1137))^3</f>
        <v/>
      </c>
      <c r="AJ617">
        <f>(AG617/STDEV($AG$3:$AG$1137))^4</f>
        <v/>
      </c>
      <c r="AK617">
        <f>AF617^2</f>
        <v/>
      </c>
      <c r="AL617">
        <f>IF(AD617=1,AB617,IF(AL616&lt;&gt;"",AL616,""))</f>
        <v/>
      </c>
      <c r="AM617">
        <f>IF(AND(AD617=1,AL616&lt;&gt;""),ABS(AB617-AL616),"")</f>
        <v/>
      </c>
    </row>
    <row r="618">
      <c r="A618" t="n">
        <v>1777275902</v>
      </c>
      <c r="B618" t="inlineStr">
        <is>
          <t>XAUUSD</t>
        </is>
      </c>
      <c r="C618" t="inlineStr">
        <is>
          <t>M15</t>
        </is>
      </c>
      <c r="D618" t="n">
        <v>4713.36</v>
      </c>
      <c r="E618" t="n">
        <v>4518.59282</v>
      </c>
      <c r="F618" t="n">
        <v>4596.05595</v>
      </c>
      <c r="G618" t="n">
        <v>4755.40355</v>
      </c>
      <c r="H618" t="n">
        <v>4792.76972</v>
      </c>
      <c r="Q618" t="n">
        <v>4652.79361</v>
      </c>
      <c r="R618" t="n">
        <v>4682.15691</v>
      </c>
      <c r="S618" t="n">
        <v>4708.74568</v>
      </c>
      <c r="V618" t="n">
        <v>4617.85384</v>
      </c>
      <c r="W618" t="n">
        <v>4584.28885</v>
      </c>
      <c r="AB618" t="n">
        <v>4714.23743</v>
      </c>
      <c r="AC618" t="n">
        <v>4714.54869</v>
      </c>
      <c r="AD618" t="n">
        <v>1</v>
      </c>
      <c r="AE618">
        <f>AE617+1</f>
        <v/>
      </c>
      <c r="AF618">
        <f>AF617+1</f>
        <v/>
      </c>
      <c r="AG618">
        <f>D618-Q618</f>
        <v/>
      </c>
      <c r="AH618">
        <f>AG618^2</f>
        <v/>
      </c>
      <c r="AI618">
        <f>(AG618/STDEV($AG$3:$AG$1137))^3</f>
        <v/>
      </c>
      <c r="AJ618">
        <f>(AG618/STDEV($AG$3:$AG$1137))^4</f>
        <v/>
      </c>
      <c r="AK618">
        <f>AF618^2</f>
        <v/>
      </c>
      <c r="AL618">
        <f>IF(AD618=1,AB618,IF(AL617&lt;&gt;"",AL617,""))</f>
        <v/>
      </c>
      <c r="AM618">
        <f>IF(AND(AD618=1,AL617&lt;&gt;""),ABS(AB618-AL617),"")</f>
        <v/>
      </c>
    </row>
    <row r="619">
      <c r="A619" t="n">
        <v>1777276802</v>
      </c>
      <c r="B619" t="inlineStr">
        <is>
          <t>XAUUSD</t>
        </is>
      </c>
      <c r="C619" t="inlineStr">
        <is>
          <t>M15</t>
        </is>
      </c>
      <c r="D619" t="n">
        <v>4710.86</v>
      </c>
      <c r="E619" t="n">
        <v>4518.59282</v>
      </c>
      <c r="F619" t="n">
        <v>4596.05595</v>
      </c>
      <c r="G619" t="n">
        <v>4755.40355</v>
      </c>
      <c r="H619" t="n">
        <v>4792.76972</v>
      </c>
      <c r="Q619" t="n">
        <v>4652.52601</v>
      </c>
      <c r="R619" t="n">
        <v>4681.88931</v>
      </c>
      <c r="S619" t="n">
        <v>4708.47808</v>
      </c>
      <c r="V619" t="n">
        <v>4617.58624</v>
      </c>
      <c r="W619" t="n">
        <v>4584.02124</v>
      </c>
      <c r="AB619" t="n">
        <v>4712.81265</v>
      </c>
      <c r="AC619" t="n">
        <v>4713.68067</v>
      </c>
      <c r="AD619" t="n">
        <v>0</v>
      </c>
      <c r="AE619">
        <f>AE618+1</f>
        <v/>
      </c>
      <c r="AF619">
        <f>AF618+1</f>
        <v/>
      </c>
      <c r="AG619">
        <f>D619-Q619</f>
        <v/>
      </c>
      <c r="AH619">
        <f>AG619^2</f>
        <v/>
      </c>
      <c r="AI619">
        <f>(AG619/STDEV($AG$3:$AG$1137))^3</f>
        <v/>
      </c>
      <c r="AJ619">
        <f>(AG619/STDEV($AG$3:$AG$1137))^4</f>
        <v/>
      </c>
      <c r="AK619">
        <f>AF619^2</f>
        <v/>
      </c>
      <c r="AL619">
        <f>IF(AD619=1,AB619,IF(AL618&lt;&gt;"",AL618,""))</f>
        <v/>
      </c>
      <c r="AM619">
        <f>IF(AND(AD619=1,AL618&lt;&gt;""),ABS(AB619-AL618),"")</f>
        <v/>
      </c>
    </row>
    <row r="620">
      <c r="A620" t="n">
        <v>1777277702</v>
      </c>
      <c r="B620" t="inlineStr">
        <is>
          <t>XAUUSD</t>
        </is>
      </c>
      <c r="C620" t="inlineStr">
        <is>
          <t>M15</t>
        </is>
      </c>
      <c r="D620" t="n">
        <v>4710.86</v>
      </c>
      <c r="E620" t="n">
        <v>4518.59282</v>
      </c>
      <c r="F620" t="n">
        <v>4596.05595</v>
      </c>
      <c r="G620" t="n">
        <v>4755.40355</v>
      </c>
      <c r="H620" t="n">
        <v>4792.76972</v>
      </c>
      <c r="Q620" t="n">
        <v>4652.2584</v>
      </c>
      <c r="R620" t="n">
        <v>4681.6217</v>
      </c>
      <c r="S620" t="n">
        <v>4708.21047</v>
      </c>
      <c r="V620" t="n">
        <v>4617.31863</v>
      </c>
      <c r="W620" t="n">
        <v>4583.75364</v>
      </c>
      <c r="AB620" t="n">
        <v>4711.00481</v>
      </c>
      <c r="AC620" t="n">
        <v>4712.34274</v>
      </c>
      <c r="AD620" t="n">
        <v>0</v>
      </c>
      <c r="AE620">
        <f>AE619+1</f>
        <v/>
      </c>
      <c r="AF620">
        <f>AF619+1</f>
        <v/>
      </c>
      <c r="AG620">
        <f>D620-Q620</f>
        <v/>
      </c>
      <c r="AH620">
        <f>AG620^2</f>
        <v/>
      </c>
      <c r="AI620">
        <f>(AG620/STDEV($AG$3:$AG$1137))^3</f>
        <v/>
      </c>
      <c r="AJ620">
        <f>(AG620/STDEV($AG$3:$AG$1137))^4</f>
        <v/>
      </c>
      <c r="AK620">
        <f>AF620^2</f>
        <v/>
      </c>
      <c r="AL620">
        <f>IF(AD620=1,AB620,IF(AL619&lt;&gt;"",AL619,""))</f>
        <v/>
      </c>
      <c r="AM620">
        <f>IF(AND(AD620=1,AL619&lt;&gt;""),ABS(AB620-AL619),"")</f>
        <v/>
      </c>
    </row>
    <row r="621">
      <c r="A621" t="n">
        <v>1777278602</v>
      </c>
      <c r="B621" t="inlineStr">
        <is>
          <t>XAUUSD</t>
        </is>
      </c>
      <c r="C621" t="inlineStr">
        <is>
          <t>M15</t>
        </is>
      </c>
      <c r="D621" t="n">
        <v>4711.89</v>
      </c>
      <c r="E621" t="n">
        <v>4518.59282</v>
      </c>
      <c r="F621" t="n">
        <v>4596.05595</v>
      </c>
      <c r="G621" t="n">
        <v>4755.40355</v>
      </c>
      <c r="H621" t="n">
        <v>4792.76972</v>
      </c>
      <c r="Q621" t="n">
        <v>4651.9908</v>
      </c>
      <c r="R621" t="n">
        <v>4681.3541</v>
      </c>
      <c r="S621" t="n">
        <v>4707.94287</v>
      </c>
      <c r="V621" t="n">
        <v>4617.05103</v>
      </c>
      <c r="W621" t="n">
        <v>4583.48603</v>
      </c>
      <c r="AB621" t="n">
        <v>4708.98704</v>
      </c>
      <c r="AC621" t="n">
        <v>4710.66489</v>
      </c>
      <c r="AD621" t="n">
        <v>0</v>
      </c>
      <c r="AE621">
        <f>AE620+1</f>
        <v/>
      </c>
      <c r="AF621">
        <f>AF620+1</f>
        <v/>
      </c>
      <c r="AG621">
        <f>D621-Q621</f>
        <v/>
      </c>
      <c r="AH621">
        <f>AG621^2</f>
        <v/>
      </c>
      <c r="AI621">
        <f>(AG621/STDEV($AG$3:$AG$1137))^3</f>
        <v/>
      </c>
      <c r="AJ621">
        <f>(AG621/STDEV($AG$3:$AG$1137))^4</f>
        <v/>
      </c>
      <c r="AK621">
        <f>AF621^2</f>
        <v/>
      </c>
      <c r="AL621">
        <f>IF(AD621=1,AB621,IF(AL620&lt;&gt;"",AL620,""))</f>
        <v/>
      </c>
      <c r="AM621">
        <f>IF(AND(AD621=1,AL620&lt;&gt;""),ABS(AB621-AL620),"")</f>
        <v/>
      </c>
    </row>
    <row r="622">
      <c r="A622" t="n">
        <v>1777279502</v>
      </c>
      <c r="B622" t="inlineStr">
        <is>
          <t>XAUUSD</t>
        </is>
      </c>
      <c r="C622" t="inlineStr">
        <is>
          <t>M15</t>
        </is>
      </c>
      <c r="D622" t="n">
        <v>4706.71</v>
      </c>
      <c r="E622" t="n">
        <v>4518.59282</v>
      </c>
      <c r="F622" t="n">
        <v>4596.05595</v>
      </c>
      <c r="G622" t="n">
        <v>4755.40355</v>
      </c>
      <c r="H622" t="n">
        <v>4792.76972</v>
      </c>
      <c r="Q622" t="n">
        <v>4651.7232</v>
      </c>
      <c r="R622" t="n">
        <v>4681.08649</v>
      </c>
      <c r="S622" t="n">
        <v>4707.67527</v>
      </c>
      <c r="V622" t="n">
        <v>4616.78343</v>
      </c>
      <c r="W622" t="n">
        <v>4583.21843</v>
      </c>
      <c r="AB622" t="n">
        <v>4706.94915</v>
      </c>
      <c r="AC622" t="n">
        <v>4708.80702</v>
      </c>
      <c r="AD622" t="n">
        <v>0</v>
      </c>
      <c r="AE622">
        <f>AE621+1</f>
        <v/>
      </c>
      <c r="AF622">
        <f>AF621+1</f>
        <v/>
      </c>
      <c r="AG622">
        <f>D622-Q622</f>
        <v/>
      </c>
      <c r="AH622">
        <f>AG622^2</f>
        <v/>
      </c>
      <c r="AI622">
        <f>(AG622/STDEV($AG$3:$AG$1137))^3</f>
        <v/>
      </c>
      <c r="AJ622">
        <f>(AG622/STDEV($AG$3:$AG$1137))^4</f>
        <v/>
      </c>
      <c r="AK622">
        <f>AF622^2</f>
        <v/>
      </c>
      <c r="AL622">
        <f>IF(AD622=1,AB622,IF(AL621&lt;&gt;"",AL621,""))</f>
        <v/>
      </c>
      <c r="AM622">
        <f>IF(AND(AD622=1,AL621&lt;&gt;""),ABS(AB622-AL621),"")</f>
        <v/>
      </c>
    </row>
    <row r="623">
      <c r="A623" t="n">
        <v>1777280402</v>
      </c>
      <c r="B623" t="inlineStr">
        <is>
          <t>XAUUSD</t>
        </is>
      </c>
      <c r="C623" t="inlineStr">
        <is>
          <t>M15</t>
        </is>
      </c>
      <c r="D623" t="n">
        <v>4705.12</v>
      </c>
      <c r="E623" t="n">
        <v>4518.59282</v>
      </c>
      <c r="F623" t="n">
        <v>4596.05595</v>
      </c>
      <c r="G623" t="n">
        <v>4755.40355</v>
      </c>
      <c r="H623" t="n">
        <v>4792.76972</v>
      </c>
      <c r="Q623" t="n">
        <v>4651.45559</v>
      </c>
      <c r="R623" t="n">
        <v>4680.81889</v>
      </c>
      <c r="S623" t="n">
        <v>4707.40766</v>
      </c>
      <c r="V623" t="n">
        <v>4616.51582</v>
      </c>
      <c r="W623" t="n">
        <v>4582.95083</v>
      </c>
      <c r="AB623" t="n">
        <v>4705.23719</v>
      </c>
      <c r="AC623" t="n">
        <v>4707.02211</v>
      </c>
      <c r="AD623" t="n">
        <v>0</v>
      </c>
      <c r="AE623">
        <f>AE622+1</f>
        <v/>
      </c>
      <c r="AF623">
        <f>AF622+1</f>
        <v/>
      </c>
      <c r="AG623">
        <f>D623-Q623</f>
        <v/>
      </c>
      <c r="AH623">
        <f>AG623^2</f>
        <v/>
      </c>
      <c r="AI623">
        <f>(AG623/STDEV($AG$3:$AG$1137))^3</f>
        <v/>
      </c>
      <c r="AJ623">
        <f>(AG623/STDEV($AG$3:$AG$1137))^4</f>
        <v/>
      </c>
      <c r="AK623">
        <f>AF623^2</f>
        <v/>
      </c>
      <c r="AL623">
        <f>IF(AD623=1,AB623,IF(AL622&lt;&gt;"",AL622,""))</f>
        <v/>
      </c>
      <c r="AM623">
        <f>IF(AND(AD623=1,AL622&lt;&gt;""),ABS(AB623-AL622),"")</f>
        <v/>
      </c>
    </row>
    <row r="624">
      <c r="A624" t="n">
        <v>1777281302</v>
      </c>
      <c r="B624" t="inlineStr">
        <is>
          <t>XAUUSD</t>
        </is>
      </c>
      <c r="C624" t="inlineStr">
        <is>
          <t>M15</t>
        </is>
      </c>
      <c r="D624" t="n">
        <v>4702.32</v>
      </c>
      <c r="E624" t="n">
        <v>4518.59282</v>
      </c>
      <c r="F624" t="n">
        <v>4596.05595</v>
      </c>
      <c r="G624" t="n">
        <v>4755.40355</v>
      </c>
      <c r="H624" t="n">
        <v>4792.76972</v>
      </c>
      <c r="Q624" t="n">
        <v>4651.18799</v>
      </c>
      <c r="R624" t="n">
        <v>4680.55129</v>
      </c>
      <c r="S624" t="n">
        <v>4707.14006</v>
      </c>
      <c r="V624" t="n">
        <v>4616.24822</v>
      </c>
      <c r="W624" t="n">
        <v>4582.68322</v>
      </c>
      <c r="AB624" t="n">
        <v>4704.05975</v>
      </c>
      <c r="AC624" t="n">
        <v>4705.54093</v>
      </c>
      <c r="AD624" t="n">
        <v>0</v>
      </c>
      <c r="AE624">
        <f>AE623+1</f>
        <v/>
      </c>
      <c r="AF624">
        <f>AF623+1</f>
        <v/>
      </c>
      <c r="AG624">
        <f>D624-Q624</f>
        <v/>
      </c>
      <c r="AH624">
        <f>AG624^2</f>
        <v/>
      </c>
      <c r="AI624">
        <f>(AG624/STDEV($AG$3:$AG$1137))^3</f>
        <v/>
      </c>
      <c r="AJ624">
        <f>(AG624/STDEV($AG$3:$AG$1137))^4</f>
        <v/>
      </c>
      <c r="AK624">
        <f>AF624^2</f>
        <v/>
      </c>
      <c r="AL624">
        <f>IF(AD624=1,AB624,IF(AL623&lt;&gt;"",AL623,""))</f>
        <v/>
      </c>
      <c r="AM624">
        <f>IF(AND(AD624=1,AL623&lt;&gt;""),ABS(AB624-AL623),"")</f>
        <v/>
      </c>
    </row>
    <row r="625">
      <c r="A625" t="n">
        <v>1777282202</v>
      </c>
      <c r="B625" t="inlineStr">
        <is>
          <t>XAUUSD</t>
        </is>
      </c>
      <c r="C625" t="inlineStr">
        <is>
          <t>M15</t>
        </is>
      </c>
      <c r="D625" t="n">
        <v>4704.64</v>
      </c>
      <c r="E625" t="n">
        <v>4518.59282</v>
      </c>
      <c r="F625" t="n">
        <v>4596.05595</v>
      </c>
      <c r="G625" t="n">
        <v>4755.40355</v>
      </c>
      <c r="H625" t="n">
        <v>4792.76972</v>
      </c>
      <c r="Q625" t="n">
        <v>4650.92038</v>
      </c>
      <c r="R625" t="n">
        <v>4680.28368</v>
      </c>
      <c r="S625" t="n">
        <v>4706.87245</v>
      </c>
      <c r="V625" t="n">
        <v>4615.98061</v>
      </c>
      <c r="W625" t="n">
        <v>4582.41562</v>
      </c>
      <c r="AB625" t="n">
        <v>4703.5523</v>
      </c>
      <c r="AC625" t="n">
        <v>4704.54661</v>
      </c>
      <c r="AD625" t="n">
        <v>0</v>
      </c>
      <c r="AE625">
        <f>AE624+1</f>
        <v/>
      </c>
      <c r="AF625">
        <f>AF624+1</f>
        <v/>
      </c>
      <c r="AG625">
        <f>D625-Q625</f>
        <v/>
      </c>
      <c r="AH625">
        <f>AG625^2</f>
        <v/>
      </c>
      <c r="AI625">
        <f>(AG625/STDEV($AG$3:$AG$1137))^3</f>
        <v/>
      </c>
      <c r="AJ625">
        <f>(AG625/STDEV($AG$3:$AG$1137))^4</f>
        <v/>
      </c>
      <c r="AK625">
        <f>AF625^2</f>
        <v/>
      </c>
      <c r="AL625">
        <f>IF(AD625=1,AB625,IF(AL624&lt;&gt;"",AL624,""))</f>
        <v/>
      </c>
      <c r="AM625">
        <f>IF(AND(AD625=1,AL624&lt;&gt;""),ABS(AB625-AL624),"")</f>
        <v/>
      </c>
    </row>
    <row r="626">
      <c r="A626" t="n">
        <v>1777283102</v>
      </c>
      <c r="B626" t="inlineStr">
        <is>
          <t>XAUUSD</t>
        </is>
      </c>
      <c r="C626" t="inlineStr">
        <is>
          <t>M15</t>
        </is>
      </c>
      <c r="D626" t="n">
        <v>4703.64</v>
      </c>
      <c r="E626" t="n">
        <v>4518.59282</v>
      </c>
      <c r="F626" t="n">
        <v>4596.05595</v>
      </c>
      <c r="G626" t="n">
        <v>4755.40355</v>
      </c>
      <c r="H626" t="n">
        <v>4792.76972</v>
      </c>
      <c r="Q626" t="n">
        <v>4650.65278</v>
      </c>
      <c r="R626" t="n">
        <v>4680.01608</v>
      </c>
      <c r="S626" t="n">
        <v>4706.60485</v>
      </c>
      <c r="V626" t="n">
        <v>4615.71301</v>
      </c>
      <c r="W626" t="n">
        <v>4582.14801</v>
      </c>
      <c r="AB626" t="n">
        <v>4703.62711</v>
      </c>
      <c r="AC626" t="n">
        <v>4704.08686</v>
      </c>
      <c r="AD626" t="n">
        <v>0</v>
      </c>
      <c r="AE626">
        <f>AE625+1</f>
        <v/>
      </c>
      <c r="AF626">
        <f>AF625+1</f>
        <v/>
      </c>
      <c r="AG626">
        <f>D626-Q626</f>
        <v/>
      </c>
      <c r="AH626">
        <f>AG626^2</f>
        <v/>
      </c>
      <c r="AI626">
        <f>(AG626/STDEV($AG$3:$AG$1137))^3</f>
        <v/>
      </c>
      <c r="AJ626">
        <f>(AG626/STDEV($AG$3:$AG$1137))^4</f>
        <v/>
      </c>
      <c r="AK626">
        <f>AF626^2</f>
        <v/>
      </c>
      <c r="AL626">
        <f>IF(AD626=1,AB626,IF(AL625&lt;&gt;"",AL625,""))</f>
        <v/>
      </c>
      <c r="AM626">
        <f>IF(AND(AD626=1,AL625&lt;&gt;""),ABS(AB626-AL625),"")</f>
        <v/>
      </c>
    </row>
    <row r="627">
      <c r="A627" t="n">
        <v>1777284002</v>
      </c>
      <c r="B627" t="inlineStr">
        <is>
          <t>XAUUSD</t>
        </is>
      </c>
      <c r="C627" t="inlineStr">
        <is>
          <t>M15</t>
        </is>
      </c>
      <c r="D627" t="n">
        <v>4701.91</v>
      </c>
      <c r="E627" t="n">
        <v>4518.59282</v>
      </c>
      <c r="F627" t="n">
        <v>4596.05595</v>
      </c>
      <c r="G627" t="n">
        <v>4755.40355</v>
      </c>
      <c r="H627" t="n">
        <v>4792.76972</v>
      </c>
      <c r="Q627" t="n">
        <v>4650.38518</v>
      </c>
      <c r="R627" t="n">
        <v>4679.74847</v>
      </c>
      <c r="S627" t="n">
        <v>4706.33725</v>
      </c>
      <c r="V627" t="n">
        <v>4615.44541</v>
      </c>
      <c r="W627" t="n">
        <v>4581.88041</v>
      </c>
      <c r="AB627" t="n">
        <v>4704.16561</v>
      </c>
      <c r="AC627" t="n">
        <v>4704.12623</v>
      </c>
      <c r="AD627" t="n">
        <v>1</v>
      </c>
      <c r="AE627">
        <f>AE626+1</f>
        <v/>
      </c>
      <c r="AF627">
        <f>AF626+1</f>
        <v/>
      </c>
      <c r="AG627">
        <f>D627-Q627</f>
        <v/>
      </c>
      <c r="AH627">
        <f>AG627^2</f>
        <v/>
      </c>
      <c r="AI627">
        <f>(AG627/STDEV($AG$3:$AG$1137))^3</f>
        <v/>
      </c>
      <c r="AJ627">
        <f>(AG627/STDEV($AG$3:$AG$1137))^4</f>
        <v/>
      </c>
      <c r="AK627">
        <f>AF627^2</f>
        <v/>
      </c>
      <c r="AL627">
        <f>IF(AD627=1,AB627,IF(AL626&lt;&gt;"",AL626,""))</f>
        <v/>
      </c>
      <c r="AM627">
        <f>IF(AND(AD627=1,AL626&lt;&gt;""),ABS(AB627-AL626),"")</f>
        <v/>
      </c>
    </row>
    <row r="628">
      <c r="A628" t="n">
        <v>1777284902</v>
      </c>
      <c r="B628" t="inlineStr">
        <is>
          <t>XAUUSD</t>
        </is>
      </c>
      <c r="C628" t="inlineStr">
        <is>
          <t>M15</t>
        </is>
      </c>
      <c r="D628" t="n">
        <v>4705.08</v>
      </c>
      <c r="E628" t="n">
        <v>4518.59282</v>
      </c>
      <c r="F628" t="n">
        <v>4596.05595</v>
      </c>
      <c r="G628" t="n">
        <v>4755.40355</v>
      </c>
      <c r="H628" t="n">
        <v>4792.76972</v>
      </c>
      <c r="Q628" t="n">
        <v>4650.11757</v>
      </c>
      <c r="R628" t="n">
        <v>4679.48087</v>
      </c>
      <c r="S628" t="n">
        <v>4706.06964</v>
      </c>
      <c r="V628" t="n">
        <v>4615.1778</v>
      </c>
      <c r="W628" t="n">
        <v>4581.6128</v>
      </c>
      <c r="AB628" t="n">
        <v>4705.00986</v>
      </c>
      <c r="AC628" t="n">
        <v>4704.56805</v>
      </c>
      <c r="AD628" t="n">
        <v>0</v>
      </c>
      <c r="AE628">
        <f>AE627+1</f>
        <v/>
      </c>
      <c r="AF628">
        <f>AF627+1</f>
        <v/>
      </c>
      <c r="AG628">
        <f>D628-Q628</f>
        <v/>
      </c>
      <c r="AH628">
        <f>AG628^2</f>
        <v/>
      </c>
      <c r="AI628">
        <f>(AG628/STDEV($AG$3:$AG$1137))^3</f>
        <v/>
      </c>
      <c r="AJ628">
        <f>(AG628/STDEV($AG$3:$AG$1137))^4</f>
        <v/>
      </c>
      <c r="AK628">
        <f>AF628^2</f>
        <v/>
      </c>
      <c r="AL628">
        <f>IF(AD628=1,AB628,IF(AL627&lt;&gt;"",AL627,""))</f>
        <v/>
      </c>
      <c r="AM628">
        <f>IF(AND(AD628=1,AL627&lt;&gt;""),ABS(AB628-AL627),"")</f>
        <v/>
      </c>
    </row>
    <row r="629">
      <c r="A629" t="n">
        <v>1777285802</v>
      </c>
      <c r="B629" t="inlineStr">
        <is>
          <t>XAUUSD</t>
        </is>
      </c>
      <c r="C629" t="inlineStr">
        <is>
          <t>M15</t>
        </is>
      </c>
      <c r="D629" t="n">
        <v>4709.07</v>
      </c>
      <c r="E629" t="n">
        <v>4518.59282</v>
      </c>
      <c r="F629" t="n">
        <v>4596.05595</v>
      </c>
      <c r="G629" t="n">
        <v>4755.40355</v>
      </c>
      <c r="H629" t="n">
        <v>4792.76972</v>
      </c>
      <c r="Q629" t="n">
        <v>4649.84997</v>
      </c>
      <c r="R629" t="n">
        <v>4679.21327</v>
      </c>
      <c r="S629" t="n">
        <v>4705.80204</v>
      </c>
      <c r="V629" t="n">
        <v>4614.9102</v>
      </c>
      <c r="W629" t="n">
        <v>4581.3452</v>
      </c>
      <c r="AB629" t="n">
        <v>4705.85859</v>
      </c>
      <c r="AC629" t="n">
        <v>4705.21332</v>
      </c>
      <c r="AD629" t="n">
        <v>0</v>
      </c>
      <c r="AE629">
        <f>AE628+1</f>
        <v/>
      </c>
      <c r="AF629">
        <f>AF628+1</f>
        <v/>
      </c>
      <c r="AG629">
        <f>D629-Q629</f>
        <v/>
      </c>
      <c r="AH629">
        <f>AG629^2</f>
        <v/>
      </c>
      <c r="AI629">
        <f>(AG629/STDEV($AG$3:$AG$1137))^3</f>
        <v/>
      </c>
      <c r="AJ629">
        <f>(AG629/STDEV($AG$3:$AG$1137))^4</f>
        <v/>
      </c>
      <c r="AK629">
        <f>AF629^2</f>
        <v/>
      </c>
      <c r="AL629">
        <f>IF(AD629=1,AB629,IF(AL628&lt;&gt;"",AL628,""))</f>
        <v/>
      </c>
      <c r="AM629">
        <f>IF(AND(AD629=1,AL628&lt;&gt;""),ABS(AB629-AL628),"")</f>
        <v/>
      </c>
    </row>
    <row r="630">
      <c r="A630" t="n">
        <v>1777286702</v>
      </c>
      <c r="B630" t="inlineStr">
        <is>
          <t>XAUUSD</t>
        </is>
      </c>
      <c r="C630" t="inlineStr">
        <is>
          <t>M15</t>
        </is>
      </c>
      <c r="D630" t="n">
        <v>4708.79</v>
      </c>
      <c r="E630" t="n">
        <v>4518.59282</v>
      </c>
      <c r="F630" t="n">
        <v>4596.05595</v>
      </c>
      <c r="G630" t="n">
        <v>4755.40355</v>
      </c>
      <c r="H630" t="n">
        <v>4792.76972</v>
      </c>
      <c r="Q630" t="n">
        <v>4649.58236</v>
      </c>
      <c r="R630" t="n">
        <v>4678.94566</v>
      </c>
      <c r="S630" t="n">
        <v>4705.53443</v>
      </c>
      <c r="V630" t="n">
        <v>4614.64259</v>
      </c>
      <c r="W630" t="n">
        <v>4581.0776</v>
      </c>
      <c r="AB630" t="n">
        <v>4706.42238</v>
      </c>
      <c r="AC630" t="n">
        <v>4705.81785</v>
      </c>
      <c r="AD630" t="n">
        <v>0</v>
      </c>
      <c r="AE630">
        <f>AE629+1</f>
        <v/>
      </c>
      <c r="AF630">
        <f>AF629+1</f>
        <v/>
      </c>
      <c r="AG630">
        <f>D630-Q630</f>
        <v/>
      </c>
      <c r="AH630">
        <f>AG630^2</f>
        <v/>
      </c>
      <c r="AI630">
        <f>(AG630/STDEV($AG$3:$AG$1137))^3</f>
        <v/>
      </c>
      <c r="AJ630">
        <f>(AG630/STDEV($AG$3:$AG$1137))^4</f>
        <v/>
      </c>
      <c r="AK630">
        <f>AF630^2</f>
        <v/>
      </c>
      <c r="AL630">
        <f>IF(AD630=1,AB630,IF(AL629&lt;&gt;"",AL629,""))</f>
        <v/>
      </c>
      <c r="AM630">
        <f>IF(AND(AD630=1,AL629&lt;&gt;""),ABS(AB630-AL629),"")</f>
        <v/>
      </c>
    </row>
    <row r="631">
      <c r="A631" t="n">
        <v>1777287602</v>
      </c>
      <c r="B631" t="inlineStr">
        <is>
          <t>XAUUSD</t>
        </is>
      </c>
      <c r="C631" t="inlineStr">
        <is>
          <t>M15</t>
        </is>
      </c>
      <c r="D631" t="n">
        <v>4704.04</v>
      </c>
      <c r="E631" t="n">
        <v>4518.59282</v>
      </c>
      <c r="F631" t="n">
        <v>4596.05595</v>
      </c>
      <c r="G631" t="n">
        <v>4755.40355</v>
      </c>
      <c r="H631" t="n">
        <v>4792.76972</v>
      </c>
      <c r="Q631" t="n">
        <v>4649.31476</v>
      </c>
      <c r="R631" t="n">
        <v>4678.67806</v>
      </c>
      <c r="S631" t="n">
        <v>4705.26683</v>
      </c>
      <c r="V631" t="n">
        <v>4614.37499</v>
      </c>
      <c r="W631" t="n">
        <v>4580.80999</v>
      </c>
      <c r="AB631" t="n">
        <v>4706.59767</v>
      </c>
      <c r="AC631" t="n">
        <v>4706.20776</v>
      </c>
      <c r="AD631" t="n">
        <v>0</v>
      </c>
      <c r="AE631">
        <f>AE630+1</f>
        <v/>
      </c>
      <c r="AF631">
        <f>AF630+1</f>
        <v/>
      </c>
      <c r="AG631">
        <f>D631-Q631</f>
        <v/>
      </c>
      <c r="AH631">
        <f>AG631^2</f>
        <v/>
      </c>
      <c r="AI631">
        <f>(AG631/STDEV($AG$3:$AG$1137))^3</f>
        <v/>
      </c>
      <c r="AJ631">
        <f>(AG631/STDEV($AG$3:$AG$1137))^4</f>
        <v/>
      </c>
      <c r="AK631">
        <f>AF631^2</f>
        <v/>
      </c>
      <c r="AL631">
        <f>IF(AD631=1,AB631,IF(AL630&lt;&gt;"",AL630,""))</f>
        <v/>
      </c>
      <c r="AM631">
        <f>IF(AND(AD631=1,AL630&lt;&gt;""),ABS(AB631-AL630),"")</f>
        <v/>
      </c>
    </row>
    <row r="632">
      <c r="A632" t="n">
        <v>1777288502</v>
      </c>
      <c r="B632" t="inlineStr">
        <is>
          <t>XAUUSD</t>
        </is>
      </c>
      <c r="C632" t="inlineStr">
        <is>
          <t>M15</t>
        </is>
      </c>
      <c r="D632" t="n">
        <v>4705.21</v>
      </c>
      <c r="E632" t="n">
        <v>4518.59282</v>
      </c>
      <c r="F632" t="n">
        <v>4596.05595</v>
      </c>
      <c r="G632" t="n">
        <v>4755.40355</v>
      </c>
      <c r="H632" t="n">
        <v>4792.76972</v>
      </c>
      <c r="Q632" t="n">
        <v>4649.04715</v>
      </c>
      <c r="R632" t="n">
        <v>4678.41045</v>
      </c>
      <c r="S632" t="n">
        <v>4704.99922</v>
      </c>
      <c r="V632" t="n">
        <v>4614.10738</v>
      </c>
      <c r="W632" t="n">
        <v>4580.54239</v>
      </c>
      <c r="AB632" t="n">
        <v>4706.45776</v>
      </c>
      <c r="AC632" t="n">
        <v>4706.33276</v>
      </c>
      <c r="AD632" t="n">
        <v>0</v>
      </c>
      <c r="AE632">
        <f>AE631+1</f>
        <v/>
      </c>
      <c r="AF632">
        <f>AF631+1</f>
        <v/>
      </c>
      <c r="AG632">
        <f>D632-Q632</f>
        <v/>
      </c>
      <c r="AH632">
        <f>AG632^2</f>
        <v/>
      </c>
      <c r="AI632">
        <f>(AG632/STDEV($AG$3:$AG$1137))^3</f>
        <v/>
      </c>
      <c r="AJ632">
        <f>(AG632/STDEV($AG$3:$AG$1137))^4</f>
        <v/>
      </c>
      <c r="AK632">
        <f>AF632^2</f>
        <v/>
      </c>
      <c r="AL632">
        <f>IF(AD632=1,AB632,IF(AL631&lt;&gt;"",AL631,""))</f>
        <v/>
      </c>
      <c r="AM632">
        <f>IF(AND(AD632=1,AL631&lt;&gt;""),ABS(AB632-AL631),"")</f>
        <v/>
      </c>
    </row>
    <row r="633">
      <c r="A633" t="n">
        <v>1777289402</v>
      </c>
      <c r="B633" t="inlineStr">
        <is>
          <t>XAUUSD</t>
        </is>
      </c>
      <c r="C633" t="inlineStr">
        <is>
          <t>M15</t>
        </is>
      </c>
      <c r="D633" t="n">
        <v>4702.72</v>
      </c>
      <c r="E633" t="n">
        <v>4518.59282</v>
      </c>
      <c r="F633" t="n">
        <v>4596.05595</v>
      </c>
      <c r="G633" t="n">
        <v>4755.40355</v>
      </c>
      <c r="H633" t="n">
        <v>4792.76972</v>
      </c>
      <c r="Q633" t="n">
        <v>4648.77955</v>
      </c>
      <c r="R633" t="n">
        <v>4678.14285</v>
      </c>
      <c r="S633" t="n">
        <v>4704.73162</v>
      </c>
      <c r="V633" t="n">
        <v>4613.83978</v>
      </c>
      <c r="W633" t="n">
        <v>4580.27478</v>
      </c>
      <c r="AB633" t="n">
        <v>4705.99304</v>
      </c>
      <c r="AC633" t="n">
        <v>4706.1629</v>
      </c>
      <c r="AD633" t="n">
        <v>1</v>
      </c>
      <c r="AE633">
        <f>AE632+1</f>
        <v/>
      </c>
      <c r="AF633">
        <f>AF632+1</f>
        <v/>
      </c>
      <c r="AG633">
        <f>D633-Q633</f>
        <v/>
      </c>
      <c r="AH633">
        <f>AG633^2</f>
        <v/>
      </c>
      <c r="AI633">
        <f>(AG633/STDEV($AG$3:$AG$1137))^3</f>
        <v/>
      </c>
      <c r="AJ633">
        <f>(AG633/STDEV($AG$3:$AG$1137))^4</f>
        <v/>
      </c>
      <c r="AK633">
        <f>AF633^2</f>
        <v/>
      </c>
      <c r="AL633">
        <f>IF(AD633=1,AB633,IF(AL632&lt;&gt;"",AL632,""))</f>
        <v/>
      </c>
      <c r="AM633">
        <f>IF(AND(AD633=1,AL632&lt;&gt;""),ABS(AB633-AL632),"")</f>
        <v/>
      </c>
    </row>
    <row r="634">
      <c r="A634" t="n">
        <v>1777290302</v>
      </c>
      <c r="B634" t="inlineStr">
        <is>
          <t>XAUUSD</t>
        </is>
      </c>
      <c r="C634" t="inlineStr">
        <is>
          <t>M15</t>
        </is>
      </c>
      <c r="D634" t="n">
        <v>4704.89</v>
      </c>
      <c r="E634" t="n">
        <v>4518.59282</v>
      </c>
      <c r="F634" t="n">
        <v>4596.05595</v>
      </c>
      <c r="G634" t="n">
        <v>4755.40355</v>
      </c>
      <c r="H634" t="n">
        <v>4792.76972</v>
      </c>
      <c r="Q634" t="n">
        <v>4648.51195</v>
      </c>
      <c r="R634" t="n">
        <v>4677.87525</v>
      </c>
      <c r="S634" t="n">
        <v>4704.46402</v>
      </c>
      <c r="V634" t="n">
        <v>4613.57218</v>
      </c>
      <c r="W634" t="n">
        <v>4580.00718</v>
      </c>
      <c r="AB634" t="n">
        <v>4705.3015</v>
      </c>
      <c r="AC634" t="n">
        <v>4705.7322</v>
      </c>
      <c r="AD634" t="n">
        <v>0</v>
      </c>
      <c r="AE634">
        <f>AE633+1</f>
        <v/>
      </c>
      <c r="AF634">
        <f>AF633+1</f>
        <v/>
      </c>
      <c r="AG634">
        <f>D634-Q634</f>
        <v/>
      </c>
      <c r="AH634">
        <f>AG634^2</f>
        <v/>
      </c>
      <c r="AI634">
        <f>(AG634/STDEV($AG$3:$AG$1137))^3</f>
        <v/>
      </c>
      <c r="AJ634">
        <f>(AG634/STDEV($AG$3:$AG$1137))^4</f>
        <v/>
      </c>
      <c r="AK634">
        <f>AF634^2</f>
        <v/>
      </c>
      <c r="AL634">
        <f>IF(AD634=1,AB634,IF(AL633&lt;&gt;"",AL633,""))</f>
        <v/>
      </c>
      <c r="AM634">
        <f>IF(AND(AD634=1,AL633&lt;&gt;""),ABS(AB634-AL633),"")</f>
        <v/>
      </c>
    </row>
    <row r="635">
      <c r="A635" t="n">
        <v>1777291202</v>
      </c>
      <c r="B635" t="inlineStr">
        <is>
          <t>XAUUSD</t>
        </is>
      </c>
      <c r="C635" t="inlineStr">
        <is>
          <t>M15</t>
        </is>
      </c>
      <c r="D635" t="n">
        <v>4708.83</v>
      </c>
      <c r="E635" t="n">
        <v>4518.59282</v>
      </c>
      <c r="F635" t="n">
        <v>4596.05595</v>
      </c>
      <c r="G635" t="n">
        <v>4755.40355</v>
      </c>
      <c r="H635" t="n">
        <v>4792.76972</v>
      </c>
      <c r="Q635" t="n">
        <v>4648.24434</v>
      </c>
      <c r="R635" t="n">
        <v>4677.60764</v>
      </c>
      <c r="S635" t="n">
        <v>4704.19641</v>
      </c>
      <c r="V635" t="n">
        <v>4613.30457</v>
      </c>
      <c r="W635" t="n">
        <v>4579.73958</v>
      </c>
      <c r="AB635" t="n">
        <v>4704.36118</v>
      </c>
      <c r="AC635" t="n">
        <v>4705.04669</v>
      </c>
      <c r="AD635" t="n">
        <v>0</v>
      </c>
      <c r="AE635">
        <f>AE634+1</f>
        <v/>
      </c>
      <c r="AF635">
        <f>AF634+1</f>
        <v/>
      </c>
      <c r="AG635">
        <f>D635-Q635</f>
        <v/>
      </c>
      <c r="AH635">
        <f>AG635^2</f>
        <v/>
      </c>
      <c r="AI635">
        <f>(AG635/STDEV($AG$3:$AG$1137))^3</f>
        <v/>
      </c>
      <c r="AJ635">
        <f>(AG635/STDEV($AG$3:$AG$1137))^4</f>
        <v/>
      </c>
      <c r="AK635">
        <f>AF635^2</f>
        <v/>
      </c>
      <c r="AL635">
        <f>IF(AD635=1,AB635,IF(AL634&lt;&gt;"",AL634,""))</f>
        <v/>
      </c>
      <c r="AM635">
        <f>IF(AND(AD635=1,AL634&lt;&gt;""),ABS(AB635-AL634),"")</f>
        <v/>
      </c>
    </row>
    <row r="636">
      <c r="A636" t="n">
        <v>1777292102</v>
      </c>
      <c r="B636" t="inlineStr">
        <is>
          <t>XAUUSD</t>
        </is>
      </c>
      <c r="C636" t="inlineStr">
        <is>
          <t>M15</t>
        </is>
      </c>
      <c r="D636" t="n">
        <v>4707.09</v>
      </c>
      <c r="E636" t="n">
        <v>4518.59282</v>
      </c>
      <c r="F636" t="n">
        <v>4596.05595</v>
      </c>
      <c r="G636" t="n">
        <v>4755.40355</v>
      </c>
      <c r="H636" t="n">
        <v>4792.76972</v>
      </c>
      <c r="Q636" t="n">
        <v>4647.97674</v>
      </c>
      <c r="R636" t="n">
        <v>4677.34004</v>
      </c>
      <c r="S636" t="n">
        <v>4703.92881</v>
      </c>
      <c r="V636" t="n">
        <v>4613.03697</v>
      </c>
      <c r="W636" t="n">
        <v>4579.47197</v>
      </c>
      <c r="AB636" t="n">
        <v>4703.11317</v>
      </c>
      <c r="AC636" t="n">
        <v>4704.07993</v>
      </c>
      <c r="AD636" t="n">
        <v>0</v>
      </c>
      <c r="AE636">
        <f>AE635+1</f>
        <v/>
      </c>
      <c r="AF636">
        <f>AF635+1</f>
        <v/>
      </c>
      <c r="AG636">
        <f>D636-Q636</f>
        <v/>
      </c>
      <c r="AH636">
        <f>AG636^2</f>
        <v/>
      </c>
      <c r="AI636">
        <f>(AG636/STDEV($AG$3:$AG$1137))^3</f>
        <v/>
      </c>
      <c r="AJ636">
        <f>(AG636/STDEV($AG$3:$AG$1137))^4</f>
        <v/>
      </c>
      <c r="AK636">
        <f>AF636^2</f>
        <v/>
      </c>
      <c r="AL636">
        <f>IF(AD636=1,AB636,IF(AL635&lt;&gt;"",AL635,""))</f>
        <v/>
      </c>
      <c r="AM636">
        <f>IF(AND(AD636=1,AL635&lt;&gt;""),ABS(AB636-AL635),"")</f>
        <v/>
      </c>
    </row>
    <row r="637">
      <c r="A637" t="n">
        <v>1777293002</v>
      </c>
      <c r="B637" t="inlineStr">
        <is>
          <t>XAUUSD</t>
        </is>
      </c>
      <c r="C637" t="inlineStr">
        <is>
          <t>M15</t>
        </is>
      </c>
      <c r="D637" t="n">
        <v>4698.81</v>
      </c>
      <c r="E637" t="n">
        <v>4518.59282</v>
      </c>
      <c r="F637" t="n">
        <v>4596.05595</v>
      </c>
      <c r="G637" t="n">
        <v>4755.40355</v>
      </c>
      <c r="H637" t="n">
        <v>4792.76972</v>
      </c>
      <c r="Q637" t="n">
        <v>4647.70913</v>
      </c>
      <c r="R637" t="n">
        <v>4677.07243</v>
      </c>
      <c r="S637" t="n">
        <v>4703.6612</v>
      </c>
      <c r="V637" t="n">
        <v>4612.76936</v>
      </c>
      <c r="W637" t="n">
        <v>4579.20437</v>
      </c>
      <c r="AB637" t="n">
        <v>4701.65798</v>
      </c>
      <c r="AC637" t="n">
        <v>4702.86895</v>
      </c>
      <c r="AD637" t="n">
        <v>0</v>
      </c>
      <c r="AE637">
        <f>AE636+1</f>
        <v/>
      </c>
      <c r="AF637">
        <f>AF636+1</f>
        <v/>
      </c>
      <c r="AG637">
        <f>D637-Q637</f>
        <v/>
      </c>
      <c r="AH637">
        <f>AG637^2</f>
        <v/>
      </c>
      <c r="AI637">
        <f>(AG637/STDEV($AG$3:$AG$1137))^3</f>
        <v/>
      </c>
      <c r="AJ637">
        <f>(AG637/STDEV($AG$3:$AG$1137))^4</f>
        <v/>
      </c>
      <c r="AK637">
        <f>AF637^2</f>
        <v/>
      </c>
      <c r="AL637">
        <f>IF(AD637=1,AB637,IF(AL636&lt;&gt;"",AL636,""))</f>
        <v/>
      </c>
      <c r="AM637">
        <f>IF(AND(AD637=1,AL636&lt;&gt;""),ABS(AB637-AL636),"")</f>
        <v/>
      </c>
    </row>
    <row r="638">
      <c r="A638" t="n">
        <v>1777293902</v>
      </c>
      <c r="B638" t="inlineStr">
        <is>
          <t>XAUUSD</t>
        </is>
      </c>
      <c r="C638" t="inlineStr">
        <is>
          <t>M15</t>
        </is>
      </c>
      <c r="D638" t="n">
        <v>4699.24</v>
      </c>
      <c r="E638" t="n">
        <v>4518.59282</v>
      </c>
      <c r="F638" t="n">
        <v>4596.05595</v>
      </c>
      <c r="G638" t="n">
        <v>4755.40355</v>
      </c>
      <c r="H638" t="n">
        <v>4792.76972</v>
      </c>
      <c r="Q638" t="n">
        <v>4647.44153</v>
      </c>
      <c r="R638" t="n">
        <v>4676.80483</v>
      </c>
      <c r="S638" t="n">
        <v>4703.3936</v>
      </c>
      <c r="V638" t="n">
        <v>4612.50176</v>
      </c>
      <c r="W638" t="n">
        <v>4578.93676</v>
      </c>
      <c r="AB638" t="n">
        <v>4700.26967</v>
      </c>
      <c r="AC638" t="n">
        <v>4701.56931</v>
      </c>
      <c r="AD638" t="n">
        <v>0</v>
      </c>
      <c r="AE638">
        <f>AE637+1</f>
        <v/>
      </c>
      <c r="AF638">
        <f>AF637+1</f>
        <v/>
      </c>
      <c r="AG638">
        <f>D638-Q638</f>
        <v/>
      </c>
      <c r="AH638">
        <f>AG638^2</f>
        <v/>
      </c>
      <c r="AI638">
        <f>(AG638/STDEV($AG$3:$AG$1137))^3</f>
        <v/>
      </c>
      <c r="AJ638">
        <f>(AG638/STDEV($AG$3:$AG$1137))^4</f>
        <v/>
      </c>
      <c r="AK638">
        <f>AF638^2</f>
        <v/>
      </c>
      <c r="AL638">
        <f>IF(AD638=1,AB638,IF(AL637&lt;&gt;"",AL637,""))</f>
        <v/>
      </c>
      <c r="AM638">
        <f>IF(AND(AD638=1,AL637&lt;&gt;""),ABS(AB638-AL637),"")</f>
        <v/>
      </c>
    </row>
    <row r="639">
      <c r="A639" t="n">
        <v>1777294802</v>
      </c>
      <c r="B639" t="inlineStr">
        <is>
          <t>XAUUSD</t>
        </is>
      </c>
      <c r="C639" t="inlineStr">
        <is>
          <t>M15</t>
        </is>
      </c>
      <c r="D639" t="n">
        <v>4695.99</v>
      </c>
      <c r="E639" t="n">
        <v>4518.59282</v>
      </c>
      <c r="F639" t="n">
        <v>4596.05595</v>
      </c>
      <c r="G639" t="n">
        <v>4755.40355</v>
      </c>
      <c r="H639" t="n">
        <v>4792.76972</v>
      </c>
      <c r="Q639" t="n">
        <v>4647.17393</v>
      </c>
      <c r="R639" t="n">
        <v>4676.53723</v>
      </c>
      <c r="S639" t="n">
        <v>4703.126</v>
      </c>
      <c r="V639" t="n">
        <v>4612.23416</v>
      </c>
      <c r="W639" t="n">
        <v>4578.66916</v>
      </c>
      <c r="AB639" t="n">
        <v>4698.91004</v>
      </c>
      <c r="AC639" t="n">
        <v>4700.23968</v>
      </c>
      <c r="AD639" t="n">
        <v>0</v>
      </c>
      <c r="AE639">
        <f>AE638+1</f>
        <v/>
      </c>
      <c r="AF639">
        <f>AF638+1</f>
        <v/>
      </c>
      <c r="AG639">
        <f>D639-Q639</f>
        <v/>
      </c>
      <c r="AH639">
        <f>AG639^2</f>
        <v/>
      </c>
      <c r="AI639">
        <f>(AG639/STDEV($AG$3:$AG$1137))^3</f>
        <v/>
      </c>
      <c r="AJ639">
        <f>(AG639/STDEV($AG$3:$AG$1137))^4</f>
        <v/>
      </c>
      <c r="AK639">
        <f>AF639^2</f>
        <v/>
      </c>
      <c r="AL639">
        <f>IF(AD639=1,AB639,IF(AL638&lt;&gt;"",AL638,""))</f>
        <v/>
      </c>
      <c r="AM639">
        <f>IF(AND(AD639=1,AL638&lt;&gt;""),ABS(AB639-AL638),"")</f>
        <v/>
      </c>
    </row>
    <row r="640">
      <c r="A640" t="n">
        <v>1777295702</v>
      </c>
      <c r="B640" t="inlineStr">
        <is>
          <t>XAUUSD</t>
        </is>
      </c>
      <c r="C640" t="inlineStr">
        <is>
          <t>M15</t>
        </is>
      </c>
      <c r="D640" t="n">
        <v>4699.95</v>
      </c>
      <c r="E640" t="n">
        <v>4518.59282</v>
      </c>
      <c r="F640" t="n">
        <v>4596.05595</v>
      </c>
      <c r="G640" t="n">
        <v>4755.40355</v>
      </c>
      <c r="H640" t="n">
        <v>4792.76972</v>
      </c>
      <c r="Q640" t="n">
        <v>4646.90632</v>
      </c>
      <c r="R640" t="n">
        <v>4676.26962</v>
      </c>
      <c r="S640" t="n">
        <v>4702.85839</v>
      </c>
      <c r="V640" t="n">
        <v>4611.96655</v>
      </c>
      <c r="W640" t="n">
        <v>4578.40156</v>
      </c>
      <c r="AB640" t="n">
        <v>4697.58016</v>
      </c>
      <c r="AC640" t="n">
        <v>4698.90992</v>
      </c>
      <c r="AD640" t="n">
        <v>0</v>
      </c>
      <c r="AE640">
        <f>AE639+1</f>
        <v/>
      </c>
      <c r="AF640">
        <f>AF639+1</f>
        <v/>
      </c>
      <c r="AG640">
        <f>D640-Q640</f>
        <v/>
      </c>
      <c r="AH640">
        <f>AG640^2</f>
        <v/>
      </c>
      <c r="AI640">
        <f>(AG640/STDEV($AG$3:$AG$1137))^3</f>
        <v/>
      </c>
      <c r="AJ640">
        <f>(AG640/STDEV($AG$3:$AG$1137))^4</f>
        <v/>
      </c>
      <c r="AK640">
        <f>AF640^2</f>
        <v/>
      </c>
      <c r="AL640">
        <f>IF(AD640=1,AB640,IF(AL639&lt;&gt;"",AL639,""))</f>
        <v/>
      </c>
      <c r="AM640">
        <f>IF(AND(AD640=1,AL639&lt;&gt;""),ABS(AB640-AL639),"")</f>
        <v/>
      </c>
    </row>
    <row r="641">
      <c r="A641" t="n">
        <v>1777296602</v>
      </c>
      <c r="B641" t="inlineStr">
        <is>
          <t>XAUUSD</t>
        </is>
      </c>
      <c r="C641" t="inlineStr">
        <is>
          <t>M15</t>
        </is>
      </c>
      <c r="D641" t="n">
        <v>4693.29</v>
      </c>
      <c r="E641" t="n">
        <v>4518.59282</v>
      </c>
      <c r="F641" t="n">
        <v>4596.05595</v>
      </c>
      <c r="G641" t="n">
        <v>4755.40355</v>
      </c>
      <c r="H641" t="n">
        <v>4792.76972</v>
      </c>
      <c r="Q641" t="n">
        <v>4646.63872</v>
      </c>
      <c r="R641" t="n">
        <v>4676.00202</v>
      </c>
      <c r="S641" t="n">
        <v>4702.59079</v>
      </c>
      <c r="V641" t="n">
        <v>4611.69895</v>
      </c>
      <c r="W641" t="n">
        <v>4578.13395</v>
      </c>
      <c r="AB641" t="n">
        <v>4696.02414</v>
      </c>
      <c r="AC641" t="n">
        <v>4697.46703</v>
      </c>
      <c r="AD641" t="n">
        <v>0</v>
      </c>
      <c r="AE641">
        <f>AE640+1</f>
        <v/>
      </c>
      <c r="AF641">
        <f>AF640+1</f>
        <v/>
      </c>
      <c r="AG641">
        <f>D641-Q641</f>
        <v/>
      </c>
      <c r="AH641">
        <f>AG641^2</f>
        <v/>
      </c>
      <c r="AI641">
        <f>(AG641/STDEV($AG$3:$AG$1137))^3</f>
        <v/>
      </c>
      <c r="AJ641">
        <f>(AG641/STDEV($AG$3:$AG$1137))^4</f>
        <v/>
      </c>
      <c r="AK641">
        <f>AF641^2</f>
        <v/>
      </c>
      <c r="AL641">
        <f>IF(AD641=1,AB641,IF(AL640&lt;&gt;"",AL640,""))</f>
        <v/>
      </c>
      <c r="AM641">
        <f>IF(AND(AD641=1,AL640&lt;&gt;""),ABS(AB641-AL640),"")</f>
        <v/>
      </c>
    </row>
    <row r="642">
      <c r="A642" t="n">
        <v>1777297502</v>
      </c>
      <c r="B642" t="inlineStr">
        <is>
          <t>XAUUSD</t>
        </is>
      </c>
      <c r="C642" t="inlineStr">
        <is>
          <t>M15</t>
        </is>
      </c>
      <c r="D642" t="n">
        <v>4696.1</v>
      </c>
      <c r="E642" t="n">
        <v>4518.59282</v>
      </c>
      <c r="F642" t="n">
        <v>4596.05595</v>
      </c>
      <c r="G642" t="n">
        <v>4755.40355</v>
      </c>
      <c r="H642" t="n">
        <v>4792.76972</v>
      </c>
      <c r="Q642" t="n">
        <v>4646.37111</v>
      </c>
      <c r="R642" t="n">
        <v>4675.73441</v>
      </c>
      <c r="S642" t="n">
        <v>4702.32318</v>
      </c>
      <c r="V642" t="n">
        <v>4611.43134</v>
      </c>
      <c r="W642" t="n">
        <v>4577.86635</v>
      </c>
      <c r="AB642" t="n">
        <v>4694.24443</v>
      </c>
      <c r="AC642" t="n">
        <v>4695.85573</v>
      </c>
      <c r="AD642" t="n">
        <v>0</v>
      </c>
      <c r="AE642">
        <f>AE641+1</f>
        <v/>
      </c>
      <c r="AF642">
        <f>AF641+1</f>
        <v/>
      </c>
      <c r="AG642">
        <f>D642-Q642</f>
        <v/>
      </c>
      <c r="AH642">
        <f>AG642^2</f>
        <v/>
      </c>
      <c r="AI642">
        <f>(AG642/STDEV($AG$3:$AG$1137))^3</f>
        <v/>
      </c>
      <c r="AJ642">
        <f>(AG642/STDEV($AG$3:$AG$1137))^4</f>
        <v/>
      </c>
      <c r="AK642">
        <f>AF642^2</f>
        <v/>
      </c>
      <c r="AL642">
        <f>IF(AD642=1,AB642,IF(AL641&lt;&gt;"",AL641,""))</f>
        <v/>
      </c>
      <c r="AM642">
        <f>IF(AND(AD642=1,AL641&lt;&gt;""),ABS(AB642-AL641),"")</f>
        <v/>
      </c>
    </row>
    <row r="643">
      <c r="A643" t="n">
        <v>1777298402</v>
      </c>
      <c r="B643" t="inlineStr">
        <is>
          <t>XAUUSD</t>
        </is>
      </c>
      <c r="C643" t="inlineStr">
        <is>
          <t>M15</t>
        </is>
      </c>
      <c r="D643" t="n">
        <v>4692.58</v>
      </c>
      <c r="E643" t="n">
        <v>4518.59282</v>
      </c>
      <c r="F643" t="n">
        <v>4596.05595</v>
      </c>
      <c r="G643" t="n">
        <v>4755.40355</v>
      </c>
      <c r="H643" t="n">
        <v>4792.76972</v>
      </c>
      <c r="Q643" t="n">
        <v>4646.10351</v>
      </c>
      <c r="R643" t="n">
        <v>4675.46681</v>
      </c>
      <c r="S643" t="n">
        <v>4702.05558</v>
      </c>
      <c r="V643" t="n">
        <v>4611.16374</v>
      </c>
      <c r="W643" t="n">
        <v>4577.59874</v>
      </c>
      <c r="AB643" t="n">
        <v>4692.03017</v>
      </c>
      <c r="AC643" t="n">
        <v>4693.94295</v>
      </c>
      <c r="AD643" t="n">
        <v>0</v>
      </c>
      <c r="AE643">
        <f>AE642+1</f>
        <v/>
      </c>
      <c r="AF643">
        <f>AF642+1</f>
        <v/>
      </c>
      <c r="AG643">
        <f>D643-Q643</f>
        <v/>
      </c>
      <c r="AH643">
        <f>AG643^2</f>
        <v/>
      </c>
      <c r="AI643">
        <f>(AG643/STDEV($AG$3:$AG$1137))^3</f>
        <v/>
      </c>
      <c r="AJ643">
        <f>(AG643/STDEV($AG$3:$AG$1137))^4</f>
        <v/>
      </c>
      <c r="AK643">
        <f>AF643^2</f>
        <v/>
      </c>
      <c r="AL643">
        <f>IF(AD643=1,AB643,IF(AL642&lt;&gt;"",AL642,""))</f>
        <v/>
      </c>
      <c r="AM643">
        <f>IF(AND(AD643=1,AL642&lt;&gt;""),ABS(AB643-AL642),"")</f>
        <v/>
      </c>
    </row>
    <row r="644">
      <c r="A644" t="n">
        <v>1777299302</v>
      </c>
      <c r="B644" t="inlineStr">
        <is>
          <t>XAUUSD</t>
        </is>
      </c>
      <c r="C644" t="inlineStr">
        <is>
          <t>M15</t>
        </is>
      </c>
      <c r="D644" t="n">
        <v>4689.03</v>
      </c>
      <c r="E644" t="n">
        <v>4518.59282</v>
      </c>
      <c r="F644" t="n">
        <v>4596.05595</v>
      </c>
      <c r="G644" t="n">
        <v>4755.40355</v>
      </c>
      <c r="H644" t="n">
        <v>4792.76972</v>
      </c>
      <c r="Q644" t="n">
        <v>4645.83591</v>
      </c>
      <c r="R644" t="n">
        <v>4675.1992</v>
      </c>
      <c r="S644" t="n">
        <v>4701.78798</v>
      </c>
      <c r="V644" t="n">
        <v>4610.89614</v>
      </c>
      <c r="W644" t="n">
        <v>4577.33114</v>
      </c>
      <c r="AB644" t="n">
        <v>4689.41482</v>
      </c>
      <c r="AC644" t="n">
        <v>4691.67888</v>
      </c>
      <c r="AD644" t="n">
        <v>0</v>
      </c>
      <c r="AE644">
        <f>AE643+1</f>
        <v/>
      </c>
      <c r="AF644">
        <f>AF643+1</f>
        <v/>
      </c>
      <c r="AG644">
        <f>D644-Q644</f>
        <v/>
      </c>
      <c r="AH644">
        <f>AG644^2</f>
        <v/>
      </c>
      <c r="AI644">
        <f>(AG644/STDEV($AG$3:$AG$1137))^3</f>
        <v/>
      </c>
      <c r="AJ644">
        <f>(AG644/STDEV($AG$3:$AG$1137))^4</f>
        <v/>
      </c>
      <c r="AK644">
        <f>AF644^2</f>
        <v/>
      </c>
      <c r="AL644">
        <f>IF(AD644=1,AB644,IF(AL643&lt;&gt;"",AL643,""))</f>
        <v/>
      </c>
      <c r="AM644">
        <f>IF(AND(AD644=1,AL643&lt;&gt;""),ABS(AB644-AL643),"")</f>
        <v/>
      </c>
    </row>
    <row r="645">
      <c r="A645" t="n">
        <v>1777300202</v>
      </c>
      <c r="B645" t="inlineStr">
        <is>
          <t>XAUUSD</t>
        </is>
      </c>
      <c r="C645" t="inlineStr">
        <is>
          <t>M15</t>
        </is>
      </c>
      <c r="D645" t="n">
        <v>4693.62</v>
      </c>
      <c r="E645" t="n">
        <v>4518.59282</v>
      </c>
      <c r="F645" t="n">
        <v>4596.05595</v>
      </c>
      <c r="G645" t="n">
        <v>4755.40355</v>
      </c>
      <c r="H645" t="n">
        <v>4792.76972</v>
      </c>
      <c r="Q645" t="n">
        <v>4645.5683</v>
      </c>
      <c r="R645" t="n">
        <v>4674.9316</v>
      </c>
      <c r="S645" t="n">
        <v>4701.52037</v>
      </c>
      <c r="V645" t="n">
        <v>4610.62853</v>
      </c>
      <c r="W645" t="n">
        <v>4577.06354</v>
      </c>
      <c r="AB645" t="n">
        <v>4686.49539</v>
      </c>
      <c r="AC645" t="n">
        <v>4689.08714</v>
      </c>
      <c r="AD645" t="n">
        <v>0</v>
      </c>
      <c r="AE645">
        <f>AE644+1</f>
        <v/>
      </c>
      <c r="AF645">
        <f>AF644+1</f>
        <v/>
      </c>
      <c r="AG645">
        <f>D645-Q645</f>
        <v/>
      </c>
      <c r="AH645">
        <f>AG645^2</f>
        <v/>
      </c>
      <c r="AI645">
        <f>(AG645/STDEV($AG$3:$AG$1137))^3</f>
        <v/>
      </c>
      <c r="AJ645">
        <f>(AG645/STDEV($AG$3:$AG$1137))^4</f>
        <v/>
      </c>
      <c r="AK645">
        <f>AF645^2</f>
        <v/>
      </c>
      <c r="AL645">
        <f>IF(AD645=1,AB645,IF(AL644&lt;&gt;"",AL644,""))</f>
        <v/>
      </c>
      <c r="AM645">
        <f>IF(AND(AD645=1,AL644&lt;&gt;""),ABS(AB645-AL644),"")</f>
        <v/>
      </c>
    </row>
    <row r="646">
      <c r="A646" t="n">
        <v>1777301102</v>
      </c>
      <c r="B646" t="inlineStr">
        <is>
          <t>XAUUSD</t>
        </is>
      </c>
      <c r="C646" t="inlineStr">
        <is>
          <t>M15</t>
        </is>
      </c>
      <c r="D646" t="n">
        <v>4678.21</v>
      </c>
      <c r="E646" t="n">
        <v>4518.59282</v>
      </c>
      <c r="F646" t="n">
        <v>4596.05595</v>
      </c>
      <c r="G646" t="n">
        <v>4755.40355</v>
      </c>
      <c r="H646" t="n">
        <v>4792.76972</v>
      </c>
      <c r="Q646" t="n">
        <v>4645.3007</v>
      </c>
      <c r="R646" t="n">
        <v>4674.664</v>
      </c>
      <c r="S646" t="n">
        <v>4701.25277</v>
      </c>
      <c r="V646" t="n">
        <v>4610.36093</v>
      </c>
      <c r="W646" t="n">
        <v>4576.79593</v>
      </c>
      <c r="AB646" t="n">
        <v>4683.22394</v>
      </c>
      <c r="AC646" t="n">
        <v>4686.15554</v>
      </c>
      <c r="AD646" t="n">
        <v>0</v>
      </c>
      <c r="AE646">
        <f>AE645+1</f>
        <v/>
      </c>
      <c r="AF646">
        <f>AF645+1</f>
        <v/>
      </c>
      <c r="AG646">
        <f>D646-Q646</f>
        <v/>
      </c>
      <c r="AH646">
        <f>AG646^2</f>
        <v/>
      </c>
      <c r="AI646">
        <f>(AG646/STDEV($AG$3:$AG$1137))^3</f>
        <v/>
      </c>
      <c r="AJ646">
        <f>(AG646/STDEV($AG$3:$AG$1137))^4</f>
        <v/>
      </c>
      <c r="AK646">
        <f>AF646^2</f>
        <v/>
      </c>
      <c r="AL646">
        <f>IF(AD646=1,AB646,IF(AL645&lt;&gt;"",AL645,""))</f>
        <v/>
      </c>
      <c r="AM646">
        <f>IF(AND(AD646=1,AL645&lt;&gt;""),ABS(AB646-AL645),"")</f>
        <v/>
      </c>
    </row>
    <row r="647">
      <c r="A647" t="n">
        <v>1777302002</v>
      </c>
      <c r="B647" t="inlineStr">
        <is>
          <t>XAUUSD</t>
        </is>
      </c>
      <c r="C647" t="inlineStr">
        <is>
          <t>M15</t>
        </is>
      </c>
      <c r="D647" t="n">
        <v>4674.65</v>
      </c>
      <c r="E647" t="n">
        <v>4518.59282</v>
      </c>
      <c r="F647" t="n">
        <v>4596.05595</v>
      </c>
      <c r="G647" t="n">
        <v>4755.40355</v>
      </c>
      <c r="H647" t="n">
        <v>4792.76972</v>
      </c>
      <c r="Q647" t="n">
        <v>4645.03309</v>
      </c>
      <c r="R647" t="n">
        <v>4674.39639</v>
      </c>
      <c r="S647" t="n">
        <v>4700.98516</v>
      </c>
      <c r="V647" t="n">
        <v>4610.09332</v>
      </c>
      <c r="W647" t="n">
        <v>4576.52833</v>
      </c>
      <c r="AA647" t="n">
        <v>4667.32</v>
      </c>
      <c r="AB647" t="n">
        <v>4680.18396</v>
      </c>
      <c r="AC647" t="n">
        <v>4683.16975</v>
      </c>
      <c r="AD647" t="n">
        <v>0</v>
      </c>
      <c r="AE647">
        <f>AE646+1</f>
        <v/>
      </c>
      <c r="AF647">
        <f>AF646+1</f>
        <v/>
      </c>
      <c r="AG647">
        <f>D647-Q647</f>
        <v/>
      </c>
      <c r="AH647">
        <f>AG647^2</f>
        <v/>
      </c>
      <c r="AI647">
        <f>(AG647/STDEV($AG$3:$AG$1137))^3</f>
        <v/>
      </c>
      <c r="AJ647">
        <f>(AG647/STDEV($AG$3:$AG$1137))^4</f>
        <v/>
      </c>
      <c r="AK647">
        <f>AF647^2</f>
        <v/>
      </c>
      <c r="AL647">
        <f>IF(AD647=1,AB647,IF(AL646&lt;&gt;"",AL646,""))</f>
        <v/>
      </c>
      <c r="AM647">
        <f>IF(AND(AD647=1,AL646&lt;&gt;""),ABS(AB647-AL646),"")</f>
        <v/>
      </c>
    </row>
    <row r="648">
      <c r="A648" t="n">
        <v>1777302902</v>
      </c>
      <c r="B648" t="inlineStr">
        <is>
          <t>XAUUSD</t>
        </is>
      </c>
      <c r="C648" t="inlineStr">
        <is>
          <t>M15</t>
        </is>
      </c>
      <c r="D648" t="n">
        <v>4681.21</v>
      </c>
      <c r="E648" t="n">
        <v>4518.59282</v>
      </c>
      <c r="F648" t="n">
        <v>4596.05595</v>
      </c>
      <c r="G648" t="n">
        <v>4755.40355</v>
      </c>
      <c r="H648" t="n">
        <v>4792.76972</v>
      </c>
      <c r="Q648" t="n">
        <v>4644.76549</v>
      </c>
      <c r="R648" t="n">
        <v>4674.12879</v>
      </c>
      <c r="S648" t="n">
        <v>4700.71756</v>
      </c>
      <c r="V648" t="n">
        <v>4609.82572</v>
      </c>
      <c r="W648" t="n">
        <v>4576.26072</v>
      </c>
      <c r="AB648" t="n">
        <v>4677.64149</v>
      </c>
      <c r="AC648" t="n">
        <v>4680.40562</v>
      </c>
      <c r="AD648" t="n">
        <v>0</v>
      </c>
      <c r="AE648">
        <f>AE647+1</f>
        <v/>
      </c>
      <c r="AF648">
        <f>AF647+1</f>
        <v/>
      </c>
      <c r="AG648">
        <f>D648-Q648</f>
        <v/>
      </c>
      <c r="AH648">
        <f>AG648^2</f>
        <v/>
      </c>
      <c r="AI648">
        <f>(AG648/STDEV($AG$3:$AG$1137))^3</f>
        <v/>
      </c>
      <c r="AJ648">
        <f>(AG648/STDEV($AG$3:$AG$1137))^4</f>
        <v/>
      </c>
      <c r="AK648">
        <f>AF648^2</f>
        <v/>
      </c>
      <c r="AL648">
        <f>IF(AD648=1,AB648,IF(AL647&lt;&gt;"",AL647,""))</f>
        <v/>
      </c>
      <c r="AM648">
        <f>IF(AND(AD648=1,AL647&lt;&gt;""),ABS(AB648-AL647),"")</f>
        <v/>
      </c>
    </row>
    <row r="649">
      <c r="A649" t="n">
        <v>1777303802</v>
      </c>
      <c r="B649" t="inlineStr">
        <is>
          <t>XAUUSD</t>
        </is>
      </c>
      <c r="C649" t="inlineStr">
        <is>
          <t>M15</t>
        </is>
      </c>
      <c r="D649" t="n">
        <v>4677.6</v>
      </c>
      <c r="E649" t="n">
        <v>4518.59282</v>
      </c>
      <c r="F649" t="n">
        <v>4596.05595</v>
      </c>
      <c r="G649" t="n">
        <v>4755.40355</v>
      </c>
      <c r="H649" t="n">
        <v>4792.76972</v>
      </c>
      <c r="Q649" t="n">
        <v>4644.49789</v>
      </c>
      <c r="R649" t="n">
        <v>4673.86118</v>
      </c>
      <c r="S649" t="n">
        <v>4700.44996</v>
      </c>
      <c r="V649" t="n">
        <v>4609.55812</v>
      </c>
      <c r="W649" t="n">
        <v>4575.99312</v>
      </c>
      <c r="AB649" t="n">
        <v>4675.56194</v>
      </c>
      <c r="AC649" t="n">
        <v>4677.98378</v>
      </c>
      <c r="AD649" t="n">
        <v>0</v>
      </c>
      <c r="AE649">
        <f>AE648+1</f>
        <v/>
      </c>
      <c r="AF649">
        <f>AF648+1</f>
        <v/>
      </c>
      <c r="AG649">
        <f>D649-Q649</f>
        <v/>
      </c>
      <c r="AH649">
        <f>AG649^2</f>
        <v/>
      </c>
      <c r="AI649">
        <f>(AG649/STDEV($AG$3:$AG$1137))^3</f>
        <v/>
      </c>
      <c r="AJ649">
        <f>(AG649/STDEV($AG$3:$AG$1137))^4</f>
        <v/>
      </c>
      <c r="AK649">
        <f>AF649^2</f>
        <v/>
      </c>
      <c r="AL649">
        <f>IF(AD649=1,AB649,IF(AL648&lt;&gt;"",AL648,""))</f>
        <v/>
      </c>
      <c r="AM649">
        <f>IF(AND(AD649=1,AL648&lt;&gt;""),ABS(AB649-AL648),"")</f>
        <v/>
      </c>
    </row>
    <row r="650">
      <c r="A650" t="n">
        <v>1777304702</v>
      </c>
      <c r="B650" t="inlineStr">
        <is>
          <t>XAUUSD</t>
        </is>
      </c>
      <c r="C650" t="inlineStr">
        <is>
          <t>M15</t>
        </is>
      </c>
      <c r="D650" t="n">
        <v>4670.04</v>
      </c>
      <c r="E650" t="n">
        <v>4518.59282</v>
      </c>
      <c r="F650" t="n">
        <v>4596.05595</v>
      </c>
      <c r="G650" t="n">
        <v>4755.40355</v>
      </c>
      <c r="H650" t="n">
        <v>4792.76972</v>
      </c>
      <c r="Q650" t="n">
        <v>4644.23028</v>
      </c>
      <c r="R650" t="n">
        <v>4673.59358</v>
      </c>
      <c r="S650" t="n">
        <v>4700.18235</v>
      </c>
      <c r="V650" t="n">
        <v>4609.29051</v>
      </c>
      <c r="W650" t="n">
        <v>4575.72551</v>
      </c>
      <c r="AB650" t="n">
        <v>4674.14335</v>
      </c>
      <c r="AC650" t="n">
        <v>4676.06356</v>
      </c>
      <c r="AD650" t="n">
        <v>0</v>
      </c>
      <c r="AE650">
        <f>AE649+1</f>
        <v/>
      </c>
      <c r="AF650">
        <f>AF649+1</f>
        <v/>
      </c>
      <c r="AG650">
        <f>D650-Q650</f>
        <v/>
      </c>
      <c r="AH650">
        <f>AG650^2</f>
        <v/>
      </c>
      <c r="AI650">
        <f>(AG650/STDEV($AG$3:$AG$1137))^3</f>
        <v/>
      </c>
      <c r="AJ650">
        <f>(AG650/STDEV($AG$3:$AG$1137))^4</f>
        <v/>
      </c>
      <c r="AK650">
        <f>AF650^2</f>
        <v/>
      </c>
      <c r="AL650">
        <f>IF(AD650=1,AB650,IF(AL649&lt;&gt;"",AL649,""))</f>
        <v/>
      </c>
      <c r="AM650">
        <f>IF(AND(AD650=1,AL649&lt;&gt;""),ABS(AB650-AL649),"")</f>
        <v/>
      </c>
    </row>
    <row r="651">
      <c r="A651" t="n">
        <v>1777305602</v>
      </c>
      <c r="B651" t="inlineStr">
        <is>
          <t>XAUUSD</t>
        </is>
      </c>
      <c r="C651" t="inlineStr">
        <is>
          <t>M15</t>
        </is>
      </c>
      <c r="D651" t="n">
        <v>4674.71</v>
      </c>
      <c r="E651" t="n">
        <v>4518.59282</v>
      </c>
      <c r="F651" t="n">
        <v>4596.05595</v>
      </c>
      <c r="G651" t="n">
        <v>4755.40355</v>
      </c>
      <c r="H651" t="n">
        <v>4792.76972</v>
      </c>
      <c r="Q651" t="n">
        <v>4643.96268</v>
      </c>
      <c r="R651" t="n">
        <v>4673.32598</v>
      </c>
      <c r="S651" t="n">
        <v>4699.91475</v>
      </c>
      <c r="V651" t="n">
        <v>4609.02291</v>
      </c>
      <c r="W651" t="n">
        <v>4575.45791</v>
      </c>
      <c r="AB651" t="n">
        <v>4673.64579</v>
      </c>
      <c r="AC651" t="n">
        <v>4674.85468</v>
      </c>
      <c r="AD651" t="n">
        <v>0</v>
      </c>
      <c r="AE651">
        <f>AE650+1</f>
        <v/>
      </c>
      <c r="AF651">
        <f>AF650+1</f>
        <v/>
      </c>
      <c r="AG651">
        <f>D651-Q651</f>
        <v/>
      </c>
      <c r="AH651">
        <f>AG651^2</f>
        <v/>
      </c>
      <c r="AI651">
        <f>(AG651/STDEV($AG$3:$AG$1137))^3</f>
        <v/>
      </c>
      <c r="AJ651">
        <f>(AG651/STDEV($AG$3:$AG$1137))^4</f>
        <v/>
      </c>
      <c r="AK651">
        <f>AF651^2</f>
        <v/>
      </c>
      <c r="AL651">
        <f>IF(AD651=1,AB651,IF(AL650&lt;&gt;"",AL650,""))</f>
        <v/>
      </c>
      <c r="AM651">
        <f>IF(AND(AD651=1,AL650&lt;&gt;""),ABS(AB651-AL650),"")</f>
        <v/>
      </c>
    </row>
    <row r="652">
      <c r="A652" t="n">
        <v>1777306502</v>
      </c>
      <c r="B652" t="inlineStr">
        <is>
          <t>XAUUSD</t>
        </is>
      </c>
      <c r="C652" t="inlineStr">
        <is>
          <t>M15</t>
        </is>
      </c>
      <c r="D652" t="n">
        <v>4676.38</v>
      </c>
      <c r="E652" t="n">
        <v>4518.59282</v>
      </c>
      <c r="F652" t="n">
        <v>4596.05595</v>
      </c>
      <c r="G652" t="n">
        <v>4755.40355</v>
      </c>
      <c r="H652" t="n">
        <v>4792.76972</v>
      </c>
      <c r="Q652" t="n">
        <v>4643.69507</v>
      </c>
      <c r="R652" t="n">
        <v>4673.05837</v>
      </c>
      <c r="S652" t="n">
        <v>4699.64714</v>
      </c>
      <c r="V652" t="n">
        <v>4608.7553</v>
      </c>
      <c r="W652" t="n">
        <v>4575.19031</v>
      </c>
      <c r="AB652" t="n">
        <v>4673.90416</v>
      </c>
      <c r="AC652" t="n">
        <v>4674.37942</v>
      </c>
      <c r="AD652" t="n">
        <v>0</v>
      </c>
      <c r="AE652">
        <f>AE651+1</f>
        <v/>
      </c>
      <c r="AF652">
        <f>AF651+1</f>
        <v/>
      </c>
      <c r="AG652">
        <f>D652-Q652</f>
        <v/>
      </c>
      <c r="AH652">
        <f>AG652^2</f>
        <v/>
      </c>
      <c r="AI652">
        <f>(AG652/STDEV($AG$3:$AG$1137))^3</f>
        <v/>
      </c>
      <c r="AJ652">
        <f>(AG652/STDEV($AG$3:$AG$1137))^4</f>
        <v/>
      </c>
      <c r="AK652">
        <f>AF652^2</f>
        <v/>
      </c>
      <c r="AL652">
        <f>IF(AD652=1,AB652,IF(AL651&lt;&gt;"",AL651,""))</f>
        <v/>
      </c>
      <c r="AM652">
        <f>IF(AND(AD652=1,AL651&lt;&gt;""),ABS(AB652-AL651),"")</f>
        <v/>
      </c>
    </row>
    <row r="653">
      <c r="A653" t="n">
        <v>1777307402</v>
      </c>
      <c r="B653" t="inlineStr">
        <is>
          <t>XAUUSD</t>
        </is>
      </c>
      <c r="C653" t="inlineStr">
        <is>
          <t>M15</t>
        </is>
      </c>
      <c r="D653" t="n">
        <v>4674.98</v>
      </c>
      <c r="E653" t="n">
        <v>4518.59282</v>
      </c>
      <c r="F653" t="n">
        <v>4596.05595</v>
      </c>
      <c r="G653" t="n">
        <v>4755.40355</v>
      </c>
      <c r="H653" t="n">
        <v>4792.76972</v>
      </c>
      <c r="Q653" t="n">
        <v>4643.42747</v>
      </c>
      <c r="R653" t="n">
        <v>4672.79077</v>
      </c>
      <c r="S653" t="n">
        <v>4699.37954</v>
      </c>
      <c r="V653" t="n">
        <v>4608.4877</v>
      </c>
      <c r="W653" t="n">
        <v>4574.9227</v>
      </c>
      <c r="AB653" t="n">
        <v>4674.77658</v>
      </c>
      <c r="AC653" t="n">
        <v>4674.578</v>
      </c>
      <c r="AD653" t="n">
        <v>1</v>
      </c>
      <c r="AE653">
        <f>AE652+1</f>
        <v/>
      </c>
      <c r="AF653">
        <f>AF652+1</f>
        <v/>
      </c>
      <c r="AG653">
        <f>D653-Q653</f>
        <v/>
      </c>
      <c r="AH653">
        <f>AG653^2</f>
        <v/>
      </c>
      <c r="AI653">
        <f>(AG653/STDEV($AG$3:$AG$1137))^3</f>
        <v/>
      </c>
      <c r="AJ653">
        <f>(AG653/STDEV($AG$3:$AG$1137))^4</f>
        <v/>
      </c>
      <c r="AK653">
        <f>AF653^2</f>
        <v/>
      </c>
      <c r="AL653">
        <f>IF(AD653=1,AB653,IF(AL652&lt;&gt;"",AL652,""))</f>
        <v/>
      </c>
      <c r="AM653">
        <f>IF(AND(AD653=1,AL652&lt;&gt;""),ABS(AB653-AL652),"")</f>
        <v/>
      </c>
    </row>
    <row r="654">
      <c r="A654" t="n">
        <v>1777308302</v>
      </c>
      <c r="B654" t="inlineStr">
        <is>
          <t>XAUUSD</t>
        </is>
      </c>
      <c r="C654" t="inlineStr">
        <is>
          <t>M15</t>
        </is>
      </c>
      <c r="D654" t="n">
        <v>4676.82</v>
      </c>
      <c r="E654" t="n">
        <v>4518.59282</v>
      </c>
      <c r="F654" t="n">
        <v>4596.05595</v>
      </c>
      <c r="G654" t="n">
        <v>4755.40355</v>
      </c>
      <c r="H654" t="n">
        <v>4792.76972</v>
      </c>
      <c r="Q654" t="n">
        <v>4643.15986</v>
      </c>
      <c r="R654" t="n">
        <v>4672.52316</v>
      </c>
      <c r="S654" t="n">
        <v>4699.11193</v>
      </c>
      <c r="V654" t="n">
        <v>4608.22009</v>
      </c>
      <c r="W654" t="n">
        <v>4574.6551</v>
      </c>
      <c r="AB654" t="n">
        <v>4676.14779</v>
      </c>
      <c r="AC654" t="n">
        <v>4675.36289</v>
      </c>
      <c r="AD654" t="n">
        <v>0</v>
      </c>
      <c r="AE654">
        <f>AE653+1</f>
        <v/>
      </c>
      <c r="AF654">
        <f>AF653+1</f>
        <v/>
      </c>
      <c r="AG654">
        <f>D654-Q654</f>
        <v/>
      </c>
      <c r="AH654">
        <f>AG654^2</f>
        <v/>
      </c>
      <c r="AI654">
        <f>(AG654/STDEV($AG$3:$AG$1137))^3</f>
        <v/>
      </c>
      <c r="AJ654">
        <f>(AG654/STDEV($AG$3:$AG$1137))^4</f>
        <v/>
      </c>
      <c r="AK654">
        <f>AF654^2</f>
        <v/>
      </c>
      <c r="AL654">
        <f>IF(AD654=1,AB654,IF(AL653&lt;&gt;"",AL653,""))</f>
        <v/>
      </c>
      <c r="AM654">
        <f>IF(AND(AD654=1,AL653&lt;&gt;""),ABS(AB654-AL653),"")</f>
        <v/>
      </c>
    </row>
    <row r="655">
      <c r="A655" t="n">
        <v>1777309202</v>
      </c>
      <c r="B655" t="inlineStr">
        <is>
          <t>XAUUSD</t>
        </is>
      </c>
      <c r="C655" t="inlineStr">
        <is>
          <t>M15</t>
        </is>
      </c>
      <c r="D655" t="n">
        <v>4673.86</v>
      </c>
      <c r="E655" t="n">
        <v>4518.59282</v>
      </c>
      <c r="F655" t="n">
        <v>4596.05595</v>
      </c>
      <c r="G655" t="n">
        <v>4755.40355</v>
      </c>
      <c r="H655" t="n">
        <v>4792.76972</v>
      </c>
      <c r="Q655" t="n">
        <v>4642.89226</v>
      </c>
      <c r="R655" t="n">
        <v>4672.25556</v>
      </c>
      <c r="S655" t="n">
        <v>4698.84433</v>
      </c>
      <c r="V655" t="n">
        <v>4607.95249</v>
      </c>
      <c r="W655" t="n">
        <v>4574.38749</v>
      </c>
      <c r="AB655" t="n">
        <v>4677.78048</v>
      </c>
      <c r="AC655" t="n">
        <v>4676.57168</v>
      </c>
      <c r="AD655" t="n">
        <v>0</v>
      </c>
      <c r="AE655">
        <f>AE654+1</f>
        <v/>
      </c>
      <c r="AF655">
        <f>AF654+1</f>
        <v/>
      </c>
      <c r="AG655">
        <f>D655-Q655</f>
        <v/>
      </c>
      <c r="AH655">
        <f>AG655^2</f>
        <v/>
      </c>
      <c r="AI655">
        <f>(AG655/STDEV($AG$3:$AG$1137))^3</f>
        <v/>
      </c>
      <c r="AJ655">
        <f>(AG655/STDEV($AG$3:$AG$1137))^4</f>
        <v/>
      </c>
      <c r="AK655">
        <f>AF655^2</f>
        <v/>
      </c>
      <c r="AL655">
        <f>IF(AD655=1,AB655,IF(AL654&lt;&gt;"",AL654,""))</f>
        <v/>
      </c>
      <c r="AM655">
        <f>IF(AND(AD655=1,AL654&lt;&gt;""),ABS(AB655-AL654),"")</f>
        <v/>
      </c>
    </row>
    <row r="656">
      <c r="A656" t="n">
        <v>1777310102</v>
      </c>
      <c r="B656" t="inlineStr">
        <is>
          <t>XAUUSD</t>
        </is>
      </c>
      <c r="C656" t="inlineStr">
        <is>
          <t>M15</t>
        </is>
      </c>
      <c r="D656" t="n">
        <v>4679.82</v>
      </c>
      <c r="E656" t="n">
        <v>4518.59282</v>
      </c>
      <c r="F656" t="n">
        <v>4596.05595</v>
      </c>
      <c r="G656" t="n">
        <v>4755.40355</v>
      </c>
      <c r="H656" t="n">
        <v>4792.76972</v>
      </c>
      <c r="Q656" t="n">
        <v>4642.62466</v>
      </c>
      <c r="R656" t="n">
        <v>4671.98796</v>
      </c>
      <c r="S656" t="n">
        <v>4698.57673</v>
      </c>
      <c r="V656" t="n">
        <v>4607.68489</v>
      </c>
      <c r="W656" t="n">
        <v>4574.11989</v>
      </c>
      <c r="AB656" t="n">
        <v>4679.54734</v>
      </c>
      <c r="AC656" t="n">
        <v>4678.05951</v>
      </c>
      <c r="AD656" t="n">
        <v>0</v>
      </c>
      <c r="AE656">
        <f>AE655+1</f>
        <v/>
      </c>
      <c r="AF656">
        <f>AF655+1</f>
        <v/>
      </c>
      <c r="AG656">
        <f>D656-Q656</f>
        <v/>
      </c>
      <c r="AH656">
        <f>AG656^2</f>
        <v/>
      </c>
      <c r="AI656">
        <f>(AG656/STDEV($AG$3:$AG$1137))^3</f>
        <v/>
      </c>
      <c r="AJ656">
        <f>(AG656/STDEV($AG$3:$AG$1137))^4</f>
        <v/>
      </c>
      <c r="AK656">
        <f>AF656^2</f>
        <v/>
      </c>
      <c r="AL656">
        <f>IF(AD656=1,AB656,IF(AL655&lt;&gt;"",AL655,""))</f>
        <v/>
      </c>
      <c r="AM656">
        <f>IF(AND(AD656=1,AL655&lt;&gt;""),ABS(AB656-AL655),"")</f>
        <v/>
      </c>
    </row>
    <row r="657">
      <c r="A657" t="n">
        <v>1777311002</v>
      </c>
      <c r="B657" t="inlineStr">
        <is>
          <t>XAUUSD</t>
        </is>
      </c>
      <c r="C657" t="inlineStr">
        <is>
          <t>M15</t>
        </is>
      </c>
      <c r="D657" t="n">
        <v>4683.29</v>
      </c>
      <c r="E657" t="n">
        <v>4518.59282</v>
      </c>
      <c r="F657" t="n">
        <v>4596.05595</v>
      </c>
      <c r="G657" t="n">
        <v>4755.40355</v>
      </c>
      <c r="H657" t="n">
        <v>4792.76972</v>
      </c>
      <c r="Q657" t="n">
        <v>4642.35705</v>
      </c>
      <c r="R657" t="n">
        <v>4671.72035</v>
      </c>
      <c r="S657" t="n">
        <v>4698.30912</v>
      </c>
      <c r="V657" t="n">
        <v>4607.41728</v>
      </c>
      <c r="W657" t="n">
        <v>4573.85229</v>
      </c>
      <c r="AB657" t="n">
        <v>4681.11203</v>
      </c>
      <c r="AC657" t="n">
        <v>4679.58577</v>
      </c>
      <c r="AD657" t="n">
        <v>0</v>
      </c>
      <c r="AE657">
        <f>AE656+1</f>
        <v/>
      </c>
      <c r="AF657">
        <f>AF656+1</f>
        <v/>
      </c>
      <c r="AG657">
        <f>D657-Q657</f>
        <v/>
      </c>
      <c r="AH657">
        <f>AG657^2</f>
        <v/>
      </c>
      <c r="AI657">
        <f>(AG657/STDEV($AG$3:$AG$1137))^3</f>
        <v/>
      </c>
      <c r="AJ657">
        <f>(AG657/STDEV($AG$3:$AG$1137))^4</f>
        <v/>
      </c>
      <c r="AK657">
        <f>AF657^2</f>
        <v/>
      </c>
      <c r="AL657">
        <f>IF(AD657=1,AB657,IF(AL656&lt;&gt;"",AL656,""))</f>
        <v/>
      </c>
      <c r="AM657">
        <f>IF(AND(AD657=1,AL656&lt;&gt;""),ABS(AB657-AL656),"")</f>
        <v/>
      </c>
    </row>
    <row r="658">
      <c r="A658" t="n">
        <v>1777311902</v>
      </c>
      <c r="B658" t="inlineStr">
        <is>
          <t>XAUUSD</t>
        </is>
      </c>
      <c r="C658" t="inlineStr">
        <is>
          <t>M15</t>
        </is>
      </c>
      <c r="D658" t="n">
        <v>4682.1</v>
      </c>
      <c r="E658" t="n">
        <v>4518.59282</v>
      </c>
      <c r="F658" t="n">
        <v>4596.05595</v>
      </c>
      <c r="G658" t="n">
        <v>4755.40355</v>
      </c>
      <c r="H658" t="n">
        <v>4792.76972</v>
      </c>
      <c r="Q658" t="n">
        <v>4642.08945</v>
      </c>
      <c r="R658" t="n">
        <v>4671.45275</v>
      </c>
      <c r="S658" t="n">
        <v>4698.04152</v>
      </c>
      <c r="V658" t="n">
        <v>4607.14968</v>
      </c>
      <c r="W658" t="n">
        <v>4573.58468</v>
      </c>
      <c r="AB658" t="n">
        <v>4682.21036</v>
      </c>
      <c r="AC658" t="n">
        <v>4680.89806</v>
      </c>
      <c r="AD658" t="n">
        <v>0</v>
      </c>
      <c r="AE658">
        <f>AE657+1</f>
        <v/>
      </c>
      <c r="AF658">
        <f>AF657+1</f>
        <v/>
      </c>
      <c r="AG658">
        <f>D658-Q658</f>
        <v/>
      </c>
      <c r="AH658">
        <f>AG658^2</f>
        <v/>
      </c>
      <c r="AI658">
        <f>(AG658/STDEV($AG$3:$AG$1137))^3</f>
        <v/>
      </c>
      <c r="AJ658">
        <f>(AG658/STDEV($AG$3:$AG$1137))^4</f>
        <v/>
      </c>
      <c r="AK658">
        <f>AF658^2</f>
        <v/>
      </c>
      <c r="AL658">
        <f>IF(AD658=1,AB658,IF(AL657&lt;&gt;"",AL657,""))</f>
        <v/>
      </c>
      <c r="AM658">
        <f>IF(AND(AD658=1,AL657&lt;&gt;""),ABS(AB658-AL657),"")</f>
        <v/>
      </c>
    </row>
    <row r="659">
      <c r="A659" t="n">
        <v>1777312802</v>
      </c>
      <c r="B659" t="inlineStr">
        <is>
          <t>XAUUSD</t>
        </is>
      </c>
      <c r="C659" t="inlineStr">
        <is>
          <t>M15</t>
        </is>
      </c>
      <c r="D659" t="n">
        <v>4681.62</v>
      </c>
      <c r="E659" t="n">
        <v>4518.59282</v>
      </c>
      <c r="F659" t="n">
        <v>4596.05595</v>
      </c>
      <c r="G659" t="n">
        <v>4755.40355</v>
      </c>
      <c r="H659" t="n">
        <v>4792.76972</v>
      </c>
      <c r="Q659" t="n">
        <v>4641.82184</v>
      </c>
      <c r="R659" t="n">
        <v>4671.18514</v>
      </c>
      <c r="S659" t="n">
        <v>4697.77391</v>
      </c>
      <c r="V659" t="n">
        <v>4606.88207</v>
      </c>
      <c r="W659" t="n">
        <v>4573.31708</v>
      </c>
      <c r="AB659" t="n">
        <v>4682.79255</v>
      </c>
      <c r="AC659" t="n">
        <v>4681.84531</v>
      </c>
      <c r="AD659" t="n">
        <v>0</v>
      </c>
      <c r="AE659">
        <f>AE658+1</f>
        <v/>
      </c>
      <c r="AF659">
        <f>AF658+1</f>
        <v/>
      </c>
      <c r="AG659">
        <f>D659-Q659</f>
        <v/>
      </c>
      <c r="AH659">
        <f>AG659^2</f>
        <v/>
      </c>
      <c r="AI659">
        <f>(AG659/STDEV($AG$3:$AG$1137))^3</f>
        <v/>
      </c>
      <c r="AJ659">
        <f>(AG659/STDEV($AG$3:$AG$1137))^4</f>
        <v/>
      </c>
      <c r="AK659">
        <f>AF659^2</f>
        <v/>
      </c>
      <c r="AL659">
        <f>IF(AD659=1,AB659,IF(AL658&lt;&gt;"",AL658,""))</f>
        <v/>
      </c>
      <c r="AM659">
        <f>IF(AND(AD659=1,AL658&lt;&gt;""),ABS(AB659-AL658),"")</f>
        <v/>
      </c>
    </row>
    <row r="660">
      <c r="A660" t="n">
        <v>1777313702</v>
      </c>
      <c r="B660" t="inlineStr">
        <is>
          <t>XAUUSD</t>
        </is>
      </c>
      <c r="C660" t="inlineStr">
        <is>
          <t>M15</t>
        </is>
      </c>
      <c r="D660" t="n">
        <v>4684.05</v>
      </c>
      <c r="E660" t="n">
        <v>4518.59282</v>
      </c>
      <c r="F660" t="n">
        <v>4596.05595</v>
      </c>
      <c r="G660" t="n">
        <v>4755.40355</v>
      </c>
      <c r="H660" t="n">
        <v>4792.76972</v>
      </c>
      <c r="Q660" t="n">
        <v>4641.55424</v>
      </c>
      <c r="R660" t="n">
        <v>4670.91754</v>
      </c>
      <c r="S660" t="n">
        <v>4697.50631</v>
      </c>
      <c r="V660" t="n">
        <v>4606.61447</v>
      </c>
      <c r="W660" t="n">
        <v>4573.04947</v>
      </c>
      <c r="AB660" t="n">
        <v>4682.87688</v>
      </c>
      <c r="AC660" t="n">
        <v>4682.36109</v>
      </c>
      <c r="AD660" t="n">
        <v>0</v>
      </c>
      <c r="AE660">
        <f>AE659+1</f>
        <v/>
      </c>
      <c r="AF660">
        <f>AF659+1</f>
        <v/>
      </c>
      <c r="AG660">
        <f>D660-Q660</f>
        <v/>
      </c>
      <c r="AH660">
        <f>AG660^2</f>
        <v/>
      </c>
      <c r="AI660">
        <f>(AG660/STDEV($AG$3:$AG$1137))^3</f>
        <v/>
      </c>
      <c r="AJ660">
        <f>(AG660/STDEV($AG$3:$AG$1137))^4</f>
        <v/>
      </c>
      <c r="AK660">
        <f>AF660^2</f>
        <v/>
      </c>
      <c r="AL660">
        <f>IF(AD660=1,AB660,IF(AL659&lt;&gt;"",AL659,""))</f>
        <v/>
      </c>
      <c r="AM660">
        <f>IF(AND(AD660=1,AL659&lt;&gt;""),ABS(AB660-AL659),"")</f>
        <v/>
      </c>
    </row>
    <row r="661">
      <c r="A661" t="n">
        <v>1777314602</v>
      </c>
      <c r="B661" t="inlineStr">
        <is>
          <t>XAUUSD</t>
        </is>
      </c>
      <c r="C661" t="inlineStr">
        <is>
          <t>M15</t>
        </is>
      </c>
      <c r="D661" t="n">
        <v>4682.77</v>
      </c>
      <c r="E661" t="n">
        <v>4518.59282</v>
      </c>
      <c r="F661" t="n">
        <v>4596.05595</v>
      </c>
      <c r="G661" t="n">
        <v>4755.40355</v>
      </c>
      <c r="H661" t="n">
        <v>4792.76972</v>
      </c>
      <c r="Q661" t="n">
        <v>4641.28664</v>
      </c>
      <c r="R661" t="n">
        <v>4670.64994</v>
      </c>
      <c r="S661" t="n">
        <v>4697.23871</v>
      </c>
      <c r="V661" t="n">
        <v>4606.34687</v>
      </c>
      <c r="W661" t="n">
        <v>4572.78187</v>
      </c>
      <c r="AB661" t="n">
        <v>4682.4821</v>
      </c>
      <c r="AC661" t="n">
        <v>4682.42159</v>
      </c>
      <c r="AD661" t="n">
        <v>0</v>
      </c>
      <c r="AE661">
        <f>AE660+1</f>
        <v/>
      </c>
      <c r="AF661">
        <f>AF660+1</f>
        <v/>
      </c>
      <c r="AG661">
        <f>D661-Q661</f>
        <v/>
      </c>
      <c r="AH661">
        <f>AG661^2</f>
        <v/>
      </c>
      <c r="AI661">
        <f>(AG661/STDEV($AG$3:$AG$1137))^3</f>
        <v/>
      </c>
      <c r="AJ661">
        <f>(AG661/STDEV($AG$3:$AG$1137))^4</f>
        <v/>
      </c>
      <c r="AK661">
        <f>AF661^2</f>
        <v/>
      </c>
      <c r="AL661">
        <f>IF(AD661=1,AB661,IF(AL660&lt;&gt;"",AL660,""))</f>
        <v/>
      </c>
      <c r="AM661">
        <f>IF(AND(AD661=1,AL660&lt;&gt;""),ABS(AB661-AL660),"")</f>
        <v/>
      </c>
    </row>
    <row r="662">
      <c r="A662" t="n">
        <v>1777315502</v>
      </c>
      <c r="B662" t="inlineStr">
        <is>
          <t>XAUUSD</t>
        </is>
      </c>
      <c r="C662" t="inlineStr">
        <is>
          <t>M15</t>
        </is>
      </c>
      <c r="D662" t="n">
        <v>4680.74</v>
      </c>
      <c r="E662" t="n">
        <v>4518.59282</v>
      </c>
      <c r="F662" t="n">
        <v>4596.05595</v>
      </c>
      <c r="G662" t="n">
        <v>4755.40355</v>
      </c>
      <c r="H662" t="n">
        <v>4792.76972</v>
      </c>
      <c r="Q662" t="n">
        <v>4641.01903</v>
      </c>
      <c r="R662" t="n">
        <v>4670.38233</v>
      </c>
      <c r="S662" t="n">
        <v>4696.9711</v>
      </c>
      <c r="V662" t="n">
        <v>4606.07926</v>
      </c>
      <c r="W662" t="n">
        <v>4572.51427</v>
      </c>
      <c r="AB662" t="n">
        <v>4681.79257</v>
      </c>
      <c r="AC662" t="n">
        <v>4682.10708</v>
      </c>
      <c r="AD662" t="n">
        <v>1</v>
      </c>
      <c r="AE662">
        <f>AE661+1</f>
        <v/>
      </c>
      <c r="AF662">
        <f>AF661+1</f>
        <v/>
      </c>
      <c r="AG662">
        <f>D662-Q662</f>
        <v/>
      </c>
      <c r="AH662">
        <f>AG662^2</f>
        <v/>
      </c>
      <c r="AI662">
        <f>(AG662/STDEV($AG$3:$AG$1137))^3</f>
        <v/>
      </c>
      <c r="AJ662">
        <f>(AG662/STDEV($AG$3:$AG$1137))^4</f>
        <v/>
      </c>
      <c r="AK662">
        <f>AF662^2</f>
        <v/>
      </c>
      <c r="AL662">
        <f>IF(AD662=1,AB662,IF(AL661&lt;&gt;"",AL661,""))</f>
        <v/>
      </c>
      <c r="AM662">
        <f>IF(AND(AD662=1,AL661&lt;&gt;""),ABS(AB662-AL661),"")</f>
        <v/>
      </c>
    </row>
    <row r="663">
      <c r="A663" t="n">
        <v>1777316402</v>
      </c>
      <c r="B663" t="inlineStr">
        <is>
          <t>XAUUSD</t>
        </is>
      </c>
      <c r="C663" t="inlineStr">
        <is>
          <t>M15</t>
        </is>
      </c>
      <c r="D663" t="n">
        <v>4680.36</v>
      </c>
      <c r="E663" t="n">
        <v>4518.59282</v>
      </c>
      <c r="F663" t="n">
        <v>4596.05595</v>
      </c>
      <c r="G663" t="n">
        <v>4755.40355</v>
      </c>
      <c r="H663" t="n">
        <v>4792.76972</v>
      </c>
      <c r="Q663" t="n">
        <v>4640.75143</v>
      </c>
      <c r="R663" t="n">
        <v>4670.11473</v>
      </c>
      <c r="S663" t="n">
        <v>4696.7035</v>
      </c>
      <c r="V663" t="n">
        <v>4605.81166</v>
      </c>
      <c r="W663" t="n">
        <v>4572.24666</v>
      </c>
      <c r="AB663" t="n">
        <v>4681.03923</v>
      </c>
      <c r="AC663" t="n">
        <v>4681.57316</v>
      </c>
      <c r="AD663" t="n">
        <v>0</v>
      </c>
      <c r="AE663">
        <f>AE662+1</f>
        <v/>
      </c>
      <c r="AF663">
        <f>AF662+1</f>
        <v/>
      </c>
      <c r="AG663">
        <f>D663-Q663</f>
        <v/>
      </c>
      <c r="AH663">
        <f>AG663^2</f>
        <v/>
      </c>
      <c r="AI663">
        <f>(AG663/STDEV($AG$3:$AG$1137))^3</f>
        <v/>
      </c>
      <c r="AJ663">
        <f>(AG663/STDEV($AG$3:$AG$1137))^4</f>
        <v/>
      </c>
      <c r="AK663">
        <f>AF663^2</f>
        <v/>
      </c>
      <c r="AL663">
        <f>IF(AD663=1,AB663,IF(AL662&lt;&gt;"",AL662,""))</f>
        <v/>
      </c>
      <c r="AM663">
        <f>IF(AND(AD663=1,AL662&lt;&gt;""),ABS(AB663-AL662),"")</f>
        <v/>
      </c>
    </row>
    <row r="664">
      <c r="A664" t="n">
        <v>1777317302</v>
      </c>
      <c r="B664" t="inlineStr">
        <is>
          <t>XAUUSD</t>
        </is>
      </c>
      <c r="C664" t="inlineStr">
        <is>
          <t>M15</t>
        </is>
      </c>
      <c r="D664" t="n">
        <v>4682.18</v>
      </c>
      <c r="E664" t="n">
        <v>4518.59282</v>
      </c>
      <c r="F664" t="n">
        <v>4596.05595</v>
      </c>
      <c r="G664" t="n">
        <v>4755.40355</v>
      </c>
      <c r="H664" t="n">
        <v>4792.76972</v>
      </c>
      <c r="Q664" t="n">
        <v>4640.48382</v>
      </c>
      <c r="R664" t="n">
        <v>4669.84712</v>
      </c>
      <c r="S664" t="n">
        <v>4696.43589</v>
      </c>
      <c r="V664" t="n">
        <v>4605.54405</v>
      </c>
      <c r="W664" t="n">
        <v>4571.97906</v>
      </c>
      <c r="AB664" t="n">
        <v>4680.41197</v>
      </c>
      <c r="AC664" t="n">
        <v>4680.99257</v>
      </c>
      <c r="AD664" t="n">
        <v>0</v>
      </c>
      <c r="AE664">
        <f>AE663+1</f>
        <v/>
      </c>
      <c r="AF664">
        <f>AF663+1</f>
        <v/>
      </c>
      <c r="AG664">
        <f>D664-Q664</f>
        <v/>
      </c>
      <c r="AH664">
        <f>AG664^2</f>
        <v/>
      </c>
      <c r="AI664">
        <f>(AG664/STDEV($AG$3:$AG$1137))^3</f>
        <v/>
      </c>
      <c r="AJ664">
        <f>(AG664/STDEV($AG$3:$AG$1137))^4</f>
        <v/>
      </c>
      <c r="AK664">
        <f>AF664^2</f>
        <v/>
      </c>
      <c r="AL664">
        <f>IF(AD664=1,AB664,IF(AL663&lt;&gt;"",AL663,""))</f>
        <v/>
      </c>
      <c r="AM664">
        <f>IF(AND(AD664=1,AL663&lt;&gt;""),ABS(AB664-AL663),"")</f>
        <v/>
      </c>
    </row>
    <row r="665">
      <c r="A665" t="n">
        <v>1777318202</v>
      </c>
      <c r="B665" t="inlineStr">
        <is>
          <t>XAUUSD</t>
        </is>
      </c>
      <c r="C665" t="inlineStr">
        <is>
          <t>M15</t>
        </is>
      </c>
      <c r="D665" t="n">
        <v>4679.98</v>
      </c>
      <c r="E665" t="n">
        <v>4518.59282</v>
      </c>
      <c r="F665" t="n">
        <v>4596.05595</v>
      </c>
      <c r="G665" t="n">
        <v>4755.40355</v>
      </c>
      <c r="H665" t="n">
        <v>4792.76972</v>
      </c>
      <c r="Q665" t="n">
        <v>4640.21622</v>
      </c>
      <c r="R665" t="n">
        <v>4669.57952</v>
      </c>
      <c r="S665" t="n">
        <v>4696.16829</v>
      </c>
      <c r="V665" t="n">
        <v>4605.27645</v>
      </c>
      <c r="W665" t="n">
        <v>4571.71145</v>
      </c>
      <c r="AB665" t="n">
        <v>4679.99435</v>
      </c>
      <c r="AC665" t="n">
        <v>4680.49346</v>
      </c>
      <c r="AD665" t="n">
        <v>0</v>
      </c>
      <c r="AE665">
        <f>AE664+1</f>
        <v/>
      </c>
      <c r="AF665">
        <f>AF664+1</f>
        <v/>
      </c>
      <c r="AG665">
        <f>D665-Q665</f>
        <v/>
      </c>
      <c r="AH665">
        <f>AG665^2</f>
        <v/>
      </c>
      <c r="AI665">
        <f>(AG665/STDEV($AG$3:$AG$1137))^3</f>
        <v/>
      </c>
      <c r="AJ665">
        <f>(AG665/STDEV($AG$3:$AG$1137))^4</f>
        <v/>
      </c>
      <c r="AK665">
        <f>AF665^2</f>
        <v/>
      </c>
      <c r="AL665">
        <f>IF(AD665=1,AB665,IF(AL664&lt;&gt;"",AL664,""))</f>
        <v/>
      </c>
      <c r="AM665">
        <f>IF(AND(AD665=1,AL664&lt;&gt;""),ABS(AB665-AL664),"")</f>
        <v/>
      </c>
    </row>
    <row r="666">
      <c r="A666" t="n">
        <v>1777319102</v>
      </c>
      <c r="B666" t="inlineStr">
        <is>
          <t>XAUUSD</t>
        </is>
      </c>
      <c r="C666" t="inlineStr">
        <is>
          <t>M15</t>
        </is>
      </c>
      <c r="D666" t="n">
        <v>4680.71</v>
      </c>
      <c r="E666" t="n">
        <v>4518.59282</v>
      </c>
      <c r="F666" t="n">
        <v>4596.05595</v>
      </c>
      <c r="G666" t="n">
        <v>4755.40355</v>
      </c>
      <c r="H666" t="n">
        <v>4792.76972</v>
      </c>
      <c r="Q666" t="n">
        <v>4639.94862</v>
      </c>
      <c r="R666" t="n">
        <v>4669.31191</v>
      </c>
      <c r="S666" t="n">
        <v>4695.90069</v>
      </c>
      <c r="V666" t="n">
        <v>4605.00885</v>
      </c>
      <c r="W666" t="n">
        <v>4571.44385</v>
      </c>
      <c r="AB666" t="n">
        <v>4679.92685</v>
      </c>
      <c r="AC666" t="n">
        <v>4680.21015</v>
      </c>
      <c r="AD666" t="n">
        <v>0</v>
      </c>
      <c r="AE666">
        <f>AE665+1</f>
        <v/>
      </c>
      <c r="AF666">
        <f>AF665+1</f>
        <v/>
      </c>
      <c r="AG666">
        <f>D666-Q666</f>
        <v/>
      </c>
      <c r="AH666">
        <f>AG666^2</f>
        <v/>
      </c>
      <c r="AI666">
        <f>(AG666/STDEV($AG$3:$AG$1137))^3</f>
        <v/>
      </c>
      <c r="AJ666">
        <f>(AG666/STDEV($AG$3:$AG$1137))^4</f>
        <v/>
      </c>
      <c r="AK666">
        <f>AF666^2</f>
        <v/>
      </c>
      <c r="AL666">
        <f>IF(AD666=1,AB666,IF(AL665&lt;&gt;"",AL665,""))</f>
        <v/>
      </c>
      <c r="AM666">
        <f>IF(AND(AD666=1,AL665&lt;&gt;""),ABS(AB666-AL665),"")</f>
        <v/>
      </c>
    </row>
    <row r="667">
      <c r="A667" t="n">
        <v>1777320002</v>
      </c>
      <c r="B667" t="inlineStr">
        <is>
          <t>XAUUSD</t>
        </is>
      </c>
      <c r="C667" t="inlineStr">
        <is>
          <t>M15</t>
        </is>
      </c>
      <c r="D667" t="n">
        <v>4679.22</v>
      </c>
      <c r="E667" t="n">
        <v>4518.59282</v>
      </c>
      <c r="F667" t="n">
        <v>4596.05595</v>
      </c>
      <c r="G667" t="n">
        <v>4755.40355</v>
      </c>
      <c r="H667" t="n">
        <v>4792.76972</v>
      </c>
      <c r="Q667" t="n">
        <v>4639.68101</v>
      </c>
      <c r="R667" t="n">
        <v>4669.04431</v>
      </c>
      <c r="S667" t="n">
        <v>4695.63308</v>
      </c>
      <c r="V667" t="n">
        <v>4604.74124</v>
      </c>
      <c r="W667" t="n">
        <v>4571.17625</v>
      </c>
      <c r="AB667" t="n">
        <v>4680.23188</v>
      </c>
      <c r="AC667" t="n">
        <v>4680.22102</v>
      </c>
      <c r="AD667" t="n">
        <v>1</v>
      </c>
      <c r="AE667">
        <f>AE666+1</f>
        <v/>
      </c>
      <c r="AF667">
        <f>AF666+1</f>
        <v/>
      </c>
      <c r="AG667">
        <f>D667-Q667</f>
        <v/>
      </c>
      <c r="AH667">
        <f>AG667^2</f>
        <v/>
      </c>
      <c r="AI667">
        <f>(AG667/STDEV($AG$3:$AG$1137))^3</f>
        <v/>
      </c>
      <c r="AJ667">
        <f>(AG667/STDEV($AG$3:$AG$1137))^4</f>
        <v/>
      </c>
      <c r="AK667">
        <f>AF667^2</f>
        <v/>
      </c>
      <c r="AL667">
        <f>IF(AD667=1,AB667,IF(AL666&lt;&gt;"",AL666,""))</f>
        <v/>
      </c>
      <c r="AM667">
        <f>IF(AND(AD667=1,AL666&lt;&gt;""),ABS(AB667-AL666),"")</f>
        <v/>
      </c>
    </row>
    <row r="668">
      <c r="A668" t="n">
        <v>1777320902</v>
      </c>
      <c r="B668" t="inlineStr">
        <is>
          <t>XAUUSD</t>
        </is>
      </c>
      <c r="C668" t="inlineStr">
        <is>
          <t>M15</t>
        </is>
      </c>
      <c r="D668" t="n">
        <v>4679.83</v>
      </c>
      <c r="E668" t="n">
        <v>4518.59282</v>
      </c>
      <c r="F668" t="n">
        <v>4596.05595</v>
      </c>
      <c r="G668" t="n">
        <v>4755.40355</v>
      </c>
      <c r="H668" t="n">
        <v>4792.76972</v>
      </c>
      <c r="Q668" t="n">
        <v>4639.41341</v>
      </c>
      <c r="R668" t="n">
        <v>4668.77671</v>
      </c>
      <c r="S668" t="n">
        <v>4695.36548</v>
      </c>
      <c r="V668" t="n">
        <v>4604.47364</v>
      </c>
      <c r="W668" t="n">
        <v>4570.90864</v>
      </c>
      <c r="AB668" t="n">
        <v>4680.95346</v>
      </c>
      <c r="AC668" t="n">
        <v>4680.58724</v>
      </c>
      <c r="AD668" t="n">
        <v>0</v>
      </c>
      <c r="AE668">
        <f>AE667+1</f>
        <v/>
      </c>
      <c r="AF668">
        <f>AF667+1</f>
        <v/>
      </c>
      <c r="AG668">
        <f>D668-Q668</f>
        <v/>
      </c>
      <c r="AH668">
        <f>AG668^2</f>
        <v/>
      </c>
      <c r="AI668">
        <f>(AG668/STDEV($AG$3:$AG$1137))^3</f>
        <v/>
      </c>
      <c r="AJ668">
        <f>(AG668/STDEV($AG$3:$AG$1137))^4</f>
        <v/>
      </c>
      <c r="AK668">
        <f>AF668^2</f>
        <v/>
      </c>
      <c r="AL668">
        <f>IF(AD668=1,AB668,IF(AL667&lt;&gt;"",AL667,""))</f>
        <v/>
      </c>
      <c r="AM668">
        <f>IF(AND(AD668=1,AL667&lt;&gt;""),ABS(AB668-AL667),"")</f>
        <v/>
      </c>
    </row>
    <row r="669">
      <c r="A669" t="n">
        <v>1777321802</v>
      </c>
      <c r="B669" t="inlineStr">
        <is>
          <t>XAUUSD</t>
        </is>
      </c>
      <c r="C669" t="inlineStr">
        <is>
          <t>M15</t>
        </is>
      </c>
      <c r="D669" t="n">
        <v>4680.18</v>
      </c>
      <c r="E669" t="n">
        <v>4518.59282</v>
      </c>
      <c r="F669" t="n">
        <v>4596.05595</v>
      </c>
      <c r="G669" t="n">
        <v>4755.40355</v>
      </c>
      <c r="H669" t="n">
        <v>4792.76972</v>
      </c>
      <c r="Q669" t="n">
        <v>4639.1458</v>
      </c>
      <c r="R669" t="n">
        <v>4668.5091</v>
      </c>
      <c r="S669" t="n">
        <v>4695.09787</v>
      </c>
      <c r="V669" t="n">
        <v>4604.20603</v>
      </c>
      <c r="W669" t="n">
        <v>4570.64104</v>
      </c>
      <c r="AB669" t="n">
        <v>4682.03664</v>
      </c>
      <c r="AC669" t="n">
        <v>4681.31194</v>
      </c>
      <c r="AD669" t="n">
        <v>0</v>
      </c>
      <c r="AE669">
        <f>AE668+1</f>
        <v/>
      </c>
      <c r="AF669">
        <f>AF668+1</f>
        <v/>
      </c>
      <c r="AG669">
        <f>D669-Q669</f>
        <v/>
      </c>
      <c r="AH669">
        <f>AG669^2</f>
        <v/>
      </c>
      <c r="AI669">
        <f>(AG669/STDEV($AG$3:$AG$1137))^3</f>
        <v/>
      </c>
      <c r="AJ669">
        <f>(AG669/STDEV($AG$3:$AG$1137))^4</f>
        <v/>
      </c>
      <c r="AK669">
        <f>AF669^2</f>
        <v/>
      </c>
      <c r="AL669">
        <f>IF(AD669=1,AB669,IF(AL668&lt;&gt;"",AL668,""))</f>
        <v/>
      </c>
      <c r="AM669">
        <f>IF(AND(AD669=1,AL668&lt;&gt;""),ABS(AB669-AL668),"")</f>
        <v/>
      </c>
    </row>
    <row r="670">
      <c r="A670" t="n">
        <v>1777322702</v>
      </c>
      <c r="B670" t="inlineStr">
        <is>
          <t>XAUUSD</t>
        </is>
      </c>
      <c r="C670" t="inlineStr">
        <is>
          <t>M15</t>
        </is>
      </c>
      <c r="D670" t="n">
        <v>4681.84</v>
      </c>
      <c r="E670" t="n">
        <v>4518.59282</v>
      </c>
      <c r="F670" t="n">
        <v>4596.05595</v>
      </c>
      <c r="G670" t="n">
        <v>4755.40355</v>
      </c>
      <c r="H670" t="n">
        <v>4792.76972</v>
      </c>
      <c r="Q670" t="n">
        <v>4638.8782</v>
      </c>
      <c r="R670" t="n">
        <v>4668.2415</v>
      </c>
      <c r="S670" t="n">
        <v>4694.83027</v>
      </c>
      <c r="V670" t="n">
        <v>4603.93843</v>
      </c>
      <c r="W670" t="n">
        <v>4570.37343</v>
      </c>
      <c r="AB670" t="n">
        <v>4683.43108</v>
      </c>
      <c r="AC670" t="n">
        <v>4682.37151</v>
      </c>
      <c r="AD670" t="n">
        <v>0</v>
      </c>
      <c r="AE670">
        <f>AE669+1</f>
        <v/>
      </c>
      <c r="AF670">
        <f>AF669+1</f>
        <v/>
      </c>
      <c r="AG670">
        <f>D670-Q670</f>
        <v/>
      </c>
      <c r="AH670">
        <f>AG670^2</f>
        <v/>
      </c>
      <c r="AI670">
        <f>(AG670/STDEV($AG$3:$AG$1137))^3</f>
        <v/>
      </c>
      <c r="AJ670">
        <f>(AG670/STDEV($AG$3:$AG$1137))^4</f>
        <v/>
      </c>
      <c r="AK670">
        <f>AF670^2</f>
        <v/>
      </c>
      <c r="AL670">
        <f>IF(AD670=1,AB670,IF(AL669&lt;&gt;"",AL669,""))</f>
        <v/>
      </c>
      <c r="AM670">
        <f>IF(AND(AD670=1,AL669&lt;&gt;""),ABS(AB670-AL669),"")</f>
        <v/>
      </c>
    </row>
    <row r="671">
      <c r="A671" t="n">
        <v>1777327202</v>
      </c>
      <c r="B671" t="inlineStr">
        <is>
          <t>XAUUSD</t>
        </is>
      </c>
      <c r="C671" t="inlineStr">
        <is>
          <t>M15</t>
        </is>
      </c>
      <c r="D671" t="n">
        <v>4689.32</v>
      </c>
      <c r="E671" t="n">
        <v>4518.59282</v>
      </c>
      <c r="F671" t="n">
        <v>4596.05595</v>
      </c>
      <c r="G671" t="n">
        <v>4755.40355</v>
      </c>
      <c r="H671" t="n">
        <v>4792.76972</v>
      </c>
      <c r="Q671" t="n">
        <v>4638.6106</v>
      </c>
      <c r="R671" t="n">
        <v>4667.97389</v>
      </c>
      <c r="S671" t="n">
        <v>4694.56267</v>
      </c>
      <c r="V671" t="n">
        <v>4603.67083</v>
      </c>
      <c r="W671" t="n">
        <v>4570.10583</v>
      </c>
      <c r="AB671" t="n">
        <v>4684.99161</v>
      </c>
      <c r="AC671" t="n">
        <v>4683.68156</v>
      </c>
      <c r="AD671" t="n">
        <v>0</v>
      </c>
      <c r="AE671">
        <f>AE670+1</f>
        <v/>
      </c>
      <c r="AF671">
        <f>AF670+1</f>
        <v/>
      </c>
      <c r="AG671">
        <f>D671-Q671</f>
        <v/>
      </c>
      <c r="AH671">
        <f>AG671^2</f>
        <v/>
      </c>
      <c r="AI671">
        <f>(AG671/STDEV($AG$3:$AG$1137))^3</f>
        <v/>
      </c>
      <c r="AJ671">
        <f>(AG671/STDEV($AG$3:$AG$1137))^4</f>
        <v/>
      </c>
      <c r="AK671">
        <f>AF671^2</f>
        <v/>
      </c>
      <c r="AL671">
        <f>IF(AD671=1,AB671,IF(AL670&lt;&gt;"",AL670,""))</f>
        <v/>
      </c>
      <c r="AM671">
        <f>IF(AND(AD671=1,AL670&lt;&gt;""),ABS(AB671-AL670),"")</f>
        <v/>
      </c>
    </row>
    <row r="672">
      <c r="A672" t="n">
        <v>1777328102</v>
      </c>
      <c r="B672" t="inlineStr">
        <is>
          <t>XAUUSD</t>
        </is>
      </c>
      <c r="C672" t="inlineStr">
        <is>
          <t>M15</t>
        </is>
      </c>
      <c r="D672" t="n">
        <v>4689.07</v>
      </c>
      <c r="E672" t="n">
        <v>4518.59282</v>
      </c>
      <c r="F672" t="n">
        <v>4596.05595</v>
      </c>
      <c r="G672" t="n">
        <v>4755.40355</v>
      </c>
      <c r="H672" t="n">
        <v>4792.76972</v>
      </c>
      <c r="Q672" t="n">
        <v>4638.34299</v>
      </c>
      <c r="R672" t="n">
        <v>4667.70629</v>
      </c>
      <c r="S672" t="n">
        <v>4694.29506</v>
      </c>
      <c r="V672" t="n">
        <v>4603.40322</v>
      </c>
      <c r="W672" t="n">
        <v>4569.83822</v>
      </c>
      <c r="AB672" t="n">
        <v>4686.51075</v>
      </c>
      <c r="AC672" t="n">
        <v>4685.09615</v>
      </c>
      <c r="AD672" t="n">
        <v>0</v>
      </c>
      <c r="AE672">
        <f>AE671+1</f>
        <v/>
      </c>
      <c r="AF672">
        <f>AF671+1</f>
        <v/>
      </c>
      <c r="AG672">
        <f>D672-Q672</f>
        <v/>
      </c>
      <c r="AH672">
        <f>AG672^2</f>
        <v/>
      </c>
      <c r="AI672">
        <f>(AG672/STDEV($AG$3:$AG$1137))^3</f>
        <v/>
      </c>
      <c r="AJ672">
        <f>(AG672/STDEV($AG$3:$AG$1137))^4</f>
        <v/>
      </c>
      <c r="AK672">
        <f>AF672^2</f>
        <v/>
      </c>
      <c r="AL672">
        <f>IF(AD672=1,AB672,IF(AL671&lt;&gt;"",AL671,""))</f>
        <v/>
      </c>
      <c r="AM672">
        <f>IF(AND(AD672=1,AL671&lt;&gt;""),ABS(AB672-AL671),"")</f>
        <v/>
      </c>
    </row>
    <row r="673">
      <c r="A673" t="n">
        <v>1777329002</v>
      </c>
      <c r="B673" t="inlineStr">
        <is>
          <t>XAUUSD</t>
        </is>
      </c>
      <c r="C673" t="inlineStr">
        <is>
          <t>M15</t>
        </is>
      </c>
      <c r="D673" t="n">
        <v>4687.28</v>
      </c>
      <c r="E673" t="n">
        <v>4518.59282</v>
      </c>
      <c r="F673" t="n">
        <v>4596.05595</v>
      </c>
      <c r="G673" t="n">
        <v>4755.40355</v>
      </c>
      <c r="H673" t="n">
        <v>4792.76972</v>
      </c>
      <c r="Q673" t="n">
        <v>4638.07539</v>
      </c>
      <c r="R673" t="n">
        <v>4667.43869</v>
      </c>
      <c r="S673" t="n">
        <v>4694.02746</v>
      </c>
      <c r="V673" t="n">
        <v>4603.13562</v>
      </c>
      <c r="W673" t="n">
        <v>4569.57062</v>
      </c>
      <c r="AB673" t="n">
        <v>4687.94156</v>
      </c>
      <c r="AC673" t="n">
        <v>4686.51886</v>
      </c>
      <c r="AD673" t="n">
        <v>0</v>
      </c>
      <c r="AE673">
        <f>AE672+1</f>
        <v/>
      </c>
      <c r="AF673">
        <f>AF672+1</f>
        <v/>
      </c>
      <c r="AG673">
        <f>D673-Q673</f>
        <v/>
      </c>
      <c r="AH673">
        <f>AG673^2</f>
        <v/>
      </c>
      <c r="AI673">
        <f>(AG673/STDEV($AG$3:$AG$1137))^3</f>
        <v/>
      </c>
      <c r="AJ673">
        <f>(AG673/STDEV($AG$3:$AG$1137))^4</f>
        <v/>
      </c>
      <c r="AK673">
        <f>AF673^2</f>
        <v/>
      </c>
      <c r="AL673">
        <f>IF(AD673=1,AB673,IF(AL672&lt;&gt;"",AL672,""))</f>
        <v/>
      </c>
      <c r="AM673">
        <f>IF(AND(AD673=1,AL672&lt;&gt;""),ABS(AB673-AL672),"")</f>
        <v/>
      </c>
    </row>
    <row r="674">
      <c r="A674" t="n">
        <v>1777329902</v>
      </c>
      <c r="B674" t="inlineStr">
        <is>
          <t>XAUUSD</t>
        </is>
      </c>
      <c r="C674" t="inlineStr">
        <is>
          <t>M15</t>
        </is>
      </c>
      <c r="D674" t="n">
        <v>4687.93</v>
      </c>
      <c r="E674" t="n">
        <v>4518.59282</v>
      </c>
      <c r="F674" t="n">
        <v>4596.05595</v>
      </c>
      <c r="G674" t="n">
        <v>4755.40355</v>
      </c>
      <c r="H674" t="n">
        <v>4792.76972</v>
      </c>
      <c r="Q674" t="n">
        <v>4637.80778</v>
      </c>
      <c r="R674" t="n">
        <v>4667.17108</v>
      </c>
      <c r="S674" t="n">
        <v>4693.75985</v>
      </c>
      <c r="V674" t="n">
        <v>4602.86801</v>
      </c>
      <c r="W674" t="n">
        <v>4569.30302</v>
      </c>
      <c r="AB674" t="n">
        <v>4689.33161</v>
      </c>
      <c r="AC674" t="n">
        <v>4687.92524</v>
      </c>
      <c r="AD674" t="n">
        <v>0</v>
      </c>
      <c r="AE674">
        <f>AE673+1</f>
        <v/>
      </c>
      <c r="AF674">
        <f>AF673+1</f>
        <v/>
      </c>
      <c r="AG674">
        <f>D674-Q674</f>
        <v/>
      </c>
      <c r="AH674">
        <f>AG674^2</f>
        <v/>
      </c>
      <c r="AI674">
        <f>(AG674/STDEV($AG$3:$AG$1137))^3</f>
        <v/>
      </c>
      <c r="AJ674">
        <f>(AG674/STDEV($AG$3:$AG$1137))^4</f>
        <v/>
      </c>
      <c r="AK674">
        <f>AF674^2</f>
        <v/>
      </c>
      <c r="AL674">
        <f>IF(AD674=1,AB674,IF(AL673&lt;&gt;"",AL673,""))</f>
        <v/>
      </c>
      <c r="AM674">
        <f>IF(AND(AD674=1,AL673&lt;&gt;""),ABS(AB674-AL673),"")</f>
        <v/>
      </c>
    </row>
    <row r="675">
      <c r="A675" t="n">
        <v>1777330802</v>
      </c>
      <c r="B675" t="inlineStr">
        <is>
          <t>XAUUSD</t>
        </is>
      </c>
      <c r="C675" t="inlineStr">
        <is>
          <t>M15</t>
        </is>
      </c>
      <c r="D675" t="n">
        <v>4689.83</v>
      </c>
      <c r="E675" t="n">
        <v>4518.59282</v>
      </c>
      <c r="F675" t="n">
        <v>4596.05595</v>
      </c>
      <c r="G675" t="n">
        <v>4755.40355</v>
      </c>
      <c r="H675" t="n">
        <v>4792.76972</v>
      </c>
      <c r="Q675" t="n">
        <v>4637.54018</v>
      </c>
      <c r="R675" t="n">
        <v>4666.90348</v>
      </c>
      <c r="S675" t="n">
        <v>4693.49225</v>
      </c>
      <c r="V675" t="n">
        <v>4602.60041</v>
      </c>
      <c r="W675" t="n">
        <v>4569.03541</v>
      </c>
      <c r="AB675" t="n">
        <v>4690.71192</v>
      </c>
      <c r="AC675" t="n">
        <v>4689.31858</v>
      </c>
      <c r="AD675" t="n">
        <v>0</v>
      </c>
      <c r="AE675">
        <f>AE674+1</f>
        <v/>
      </c>
      <c r="AF675">
        <f>AF674+1</f>
        <v/>
      </c>
      <c r="AG675">
        <f>D675-Q675</f>
        <v/>
      </c>
      <c r="AH675">
        <f>AG675^2</f>
        <v/>
      </c>
      <c r="AI675">
        <f>(AG675/STDEV($AG$3:$AG$1137))^3</f>
        <v/>
      </c>
      <c r="AJ675">
        <f>(AG675/STDEV($AG$3:$AG$1137))^4</f>
        <v/>
      </c>
      <c r="AK675">
        <f>AF675^2</f>
        <v/>
      </c>
      <c r="AL675">
        <f>IF(AD675=1,AB675,IF(AL674&lt;&gt;"",AL674,""))</f>
        <v/>
      </c>
      <c r="AM675">
        <f>IF(AND(AD675=1,AL674&lt;&gt;""),ABS(AB675-AL674),"")</f>
        <v/>
      </c>
    </row>
    <row r="676">
      <c r="A676" t="n">
        <v>1777331702</v>
      </c>
      <c r="B676" t="inlineStr">
        <is>
          <t>XAUUSD</t>
        </is>
      </c>
      <c r="C676" t="inlineStr">
        <is>
          <t>M15</t>
        </is>
      </c>
      <c r="D676" t="n">
        <v>4690.82</v>
      </c>
      <c r="E676" t="n">
        <v>4518.59282</v>
      </c>
      <c r="F676" t="n">
        <v>4596.05595</v>
      </c>
      <c r="G676" t="n">
        <v>4755.40355</v>
      </c>
      <c r="H676" t="n">
        <v>4792.76972</v>
      </c>
      <c r="Q676" t="n">
        <v>4637.27258</v>
      </c>
      <c r="R676" t="n">
        <v>4666.63587</v>
      </c>
      <c r="S676" t="n">
        <v>4693.22464</v>
      </c>
      <c r="V676" t="n">
        <v>4602.3328</v>
      </c>
      <c r="W676" t="n">
        <v>4568.76781</v>
      </c>
      <c r="AB676" t="n">
        <v>4692.0336</v>
      </c>
      <c r="AC676" t="n">
        <v>4690.67609</v>
      </c>
      <c r="AD676" t="n">
        <v>0</v>
      </c>
      <c r="AE676">
        <f>AE675+1</f>
        <v/>
      </c>
      <c r="AF676">
        <f>AF675+1</f>
        <v/>
      </c>
      <c r="AG676">
        <f>D676-Q676</f>
        <v/>
      </c>
      <c r="AH676">
        <f>AG676^2</f>
        <v/>
      </c>
      <c r="AI676">
        <f>(AG676/STDEV($AG$3:$AG$1137))^3</f>
        <v/>
      </c>
      <c r="AJ676">
        <f>(AG676/STDEV($AG$3:$AG$1137))^4</f>
        <v/>
      </c>
      <c r="AK676">
        <f>AF676^2</f>
        <v/>
      </c>
      <c r="AL676">
        <f>IF(AD676=1,AB676,IF(AL675&lt;&gt;"",AL675,""))</f>
        <v/>
      </c>
      <c r="AM676">
        <f>IF(AND(AD676=1,AL675&lt;&gt;""),ABS(AB676-AL675),"")</f>
        <v/>
      </c>
    </row>
    <row r="677">
      <c r="A677" t="n">
        <v>1777332602</v>
      </c>
      <c r="B677" t="inlineStr">
        <is>
          <t>XAUUSD</t>
        </is>
      </c>
      <c r="C677" t="inlineStr">
        <is>
          <t>M15</t>
        </is>
      </c>
      <c r="D677" t="n">
        <v>4694.41</v>
      </c>
      <c r="E677" t="n">
        <v>4518.59282</v>
      </c>
      <c r="F677" t="n">
        <v>4596.05595</v>
      </c>
      <c r="G677" t="n">
        <v>4755.40355</v>
      </c>
      <c r="H677" t="n">
        <v>4792.76972</v>
      </c>
      <c r="Q677" t="n">
        <v>4637.00497</v>
      </c>
      <c r="R677" t="n">
        <v>4666.36827</v>
      </c>
      <c r="S677" t="n">
        <v>4692.95704</v>
      </c>
      <c r="V677" t="n">
        <v>4602.0652</v>
      </c>
      <c r="W677" t="n">
        <v>4568.5002</v>
      </c>
      <c r="AB677" t="n">
        <v>4693.26095</v>
      </c>
      <c r="AC677" t="n">
        <v>4691.96852</v>
      </c>
      <c r="AD677" t="n">
        <v>0</v>
      </c>
      <c r="AE677">
        <f>AE676+1</f>
        <v/>
      </c>
      <c r="AF677">
        <f>AF676+1</f>
        <v/>
      </c>
      <c r="AG677">
        <f>D677-Q677</f>
        <v/>
      </c>
      <c r="AH677">
        <f>AG677^2</f>
        <v/>
      </c>
      <c r="AI677">
        <f>(AG677/STDEV($AG$3:$AG$1137))^3</f>
        <v/>
      </c>
      <c r="AJ677">
        <f>(AG677/STDEV($AG$3:$AG$1137))^4</f>
        <v/>
      </c>
      <c r="AK677">
        <f>AF677^2</f>
        <v/>
      </c>
      <c r="AL677">
        <f>IF(AD677=1,AB677,IF(AL676&lt;&gt;"",AL676,""))</f>
        <v/>
      </c>
      <c r="AM677">
        <f>IF(AND(AD677=1,AL676&lt;&gt;""),ABS(AB677-AL676),"")</f>
        <v/>
      </c>
    </row>
    <row r="678">
      <c r="A678" t="n">
        <v>1777333502</v>
      </c>
      <c r="B678" t="inlineStr">
        <is>
          <t>XAUUSD</t>
        </is>
      </c>
      <c r="C678" t="inlineStr">
        <is>
          <t>M15</t>
        </is>
      </c>
      <c r="D678" t="n">
        <v>4691.85</v>
      </c>
      <c r="E678" t="n">
        <v>4518.59282</v>
      </c>
      <c r="F678" t="n">
        <v>4596.05595</v>
      </c>
      <c r="G678" t="n">
        <v>4755.40355</v>
      </c>
      <c r="H678" t="n">
        <v>4792.76972</v>
      </c>
      <c r="Q678" t="n">
        <v>4636.73737</v>
      </c>
      <c r="R678" t="n">
        <v>4666.10067</v>
      </c>
      <c r="S678" t="n">
        <v>4692.68944</v>
      </c>
      <c r="V678" t="n">
        <v>4601.7976</v>
      </c>
      <c r="W678" t="n">
        <v>4568.2326</v>
      </c>
      <c r="AB678" t="n">
        <v>4694.20193</v>
      </c>
      <c r="AC678" t="n">
        <v>4693.08522</v>
      </c>
      <c r="AD678" t="n">
        <v>0</v>
      </c>
      <c r="AE678">
        <f>AE677+1</f>
        <v/>
      </c>
      <c r="AF678">
        <f>AF677+1</f>
        <v/>
      </c>
      <c r="AG678">
        <f>D678-Q678</f>
        <v/>
      </c>
      <c r="AH678">
        <f>AG678^2</f>
        <v/>
      </c>
      <c r="AI678">
        <f>(AG678/STDEV($AG$3:$AG$1137))^3</f>
        <v/>
      </c>
      <c r="AJ678">
        <f>(AG678/STDEV($AG$3:$AG$1137))^4</f>
        <v/>
      </c>
      <c r="AK678">
        <f>AF678^2</f>
        <v/>
      </c>
      <c r="AL678">
        <f>IF(AD678=1,AB678,IF(AL677&lt;&gt;"",AL677,""))</f>
        <v/>
      </c>
      <c r="AM678">
        <f>IF(AND(AD678=1,AL677&lt;&gt;""),ABS(AB678-AL677),"")</f>
        <v/>
      </c>
    </row>
    <row r="679">
      <c r="A679" t="n">
        <v>1777334402</v>
      </c>
      <c r="B679" t="inlineStr">
        <is>
          <t>XAUUSD</t>
        </is>
      </c>
      <c r="C679" t="inlineStr">
        <is>
          <t>M15</t>
        </is>
      </c>
      <c r="D679" t="n">
        <v>4697.91</v>
      </c>
      <c r="E679" t="n">
        <v>4518.59282</v>
      </c>
      <c r="F679" t="n">
        <v>4596.05595</v>
      </c>
      <c r="G679" t="n">
        <v>4755.40355</v>
      </c>
      <c r="H679" t="n">
        <v>4792.76972</v>
      </c>
      <c r="Q679" t="n">
        <v>4636.46976</v>
      </c>
      <c r="R679" t="n">
        <v>4665.83306</v>
      </c>
      <c r="S679" t="n">
        <v>4692.42183</v>
      </c>
      <c r="V679" t="n">
        <v>4601.52999</v>
      </c>
      <c r="W679" t="n">
        <v>4567.965</v>
      </c>
      <c r="Z679" t="n">
        <v>4701.14</v>
      </c>
      <c r="AB679" t="n">
        <v>4694.77166</v>
      </c>
      <c r="AC679" t="n">
        <v>4693.92844</v>
      </c>
      <c r="AD679" t="n">
        <v>0</v>
      </c>
      <c r="AE679">
        <f>AE678+1</f>
        <v/>
      </c>
      <c r="AF679">
        <f>AF678+1</f>
        <v/>
      </c>
      <c r="AG679">
        <f>D679-Q679</f>
        <v/>
      </c>
      <c r="AH679">
        <f>AG679^2</f>
        <v/>
      </c>
      <c r="AI679">
        <f>(AG679/STDEV($AG$3:$AG$1137))^3</f>
        <v/>
      </c>
      <c r="AJ679">
        <f>(AG679/STDEV($AG$3:$AG$1137))^4</f>
        <v/>
      </c>
      <c r="AK679">
        <f>AF679^2</f>
        <v/>
      </c>
      <c r="AL679">
        <f>IF(AD679=1,AB679,IF(AL678&lt;&gt;"",AL678,""))</f>
        <v/>
      </c>
      <c r="AM679">
        <f>IF(AND(AD679=1,AL678&lt;&gt;""),ABS(AB679-AL678),"")</f>
        <v/>
      </c>
    </row>
    <row r="680">
      <c r="A680" t="n">
        <v>1777335302</v>
      </c>
      <c r="B680" t="inlineStr">
        <is>
          <t>XAUUSD</t>
        </is>
      </c>
      <c r="C680" t="inlineStr">
        <is>
          <t>M15</t>
        </is>
      </c>
      <c r="D680" t="n">
        <v>4695.01</v>
      </c>
      <c r="E680" t="n">
        <v>4518.59282</v>
      </c>
      <c r="F680" t="n">
        <v>4596.05595</v>
      </c>
      <c r="G680" t="n">
        <v>4755.40355</v>
      </c>
      <c r="H680" t="n">
        <v>4792.76972</v>
      </c>
      <c r="Q680" t="n">
        <v>4636.20216</v>
      </c>
      <c r="R680" t="n">
        <v>4665.56546</v>
      </c>
      <c r="S680" t="n">
        <v>4692.15423</v>
      </c>
      <c r="V680" t="n">
        <v>4601.26239</v>
      </c>
      <c r="W680" t="n">
        <v>4567.69739</v>
      </c>
      <c r="AB680" t="n">
        <v>4694.62942</v>
      </c>
      <c r="AC680" t="n">
        <v>4694.27893</v>
      </c>
      <c r="AD680" t="n">
        <v>0</v>
      </c>
      <c r="AE680">
        <f>AE679+1</f>
        <v/>
      </c>
      <c r="AF680">
        <f>AF679+1</f>
        <v/>
      </c>
      <c r="AG680">
        <f>D680-Q680</f>
        <v/>
      </c>
      <c r="AH680">
        <f>AG680^2</f>
        <v/>
      </c>
      <c r="AI680">
        <f>(AG680/STDEV($AG$3:$AG$1137))^3</f>
        <v/>
      </c>
      <c r="AJ680">
        <f>(AG680/STDEV($AG$3:$AG$1137))^4</f>
        <v/>
      </c>
      <c r="AK680">
        <f>AF680^2</f>
        <v/>
      </c>
      <c r="AL680">
        <f>IF(AD680=1,AB680,IF(AL679&lt;&gt;"",AL679,""))</f>
        <v/>
      </c>
      <c r="AM680">
        <f>IF(AND(AD680=1,AL679&lt;&gt;""),ABS(AB680-AL679),"")</f>
        <v/>
      </c>
    </row>
    <row r="681">
      <c r="A681" t="n">
        <v>1777336202</v>
      </c>
      <c r="B681" t="inlineStr">
        <is>
          <t>XAUUSD</t>
        </is>
      </c>
      <c r="C681" t="inlineStr">
        <is>
          <t>M15</t>
        </is>
      </c>
      <c r="D681" t="n">
        <v>4693.71</v>
      </c>
      <c r="E681" t="n">
        <v>4518.59282</v>
      </c>
      <c r="F681" t="n">
        <v>4596.05595</v>
      </c>
      <c r="G681" t="n">
        <v>4755.40355</v>
      </c>
      <c r="H681" t="n">
        <v>4792.76972</v>
      </c>
      <c r="Q681" t="n">
        <v>4635.93455</v>
      </c>
      <c r="R681" t="n">
        <v>4665.29785</v>
      </c>
      <c r="S681" t="n">
        <v>4691.88662</v>
      </c>
      <c r="V681" t="n">
        <v>4600.99478</v>
      </c>
      <c r="W681" t="n">
        <v>4567.42979</v>
      </c>
      <c r="AB681" t="n">
        <v>4693.69938</v>
      </c>
      <c r="AC681" t="n">
        <v>4693.98915</v>
      </c>
      <c r="AD681" t="n">
        <v>1</v>
      </c>
      <c r="AE681">
        <f>AE680+1</f>
        <v/>
      </c>
      <c r="AF681">
        <f>AF680+1</f>
        <v/>
      </c>
      <c r="AG681">
        <f>D681-Q681</f>
        <v/>
      </c>
      <c r="AH681">
        <f>AG681^2</f>
        <v/>
      </c>
      <c r="AI681">
        <f>(AG681/STDEV($AG$3:$AG$1137))^3</f>
        <v/>
      </c>
      <c r="AJ681">
        <f>(AG681/STDEV($AG$3:$AG$1137))^4</f>
        <v/>
      </c>
      <c r="AK681">
        <f>AF681^2</f>
        <v/>
      </c>
      <c r="AL681">
        <f>IF(AD681=1,AB681,IF(AL680&lt;&gt;"",AL680,""))</f>
        <v/>
      </c>
      <c r="AM681">
        <f>IF(AND(AD681=1,AL680&lt;&gt;""),ABS(AB681-AL680),"")</f>
        <v/>
      </c>
    </row>
    <row r="682">
      <c r="A682" t="n">
        <v>1777337102</v>
      </c>
      <c r="B682" t="inlineStr">
        <is>
          <t>XAUUSD</t>
        </is>
      </c>
      <c r="C682" t="inlineStr">
        <is>
          <t>M15</t>
        </is>
      </c>
      <c r="D682" t="n">
        <v>4690.53</v>
      </c>
      <c r="E682" t="n">
        <v>4518.59282</v>
      </c>
      <c r="F682" t="n">
        <v>4596.05595</v>
      </c>
      <c r="G682" t="n">
        <v>4755.40355</v>
      </c>
      <c r="H682" t="n">
        <v>4792.76972</v>
      </c>
      <c r="Q682" t="n">
        <v>4635.66695</v>
      </c>
      <c r="R682" t="n">
        <v>4665.03025</v>
      </c>
      <c r="S682" t="n">
        <v>4691.61902</v>
      </c>
      <c r="V682" t="n">
        <v>4600.72718</v>
      </c>
      <c r="W682" t="n">
        <v>4567.16218</v>
      </c>
      <c r="AB682" t="n">
        <v>4691.92446</v>
      </c>
      <c r="AC682" t="n">
        <v>4692.95681</v>
      </c>
      <c r="AD682" t="n">
        <v>0</v>
      </c>
      <c r="AE682">
        <f>AE681+1</f>
        <v/>
      </c>
      <c r="AF682">
        <f>AF681+1</f>
        <v/>
      </c>
      <c r="AG682">
        <f>D682-Q682</f>
        <v/>
      </c>
      <c r="AH682">
        <f>AG682^2</f>
        <v/>
      </c>
      <c r="AI682">
        <f>(AG682/STDEV($AG$3:$AG$1137))^3</f>
        <v/>
      </c>
      <c r="AJ682">
        <f>(AG682/STDEV($AG$3:$AG$1137))^4</f>
        <v/>
      </c>
      <c r="AK682">
        <f>AF682^2</f>
        <v/>
      </c>
      <c r="AL682">
        <f>IF(AD682=1,AB682,IF(AL681&lt;&gt;"",AL681,""))</f>
        <v/>
      </c>
      <c r="AM682">
        <f>IF(AND(AD682=1,AL681&lt;&gt;""),ABS(AB682-AL681),"")</f>
        <v/>
      </c>
    </row>
    <row r="683">
      <c r="A683" t="n">
        <v>1777338002</v>
      </c>
      <c r="B683" t="inlineStr">
        <is>
          <t>XAUUSD</t>
        </is>
      </c>
      <c r="C683" t="inlineStr">
        <is>
          <t>M15</t>
        </is>
      </c>
      <c r="D683" t="n">
        <v>4688.24</v>
      </c>
      <c r="E683" t="n">
        <v>4518.59282</v>
      </c>
      <c r="F683" t="n">
        <v>4596.05595</v>
      </c>
      <c r="G683" t="n">
        <v>4755.40355</v>
      </c>
      <c r="H683" t="n">
        <v>4792.76972</v>
      </c>
      <c r="Q683" t="n">
        <v>4635.39935</v>
      </c>
      <c r="R683" t="n">
        <v>4664.76265</v>
      </c>
      <c r="S683" t="n">
        <v>4691.35142</v>
      </c>
      <c r="V683" t="n">
        <v>4600.45958</v>
      </c>
      <c r="W683" t="n">
        <v>4566.89458</v>
      </c>
      <c r="AB683" t="n">
        <v>4689.35226</v>
      </c>
      <c r="AC683" t="n">
        <v>4691.15453</v>
      </c>
      <c r="AD683" t="n">
        <v>0</v>
      </c>
      <c r="AE683">
        <f>AE682+1</f>
        <v/>
      </c>
      <c r="AF683">
        <f>AF682+1</f>
        <v/>
      </c>
      <c r="AG683">
        <f>D683-Q683</f>
        <v/>
      </c>
      <c r="AH683">
        <f>AG683^2</f>
        <v/>
      </c>
      <c r="AI683">
        <f>(AG683/STDEV($AG$3:$AG$1137))^3</f>
        <v/>
      </c>
      <c r="AJ683">
        <f>(AG683/STDEV($AG$3:$AG$1137))^4</f>
        <v/>
      </c>
      <c r="AK683">
        <f>AF683^2</f>
        <v/>
      </c>
      <c r="AL683">
        <f>IF(AD683=1,AB683,IF(AL682&lt;&gt;"",AL682,""))</f>
        <v/>
      </c>
      <c r="AM683">
        <f>IF(AND(AD683=1,AL682&lt;&gt;""),ABS(AB683-AL682),"")</f>
        <v/>
      </c>
    </row>
    <row r="684">
      <c r="A684" t="n">
        <v>1777338902</v>
      </c>
      <c r="B684" t="inlineStr">
        <is>
          <t>XAUUSD</t>
        </is>
      </c>
      <c r="C684" t="inlineStr">
        <is>
          <t>M15</t>
        </is>
      </c>
      <c r="D684" t="n">
        <v>4687.7</v>
      </c>
      <c r="E684" t="n">
        <v>4518.59282</v>
      </c>
      <c r="F684" t="n">
        <v>4596.05595</v>
      </c>
      <c r="G684" t="n">
        <v>4755.40355</v>
      </c>
      <c r="H684" t="n">
        <v>4792.76972</v>
      </c>
      <c r="Q684" t="n">
        <v>4635.13174</v>
      </c>
      <c r="R684" t="n">
        <v>4664.49504</v>
      </c>
      <c r="S684" t="n">
        <v>4691.08381</v>
      </c>
      <c r="V684" t="n">
        <v>4600.19197</v>
      </c>
      <c r="W684" t="n">
        <v>4566.62698</v>
      </c>
      <c r="AB684" t="n">
        <v>4686.1311</v>
      </c>
      <c r="AC684" t="n">
        <v>4688.64282</v>
      </c>
      <c r="AD684" t="n">
        <v>0</v>
      </c>
      <c r="AE684">
        <f>AE683+1</f>
        <v/>
      </c>
      <c r="AF684">
        <f>AF683+1</f>
        <v/>
      </c>
      <c r="AG684">
        <f>D684-Q684</f>
        <v/>
      </c>
      <c r="AH684">
        <f>AG684^2</f>
        <v/>
      </c>
      <c r="AI684">
        <f>(AG684/STDEV($AG$3:$AG$1137))^3</f>
        <v/>
      </c>
      <c r="AJ684">
        <f>(AG684/STDEV($AG$3:$AG$1137))^4</f>
        <v/>
      </c>
      <c r="AK684">
        <f>AF684^2</f>
        <v/>
      </c>
      <c r="AL684">
        <f>IF(AD684=1,AB684,IF(AL683&lt;&gt;"",AL683,""))</f>
        <v/>
      </c>
      <c r="AM684">
        <f>IF(AND(AD684=1,AL683&lt;&gt;""),ABS(AB684-AL683),"")</f>
        <v/>
      </c>
    </row>
    <row r="685">
      <c r="A685" t="n">
        <v>1777339802</v>
      </c>
      <c r="B685" t="inlineStr">
        <is>
          <t>XAUUSD</t>
        </is>
      </c>
      <c r="C685" t="inlineStr">
        <is>
          <t>M15</t>
        </is>
      </c>
      <c r="D685" t="n">
        <v>4687.37</v>
      </c>
      <c r="E685" t="n">
        <v>4518.59282</v>
      </c>
      <c r="F685" t="n">
        <v>4596.05595</v>
      </c>
      <c r="G685" t="n">
        <v>4755.40355</v>
      </c>
      <c r="H685" t="n">
        <v>4792.76972</v>
      </c>
      <c r="Q685" t="n">
        <v>4634.86414</v>
      </c>
      <c r="R685" t="n">
        <v>4664.22744</v>
      </c>
      <c r="S685" t="n">
        <v>4690.81621</v>
      </c>
      <c r="V685" t="n">
        <v>4599.92437</v>
      </c>
      <c r="W685" t="n">
        <v>4566.35937</v>
      </c>
      <c r="AB685" t="n">
        <v>4682.47038</v>
      </c>
      <c r="AC685" t="n">
        <v>4685.5566</v>
      </c>
      <c r="AD685" t="n">
        <v>0</v>
      </c>
      <c r="AE685">
        <f>AE684+1</f>
        <v/>
      </c>
      <c r="AF685">
        <f>AF684+1</f>
        <v/>
      </c>
      <c r="AG685">
        <f>D685-Q685</f>
        <v/>
      </c>
      <c r="AH685">
        <f>AG685^2</f>
        <v/>
      </c>
      <c r="AI685">
        <f>(AG685/STDEV($AG$3:$AG$1137))^3</f>
        <v/>
      </c>
      <c r="AJ685">
        <f>(AG685/STDEV($AG$3:$AG$1137))^4</f>
        <v/>
      </c>
      <c r="AK685">
        <f>AF685^2</f>
        <v/>
      </c>
      <c r="AL685">
        <f>IF(AD685=1,AB685,IF(AL684&lt;&gt;"",AL684,""))</f>
        <v/>
      </c>
      <c r="AM685">
        <f>IF(AND(AD685=1,AL684&lt;&gt;""),ABS(AB685-AL684),"")</f>
        <v/>
      </c>
    </row>
    <row r="686">
      <c r="A686" t="n">
        <v>1777340702</v>
      </c>
      <c r="B686" t="inlineStr">
        <is>
          <t>XAUUSD</t>
        </is>
      </c>
      <c r="C686" t="inlineStr">
        <is>
          <t>M15</t>
        </is>
      </c>
      <c r="D686" t="n">
        <v>4670.88</v>
      </c>
      <c r="E686" t="n">
        <v>4518.59282</v>
      </c>
      <c r="F686" t="n">
        <v>4596.05595</v>
      </c>
      <c r="G686" t="n">
        <v>4755.40355</v>
      </c>
      <c r="H686" t="n">
        <v>4792.76972</v>
      </c>
      <c r="Q686" t="n">
        <v>4634.59653</v>
      </c>
      <c r="R686" t="n">
        <v>4663.95983</v>
      </c>
      <c r="S686" t="n">
        <v>4690.5486</v>
      </c>
      <c r="V686" t="n">
        <v>4599.65676</v>
      </c>
      <c r="W686" t="n">
        <v>4566.09177</v>
      </c>
      <c r="AB686" t="n">
        <v>4678.6922</v>
      </c>
      <c r="AC686" t="n">
        <v>4682.1244</v>
      </c>
      <c r="AD686" t="n">
        <v>0</v>
      </c>
      <c r="AE686">
        <f>AE685+1</f>
        <v/>
      </c>
      <c r="AF686">
        <f>AF685+1</f>
        <v/>
      </c>
      <c r="AG686">
        <f>D686-Q686</f>
        <v/>
      </c>
      <c r="AH686">
        <f>AG686^2</f>
        <v/>
      </c>
      <c r="AI686">
        <f>(AG686/STDEV($AG$3:$AG$1137))^3</f>
        <v/>
      </c>
      <c r="AJ686">
        <f>(AG686/STDEV($AG$3:$AG$1137))^4</f>
        <v/>
      </c>
      <c r="AK686">
        <f>AF686^2</f>
        <v/>
      </c>
      <c r="AL686">
        <f>IF(AD686=1,AB686,IF(AL685&lt;&gt;"",AL685,""))</f>
        <v/>
      </c>
      <c r="AM686">
        <f>IF(AND(AD686=1,AL685&lt;&gt;""),ABS(AB686-AL685),"")</f>
        <v/>
      </c>
    </row>
    <row r="687">
      <c r="A687" t="n">
        <v>1777341602</v>
      </c>
      <c r="B687" t="inlineStr">
        <is>
          <t>XAUUSD</t>
        </is>
      </c>
      <c r="C687" t="inlineStr">
        <is>
          <t>M15</t>
        </is>
      </c>
      <c r="D687" t="n">
        <v>4677.52</v>
      </c>
      <c r="E687" t="n">
        <v>4518.59282</v>
      </c>
      <c r="F687" t="n">
        <v>4596.05595</v>
      </c>
      <c r="G687" t="n">
        <v>4755.40355</v>
      </c>
      <c r="H687" t="n">
        <v>4792.76972</v>
      </c>
      <c r="Q687" t="n">
        <v>4634.32893</v>
      </c>
      <c r="R687" t="n">
        <v>4663.69223</v>
      </c>
      <c r="S687" t="n">
        <v>4690.281</v>
      </c>
      <c r="V687" t="n">
        <v>4599.38916</v>
      </c>
      <c r="W687" t="n">
        <v>4565.82416</v>
      </c>
      <c r="AB687" t="n">
        <v>4675.57866</v>
      </c>
      <c r="AC687" t="n">
        <v>4678.85153</v>
      </c>
      <c r="AD687" t="n">
        <v>0</v>
      </c>
      <c r="AE687">
        <f>AE686+1</f>
        <v/>
      </c>
      <c r="AF687">
        <f>AF686+1</f>
        <v/>
      </c>
      <c r="AG687">
        <f>D687-Q687</f>
        <v/>
      </c>
      <c r="AH687">
        <f>AG687^2</f>
        <v/>
      </c>
      <c r="AI687">
        <f>(AG687/STDEV($AG$3:$AG$1137))^3</f>
        <v/>
      </c>
      <c r="AJ687">
        <f>(AG687/STDEV($AG$3:$AG$1137))^4</f>
        <v/>
      </c>
      <c r="AK687">
        <f>AF687^2</f>
        <v/>
      </c>
      <c r="AL687">
        <f>IF(AD687=1,AB687,IF(AL686&lt;&gt;"",AL686,""))</f>
        <v/>
      </c>
      <c r="AM687">
        <f>IF(AND(AD687=1,AL686&lt;&gt;""),ABS(AB687-AL686),"")</f>
        <v/>
      </c>
    </row>
    <row r="688">
      <c r="A688" t="n">
        <v>1777342502</v>
      </c>
      <c r="B688" t="inlineStr">
        <is>
          <t>XAUUSD</t>
        </is>
      </c>
      <c r="C688" t="inlineStr">
        <is>
          <t>M15</t>
        </is>
      </c>
      <c r="D688" t="n">
        <v>4675.58</v>
      </c>
      <c r="E688" t="n">
        <v>4518.59282</v>
      </c>
      <c r="F688" t="n">
        <v>4596.05595</v>
      </c>
      <c r="G688" t="n">
        <v>4755.40355</v>
      </c>
      <c r="H688" t="n">
        <v>4792.76972</v>
      </c>
      <c r="Q688" t="n">
        <v>4634.06133</v>
      </c>
      <c r="R688" t="n">
        <v>4663.42462</v>
      </c>
      <c r="S688" t="n">
        <v>4690.0134</v>
      </c>
      <c r="V688" t="n">
        <v>4599.12156</v>
      </c>
      <c r="W688" t="n">
        <v>4565.55656</v>
      </c>
      <c r="AB688" t="n">
        <v>4673.20495</v>
      </c>
      <c r="AC688" t="n">
        <v>4676.02824</v>
      </c>
      <c r="AD688" t="n">
        <v>0</v>
      </c>
      <c r="AE688">
        <f>AE687+1</f>
        <v/>
      </c>
      <c r="AF688">
        <f>AF687+1</f>
        <v/>
      </c>
      <c r="AG688">
        <f>D688-Q688</f>
        <v/>
      </c>
      <c r="AH688">
        <f>AG688^2</f>
        <v/>
      </c>
      <c r="AI688">
        <f>(AG688/STDEV($AG$3:$AG$1137))^3</f>
        <v/>
      </c>
      <c r="AJ688">
        <f>(AG688/STDEV($AG$3:$AG$1137))^4</f>
        <v/>
      </c>
      <c r="AK688">
        <f>AF688^2</f>
        <v/>
      </c>
      <c r="AL688">
        <f>IF(AD688=1,AB688,IF(AL687&lt;&gt;"",AL687,""))</f>
        <v/>
      </c>
      <c r="AM688">
        <f>IF(AND(AD688=1,AL687&lt;&gt;""),ABS(AB688-AL687),"")</f>
        <v/>
      </c>
    </row>
    <row r="689">
      <c r="A689" t="n">
        <v>1777343402</v>
      </c>
      <c r="B689" t="inlineStr">
        <is>
          <t>XAUUSD</t>
        </is>
      </c>
      <c r="C689" t="inlineStr">
        <is>
          <t>M15</t>
        </is>
      </c>
      <c r="D689" t="n">
        <v>4671.15</v>
      </c>
      <c r="E689" t="n">
        <v>4518.59282</v>
      </c>
      <c r="F689" t="n">
        <v>4596.05595</v>
      </c>
      <c r="G689" t="n">
        <v>4755.40355</v>
      </c>
      <c r="H689" t="n">
        <v>4792.76972</v>
      </c>
      <c r="Q689" t="n">
        <v>4633.79372</v>
      </c>
      <c r="R689" t="n">
        <v>4663.15702</v>
      </c>
      <c r="S689" t="n">
        <v>4689.74579</v>
      </c>
      <c r="V689" t="n">
        <v>4598.85395</v>
      </c>
      <c r="W689" t="n">
        <v>4565.28896</v>
      </c>
      <c r="AB689" t="n">
        <v>4671.76124</v>
      </c>
      <c r="AC689" t="n">
        <v>4673.89474</v>
      </c>
      <c r="AD689" t="n">
        <v>0</v>
      </c>
      <c r="AE689">
        <f>AE688+1</f>
        <v/>
      </c>
      <c r="AF689">
        <f>AF688+1</f>
        <v/>
      </c>
      <c r="AG689">
        <f>D689-Q689</f>
        <v/>
      </c>
      <c r="AH689">
        <f>AG689^2</f>
        <v/>
      </c>
      <c r="AI689">
        <f>(AG689/STDEV($AG$3:$AG$1137))^3</f>
        <v/>
      </c>
      <c r="AJ689">
        <f>(AG689/STDEV($AG$3:$AG$1137))^4</f>
        <v/>
      </c>
      <c r="AK689">
        <f>AF689^2</f>
        <v/>
      </c>
      <c r="AL689">
        <f>IF(AD689=1,AB689,IF(AL688&lt;&gt;"",AL688,""))</f>
        <v/>
      </c>
      <c r="AM689">
        <f>IF(AND(AD689=1,AL688&lt;&gt;""),ABS(AB689-AL688),"")</f>
        <v/>
      </c>
    </row>
    <row r="690">
      <c r="A690" t="n">
        <v>1777344302</v>
      </c>
      <c r="B690" t="inlineStr">
        <is>
          <t>XAUUSD</t>
        </is>
      </c>
      <c r="C690" t="inlineStr">
        <is>
          <t>M15</t>
        </is>
      </c>
      <c r="D690" t="n">
        <v>4669.14</v>
      </c>
      <c r="E690" t="n">
        <v>4518.59282</v>
      </c>
      <c r="F690" t="n">
        <v>4596.05595</v>
      </c>
      <c r="G690" t="n">
        <v>4755.40355</v>
      </c>
      <c r="H690" t="n">
        <v>4792.76972</v>
      </c>
      <c r="Q690" t="n">
        <v>4633.52612</v>
      </c>
      <c r="R690" t="n">
        <v>4662.88942</v>
      </c>
      <c r="S690" t="n">
        <v>4689.47819</v>
      </c>
      <c r="V690" t="n">
        <v>4598.58635</v>
      </c>
      <c r="W690" t="n">
        <v>4565.02135</v>
      </c>
      <c r="AB690" t="n">
        <v>4671.31995</v>
      </c>
      <c r="AC690" t="n">
        <v>4672.60734</v>
      </c>
      <c r="AD690" t="n">
        <v>0</v>
      </c>
      <c r="AE690">
        <f>AE689+1</f>
        <v/>
      </c>
      <c r="AF690">
        <f>AF689+1</f>
        <v/>
      </c>
      <c r="AG690">
        <f>D690-Q690</f>
        <v/>
      </c>
      <c r="AH690">
        <f>AG690^2</f>
        <v/>
      </c>
      <c r="AI690">
        <f>(AG690/STDEV($AG$3:$AG$1137))^3</f>
        <v/>
      </c>
      <c r="AJ690">
        <f>(AG690/STDEV($AG$3:$AG$1137))^4</f>
        <v/>
      </c>
      <c r="AK690">
        <f>AF690^2</f>
        <v/>
      </c>
      <c r="AL690">
        <f>IF(AD690=1,AB690,IF(AL689&lt;&gt;"",AL689,""))</f>
        <v/>
      </c>
      <c r="AM690">
        <f>IF(AND(AD690=1,AL689&lt;&gt;""),ABS(AB690-AL689),"")</f>
        <v/>
      </c>
    </row>
    <row r="691">
      <c r="A691" t="n">
        <v>1777345202</v>
      </c>
      <c r="B691" t="inlineStr">
        <is>
          <t>XAUUSD</t>
        </is>
      </c>
      <c r="C691" t="inlineStr">
        <is>
          <t>M15</t>
        </is>
      </c>
      <c r="D691" t="n">
        <v>4672.91</v>
      </c>
      <c r="E691" t="n">
        <v>4518.59282</v>
      </c>
      <c r="F691" t="n">
        <v>4596.05595</v>
      </c>
      <c r="G691" t="n">
        <v>4755.40355</v>
      </c>
      <c r="H691" t="n">
        <v>4792.76972</v>
      </c>
      <c r="Q691" t="n">
        <v>4633.25851</v>
      </c>
      <c r="R691" t="n">
        <v>4662.62181</v>
      </c>
      <c r="S691" t="n">
        <v>4689.21058</v>
      </c>
      <c r="V691" t="n">
        <v>4598.31874</v>
      </c>
      <c r="W691" t="n">
        <v>4564.75375</v>
      </c>
      <c r="AB691" t="n">
        <v>4671.71831</v>
      </c>
      <c r="AC691" t="n">
        <v>4672.16283</v>
      </c>
      <c r="AD691" t="n">
        <v>0</v>
      </c>
      <c r="AE691">
        <f>AE690+1</f>
        <v/>
      </c>
      <c r="AF691">
        <f>AF690+1</f>
        <v/>
      </c>
      <c r="AG691">
        <f>D691-Q691</f>
        <v/>
      </c>
      <c r="AH691">
        <f>AG691^2</f>
        <v/>
      </c>
      <c r="AI691">
        <f>(AG691/STDEV($AG$3:$AG$1137))^3</f>
        <v/>
      </c>
      <c r="AJ691">
        <f>(AG691/STDEV($AG$3:$AG$1137))^4</f>
        <v/>
      </c>
      <c r="AK691">
        <f>AF691^2</f>
        <v/>
      </c>
      <c r="AL691">
        <f>IF(AD691=1,AB691,IF(AL690&lt;&gt;"",AL690,""))</f>
        <v/>
      </c>
      <c r="AM691">
        <f>IF(AND(AD691=1,AL690&lt;&gt;""),ABS(AB691-AL690),"")</f>
        <v/>
      </c>
    </row>
    <row r="692">
      <c r="A692" t="n">
        <v>1777346102</v>
      </c>
      <c r="B692" t="inlineStr">
        <is>
          <t>XAUUSD</t>
        </is>
      </c>
      <c r="C692" t="inlineStr">
        <is>
          <t>M15</t>
        </is>
      </c>
      <c r="D692" t="n">
        <v>4674.86</v>
      </c>
      <c r="E692" t="n">
        <v>4518.59282</v>
      </c>
      <c r="F692" t="n">
        <v>4596.05595</v>
      </c>
      <c r="G692" t="n">
        <v>4755.40355</v>
      </c>
      <c r="H692" t="n">
        <v>4792.76972</v>
      </c>
      <c r="Q692" t="n">
        <v>4632.99091</v>
      </c>
      <c r="R692" t="n">
        <v>4662.35421</v>
      </c>
      <c r="S692" t="n">
        <v>4688.94298</v>
      </c>
      <c r="V692" t="n">
        <v>4598.05114</v>
      </c>
      <c r="W692" t="n">
        <v>4564.48614</v>
      </c>
      <c r="AB692" t="n">
        <v>4672.47432</v>
      </c>
      <c r="AC692" t="n">
        <v>4672.31858</v>
      </c>
      <c r="AD692" t="n">
        <v>1</v>
      </c>
      <c r="AE692">
        <f>AE691+1</f>
        <v/>
      </c>
      <c r="AF692">
        <f>AF691+1</f>
        <v/>
      </c>
      <c r="AG692">
        <f>D692-Q692</f>
        <v/>
      </c>
      <c r="AH692">
        <f>AG692^2</f>
        <v/>
      </c>
      <c r="AI692">
        <f>(AG692/STDEV($AG$3:$AG$1137))^3</f>
        <v/>
      </c>
      <c r="AJ692">
        <f>(AG692/STDEV($AG$3:$AG$1137))^4</f>
        <v/>
      </c>
      <c r="AK692">
        <f>AF692^2</f>
        <v/>
      </c>
      <c r="AL692">
        <f>IF(AD692=1,AB692,IF(AL691&lt;&gt;"",AL691,""))</f>
        <v/>
      </c>
      <c r="AM692">
        <f>IF(AND(AD692=1,AL691&lt;&gt;""),ABS(AB692-AL691),"")</f>
        <v/>
      </c>
    </row>
    <row r="693">
      <c r="A693" t="n">
        <v>1777347002</v>
      </c>
      <c r="B693" t="inlineStr">
        <is>
          <t>XAUUSD</t>
        </is>
      </c>
      <c r="C693" t="inlineStr">
        <is>
          <t>M15</t>
        </is>
      </c>
      <c r="D693" t="n">
        <v>4672.11</v>
      </c>
      <c r="E693" t="n">
        <v>4518.59282</v>
      </c>
      <c r="F693" t="n">
        <v>4596.05595</v>
      </c>
      <c r="G693" t="n">
        <v>4755.40355</v>
      </c>
      <c r="H693" t="n">
        <v>4792.76972</v>
      </c>
      <c r="Q693" t="n">
        <v>4632.72331</v>
      </c>
      <c r="R693" t="n">
        <v>4662.0866</v>
      </c>
      <c r="S693" t="n">
        <v>4688.67538</v>
      </c>
      <c r="V693" t="n">
        <v>4597.78354</v>
      </c>
      <c r="W693" t="n">
        <v>4564.21854</v>
      </c>
      <c r="AB693" t="n">
        <v>4673.07859</v>
      </c>
      <c r="AC693" t="n">
        <v>4672.69858</v>
      </c>
      <c r="AD693" t="n">
        <v>0</v>
      </c>
      <c r="AE693">
        <f>AE692+1</f>
        <v/>
      </c>
      <c r="AF693">
        <f>AF692+1</f>
        <v/>
      </c>
      <c r="AG693">
        <f>D693-Q693</f>
        <v/>
      </c>
      <c r="AH693">
        <f>AG693^2</f>
        <v/>
      </c>
      <c r="AI693">
        <f>(AG693/STDEV($AG$3:$AG$1137))^3</f>
        <v/>
      </c>
      <c r="AJ693">
        <f>(AG693/STDEV($AG$3:$AG$1137))^4</f>
        <v/>
      </c>
      <c r="AK693">
        <f>AF693^2</f>
        <v/>
      </c>
      <c r="AL693">
        <f>IF(AD693=1,AB693,IF(AL692&lt;&gt;"",AL692,""))</f>
        <v/>
      </c>
      <c r="AM693">
        <f>IF(AND(AD693=1,AL692&lt;&gt;""),ABS(AB693-AL692),"")</f>
        <v/>
      </c>
    </row>
    <row r="694">
      <c r="A694" t="n">
        <v>1777347902</v>
      </c>
      <c r="B694" t="inlineStr">
        <is>
          <t>XAUUSD</t>
        </is>
      </c>
      <c r="C694" t="inlineStr">
        <is>
          <t>M15</t>
        </is>
      </c>
      <c r="D694" t="n">
        <v>4671.02</v>
      </c>
      <c r="E694" t="n">
        <v>4518.59282</v>
      </c>
      <c r="F694" t="n">
        <v>4596.05595</v>
      </c>
      <c r="G694" t="n">
        <v>4755.40355</v>
      </c>
      <c r="H694" t="n">
        <v>4792.76972</v>
      </c>
      <c r="Q694" t="n">
        <v>4632.4557</v>
      </c>
      <c r="R694" t="n">
        <v>4661.819</v>
      </c>
      <c r="S694" t="n">
        <v>4688.40777</v>
      </c>
      <c r="V694" t="n">
        <v>4597.51593</v>
      </c>
      <c r="W694" t="n">
        <v>4563.95093</v>
      </c>
      <c r="AB694" t="n">
        <v>4673.11029</v>
      </c>
      <c r="AC694" t="n">
        <v>4672.90444</v>
      </c>
      <c r="AD694" t="n">
        <v>0</v>
      </c>
      <c r="AE694">
        <f>AE693+1</f>
        <v/>
      </c>
      <c r="AF694">
        <f>AF693+1</f>
        <v/>
      </c>
      <c r="AG694">
        <f>D694-Q694</f>
        <v/>
      </c>
      <c r="AH694">
        <f>AG694^2</f>
        <v/>
      </c>
      <c r="AI694">
        <f>(AG694/STDEV($AG$3:$AG$1137))^3</f>
        <v/>
      </c>
      <c r="AJ694">
        <f>(AG694/STDEV($AG$3:$AG$1137))^4</f>
        <v/>
      </c>
      <c r="AK694">
        <f>AF694^2</f>
        <v/>
      </c>
      <c r="AL694">
        <f>IF(AD694=1,AB694,IF(AL693&lt;&gt;"",AL693,""))</f>
        <v/>
      </c>
      <c r="AM694">
        <f>IF(AND(AD694=1,AL693&lt;&gt;""),ABS(AB694-AL693),"")</f>
        <v/>
      </c>
    </row>
    <row r="695">
      <c r="A695" t="n">
        <v>1777348802</v>
      </c>
      <c r="B695" t="inlineStr">
        <is>
          <t>XAUUSD</t>
        </is>
      </c>
      <c r="C695" t="inlineStr">
        <is>
          <t>M15</t>
        </is>
      </c>
      <c r="D695" t="n">
        <v>4669.93</v>
      </c>
      <c r="E695" t="n">
        <v>4518.59282</v>
      </c>
      <c r="F695" t="n">
        <v>4596.05595</v>
      </c>
      <c r="G695" t="n">
        <v>4755.40355</v>
      </c>
      <c r="H695" t="n">
        <v>4792.76972</v>
      </c>
      <c r="Q695" t="n">
        <v>4632.1881</v>
      </c>
      <c r="R695" t="n">
        <v>4661.5514</v>
      </c>
      <c r="S695" t="n">
        <v>4688.14017</v>
      </c>
      <c r="V695" t="n">
        <v>4597.24833</v>
      </c>
      <c r="W695" t="n">
        <v>4563.68333</v>
      </c>
      <c r="AB695" t="n">
        <v>4672.13298</v>
      </c>
      <c r="AC695" t="n">
        <v>4672.51871</v>
      </c>
      <c r="AD695" t="n">
        <v>1</v>
      </c>
      <c r="AE695">
        <f>AE694+1</f>
        <v/>
      </c>
      <c r="AF695">
        <f>AF694+1</f>
        <v/>
      </c>
      <c r="AG695">
        <f>D695-Q695</f>
        <v/>
      </c>
      <c r="AH695">
        <f>AG695^2</f>
        <v/>
      </c>
      <c r="AI695">
        <f>(AG695/STDEV($AG$3:$AG$1137))^3</f>
        <v/>
      </c>
      <c r="AJ695">
        <f>(AG695/STDEV($AG$3:$AG$1137))^4</f>
        <v/>
      </c>
      <c r="AK695">
        <f>AF695^2</f>
        <v/>
      </c>
      <c r="AL695">
        <f>IF(AD695=1,AB695,IF(AL694&lt;&gt;"",AL694,""))</f>
        <v/>
      </c>
      <c r="AM695">
        <f>IF(AND(AD695=1,AL694&lt;&gt;""),ABS(AB695-AL694),"")</f>
        <v/>
      </c>
    </row>
    <row r="696">
      <c r="A696" t="n">
        <v>1777349702</v>
      </c>
      <c r="B696" t="inlineStr">
        <is>
          <t>XAUUSD</t>
        </is>
      </c>
      <c r="C696" t="inlineStr">
        <is>
          <t>M15</t>
        </is>
      </c>
      <c r="D696" t="n">
        <v>4667.66</v>
      </c>
      <c r="E696" t="n">
        <v>4518.59282</v>
      </c>
      <c r="F696" t="n">
        <v>4596.05595</v>
      </c>
      <c r="G696" t="n">
        <v>4755.40355</v>
      </c>
      <c r="H696" t="n">
        <v>4792.76972</v>
      </c>
      <c r="Q696" t="n">
        <v>4631.92049</v>
      </c>
      <c r="R696" t="n">
        <v>4661.28379</v>
      </c>
      <c r="S696" t="n">
        <v>4687.87256</v>
      </c>
      <c r="V696" t="n">
        <v>4596.98072</v>
      </c>
      <c r="W696" t="n">
        <v>4563.41573</v>
      </c>
      <c r="AB696" t="n">
        <v>4669.87359</v>
      </c>
      <c r="AC696" t="n">
        <v>4671.19615</v>
      </c>
      <c r="AD696" t="n">
        <v>0</v>
      </c>
      <c r="AE696">
        <f>AE695+1</f>
        <v/>
      </c>
      <c r="AF696">
        <f>AF695+1</f>
        <v/>
      </c>
      <c r="AG696">
        <f>D696-Q696</f>
        <v/>
      </c>
      <c r="AH696">
        <f>AG696^2</f>
        <v/>
      </c>
      <c r="AI696">
        <f>(AG696/STDEV($AG$3:$AG$1137))^3</f>
        <v/>
      </c>
      <c r="AJ696">
        <f>(AG696/STDEV($AG$3:$AG$1137))^4</f>
        <v/>
      </c>
      <c r="AK696">
        <f>AF696^2</f>
        <v/>
      </c>
      <c r="AL696">
        <f>IF(AD696=1,AB696,IF(AL695&lt;&gt;"",AL695,""))</f>
        <v/>
      </c>
      <c r="AM696">
        <f>IF(AND(AD696=1,AL695&lt;&gt;""),ABS(AB696-AL695),"")</f>
        <v/>
      </c>
    </row>
    <row r="697">
      <c r="A697" t="n">
        <v>1777350602</v>
      </c>
      <c r="B697" t="inlineStr">
        <is>
          <t>XAUUSD</t>
        </is>
      </c>
      <c r="C697" t="inlineStr">
        <is>
          <t>M15</t>
        </is>
      </c>
      <c r="D697" t="n">
        <v>4669.92</v>
      </c>
      <c r="E697" t="n">
        <v>4518.59282</v>
      </c>
      <c r="F697" t="n">
        <v>4596.05595</v>
      </c>
      <c r="G697" t="n">
        <v>4755.40355</v>
      </c>
      <c r="H697" t="n">
        <v>4792.76972</v>
      </c>
      <c r="Q697" t="n">
        <v>4631.65289</v>
      </c>
      <c r="R697" t="n">
        <v>4661.01619</v>
      </c>
      <c r="S697" t="n">
        <v>4687.60496</v>
      </c>
      <c r="V697" t="n">
        <v>4596.71312</v>
      </c>
      <c r="W697" t="n">
        <v>4563.14812</v>
      </c>
      <c r="AB697" t="n">
        <v>4666.21133</v>
      </c>
      <c r="AC697" t="n">
        <v>4668.70374</v>
      </c>
      <c r="AD697" t="n">
        <v>0</v>
      </c>
      <c r="AE697">
        <f>AE696+1</f>
        <v/>
      </c>
      <c r="AF697">
        <f>AF696+1</f>
        <v/>
      </c>
      <c r="AG697">
        <f>D697-Q697</f>
        <v/>
      </c>
      <c r="AH697">
        <f>AG697^2</f>
        <v/>
      </c>
      <c r="AI697">
        <f>(AG697/STDEV($AG$3:$AG$1137))^3</f>
        <v/>
      </c>
      <c r="AJ697">
        <f>(AG697/STDEV($AG$3:$AG$1137))^4</f>
        <v/>
      </c>
      <c r="AK697">
        <f>AF697^2</f>
        <v/>
      </c>
      <c r="AL697">
        <f>IF(AD697=1,AB697,IF(AL696&lt;&gt;"",AL696,""))</f>
        <v/>
      </c>
      <c r="AM697">
        <f>IF(AND(AD697=1,AL696&lt;&gt;""),ABS(AB697-AL696),"")</f>
        <v/>
      </c>
    </row>
    <row r="698">
      <c r="A698" t="n">
        <v>1777351502</v>
      </c>
      <c r="B698" t="inlineStr">
        <is>
          <t>XAUUSD</t>
        </is>
      </c>
      <c r="C698" t="inlineStr">
        <is>
          <t>M15</t>
        </is>
      </c>
      <c r="D698" t="n">
        <v>4667.71</v>
      </c>
      <c r="E698" t="n">
        <v>4518.59282</v>
      </c>
      <c r="F698" t="n">
        <v>4596.05595</v>
      </c>
      <c r="G698" t="n">
        <v>4755.40355</v>
      </c>
      <c r="H698" t="n">
        <v>4792.76972</v>
      </c>
      <c r="Q698" t="n">
        <v>4631.38529</v>
      </c>
      <c r="R698" t="n">
        <v>4660.74858</v>
      </c>
      <c r="S698" t="n">
        <v>4687.33735</v>
      </c>
      <c r="V698" t="n">
        <v>4596.44551</v>
      </c>
      <c r="W698" t="n">
        <v>4562.88052</v>
      </c>
      <c r="AB698" t="n">
        <v>4661.06839</v>
      </c>
      <c r="AC698" t="n">
        <v>4664.88607</v>
      </c>
      <c r="AD698" t="n">
        <v>0</v>
      </c>
      <c r="AE698">
        <f>AE697+1</f>
        <v/>
      </c>
      <c r="AF698">
        <f>AF697+1</f>
        <v/>
      </c>
      <c r="AG698">
        <f>D698-Q698</f>
        <v/>
      </c>
      <c r="AH698">
        <f>AG698^2</f>
        <v/>
      </c>
      <c r="AI698">
        <f>(AG698/STDEV($AG$3:$AG$1137))^3</f>
        <v/>
      </c>
      <c r="AJ698">
        <f>(AG698/STDEV($AG$3:$AG$1137))^4</f>
        <v/>
      </c>
      <c r="AK698">
        <f>AF698^2</f>
        <v/>
      </c>
      <c r="AL698">
        <f>IF(AD698=1,AB698,IF(AL697&lt;&gt;"",AL697,""))</f>
        <v/>
      </c>
      <c r="AM698">
        <f>IF(AND(AD698=1,AL697&lt;&gt;""),ABS(AB698-AL697),"")</f>
        <v/>
      </c>
    </row>
    <row r="699">
      <c r="A699" t="n">
        <v>1777352402</v>
      </c>
      <c r="B699" t="inlineStr">
        <is>
          <t>XAUUSD</t>
        </is>
      </c>
      <c r="C699" t="inlineStr">
        <is>
          <t>M15</t>
        </is>
      </c>
      <c r="D699" t="n">
        <v>4652.57</v>
      </c>
      <c r="E699" t="n">
        <v>4518.59282</v>
      </c>
      <c r="F699" t="n">
        <v>4596.05595</v>
      </c>
      <c r="G699" t="n">
        <v>4755.40355</v>
      </c>
      <c r="H699" t="n">
        <v>4792.76972</v>
      </c>
      <c r="Q699" t="n">
        <v>4631.11768</v>
      </c>
      <c r="R699" t="n">
        <v>4660.48098</v>
      </c>
      <c r="S699" t="n">
        <v>4687.06975</v>
      </c>
      <c r="V699" t="n">
        <v>4596.17791</v>
      </c>
      <c r="W699" t="n">
        <v>4562.61291</v>
      </c>
      <c r="AB699" t="n">
        <v>4654.76785</v>
      </c>
      <c r="AC699" t="n">
        <v>4659.82696</v>
      </c>
      <c r="AD699" t="n">
        <v>0</v>
      </c>
      <c r="AE699">
        <f>AE698+1</f>
        <v/>
      </c>
      <c r="AF699">
        <f>AF698+1</f>
        <v/>
      </c>
      <c r="AG699">
        <f>D699-Q699</f>
        <v/>
      </c>
      <c r="AH699">
        <f>AG699^2</f>
        <v/>
      </c>
      <c r="AI699">
        <f>(AG699/STDEV($AG$3:$AG$1137))^3</f>
        <v/>
      </c>
      <c r="AJ699">
        <f>(AG699/STDEV($AG$3:$AG$1137))^4</f>
        <v/>
      </c>
      <c r="AK699">
        <f>AF699^2</f>
        <v/>
      </c>
      <c r="AL699">
        <f>IF(AD699=1,AB699,IF(AL698&lt;&gt;"",AL698,""))</f>
        <v/>
      </c>
      <c r="AM699">
        <f>IF(AND(AD699=1,AL698&lt;&gt;""),ABS(AB699-AL698),"")</f>
        <v/>
      </c>
    </row>
    <row r="700">
      <c r="A700" t="n">
        <v>1777353302</v>
      </c>
      <c r="B700" t="inlineStr">
        <is>
          <t>XAUUSD</t>
        </is>
      </c>
      <c r="C700" t="inlineStr">
        <is>
          <t>M15</t>
        </is>
      </c>
      <c r="D700" t="n">
        <v>4658.38</v>
      </c>
      <c r="E700" t="n">
        <v>4518.59282</v>
      </c>
      <c r="F700" t="n">
        <v>4596.05595</v>
      </c>
      <c r="G700" t="n">
        <v>4755.40355</v>
      </c>
      <c r="H700" t="n">
        <v>4792.76972</v>
      </c>
      <c r="Q700" t="n">
        <v>4630.85008</v>
      </c>
      <c r="R700" t="n">
        <v>4660.21338</v>
      </c>
      <c r="S700" t="n">
        <v>4686.80215</v>
      </c>
      <c r="V700" t="n">
        <v>4595.91031</v>
      </c>
      <c r="W700" t="n">
        <v>4562.34531</v>
      </c>
      <c r="AB700" t="n">
        <v>4648.17051</v>
      </c>
      <c r="AC700" t="n">
        <v>4653.99874</v>
      </c>
      <c r="AD700" t="n">
        <v>0</v>
      </c>
      <c r="AE700">
        <f>AE699+1</f>
        <v/>
      </c>
      <c r="AF700">
        <f>AF699+1</f>
        <v/>
      </c>
      <c r="AG700">
        <f>D700-Q700</f>
        <v/>
      </c>
      <c r="AH700">
        <f>AG700^2</f>
        <v/>
      </c>
      <c r="AI700">
        <f>(AG700/STDEV($AG$3:$AG$1137))^3</f>
        <v/>
      </c>
      <c r="AJ700">
        <f>(AG700/STDEV($AG$3:$AG$1137))^4</f>
        <v/>
      </c>
      <c r="AK700">
        <f>AF700^2</f>
        <v/>
      </c>
      <c r="AL700">
        <f>IF(AD700=1,AB700,IF(AL699&lt;&gt;"",AL699,""))</f>
        <v/>
      </c>
      <c r="AM700">
        <f>IF(AND(AD700=1,AL699&lt;&gt;""),ABS(AB700-AL699),"")</f>
        <v/>
      </c>
    </row>
    <row r="701">
      <c r="A701" t="n">
        <v>1777354202</v>
      </c>
      <c r="B701" t="inlineStr">
        <is>
          <t>XAUUSD</t>
        </is>
      </c>
      <c r="C701" t="inlineStr">
        <is>
          <t>M15</t>
        </is>
      </c>
      <c r="D701" t="n">
        <v>4624.58</v>
      </c>
      <c r="E701" t="n">
        <v>4518.59282</v>
      </c>
      <c r="F701" t="n">
        <v>4596.05595</v>
      </c>
      <c r="G701" t="n">
        <v>4755.40355</v>
      </c>
      <c r="H701" t="n">
        <v>4792.76972</v>
      </c>
      <c r="Q701" t="n">
        <v>4630.58247</v>
      </c>
      <c r="R701" t="n">
        <v>4659.94577</v>
      </c>
      <c r="S701" t="n">
        <v>4686.53454</v>
      </c>
      <c r="V701" t="n">
        <v>4595.6427</v>
      </c>
      <c r="W701" t="n">
        <v>4562.07771</v>
      </c>
      <c r="AB701" t="n">
        <v>4641.65171</v>
      </c>
      <c r="AC701" t="n">
        <v>4647.82523</v>
      </c>
      <c r="AD701" t="n">
        <v>0</v>
      </c>
      <c r="AE701">
        <f>AE700+1</f>
        <v/>
      </c>
      <c r="AF701">
        <f>AF700+1</f>
        <v/>
      </c>
      <c r="AG701">
        <f>D701-Q701</f>
        <v/>
      </c>
      <c r="AH701">
        <f>AG701^2</f>
        <v/>
      </c>
      <c r="AI701">
        <f>(AG701/STDEV($AG$3:$AG$1137))^3</f>
        <v/>
      </c>
      <c r="AJ701">
        <f>(AG701/STDEV($AG$3:$AG$1137))^4</f>
        <v/>
      </c>
      <c r="AK701">
        <f>AF701^2</f>
        <v/>
      </c>
      <c r="AL701">
        <f>IF(AD701=1,AB701,IF(AL700&lt;&gt;"",AL700,""))</f>
        <v/>
      </c>
      <c r="AM701">
        <f>IF(AND(AD701=1,AL700&lt;&gt;""),ABS(AB701-AL700),"")</f>
        <v/>
      </c>
    </row>
    <row r="702">
      <c r="A702" t="n">
        <v>1777355102</v>
      </c>
      <c r="B702" t="inlineStr">
        <is>
          <t>XAUUSD</t>
        </is>
      </c>
      <c r="C702" t="inlineStr">
        <is>
          <t>M15</t>
        </is>
      </c>
      <c r="D702" t="n">
        <v>4632.23</v>
      </c>
      <c r="E702" t="n">
        <v>4518.59282</v>
      </c>
      <c r="F702" t="n">
        <v>4596.05595</v>
      </c>
      <c r="G702" t="n">
        <v>4755.40355</v>
      </c>
      <c r="H702" t="n">
        <v>4792.76972</v>
      </c>
      <c r="Q702" t="n">
        <v>4630.31487</v>
      </c>
      <c r="R702" t="n">
        <v>4659.67817</v>
      </c>
      <c r="S702" t="n">
        <v>4686.26694</v>
      </c>
      <c r="V702" t="n">
        <v>4595.3751</v>
      </c>
      <c r="W702" t="n">
        <v>4561.8101</v>
      </c>
      <c r="AB702" t="n">
        <v>4636.63512</v>
      </c>
      <c r="AC702" t="n">
        <v>4642.23017</v>
      </c>
      <c r="AD702" t="n">
        <v>0</v>
      </c>
      <c r="AE702">
        <f>AE701+1</f>
        <v/>
      </c>
      <c r="AF702">
        <f>AF701+1</f>
        <v/>
      </c>
      <c r="AG702">
        <f>D702-Q702</f>
        <v/>
      </c>
      <c r="AH702">
        <f>AG702^2</f>
        <v/>
      </c>
      <c r="AI702">
        <f>(AG702/STDEV($AG$3:$AG$1137))^3</f>
        <v/>
      </c>
      <c r="AJ702">
        <f>(AG702/STDEV($AG$3:$AG$1137))^4</f>
        <v/>
      </c>
      <c r="AK702">
        <f>AF702^2</f>
        <v/>
      </c>
      <c r="AL702">
        <f>IF(AD702=1,AB702,IF(AL701&lt;&gt;"",AL701,""))</f>
        <v/>
      </c>
      <c r="AM702">
        <f>IF(AND(AD702=1,AL701&lt;&gt;""),ABS(AB702-AL701),"")</f>
        <v/>
      </c>
    </row>
    <row r="703">
      <c r="A703" t="n">
        <v>1777356002</v>
      </c>
      <c r="B703" t="inlineStr">
        <is>
          <t>XAUUSD</t>
        </is>
      </c>
      <c r="C703" t="inlineStr">
        <is>
          <t>M15</t>
        </is>
      </c>
      <c r="D703" t="n">
        <v>4640.69</v>
      </c>
      <c r="E703" t="n">
        <v>4518.59282</v>
      </c>
      <c r="F703" t="n">
        <v>4596.05595</v>
      </c>
      <c r="G703" t="n">
        <v>4755.40355</v>
      </c>
      <c r="H703" t="n">
        <v>4792.76972</v>
      </c>
      <c r="Q703" t="n">
        <v>4630.04726</v>
      </c>
      <c r="R703" t="n">
        <v>4659.41056</v>
      </c>
      <c r="S703" t="n">
        <v>4685.99933</v>
      </c>
      <c r="V703" t="n">
        <v>4595.10749</v>
      </c>
      <c r="W703" t="n">
        <v>4561.5425</v>
      </c>
      <c r="AB703" t="n">
        <v>4633.14562</v>
      </c>
      <c r="AC703" t="n">
        <v>4637.6879</v>
      </c>
      <c r="AD703" t="n">
        <v>0</v>
      </c>
      <c r="AE703">
        <f>AE702+1</f>
        <v/>
      </c>
      <c r="AF703">
        <f>AF702+1</f>
        <v/>
      </c>
      <c r="AG703">
        <f>D703-Q703</f>
        <v/>
      </c>
      <c r="AH703">
        <f>AG703^2</f>
        <v/>
      </c>
      <c r="AI703">
        <f>(AG703/STDEV($AG$3:$AG$1137))^3</f>
        <v/>
      </c>
      <c r="AJ703">
        <f>(AG703/STDEV($AG$3:$AG$1137))^4</f>
        <v/>
      </c>
      <c r="AK703">
        <f>AF703^2</f>
        <v/>
      </c>
      <c r="AL703">
        <f>IF(AD703=1,AB703,IF(AL702&lt;&gt;"",AL702,""))</f>
        <v/>
      </c>
      <c r="AM703">
        <f>IF(AND(AD703=1,AL702&lt;&gt;""),ABS(AB703-AL702),"")</f>
        <v/>
      </c>
    </row>
    <row r="704">
      <c r="A704" t="n">
        <v>1777356902</v>
      </c>
      <c r="B704" t="inlineStr">
        <is>
          <t>XAUUSD</t>
        </is>
      </c>
      <c r="C704" t="inlineStr">
        <is>
          <t>M15</t>
        </is>
      </c>
      <c r="D704" t="n">
        <v>4631.64</v>
      </c>
      <c r="E704" t="n">
        <v>4518.59282</v>
      </c>
      <c r="F704" t="n">
        <v>4596.05595</v>
      </c>
      <c r="G704" t="n">
        <v>4755.40355</v>
      </c>
      <c r="H704" t="n">
        <v>4792.76972</v>
      </c>
      <c r="Q704" t="n">
        <v>4629.77966</v>
      </c>
      <c r="R704" t="n">
        <v>4659.14296</v>
      </c>
      <c r="S704" t="n">
        <v>4685.73173</v>
      </c>
      <c r="V704" t="n">
        <v>4594.83989</v>
      </c>
      <c r="W704" t="n">
        <v>4561.27489</v>
      </c>
      <c r="AB704" t="n">
        <v>4630.92321</v>
      </c>
      <c r="AC704" t="n">
        <v>4634.30555</v>
      </c>
      <c r="AD704" t="n">
        <v>0</v>
      </c>
      <c r="AE704">
        <f>AE703+1</f>
        <v/>
      </c>
      <c r="AF704">
        <f>AF703+1</f>
        <v/>
      </c>
      <c r="AG704">
        <f>D704-Q704</f>
        <v/>
      </c>
      <c r="AH704">
        <f>AG704^2</f>
        <v/>
      </c>
      <c r="AI704">
        <f>(AG704/STDEV($AG$3:$AG$1137))^3</f>
        <v/>
      </c>
      <c r="AJ704">
        <f>(AG704/STDEV($AG$3:$AG$1137))^4</f>
        <v/>
      </c>
      <c r="AK704">
        <f>AF704^2</f>
        <v/>
      </c>
      <c r="AL704">
        <f>IF(AD704=1,AB704,IF(AL703&lt;&gt;"",AL703,""))</f>
        <v/>
      </c>
      <c r="AM704">
        <f>IF(AND(AD704=1,AL703&lt;&gt;""),ABS(AB704-AL703),"")</f>
        <v/>
      </c>
    </row>
    <row r="705">
      <c r="A705" t="n">
        <v>1777357802</v>
      </c>
      <c r="B705" t="inlineStr">
        <is>
          <t>XAUUSD</t>
        </is>
      </c>
      <c r="C705" t="inlineStr">
        <is>
          <t>M15</t>
        </is>
      </c>
      <c r="D705" t="n">
        <v>4629.83</v>
      </c>
      <c r="E705" t="n">
        <v>4518.59282</v>
      </c>
      <c r="F705" t="n">
        <v>4596.05595</v>
      </c>
      <c r="G705" t="n">
        <v>4755.40355</v>
      </c>
      <c r="H705" t="n">
        <v>4792.76972</v>
      </c>
      <c r="Q705" t="n">
        <v>4629.51206</v>
      </c>
      <c r="R705" t="n">
        <v>4658.87536</v>
      </c>
      <c r="S705" t="n">
        <v>4685.46413</v>
      </c>
      <c r="V705" t="n">
        <v>4594.57229</v>
      </c>
      <c r="W705" t="n">
        <v>4561.00729</v>
      </c>
      <c r="AB705" t="n">
        <v>4629.9782</v>
      </c>
      <c r="AC705" t="n">
        <v>4632.14188</v>
      </c>
      <c r="AD705" t="n">
        <v>0</v>
      </c>
      <c r="AE705">
        <f>AE704+1</f>
        <v/>
      </c>
      <c r="AF705">
        <f>AF704+1</f>
        <v/>
      </c>
      <c r="AG705">
        <f>D705-Q705</f>
        <v/>
      </c>
      <c r="AH705">
        <f>AG705^2</f>
        <v/>
      </c>
      <c r="AI705">
        <f>(AG705/STDEV($AG$3:$AG$1137))^3</f>
        <v/>
      </c>
      <c r="AJ705">
        <f>(AG705/STDEV($AG$3:$AG$1137))^4</f>
        <v/>
      </c>
      <c r="AK705">
        <f>AF705^2</f>
        <v/>
      </c>
      <c r="AL705">
        <f>IF(AD705=1,AB705,IF(AL704&lt;&gt;"",AL704,""))</f>
        <v/>
      </c>
      <c r="AM705">
        <f>IF(AND(AD705=1,AL704&lt;&gt;""),ABS(AB705-AL704),"")</f>
        <v/>
      </c>
    </row>
    <row r="706">
      <c r="A706" t="n">
        <v>1777358702</v>
      </c>
      <c r="B706" t="inlineStr">
        <is>
          <t>XAUUSD</t>
        </is>
      </c>
      <c r="C706" t="inlineStr">
        <is>
          <t>M15</t>
        </is>
      </c>
      <c r="D706" t="n">
        <v>4628.99</v>
      </c>
      <c r="E706" t="n">
        <v>4518.59282</v>
      </c>
      <c r="F706" t="n">
        <v>4596.05595</v>
      </c>
      <c r="G706" t="n">
        <v>4755.40355</v>
      </c>
      <c r="H706" t="n">
        <v>4792.76972</v>
      </c>
      <c r="Q706" t="n">
        <v>4629.24445</v>
      </c>
      <c r="R706" t="n">
        <v>4658.60775</v>
      </c>
      <c r="S706" t="n">
        <v>4685.19652</v>
      </c>
      <c r="V706" t="n">
        <v>4594.30468</v>
      </c>
      <c r="W706" t="n">
        <v>4560.73969</v>
      </c>
      <c r="AB706" t="n">
        <v>4629.97345</v>
      </c>
      <c r="AC706" t="n">
        <v>4631.05766</v>
      </c>
      <c r="AD706" t="n">
        <v>0</v>
      </c>
      <c r="AE706">
        <f>AE705+1</f>
        <v/>
      </c>
      <c r="AF706">
        <f>AF705+1</f>
        <v/>
      </c>
      <c r="AG706">
        <f>D706-Q706</f>
        <v/>
      </c>
      <c r="AH706">
        <f>AG706^2</f>
        <v/>
      </c>
      <c r="AI706">
        <f>(AG706/STDEV($AG$3:$AG$1137))^3</f>
        <v/>
      </c>
      <c r="AJ706">
        <f>(AG706/STDEV($AG$3:$AG$1137))^4</f>
        <v/>
      </c>
      <c r="AK706">
        <f>AF706^2</f>
        <v/>
      </c>
      <c r="AL706">
        <f>IF(AD706=1,AB706,IF(AL705&lt;&gt;"",AL705,""))</f>
        <v/>
      </c>
      <c r="AM706">
        <f>IF(AND(AD706=1,AL705&lt;&gt;""),ABS(AB706-AL705),"")</f>
        <v/>
      </c>
    </row>
    <row r="707">
      <c r="A707" t="n">
        <v>1777359602</v>
      </c>
      <c r="B707" t="inlineStr">
        <is>
          <t>XAUUSD</t>
        </is>
      </c>
      <c r="C707" t="inlineStr">
        <is>
          <t>M15</t>
        </is>
      </c>
      <c r="D707" t="n">
        <v>4634.3</v>
      </c>
      <c r="E707" t="n">
        <v>4518.59282</v>
      </c>
      <c r="F707" t="n">
        <v>4596.05595</v>
      </c>
      <c r="G707" t="n">
        <v>4755.40355</v>
      </c>
      <c r="H707" t="n">
        <v>4792.76972</v>
      </c>
      <c r="Q707" t="n">
        <v>4628.97685</v>
      </c>
      <c r="R707" t="n">
        <v>4658.34015</v>
      </c>
      <c r="S707" t="n">
        <v>4684.92892</v>
      </c>
      <c r="V707" t="n">
        <v>4594.03708</v>
      </c>
      <c r="W707" t="n">
        <v>4560.47208</v>
      </c>
      <c r="AB707" t="n">
        <v>4630.43022</v>
      </c>
      <c r="AC707" t="n">
        <v>4630.74394</v>
      </c>
      <c r="AD707" t="n">
        <v>0</v>
      </c>
      <c r="AE707">
        <f>AE706+1</f>
        <v/>
      </c>
      <c r="AF707">
        <f>AF706+1</f>
        <v/>
      </c>
      <c r="AG707">
        <f>D707-Q707</f>
        <v/>
      </c>
      <c r="AH707">
        <f>AG707^2</f>
        <v/>
      </c>
      <c r="AI707">
        <f>(AG707/STDEV($AG$3:$AG$1137))^3</f>
        <v/>
      </c>
      <c r="AJ707">
        <f>(AG707/STDEV($AG$3:$AG$1137))^4</f>
        <v/>
      </c>
      <c r="AK707">
        <f>AF707^2</f>
        <v/>
      </c>
      <c r="AL707">
        <f>IF(AD707=1,AB707,IF(AL706&lt;&gt;"",AL706,""))</f>
        <v/>
      </c>
      <c r="AM707">
        <f>IF(AND(AD707=1,AL706&lt;&gt;""),ABS(AB707-AL706),"")</f>
        <v/>
      </c>
    </row>
    <row r="708">
      <c r="A708" t="n">
        <v>1777360502</v>
      </c>
      <c r="B708" t="inlineStr">
        <is>
          <t>XAUUSD</t>
        </is>
      </c>
      <c r="C708" t="inlineStr">
        <is>
          <t>M15</t>
        </is>
      </c>
      <c r="D708" t="n">
        <v>4629.79</v>
      </c>
      <c r="E708" t="n">
        <v>4518.59282</v>
      </c>
      <c r="F708" t="n">
        <v>4596.05595</v>
      </c>
      <c r="G708" t="n">
        <v>4755.40355</v>
      </c>
      <c r="H708" t="n">
        <v>4792.76972</v>
      </c>
      <c r="Q708" t="n">
        <v>4628.70924</v>
      </c>
      <c r="R708" t="n">
        <v>4658.07254</v>
      </c>
      <c r="S708" t="n">
        <v>4684.66131</v>
      </c>
      <c r="V708" t="n">
        <v>4593.76947</v>
      </c>
      <c r="W708" t="n">
        <v>4560.20448</v>
      </c>
      <c r="AB708" t="n">
        <v>4630.73633</v>
      </c>
      <c r="AC708" t="n">
        <v>4630.74014</v>
      </c>
      <c r="AD708" t="n">
        <v>0</v>
      </c>
      <c r="AE708">
        <f>AE707+1</f>
        <v/>
      </c>
      <c r="AF708">
        <f>AF707+1</f>
        <v/>
      </c>
      <c r="AG708">
        <f>D708-Q708</f>
        <v/>
      </c>
      <c r="AH708">
        <f>AG708^2</f>
        <v/>
      </c>
      <c r="AI708">
        <f>(AG708/STDEV($AG$3:$AG$1137))^3</f>
        <v/>
      </c>
      <c r="AJ708">
        <f>(AG708/STDEV($AG$3:$AG$1137))^4</f>
        <v/>
      </c>
      <c r="AK708">
        <f>AF708^2</f>
        <v/>
      </c>
      <c r="AL708">
        <f>IF(AD708=1,AB708,IF(AL707&lt;&gt;"",AL707,""))</f>
        <v/>
      </c>
      <c r="AM708">
        <f>IF(AND(AD708=1,AL707&lt;&gt;""),ABS(AB708-AL707),"")</f>
        <v/>
      </c>
    </row>
    <row r="709">
      <c r="A709" t="n">
        <v>1777361402</v>
      </c>
      <c r="B709" t="inlineStr">
        <is>
          <t>XAUUSD</t>
        </is>
      </c>
      <c r="C709" t="inlineStr">
        <is>
          <t>M15</t>
        </is>
      </c>
      <c r="D709" t="n">
        <v>4629.38</v>
      </c>
      <c r="E709" t="n">
        <v>4518.59282</v>
      </c>
      <c r="F709" t="n">
        <v>4596.05595</v>
      </c>
      <c r="G709" t="n">
        <v>4755.40355</v>
      </c>
      <c r="H709" t="n">
        <v>4792.76972</v>
      </c>
      <c r="Q709" t="n">
        <v>4628.44164</v>
      </c>
      <c r="R709" t="n">
        <v>4657.80494</v>
      </c>
      <c r="S709" t="n">
        <v>4684.39371</v>
      </c>
      <c r="V709" t="n">
        <v>4593.50187</v>
      </c>
      <c r="W709" t="n">
        <v>4559.93687</v>
      </c>
      <c r="AB709" t="n">
        <v>4630.64901</v>
      </c>
      <c r="AC709" t="n">
        <v>4630.69457</v>
      </c>
      <c r="AD709" t="n">
        <v>0</v>
      </c>
      <c r="AE709">
        <f>AE708+1</f>
        <v/>
      </c>
      <c r="AF709">
        <f>AF708+1</f>
        <v/>
      </c>
      <c r="AG709">
        <f>D709-Q709</f>
        <v/>
      </c>
      <c r="AH709">
        <f>AG709^2</f>
        <v/>
      </c>
      <c r="AI709">
        <f>(AG709/STDEV($AG$3:$AG$1137))^3</f>
        <v/>
      </c>
      <c r="AJ709">
        <f>(AG709/STDEV($AG$3:$AG$1137))^4</f>
        <v/>
      </c>
      <c r="AK709">
        <f>AF709^2</f>
        <v/>
      </c>
      <c r="AL709">
        <f>IF(AD709=1,AB709,IF(AL708&lt;&gt;"",AL708,""))</f>
        <v/>
      </c>
      <c r="AM709">
        <f>IF(AND(AD709=1,AL708&lt;&gt;""),ABS(AB709-AL708),"")</f>
        <v/>
      </c>
    </row>
    <row r="710">
      <c r="A710" t="n">
        <v>1777362302</v>
      </c>
      <c r="B710" t="inlineStr">
        <is>
          <t>XAUUSD</t>
        </is>
      </c>
      <c r="C710" t="inlineStr">
        <is>
          <t>M15</t>
        </is>
      </c>
      <c r="D710" t="n">
        <v>4633.24</v>
      </c>
      <c r="E710" t="n">
        <v>4518.59282</v>
      </c>
      <c r="F710" t="n">
        <v>4596.05595</v>
      </c>
      <c r="G710" t="n">
        <v>4755.40355</v>
      </c>
      <c r="H710" t="n">
        <v>4792.76972</v>
      </c>
      <c r="Q710" t="n">
        <v>4628.17404</v>
      </c>
      <c r="R710" t="n">
        <v>4657.53733</v>
      </c>
      <c r="S710" t="n">
        <v>4684.12611</v>
      </c>
      <c r="V710" t="n">
        <v>4593.23427</v>
      </c>
      <c r="W710" t="n">
        <v>4559.66927</v>
      </c>
      <c r="AB710" t="n">
        <v>4629.99385</v>
      </c>
      <c r="AC710" t="n">
        <v>4630.34421</v>
      </c>
      <c r="AD710" t="n">
        <v>0</v>
      </c>
      <c r="AE710">
        <f>AE709+1</f>
        <v/>
      </c>
      <c r="AF710">
        <f>AF709+1</f>
        <v/>
      </c>
      <c r="AG710">
        <f>D710-Q710</f>
        <v/>
      </c>
      <c r="AH710">
        <f>AG710^2</f>
        <v/>
      </c>
      <c r="AI710">
        <f>(AG710/STDEV($AG$3:$AG$1137))^3</f>
        <v/>
      </c>
      <c r="AJ710">
        <f>(AG710/STDEV($AG$3:$AG$1137))^4</f>
        <v/>
      </c>
      <c r="AK710">
        <f>AF710^2</f>
        <v/>
      </c>
      <c r="AL710">
        <f>IF(AD710=1,AB710,IF(AL709&lt;&gt;"",AL709,""))</f>
        <v/>
      </c>
      <c r="AM710">
        <f>IF(AND(AD710=1,AL709&lt;&gt;""),ABS(AB710-AL709),"")</f>
        <v/>
      </c>
    </row>
    <row r="711">
      <c r="A711" t="n">
        <v>1777363202</v>
      </c>
      <c r="B711" t="inlineStr">
        <is>
          <t>XAUUSD</t>
        </is>
      </c>
      <c r="C711" t="inlineStr">
        <is>
          <t>M15</t>
        </is>
      </c>
      <c r="D711" t="n">
        <v>4620.29</v>
      </c>
      <c r="E711" t="n">
        <v>4518.59282</v>
      </c>
      <c r="F711" t="n">
        <v>4596.05595</v>
      </c>
      <c r="G711" t="n">
        <v>4755.40355</v>
      </c>
      <c r="H711" t="n">
        <v>4792.76972</v>
      </c>
      <c r="Q711" t="n">
        <v>4627.90643</v>
      </c>
      <c r="R711" t="n">
        <v>4657.26973</v>
      </c>
      <c r="S711" t="n">
        <v>4683.8585</v>
      </c>
      <c r="V711" t="n">
        <v>4592.96666</v>
      </c>
      <c r="W711" t="n">
        <v>4559.40167</v>
      </c>
      <c r="AB711" t="n">
        <v>4628.66726</v>
      </c>
      <c r="AC711" t="n">
        <v>4629.50573</v>
      </c>
      <c r="AD711" t="n">
        <v>0</v>
      </c>
      <c r="AE711">
        <f>AE710+1</f>
        <v/>
      </c>
      <c r="AF711">
        <f>AF710+1</f>
        <v/>
      </c>
      <c r="AG711">
        <f>D711-Q711</f>
        <v/>
      </c>
      <c r="AH711">
        <f>AG711^2</f>
        <v/>
      </c>
      <c r="AI711">
        <f>(AG711/STDEV($AG$3:$AG$1137))^3</f>
        <v/>
      </c>
      <c r="AJ711">
        <f>(AG711/STDEV($AG$3:$AG$1137))^4</f>
        <v/>
      </c>
      <c r="AK711">
        <f>AF711^2</f>
        <v/>
      </c>
      <c r="AL711">
        <f>IF(AD711=1,AB711,IF(AL710&lt;&gt;"",AL710,""))</f>
        <v/>
      </c>
      <c r="AM711">
        <f>IF(AND(AD711=1,AL710&lt;&gt;""),ABS(AB711-AL710),"")</f>
        <v/>
      </c>
    </row>
    <row r="712">
      <c r="A712" t="n">
        <v>1777364102</v>
      </c>
      <c r="B712" t="inlineStr">
        <is>
          <t>XAUUSD</t>
        </is>
      </c>
      <c r="C712" t="inlineStr">
        <is>
          <t>M15</t>
        </is>
      </c>
      <c r="D712" t="n">
        <v>4626.98</v>
      </c>
      <c r="E712" t="n">
        <v>4518.59282</v>
      </c>
      <c r="F712" t="n">
        <v>4596.05595</v>
      </c>
      <c r="G712" t="n">
        <v>4755.40355</v>
      </c>
      <c r="H712" t="n">
        <v>4792.76972</v>
      </c>
      <c r="Q712" t="n">
        <v>4627.63883</v>
      </c>
      <c r="R712" t="n">
        <v>4657.00213</v>
      </c>
      <c r="S712" t="n">
        <v>4683.5909</v>
      </c>
      <c r="V712" t="n">
        <v>4592.69906</v>
      </c>
      <c r="W712" t="n">
        <v>4559.13406</v>
      </c>
      <c r="AB712" t="n">
        <v>4627.15639</v>
      </c>
      <c r="AC712" t="n">
        <v>4628.33106</v>
      </c>
      <c r="AD712" t="n">
        <v>0</v>
      </c>
      <c r="AE712">
        <f>AE711+1</f>
        <v/>
      </c>
      <c r="AF712">
        <f>AF711+1</f>
        <v/>
      </c>
      <c r="AG712">
        <f>D712-Q712</f>
        <v/>
      </c>
      <c r="AH712">
        <f>AG712^2</f>
        <v/>
      </c>
      <c r="AI712">
        <f>(AG712/STDEV($AG$3:$AG$1137))^3</f>
        <v/>
      </c>
      <c r="AJ712">
        <f>(AG712/STDEV($AG$3:$AG$1137))^4</f>
        <v/>
      </c>
      <c r="AK712">
        <f>AF712^2</f>
        <v/>
      </c>
      <c r="AL712">
        <f>IF(AD712=1,AB712,IF(AL711&lt;&gt;"",AL711,""))</f>
        <v/>
      </c>
      <c r="AM712">
        <f>IF(AND(AD712=1,AL711&lt;&gt;""),ABS(AB712-AL711),"")</f>
        <v/>
      </c>
    </row>
    <row r="713">
      <c r="A713" t="n">
        <v>1777365002</v>
      </c>
      <c r="B713" t="inlineStr">
        <is>
          <t>XAUUSD</t>
        </is>
      </c>
      <c r="C713" t="inlineStr">
        <is>
          <t>M15</t>
        </is>
      </c>
      <c r="D713" t="n">
        <v>4628.21</v>
      </c>
      <c r="E713" t="n">
        <v>4518.59282</v>
      </c>
      <c r="F713" t="n">
        <v>4596.05595</v>
      </c>
      <c r="G713" t="n">
        <v>4755.40355</v>
      </c>
      <c r="H713" t="n">
        <v>4792.76972</v>
      </c>
      <c r="Q713" t="n">
        <v>4627.37122</v>
      </c>
      <c r="R713" t="n">
        <v>4656.73452</v>
      </c>
      <c r="S713" t="n">
        <v>4683.32329</v>
      </c>
      <c r="V713" t="n">
        <v>4592.43145</v>
      </c>
      <c r="W713" t="n">
        <v>4558.86646</v>
      </c>
      <c r="AB713" t="n">
        <v>4625.433</v>
      </c>
      <c r="AC713" t="n">
        <v>4626.88203</v>
      </c>
      <c r="AD713" t="n">
        <v>0</v>
      </c>
      <c r="AE713">
        <f>AE712+1</f>
        <v/>
      </c>
      <c r="AF713">
        <f>AF712+1</f>
        <v/>
      </c>
      <c r="AG713">
        <f>D713-Q713</f>
        <v/>
      </c>
      <c r="AH713">
        <f>AG713^2</f>
        <v/>
      </c>
      <c r="AI713">
        <f>(AG713/STDEV($AG$3:$AG$1137))^3</f>
        <v/>
      </c>
      <c r="AJ713">
        <f>(AG713/STDEV($AG$3:$AG$1137))^4</f>
        <v/>
      </c>
      <c r="AK713">
        <f>AF713^2</f>
        <v/>
      </c>
      <c r="AL713">
        <f>IF(AD713=1,AB713,IF(AL712&lt;&gt;"",AL712,""))</f>
        <v/>
      </c>
      <c r="AM713">
        <f>IF(AND(AD713=1,AL712&lt;&gt;""),ABS(AB713-AL712),"")</f>
        <v/>
      </c>
    </row>
    <row r="714">
      <c r="A714" t="n">
        <v>1777365902</v>
      </c>
      <c r="B714" t="inlineStr">
        <is>
          <t>XAUUSD</t>
        </is>
      </c>
      <c r="C714" t="inlineStr">
        <is>
          <t>M15</t>
        </is>
      </c>
      <c r="D714" t="n">
        <v>4629.62</v>
      </c>
      <c r="E714" t="n">
        <v>4518.59282</v>
      </c>
      <c r="F714" t="n">
        <v>4596.05595</v>
      </c>
      <c r="G714" t="n">
        <v>4755.40355</v>
      </c>
      <c r="H714" t="n">
        <v>4792.76972</v>
      </c>
      <c r="Q714" t="n">
        <v>4627.10362</v>
      </c>
      <c r="R714" t="n">
        <v>4656.46692</v>
      </c>
      <c r="S714" t="n">
        <v>4683.05569</v>
      </c>
      <c r="V714" t="n">
        <v>4592.16385</v>
      </c>
      <c r="W714" t="n">
        <v>4558.59885</v>
      </c>
      <c r="AB714" t="n">
        <v>4623.59568</v>
      </c>
      <c r="AC714" t="n">
        <v>4625.23885</v>
      </c>
      <c r="AD714" t="n">
        <v>0</v>
      </c>
      <c r="AE714">
        <f>AE713+1</f>
        <v/>
      </c>
      <c r="AF714">
        <f>AF713+1</f>
        <v/>
      </c>
      <c r="AG714">
        <f>D714-Q714</f>
        <v/>
      </c>
      <c r="AH714">
        <f>AG714^2</f>
        <v/>
      </c>
      <c r="AI714">
        <f>(AG714/STDEV($AG$3:$AG$1137))^3</f>
        <v/>
      </c>
      <c r="AJ714">
        <f>(AG714/STDEV($AG$3:$AG$1137))^4</f>
        <v/>
      </c>
      <c r="AK714">
        <f>AF714^2</f>
        <v/>
      </c>
      <c r="AL714">
        <f>IF(AD714=1,AB714,IF(AL713&lt;&gt;"",AL713,""))</f>
        <v/>
      </c>
      <c r="AM714">
        <f>IF(AND(AD714=1,AL713&lt;&gt;""),ABS(AB714-AL713),"")</f>
        <v/>
      </c>
    </row>
    <row r="715">
      <c r="A715" t="n">
        <v>1777366802</v>
      </c>
      <c r="B715" t="inlineStr">
        <is>
          <t>XAUUSD</t>
        </is>
      </c>
      <c r="C715" t="inlineStr">
        <is>
          <t>M15</t>
        </is>
      </c>
      <c r="D715" t="n">
        <v>4625.52</v>
      </c>
      <c r="E715" t="n">
        <v>4518.59282</v>
      </c>
      <c r="F715" t="n">
        <v>4596.05595</v>
      </c>
      <c r="G715" t="n">
        <v>4755.40355</v>
      </c>
      <c r="H715" t="n">
        <v>4792.76972</v>
      </c>
      <c r="Q715" t="n">
        <v>4626.83602</v>
      </c>
      <c r="R715" t="n">
        <v>4656.19931</v>
      </c>
      <c r="S715" t="n">
        <v>4682.78809</v>
      </c>
      <c r="V715" t="n">
        <v>4591.89625</v>
      </c>
      <c r="W715" t="n">
        <v>4558.33125</v>
      </c>
      <c r="AB715" t="n">
        <v>4621.65842</v>
      </c>
      <c r="AC715" t="n">
        <v>4623.44864</v>
      </c>
      <c r="AD715" t="n">
        <v>0</v>
      </c>
      <c r="AE715">
        <f>AE714+1</f>
        <v/>
      </c>
      <c r="AF715">
        <f>AF714+1</f>
        <v/>
      </c>
      <c r="AG715">
        <f>D715-Q715</f>
        <v/>
      </c>
      <c r="AH715">
        <f>AG715^2</f>
        <v/>
      </c>
      <c r="AI715">
        <f>(AG715/STDEV($AG$3:$AG$1137))^3</f>
        <v/>
      </c>
      <c r="AJ715">
        <f>(AG715/STDEV($AG$3:$AG$1137))^4</f>
        <v/>
      </c>
      <c r="AK715">
        <f>AF715^2</f>
        <v/>
      </c>
      <c r="AL715">
        <f>IF(AD715=1,AB715,IF(AL714&lt;&gt;"",AL714,""))</f>
        <v/>
      </c>
      <c r="AM715">
        <f>IF(AND(AD715=1,AL714&lt;&gt;""),ABS(AB715-AL714),"")</f>
        <v/>
      </c>
    </row>
    <row r="716">
      <c r="A716" t="n">
        <v>1777367702</v>
      </c>
      <c r="B716" t="inlineStr">
        <is>
          <t>XAUUSD</t>
        </is>
      </c>
      <c r="C716" t="inlineStr">
        <is>
          <t>M15</t>
        </is>
      </c>
      <c r="D716" t="n">
        <v>4618.31</v>
      </c>
      <c r="E716" t="n">
        <v>4518.59282</v>
      </c>
      <c r="F716" t="n">
        <v>4596.05595</v>
      </c>
      <c r="G716" t="n">
        <v>4755.40355</v>
      </c>
      <c r="H716" t="n">
        <v>4792.76972</v>
      </c>
      <c r="Q716" t="n">
        <v>4626.56841</v>
      </c>
      <c r="R716" t="n">
        <v>4655.93171</v>
      </c>
      <c r="S716" t="n">
        <v>4682.52048</v>
      </c>
      <c r="V716" t="n">
        <v>4591.62864</v>
      </c>
      <c r="W716" t="n">
        <v>4558.06364</v>
      </c>
      <c r="AB716" t="n">
        <v>4619.67307</v>
      </c>
      <c r="AC716" t="n">
        <v>4621.56085</v>
      </c>
      <c r="AD716" t="n">
        <v>0</v>
      </c>
      <c r="AE716">
        <f>AE715+1</f>
        <v/>
      </c>
      <c r="AF716">
        <f>AF715+1</f>
        <v/>
      </c>
      <c r="AG716">
        <f>D716-Q716</f>
        <v/>
      </c>
      <c r="AH716">
        <f>AG716^2</f>
        <v/>
      </c>
      <c r="AI716">
        <f>(AG716/STDEV($AG$3:$AG$1137))^3</f>
        <v/>
      </c>
      <c r="AJ716">
        <f>(AG716/STDEV($AG$3:$AG$1137))^4</f>
        <v/>
      </c>
      <c r="AK716">
        <f>AF716^2</f>
        <v/>
      </c>
      <c r="AL716">
        <f>IF(AD716=1,AB716,IF(AL715&lt;&gt;"",AL715,""))</f>
        <v/>
      </c>
      <c r="AM716">
        <f>IF(AND(AD716=1,AL715&lt;&gt;""),ABS(AB716-AL715),"")</f>
        <v/>
      </c>
    </row>
    <row r="717">
      <c r="A717" t="n">
        <v>1777368602</v>
      </c>
      <c r="B717" t="inlineStr">
        <is>
          <t>XAUUSD</t>
        </is>
      </c>
      <c r="C717" t="inlineStr">
        <is>
          <t>M15</t>
        </is>
      </c>
      <c r="D717" t="n">
        <v>4613.05</v>
      </c>
      <c r="E717" t="n">
        <v>4518.59282</v>
      </c>
      <c r="F717" t="n">
        <v>4596.05595</v>
      </c>
      <c r="G717" t="n">
        <v>4755.40355</v>
      </c>
      <c r="H717" t="n">
        <v>4792.76972</v>
      </c>
      <c r="Q717" t="n">
        <v>4626.30081</v>
      </c>
      <c r="R717" t="n">
        <v>4655.66411</v>
      </c>
      <c r="S717" t="n">
        <v>4682.25288</v>
      </c>
      <c r="V717" t="n">
        <v>4591.36104</v>
      </c>
      <c r="W717" t="n">
        <v>4557.79604</v>
      </c>
      <c r="AB717" t="n">
        <v>4617.67804</v>
      </c>
      <c r="AC717" t="n">
        <v>4619.61945</v>
      </c>
      <c r="AD717" t="n">
        <v>0</v>
      </c>
      <c r="AE717">
        <f>AE716+1</f>
        <v/>
      </c>
      <c r="AF717">
        <f>AF716+1</f>
        <v/>
      </c>
      <c r="AG717">
        <f>D717-Q717</f>
        <v/>
      </c>
      <c r="AH717">
        <f>AG717^2</f>
        <v/>
      </c>
      <c r="AI717">
        <f>(AG717/STDEV($AG$3:$AG$1137))^3</f>
        <v/>
      </c>
      <c r="AJ717">
        <f>(AG717/STDEV($AG$3:$AG$1137))^4</f>
        <v/>
      </c>
      <c r="AK717">
        <f>AF717^2</f>
        <v/>
      </c>
      <c r="AL717">
        <f>IF(AD717=1,AB717,IF(AL716&lt;&gt;"",AL716,""))</f>
        <v/>
      </c>
      <c r="AM717">
        <f>IF(AND(AD717=1,AL716&lt;&gt;""),ABS(AB717-AL716),"")</f>
        <v/>
      </c>
    </row>
    <row r="718">
      <c r="A718" t="n">
        <v>1777369502</v>
      </c>
      <c r="B718" t="inlineStr">
        <is>
          <t>XAUUSD</t>
        </is>
      </c>
      <c r="C718" t="inlineStr">
        <is>
          <t>M15</t>
        </is>
      </c>
      <c r="D718" t="n">
        <v>4604.84</v>
      </c>
      <c r="E718" t="n">
        <v>4518.59282</v>
      </c>
      <c r="F718" t="n">
        <v>4596.05595</v>
      </c>
      <c r="G718" t="n">
        <v>4755.40355</v>
      </c>
      <c r="H718" t="n">
        <v>4792.76972</v>
      </c>
      <c r="Q718" t="n">
        <v>4626.0332</v>
      </c>
      <c r="R718" t="n">
        <v>4655.3965</v>
      </c>
      <c r="S718" t="n">
        <v>4681.98527</v>
      </c>
      <c r="V718" t="n">
        <v>4591.09343</v>
      </c>
      <c r="W718" t="n">
        <v>4557.52844</v>
      </c>
      <c r="AB718" t="n">
        <v>4615.51936</v>
      </c>
      <c r="AC718" t="n">
        <v>4617.56941</v>
      </c>
      <c r="AD718" t="n">
        <v>0</v>
      </c>
      <c r="AE718">
        <f>AE717+1</f>
        <v/>
      </c>
      <c r="AF718">
        <f>AF717+1</f>
        <v/>
      </c>
      <c r="AG718">
        <f>D718-Q718</f>
        <v/>
      </c>
      <c r="AH718">
        <f>AG718^2</f>
        <v/>
      </c>
      <c r="AI718">
        <f>(AG718/STDEV($AG$3:$AG$1137))^3</f>
        <v/>
      </c>
      <c r="AJ718">
        <f>(AG718/STDEV($AG$3:$AG$1137))^4</f>
        <v/>
      </c>
      <c r="AK718">
        <f>AF718^2</f>
        <v/>
      </c>
      <c r="AL718">
        <f>IF(AD718=1,AB718,IF(AL717&lt;&gt;"",AL717,""))</f>
        <v/>
      </c>
      <c r="AM718">
        <f>IF(AND(AD718=1,AL717&lt;&gt;""),ABS(AB718-AL717),"")</f>
        <v/>
      </c>
    </row>
    <row r="719">
      <c r="A719" t="n">
        <v>1777370402</v>
      </c>
      <c r="B719" t="inlineStr">
        <is>
          <t>XAUUSD</t>
        </is>
      </c>
      <c r="C719" t="inlineStr">
        <is>
          <t>M15</t>
        </is>
      </c>
      <c r="D719" t="n">
        <v>4612.7</v>
      </c>
      <c r="E719" t="n">
        <v>4518.59282</v>
      </c>
      <c r="F719" t="n">
        <v>4596.05595</v>
      </c>
      <c r="G719" t="n">
        <v>4755.40355</v>
      </c>
      <c r="H719" t="n">
        <v>4792.76972</v>
      </c>
      <c r="Q719" t="n">
        <v>4625.7656</v>
      </c>
      <c r="R719" t="n">
        <v>4655.1289</v>
      </c>
      <c r="S719" t="n">
        <v>4681.71767</v>
      </c>
      <c r="V719" t="n">
        <v>4590.82583</v>
      </c>
      <c r="W719" t="n">
        <v>4557.26083</v>
      </c>
      <c r="AB719" t="n">
        <v>4613.06375</v>
      </c>
      <c r="AC719" t="n">
        <v>4615.31658</v>
      </c>
      <c r="AD719" t="n">
        <v>0</v>
      </c>
      <c r="AE719">
        <f>AE718+1</f>
        <v/>
      </c>
      <c r="AF719">
        <f>AF718+1</f>
        <v/>
      </c>
      <c r="AG719">
        <f>D719-Q719</f>
        <v/>
      </c>
      <c r="AH719">
        <f>AG719^2</f>
        <v/>
      </c>
      <c r="AI719">
        <f>(AG719/STDEV($AG$3:$AG$1137))^3</f>
        <v/>
      </c>
      <c r="AJ719">
        <f>(AG719/STDEV($AG$3:$AG$1137))^4</f>
        <v/>
      </c>
      <c r="AK719">
        <f>AF719^2</f>
        <v/>
      </c>
      <c r="AL719">
        <f>IF(AD719=1,AB719,IF(AL718&lt;&gt;"",AL718,""))</f>
        <v/>
      </c>
      <c r="AM719">
        <f>IF(AND(AD719=1,AL718&lt;&gt;""),ABS(AB719-AL718),"")</f>
        <v/>
      </c>
    </row>
    <row r="720">
      <c r="A720" t="n">
        <v>1777371302</v>
      </c>
      <c r="B720" t="inlineStr">
        <is>
          <t>XAUUSD</t>
        </is>
      </c>
      <c r="C720" t="inlineStr">
        <is>
          <t>M15</t>
        </is>
      </c>
      <c r="D720" t="n">
        <v>4611.77</v>
      </c>
      <c r="E720" t="n">
        <v>4518.59282</v>
      </c>
      <c r="F720" t="n">
        <v>4596.05595</v>
      </c>
      <c r="G720" t="n">
        <v>4755.40355</v>
      </c>
      <c r="H720" t="n">
        <v>4792.76972</v>
      </c>
      <c r="Q720" t="n">
        <v>4625.498</v>
      </c>
      <c r="R720" t="n">
        <v>4654.86129</v>
      </c>
      <c r="S720" t="n">
        <v>4681.45006</v>
      </c>
      <c r="V720" t="n">
        <v>4590.55822</v>
      </c>
      <c r="W720" t="n">
        <v>4556.99323</v>
      </c>
      <c r="AB720" t="n">
        <v>4609.76164</v>
      </c>
      <c r="AC720" t="n">
        <v>4612.53911</v>
      </c>
      <c r="AD720" t="n">
        <v>0</v>
      </c>
      <c r="AE720">
        <f>AE719+1</f>
        <v/>
      </c>
      <c r="AF720">
        <f>AF719+1</f>
        <v/>
      </c>
      <c r="AG720">
        <f>D720-Q720</f>
        <v/>
      </c>
      <c r="AH720">
        <f>AG720^2</f>
        <v/>
      </c>
      <c r="AI720">
        <f>(AG720/STDEV($AG$3:$AG$1137))^3</f>
        <v/>
      </c>
      <c r="AJ720">
        <f>(AG720/STDEV($AG$3:$AG$1137))^4</f>
        <v/>
      </c>
      <c r="AK720">
        <f>AF720^2</f>
        <v/>
      </c>
      <c r="AL720">
        <f>IF(AD720=1,AB720,IF(AL719&lt;&gt;"",AL719,""))</f>
        <v/>
      </c>
      <c r="AM720">
        <f>IF(AND(AD720=1,AL719&lt;&gt;""),ABS(AB720-AL719),"")</f>
        <v/>
      </c>
    </row>
    <row r="721">
      <c r="A721" t="n">
        <v>1777372202</v>
      </c>
      <c r="B721" t="inlineStr">
        <is>
          <t>XAUUSD</t>
        </is>
      </c>
      <c r="C721" t="inlineStr">
        <is>
          <t>M15</t>
        </is>
      </c>
      <c r="D721" t="n">
        <v>4613.29</v>
      </c>
      <c r="E721" t="n">
        <v>4518.59282</v>
      </c>
      <c r="F721" t="n">
        <v>4596.05595</v>
      </c>
      <c r="G721" t="n">
        <v>4755.40355</v>
      </c>
      <c r="H721" t="n">
        <v>4792.76972</v>
      </c>
      <c r="Q721" t="n">
        <v>4625.23039</v>
      </c>
      <c r="R721" t="n">
        <v>4654.59369</v>
      </c>
      <c r="S721" t="n">
        <v>4681.18246</v>
      </c>
      <c r="V721" t="n">
        <v>4590.29062</v>
      </c>
      <c r="W721" t="n">
        <v>4556.72562</v>
      </c>
      <c r="AB721" t="n">
        <v>4605.46521</v>
      </c>
      <c r="AC721" t="n">
        <v>4609.00216</v>
      </c>
      <c r="AD721" t="n">
        <v>0</v>
      </c>
      <c r="AE721">
        <f>AE720+1</f>
        <v/>
      </c>
      <c r="AF721">
        <f>AF720+1</f>
        <v/>
      </c>
      <c r="AG721">
        <f>D721-Q721</f>
        <v/>
      </c>
      <c r="AH721">
        <f>AG721^2</f>
        <v/>
      </c>
      <c r="AI721">
        <f>(AG721/STDEV($AG$3:$AG$1137))^3</f>
        <v/>
      </c>
      <c r="AJ721">
        <f>(AG721/STDEV($AG$3:$AG$1137))^4</f>
        <v/>
      </c>
      <c r="AK721">
        <f>AF721^2</f>
        <v/>
      </c>
      <c r="AL721">
        <f>IF(AD721=1,AB721,IF(AL720&lt;&gt;"",AL720,""))</f>
        <v/>
      </c>
      <c r="AM721">
        <f>IF(AND(AD721=1,AL720&lt;&gt;""),ABS(AB721-AL720),"")</f>
        <v/>
      </c>
    </row>
    <row r="722">
      <c r="A722" t="n">
        <v>1777373102</v>
      </c>
      <c r="B722" t="inlineStr">
        <is>
          <t>XAUUSD</t>
        </is>
      </c>
      <c r="C722" t="inlineStr">
        <is>
          <t>M15</t>
        </is>
      </c>
      <c r="D722" t="n">
        <v>4603.3</v>
      </c>
      <c r="E722" t="n">
        <v>4518.59282</v>
      </c>
      <c r="F722" t="n">
        <v>4596.05595</v>
      </c>
      <c r="G722" t="n">
        <v>4755.40355</v>
      </c>
      <c r="H722" t="n">
        <v>4792.76972</v>
      </c>
      <c r="Q722" t="n">
        <v>4624.96279</v>
      </c>
      <c r="R722" t="n">
        <v>4654.32609</v>
      </c>
      <c r="S722" t="n">
        <v>4680.91486</v>
      </c>
      <c r="V722" t="n">
        <v>4590.02302</v>
      </c>
      <c r="W722" t="n">
        <v>4556.45802</v>
      </c>
      <c r="AB722" t="n">
        <v>4600.17692</v>
      </c>
      <c r="AC722" t="n">
        <v>4604.58954</v>
      </c>
      <c r="AD722" t="n">
        <v>0</v>
      </c>
      <c r="AE722">
        <f>AE721+1</f>
        <v/>
      </c>
      <c r="AF722">
        <f>AF721+1</f>
        <v/>
      </c>
      <c r="AG722">
        <f>D722-Q722</f>
        <v/>
      </c>
      <c r="AH722">
        <f>AG722^2</f>
        <v/>
      </c>
      <c r="AI722">
        <f>(AG722/STDEV($AG$3:$AG$1137))^3</f>
        <v/>
      </c>
      <c r="AJ722">
        <f>(AG722/STDEV($AG$3:$AG$1137))^4</f>
        <v/>
      </c>
      <c r="AK722">
        <f>AF722^2</f>
        <v/>
      </c>
      <c r="AL722">
        <f>IF(AD722=1,AB722,IF(AL721&lt;&gt;"",AL721,""))</f>
        <v/>
      </c>
      <c r="AM722">
        <f>IF(AND(AD722=1,AL721&lt;&gt;""),ABS(AB722-AL721),"")</f>
        <v/>
      </c>
    </row>
    <row r="723">
      <c r="A723" t="n">
        <v>1777374002</v>
      </c>
      <c r="B723" t="inlineStr">
        <is>
          <t>XAUUSD</t>
        </is>
      </c>
      <c r="C723" t="inlineStr">
        <is>
          <t>M15</t>
        </is>
      </c>
      <c r="D723" t="n">
        <v>4598.69</v>
      </c>
      <c r="E723" t="n">
        <v>4518.59282</v>
      </c>
      <c r="F723" t="n">
        <v>4596.05595</v>
      </c>
      <c r="G723" t="n">
        <v>4755.40355</v>
      </c>
      <c r="H723" t="n">
        <v>4792.76972</v>
      </c>
      <c r="Q723" t="n">
        <v>4624.69518</v>
      </c>
      <c r="R723" t="n">
        <v>4654.05848</v>
      </c>
      <c r="S723" t="n">
        <v>4680.64725</v>
      </c>
      <c r="V723" t="n">
        <v>4589.75541</v>
      </c>
      <c r="W723" t="n">
        <v>4556.19042</v>
      </c>
      <c r="AB723" t="n">
        <v>4594.46629</v>
      </c>
      <c r="AC723" t="n">
        <v>4599.52791</v>
      </c>
      <c r="AD723" t="n">
        <v>0</v>
      </c>
      <c r="AE723">
        <f>AE722+1</f>
        <v/>
      </c>
      <c r="AF723">
        <f>AF722+1</f>
        <v/>
      </c>
      <c r="AG723">
        <f>D723-Q723</f>
        <v/>
      </c>
      <c r="AH723">
        <f>AG723^2</f>
        <v/>
      </c>
      <c r="AI723">
        <f>(AG723/STDEV($AG$3:$AG$1137))^3</f>
        <v/>
      </c>
      <c r="AJ723">
        <f>(AG723/STDEV($AG$3:$AG$1137))^4</f>
        <v/>
      </c>
      <c r="AK723">
        <f>AF723^2</f>
        <v/>
      </c>
      <c r="AL723">
        <f>IF(AD723=1,AB723,IF(AL722&lt;&gt;"",AL722,""))</f>
        <v/>
      </c>
      <c r="AM723">
        <f>IF(AND(AD723=1,AL722&lt;&gt;""),ABS(AB723-AL722),"")</f>
        <v/>
      </c>
    </row>
    <row r="724">
      <c r="A724" t="n">
        <v>1777374902</v>
      </c>
      <c r="B724" t="inlineStr">
        <is>
          <t>XAUUSD</t>
        </is>
      </c>
      <c r="C724" t="inlineStr">
        <is>
          <t>M15</t>
        </is>
      </c>
      <c r="D724" t="n">
        <v>4599.45</v>
      </c>
      <c r="E724" t="n">
        <v>4518.59282</v>
      </c>
      <c r="F724" t="n">
        <v>4596.05595</v>
      </c>
      <c r="G724" t="n">
        <v>4755.40355</v>
      </c>
      <c r="H724" t="n">
        <v>4792.76972</v>
      </c>
      <c r="Q724" t="n">
        <v>4624.42758</v>
      </c>
      <c r="R724" t="n">
        <v>4653.79088</v>
      </c>
      <c r="S724" t="n">
        <v>4680.37965</v>
      </c>
      <c r="V724" t="n">
        <v>4589.48781</v>
      </c>
      <c r="W724" t="n">
        <v>4555.92281</v>
      </c>
      <c r="AB724" t="n">
        <v>4588.93887</v>
      </c>
      <c r="AC724" t="n">
        <v>4594.23339</v>
      </c>
      <c r="AD724" t="n">
        <v>0</v>
      </c>
      <c r="AE724">
        <f>AE723+1</f>
        <v/>
      </c>
      <c r="AF724">
        <f>AF723+1</f>
        <v/>
      </c>
      <c r="AG724">
        <f>D724-Q724</f>
        <v/>
      </c>
      <c r="AH724">
        <f>AG724^2</f>
        <v/>
      </c>
      <c r="AI724">
        <f>(AG724/STDEV($AG$3:$AG$1137))^3</f>
        <v/>
      </c>
      <c r="AJ724">
        <f>(AG724/STDEV($AG$3:$AG$1137))^4</f>
        <v/>
      </c>
      <c r="AK724">
        <f>AF724^2</f>
        <v/>
      </c>
      <c r="AL724">
        <f>IF(AD724=1,AB724,IF(AL723&lt;&gt;"",AL723,""))</f>
        <v/>
      </c>
      <c r="AM724">
        <f>IF(AND(AD724=1,AL723&lt;&gt;""),ABS(AB724-AL723),"")</f>
        <v/>
      </c>
    </row>
    <row r="725">
      <c r="A725" t="n">
        <v>1777375802</v>
      </c>
      <c r="B725" t="inlineStr">
        <is>
          <t>XAUUSD</t>
        </is>
      </c>
      <c r="C725" t="inlineStr">
        <is>
          <t>M15</t>
        </is>
      </c>
      <c r="D725" t="n">
        <v>4572.22</v>
      </c>
      <c r="E725" t="n">
        <v>4518.59282</v>
      </c>
      <c r="F725" t="n">
        <v>4596.05595</v>
      </c>
      <c r="G725" t="n">
        <v>4755.40355</v>
      </c>
      <c r="H725" t="n">
        <v>4792.76972</v>
      </c>
      <c r="Q725" t="n">
        <v>4624.15997</v>
      </c>
      <c r="R725" t="n">
        <v>4653.52327</v>
      </c>
      <c r="S725" t="n">
        <v>4680.11204</v>
      </c>
      <c r="V725" t="n">
        <v>4589.2202</v>
      </c>
      <c r="W725" t="n">
        <v>4555.65521</v>
      </c>
      <c r="AB725" t="n">
        <v>4584.08947</v>
      </c>
      <c r="AC725" t="n">
        <v>4589.16143</v>
      </c>
      <c r="AD725" t="n">
        <v>0</v>
      </c>
      <c r="AE725">
        <f>AE724+1</f>
        <v/>
      </c>
      <c r="AF725">
        <f>AF724+1</f>
        <v/>
      </c>
      <c r="AG725">
        <f>D725-Q725</f>
        <v/>
      </c>
      <c r="AH725">
        <f>AG725^2</f>
        <v/>
      </c>
      <c r="AI725">
        <f>(AG725/STDEV($AG$3:$AG$1137))^3</f>
        <v/>
      </c>
      <c r="AJ725">
        <f>(AG725/STDEV($AG$3:$AG$1137))^4</f>
        <v/>
      </c>
      <c r="AK725">
        <f>AF725^2</f>
        <v/>
      </c>
      <c r="AL725">
        <f>IF(AD725=1,AB725,IF(AL724&lt;&gt;"",AL724,""))</f>
        <v/>
      </c>
      <c r="AM725">
        <f>IF(AND(AD725=1,AL724&lt;&gt;""),ABS(AB725-AL724),"")</f>
        <v/>
      </c>
    </row>
    <row r="726">
      <c r="A726" t="n">
        <v>1777376702</v>
      </c>
      <c r="B726" t="inlineStr">
        <is>
          <t>XAUUSD</t>
        </is>
      </c>
      <c r="C726" t="inlineStr">
        <is>
          <t>M15</t>
        </is>
      </c>
      <c r="D726" t="n">
        <v>4562.88</v>
      </c>
      <c r="E726" t="n">
        <v>4518.59282</v>
      </c>
      <c r="F726" t="n">
        <v>4596.05595</v>
      </c>
      <c r="G726" t="n">
        <v>4755.40355</v>
      </c>
      <c r="H726" t="n">
        <v>4792.76972</v>
      </c>
      <c r="Q726" t="n">
        <v>4623.89237</v>
      </c>
      <c r="R726" t="n">
        <v>4653.25567</v>
      </c>
      <c r="S726" t="n">
        <v>4679.84444</v>
      </c>
      <c r="V726" t="n">
        <v>4588.9526</v>
      </c>
      <c r="W726" t="n">
        <v>4555.3876</v>
      </c>
      <c r="AB726" t="n">
        <v>4581.04163</v>
      </c>
      <c r="AC726" t="n">
        <v>4585.10153</v>
      </c>
      <c r="AD726" t="n">
        <v>0</v>
      </c>
      <c r="AE726">
        <f>AE725+1</f>
        <v/>
      </c>
      <c r="AF726">
        <f>AF725+1</f>
        <v/>
      </c>
      <c r="AG726">
        <f>D726-Q726</f>
        <v/>
      </c>
      <c r="AH726">
        <f>AG726^2</f>
        <v/>
      </c>
      <c r="AI726">
        <f>(AG726/STDEV($AG$3:$AG$1137))^3</f>
        <v/>
      </c>
      <c r="AJ726">
        <f>(AG726/STDEV($AG$3:$AG$1137))^4</f>
        <v/>
      </c>
      <c r="AK726">
        <f>AF726^2</f>
        <v/>
      </c>
      <c r="AL726">
        <f>IF(AD726=1,AB726,IF(AL725&lt;&gt;"",AL725,""))</f>
        <v/>
      </c>
      <c r="AM726">
        <f>IF(AND(AD726=1,AL725&lt;&gt;""),ABS(AB726-AL725),"")</f>
        <v/>
      </c>
    </row>
    <row r="727">
      <c r="A727" t="n">
        <v>1777377602</v>
      </c>
      <c r="B727" t="inlineStr">
        <is>
          <t>XAUUSD</t>
        </is>
      </c>
      <c r="C727" t="inlineStr">
        <is>
          <t>M15</t>
        </is>
      </c>
      <c r="D727" t="n">
        <v>4581.73</v>
      </c>
      <c r="E727" t="n">
        <v>4518.59282</v>
      </c>
      <c r="F727" t="n">
        <v>4596.05595</v>
      </c>
      <c r="G727" t="n">
        <v>4755.40355</v>
      </c>
      <c r="H727" t="n">
        <v>4792.76972</v>
      </c>
      <c r="Q727" t="n">
        <v>4623.62477</v>
      </c>
      <c r="R727" t="n">
        <v>4652.98807</v>
      </c>
      <c r="S727" t="n">
        <v>4679.57684</v>
      </c>
      <c r="V727" t="n">
        <v>4588.685</v>
      </c>
      <c r="W727" t="n">
        <v>4555.12</v>
      </c>
      <c r="AA727" t="n">
        <v>4555.12</v>
      </c>
      <c r="AB727" t="n">
        <v>4580.10103</v>
      </c>
      <c r="AC727" t="n">
        <v>4582.60128</v>
      </c>
      <c r="AD727" t="n">
        <v>0</v>
      </c>
      <c r="AE727">
        <f>AE726+1</f>
        <v/>
      </c>
      <c r="AF727">
        <f>AF726+1</f>
        <v/>
      </c>
      <c r="AG727">
        <f>D727-Q727</f>
        <v/>
      </c>
      <c r="AH727">
        <f>AG727^2</f>
        <v/>
      </c>
      <c r="AI727">
        <f>(AG727/STDEV($AG$3:$AG$1137))^3</f>
        <v/>
      </c>
      <c r="AJ727">
        <f>(AG727/STDEV($AG$3:$AG$1137))^4</f>
        <v/>
      </c>
      <c r="AK727">
        <f>AF727^2</f>
        <v/>
      </c>
      <c r="AL727">
        <f>IF(AD727=1,AB727,IF(AL726&lt;&gt;"",AL726,""))</f>
        <v/>
      </c>
      <c r="AM727">
        <f>IF(AND(AD727=1,AL726&lt;&gt;""),ABS(AB727-AL726),"")</f>
        <v/>
      </c>
    </row>
    <row r="728">
      <c r="A728" t="n">
        <v>1777378502</v>
      </c>
      <c r="B728" t="inlineStr">
        <is>
          <t>XAUUSD</t>
        </is>
      </c>
      <c r="C728" t="inlineStr">
        <is>
          <t>M15</t>
        </is>
      </c>
      <c r="D728" t="n">
        <v>4580.32</v>
      </c>
      <c r="E728" t="n">
        <v>4518.59282</v>
      </c>
      <c r="F728" t="n">
        <v>4596.05595</v>
      </c>
      <c r="G728" t="n">
        <v>4755.40355</v>
      </c>
      <c r="H728" t="n">
        <v>4792.76972</v>
      </c>
      <c r="Q728" t="n">
        <v>4623.35716</v>
      </c>
      <c r="R728" t="n">
        <v>4652.72046</v>
      </c>
      <c r="S728" t="n">
        <v>4679.30923</v>
      </c>
      <c r="V728" t="n">
        <v>4588.41739</v>
      </c>
      <c r="W728" t="n">
        <v>4554.8524</v>
      </c>
      <c r="AB728" t="n">
        <v>4580.39852</v>
      </c>
      <c r="AC728" t="n">
        <v>4581.4999</v>
      </c>
      <c r="AD728" t="n">
        <v>0</v>
      </c>
      <c r="AE728">
        <f>AE727+1</f>
        <v/>
      </c>
      <c r="AF728">
        <f>AF727+1</f>
        <v/>
      </c>
      <c r="AG728">
        <f>D728-Q728</f>
        <v/>
      </c>
      <c r="AH728">
        <f>AG728^2</f>
        <v/>
      </c>
      <c r="AI728">
        <f>(AG728/STDEV($AG$3:$AG$1137))^3</f>
        <v/>
      </c>
      <c r="AJ728">
        <f>(AG728/STDEV($AG$3:$AG$1137))^4</f>
        <v/>
      </c>
      <c r="AK728">
        <f>AF728^2</f>
        <v/>
      </c>
      <c r="AL728">
        <f>IF(AD728=1,AB728,IF(AL727&lt;&gt;"",AL727,""))</f>
        <v/>
      </c>
      <c r="AM728">
        <f>IF(AND(AD728=1,AL727&lt;&gt;""),ABS(AB728-AL727),"")</f>
        <v/>
      </c>
    </row>
    <row r="729">
      <c r="A729" t="n">
        <v>1777379402</v>
      </c>
      <c r="B729" t="inlineStr">
        <is>
          <t>XAUUSD</t>
        </is>
      </c>
      <c r="C729" t="inlineStr">
        <is>
          <t>M15</t>
        </is>
      </c>
      <c r="D729" t="n">
        <v>4586.96</v>
      </c>
      <c r="E729" t="n">
        <v>4518.59282</v>
      </c>
      <c r="F729" t="n">
        <v>4596.05595</v>
      </c>
      <c r="G729" t="n">
        <v>4755.40355</v>
      </c>
      <c r="H729" t="n">
        <v>4792.76972</v>
      </c>
      <c r="Q729" t="n">
        <v>4623.08956</v>
      </c>
      <c r="R729" t="n">
        <v>4652.45286</v>
      </c>
      <c r="S729" t="n">
        <v>4679.04163</v>
      </c>
      <c r="V729" t="n">
        <v>4588.14979</v>
      </c>
      <c r="W729" t="n">
        <v>4554.58479</v>
      </c>
      <c r="AB729" t="n">
        <v>4581.38091</v>
      </c>
      <c r="AC729" t="n">
        <v>4581.44041</v>
      </c>
      <c r="AD729" t="n">
        <v>0</v>
      </c>
      <c r="AE729">
        <f>AE728+1</f>
        <v/>
      </c>
      <c r="AF729">
        <f>AF728+1</f>
        <v/>
      </c>
      <c r="AG729">
        <f>D729-Q729</f>
        <v/>
      </c>
      <c r="AH729">
        <f>AG729^2</f>
        <v/>
      </c>
      <c r="AI729">
        <f>(AG729/STDEV($AG$3:$AG$1137))^3</f>
        <v/>
      </c>
      <c r="AJ729">
        <f>(AG729/STDEV($AG$3:$AG$1137))^4</f>
        <v/>
      </c>
      <c r="AK729">
        <f>AF729^2</f>
        <v/>
      </c>
      <c r="AL729">
        <f>IF(AD729=1,AB729,IF(AL728&lt;&gt;"",AL728,""))</f>
        <v/>
      </c>
      <c r="AM729">
        <f>IF(AND(AD729=1,AL728&lt;&gt;""),ABS(AB729-AL728),"")</f>
        <v/>
      </c>
    </row>
    <row r="730">
      <c r="A730" t="n">
        <v>1777380302</v>
      </c>
      <c r="B730" t="inlineStr">
        <is>
          <t>XAUUSD</t>
        </is>
      </c>
      <c r="C730" t="inlineStr">
        <is>
          <t>M15</t>
        </is>
      </c>
      <c r="D730" t="n">
        <v>4593.98</v>
      </c>
      <c r="E730" t="n">
        <v>4518.59282</v>
      </c>
      <c r="F730" t="n">
        <v>4596.05595</v>
      </c>
      <c r="G730" t="n">
        <v>4755.40355</v>
      </c>
      <c r="H730" t="n">
        <v>4792.76972</v>
      </c>
      <c r="Q730" t="n">
        <v>4622.82195</v>
      </c>
      <c r="R730" t="n">
        <v>4652.18525</v>
      </c>
      <c r="S730" t="n">
        <v>4678.77402</v>
      </c>
      <c r="V730" t="n">
        <v>4587.88218</v>
      </c>
      <c r="W730" t="n">
        <v>4554.31719</v>
      </c>
      <c r="AB730" t="n">
        <v>4582.21723</v>
      </c>
      <c r="AC730" t="n">
        <v>4581.82882</v>
      </c>
      <c r="AD730" t="n">
        <v>1</v>
      </c>
      <c r="AE730">
        <f>AE729+1</f>
        <v/>
      </c>
      <c r="AF730">
        <f>AF729+1</f>
        <v/>
      </c>
      <c r="AG730">
        <f>D730-Q730</f>
        <v/>
      </c>
      <c r="AH730">
        <f>AG730^2</f>
        <v/>
      </c>
      <c r="AI730">
        <f>(AG730/STDEV($AG$3:$AG$1137))^3</f>
        <v/>
      </c>
      <c r="AJ730">
        <f>(AG730/STDEV($AG$3:$AG$1137))^4</f>
        <v/>
      </c>
      <c r="AK730">
        <f>AF730^2</f>
        <v/>
      </c>
      <c r="AL730">
        <f>IF(AD730=1,AB730,IF(AL729&lt;&gt;"",AL729,""))</f>
        <v/>
      </c>
      <c r="AM730">
        <f>IF(AND(AD730=1,AL729&lt;&gt;""),ABS(AB730-AL729),"")</f>
        <v/>
      </c>
    </row>
    <row r="731">
      <c r="A731" t="n">
        <v>1777381202</v>
      </c>
      <c r="B731" t="inlineStr">
        <is>
          <t>XAUUSD</t>
        </is>
      </c>
      <c r="C731" t="inlineStr">
        <is>
          <t>M15</t>
        </is>
      </c>
      <c r="D731" t="n">
        <v>4576.38</v>
      </c>
      <c r="E731" t="n">
        <v>4518.59282</v>
      </c>
      <c r="F731" t="n">
        <v>4596.05595</v>
      </c>
      <c r="G731" t="n">
        <v>4755.40355</v>
      </c>
      <c r="H731" t="n">
        <v>4792.76972</v>
      </c>
      <c r="Q731" t="n">
        <v>4622.55435</v>
      </c>
      <c r="R731" t="n">
        <v>4651.91765</v>
      </c>
      <c r="S731" t="n">
        <v>4678.50642</v>
      </c>
      <c r="V731" t="n">
        <v>4587.61458</v>
      </c>
      <c r="W731" t="n">
        <v>4554.04958</v>
      </c>
      <c r="AB731" t="n">
        <v>4582.15195</v>
      </c>
      <c r="AC731" t="n">
        <v>4581.99039</v>
      </c>
      <c r="AD731" t="n">
        <v>0</v>
      </c>
      <c r="AE731">
        <f>AE730+1</f>
        <v/>
      </c>
      <c r="AF731">
        <f>AF730+1</f>
        <v/>
      </c>
      <c r="AG731">
        <f>D731-Q731</f>
        <v/>
      </c>
      <c r="AH731">
        <f>AG731^2</f>
        <v/>
      </c>
      <c r="AI731">
        <f>(AG731/STDEV($AG$3:$AG$1137))^3</f>
        <v/>
      </c>
      <c r="AJ731">
        <f>(AG731/STDEV($AG$3:$AG$1137))^4</f>
        <v/>
      </c>
      <c r="AK731">
        <f>AF731^2</f>
        <v/>
      </c>
      <c r="AL731">
        <f>IF(AD731=1,AB731,IF(AL730&lt;&gt;"",AL730,""))</f>
        <v/>
      </c>
      <c r="AM731">
        <f>IF(AND(AD731=1,AL730&lt;&gt;""),ABS(AB731-AL730),"")</f>
        <v/>
      </c>
    </row>
    <row r="732">
      <c r="A732" t="n">
        <v>1777382102</v>
      </c>
      <c r="B732" t="inlineStr">
        <is>
          <t>XAUUSD</t>
        </is>
      </c>
      <c r="C732" t="inlineStr">
        <is>
          <t>M15</t>
        </is>
      </c>
      <c r="D732" t="n">
        <v>4581.88</v>
      </c>
      <c r="E732" t="n">
        <v>4518.59282</v>
      </c>
      <c r="F732" t="n">
        <v>4596.05595</v>
      </c>
      <c r="G732" t="n">
        <v>4755.40355</v>
      </c>
      <c r="H732" t="n">
        <v>4792.76972</v>
      </c>
      <c r="Q732" t="n">
        <v>4622.28675</v>
      </c>
      <c r="R732" t="n">
        <v>4651.65004</v>
      </c>
      <c r="S732" t="n">
        <v>4678.23882</v>
      </c>
      <c r="V732" t="n">
        <v>4587.34698</v>
      </c>
      <c r="W732" t="n">
        <v>4553.78198</v>
      </c>
      <c r="AB732" t="n">
        <v>4581.40125</v>
      </c>
      <c r="AC732" t="n">
        <v>4581.69582</v>
      </c>
      <c r="AD732" t="n">
        <v>1</v>
      </c>
      <c r="AE732">
        <f>AE731+1</f>
        <v/>
      </c>
      <c r="AF732">
        <f>AF731+1</f>
        <v/>
      </c>
      <c r="AG732">
        <f>D732-Q732</f>
        <v/>
      </c>
      <c r="AH732">
        <f>AG732^2</f>
        <v/>
      </c>
      <c r="AI732">
        <f>(AG732/STDEV($AG$3:$AG$1137))^3</f>
        <v/>
      </c>
      <c r="AJ732">
        <f>(AG732/STDEV($AG$3:$AG$1137))^4</f>
        <v/>
      </c>
      <c r="AK732">
        <f>AF732^2</f>
        <v/>
      </c>
      <c r="AL732">
        <f>IF(AD732=1,AB732,IF(AL731&lt;&gt;"",AL731,""))</f>
        <v/>
      </c>
      <c r="AM732">
        <f>IF(AND(AD732=1,AL731&lt;&gt;""),ABS(AB732-AL731),"")</f>
        <v/>
      </c>
    </row>
    <row r="733">
      <c r="A733" t="n">
        <v>1777383002</v>
      </c>
      <c r="B733" t="inlineStr">
        <is>
          <t>XAUUSD</t>
        </is>
      </c>
      <c r="C733" t="inlineStr">
        <is>
          <t>M15</t>
        </is>
      </c>
      <c r="D733" t="n">
        <v>4581.73</v>
      </c>
      <c r="E733" t="n">
        <v>4518.59282</v>
      </c>
      <c r="F733" t="n">
        <v>4596.05595</v>
      </c>
      <c r="G733" t="n">
        <v>4755.40355</v>
      </c>
      <c r="H733" t="n">
        <v>4792.76972</v>
      </c>
      <c r="Q733" t="n">
        <v>4622.01914</v>
      </c>
      <c r="R733" t="n">
        <v>4651.38244</v>
      </c>
      <c r="S733" t="n">
        <v>4677.97121</v>
      </c>
      <c r="V733" t="n">
        <v>4587.07937</v>
      </c>
      <c r="W733" t="n">
        <v>4553.51438</v>
      </c>
      <c r="AB733" t="n">
        <v>4579.72713</v>
      </c>
      <c r="AC733" t="n">
        <v>4580.71147</v>
      </c>
      <c r="AD733" t="n">
        <v>0</v>
      </c>
      <c r="AE733">
        <f>AE732+1</f>
        <v/>
      </c>
      <c r="AF733">
        <f>AF732+1</f>
        <v/>
      </c>
      <c r="AG733">
        <f>D733-Q733</f>
        <v/>
      </c>
      <c r="AH733">
        <f>AG733^2</f>
        <v/>
      </c>
      <c r="AI733">
        <f>(AG733/STDEV($AG$3:$AG$1137))^3</f>
        <v/>
      </c>
      <c r="AJ733">
        <f>(AG733/STDEV($AG$3:$AG$1137))^4</f>
        <v/>
      </c>
      <c r="AK733">
        <f>AF733^2</f>
        <v/>
      </c>
      <c r="AL733">
        <f>IF(AD733=1,AB733,IF(AL732&lt;&gt;"",AL732,""))</f>
        <v/>
      </c>
      <c r="AM733">
        <f>IF(AND(AD733=1,AL732&lt;&gt;""),ABS(AB733-AL732),"")</f>
        <v/>
      </c>
    </row>
    <row r="734">
      <c r="A734" t="n">
        <v>1777383902</v>
      </c>
      <c r="B734" t="inlineStr">
        <is>
          <t>XAUUSD</t>
        </is>
      </c>
      <c r="C734" t="inlineStr">
        <is>
          <t>M15</t>
        </is>
      </c>
      <c r="D734" t="n">
        <v>4580.32</v>
      </c>
      <c r="E734" t="n">
        <v>4518.59282</v>
      </c>
      <c r="F734" t="n">
        <v>4596.05595</v>
      </c>
      <c r="G734" t="n">
        <v>4755.40355</v>
      </c>
      <c r="H734" t="n">
        <v>4792.76972</v>
      </c>
      <c r="Q734" t="n">
        <v>4621.75154</v>
      </c>
      <c r="R734" t="n">
        <v>4651.11484</v>
      </c>
      <c r="S734" t="n">
        <v>4677.70361</v>
      </c>
      <c r="V734" t="n">
        <v>4586.81177</v>
      </c>
      <c r="W734" t="n">
        <v>4553.24677</v>
      </c>
      <c r="AB734" t="n">
        <v>4577.2993</v>
      </c>
      <c r="AC734" t="n">
        <v>4579.00539</v>
      </c>
      <c r="AD734" t="n">
        <v>0</v>
      </c>
      <c r="AE734">
        <f>AE733+1</f>
        <v/>
      </c>
      <c r="AF734">
        <f>AF733+1</f>
        <v/>
      </c>
      <c r="AG734">
        <f>D734-Q734</f>
        <v/>
      </c>
      <c r="AH734">
        <f>AG734^2</f>
        <v/>
      </c>
      <c r="AI734">
        <f>(AG734/STDEV($AG$3:$AG$1137))^3</f>
        <v/>
      </c>
      <c r="AJ734">
        <f>(AG734/STDEV($AG$3:$AG$1137))^4</f>
        <v/>
      </c>
      <c r="AK734">
        <f>AF734^2</f>
        <v/>
      </c>
      <c r="AL734">
        <f>IF(AD734=1,AB734,IF(AL733&lt;&gt;"",AL733,""))</f>
        <v/>
      </c>
      <c r="AM734">
        <f>IF(AND(AD734=1,AL733&lt;&gt;""),ABS(AB734-AL733),"")</f>
        <v/>
      </c>
    </row>
    <row r="735">
      <c r="A735" t="n">
        <v>1777384802</v>
      </c>
      <c r="B735" t="inlineStr">
        <is>
          <t>XAUUSD</t>
        </is>
      </c>
      <c r="C735" t="inlineStr">
        <is>
          <t>M15</t>
        </is>
      </c>
      <c r="D735" t="n">
        <v>4568.29</v>
      </c>
      <c r="E735" t="n">
        <v>4518.59282</v>
      </c>
      <c r="F735" t="n">
        <v>4596.05595</v>
      </c>
      <c r="G735" t="n">
        <v>4755.40355</v>
      </c>
      <c r="H735" t="n">
        <v>4792.76972</v>
      </c>
      <c r="Q735" t="n">
        <v>4621.48393</v>
      </c>
      <c r="R735" t="n">
        <v>4650.84723</v>
      </c>
      <c r="S735" t="n">
        <v>4677.436</v>
      </c>
      <c r="V735" t="n">
        <v>4586.54416</v>
      </c>
      <c r="W735" t="n">
        <v>4552.97917</v>
      </c>
      <c r="AB735" t="n">
        <v>4574.57242</v>
      </c>
      <c r="AC735" t="n">
        <v>4576.7889</v>
      </c>
      <c r="AD735" t="n">
        <v>0</v>
      </c>
      <c r="AE735">
        <f>AE734+1</f>
        <v/>
      </c>
      <c r="AF735">
        <f>AF734+1</f>
        <v/>
      </c>
      <c r="AG735">
        <f>D735-Q735</f>
        <v/>
      </c>
      <c r="AH735">
        <f>AG735^2</f>
        <v/>
      </c>
      <c r="AI735">
        <f>(AG735/STDEV($AG$3:$AG$1137))^3</f>
        <v/>
      </c>
      <c r="AJ735">
        <f>(AG735/STDEV($AG$3:$AG$1137))^4</f>
        <v/>
      </c>
      <c r="AK735">
        <f>AF735^2</f>
        <v/>
      </c>
      <c r="AL735">
        <f>IF(AD735=1,AB735,IF(AL734&lt;&gt;"",AL734,""))</f>
        <v/>
      </c>
      <c r="AM735">
        <f>IF(AND(AD735=1,AL734&lt;&gt;""),ABS(AB735-AL734),"")</f>
        <v/>
      </c>
    </row>
    <row r="736">
      <c r="A736" t="n">
        <v>1777385702</v>
      </c>
      <c r="B736" t="inlineStr">
        <is>
          <t>XAUUSD</t>
        </is>
      </c>
      <c r="C736" t="inlineStr">
        <is>
          <t>M15</t>
        </is>
      </c>
      <c r="D736" t="n">
        <v>4571.47</v>
      </c>
      <c r="E736" t="n">
        <v>4518.59282</v>
      </c>
      <c r="F736" t="n">
        <v>4596.05595</v>
      </c>
      <c r="G736" t="n">
        <v>4755.40355</v>
      </c>
      <c r="H736" t="n">
        <v>4792.76972</v>
      </c>
      <c r="Q736" t="n">
        <v>4621.21633</v>
      </c>
      <c r="R736" t="n">
        <v>4650.57963</v>
      </c>
      <c r="S736" t="n">
        <v>4677.1684</v>
      </c>
      <c r="V736" t="n">
        <v>4586.27656</v>
      </c>
      <c r="W736" t="n">
        <v>4552.71156</v>
      </c>
      <c r="AB736" t="n">
        <v>4572.38139</v>
      </c>
      <c r="AC736" t="n">
        <v>4574.58514</v>
      </c>
      <c r="AD736" t="n">
        <v>0</v>
      </c>
      <c r="AE736">
        <f>AE735+1</f>
        <v/>
      </c>
      <c r="AF736">
        <f>AF735+1</f>
        <v/>
      </c>
      <c r="AG736">
        <f>D736-Q736</f>
        <v/>
      </c>
      <c r="AH736">
        <f>AG736^2</f>
        <v/>
      </c>
      <c r="AI736">
        <f>(AG736/STDEV($AG$3:$AG$1137))^3</f>
        <v/>
      </c>
      <c r="AJ736">
        <f>(AG736/STDEV($AG$3:$AG$1137))^4</f>
        <v/>
      </c>
      <c r="AK736">
        <f>AF736^2</f>
        <v/>
      </c>
      <c r="AL736">
        <f>IF(AD736=1,AB736,IF(AL735&lt;&gt;"",AL735,""))</f>
        <v/>
      </c>
      <c r="AM736">
        <f>IF(AND(AD736=1,AL735&lt;&gt;""),ABS(AB736-AL735),"")</f>
        <v/>
      </c>
    </row>
    <row r="737">
      <c r="A737" t="n">
        <v>1777386602</v>
      </c>
      <c r="B737" t="inlineStr">
        <is>
          <t>XAUUSD</t>
        </is>
      </c>
      <c r="C737" t="inlineStr">
        <is>
          <t>M15</t>
        </is>
      </c>
      <c r="D737" t="n">
        <v>4564.18</v>
      </c>
      <c r="E737" t="n">
        <v>4518.59282</v>
      </c>
      <c r="F737" t="n">
        <v>4596.05595</v>
      </c>
      <c r="G737" t="n">
        <v>4755.40355</v>
      </c>
      <c r="H737" t="n">
        <v>4792.76972</v>
      </c>
      <c r="Q737" t="n">
        <v>4620.94873</v>
      </c>
      <c r="R737" t="n">
        <v>4650.31202</v>
      </c>
      <c r="S737" t="n">
        <v>4676.9008</v>
      </c>
      <c r="V737" t="n">
        <v>4586.00896</v>
      </c>
      <c r="W737" t="n">
        <v>4552.44396</v>
      </c>
      <c r="AB737" t="n">
        <v>4571.0868</v>
      </c>
      <c r="AC737" t="n">
        <v>4572.83597</v>
      </c>
      <c r="AD737" t="n">
        <v>0</v>
      </c>
      <c r="AE737">
        <f>AE736+1</f>
        <v/>
      </c>
      <c r="AF737">
        <f>AF736+1</f>
        <v/>
      </c>
      <c r="AG737">
        <f>D737-Q737</f>
        <v/>
      </c>
      <c r="AH737">
        <f>AG737^2</f>
        <v/>
      </c>
      <c r="AI737">
        <f>(AG737/STDEV($AG$3:$AG$1137))^3</f>
        <v/>
      </c>
      <c r="AJ737">
        <f>(AG737/STDEV($AG$3:$AG$1137))^4</f>
        <v/>
      </c>
      <c r="AK737">
        <f>AF737^2</f>
        <v/>
      </c>
      <c r="AL737">
        <f>IF(AD737=1,AB737,IF(AL736&lt;&gt;"",AL736,""))</f>
        <v/>
      </c>
      <c r="AM737">
        <f>IF(AND(AD737=1,AL736&lt;&gt;""),ABS(AB737-AL736),"")</f>
        <v/>
      </c>
    </row>
    <row r="738">
      <c r="A738" t="n">
        <v>1777387502</v>
      </c>
      <c r="B738" t="inlineStr">
        <is>
          <t>XAUUSD</t>
        </is>
      </c>
      <c r="C738" t="inlineStr">
        <is>
          <t>M15</t>
        </is>
      </c>
      <c r="D738" t="n">
        <v>4574.6</v>
      </c>
      <c r="E738" t="n">
        <v>4518.59282</v>
      </c>
      <c r="F738" t="n">
        <v>4596.05595</v>
      </c>
      <c r="G738" t="n">
        <v>4755.40355</v>
      </c>
      <c r="H738" t="n">
        <v>4792.76972</v>
      </c>
      <c r="Q738" t="n">
        <v>4620.68112</v>
      </c>
      <c r="R738" t="n">
        <v>4650.04442</v>
      </c>
      <c r="S738" t="n">
        <v>4676.63319</v>
      </c>
      <c r="V738" t="n">
        <v>4585.74135</v>
      </c>
      <c r="W738" t="n">
        <v>4552.17636</v>
      </c>
      <c r="AB738" t="n">
        <v>4571.16203</v>
      </c>
      <c r="AC738" t="n">
        <v>4571.999</v>
      </c>
      <c r="AD738" t="n">
        <v>0</v>
      </c>
      <c r="AE738">
        <f>AE737+1</f>
        <v/>
      </c>
      <c r="AF738">
        <f>AF737+1</f>
        <v/>
      </c>
      <c r="AG738">
        <f>D738-Q738</f>
        <v/>
      </c>
      <c r="AH738">
        <f>AG738^2</f>
        <v/>
      </c>
      <c r="AI738">
        <f>(AG738/STDEV($AG$3:$AG$1137))^3</f>
        <v/>
      </c>
      <c r="AJ738">
        <f>(AG738/STDEV($AG$3:$AG$1137))^4</f>
        <v/>
      </c>
      <c r="AK738">
        <f>AF738^2</f>
        <v/>
      </c>
      <c r="AL738">
        <f>IF(AD738=1,AB738,IF(AL737&lt;&gt;"",AL737,""))</f>
        <v/>
      </c>
      <c r="AM738">
        <f>IF(AND(AD738=1,AL737&lt;&gt;""),ABS(AB738-AL737),"")</f>
        <v/>
      </c>
    </row>
    <row r="739">
      <c r="A739" t="n">
        <v>1777388402</v>
      </c>
      <c r="B739" t="inlineStr">
        <is>
          <t>XAUUSD</t>
        </is>
      </c>
      <c r="C739" t="inlineStr">
        <is>
          <t>M15</t>
        </is>
      </c>
      <c r="D739" t="n">
        <v>4572.73</v>
      </c>
      <c r="E739" t="n">
        <v>4518.59282</v>
      </c>
      <c r="F739" t="n">
        <v>4596.05595</v>
      </c>
      <c r="G739" t="n">
        <v>4755.40355</v>
      </c>
      <c r="H739" t="n">
        <v>4792.76972</v>
      </c>
      <c r="Q739" t="n">
        <v>4620.41352</v>
      </c>
      <c r="R739" t="n">
        <v>4649.77682</v>
      </c>
      <c r="S739" t="n">
        <v>4676.36559</v>
      </c>
      <c r="V739" t="n">
        <v>4585.47375</v>
      </c>
      <c r="W739" t="n">
        <v>4551.90875</v>
      </c>
      <c r="AB739" t="n">
        <v>4572.38749</v>
      </c>
      <c r="AC739" t="n">
        <v>4572.19325</v>
      </c>
      <c r="AD739" t="n">
        <v>1</v>
      </c>
      <c r="AE739">
        <f>AE738+1</f>
        <v/>
      </c>
      <c r="AF739">
        <f>AF738+1</f>
        <v/>
      </c>
      <c r="AG739">
        <f>D739-Q739</f>
        <v/>
      </c>
      <c r="AH739">
        <f>AG739^2</f>
        <v/>
      </c>
      <c r="AI739">
        <f>(AG739/STDEV($AG$3:$AG$1137))^3</f>
        <v/>
      </c>
      <c r="AJ739">
        <f>(AG739/STDEV($AG$3:$AG$1137))^4</f>
        <v/>
      </c>
      <c r="AK739">
        <f>AF739^2</f>
        <v/>
      </c>
      <c r="AL739">
        <f>IF(AD739=1,AB739,IF(AL738&lt;&gt;"",AL738,""))</f>
        <v/>
      </c>
      <c r="AM739">
        <f>IF(AND(AD739=1,AL738&lt;&gt;""),ABS(AB739-AL738),"")</f>
        <v/>
      </c>
    </row>
    <row r="740">
      <c r="A740" t="n">
        <v>1777389302</v>
      </c>
      <c r="B740" t="inlineStr">
        <is>
          <t>XAUUSD</t>
        </is>
      </c>
      <c r="C740" t="inlineStr">
        <is>
          <t>M15</t>
        </is>
      </c>
      <c r="D740" t="n">
        <v>4577.09</v>
      </c>
      <c r="E740" t="n">
        <v>4518.59282</v>
      </c>
      <c r="F740" t="n">
        <v>4596.05595</v>
      </c>
      <c r="G740" t="n">
        <v>4755.40355</v>
      </c>
      <c r="H740" t="n">
        <v>4792.76972</v>
      </c>
      <c r="Q740" t="n">
        <v>4620.14591</v>
      </c>
      <c r="R740" t="n">
        <v>4649.50921</v>
      </c>
      <c r="S740" t="n">
        <v>4676.09798</v>
      </c>
      <c r="V740" t="n">
        <v>4585.20614</v>
      </c>
      <c r="W740" t="n">
        <v>4551.64115</v>
      </c>
      <c r="AB740" t="n">
        <v>4574.68829</v>
      </c>
      <c r="AC740" t="n">
        <v>4573.44077</v>
      </c>
      <c r="AD740" t="n">
        <v>0</v>
      </c>
      <c r="AE740">
        <f>AE739+1</f>
        <v/>
      </c>
      <c r="AF740">
        <f>AF739+1</f>
        <v/>
      </c>
      <c r="AG740">
        <f>D740-Q740</f>
        <v/>
      </c>
      <c r="AH740">
        <f>AG740^2</f>
        <v/>
      </c>
      <c r="AI740">
        <f>(AG740/STDEV($AG$3:$AG$1137))^3</f>
        <v/>
      </c>
      <c r="AJ740">
        <f>(AG740/STDEV($AG$3:$AG$1137))^4</f>
        <v/>
      </c>
      <c r="AK740">
        <f>AF740^2</f>
        <v/>
      </c>
      <c r="AL740">
        <f>IF(AD740=1,AB740,IF(AL739&lt;&gt;"",AL739,""))</f>
        <v/>
      </c>
      <c r="AM740">
        <f>IF(AND(AD740=1,AL739&lt;&gt;""),ABS(AB740-AL739),"")</f>
        <v/>
      </c>
    </row>
    <row r="741">
      <c r="A741" t="n">
        <v>1777390202</v>
      </c>
      <c r="B741" t="inlineStr">
        <is>
          <t>XAUUSD</t>
        </is>
      </c>
      <c r="C741" t="inlineStr">
        <is>
          <t>M15</t>
        </is>
      </c>
      <c r="D741" t="n">
        <v>4577.82</v>
      </c>
      <c r="E741" t="n">
        <v>4518.59282</v>
      </c>
      <c r="F741" t="n">
        <v>4596.05595</v>
      </c>
      <c r="G741" t="n">
        <v>4755.40355</v>
      </c>
      <c r="H741" t="n">
        <v>4792.76972</v>
      </c>
      <c r="Q741" t="n">
        <v>4619.87831</v>
      </c>
      <c r="R741" t="n">
        <v>4649.24161</v>
      </c>
      <c r="S741" t="n">
        <v>4675.83038</v>
      </c>
      <c r="V741" t="n">
        <v>4584.93854</v>
      </c>
      <c r="W741" t="n">
        <v>4551.37354</v>
      </c>
      <c r="AB741" t="n">
        <v>4577.66755</v>
      </c>
      <c r="AC741" t="n">
        <v>4575.55416</v>
      </c>
      <c r="AD741" t="n">
        <v>0</v>
      </c>
      <c r="AE741">
        <f>AE740+1</f>
        <v/>
      </c>
      <c r="AF741">
        <f>AF740+1</f>
        <v/>
      </c>
      <c r="AG741">
        <f>D741-Q741</f>
        <v/>
      </c>
      <c r="AH741">
        <f>AG741^2</f>
        <v/>
      </c>
      <c r="AI741">
        <f>(AG741/STDEV($AG$3:$AG$1137))^3</f>
        <v/>
      </c>
      <c r="AJ741">
        <f>(AG741/STDEV($AG$3:$AG$1137))^4</f>
        <v/>
      </c>
      <c r="AK741">
        <f>AF741^2</f>
        <v/>
      </c>
      <c r="AL741">
        <f>IF(AD741=1,AB741,IF(AL740&lt;&gt;"",AL740,""))</f>
        <v/>
      </c>
      <c r="AM741">
        <f>IF(AND(AD741=1,AL740&lt;&gt;""),ABS(AB741-AL740),"")</f>
        <v/>
      </c>
    </row>
    <row r="742">
      <c r="A742" t="n">
        <v>1777391102</v>
      </c>
      <c r="B742" t="inlineStr">
        <is>
          <t>XAUUSD</t>
        </is>
      </c>
      <c r="C742" t="inlineStr">
        <is>
          <t>M15</t>
        </is>
      </c>
      <c r="D742" t="n">
        <v>4586.48</v>
      </c>
      <c r="E742" t="n">
        <v>4518.59282</v>
      </c>
      <c r="F742" t="n">
        <v>4596.05595</v>
      </c>
      <c r="G742" t="n">
        <v>4755.40355</v>
      </c>
      <c r="H742" t="n">
        <v>4792.76972</v>
      </c>
      <c r="Q742" t="n">
        <v>4619.61071</v>
      </c>
      <c r="R742" t="n">
        <v>4648.974</v>
      </c>
      <c r="S742" t="n">
        <v>4675.56277</v>
      </c>
      <c r="V742" t="n">
        <v>4584.67093</v>
      </c>
      <c r="W742" t="n">
        <v>4551.10594</v>
      </c>
      <c r="AB742" t="n">
        <v>4580.99315</v>
      </c>
      <c r="AC742" t="n">
        <v>4578.27365</v>
      </c>
      <c r="AD742" t="n">
        <v>0</v>
      </c>
      <c r="AE742">
        <f>AE741+1</f>
        <v/>
      </c>
      <c r="AF742">
        <f>AF741+1</f>
        <v/>
      </c>
      <c r="AG742">
        <f>D742-Q742</f>
        <v/>
      </c>
      <c r="AH742">
        <f>AG742^2</f>
        <v/>
      </c>
      <c r="AI742">
        <f>(AG742/STDEV($AG$3:$AG$1137))^3</f>
        <v/>
      </c>
      <c r="AJ742">
        <f>(AG742/STDEV($AG$3:$AG$1137))^4</f>
        <v/>
      </c>
      <c r="AK742">
        <f>AF742^2</f>
        <v/>
      </c>
      <c r="AL742">
        <f>IF(AD742=1,AB742,IF(AL741&lt;&gt;"",AL741,""))</f>
        <v/>
      </c>
      <c r="AM742">
        <f>IF(AND(AD742=1,AL741&lt;&gt;""),ABS(AB742-AL741),"")</f>
        <v/>
      </c>
    </row>
    <row r="743">
      <c r="A743" t="n">
        <v>1777392002</v>
      </c>
      <c r="B743" t="inlineStr">
        <is>
          <t>XAUUSD</t>
        </is>
      </c>
      <c r="C743" t="inlineStr">
        <is>
          <t>M15</t>
        </is>
      </c>
      <c r="D743" t="n">
        <v>4585.4</v>
      </c>
      <c r="E743" t="n">
        <v>4518.59282</v>
      </c>
      <c r="F743" t="n">
        <v>4596.05595</v>
      </c>
      <c r="G743" t="n">
        <v>4755.40355</v>
      </c>
      <c r="H743" t="n">
        <v>4792.76972</v>
      </c>
      <c r="Q743" t="n">
        <v>4619.3431</v>
      </c>
      <c r="R743" t="n">
        <v>4648.7064</v>
      </c>
      <c r="S743" t="n">
        <v>4675.29517</v>
      </c>
      <c r="V743" t="n">
        <v>4584.40333</v>
      </c>
      <c r="W743" t="n">
        <v>4550.83833</v>
      </c>
      <c r="AB743" t="n">
        <v>4584.14834</v>
      </c>
      <c r="AC743" t="n">
        <v>4581.211</v>
      </c>
      <c r="AD743" t="n">
        <v>0</v>
      </c>
      <c r="AE743">
        <f>AE742+1</f>
        <v/>
      </c>
      <c r="AF743">
        <f>AF742+1</f>
        <v/>
      </c>
      <c r="AG743">
        <f>D743-Q743</f>
        <v/>
      </c>
      <c r="AH743">
        <f>AG743^2</f>
        <v/>
      </c>
      <c r="AI743">
        <f>(AG743/STDEV($AG$3:$AG$1137))^3</f>
        <v/>
      </c>
      <c r="AJ743">
        <f>(AG743/STDEV($AG$3:$AG$1137))^4</f>
        <v/>
      </c>
      <c r="AK743">
        <f>AF743^2</f>
        <v/>
      </c>
      <c r="AL743">
        <f>IF(AD743=1,AB743,IF(AL742&lt;&gt;"",AL742,""))</f>
        <v/>
      </c>
      <c r="AM743">
        <f>IF(AND(AD743=1,AL742&lt;&gt;""),ABS(AB743-AL742),"")</f>
        <v/>
      </c>
    </row>
    <row r="744">
      <c r="A744" t="n">
        <v>1777392902</v>
      </c>
      <c r="B744" t="inlineStr">
        <is>
          <t>XAUUSD</t>
        </is>
      </c>
      <c r="C744" t="inlineStr">
        <is>
          <t>M15</t>
        </is>
      </c>
      <c r="D744" t="n">
        <v>4582.74</v>
      </c>
      <c r="E744" t="n">
        <v>4518.59282</v>
      </c>
      <c r="F744" t="n">
        <v>4596.05595</v>
      </c>
      <c r="G744" t="n">
        <v>4755.40355</v>
      </c>
      <c r="H744" t="n">
        <v>4792.76972</v>
      </c>
      <c r="Q744" t="n">
        <v>4619.0755</v>
      </c>
      <c r="R744" t="n">
        <v>4648.4388</v>
      </c>
      <c r="S744" t="n">
        <v>4675.02757</v>
      </c>
      <c r="V744" t="n">
        <v>4584.13573</v>
      </c>
      <c r="W744" t="n">
        <v>4550.57073</v>
      </c>
      <c r="AB744" t="n">
        <v>4586.97025</v>
      </c>
      <c r="AC744" t="n">
        <v>4584.09063</v>
      </c>
      <c r="AD744" t="n">
        <v>0</v>
      </c>
      <c r="AE744">
        <f>AE743+1</f>
        <v/>
      </c>
      <c r="AF744">
        <f>AF743+1</f>
        <v/>
      </c>
      <c r="AG744">
        <f>D744-Q744</f>
        <v/>
      </c>
      <c r="AH744">
        <f>AG744^2</f>
        <v/>
      </c>
      <c r="AI744">
        <f>(AG744/STDEV($AG$3:$AG$1137))^3</f>
        <v/>
      </c>
      <c r="AJ744">
        <f>(AG744/STDEV($AG$3:$AG$1137))^4</f>
        <v/>
      </c>
      <c r="AK744">
        <f>AF744^2</f>
        <v/>
      </c>
      <c r="AL744">
        <f>IF(AD744=1,AB744,IF(AL743&lt;&gt;"",AL743,""))</f>
        <v/>
      </c>
      <c r="AM744">
        <f>IF(AND(AD744=1,AL743&lt;&gt;""),ABS(AB744-AL743),"")</f>
        <v/>
      </c>
    </row>
    <row r="745">
      <c r="A745" t="n">
        <v>1777393802</v>
      </c>
      <c r="B745" t="inlineStr">
        <is>
          <t>XAUUSD</t>
        </is>
      </c>
      <c r="C745" t="inlineStr">
        <is>
          <t>M15</t>
        </is>
      </c>
      <c r="D745" t="n">
        <v>4585.06</v>
      </c>
      <c r="E745" t="n">
        <v>4518.59282</v>
      </c>
      <c r="F745" t="n">
        <v>4596.05595</v>
      </c>
      <c r="G745" t="n">
        <v>4755.40355</v>
      </c>
      <c r="H745" t="n">
        <v>4792.76972</v>
      </c>
      <c r="Q745" t="n">
        <v>4618.80789</v>
      </c>
      <c r="R745" t="n">
        <v>4648.17119</v>
      </c>
      <c r="S745" t="n">
        <v>4674.75996</v>
      </c>
      <c r="V745" t="n">
        <v>4583.86812</v>
      </c>
      <c r="W745" t="n">
        <v>4550.30313</v>
      </c>
      <c r="AB745" t="n">
        <v>4589.46634</v>
      </c>
      <c r="AC745" t="n">
        <v>4586.77848</v>
      </c>
      <c r="AD745" t="n">
        <v>0</v>
      </c>
      <c r="AE745">
        <f>AE744+1</f>
        <v/>
      </c>
      <c r="AF745">
        <f>AF744+1</f>
        <v/>
      </c>
      <c r="AG745">
        <f>D745-Q745</f>
        <v/>
      </c>
      <c r="AH745">
        <f>AG745^2</f>
        <v/>
      </c>
      <c r="AI745">
        <f>(AG745/STDEV($AG$3:$AG$1137))^3</f>
        <v/>
      </c>
      <c r="AJ745">
        <f>(AG745/STDEV($AG$3:$AG$1137))^4</f>
        <v/>
      </c>
      <c r="AK745">
        <f>AF745^2</f>
        <v/>
      </c>
      <c r="AL745">
        <f>IF(AD745=1,AB745,IF(AL744&lt;&gt;"",AL744,""))</f>
        <v/>
      </c>
      <c r="AM745">
        <f>IF(AND(AD745=1,AL744&lt;&gt;""),ABS(AB745-AL744),"")</f>
        <v/>
      </c>
    </row>
    <row r="746">
      <c r="A746" t="n">
        <v>1777394702</v>
      </c>
      <c r="B746" t="inlineStr">
        <is>
          <t>XAUUSD</t>
        </is>
      </c>
      <c r="C746" t="inlineStr">
        <is>
          <t>M15</t>
        </is>
      </c>
      <c r="D746" t="n">
        <v>4592.2</v>
      </c>
      <c r="E746" t="n">
        <v>4518.59282</v>
      </c>
      <c r="F746" t="n">
        <v>4596.05595</v>
      </c>
      <c r="G746" t="n">
        <v>4755.40355</v>
      </c>
      <c r="H746" t="n">
        <v>4792.76972</v>
      </c>
      <c r="Q746" t="n">
        <v>4618.54029</v>
      </c>
      <c r="R746" t="n">
        <v>4647.90359</v>
      </c>
      <c r="S746" t="n">
        <v>4674.49236</v>
      </c>
      <c r="V746" t="n">
        <v>4583.60052</v>
      </c>
      <c r="W746" t="n">
        <v>4550.03552</v>
      </c>
      <c r="AB746" t="n">
        <v>4591.61794</v>
      </c>
      <c r="AC746" t="n">
        <v>4589.19821</v>
      </c>
      <c r="AD746" t="n">
        <v>0</v>
      </c>
      <c r="AE746">
        <f>AE745+1</f>
        <v/>
      </c>
      <c r="AF746">
        <f>AF745+1</f>
        <v/>
      </c>
      <c r="AG746">
        <f>D746-Q746</f>
        <v/>
      </c>
      <c r="AH746">
        <f>AG746^2</f>
        <v/>
      </c>
      <c r="AI746">
        <f>(AG746/STDEV($AG$3:$AG$1137))^3</f>
        <v/>
      </c>
      <c r="AJ746">
        <f>(AG746/STDEV($AG$3:$AG$1137))^4</f>
        <v/>
      </c>
      <c r="AK746">
        <f>AF746^2</f>
        <v/>
      </c>
      <c r="AL746">
        <f>IF(AD746=1,AB746,IF(AL745&lt;&gt;"",AL745,""))</f>
        <v/>
      </c>
      <c r="AM746">
        <f>IF(AND(AD746=1,AL745&lt;&gt;""),ABS(AB746-AL745),"")</f>
        <v/>
      </c>
    </row>
    <row r="747">
      <c r="A747" t="n">
        <v>1777395602</v>
      </c>
      <c r="B747" t="inlineStr">
        <is>
          <t>XAUUSD</t>
        </is>
      </c>
      <c r="C747" t="inlineStr">
        <is>
          <t>M15</t>
        </is>
      </c>
      <c r="D747" t="n">
        <v>4593.67</v>
      </c>
      <c r="E747" t="n">
        <v>4518.59282</v>
      </c>
      <c r="F747" t="n">
        <v>4596.05595</v>
      </c>
      <c r="G747" t="n">
        <v>4755.40355</v>
      </c>
      <c r="H747" t="n">
        <v>4792.76972</v>
      </c>
      <c r="Q747" t="n">
        <v>4618.27268</v>
      </c>
      <c r="R747" t="n">
        <v>4647.63598</v>
      </c>
      <c r="S747" t="n">
        <v>4674.22475</v>
      </c>
      <c r="V747" t="n">
        <v>4583.33291</v>
      </c>
      <c r="W747" t="n">
        <v>4549.76792</v>
      </c>
      <c r="AB747" t="n">
        <v>4593.29707</v>
      </c>
      <c r="AC747" t="n">
        <v>4591.24764</v>
      </c>
      <c r="AD747" t="n">
        <v>0</v>
      </c>
      <c r="AE747">
        <f>AE746+1</f>
        <v/>
      </c>
      <c r="AF747">
        <f>AF746+1</f>
        <v/>
      </c>
      <c r="AG747">
        <f>D747-Q747</f>
        <v/>
      </c>
      <c r="AH747">
        <f>AG747^2</f>
        <v/>
      </c>
      <c r="AI747">
        <f>(AG747/STDEV($AG$3:$AG$1137))^3</f>
        <v/>
      </c>
      <c r="AJ747">
        <f>(AG747/STDEV($AG$3:$AG$1137))^4</f>
        <v/>
      </c>
      <c r="AK747">
        <f>AF747^2</f>
        <v/>
      </c>
      <c r="AL747">
        <f>IF(AD747=1,AB747,IF(AL746&lt;&gt;"",AL746,""))</f>
        <v/>
      </c>
      <c r="AM747">
        <f>IF(AND(AD747=1,AL746&lt;&gt;""),ABS(AB747-AL746),"")</f>
        <v/>
      </c>
    </row>
    <row r="748">
      <c r="A748" t="n">
        <v>1777396502</v>
      </c>
      <c r="B748" t="inlineStr">
        <is>
          <t>XAUUSD</t>
        </is>
      </c>
      <c r="C748" t="inlineStr">
        <is>
          <t>M15</t>
        </is>
      </c>
      <c r="D748" t="n">
        <v>4593.49</v>
      </c>
      <c r="E748" t="n">
        <v>4518.59282</v>
      </c>
      <c r="F748" t="n">
        <v>4596.05595</v>
      </c>
      <c r="G748" t="n">
        <v>4755.40355</v>
      </c>
      <c r="H748" t="n">
        <v>4792.76972</v>
      </c>
      <c r="Q748" t="n">
        <v>4618.00508</v>
      </c>
      <c r="R748" t="n">
        <v>4647.36838</v>
      </c>
      <c r="S748" t="n">
        <v>4673.95715</v>
      </c>
      <c r="V748" t="n">
        <v>4583.06531</v>
      </c>
      <c r="W748" t="n">
        <v>4549.50031</v>
      </c>
      <c r="AB748" t="n">
        <v>4594.54284</v>
      </c>
      <c r="AC748" t="n">
        <v>4592.89524</v>
      </c>
      <c r="AD748" t="n">
        <v>0</v>
      </c>
      <c r="AE748">
        <f>AE747+1</f>
        <v/>
      </c>
      <c r="AF748">
        <f>AF747+1</f>
        <v/>
      </c>
      <c r="AG748">
        <f>D748-Q748</f>
        <v/>
      </c>
      <c r="AH748">
        <f>AG748^2</f>
        <v/>
      </c>
      <c r="AI748">
        <f>(AG748/STDEV($AG$3:$AG$1137))^3</f>
        <v/>
      </c>
      <c r="AJ748">
        <f>(AG748/STDEV($AG$3:$AG$1137))^4</f>
        <v/>
      </c>
      <c r="AK748">
        <f>AF748^2</f>
        <v/>
      </c>
      <c r="AL748">
        <f>IF(AD748=1,AB748,IF(AL747&lt;&gt;"",AL747,""))</f>
        <v/>
      </c>
      <c r="AM748">
        <f>IF(AND(AD748=1,AL747&lt;&gt;""),ABS(AB748-AL747),"")</f>
        <v/>
      </c>
    </row>
    <row r="749">
      <c r="A749" t="n">
        <v>1777397402</v>
      </c>
      <c r="B749" t="inlineStr">
        <is>
          <t>XAUUSD</t>
        </is>
      </c>
      <c r="C749" t="inlineStr">
        <is>
          <t>M15</t>
        </is>
      </c>
      <c r="D749" t="n">
        <v>4599.02</v>
      </c>
      <c r="E749" t="n">
        <v>4518.59282</v>
      </c>
      <c r="F749" t="n">
        <v>4596.05595</v>
      </c>
      <c r="G749" t="n">
        <v>4755.40355</v>
      </c>
      <c r="H749" t="n">
        <v>4792.76972</v>
      </c>
      <c r="Q749" t="n">
        <v>4617.73748</v>
      </c>
      <c r="R749" t="n">
        <v>4647.10078</v>
      </c>
      <c r="S749" t="n">
        <v>4673.68955</v>
      </c>
      <c r="V749" t="n">
        <v>4582.79771</v>
      </c>
      <c r="W749" t="n">
        <v>4549.23271</v>
      </c>
      <c r="Z749" t="n">
        <v>4601.49</v>
      </c>
      <c r="AB749" t="n">
        <v>4595.48411</v>
      </c>
      <c r="AC749" t="n">
        <v>4594.18967</v>
      </c>
      <c r="AD749" t="n">
        <v>0</v>
      </c>
      <c r="AE749">
        <f>AE748+1</f>
        <v/>
      </c>
      <c r="AF749">
        <f>AF748+1</f>
        <v/>
      </c>
      <c r="AG749">
        <f>D749-Q749</f>
        <v/>
      </c>
      <c r="AH749">
        <f>AG749^2</f>
        <v/>
      </c>
      <c r="AI749">
        <f>(AG749/STDEV($AG$3:$AG$1137))^3</f>
        <v/>
      </c>
      <c r="AJ749">
        <f>(AG749/STDEV($AG$3:$AG$1137))^4</f>
        <v/>
      </c>
      <c r="AK749">
        <f>AF749^2</f>
        <v/>
      </c>
      <c r="AL749">
        <f>IF(AD749=1,AB749,IF(AL748&lt;&gt;"",AL748,""))</f>
        <v/>
      </c>
      <c r="AM749">
        <f>IF(AND(AD749=1,AL748&lt;&gt;""),ABS(AB749-AL748),"")</f>
        <v/>
      </c>
    </row>
    <row r="750">
      <c r="A750" t="n">
        <v>1777398302</v>
      </c>
      <c r="B750" t="inlineStr">
        <is>
          <t>XAUUSD</t>
        </is>
      </c>
      <c r="C750" t="inlineStr">
        <is>
          <t>M15</t>
        </is>
      </c>
      <c r="D750" t="n">
        <v>4594.77</v>
      </c>
      <c r="E750" t="n">
        <v>4518.59282</v>
      </c>
      <c r="F750" t="n">
        <v>4596.05595</v>
      </c>
      <c r="G750" t="n">
        <v>4755.40355</v>
      </c>
      <c r="H750" t="n">
        <v>4792.76972</v>
      </c>
      <c r="Q750" t="n">
        <v>4617.46987</v>
      </c>
      <c r="R750" t="n">
        <v>4646.83317</v>
      </c>
      <c r="S750" t="n">
        <v>4673.42194</v>
      </c>
      <c r="V750" t="n">
        <v>4582.5301</v>
      </c>
      <c r="W750" t="n">
        <v>4548.96511</v>
      </c>
      <c r="AB750" t="n">
        <v>4596.02702</v>
      </c>
      <c r="AC750" t="n">
        <v>4595.10834</v>
      </c>
      <c r="AD750" t="n">
        <v>0</v>
      </c>
      <c r="AE750">
        <f>AE749+1</f>
        <v/>
      </c>
      <c r="AF750">
        <f>AF749+1</f>
        <v/>
      </c>
      <c r="AG750">
        <f>D750-Q750</f>
        <v/>
      </c>
      <c r="AH750">
        <f>AG750^2</f>
        <v/>
      </c>
      <c r="AI750">
        <f>(AG750/STDEV($AG$3:$AG$1137))^3</f>
        <v/>
      </c>
      <c r="AJ750">
        <f>(AG750/STDEV($AG$3:$AG$1137))^4</f>
        <v/>
      </c>
      <c r="AK750">
        <f>AF750^2</f>
        <v/>
      </c>
      <c r="AL750">
        <f>IF(AD750=1,AB750,IF(AL749&lt;&gt;"",AL749,""))</f>
        <v/>
      </c>
      <c r="AM750">
        <f>IF(AND(AD750=1,AL749&lt;&gt;""),ABS(AB750-AL749),"")</f>
        <v/>
      </c>
    </row>
    <row r="751">
      <c r="A751" t="n">
        <v>1777399202</v>
      </c>
      <c r="B751" t="inlineStr">
        <is>
          <t>XAUUSD</t>
        </is>
      </c>
      <c r="C751" t="inlineStr">
        <is>
          <t>M15</t>
        </is>
      </c>
      <c r="D751" t="n">
        <v>4596.1</v>
      </c>
      <c r="E751" t="n">
        <v>4518.59282</v>
      </c>
      <c r="F751" t="n">
        <v>4596.05595</v>
      </c>
      <c r="G751" t="n">
        <v>4755.40355</v>
      </c>
      <c r="H751" t="n">
        <v>4792.76972</v>
      </c>
      <c r="Q751" t="n">
        <v>4617.20227</v>
      </c>
      <c r="R751" t="n">
        <v>4646.56557</v>
      </c>
      <c r="S751" t="n">
        <v>4673.15434</v>
      </c>
      <c r="V751" t="n">
        <v>4582.2625</v>
      </c>
      <c r="W751" t="n">
        <v>4548.6975</v>
      </c>
      <c r="AB751" t="n">
        <v>4596.38353</v>
      </c>
      <c r="AC751" t="n">
        <v>4595.74593</v>
      </c>
      <c r="AD751" t="n">
        <v>0</v>
      </c>
      <c r="AE751">
        <f>AE750+1</f>
        <v/>
      </c>
      <c r="AF751">
        <f>AF750+1</f>
        <v/>
      </c>
      <c r="AG751">
        <f>D751-Q751</f>
        <v/>
      </c>
      <c r="AH751">
        <f>AG751^2</f>
        <v/>
      </c>
      <c r="AI751">
        <f>(AG751/STDEV($AG$3:$AG$1137))^3</f>
        <v/>
      </c>
      <c r="AJ751">
        <f>(AG751/STDEV($AG$3:$AG$1137))^4</f>
        <v/>
      </c>
      <c r="AK751">
        <f>AF751^2</f>
        <v/>
      </c>
      <c r="AL751">
        <f>IF(AD751=1,AB751,IF(AL750&lt;&gt;"",AL750,""))</f>
        <v/>
      </c>
      <c r="AM751">
        <f>IF(AND(AD751=1,AL750&lt;&gt;""),ABS(AB751-AL750),"")</f>
        <v/>
      </c>
    </row>
    <row r="752">
      <c r="A752" t="n">
        <v>1777400102</v>
      </c>
      <c r="B752" t="inlineStr">
        <is>
          <t>XAUUSD</t>
        </is>
      </c>
      <c r="C752" t="inlineStr">
        <is>
          <t>M15</t>
        </is>
      </c>
      <c r="D752" t="n">
        <v>4598.91</v>
      </c>
      <c r="E752" t="n">
        <v>4518.59282</v>
      </c>
      <c r="F752" t="n">
        <v>4596.05595</v>
      </c>
      <c r="G752" t="n">
        <v>4755.40355</v>
      </c>
      <c r="H752" t="n">
        <v>4792.76972</v>
      </c>
      <c r="Q752" t="n">
        <v>4616.93466</v>
      </c>
      <c r="R752" t="n">
        <v>4646.29796</v>
      </c>
      <c r="S752" t="n">
        <v>4672.88673</v>
      </c>
      <c r="V752" t="n">
        <v>4581.99489</v>
      </c>
      <c r="W752" t="n">
        <v>4548.4299</v>
      </c>
      <c r="AB752" t="n">
        <v>4596.589</v>
      </c>
      <c r="AC752" t="n">
        <v>4596.16747</v>
      </c>
      <c r="AD752" t="n">
        <v>0</v>
      </c>
      <c r="AE752">
        <f>AE751+1</f>
        <v/>
      </c>
      <c r="AF752">
        <f>AF751+1</f>
        <v/>
      </c>
      <c r="AG752">
        <f>D752-Q752</f>
        <v/>
      </c>
      <c r="AH752">
        <f>AG752^2</f>
        <v/>
      </c>
      <c r="AI752">
        <f>(AG752/STDEV($AG$3:$AG$1137))^3</f>
        <v/>
      </c>
      <c r="AJ752">
        <f>(AG752/STDEV($AG$3:$AG$1137))^4</f>
        <v/>
      </c>
      <c r="AK752">
        <f>AF752^2</f>
        <v/>
      </c>
      <c r="AL752">
        <f>IF(AD752=1,AB752,IF(AL751&lt;&gt;"",AL751,""))</f>
        <v/>
      </c>
      <c r="AM752">
        <f>IF(AND(AD752=1,AL751&lt;&gt;""),ABS(AB752-AL751),"")</f>
        <v/>
      </c>
    </row>
    <row r="753">
      <c r="A753" t="n">
        <v>1777401002</v>
      </c>
      <c r="B753" t="inlineStr">
        <is>
          <t>XAUUSD</t>
        </is>
      </c>
      <c r="C753" t="inlineStr">
        <is>
          <t>M15</t>
        </is>
      </c>
      <c r="D753" t="n">
        <v>4597.74</v>
      </c>
      <c r="E753" t="n">
        <v>4518.59282</v>
      </c>
      <c r="F753" t="n">
        <v>4596.05595</v>
      </c>
      <c r="G753" t="n">
        <v>4755.40355</v>
      </c>
      <c r="H753" t="n">
        <v>4792.76972</v>
      </c>
      <c r="Q753" t="n">
        <v>4616.66706</v>
      </c>
      <c r="R753" t="n">
        <v>4646.03036</v>
      </c>
      <c r="S753" t="n">
        <v>4672.61913</v>
      </c>
      <c r="V753" t="n">
        <v>4581.72729</v>
      </c>
      <c r="W753" t="n">
        <v>4548.16229</v>
      </c>
      <c r="AB753" t="n">
        <v>4596.63687</v>
      </c>
      <c r="AC753" t="n">
        <v>4596.40217</v>
      </c>
      <c r="AD753" t="n">
        <v>0</v>
      </c>
      <c r="AE753">
        <f>AE752+1</f>
        <v/>
      </c>
      <c r="AF753">
        <f>AF752+1</f>
        <v/>
      </c>
      <c r="AG753">
        <f>D753-Q753</f>
        <v/>
      </c>
      <c r="AH753">
        <f>AG753^2</f>
        <v/>
      </c>
      <c r="AI753">
        <f>(AG753/STDEV($AG$3:$AG$1137))^3</f>
        <v/>
      </c>
      <c r="AJ753">
        <f>(AG753/STDEV($AG$3:$AG$1137))^4</f>
        <v/>
      </c>
      <c r="AK753">
        <f>AF753^2</f>
        <v/>
      </c>
      <c r="AL753">
        <f>IF(AD753=1,AB753,IF(AL752&lt;&gt;"",AL752,""))</f>
        <v/>
      </c>
      <c r="AM753">
        <f>IF(AND(AD753=1,AL752&lt;&gt;""),ABS(AB753-AL752),"")</f>
        <v/>
      </c>
    </row>
    <row r="754">
      <c r="A754" t="n">
        <v>1777401902</v>
      </c>
      <c r="B754" t="inlineStr">
        <is>
          <t>XAUUSD</t>
        </is>
      </c>
      <c r="C754" t="inlineStr">
        <is>
          <t>M15</t>
        </is>
      </c>
      <c r="D754" t="n">
        <v>4594.2</v>
      </c>
      <c r="E754" t="n">
        <v>4518.59282</v>
      </c>
      <c r="F754" t="n">
        <v>4596.05595</v>
      </c>
      <c r="G754" t="n">
        <v>4755.40355</v>
      </c>
      <c r="H754" t="n">
        <v>4792.76972</v>
      </c>
      <c r="Q754" t="n">
        <v>4616.39946</v>
      </c>
      <c r="R754" t="n">
        <v>4645.76275</v>
      </c>
      <c r="S754" t="n">
        <v>4672.35153</v>
      </c>
      <c r="V754" t="n">
        <v>4581.45969</v>
      </c>
      <c r="W754" t="n">
        <v>4547.89469</v>
      </c>
      <c r="AB754" t="n">
        <v>4596.59455</v>
      </c>
      <c r="AC754" t="n">
        <v>4596.49836</v>
      </c>
      <c r="AD754" t="n">
        <v>0</v>
      </c>
      <c r="AE754">
        <f>AE753+1</f>
        <v/>
      </c>
      <c r="AF754">
        <f>AF753+1</f>
        <v/>
      </c>
      <c r="AG754">
        <f>D754-Q754</f>
        <v/>
      </c>
      <c r="AH754">
        <f>AG754^2</f>
        <v/>
      </c>
      <c r="AI754">
        <f>(AG754/STDEV($AG$3:$AG$1137))^3</f>
        <v/>
      </c>
      <c r="AJ754">
        <f>(AG754/STDEV($AG$3:$AG$1137))^4</f>
        <v/>
      </c>
      <c r="AK754">
        <f>AF754^2</f>
        <v/>
      </c>
      <c r="AL754">
        <f>IF(AD754=1,AB754,IF(AL753&lt;&gt;"",AL753,""))</f>
        <v/>
      </c>
      <c r="AM754">
        <f>IF(AND(AD754=1,AL753&lt;&gt;""),ABS(AB754-AL753),"")</f>
        <v/>
      </c>
    </row>
    <row r="755">
      <c r="A755" t="n">
        <v>1777402802</v>
      </c>
      <c r="B755" t="inlineStr">
        <is>
          <t>XAUUSD</t>
        </is>
      </c>
      <c r="C755" t="inlineStr">
        <is>
          <t>M15</t>
        </is>
      </c>
      <c r="D755" t="n">
        <v>4595.75</v>
      </c>
      <c r="E755" t="n">
        <v>4518.59282</v>
      </c>
      <c r="F755" t="n">
        <v>4596.05595</v>
      </c>
      <c r="G755" t="n">
        <v>4755.40355</v>
      </c>
      <c r="H755" t="n">
        <v>4792.76972</v>
      </c>
      <c r="Q755" t="n">
        <v>4616.13185</v>
      </c>
      <c r="R755" t="n">
        <v>4645.49515</v>
      </c>
      <c r="S755" t="n">
        <v>4672.08392</v>
      </c>
      <c r="V755" t="n">
        <v>4581.19208</v>
      </c>
      <c r="W755" t="n">
        <v>4547.62709</v>
      </c>
      <c r="AB755" t="n">
        <v>4596.59074</v>
      </c>
      <c r="AC755" t="n">
        <v>4596.54455</v>
      </c>
      <c r="AD755" t="n">
        <v>0</v>
      </c>
      <c r="AE755">
        <f>AE754+1</f>
        <v/>
      </c>
      <c r="AF755">
        <f>AF754+1</f>
        <v/>
      </c>
      <c r="AG755">
        <f>D755-Q755</f>
        <v/>
      </c>
      <c r="AH755">
        <f>AG755^2</f>
        <v/>
      </c>
      <c r="AI755">
        <f>(AG755/STDEV($AG$3:$AG$1137))^3</f>
        <v/>
      </c>
      <c r="AJ755">
        <f>(AG755/STDEV($AG$3:$AG$1137))^4</f>
        <v/>
      </c>
      <c r="AK755">
        <f>AF755^2</f>
        <v/>
      </c>
      <c r="AL755">
        <f>IF(AD755=1,AB755,IF(AL754&lt;&gt;"",AL754,""))</f>
        <v/>
      </c>
      <c r="AM755">
        <f>IF(AND(AD755=1,AL754&lt;&gt;""),ABS(AB755-AL754),"")</f>
        <v/>
      </c>
    </row>
    <row r="756">
      <c r="A756" t="n">
        <v>1777403702</v>
      </c>
      <c r="B756" t="inlineStr">
        <is>
          <t>XAUUSD</t>
        </is>
      </c>
      <c r="C756" t="inlineStr">
        <is>
          <t>M15</t>
        </is>
      </c>
      <c r="D756" t="n">
        <v>4596.22</v>
      </c>
      <c r="E756" t="n">
        <v>4518.59282</v>
      </c>
      <c r="F756" t="n">
        <v>4596.05595</v>
      </c>
      <c r="G756" t="n">
        <v>4755.40355</v>
      </c>
      <c r="H756" t="n">
        <v>4792.76972</v>
      </c>
      <c r="Q756" t="n">
        <v>4615.86425</v>
      </c>
      <c r="R756" t="n">
        <v>4645.22755</v>
      </c>
      <c r="S756" t="n">
        <v>4671.81632</v>
      </c>
      <c r="V756" t="n">
        <v>4580.92448</v>
      </c>
      <c r="W756" t="n">
        <v>4547.35948</v>
      </c>
      <c r="AB756" t="n">
        <v>4596.63806</v>
      </c>
      <c r="AC756" t="n">
        <v>4596.5913</v>
      </c>
      <c r="AD756" t="n">
        <v>0</v>
      </c>
      <c r="AE756">
        <f>AE755+1</f>
        <v/>
      </c>
      <c r="AF756">
        <f>AF755+1</f>
        <v/>
      </c>
      <c r="AG756">
        <f>D756-Q756</f>
        <v/>
      </c>
      <c r="AH756">
        <f>AG756^2</f>
        <v/>
      </c>
      <c r="AI756">
        <f>(AG756/STDEV($AG$3:$AG$1137))^3</f>
        <v/>
      </c>
      <c r="AJ756">
        <f>(AG756/STDEV($AG$3:$AG$1137))^4</f>
        <v/>
      </c>
      <c r="AK756">
        <f>AF756^2</f>
        <v/>
      </c>
      <c r="AL756">
        <f>IF(AD756=1,AB756,IF(AL755&lt;&gt;"",AL755,""))</f>
        <v/>
      </c>
      <c r="AM756">
        <f>IF(AND(AD756=1,AL755&lt;&gt;""),ABS(AB756-AL755),"")</f>
        <v/>
      </c>
    </row>
    <row r="757">
      <c r="A757" t="n">
        <v>1777404602</v>
      </c>
      <c r="B757" t="inlineStr">
        <is>
          <t>XAUUSD</t>
        </is>
      </c>
      <c r="C757" t="inlineStr">
        <is>
          <t>M15</t>
        </is>
      </c>
      <c r="D757" t="n">
        <v>4598.52</v>
      </c>
      <c r="E757" t="n">
        <v>4518.59282</v>
      </c>
      <c r="F757" t="n">
        <v>4596.05595</v>
      </c>
      <c r="G757" t="n">
        <v>4755.40355</v>
      </c>
      <c r="H757" t="n">
        <v>4792.76972</v>
      </c>
      <c r="Q757" t="n">
        <v>4615.59664</v>
      </c>
      <c r="R757" t="n">
        <v>4644.95994</v>
      </c>
      <c r="S757" t="n">
        <v>4671.54871</v>
      </c>
      <c r="V757" t="n">
        <v>4580.65687</v>
      </c>
      <c r="W757" t="n">
        <v>4547.09188</v>
      </c>
      <c r="AB757" t="n">
        <v>4596.69717</v>
      </c>
      <c r="AC757" t="n">
        <v>4596.64424</v>
      </c>
      <c r="AD757" t="n">
        <v>0</v>
      </c>
      <c r="AE757">
        <f>AE756+1</f>
        <v/>
      </c>
      <c r="AF757">
        <f>AF756+1</f>
        <v/>
      </c>
      <c r="AG757">
        <f>D757-Q757</f>
        <v/>
      </c>
      <c r="AH757">
        <f>AG757^2</f>
        <v/>
      </c>
      <c r="AI757">
        <f>(AG757/STDEV($AG$3:$AG$1137))^3</f>
        <v/>
      </c>
      <c r="AJ757">
        <f>(AG757/STDEV($AG$3:$AG$1137))^4</f>
        <v/>
      </c>
      <c r="AK757">
        <f>AF757^2</f>
        <v/>
      </c>
      <c r="AL757">
        <f>IF(AD757=1,AB757,IF(AL756&lt;&gt;"",AL756,""))</f>
        <v/>
      </c>
      <c r="AM757">
        <f>IF(AND(AD757=1,AL756&lt;&gt;""),ABS(AB757-AL756),"")</f>
        <v/>
      </c>
    </row>
    <row r="758">
      <c r="A758" t="n">
        <v>1777405502</v>
      </c>
      <c r="B758" t="inlineStr">
        <is>
          <t>XAUUSD</t>
        </is>
      </c>
      <c r="C758" t="inlineStr">
        <is>
          <t>M15</t>
        </is>
      </c>
      <c r="D758" t="n">
        <v>4595.7</v>
      </c>
      <c r="E758" t="n">
        <v>4518.59282</v>
      </c>
      <c r="F758" t="n">
        <v>4596.05595</v>
      </c>
      <c r="G758" t="n">
        <v>4755.40355</v>
      </c>
      <c r="H758" t="n">
        <v>4792.76972</v>
      </c>
      <c r="Q758" t="n">
        <v>4615.32904</v>
      </c>
      <c r="R758" t="n">
        <v>4644.69234</v>
      </c>
      <c r="S758" t="n">
        <v>4671.28111</v>
      </c>
      <c r="V758" t="n">
        <v>4580.38927</v>
      </c>
      <c r="W758" t="n">
        <v>4546.82427</v>
      </c>
      <c r="AB758" t="n">
        <v>4596.59339</v>
      </c>
      <c r="AC758" t="n">
        <v>4596.61881</v>
      </c>
      <c r="AD758" t="n">
        <v>1</v>
      </c>
      <c r="AE758">
        <f>AE757+1</f>
        <v/>
      </c>
      <c r="AF758">
        <f>AF757+1</f>
        <v/>
      </c>
      <c r="AG758">
        <f>D758-Q758</f>
        <v/>
      </c>
      <c r="AH758">
        <f>AG758^2</f>
        <v/>
      </c>
      <c r="AI758">
        <f>(AG758/STDEV($AG$3:$AG$1137))^3</f>
        <v/>
      </c>
      <c r="AJ758">
        <f>(AG758/STDEV($AG$3:$AG$1137))^4</f>
        <v/>
      </c>
      <c r="AK758">
        <f>AF758^2</f>
        <v/>
      </c>
      <c r="AL758">
        <f>IF(AD758=1,AB758,IF(AL757&lt;&gt;"",AL757,""))</f>
        <v/>
      </c>
      <c r="AM758">
        <f>IF(AND(AD758=1,AL757&lt;&gt;""),ABS(AB758-AL757),"")</f>
        <v/>
      </c>
    </row>
    <row r="759">
      <c r="A759" t="n">
        <v>1777406402</v>
      </c>
      <c r="B759" t="inlineStr">
        <is>
          <t>XAUUSD</t>
        </is>
      </c>
      <c r="C759" t="inlineStr">
        <is>
          <t>M15</t>
        </is>
      </c>
      <c r="D759" t="n">
        <v>4597.28</v>
      </c>
      <c r="E759" t="n">
        <v>4518.59282</v>
      </c>
      <c r="F759" t="n">
        <v>4596.05595</v>
      </c>
      <c r="G759" t="n">
        <v>4755.40355</v>
      </c>
      <c r="H759" t="n">
        <v>4792.76972</v>
      </c>
      <c r="Q759" t="n">
        <v>4615.06144</v>
      </c>
      <c r="R759" t="n">
        <v>4644.42473</v>
      </c>
      <c r="S759" t="n">
        <v>4671.01351</v>
      </c>
      <c r="V759" t="n">
        <v>4580.12167</v>
      </c>
      <c r="W759" t="n">
        <v>4546.55667</v>
      </c>
      <c r="AB759" t="n">
        <v>4596.33821</v>
      </c>
      <c r="AC759" t="n">
        <v>4596.47851</v>
      </c>
      <c r="AD759" t="n">
        <v>0</v>
      </c>
      <c r="AE759">
        <f>AE758+1</f>
        <v/>
      </c>
      <c r="AF759">
        <f>AF758+1</f>
        <v/>
      </c>
      <c r="AG759">
        <f>D759-Q759</f>
        <v/>
      </c>
      <c r="AH759">
        <f>AG759^2</f>
        <v/>
      </c>
      <c r="AI759">
        <f>(AG759/STDEV($AG$3:$AG$1137))^3</f>
        <v/>
      </c>
      <c r="AJ759">
        <f>(AG759/STDEV($AG$3:$AG$1137))^4</f>
        <v/>
      </c>
      <c r="AK759">
        <f>AF759^2</f>
        <v/>
      </c>
      <c r="AL759">
        <f>IF(AD759=1,AB759,IF(AL758&lt;&gt;"",AL758,""))</f>
        <v/>
      </c>
      <c r="AM759">
        <f>IF(AND(AD759=1,AL758&lt;&gt;""),ABS(AB759-AL758),"")</f>
        <v/>
      </c>
    </row>
    <row r="760">
      <c r="A760" t="n">
        <v>1777407302</v>
      </c>
      <c r="B760" t="inlineStr">
        <is>
          <t>XAUUSD</t>
        </is>
      </c>
      <c r="C760" t="inlineStr">
        <is>
          <t>M15</t>
        </is>
      </c>
      <c r="D760" t="n">
        <v>4592.85</v>
      </c>
      <c r="E760" t="n">
        <v>4518.59282</v>
      </c>
      <c r="F760" t="n">
        <v>4596.05595</v>
      </c>
      <c r="G760" t="n">
        <v>4755.40355</v>
      </c>
      <c r="H760" t="n">
        <v>4792.76972</v>
      </c>
      <c r="Q760" t="n">
        <v>4614.79383</v>
      </c>
      <c r="R760" t="n">
        <v>4644.15713</v>
      </c>
      <c r="S760" t="n">
        <v>4670.7459</v>
      </c>
      <c r="V760" t="n">
        <v>4579.85406</v>
      </c>
      <c r="W760" t="n">
        <v>4546.28907</v>
      </c>
      <c r="AB760" t="n">
        <v>4595.84616</v>
      </c>
      <c r="AC760" t="n">
        <v>4596.16233</v>
      </c>
      <c r="AD760" t="n">
        <v>0</v>
      </c>
      <c r="AE760">
        <f>AE759+1</f>
        <v/>
      </c>
      <c r="AF760">
        <f>AF759+1</f>
        <v/>
      </c>
      <c r="AG760">
        <f>D760-Q760</f>
        <v/>
      </c>
      <c r="AH760">
        <f>AG760^2</f>
        <v/>
      </c>
      <c r="AI760">
        <f>(AG760/STDEV($AG$3:$AG$1137))^3</f>
        <v/>
      </c>
      <c r="AJ760">
        <f>(AG760/STDEV($AG$3:$AG$1137))^4</f>
        <v/>
      </c>
      <c r="AK760">
        <f>AF760^2</f>
        <v/>
      </c>
      <c r="AL760">
        <f>IF(AD760=1,AB760,IF(AL759&lt;&gt;"",AL759,""))</f>
        <v/>
      </c>
      <c r="AM760">
        <f>IF(AND(AD760=1,AL759&lt;&gt;""),ABS(AB760-AL759),"")</f>
        <v/>
      </c>
    </row>
    <row r="761">
      <c r="A761" t="n">
        <v>1777408202</v>
      </c>
      <c r="B761" t="inlineStr">
        <is>
          <t>XAUUSD</t>
        </is>
      </c>
      <c r="C761" t="inlineStr">
        <is>
          <t>M15</t>
        </is>
      </c>
      <c r="D761" t="n">
        <v>4593.44</v>
      </c>
      <c r="E761" t="n">
        <v>4518.59282</v>
      </c>
      <c r="F761" t="n">
        <v>4596.05595</v>
      </c>
      <c r="G761" t="n">
        <v>4755.40355</v>
      </c>
      <c r="H761" t="n">
        <v>4792.76972</v>
      </c>
      <c r="Q761" t="n">
        <v>4614.52623</v>
      </c>
      <c r="R761" t="n">
        <v>4643.88953</v>
      </c>
      <c r="S761" t="n">
        <v>4670.4783</v>
      </c>
      <c r="V761" t="n">
        <v>4579.58646</v>
      </c>
      <c r="W761" t="n">
        <v>4546.02146</v>
      </c>
      <c r="AB761" t="n">
        <v>4595.24318</v>
      </c>
      <c r="AC761" t="n">
        <v>4595.70276</v>
      </c>
      <c r="AD761" t="n">
        <v>0</v>
      </c>
      <c r="AE761">
        <f>AE760+1</f>
        <v/>
      </c>
      <c r="AF761">
        <f>AF760+1</f>
        <v/>
      </c>
      <c r="AG761">
        <f>D761-Q761</f>
        <v/>
      </c>
      <c r="AH761">
        <f>AG761^2</f>
        <v/>
      </c>
      <c r="AI761">
        <f>(AG761/STDEV($AG$3:$AG$1137))^3</f>
        <v/>
      </c>
      <c r="AJ761">
        <f>(AG761/STDEV($AG$3:$AG$1137))^4</f>
        <v/>
      </c>
      <c r="AK761">
        <f>AF761^2</f>
        <v/>
      </c>
      <c r="AL761">
        <f>IF(AD761=1,AB761,IF(AL760&lt;&gt;"",AL760,""))</f>
        <v/>
      </c>
      <c r="AM761">
        <f>IF(AND(AD761=1,AL760&lt;&gt;""),ABS(AB761-AL760),"")</f>
        <v/>
      </c>
    </row>
    <row r="762">
      <c r="A762" t="n">
        <v>1777409102</v>
      </c>
      <c r="B762" t="inlineStr">
        <is>
          <t>XAUUSD</t>
        </is>
      </c>
      <c r="C762" t="inlineStr">
        <is>
          <t>M15</t>
        </is>
      </c>
      <c r="D762" t="n">
        <v>4597.18</v>
      </c>
      <c r="E762" t="n">
        <v>4518.59282</v>
      </c>
      <c r="F762" t="n">
        <v>4596.05595</v>
      </c>
      <c r="G762" t="n">
        <v>4755.40355</v>
      </c>
      <c r="H762" t="n">
        <v>4792.76972</v>
      </c>
      <c r="Q762" t="n">
        <v>4614.25862</v>
      </c>
      <c r="R762" t="n">
        <v>4643.62192</v>
      </c>
      <c r="S762" t="n">
        <v>4670.21069</v>
      </c>
      <c r="V762" t="n">
        <v>4579.31885</v>
      </c>
      <c r="W762" t="n">
        <v>4545.75386</v>
      </c>
      <c r="AB762" t="n">
        <v>4594.62132</v>
      </c>
      <c r="AC762" t="n">
        <v>4595.16204</v>
      </c>
      <c r="AD762" t="n">
        <v>0</v>
      </c>
      <c r="AE762">
        <f>AE761+1</f>
        <v/>
      </c>
      <c r="AF762">
        <f>AF761+1</f>
        <v/>
      </c>
      <c r="AG762">
        <f>D762-Q762</f>
        <v/>
      </c>
      <c r="AH762">
        <f>AG762^2</f>
        <v/>
      </c>
      <c r="AI762">
        <f>(AG762/STDEV($AG$3:$AG$1137))^3</f>
        <v/>
      </c>
      <c r="AJ762">
        <f>(AG762/STDEV($AG$3:$AG$1137))^4</f>
        <v/>
      </c>
      <c r="AK762">
        <f>AF762^2</f>
        <v/>
      </c>
      <c r="AL762">
        <f>IF(AD762=1,AB762,IF(AL761&lt;&gt;"",AL761,""))</f>
        <v/>
      </c>
      <c r="AM762">
        <f>IF(AND(AD762=1,AL761&lt;&gt;""),ABS(AB762-AL761),"")</f>
        <v/>
      </c>
    </row>
    <row r="763">
      <c r="A763" t="n">
        <v>1777413602</v>
      </c>
      <c r="B763" t="inlineStr">
        <is>
          <t>XAUUSD</t>
        </is>
      </c>
      <c r="C763" t="inlineStr">
        <is>
          <t>M15</t>
        </is>
      </c>
      <c r="D763" t="n">
        <v>4596.42</v>
      </c>
      <c r="E763" t="n">
        <v>4518.59282</v>
      </c>
      <c r="F763" t="n">
        <v>4596.05595</v>
      </c>
      <c r="G763" t="n">
        <v>4755.40355</v>
      </c>
      <c r="H763" t="n">
        <v>4792.76972</v>
      </c>
      <c r="Q763" t="n">
        <v>4613.99102</v>
      </c>
      <c r="R763" t="n">
        <v>4643.35432</v>
      </c>
      <c r="S763" t="n">
        <v>4669.94309</v>
      </c>
      <c r="V763" t="n">
        <v>4579.05125</v>
      </c>
      <c r="W763" t="n">
        <v>4545.48625</v>
      </c>
      <c r="AB763" t="n">
        <v>4593.97795</v>
      </c>
      <c r="AC763" t="n">
        <v>4594.57</v>
      </c>
      <c r="AD763" t="n">
        <v>0</v>
      </c>
      <c r="AE763">
        <f>AE762+1</f>
        <v/>
      </c>
      <c r="AF763">
        <f>AF762+1</f>
        <v/>
      </c>
      <c r="AG763">
        <f>D763-Q763</f>
        <v/>
      </c>
      <c r="AH763">
        <f>AG763^2</f>
        <v/>
      </c>
      <c r="AI763">
        <f>(AG763/STDEV($AG$3:$AG$1137))^3</f>
        <v/>
      </c>
      <c r="AJ763">
        <f>(AG763/STDEV($AG$3:$AG$1137))^4</f>
        <v/>
      </c>
      <c r="AK763">
        <f>AF763^2</f>
        <v/>
      </c>
      <c r="AL763">
        <f>IF(AD763=1,AB763,IF(AL762&lt;&gt;"",AL762,""))</f>
        <v/>
      </c>
      <c r="AM763">
        <f>IF(AND(AD763=1,AL762&lt;&gt;""),ABS(AB763-AL762),"")</f>
        <v/>
      </c>
    </row>
    <row r="764">
      <c r="A764" t="n">
        <v>1777414502</v>
      </c>
      <c r="B764" t="inlineStr">
        <is>
          <t>XAUUSD</t>
        </is>
      </c>
      <c r="C764" t="inlineStr">
        <is>
          <t>M15</t>
        </is>
      </c>
      <c r="D764" t="n">
        <v>4595.82</v>
      </c>
      <c r="E764" t="n">
        <v>4518.59282</v>
      </c>
      <c r="F764" t="n">
        <v>4596.05595</v>
      </c>
      <c r="G764" t="n">
        <v>4755.40355</v>
      </c>
      <c r="H764" t="n">
        <v>4792.76972</v>
      </c>
      <c r="Q764" t="n">
        <v>4613.72342</v>
      </c>
      <c r="R764" t="n">
        <v>4643.08671</v>
      </c>
      <c r="S764" t="n">
        <v>4669.67548</v>
      </c>
      <c r="V764" t="n">
        <v>4578.78364</v>
      </c>
      <c r="W764" t="n">
        <v>4545.21865</v>
      </c>
      <c r="AB764" t="n">
        <v>4593.46927</v>
      </c>
      <c r="AC764" t="n">
        <v>4594.01963</v>
      </c>
      <c r="AD764" t="n">
        <v>0</v>
      </c>
      <c r="AE764">
        <f>AE763+1</f>
        <v/>
      </c>
      <c r="AF764">
        <f>AF763+1</f>
        <v/>
      </c>
      <c r="AG764">
        <f>D764-Q764</f>
        <v/>
      </c>
      <c r="AH764">
        <f>AG764^2</f>
        <v/>
      </c>
      <c r="AI764">
        <f>(AG764/STDEV($AG$3:$AG$1137))^3</f>
        <v/>
      </c>
      <c r="AJ764">
        <f>(AG764/STDEV($AG$3:$AG$1137))^4</f>
        <v/>
      </c>
      <c r="AK764">
        <f>AF764^2</f>
        <v/>
      </c>
      <c r="AL764">
        <f>IF(AD764=1,AB764,IF(AL763&lt;&gt;"",AL763,""))</f>
        <v/>
      </c>
      <c r="AM764">
        <f>IF(AND(AD764=1,AL763&lt;&gt;""),ABS(AB764-AL763),"")</f>
        <v/>
      </c>
    </row>
    <row r="765">
      <c r="A765" t="n">
        <v>1777415402</v>
      </c>
      <c r="B765" t="inlineStr">
        <is>
          <t>XAUUSD</t>
        </is>
      </c>
      <c r="C765" t="inlineStr">
        <is>
          <t>M15</t>
        </is>
      </c>
      <c r="D765" t="n">
        <v>4593.71</v>
      </c>
      <c r="E765" t="n">
        <v>4518.59282</v>
      </c>
      <c r="F765" t="n">
        <v>4596.05595</v>
      </c>
      <c r="G765" t="n">
        <v>4755.40355</v>
      </c>
      <c r="H765" t="n">
        <v>4792.76972</v>
      </c>
      <c r="Q765" t="n">
        <v>4613.45581</v>
      </c>
      <c r="R765" t="n">
        <v>4642.81911</v>
      </c>
      <c r="S765" t="n">
        <v>4669.40788</v>
      </c>
      <c r="V765" t="n">
        <v>4578.51604</v>
      </c>
      <c r="W765" t="n">
        <v>4544.95104</v>
      </c>
      <c r="AB765" t="n">
        <v>4593.25757</v>
      </c>
      <c r="AC765" t="n">
        <v>4593.6386</v>
      </c>
      <c r="AD765" t="n">
        <v>0</v>
      </c>
      <c r="AE765">
        <f>AE764+1</f>
        <v/>
      </c>
      <c r="AF765">
        <f>AF764+1</f>
        <v/>
      </c>
      <c r="AG765">
        <f>D765-Q765</f>
        <v/>
      </c>
      <c r="AH765">
        <f>AG765^2</f>
        <v/>
      </c>
      <c r="AI765">
        <f>(AG765/STDEV($AG$3:$AG$1137))^3</f>
        <v/>
      </c>
      <c r="AJ765">
        <f>(AG765/STDEV($AG$3:$AG$1137))^4</f>
        <v/>
      </c>
      <c r="AK765">
        <f>AF765^2</f>
        <v/>
      </c>
      <c r="AL765">
        <f>IF(AD765=1,AB765,IF(AL764&lt;&gt;"",AL764,""))</f>
        <v/>
      </c>
      <c r="AM765">
        <f>IF(AND(AD765=1,AL764&lt;&gt;""),ABS(AB765-AL764),"")</f>
        <v/>
      </c>
    </row>
    <row r="766">
      <c r="A766" t="n">
        <v>1777416302</v>
      </c>
      <c r="B766" t="inlineStr">
        <is>
          <t>XAUUSD</t>
        </is>
      </c>
      <c r="C766" t="inlineStr">
        <is>
          <t>M15</t>
        </is>
      </c>
      <c r="D766" t="n">
        <v>4594.16</v>
      </c>
      <c r="E766" t="n">
        <v>4518.59282</v>
      </c>
      <c r="F766" t="n">
        <v>4596.05595</v>
      </c>
      <c r="G766" t="n">
        <v>4755.40355</v>
      </c>
      <c r="H766" t="n">
        <v>4792.76972</v>
      </c>
      <c r="Q766" t="n">
        <v>4613.18821</v>
      </c>
      <c r="R766" t="n">
        <v>4642.55151</v>
      </c>
      <c r="S766" t="n">
        <v>4669.14028</v>
      </c>
      <c r="V766" t="n">
        <v>4578.24844</v>
      </c>
      <c r="W766" t="n">
        <v>4544.68344</v>
      </c>
      <c r="AB766" t="n">
        <v>4593.50157</v>
      </c>
      <c r="AC766" t="n">
        <v>4593.57009</v>
      </c>
      <c r="AD766" t="n">
        <v>0</v>
      </c>
      <c r="AE766">
        <f>AE765+1</f>
        <v/>
      </c>
      <c r="AF766">
        <f>AF765+1</f>
        <v/>
      </c>
      <c r="AG766">
        <f>D766-Q766</f>
        <v/>
      </c>
      <c r="AH766">
        <f>AG766^2</f>
        <v/>
      </c>
      <c r="AI766">
        <f>(AG766/STDEV($AG$3:$AG$1137))^3</f>
        <v/>
      </c>
      <c r="AJ766">
        <f>(AG766/STDEV($AG$3:$AG$1137))^4</f>
        <v/>
      </c>
      <c r="AK766">
        <f>AF766^2</f>
        <v/>
      </c>
      <c r="AL766">
        <f>IF(AD766=1,AB766,IF(AL765&lt;&gt;"",AL765,""))</f>
        <v/>
      </c>
      <c r="AM766">
        <f>IF(AND(AD766=1,AL765&lt;&gt;""),ABS(AB766-AL765),"")</f>
        <v/>
      </c>
    </row>
    <row r="767">
      <c r="A767" t="n">
        <v>1777417202</v>
      </c>
      <c r="B767" t="inlineStr">
        <is>
          <t>XAUUSD</t>
        </is>
      </c>
      <c r="C767" t="inlineStr">
        <is>
          <t>M15</t>
        </is>
      </c>
      <c r="D767" t="n">
        <v>4590.84</v>
      </c>
      <c r="E767" t="n">
        <v>4518.59282</v>
      </c>
      <c r="F767" t="n">
        <v>4596.05595</v>
      </c>
      <c r="G767" t="n">
        <v>4755.40355</v>
      </c>
      <c r="H767" t="n">
        <v>4792.76972</v>
      </c>
      <c r="Q767" t="n">
        <v>4612.9206</v>
      </c>
      <c r="R767" t="n">
        <v>4642.2839</v>
      </c>
      <c r="S767" t="n">
        <v>4668.87267</v>
      </c>
      <c r="V767" t="n">
        <v>4577.98083</v>
      </c>
      <c r="W767" t="n">
        <v>4544.41584</v>
      </c>
      <c r="AB767" t="n">
        <v>4594.17653</v>
      </c>
      <c r="AC767" t="n">
        <v>4593.87331</v>
      </c>
      <c r="AD767" t="n">
        <v>1</v>
      </c>
      <c r="AE767">
        <f>AE766+1</f>
        <v/>
      </c>
      <c r="AF767">
        <f>AF766+1</f>
        <v/>
      </c>
      <c r="AG767">
        <f>D767-Q767</f>
        <v/>
      </c>
      <c r="AH767">
        <f>AG767^2</f>
        <v/>
      </c>
      <c r="AI767">
        <f>(AG767/STDEV($AG$3:$AG$1137))^3</f>
        <v/>
      </c>
      <c r="AJ767">
        <f>(AG767/STDEV($AG$3:$AG$1137))^4</f>
        <v/>
      </c>
      <c r="AK767">
        <f>AF767^2</f>
        <v/>
      </c>
      <c r="AL767">
        <f>IF(AD767=1,AB767,IF(AL766&lt;&gt;"",AL766,""))</f>
        <v/>
      </c>
      <c r="AM767">
        <f>IF(AND(AD767=1,AL766&lt;&gt;""),ABS(AB767-AL766),"")</f>
        <v/>
      </c>
    </row>
    <row r="768">
      <c r="A768" t="n">
        <v>1777418102</v>
      </c>
      <c r="B768" t="inlineStr">
        <is>
          <t>XAUUSD</t>
        </is>
      </c>
      <c r="C768" t="inlineStr">
        <is>
          <t>M15</t>
        </is>
      </c>
      <c r="D768" t="n">
        <v>4592.2</v>
      </c>
      <c r="E768" t="n">
        <v>4518.59282</v>
      </c>
      <c r="F768" t="n">
        <v>4596.05595</v>
      </c>
      <c r="G768" t="n">
        <v>4755.40355</v>
      </c>
      <c r="H768" t="n">
        <v>4792.76972</v>
      </c>
      <c r="Q768" t="n">
        <v>4612.653</v>
      </c>
      <c r="R768" t="n">
        <v>4642.0163</v>
      </c>
      <c r="S768" t="n">
        <v>4668.60507</v>
      </c>
      <c r="V768" t="n">
        <v>4577.71323</v>
      </c>
      <c r="W768" t="n">
        <v>4544.14823</v>
      </c>
      <c r="AB768" t="n">
        <v>4595.25788</v>
      </c>
      <c r="AC768" t="n">
        <v>4594.56559</v>
      </c>
      <c r="AD768" t="n">
        <v>0</v>
      </c>
      <c r="AE768">
        <f>AE767+1</f>
        <v/>
      </c>
      <c r="AF768">
        <f>AF767+1</f>
        <v/>
      </c>
      <c r="AG768">
        <f>D768-Q768</f>
        <v/>
      </c>
      <c r="AH768">
        <f>AG768^2</f>
        <v/>
      </c>
      <c r="AI768">
        <f>(AG768/STDEV($AG$3:$AG$1137))^3</f>
        <v/>
      </c>
      <c r="AJ768">
        <f>(AG768/STDEV($AG$3:$AG$1137))^4</f>
        <v/>
      </c>
      <c r="AK768">
        <f>AF768^2</f>
        <v/>
      </c>
      <c r="AL768">
        <f>IF(AD768=1,AB768,IF(AL767&lt;&gt;"",AL767,""))</f>
        <v/>
      </c>
      <c r="AM768">
        <f>IF(AND(AD768=1,AL767&lt;&gt;""),ABS(AB768-AL767),"")</f>
        <v/>
      </c>
    </row>
    <row r="769">
      <c r="A769" t="n">
        <v>1777419002</v>
      </c>
      <c r="B769" t="inlineStr">
        <is>
          <t>XAUUSD</t>
        </is>
      </c>
      <c r="C769" t="inlineStr">
        <is>
          <t>M15</t>
        </is>
      </c>
      <c r="D769" t="n">
        <v>4589.91</v>
      </c>
      <c r="E769" t="n">
        <v>4518.59282</v>
      </c>
      <c r="F769" t="n">
        <v>4596.05595</v>
      </c>
      <c r="G769" t="n">
        <v>4755.40355</v>
      </c>
      <c r="H769" t="n">
        <v>4792.76972</v>
      </c>
      <c r="Q769" t="n">
        <v>4612.38539</v>
      </c>
      <c r="R769" t="n">
        <v>4641.74869</v>
      </c>
      <c r="S769" t="n">
        <v>4668.33746</v>
      </c>
      <c r="V769" t="n">
        <v>4577.44562</v>
      </c>
      <c r="W769" t="n">
        <v>4543.88063</v>
      </c>
      <c r="AB769" t="n">
        <v>4596.45968</v>
      </c>
      <c r="AC769" t="n">
        <v>4595.51264</v>
      </c>
      <c r="AD769" t="n">
        <v>0</v>
      </c>
      <c r="AE769">
        <f>AE768+1</f>
        <v/>
      </c>
      <c r="AF769">
        <f>AF768+1</f>
        <v/>
      </c>
      <c r="AG769">
        <f>D769-Q769</f>
        <v/>
      </c>
      <c r="AH769">
        <f>AG769^2</f>
        <v/>
      </c>
      <c r="AI769">
        <f>(AG769/STDEV($AG$3:$AG$1137))^3</f>
        <v/>
      </c>
      <c r="AJ769">
        <f>(AG769/STDEV($AG$3:$AG$1137))^4</f>
        <v/>
      </c>
      <c r="AK769">
        <f>AF769^2</f>
        <v/>
      </c>
      <c r="AL769">
        <f>IF(AD769=1,AB769,IF(AL768&lt;&gt;"",AL768,""))</f>
        <v/>
      </c>
      <c r="AM769">
        <f>IF(AND(AD769=1,AL768&lt;&gt;""),ABS(AB769-AL768),"")</f>
        <v/>
      </c>
    </row>
    <row r="770">
      <c r="A770" t="n">
        <v>1777419902</v>
      </c>
      <c r="B770" t="inlineStr">
        <is>
          <t>XAUUSD</t>
        </is>
      </c>
      <c r="C770" t="inlineStr">
        <is>
          <t>M15</t>
        </is>
      </c>
      <c r="D770" t="n">
        <v>4595.51</v>
      </c>
      <c r="E770" t="n">
        <v>4518.59282</v>
      </c>
      <c r="F770" t="n">
        <v>4596.05595</v>
      </c>
      <c r="G770" t="n">
        <v>4755.40355</v>
      </c>
      <c r="H770" t="n">
        <v>4792.76972</v>
      </c>
      <c r="Q770" t="n">
        <v>4612.11779</v>
      </c>
      <c r="R770" t="n">
        <v>4641.48109</v>
      </c>
      <c r="S770" t="n">
        <v>4668.06986</v>
      </c>
      <c r="V770" t="n">
        <v>4577.17802</v>
      </c>
      <c r="W770" t="n">
        <v>4543.61302</v>
      </c>
      <c r="AB770" t="n">
        <v>4597.5665</v>
      </c>
      <c r="AC770" t="n">
        <v>4596.53957</v>
      </c>
      <c r="AD770" t="n">
        <v>0</v>
      </c>
      <c r="AE770">
        <f>AE769+1</f>
        <v/>
      </c>
      <c r="AF770">
        <f>AF769+1</f>
        <v/>
      </c>
      <c r="AG770">
        <f>D770-Q770</f>
        <v/>
      </c>
      <c r="AH770">
        <f>AG770^2</f>
        <v/>
      </c>
      <c r="AI770">
        <f>(AG770/STDEV($AG$3:$AG$1137))^3</f>
        <v/>
      </c>
      <c r="AJ770">
        <f>(AG770/STDEV($AG$3:$AG$1137))^4</f>
        <v/>
      </c>
      <c r="AK770">
        <f>AF770^2</f>
        <v/>
      </c>
      <c r="AL770">
        <f>IF(AD770=1,AB770,IF(AL769&lt;&gt;"",AL769,""))</f>
        <v/>
      </c>
      <c r="AM770">
        <f>IF(AND(AD770=1,AL769&lt;&gt;""),ABS(AB770-AL769),"")</f>
        <v/>
      </c>
    </row>
    <row r="771">
      <c r="A771" t="n">
        <v>1777420802</v>
      </c>
      <c r="B771" t="inlineStr">
        <is>
          <t>XAUUSD</t>
        </is>
      </c>
      <c r="C771" t="inlineStr">
        <is>
          <t>M15</t>
        </is>
      </c>
      <c r="D771" t="n">
        <v>4607.37</v>
      </c>
      <c r="E771" t="n">
        <v>4518.59282</v>
      </c>
      <c r="F771" t="n">
        <v>4596.05595</v>
      </c>
      <c r="G771" t="n">
        <v>4755.40355</v>
      </c>
      <c r="H771" t="n">
        <v>4792.76972</v>
      </c>
      <c r="Q771" t="n">
        <v>4611.85019</v>
      </c>
      <c r="R771" t="n">
        <v>4641.21349</v>
      </c>
      <c r="S771" t="n">
        <v>4667.80226</v>
      </c>
      <c r="V771" t="n">
        <v>4576.91042</v>
      </c>
      <c r="W771" t="n">
        <v>4543.34542</v>
      </c>
      <c r="Z771" t="n">
        <v>4610.15</v>
      </c>
      <c r="AB771" t="n">
        <v>4598.14045</v>
      </c>
      <c r="AC771" t="n">
        <v>4597.34001</v>
      </c>
      <c r="AD771" t="n">
        <v>0</v>
      </c>
      <c r="AE771">
        <f>AE770+1</f>
        <v/>
      </c>
      <c r="AF771">
        <f>AF770+1</f>
        <v/>
      </c>
      <c r="AG771">
        <f>D771-Q771</f>
        <v/>
      </c>
      <c r="AH771">
        <f>AG771^2</f>
        <v/>
      </c>
      <c r="AI771">
        <f>(AG771/STDEV($AG$3:$AG$1137))^3</f>
        <v/>
      </c>
      <c r="AJ771">
        <f>(AG771/STDEV($AG$3:$AG$1137))^4</f>
        <v/>
      </c>
      <c r="AK771">
        <f>AF771^2</f>
        <v/>
      </c>
      <c r="AL771">
        <f>IF(AD771=1,AB771,IF(AL770&lt;&gt;"",AL770,""))</f>
        <v/>
      </c>
      <c r="AM771">
        <f>IF(AND(AD771=1,AL770&lt;&gt;""),ABS(AB771-AL770),"")</f>
        <v/>
      </c>
    </row>
    <row r="772">
      <c r="A772" t="n">
        <v>1777421702</v>
      </c>
      <c r="B772" t="inlineStr">
        <is>
          <t>XAUUSD</t>
        </is>
      </c>
      <c r="C772" t="inlineStr">
        <is>
          <t>M15</t>
        </is>
      </c>
      <c r="D772" t="n">
        <v>4600.13</v>
      </c>
      <c r="E772" t="n">
        <v>4518.59282</v>
      </c>
      <c r="F772" t="n">
        <v>4596.05595</v>
      </c>
      <c r="G772" t="n">
        <v>4755.40355</v>
      </c>
      <c r="H772" t="n">
        <v>4792.76972</v>
      </c>
      <c r="Q772" t="n">
        <v>4611.58258</v>
      </c>
      <c r="R772" t="n">
        <v>4640.94588</v>
      </c>
      <c r="S772" t="n">
        <v>4667.53465</v>
      </c>
      <c r="V772" t="n">
        <v>4576.64281</v>
      </c>
      <c r="W772" t="n">
        <v>4543.07782</v>
      </c>
      <c r="AB772" t="n">
        <v>4597.69103</v>
      </c>
      <c r="AC772" t="n">
        <v>4597.51552</v>
      </c>
      <c r="AD772" t="n">
        <v>0</v>
      </c>
      <c r="AE772">
        <f>AE771+1</f>
        <v/>
      </c>
      <c r="AF772">
        <f>AF771+1</f>
        <v/>
      </c>
      <c r="AG772">
        <f>D772-Q772</f>
        <v/>
      </c>
      <c r="AH772">
        <f>AG772^2</f>
        <v/>
      </c>
      <c r="AI772">
        <f>(AG772/STDEV($AG$3:$AG$1137))^3</f>
        <v/>
      </c>
      <c r="AJ772">
        <f>(AG772/STDEV($AG$3:$AG$1137))^4</f>
        <v/>
      </c>
      <c r="AK772">
        <f>AF772^2</f>
        <v/>
      </c>
      <c r="AL772">
        <f>IF(AD772=1,AB772,IF(AL771&lt;&gt;"",AL771,""))</f>
        <v/>
      </c>
      <c r="AM772">
        <f>IF(AND(AD772=1,AL771&lt;&gt;""),ABS(AB772-AL771),"")</f>
        <v/>
      </c>
    </row>
    <row r="773">
      <c r="A773" t="n">
        <v>1777422602</v>
      </c>
      <c r="B773" t="inlineStr">
        <is>
          <t>XAUUSD</t>
        </is>
      </c>
      <c r="C773" t="inlineStr">
        <is>
          <t>M15</t>
        </is>
      </c>
      <c r="D773" t="n">
        <v>4603.88</v>
      </c>
      <c r="E773" t="n">
        <v>4518.59282</v>
      </c>
      <c r="F773" t="n">
        <v>4596.05595</v>
      </c>
      <c r="G773" t="n">
        <v>4755.40355</v>
      </c>
      <c r="H773" t="n">
        <v>4792.76972</v>
      </c>
      <c r="Q773" t="n">
        <v>4611.31498</v>
      </c>
      <c r="R773" t="n">
        <v>4640.67828</v>
      </c>
      <c r="S773" t="n">
        <v>4667.26705</v>
      </c>
      <c r="V773" t="n">
        <v>4576.37521</v>
      </c>
      <c r="W773" t="n">
        <v>4542.81021</v>
      </c>
      <c r="AB773" t="n">
        <v>4596.43241</v>
      </c>
      <c r="AC773" t="n">
        <v>4596.97397</v>
      </c>
      <c r="AD773" t="n">
        <v>1</v>
      </c>
      <c r="AE773">
        <f>AE772+1</f>
        <v/>
      </c>
      <c r="AF773">
        <f>AF772+1</f>
        <v/>
      </c>
      <c r="AG773">
        <f>D773-Q773</f>
        <v/>
      </c>
      <c r="AH773">
        <f>AG773^2</f>
        <v/>
      </c>
      <c r="AI773">
        <f>(AG773/STDEV($AG$3:$AG$1137))^3</f>
        <v/>
      </c>
      <c r="AJ773">
        <f>(AG773/STDEV($AG$3:$AG$1137))^4</f>
        <v/>
      </c>
      <c r="AK773">
        <f>AF773^2</f>
        <v/>
      </c>
      <c r="AL773">
        <f>IF(AD773=1,AB773,IF(AL772&lt;&gt;"",AL772,""))</f>
        <v/>
      </c>
      <c r="AM773">
        <f>IF(AND(AD773=1,AL772&lt;&gt;""),ABS(AB773-AL772),"")</f>
        <v/>
      </c>
    </row>
    <row r="774">
      <c r="A774" t="n">
        <v>1777423502</v>
      </c>
      <c r="B774" t="inlineStr">
        <is>
          <t>XAUUSD</t>
        </is>
      </c>
      <c r="C774" t="inlineStr">
        <is>
          <t>M15</t>
        </is>
      </c>
      <c r="D774" t="n">
        <v>4600.27</v>
      </c>
      <c r="E774" t="n">
        <v>4518.59282</v>
      </c>
      <c r="F774" t="n">
        <v>4596.05595</v>
      </c>
      <c r="G774" t="n">
        <v>4755.40355</v>
      </c>
      <c r="H774" t="n">
        <v>4792.76972</v>
      </c>
      <c r="Q774" t="n">
        <v>4611.04737</v>
      </c>
      <c r="R774" t="n">
        <v>4640.41067</v>
      </c>
      <c r="S774" t="n">
        <v>4666.99944</v>
      </c>
      <c r="V774" t="n">
        <v>4576.1076</v>
      </c>
      <c r="W774" t="n">
        <v>4542.54261</v>
      </c>
      <c r="AB774" t="n">
        <v>4594.49663</v>
      </c>
      <c r="AC774" t="n">
        <v>4595.7353</v>
      </c>
      <c r="AD774" t="n">
        <v>0</v>
      </c>
      <c r="AE774">
        <f>AE773+1</f>
        <v/>
      </c>
      <c r="AF774">
        <f>AF773+1</f>
        <v/>
      </c>
      <c r="AG774">
        <f>D774-Q774</f>
        <v/>
      </c>
      <c r="AH774">
        <f>AG774^2</f>
        <v/>
      </c>
      <c r="AI774">
        <f>(AG774/STDEV($AG$3:$AG$1137))^3</f>
        <v/>
      </c>
      <c r="AJ774">
        <f>(AG774/STDEV($AG$3:$AG$1137))^4</f>
        <v/>
      </c>
      <c r="AK774">
        <f>AF774^2</f>
        <v/>
      </c>
      <c r="AL774">
        <f>IF(AD774=1,AB774,IF(AL773&lt;&gt;"",AL773,""))</f>
        <v/>
      </c>
      <c r="AM774">
        <f>IF(AND(AD774=1,AL773&lt;&gt;""),ABS(AB774-AL773),"")</f>
        <v/>
      </c>
    </row>
    <row r="775">
      <c r="A775" t="n">
        <v>1777424402</v>
      </c>
      <c r="B775" t="inlineStr">
        <is>
          <t>XAUUSD</t>
        </is>
      </c>
      <c r="C775" t="inlineStr">
        <is>
          <t>M15</t>
        </is>
      </c>
      <c r="D775" t="n">
        <v>4582.65</v>
      </c>
      <c r="E775" t="n">
        <v>4518.59282</v>
      </c>
      <c r="F775" t="n">
        <v>4596.05595</v>
      </c>
      <c r="G775" t="n">
        <v>4755.40355</v>
      </c>
      <c r="H775" t="n">
        <v>4792.76972</v>
      </c>
      <c r="Q775" t="n">
        <v>4610.77977</v>
      </c>
      <c r="R775" t="n">
        <v>4640.14307</v>
      </c>
      <c r="S775" t="n">
        <v>4666.73184</v>
      </c>
      <c r="V775" t="n">
        <v>4575.84</v>
      </c>
      <c r="W775" t="n">
        <v>4542.275</v>
      </c>
      <c r="AA775" t="n">
        <v>4575.84</v>
      </c>
      <c r="AB775" t="n">
        <v>4592.36752</v>
      </c>
      <c r="AC775" t="n">
        <v>4594.05141</v>
      </c>
      <c r="AD775" t="n">
        <v>0</v>
      </c>
      <c r="AE775">
        <f>AE774+1</f>
        <v/>
      </c>
      <c r="AF775">
        <f>AF774+1</f>
        <v/>
      </c>
      <c r="AG775">
        <f>D775-Q775</f>
        <v/>
      </c>
      <c r="AH775">
        <f>AG775^2</f>
        <v/>
      </c>
      <c r="AI775">
        <f>(AG775/STDEV($AG$3:$AG$1137))^3</f>
        <v/>
      </c>
      <c r="AJ775">
        <f>(AG775/STDEV($AG$3:$AG$1137))^4</f>
        <v/>
      </c>
      <c r="AK775">
        <f>AF775^2</f>
        <v/>
      </c>
      <c r="AL775">
        <f>IF(AD775=1,AB775,IF(AL774&lt;&gt;"",AL774,""))</f>
        <v/>
      </c>
      <c r="AM775">
        <f>IF(AND(AD775=1,AL774&lt;&gt;""),ABS(AB775-AL774),"")</f>
        <v/>
      </c>
    </row>
    <row r="776">
      <c r="A776" t="n">
        <v>1777425302</v>
      </c>
      <c r="B776" t="inlineStr">
        <is>
          <t>XAUUSD</t>
        </is>
      </c>
      <c r="C776" t="inlineStr">
        <is>
          <t>M15</t>
        </is>
      </c>
      <c r="D776" t="n">
        <v>4580.48</v>
      </c>
      <c r="E776" t="n">
        <v>4518.59282</v>
      </c>
      <c r="F776" t="n">
        <v>4596.05595</v>
      </c>
      <c r="G776" t="n">
        <v>4755.40355</v>
      </c>
      <c r="H776" t="n">
        <v>4792.76972</v>
      </c>
      <c r="Q776" t="n">
        <v>4610.51217</v>
      </c>
      <c r="R776" t="n">
        <v>4639.87546</v>
      </c>
      <c r="S776" t="n">
        <v>4666.46424</v>
      </c>
      <c r="V776" t="n">
        <v>4575.5724</v>
      </c>
      <c r="W776" t="n">
        <v>4542.0074</v>
      </c>
      <c r="AB776" t="n">
        <v>4590.93542</v>
      </c>
      <c r="AC776" t="n">
        <v>4592.49341</v>
      </c>
      <c r="AD776" t="n">
        <v>0</v>
      </c>
      <c r="AE776">
        <f>AE775+1</f>
        <v/>
      </c>
      <c r="AF776">
        <f>AF775+1</f>
        <v/>
      </c>
      <c r="AG776">
        <f>D776-Q776</f>
        <v/>
      </c>
      <c r="AH776">
        <f>AG776^2</f>
        <v/>
      </c>
      <c r="AI776">
        <f>(AG776/STDEV($AG$3:$AG$1137))^3</f>
        <v/>
      </c>
      <c r="AJ776">
        <f>(AG776/STDEV($AG$3:$AG$1137))^4</f>
        <v/>
      </c>
      <c r="AK776">
        <f>AF776^2</f>
        <v/>
      </c>
      <c r="AL776">
        <f>IF(AD776=1,AB776,IF(AL775&lt;&gt;"",AL775,""))</f>
        <v/>
      </c>
      <c r="AM776">
        <f>IF(AND(AD776=1,AL775&lt;&gt;""),ABS(AB776-AL775),"")</f>
        <v/>
      </c>
    </row>
    <row r="777">
      <c r="A777" t="n">
        <v>1777426202</v>
      </c>
      <c r="B777" t="inlineStr">
        <is>
          <t>XAUUSD</t>
        </is>
      </c>
      <c r="C777" t="inlineStr">
        <is>
          <t>M15</t>
        </is>
      </c>
      <c r="D777" t="n">
        <v>4590.56</v>
      </c>
      <c r="E777" t="n">
        <v>4518.59282</v>
      </c>
      <c r="F777" t="n">
        <v>4596.05595</v>
      </c>
      <c r="G777" t="n">
        <v>4755.40355</v>
      </c>
      <c r="H777" t="n">
        <v>4792.76972</v>
      </c>
      <c r="Q777" t="n">
        <v>4610.24456</v>
      </c>
      <c r="R777" t="n">
        <v>4639.60786</v>
      </c>
      <c r="S777" t="n">
        <v>4666.19663</v>
      </c>
      <c r="V777" t="n">
        <v>4575.30479</v>
      </c>
      <c r="W777" t="n">
        <v>4541.7398</v>
      </c>
      <c r="AB777" t="n">
        <v>4590.52418</v>
      </c>
      <c r="AC777" t="n">
        <v>4591.5088</v>
      </c>
      <c r="AD777" t="n">
        <v>0</v>
      </c>
      <c r="AE777">
        <f>AE776+1</f>
        <v/>
      </c>
      <c r="AF777">
        <f>AF776+1</f>
        <v/>
      </c>
      <c r="AG777">
        <f>D777-Q777</f>
        <v/>
      </c>
      <c r="AH777">
        <f>AG777^2</f>
        <v/>
      </c>
      <c r="AI777">
        <f>(AG777/STDEV($AG$3:$AG$1137))^3</f>
        <v/>
      </c>
      <c r="AJ777">
        <f>(AG777/STDEV($AG$3:$AG$1137))^4</f>
        <v/>
      </c>
      <c r="AK777">
        <f>AF777^2</f>
        <v/>
      </c>
      <c r="AL777">
        <f>IF(AD777=1,AB777,IF(AL776&lt;&gt;"",AL776,""))</f>
        <v/>
      </c>
      <c r="AM777">
        <f>IF(AND(AD777=1,AL776&lt;&gt;""),ABS(AB777-AL776),"")</f>
        <v/>
      </c>
    </row>
    <row r="778">
      <c r="A778" t="n">
        <v>1777427102</v>
      </c>
      <c r="B778" t="inlineStr">
        <is>
          <t>XAUUSD</t>
        </is>
      </c>
      <c r="C778" t="inlineStr">
        <is>
          <t>M15</t>
        </is>
      </c>
      <c r="D778" t="n">
        <v>4584.98</v>
      </c>
      <c r="E778" t="n">
        <v>4518.59282</v>
      </c>
      <c r="F778" t="n">
        <v>4596.05595</v>
      </c>
      <c r="G778" t="n">
        <v>4755.40355</v>
      </c>
      <c r="H778" t="n">
        <v>4792.76972</v>
      </c>
      <c r="Q778" t="n">
        <v>4609.97696</v>
      </c>
      <c r="R778" t="n">
        <v>4639.34026</v>
      </c>
      <c r="S778" t="n">
        <v>4665.92903</v>
      </c>
      <c r="V778" t="n">
        <v>4575.03719</v>
      </c>
      <c r="W778" t="n">
        <v>4541.47219</v>
      </c>
      <c r="AB778" t="n">
        <v>4590.93588</v>
      </c>
      <c r="AC778" t="n">
        <v>4591.22234</v>
      </c>
      <c r="AD778" t="n">
        <v>0</v>
      </c>
      <c r="AE778">
        <f>AE777+1</f>
        <v/>
      </c>
      <c r="AF778">
        <f>AF777+1</f>
        <v/>
      </c>
      <c r="AG778">
        <f>D778-Q778</f>
        <v/>
      </c>
      <c r="AH778">
        <f>AG778^2</f>
        <v/>
      </c>
      <c r="AI778">
        <f>(AG778/STDEV($AG$3:$AG$1137))^3</f>
        <v/>
      </c>
      <c r="AJ778">
        <f>(AG778/STDEV($AG$3:$AG$1137))^4</f>
        <v/>
      </c>
      <c r="AK778">
        <f>AF778^2</f>
        <v/>
      </c>
      <c r="AL778">
        <f>IF(AD778=1,AB778,IF(AL777&lt;&gt;"",AL777,""))</f>
        <v/>
      </c>
      <c r="AM778">
        <f>IF(AND(AD778=1,AL777&lt;&gt;""),ABS(AB778-AL777),"")</f>
        <v/>
      </c>
    </row>
    <row r="779">
      <c r="A779" t="n">
        <v>1777428002</v>
      </c>
      <c r="B779" t="inlineStr">
        <is>
          <t>XAUUSD</t>
        </is>
      </c>
      <c r="C779" t="inlineStr">
        <is>
          <t>M15</t>
        </is>
      </c>
      <c r="D779" t="n">
        <v>4600.87</v>
      </c>
      <c r="E779" t="n">
        <v>4518.59282</v>
      </c>
      <c r="F779" t="n">
        <v>4596.05595</v>
      </c>
      <c r="G779" t="n">
        <v>4755.40355</v>
      </c>
      <c r="H779" t="n">
        <v>4792.76972</v>
      </c>
      <c r="Q779" t="n">
        <v>4609.70935</v>
      </c>
      <c r="R779" t="n">
        <v>4639.07265</v>
      </c>
      <c r="S779" t="n">
        <v>4665.66142</v>
      </c>
      <c r="V779" t="n">
        <v>4574.76958</v>
      </c>
      <c r="W779" t="n">
        <v>4541.20459</v>
      </c>
      <c r="AB779" t="n">
        <v>4592.23227</v>
      </c>
      <c r="AC779" t="n">
        <v>4591.7273</v>
      </c>
      <c r="AD779" t="n">
        <v>1</v>
      </c>
      <c r="AE779">
        <f>AE778+1</f>
        <v/>
      </c>
      <c r="AF779">
        <f>AF778+1</f>
        <v/>
      </c>
      <c r="AG779">
        <f>D779-Q779</f>
        <v/>
      </c>
      <c r="AH779">
        <f>AG779^2</f>
        <v/>
      </c>
      <c r="AI779">
        <f>(AG779/STDEV($AG$3:$AG$1137))^3</f>
        <v/>
      </c>
      <c r="AJ779">
        <f>(AG779/STDEV($AG$3:$AG$1137))^4</f>
        <v/>
      </c>
      <c r="AK779">
        <f>AF779^2</f>
        <v/>
      </c>
      <c r="AL779">
        <f>IF(AD779=1,AB779,IF(AL778&lt;&gt;"",AL778,""))</f>
        <v/>
      </c>
      <c r="AM779">
        <f>IF(AND(AD779=1,AL778&lt;&gt;""),ABS(AB779-AL778),"")</f>
        <v/>
      </c>
    </row>
    <row r="780">
      <c r="A780" t="n">
        <v>1777428902</v>
      </c>
      <c r="B780" t="inlineStr">
        <is>
          <t>XAUUSD</t>
        </is>
      </c>
      <c r="C780" t="inlineStr">
        <is>
          <t>M15</t>
        </is>
      </c>
      <c r="D780" t="n">
        <v>4598.93</v>
      </c>
      <c r="E780" t="n">
        <v>4518.59282</v>
      </c>
      <c r="F780" t="n">
        <v>4596.05595</v>
      </c>
      <c r="G780" t="n">
        <v>4755.40355</v>
      </c>
      <c r="H780" t="n">
        <v>4792.76972</v>
      </c>
      <c r="Q780" t="n">
        <v>4609.44175</v>
      </c>
      <c r="R780" t="n">
        <v>4638.80505</v>
      </c>
      <c r="S780" t="n">
        <v>4665.39382</v>
      </c>
      <c r="V780" t="n">
        <v>4574.50198</v>
      </c>
      <c r="W780" t="n">
        <v>4540.93698</v>
      </c>
      <c r="AB780" t="n">
        <v>4593.74089</v>
      </c>
      <c r="AC780" t="n">
        <v>4592.7341</v>
      </c>
      <c r="AD780" t="n">
        <v>0</v>
      </c>
      <c r="AE780">
        <f>AE779+1</f>
        <v/>
      </c>
      <c r="AF780">
        <f>AF779+1</f>
        <v/>
      </c>
      <c r="AG780">
        <f>D780-Q780</f>
        <v/>
      </c>
      <c r="AH780">
        <f>AG780^2</f>
        <v/>
      </c>
      <c r="AI780">
        <f>(AG780/STDEV($AG$3:$AG$1137))^3</f>
        <v/>
      </c>
      <c r="AJ780">
        <f>(AG780/STDEV($AG$3:$AG$1137))^4</f>
        <v/>
      </c>
      <c r="AK780">
        <f>AF780^2</f>
        <v/>
      </c>
      <c r="AL780">
        <f>IF(AD780=1,AB780,IF(AL779&lt;&gt;"",AL779,""))</f>
        <v/>
      </c>
      <c r="AM780">
        <f>IF(AND(AD780=1,AL779&lt;&gt;""),ABS(AB780-AL779),"")</f>
        <v/>
      </c>
    </row>
    <row r="781">
      <c r="A781" t="n">
        <v>1777429802</v>
      </c>
      <c r="B781" t="inlineStr">
        <is>
          <t>XAUUSD</t>
        </is>
      </c>
      <c r="C781" t="inlineStr">
        <is>
          <t>M15</t>
        </is>
      </c>
      <c r="D781" t="n">
        <v>4596.92</v>
      </c>
      <c r="E781" t="n">
        <v>4518.59282</v>
      </c>
      <c r="F781" t="n">
        <v>4596.05595</v>
      </c>
      <c r="G781" t="n">
        <v>4755.40355</v>
      </c>
      <c r="H781" t="n">
        <v>4792.76972</v>
      </c>
      <c r="Q781" t="n">
        <v>4609.17415</v>
      </c>
      <c r="R781" t="n">
        <v>4638.53744</v>
      </c>
      <c r="S781" t="n">
        <v>4665.12622</v>
      </c>
      <c r="V781" t="n">
        <v>4574.23438</v>
      </c>
      <c r="W781" t="n">
        <v>4540.66938</v>
      </c>
      <c r="AB781" t="n">
        <v>4595.26049</v>
      </c>
      <c r="AC781" t="n">
        <v>4593.99729</v>
      </c>
      <c r="AD781" t="n">
        <v>0</v>
      </c>
      <c r="AE781">
        <f>AE780+1</f>
        <v/>
      </c>
      <c r="AF781">
        <f>AF780+1</f>
        <v/>
      </c>
      <c r="AG781">
        <f>D781-Q781</f>
        <v/>
      </c>
      <c r="AH781">
        <f>AG781^2</f>
        <v/>
      </c>
      <c r="AI781">
        <f>(AG781/STDEV($AG$3:$AG$1137))^3</f>
        <v/>
      </c>
      <c r="AJ781">
        <f>(AG781/STDEV($AG$3:$AG$1137))^4</f>
        <v/>
      </c>
      <c r="AK781">
        <f>AF781^2</f>
        <v/>
      </c>
      <c r="AL781">
        <f>IF(AD781=1,AB781,IF(AL780&lt;&gt;"",AL780,""))</f>
        <v/>
      </c>
      <c r="AM781">
        <f>IF(AND(AD781=1,AL780&lt;&gt;""),ABS(AB781-AL780),"")</f>
        <v/>
      </c>
    </row>
    <row r="782">
      <c r="A782" t="n">
        <v>1777430702</v>
      </c>
      <c r="B782" t="inlineStr">
        <is>
          <t>XAUUSD</t>
        </is>
      </c>
      <c r="C782" t="inlineStr">
        <is>
          <t>M15</t>
        </is>
      </c>
      <c r="D782" t="n">
        <v>4593.75</v>
      </c>
      <c r="E782" t="n">
        <v>4518.59282</v>
      </c>
      <c r="F782" t="n">
        <v>4596.05595</v>
      </c>
      <c r="G782" t="n">
        <v>4755.40355</v>
      </c>
      <c r="H782" t="n">
        <v>4792.76972</v>
      </c>
      <c r="Q782" t="n">
        <v>4608.90654</v>
      </c>
      <c r="R782" t="n">
        <v>4638.26984</v>
      </c>
      <c r="S782" t="n">
        <v>4664.85861</v>
      </c>
      <c r="V782" t="n">
        <v>4573.96677</v>
      </c>
      <c r="W782" t="n">
        <v>4540.40178</v>
      </c>
      <c r="AB782" t="n">
        <v>4596.61909</v>
      </c>
      <c r="AC782" t="n">
        <v>4595.30819</v>
      </c>
      <c r="AD782" t="n">
        <v>0</v>
      </c>
      <c r="AE782">
        <f>AE781+1</f>
        <v/>
      </c>
      <c r="AF782">
        <f>AF781+1</f>
        <v/>
      </c>
      <c r="AG782">
        <f>D782-Q782</f>
        <v/>
      </c>
      <c r="AH782">
        <f>AG782^2</f>
        <v/>
      </c>
      <c r="AI782">
        <f>(AG782/STDEV($AG$3:$AG$1137))^3</f>
        <v/>
      </c>
      <c r="AJ782">
        <f>(AG782/STDEV($AG$3:$AG$1137))^4</f>
        <v/>
      </c>
      <c r="AK782">
        <f>AF782^2</f>
        <v/>
      </c>
      <c r="AL782">
        <f>IF(AD782=1,AB782,IF(AL781&lt;&gt;"",AL781,""))</f>
        <v/>
      </c>
      <c r="AM782">
        <f>IF(AND(AD782=1,AL781&lt;&gt;""),ABS(AB782-AL781),"")</f>
        <v/>
      </c>
    </row>
    <row r="783">
      <c r="A783" t="n">
        <v>1777431602</v>
      </c>
      <c r="B783" t="inlineStr">
        <is>
          <t>XAUUSD</t>
        </is>
      </c>
      <c r="C783" t="inlineStr">
        <is>
          <t>M15</t>
        </is>
      </c>
      <c r="D783" t="n">
        <v>4601.89</v>
      </c>
      <c r="E783" t="n">
        <v>4518.59282</v>
      </c>
      <c r="F783" t="n">
        <v>4596.05595</v>
      </c>
      <c r="G783" t="n">
        <v>4755.40355</v>
      </c>
      <c r="H783" t="n">
        <v>4792.76972</v>
      </c>
      <c r="Q783" t="n">
        <v>4608.63894</v>
      </c>
      <c r="R783" t="n">
        <v>4638.00224</v>
      </c>
      <c r="S783" t="n">
        <v>4664.59101</v>
      </c>
      <c r="V783" t="n">
        <v>4573.69917</v>
      </c>
      <c r="W783" t="n">
        <v>4540.13417</v>
      </c>
      <c r="AB783" t="n">
        <v>4597.78291</v>
      </c>
      <c r="AC783" t="n">
        <v>4596.54555</v>
      </c>
      <c r="AD783" t="n">
        <v>0</v>
      </c>
      <c r="AE783">
        <f>AE782+1</f>
        <v/>
      </c>
      <c r="AF783">
        <f>AF782+1</f>
        <v/>
      </c>
      <c r="AG783">
        <f>D783-Q783</f>
        <v/>
      </c>
      <c r="AH783">
        <f>AG783^2</f>
        <v/>
      </c>
      <c r="AI783">
        <f>(AG783/STDEV($AG$3:$AG$1137))^3</f>
        <v/>
      </c>
      <c r="AJ783">
        <f>(AG783/STDEV($AG$3:$AG$1137))^4</f>
        <v/>
      </c>
      <c r="AK783">
        <f>AF783^2</f>
        <v/>
      </c>
      <c r="AL783">
        <f>IF(AD783=1,AB783,IF(AL782&lt;&gt;"",AL782,""))</f>
        <v/>
      </c>
      <c r="AM783">
        <f>IF(AND(AD783=1,AL782&lt;&gt;""),ABS(AB783-AL782),"")</f>
        <v/>
      </c>
    </row>
    <row r="784">
      <c r="A784" t="n">
        <v>1777432502</v>
      </c>
      <c r="B784" t="inlineStr">
        <is>
          <t>XAUUSD</t>
        </is>
      </c>
      <c r="C784" t="inlineStr">
        <is>
          <t>M15</t>
        </is>
      </c>
      <c r="D784" t="n">
        <v>4598.67</v>
      </c>
      <c r="E784" t="n">
        <v>4518.59282</v>
      </c>
      <c r="F784" t="n">
        <v>4596.05595</v>
      </c>
      <c r="G784" t="n">
        <v>4755.40355</v>
      </c>
      <c r="H784" t="n">
        <v>4792.76972</v>
      </c>
      <c r="Q784" t="n">
        <v>4608.37133</v>
      </c>
      <c r="R784" t="n">
        <v>4637.73463</v>
      </c>
      <c r="S784" t="n">
        <v>4664.3234</v>
      </c>
      <c r="V784" t="n">
        <v>4573.43156</v>
      </c>
      <c r="W784" t="n">
        <v>4539.86657</v>
      </c>
      <c r="AB784" t="n">
        <v>4598.54124</v>
      </c>
      <c r="AC784" t="n">
        <v>4597.5434</v>
      </c>
      <c r="AD784" t="n">
        <v>0</v>
      </c>
      <c r="AE784">
        <f>AE783+1</f>
        <v/>
      </c>
      <c r="AF784">
        <f>AF783+1</f>
        <v/>
      </c>
      <c r="AG784">
        <f>D784-Q784</f>
        <v/>
      </c>
      <c r="AH784">
        <f>AG784^2</f>
        <v/>
      </c>
      <c r="AI784">
        <f>(AG784/STDEV($AG$3:$AG$1137))^3</f>
        <v/>
      </c>
      <c r="AJ784">
        <f>(AG784/STDEV($AG$3:$AG$1137))^4</f>
        <v/>
      </c>
      <c r="AK784">
        <f>AF784^2</f>
        <v/>
      </c>
      <c r="AL784">
        <f>IF(AD784=1,AB784,IF(AL783&lt;&gt;"",AL783,""))</f>
        <v/>
      </c>
      <c r="AM784">
        <f>IF(AND(AD784=1,AL783&lt;&gt;""),ABS(AB784-AL783),"")</f>
        <v/>
      </c>
    </row>
    <row r="785">
      <c r="A785" t="n">
        <v>1777433402</v>
      </c>
      <c r="B785" t="inlineStr">
        <is>
          <t>XAUUSD</t>
        </is>
      </c>
      <c r="C785" t="inlineStr">
        <is>
          <t>M15</t>
        </is>
      </c>
      <c r="D785" t="n">
        <v>4593.91</v>
      </c>
      <c r="E785" t="n">
        <v>4518.59282</v>
      </c>
      <c r="F785" t="n">
        <v>4596.05595</v>
      </c>
      <c r="G785" t="n">
        <v>4755.40355</v>
      </c>
      <c r="H785" t="n">
        <v>4792.76972</v>
      </c>
      <c r="Q785" t="n">
        <v>4608.10373</v>
      </c>
      <c r="R785" t="n">
        <v>4637.46703</v>
      </c>
      <c r="S785" t="n">
        <v>4664.0558</v>
      </c>
      <c r="V785" t="n">
        <v>4573.16396</v>
      </c>
      <c r="W785" t="n">
        <v>4539.59896</v>
      </c>
      <c r="AB785" t="n">
        <v>4599.08196</v>
      </c>
      <c r="AC785" t="n">
        <v>4598.31268</v>
      </c>
      <c r="AD785" t="n">
        <v>0</v>
      </c>
      <c r="AE785">
        <f>AE784+1</f>
        <v/>
      </c>
      <c r="AF785">
        <f>AF784+1</f>
        <v/>
      </c>
      <c r="AG785">
        <f>D785-Q785</f>
        <v/>
      </c>
      <c r="AH785">
        <f>AG785^2</f>
        <v/>
      </c>
      <c r="AI785">
        <f>(AG785/STDEV($AG$3:$AG$1137))^3</f>
        <v/>
      </c>
      <c r="AJ785">
        <f>(AG785/STDEV($AG$3:$AG$1137))^4</f>
        <v/>
      </c>
      <c r="AK785">
        <f>AF785^2</f>
        <v/>
      </c>
      <c r="AL785">
        <f>IF(AD785=1,AB785,IF(AL784&lt;&gt;"",AL784,""))</f>
        <v/>
      </c>
      <c r="AM785">
        <f>IF(AND(AD785=1,AL784&lt;&gt;""),ABS(AB785-AL784),"")</f>
        <v/>
      </c>
    </row>
    <row r="786">
      <c r="A786" t="n">
        <v>1777434302</v>
      </c>
      <c r="B786" t="inlineStr">
        <is>
          <t>XAUUSD</t>
        </is>
      </c>
      <c r="C786" t="inlineStr">
        <is>
          <t>M15</t>
        </is>
      </c>
      <c r="D786" t="n">
        <v>4595.48</v>
      </c>
      <c r="E786" t="n">
        <v>4518.59282</v>
      </c>
      <c r="F786" t="n">
        <v>4596.05595</v>
      </c>
      <c r="G786" t="n">
        <v>4755.40355</v>
      </c>
      <c r="H786" t="n">
        <v>4792.76972</v>
      </c>
      <c r="Q786" t="n">
        <v>4607.83613</v>
      </c>
      <c r="R786" t="n">
        <v>4637.19942</v>
      </c>
      <c r="S786" t="n">
        <v>4663.78819</v>
      </c>
      <c r="V786" t="n">
        <v>4572.89636</v>
      </c>
      <c r="W786" t="n">
        <v>4539.33136</v>
      </c>
      <c r="AB786" t="n">
        <v>4599.67116</v>
      </c>
      <c r="AC786" t="n">
        <v>4598.99192</v>
      </c>
      <c r="AD786" t="n">
        <v>0</v>
      </c>
      <c r="AE786">
        <f>AE785+1</f>
        <v/>
      </c>
      <c r="AF786">
        <f>AF785+1</f>
        <v/>
      </c>
      <c r="AG786">
        <f>D786-Q786</f>
        <v/>
      </c>
      <c r="AH786">
        <f>AG786^2</f>
        <v/>
      </c>
      <c r="AI786">
        <f>(AG786/STDEV($AG$3:$AG$1137))^3</f>
        <v/>
      </c>
      <c r="AJ786">
        <f>(AG786/STDEV($AG$3:$AG$1137))^4</f>
        <v/>
      </c>
      <c r="AK786">
        <f>AF786^2</f>
        <v/>
      </c>
      <c r="AL786">
        <f>IF(AD786=1,AB786,IF(AL785&lt;&gt;"",AL785,""))</f>
        <v/>
      </c>
      <c r="AM786">
        <f>IF(AND(AD786=1,AL785&lt;&gt;""),ABS(AB786-AL785),"")</f>
        <v/>
      </c>
    </row>
    <row r="787">
      <c r="A787" t="n">
        <v>1777435202</v>
      </c>
      <c r="B787" t="inlineStr">
        <is>
          <t>XAUUSD</t>
        </is>
      </c>
      <c r="C787" t="inlineStr">
        <is>
          <t>M15</t>
        </is>
      </c>
      <c r="D787" t="n">
        <v>4600.68</v>
      </c>
      <c r="E787" t="n">
        <v>4518.59282</v>
      </c>
      <c r="F787" t="n">
        <v>4596.05595</v>
      </c>
      <c r="G787" t="n">
        <v>4755.40355</v>
      </c>
      <c r="H787" t="n">
        <v>4792.76972</v>
      </c>
      <c r="Q787" t="n">
        <v>4607.56852</v>
      </c>
      <c r="R787" t="n">
        <v>4636.93182</v>
      </c>
      <c r="S787" t="n">
        <v>4663.52059</v>
      </c>
      <c r="V787" t="n">
        <v>4572.62875</v>
      </c>
      <c r="W787" t="n">
        <v>4539.06375</v>
      </c>
      <c r="AB787" t="n">
        <v>4600.35332</v>
      </c>
      <c r="AC787" t="n">
        <v>4599.67262</v>
      </c>
      <c r="AD787" t="n">
        <v>0</v>
      </c>
      <c r="AE787">
        <f>AE786+1</f>
        <v/>
      </c>
      <c r="AF787">
        <f>AF786+1</f>
        <v/>
      </c>
      <c r="AG787">
        <f>D787-Q787</f>
        <v/>
      </c>
      <c r="AH787">
        <f>AG787^2</f>
        <v/>
      </c>
      <c r="AI787">
        <f>(AG787/STDEV($AG$3:$AG$1137))^3</f>
        <v/>
      </c>
      <c r="AJ787">
        <f>(AG787/STDEV($AG$3:$AG$1137))^4</f>
        <v/>
      </c>
      <c r="AK787">
        <f>AF787^2</f>
        <v/>
      </c>
      <c r="AL787">
        <f>IF(AD787=1,AB787,IF(AL786&lt;&gt;"",AL786,""))</f>
        <v/>
      </c>
      <c r="AM787">
        <f>IF(AND(AD787=1,AL786&lt;&gt;""),ABS(AB787-AL786),"")</f>
        <v/>
      </c>
    </row>
    <row r="788">
      <c r="A788" t="n">
        <v>1777436102</v>
      </c>
      <c r="B788" t="inlineStr">
        <is>
          <t>XAUUSD</t>
        </is>
      </c>
      <c r="C788" t="inlineStr">
        <is>
          <t>M15</t>
        </is>
      </c>
      <c r="D788" t="n">
        <v>4601.86</v>
      </c>
      <c r="E788" t="n">
        <v>4518.59282</v>
      </c>
      <c r="F788" t="n">
        <v>4596.05595</v>
      </c>
      <c r="G788" t="n">
        <v>4755.40355</v>
      </c>
      <c r="H788" t="n">
        <v>4792.76972</v>
      </c>
      <c r="Q788" t="n">
        <v>4607.30092</v>
      </c>
      <c r="R788" t="n">
        <v>4636.66422</v>
      </c>
      <c r="S788" t="n">
        <v>4663.25299</v>
      </c>
      <c r="V788" t="n">
        <v>4572.36115</v>
      </c>
      <c r="W788" t="n">
        <v>4538.79615</v>
      </c>
      <c r="AB788" t="n">
        <v>4600.96576</v>
      </c>
      <c r="AC788" t="n">
        <v>4600.31919</v>
      </c>
      <c r="AD788" t="n">
        <v>0</v>
      </c>
      <c r="AE788">
        <f>AE787+1</f>
        <v/>
      </c>
      <c r="AF788">
        <f>AF787+1</f>
        <v/>
      </c>
      <c r="AG788">
        <f>D788-Q788</f>
        <v/>
      </c>
      <c r="AH788">
        <f>AG788^2</f>
        <v/>
      </c>
      <c r="AI788">
        <f>(AG788/STDEV($AG$3:$AG$1137))^3</f>
        <v/>
      </c>
      <c r="AJ788">
        <f>(AG788/STDEV($AG$3:$AG$1137))^4</f>
        <v/>
      </c>
      <c r="AK788">
        <f>AF788^2</f>
        <v/>
      </c>
      <c r="AL788">
        <f>IF(AD788=1,AB788,IF(AL787&lt;&gt;"",AL787,""))</f>
        <v/>
      </c>
      <c r="AM788">
        <f>IF(AND(AD788=1,AL787&lt;&gt;""),ABS(AB788-AL787),"")</f>
        <v/>
      </c>
    </row>
    <row r="789">
      <c r="A789" t="n">
        <v>1777437002</v>
      </c>
      <c r="B789" t="inlineStr">
        <is>
          <t>XAUUSD</t>
        </is>
      </c>
      <c r="C789" t="inlineStr">
        <is>
          <t>M15</t>
        </is>
      </c>
      <c r="D789" t="n">
        <v>4602.15</v>
      </c>
      <c r="E789" t="n">
        <v>4518.59282</v>
      </c>
      <c r="F789" t="n">
        <v>4596.05595</v>
      </c>
      <c r="G789" t="n">
        <v>4755.40355</v>
      </c>
      <c r="H789" t="n">
        <v>4792.76972</v>
      </c>
      <c r="Q789" t="n">
        <v>4607.03331</v>
      </c>
      <c r="R789" t="n">
        <v>4636.39661</v>
      </c>
      <c r="S789" t="n">
        <v>4662.98538</v>
      </c>
      <c r="V789" t="n">
        <v>4572.09354</v>
      </c>
      <c r="W789" t="n">
        <v>4538.52855</v>
      </c>
      <c r="AB789" t="n">
        <v>4601.38659</v>
      </c>
      <c r="AC789" t="n">
        <v>4600.85289</v>
      </c>
      <c r="AD789" t="n">
        <v>0</v>
      </c>
      <c r="AE789">
        <f>AE788+1</f>
        <v/>
      </c>
      <c r="AF789">
        <f>AF788+1</f>
        <v/>
      </c>
      <c r="AG789">
        <f>D789-Q789</f>
        <v/>
      </c>
      <c r="AH789">
        <f>AG789^2</f>
        <v/>
      </c>
      <c r="AI789">
        <f>(AG789/STDEV($AG$3:$AG$1137))^3</f>
        <v/>
      </c>
      <c r="AJ789">
        <f>(AG789/STDEV($AG$3:$AG$1137))^4</f>
        <v/>
      </c>
      <c r="AK789">
        <f>AF789^2</f>
        <v/>
      </c>
      <c r="AL789">
        <f>IF(AD789=1,AB789,IF(AL788&lt;&gt;"",AL788,""))</f>
        <v/>
      </c>
      <c r="AM789">
        <f>IF(AND(AD789=1,AL788&lt;&gt;""),ABS(AB789-AL788),"")</f>
        <v/>
      </c>
    </row>
    <row r="790">
      <c r="A790" t="n">
        <v>1777437902</v>
      </c>
      <c r="B790" t="inlineStr">
        <is>
          <t>XAUUSD</t>
        </is>
      </c>
      <c r="C790" t="inlineStr">
        <is>
          <t>M15</t>
        </is>
      </c>
      <c r="D790" t="n">
        <v>4604.85</v>
      </c>
      <c r="E790" t="n">
        <v>4518.59282</v>
      </c>
      <c r="F790" t="n">
        <v>4596.05595</v>
      </c>
      <c r="G790" t="n">
        <v>4755.40355</v>
      </c>
      <c r="H790" t="n">
        <v>4792.76972</v>
      </c>
      <c r="Q790" t="n">
        <v>4606.76571</v>
      </c>
      <c r="R790" t="n">
        <v>4636.12901</v>
      </c>
      <c r="S790" t="n">
        <v>4662.71778</v>
      </c>
      <c r="V790" t="n">
        <v>4571.82594</v>
      </c>
      <c r="W790" t="n">
        <v>4538.26094</v>
      </c>
      <c r="AB790" t="n">
        <v>4601.43118</v>
      </c>
      <c r="AC790" t="n">
        <v>4601.14204</v>
      </c>
      <c r="AD790" t="n">
        <v>0</v>
      </c>
      <c r="AE790">
        <f>AE789+1</f>
        <v/>
      </c>
      <c r="AF790">
        <f>AF789+1</f>
        <v/>
      </c>
      <c r="AG790">
        <f>D790-Q790</f>
        <v/>
      </c>
      <c r="AH790">
        <f>AG790^2</f>
        <v/>
      </c>
      <c r="AI790">
        <f>(AG790/STDEV($AG$3:$AG$1137))^3</f>
        <v/>
      </c>
      <c r="AJ790">
        <f>(AG790/STDEV($AG$3:$AG$1137))^4</f>
        <v/>
      </c>
      <c r="AK790">
        <f>AF790^2</f>
        <v/>
      </c>
      <c r="AL790">
        <f>IF(AD790=1,AB790,IF(AL789&lt;&gt;"",AL789,""))</f>
        <v/>
      </c>
      <c r="AM790">
        <f>IF(AND(AD790=1,AL789&lt;&gt;""),ABS(AB790-AL789),"")</f>
        <v/>
      </c>
    </row>
    <row r="791">
      <c r="A791" t="n">
        <v>1777438802</v>
      </c>
      <c r="B791" t="inlineStr">
        <is>
          <t>XAUUSD</t>
        </is>
      </c>
      <c r="C791" t="inlineStr">
        <is>
          <t>M15</t>
        </is>
      </c>
      <c r="D791" t="n">
        <v>4601.15</v>
      </c>
      <c r="E791" t="n">
        <v>4518.59282</v>
      </c>
      <c r="F791" t="n">
        <v>4596.05595</v>
      </c>
      <c r="G791" t="n">
        <v>4755.40355</v>
      </c>
      <c r="H791" t="n">
        <v>4792.76972</v>
      </c>
      <c r="Q791" t="n">
        <v>4606.4981</v>
      </c>
      <c r="R791" t="n">
        <v>4635.8614</v>
      </c>
      <c r="S791" t="n">
        <v>4662.45017</v>
      </c>
      <c r="V791" t="n">
        <v>4571.55833</v>
      </c>
      <c r="W791" t="n">
        <v>4537.99334</v>
      </c>
      <c r="Z791" t="n">
        <v>4607.77</v>
      </c>
      <c r="AB791" t="n">
        <v>4600.84516</v>
      </c>
      <c r="AC791" t="n">
        <v>4600.9936</v>
      </c>
      <c r="AD791" t="n">
        <v>1</v>
      </c>
      <c r="AE791">
        <f>AE790+1</f>
        <v/>
      </c>
      <c r="AF791">
        <f>AF790+1</f>
        <v/>
      </c>
      <c r="AG791">
        <f>D791-Q791</f>
        <v/>
      </c>
      <c r="AH791">
        <f>AG791^2</f>
        <v/>
      </c>
      <c r="AI791">
        <f>(AG791/STDEV($AG$3:$AG$1137))^3</f>
        <v/>
      </c>
      <c r="AJ791">
        <f>(AG791/STDEV($AG$3:$AG$1137))^4</f>
        <v/>
      </c>
      <c r="AK791">
        <f>AF791^2</f>
        <v/>
      </c>
      <c r="AL791">
        <f>IF(AD791=1,AB791,IF(AL790&lt;&gt;"",AL790,""))</f>
        <v/>
      </c>
      <c r="AM791">
        <f>IF(AND(AD791=1,AL790&lt;&gt;""),ABS(AB791-AL790),"")</f>
        <v/>
      </c>
    </row>
    <row r="792">
      <c r="A792" t="n">
        <v>1777439702</v>
      </c>
      <c r="B792" t="inlineStr">
        <is>
          <t>XAUUSD</t>
        </is>
      </c>
      <c r="C792" t="inlineStr">
        <is>
          <t>M15</t>
        </is>
      </c>
      <c r="D792" t="n">
        <v>4600.72</v>
      </c>
      <c r="E792" t="n">
        <v>4518.59282</v>
      </c>
      <c r="F792" t="n">
        <v>4596.05595</v>
      </c>
      <c r="G792" t="n">
        <v>4755.40355</v>
      </c>
      <c r="H792" t="n">
        <v>4792.76972</v>
      </c>
      <c r="Q792" t="n">
        <v>4606.2305</v>
      </c>
      <c r="R792" t="n">
        <v>4635.5938</v>
      </c>
      <c r="S792" t="n">
        <v>4662.18257</v>
      </c>
      <c r="V792" t="n">
        <v>4571.29073</v>
      </c>
      <c r="W792" t="n">
        <v>4537.72573</v>
      </c>
      <c r="AB792" t="n">
        <v>4599.55498</v>
      </c>
      <c r="AC792" t="n">
        <v>4600.27429</v>
      </c>
      <c r="AD792" t="n">
        <v>0</v>
      </c>
      <c r="AE792">
        <f>AE791+1</f>
        <v/>
      </c>
      <c r="AF792">
        <f>AF791+1</f>
        <v/>
      </c>
      <c r="AG792">
        <f>D792-Q792</f>
        <v/>
      </c>
      <c r="AH792">
        <f>AG792^2</f>
        <v/>
      </c>
      <c r="AI792">
        <f>(AG792/STDEV($AG$3:$AG$1137))^3</f>
        <v/>
      </c>
      <c r="AJ792">
        <f>(AG792/STDEV($AG$3:$AG$1137))^4</f>
        <v/>
      </c>
      <c r="AK792">
        <f>AF792^2</f>
        <v/>
      </c>
      <c r="AL792">
        <f>IF(AD792=1,AB792,IF(AL791&lt;&gt;"",AL791,""))</f>
        <v/>
      </c>
      <c r="AM792">
        <f>IF(AND(AD792=1,AL791&lt;&gt;""),ABS(AB792-AL791),"")</f>
        <v/>
      </c>
    </row>
    <row r="793">
      <c r="A793" t="n">
        <v>1777440602</v>
      </c>
      <c r="B793" t="inlineStr">
        <is>
          <t>XAUUSD</t>
        </is>
      </c>
      <c r="C793" t="inlineStr">
        <is>
          <t>M15</t>
        </is>
      </c>
      <c r="D793" t="n">
        <v>4599.05</v>
      </c>
      <c r="E793" t="n">
        <v>4518.59282</v>
      </c>
      <c r="F793" t="n">
        <v>4596.05595</v>
      </c>
      <c r="G793" t="n">
        <v>4755.40355</v>
      </c>
      <c r="H793" t="n">
        <v>4792.76972</v>
      </c>
      <c r="Q793" t="n">
        <v>4605.9629</v>
      </c>
      <c r="R793" t="n">
        <v>4635.3262</v>
      </c>
      <c r="S793" t="n">
        <v>4661.91497</v>
      </c>
      <c r="V793" t="n">
        <v>4571.02313</v>
      </c>
      <c r="W793" t="n">
        <v>4537.45813</v>
      </c>
      <c r="AB793" t="n">
        <v>4597.46432</v>
      </c>
      <c r="AC793" t="n">
        <v>4598.86931</v>
      </c>
      <c r="AD793" t="n">
        <v>0</v>
      </c>
      <c r="AE793">
        <f>AE792+1</f>
        <v/>
      </c>
      <c r="AF793">
        <f>AF792+1</f>
        <v/>
      </c>
      <c r="AG793">
        <f>D793-Q793</f>
        <v/>
      </c>
      <c r="AH793">
        <f>AG793^2</f>
        <v/>
      </c>
      <c r="AI793">
        <f>(AG793/STDEV($AG$3:$AG$1137))^3</f>
        <v/>
      </c>
      <c r="AJ793">
        <f>(AG793/STDEV($AG$3:$AG$1137))^4</f>
        <v/>
      </c>
      <c r="AK793">
        <f>AF793^2</f>
        <v/>
      </c>
      <c r="AL793">
        <f>IF(AD793=1,AB793,IF(AL792&lt;&gt;"",AL792,""))</f>
        <v/>
      </c>
      <c r="AM793">
        <f>IF(AND(AD793=1,AL792&lt;&gt;""),ABS(AB793-AL792),"")</f>
        <v/>
      </c>
    </row>
    <row r="794">
      <c r="A794" t="n">
        <v>1777441502</v>
      </c>
      <c r="B794" t="inlineStr">
        <is>
          <t>XAUUSD</t>
        </is>
      </c>
      <c r="C794" t="inlineStr">
        <is>
          <t>M15</t>
        </is>
      </c>
      <c r="D794" t="n">
        <v>4590.9</v>
      </c>
      <c r="E794" t="n">
        <v>4518.59282</v>
      </c>
      <c r="F794" t="n">
        <v>4596.05595</v>
      </c>
      <c r="G794" t="n">
        <v>4755.40355</v>
      </c>
      <c r="H794" t="n">
        <v>4792.76972</v>
      </c>
      <c r="Q794" t="n">
        <v>4605.69529</v>
      </c>
      <c r="R794" t="n">
        <v>4635.05859</v>
      </c>
      <c r="S794" t="n">
        <v>4661.64736</v>
      </c>
      <c r="V794" t="n">
        <v>4570.75552</v>
      </c>
      <c r="W794" t="n">
        <v>4537.19053</v>
      </c>
      <c r="AB794" t="n">
        <v>4594.57734</v>
      </c>
      <c r="AC794" t="n">
        <v>4596.72332</v>
      </c>
      <c r="AD794" t="n">
        <v>0</v>
      </c>
      <c r="AE794">
        <f>AE793+1</f>
        <v/>
      </c>
      <c r="AF794">
        <f>AF793+1</f>
        <v/>
      </c>
      <c r="AG794">
        <f>D794-Q794</f>
        <v/>
      </c>
      <c r="AH794">
        <f>AG794^2</f>
        <v/>
      </c>
      <c r="AI794">
        <f>(AG794/STDEV($AG$3:$AG$1137))^3</f>
        <v/>
      </c>
      <c r="AJ794">
        <f>(AG794/STDEV($AG$3:$AG$1137))^4</f>
        <v/>
      </c>
      <c r="AK794">
        <f>AF794^2</f>
        <v/>
      </c>
      <c r="AL794">
        <f>IF(AD794=1,AB794,IF(AL793&lt;&gt;"",AL793,""))</f>
        <v/>
      </c>
      <c r="AM794">
        <f>IF(AND(AD794=1,AL793&lt;&gt;""),ABS(AB794-AL793),"")</f>
        <v/>
      </c>
    </row>
    <row r="795">
      <c r="A795" t="n">
        <v>1777442402</v>
      </c>
      <c r="B795" t="inlineStr">
        <is>
          <t>XAUUSD</t>
        </is>
      </c>
      <c r="C795" t="inlineStr">
        <is>
          <t>M15</t>
        </is>
      </c>
      <c r="D795" t="n">
        <v>4588.73</v>
      </c>
      <c r="E795" t="n">
        <v>4518.59282</v>
      </c>
      <c r="F795" t="n">
        <v>4596.05595</v>
      </c>
      <c r="G795" t="n">
        <v>4755.40355</v>
      </c>
      <c r="H795" t="n">
        <v>4792.76972</v>
      </c>
      <c r="Q795" t="n">
        <v>4605.42769</v>
      </c>
      <c r="R795" t="n">
        <v>4634.79099</v>
      </c>
      <c r="S795" t="n">
        <v>4661.37976</v>
      </c>
      <c r="V795" t="n">
        <v>4570.48792</v>
      </c>
      <c r="W795" t="n">
        <v>4536.92292</v>
      </c>
      <c r="AB795" t="n">
        <v>4591.20114</v>
      </c>
      <c r="AC795" t="n">
        <v>4593.96223</v>
      </c>
      <c r="AD795" t="n">
        <v>0</v>
      </c>
      <c r="AE795">
        <f>AE794+1</f>
        <v/>
      </c>
      <c r="AF795">
        <f>AF794+1</f>
        <v/>
      </c>
      <c r="AG795">
        <f>D795-Q795</f>
        <v/>
      </c>
      <c r="AH795">
        <f>AG795^2</f>
        <v/>
      </c>
      <c r="AI795">
        <f>(AG795/STDEV($AG$3:$AG$1137))^3</f>
        <v/>
      </c>
      <c r="AJ795">
        <f>(AG795/STDEV($AG$3:$AG$1137))^4</f>
        <v/>
      </c>
      <c r="AK795">
        <f>AF795^2</f>
        <v/>
      </c>
      <c r="AL795">
        <f>IF(AD795=1,AB795,IF(AL794&lt;&gt;"",AL794,""))</f>
        <v/>
      </c>
      <c r="AM795">
        <f>IF(AND(AD795=1,AL794&lt;&gt;""),ABS(AB795-AL794),"")</f>
        <v/>
      </c>
    </row>
    <row r="796">
      <c r="A796" t="n">
        <v>1777443302</v>
      </c>
      <c r="B796" t="inlineStr">
        <is>
          <t>XAUUSD</t>
        </is>
      </c>
      <c r="C796" t="inlineStr">
        <is>
          <t>M15</t>
        </is>
      </c>
      <c r="D796" t="n">
        <v>4585.04</v>
      </c>
      <c r="E796" t="n">
        <v>4518.59282</v>
      </c>
      <c r="F796" t="n">
        <v>4596.05595</v>
      </c>
      <c r="G796" t="n">
        <v>4755.40355</v>
      </c>
      <c r="H796" t="n">
        <v>4792.76972</v>
      </c>
      <c r="Q796" t="n">
        <v>4605.16008</v>
      </c>
      <c r="R796" t="n">
        <v>4634.52338</v>
      </c>
      <c r="S796" t="n">
        <v>4661.11215</v>
      </c>
      <c r="V796" t="n">
        <v>4570.22031</v>
      </c>
      <c r="W796" t="n">
        <v>4536.65532</v>
      </c>
      <c r="AB796" t="n">
        <v>4587.55405</v>
      </c>
      <c r="AC796" t="n">
        <v>4590.75814</v>
      </c>
      <c r="AD796" t="n">
        <v>0</v>
      </c>
      <c r="AE796">
        <f>AE795+1</f>
        <v/>
      </c>
      <c r="AF796">
        <f>AF795+1</f>
        <v/>
      </c>
      <c r="AG796">
        <f>D796-Q796</f>
        <v/>
      </c>
      <c r="AH796">
        <f>AG796^2</f>
        <v/>
      </c>
      <c r="AI796">
        <f>(AG796/STDEV($AG$3:$AG$1137))^3</f>
        <v/>
      </c>
      <c r="AJ796">
        <f>(AG796/STDEV($AG$3:$AG$1137))^4</f>
        <v/>
      </c>
      <c r="AK796">
        <f>AF796^2</f>
        <v/>
      </c>
      <c r="AL796">
        <f>IF(AD796=1,AB796,IF(AL795&lt;&gt;"",AL795,""))</f>
        <v/>
      </c>
      <c r="AM796">
        <f>IF(AND(AD796=1,AL795&lt;&gt;""),ABS(AB796-AL795),"")</f>
        <v/>
      </c>
    </row>
    <row r="797">
      <c r="A797" t="n">
        <v>1777444202</v>
      </c>
      <c r="B797" t="inlineStr">
        <is>
          <t>XAUUSD</t>
        </is>
      </c>
      <c r="C797" t="inlineStr">
        <is>
          <t>M15</t>
        </is>
      </c>
      <c r="D797" t="n">
        <v>4585.03</v>
      </c>
      <c r="E797" t="n">
        <v>4518.59282</v>
      </c>
      <c r="F797" t="n">
        <v>4596.05595</v>
      </c>
      <c r="G797" t="n">
        <v>4755.40355</v>
      </c>
      <c r="H797" t="n">
        <v>4792.76972</v>
      </c>
      <c r="Q797" t="n">
        <v>4604.89248</v>
      </c>
      <c r="R797" t="n">
        <v>4634.25578</v>
      </c>
      <c r="S797" t="n">
        <v>4660.84455</v>
      </c>
      <c r="V797" t="n">
        <v>4569.95271</v>
      </c>
      <c r="W797" t="n">
        <v>4536.38771</v>
      </c>
      <c r="AB797" t="n">
        <v>4583.86023</v>
      </c>
      <c r="AC797" t="n">
        <v>4587.30918</v>
      </c>
      <c r="AD797" t="n">
        <v>0</v>
      </c>
      <c r="AE797">
        <f>AE796+1</f>
        <v/>
      </c>
      <c r="AF797">
        <f>AF796+1</f>
        <v/>
      </c>
      <c r="AG797">
        <f>D797-Q797</f>
        <v/>
      </c>
      <c r="AH797">
        <f>AG797^2</f>
        <v/>
      </c>
      <c r="AI797">
        <f>(AG797/STDEV($AG$3:$AG$1137))^3</f>
        <v/>
      </c>
      <c r="AJ797">
        <f>(AG797/STDEV($AG$3:$AG$1137))^4</f>
        <v/>
      </c>
      <c r="AK797">
        <f>AF797^2</f>
        <v/>
      </c>
      <c r="AL797">
        <f>IF(AD797=1,AB797,IF(AL796&lt;&gt;"",AL796,""))</f>
        <v/>
      </c>
      <c r="AM797">
        <f>IF(AND(AD797=1,AL796&lt;&gt;""),ABS(AB797-AL796),"")</f>
        <v/>
      </c>
    </row>
    <row r="798">
      <c r="A798" t="n">
        <v>1777445102</v>
      </c>
      <c r="B798" t="inlineStr">
        <is>
          <t>XAUUSD</t>
        </is>
      </c>
      <c r="C798" t="inlineStr">
        <is>
          <t>M15</t>
        </is>
      </c>
      <c r="D798" t="n">
        <v>4584.52</v>
      </c>
      <c r="E798" t="n">
        <v>4518.59282</v>
      </c>
      <c r="F798" t="n">
        <v>4596.05595</v>
      </c>
      <c r="G798" t="n">
        <v>4755.40355</v>
      </c>
      <c r="H798" t="n">
        <v>4792.76972</v>
      </c>
      <c r="Q798" t="n">
        <v>4604.62488</v>
      </c>
      <c r="R798" t="n">
        <v>4633.98818</v>
      </c>
      <c r="S798" t="n">
        <v>4660.57695</v>
      </c>
      <c r="V798" t="n">
        <v>4569.68511</v>
      </c>
      <c r="W798" t="n">
        <v>4536.12011</v>
      </c>
      <c r="AB798" t="n">
        <v>4580.25654</v>
      </c>
      <c r="AC798" t="n">
        <v>4583.78286</v>
      </c>
      <c r="AD798" t="n">
        <v>0</v>
      </c>
      <c r="AE798">
        <f>AE797+1</f>
        <v/>
      </c>
      <c r="AF798">
        <f>AF797+1</f>
        <v/>
      </c>
      <c r="AG798">
        <f>D798-Q798</f>
        <v/>
      </c>
      <c r="AH798">
        <f>AG798^2</f>
        <v/>
      </c>
      <c r="AI798">
        <f>(AG798/STDEV($AG$3:$AG$1137))^3</f>
        <v/>
      </c>
      <c r="AJ798">
        <f>(AG798/STDEV($AG$3:$AG$1137))^4</f>
        <v/>
      </c>
      <c r="AK798">
        <f>AF798^2</f>
        <v/>
      </c>
      <c r="AL798">
        <f>IF(AD798=1,AB798,IF(AL797&lt;&gt;"",AL797,""))</f>
        <v/>
      </c>
      <c r="AM798">
        <f>IF(AND(AD798=1,AL797&lt;&gt;""),ABS(AB798-AL797),"")</f>
        <v/>
      </c>
    </row>
    <row r="799">
      <c r="A799" t="n">
        <v>1777446002</v>
      </c>
      <c r="B799" t="inlineStr">
        <is>
          <t>XAUUSD</t>
        </is>
      </c>
      <c r="C799" t="inlineStr">
        <is>
          <t>M15</t>
        </is>
      </c>
      <c r="D799" t="n">
        <v>4578.72</v>
      </c>
      <c r="E799" t="n">
        <v>4518.59282</v>
      </c>
      <c r="F799" t="n">
        <v>4596.05595</v>
      </c>
      <c r="G799" t="n">
        <v>4755.40355</v>
      </c>
      <c r="H799" t="n">
        <v>4792.76972</v>
      </c>
      <c r="Q799" t="n">
        <v>4604.35727</v>
      </c>
      <c r="R799" t="n">
        <v>4633.72057</v>
      </c>
      <c r="S799" t="n">
        <v>4660.30934</v>
      </c>
      <c r="V799" t="n">
        <v>4569.4175</v>
      </c>
      <c r="W799" t="n">
        <v>4535.85251</v>
      </c>
      <c r="AB799" t="n">
        <v>4576.87731</v>
      </c>
      <c r="AC799" t="n">
        <v>4580.33009</v>
      </c>
      <c r="AD799" t="n">
        <v>0</v>
      </c>
      <c r="AE799">
        <f>AE798+1</f>
        <v/>
      </c>
      <c r="AF799">
        <f>AF798+1</f>
        <v/>
      </c>
      <c r="AG799">
        <f>D799-Q799</f>
        <v/>
      </c>
      <c r="AH799">
        <f>AG799^2</f>
        <v/>
      </c>
      <c r="AI799">
        <f>(AG799/STDEV($AG$3:$AG$1137))^3</f>
        <v/>
      </c>
      <c r="AJ799">
        <f>(AG799/STDEV($AG$3:$AG$1137))^4</f>
        <v/>
      </c>
      <c r="AK799">
        <f>AF799^2</f>
        <v/>
      </c>
      <c r="AL799">
        <f>IF(AD799=1,AB799,IF(AL798&lt;&gt;"",AL798,""))</f>
        <v/>
      </c>
      <c r="AM799">
        <f>IF(AND(AD799=1,AL798&lt;&gt;""),ABS(AB799-AL798),"")</f>
        <v/>
      </c>
    </row>
    <row r="800">
      <c r="A800" t="n">
        <v>1777446902</v>
      </c>
      <c r="B800" t="inlineStr">
        <is>
          <t>XAUUSD</t>
        </is>
      </c>
      <c r="C800" t="inlineStr">
        <is>
          <t>M15</t>
        </is>
      </c>
      <c r="D800" t="n">
        <v>4575.11</v>
      </c>
      <c r="E800" t="n">
        <v>4518.59282</v>
      </c>
      <c r="F800" t="n">
        <v>4596.05595</v>
      </c>
      <c r="G800" t="n">
        <v>4755.40355</v>
      </c>
      <c r="H800" t="n">
        <v>4792.76972</v>
      </c>
      <c r="Q800" t="n">
        <v>4604.08967</v>
      </c>
      <c r="R800" t="n">
        <v>4633.45297</v>
      </c>
      <c r="S800" t="n">
        <v>4660.04174</v>
      </c>
      <c r="V800" t="n">
        <v>4569.1499</v>
      </c>
      <c r="W800" t="n">
        <v>4535.5849</v>
      </c>
      <c r="AB800" t="n">
        <v>4573.98749</v>
      </c>
      <c r="AC800" t="n">
        <v>4577.15879</v>
      </c>
      <c r="AD800" t="n">
        <v>0</v>
      </c>
      <c r="AE800">
        <f>AE799+1</f>
        <v/>
      </c>
      <c r="AF800">
        <f>AF799+1</f>
        <v/>
      </c>
      <c r="AG800">
        <f>D800-Q800</f>
        <v/>
      </c>
      <c r="AH800">
        <f>AG800^2</f>
        <v/>
      </c>
      <c r="AI800">
        <f>(AG800/STDEV($AG$3:$AG$1137))^3</f>
        <v/>
      </c>
      <c r="AJ800">
        <f>(AG800/STDEV($AG$3:$AG$1137))^4</f>
        <v/>
      </c>
      <c r="AK800">
        <f>AF800^2</f>
        <v/>
      </c>
      <c r="AL800">
        <f>IF(AD800=1,AB800,IF(AL799&lt;&gt;"",AL799,""))</f>
        <v/>
      </c>
      <c r="AM800">
        <f>IF(AND(AD800=1,AL799&lt;&gt;""),ABS(AB800-AL799),"")</f>
        <v/>
      </c>
    </row>
    <row r="801">
      <c r="A801" t="n">
        <v>1777447802</v>
      </c>
      <c r="B801" t="inlineStr">
        <is>
          <t>XAUUSD</t>
        </is>
      </c>
      <c r="C801" t="inlineStr">
        <is>
          <t>M15</t>
        </is>
      </c>
      <c r="D801" t="n">
        <v>4570.56</v>
      </c>
      <c r="E801" t="n">
        <v>4518.59282</v>
      </c>
      <c r="F801" t="n">
        <v>4596.05595</v>
      </c>
      <c r="G801" t="n">
        <v>4755.40355</v>
      </c>
      <c r="H801" t="n">
        <v>4792.76972</v>
      </c>
      <c r="Q801" t="n">
        <v>4603.82206</v>
      </c>
      <c r="R801" t="n">
        <v>4633.18536</v>
      </c>
      <c r="S801" t="n">
        <v>4659.77413</v>
      </c>
      <c r="V801" t="n">
        <v>4568.88229</v>
      </c>
      <c r="W801" t="n">
        <v>4535.3173</v>
      </c>
      <c r="AB801" t="n">
        <v>4571.72337</v>
      </c>
      <c r="AC801" t="n">
        <v>4574.44108</v>
      </c>
      <c r="AD801" t="n">
        <v>0</v>
      </c>
      <c r="AE801">
        <f>AE800+1</f>
        <v/>
      </c>
      <c r="AF801">
        <f>AF800+1</f>
        <v/>
      </c>
      <c r="AG801">
        <f>D801-Q801</f>
        <v/>
      </c>
      <c r="AH801">
        <f>AG801^2</f>
        <v/>
      </c>
      <c r="AI801">
        <f>(AG801/STDEV($AG$3:$AG$1137))^3</f>
        <v/>
      </c>
      <c r="AJ801">
        <f>(AG801/STDEV($AG$3:$AG$1137))^4</f>
        <v/>
      </c>
      <c r="AK801">
        <f>AF801^2</f>
        <v/>
      </c>
      <c r="AL801">
        <f>IF(AD801=1,AB801,IF(AL800&lt;&gt;"",AL800,""))</f>
        <v/>
      </c>
      <c r="AM801">
        <f>IF(AND(AD801=1,AL800&lt;&gt;""),ABS(AB801-AL800),"")</f>
        <v/>
      </c>
    </row>
    <row r="802">
      <c r="A802" t="n">
        <v>1777448702</v>
      </c>
      <c r="B802" t="inlineStr">
        <is>
          <t>XAUUSD</t>
        </is>
      </c>
      <c r="C802" t="inlineStr">
        <is>
          <t>M15</t>
        </is>
      </c>
      <c r="D802" t="n">
        <v>4567.92</v>
      </c>
      <c r="E802" t="n">
        <v>4518.59282</v>
      </c>
      <c r="F802" t="n">
        <v>4596.05595</v>
      </c>
      <c r="G802" t="n">
        <v>4755.40355</v>
      </c>
      <c r="H802" t="n">
        <v>4792.76972</v>
      </c>
      <c r="Q802" t="n">
        <v>4603.55446</v>
      </c>
      <c r="R802" t="n">
        <v>4632.91776</v>
      </c>
      <c r="S802" t="n">
        <v>4659.50653</v>
      </c>
      <c r="V802" t="n">
        <v>4568.61469</v>
      </c>
      <c r="W802" t="n">
        <v>4535.04969</v>
      </c>
      <c r="AB802" t="n">
        <v>4570.13884</v>
      </c>
      <c r="AC802" t="n">
        <v>4572.28996</v>
      </c>
      <c r="AD802" t="n">
        <v>0</v>
      </c>
      <c r="AE802">
        <f>AE801+1</f>
        <v/>
      </c>
      <c r="AF802">
        <f>AF801+1</f>
        <v/>
      </c>
      <c r="AG802">
        <f>D802-Q802</f>
        <v/>
      </c>
      <c r="AH802">
        <f>AG802^2</f>
        <v/>
      </c>
      <c r="AI802">
        <f>(AG802/STDEV($AG$3:$AG$1137))^3</f>
        <v/>
      </c>
      <c r="AJ802">
        <f>(AG802/STDEV($AG$3:$AG$1137))^4</f>
        <v/>
      </c>
      <c r="AK802">
        <f>AF802^2</f>
        <v/>
      </c>
      <c r="AL802">
        <f>IF(AD802=1,AB802,IF(AL801&lt;&gt;"",AL801,""))</f>
        <v/>
      </c>
      <c r="AM802">
        <f>IF(AND(AD802=1,AL801&lt;&gt;""),ABS(AB802-AL801),"")</f>
        <v/>
      </c>
    </row>
    <row r="803">
      <c r="A803" t="n">
        <v>1777449602</v>
      </c>
      <c r="B803" t="inlineStr">
        <is>
          <t>XAUUSD</t>
        </is>
      </c>
      <c r="C803" t="inlineStr">
        <is>
          <t>M15</t>
        </is>
      </c>
      <c r="D803" t="n">
        <v>4565.44</v>
      </c>
      <c r="E803" t="n">
        <v>4518.59282</v>
      </c>
      <c r="F803" t="n">
        <v>4596.05595</v>
      </c>
      <c r="G803" t="n">
        <v>4755.40355</v>
      </c>
      <c r="H803" t="n">
        <v>4792.76972</v>
      </c>
      <c r="Q803" t="n">
        <v>4603.28686</v>
      </c>
      <c r="R803" t="n">
        <v>4632.65015</v>
      </c>
      <c r="S803" t="n">
        <v>4659.23893</v>
      </c>
      <c r="V803" t="n">
        <v>4568.34709</v>
      </c>
      <c r="W803" t="n">
        <v>4534.78209</v>
      </c>
      <c r="AB803" t="n">
        <v>4569.16033</v>
      </c>
      <c r="AC803" t="n">
        <v>4570.72515</v>
      </c>
      <c r="AD803" t="n">
        <v>0</v>
      </c>
      <c r="AE803">
        <f>AE802+1</f>
        <v/>
      </c>
      <c r="AF803">
        <f>AF802+1</f>
        <v/>
      </c>
      <c r="AG803">
        <f>D803-Q803</f>
        <v/>
      </c>
      <c r="AH803">
        <f>AG803^2</f>
        <v/>
      </c>
      <c r="AI803">
        <f>(AG803/STDEV($AG$3:$AG$1137))^3</f>
        <v/>
      </c>
      <c r="AJ803">
        <f>(AG803/STDEV($AG$3:$AG$1137))^4</f>
        <v/>
      </c>
      <c r="AK803">
        <f>AF803^2</f>
        <v/>
      </c>
      <c r="AL803">
        <f>IF(AD803=1,AB803,IF(AL802&lt;&gt;"",AL802,""))</f>
        <v/>
      </c>
      <c r="AM803">
        <f>IF(AND(AD803=1,AL802&lt;&gt;""),ABS(AB803-AL802),"")</f>
        <v/>
      </c>
    </row>
    <row r="804">
      <c r="A804" t="n">
        <v>1777450502</v>
      </c>
      <c r="B804" t="inlineStr">
        <is>
          <t>XAUUSD</t>
        </is>
      </c>
      <c r="C804" t="inlineStr">
        <is>
          <t>M15</t>
        </is>
      </c>
      <c r="D804" t="n">
        <v>4566.65</v>
      </c>
      <c r="E804" t="n">
        <v>4518.59282</v>
      </c>
      <c r="F804" t="n">
        <v>4596.05595</v>
      </c>
      <c r="G804" t="n">
        <v>4755.40355</v>
      </c>
      <c r="H804" t="n">
        <v>4792.76972</v>
      </c>
      <c r="Q804" t="n">
        <v>4603.01925</v>
      </c>
      <c r="R804" t="n">
        <v>4632.38255</v>
      </c>
      <c r="S804" t="n">
        <v>4658.97132</v>
      </c>
      <c r="V804" t="n">
        <v>4568.07948</v>
      </c>
      <c r="W804" t="n">
        <v>4534.51449</v>
      </c>
      <c r="AB804" t="n">
        <v>4568.61557</v>
      </c>
      <c r="AC804" t="n">
        <v>4569.67036</v>
      </c>
      <c r="AD804" t="n">
        <v>0</v>
      </c>
      <c r="AE804">
        <f>AE803+1</f>
        <v/>
      </c>
      <c r="AF804">
        <f>AF803+1</f>
        <v/>
      </c>
      <c r="AG804">
        <f>D804-Q804</f>
        <v/>
      </c>
      <c r="AH804">
        <f>AG804^2</f>
        <v/>
      </c>
      <c r="AI804">
        <f>(AG804/STDEV($AG$3:$AG$1137))^3</f>
        <v/>
      </c>
      <c r="AJ804">
        <f>(AG804/STDEV($AG$3:$AG$1137))^4</f>
        <v/>
      </c>
      <c r="AK804">
        <f>AF804^2</f>
        <v/>
      </c>
      <c r="AL804">
        <f>IF(AD804=1,AB804,IF(AL803&lt;&gt;"",AL803,""))</f>
        <v/>
      </c>
      <c r="AM804">
        <f>IF(AND(AD804=1,AL803&lt;&gt;""),ABS(AB804-AL803),"")</f>
        <v/>
      </c>
    </row>
    <row r="805">
      <c r="A805" t="n">
        <v>1777451402</v>
      </c>
      <c r="B805" t="inlineStr">
        <is>
          <t>XAUUSD</t>
        </is>
      </c>
      <c r="C805" t="inlineStr">
        <is>
          <t>M15</t>
        </is>
      </c>
      <c r="D805" t="n">
        <v>4568.37</v>
      </c>
      <c r="E805" t="n">
        <v>4518.59282</v>
      </c>
      <c r="F805" t="n">
        <v>4596.05595</v>
      </c>
      <c r="G805" t="n">
        <v>4755.40355</v>
      </c>
      <c r="H805" t="n">
        <v>4792.76972</v>
      </c>
      <c r="Q805" t="n">
        <v>4602.75165</v>
      </c>
      <c r="R805" t="n">
        <v>4632.11495</v>
      </c>
      <c r="S805" t="n">
        <v>4658.70372</v>
      </c>
      <c r="V805" t="n">
        <v>4567.81188</v>
      </c>
      <c r="W805" t="n">
        <v>4534.24688</v>
      </c>
      <c r="AB805" t="n">
        <v>4568.24917</v>
      </c>
      <c r="AC805" t="n">
        <v>4568.95976</v>
      </c>
      <c r="AD805" t="n">
        <v>0</v>
      </c>
      <c r="AE805">
        <f>AE804+1</f>
        <v/>
      </c>
      <c r="AF805">
        <f>AF804+1</f>
        <v/>
      </c>
      <c r="AG805">
        <f>D805-Q805</f>
        <v/>
      </c>
      <c r="AH805">
        <f>AG805^2</f>
        <v/>
      </c>
      <c r="AI805">
        <f>(AG805/STDEV($AG$3:$AG$1137))^3</f>
        <v/>
      </c>
      <c r="AJ805">
        <f>(AG805/STDEV($AG$3:$AG$1137))^4</f>
        <v/>
      </c>
      <c r="AK805">
        <f>AF805^2</f>
        <v/>
      </c>
      <c r="AL805">
        <f>IF(AD805=1,AB805,IF(AL804&lt;&gt;"",AL804,""))</f>
        <v/>
      </c>
      <c r="AM805">
        <f>IF(AND(AD805=1,AL804&lt;&gt;""),ABS(AB805-AL804),"")</f>
        <v/>
      </c>
    </row>
    <row r="806">
      <c r="A806" t="n">
        <v>1777452302</v>
      </c>
      <c r="B806" t="inlineStr">
        <is>
          <t>XAUUSD</t>
        </is>
      </c>
      <c r="C806" t="inlineStr">
        <is>
          <t>M15</t>
        </is>
      </c>
      <c r="D806" t="n">
        <v>4573.2</v>
      </c>
      <c r="E806" t="n">
        <v>4518.59282</v>
      </c>
      <c r="F806" t="n">
        <v>4596.05595</v>
      </c>
      <c r="G806" t="n">
        <v>4755.40355</v>
      </c>
      <c r="H806" t="n">
        <v>4792.76972</v>
      </c>
      <c r="Q806" t="n">
        <v>4602.48404</v>
      </c>
      <c r="R806" t="n">
        <v>4631.84734</v>
      </c>
      <c r="S806" t="n">
        <v>4658.43611</v>
      </c>
      <c r="V806" t="n">
        <v>4567.54427</v>
      </c>
      <c r="W806" t="n">
        <v>4533.97928</v>
      </c>
      <c r="AB806" t="n">
        <v>4567.82815</v>
      </c>
      <c r="AC806" t="n">
        <v>4568.39395</v>
      </c>
      <c r="AD806" t="n">
        <v>0</v>
      </c>
      <c r="AE806">
        <f>AE805+1</f>
        <v/>
      </c>
      <c r="AF806">
        <f>AF805+1</f>
        <v/>
      </c>
      <c r="AG806">
        <f>D806-Q806</f>
        <v/>
      </c>
      <c r="AH806">
        <f>AG806^2</f>
        <v/>
      </c>
      <c r="AI806">
        <f>(AG806/STDEV($AG$3:$AG$1137))^3</f>
        <v/>
      </c>
      <c r="AJ806">
        <f>(AG806/STDEV($AG$3:$AG$1137))^4</f>
        <v/>
      </c>
      <c r="AK806">
        <f>AF806^2</f>
        <v/>
      </c>
      <c r="AL806">
        <f>IF(AD806=1,AB806,IF(AL805&lt;&gt;"",AL805,""))</f>
        <v/>
      </c>
      <c r="AM806">
        <f>IF(AND(AD806=1,AL805&lt;&gt;""),ABS(AB806-AL805),"")</f>
        <v/>
      </c>
    </row>
    <row r="807">
      <c r="A807" t="n">
        <v>1777453202</v>
      </c>
      <c r="B807" t="inlineStr">
        <is>
          <t>XAUUSD</t>
        </is>
      </c>
      <c r="C807" t="inlineStr">
        <is>
          <t>M15</t>
        </is>
      </c>
      <c r="D807" t="n">
        <v>4574.2</v>
      </c>
      <c r="E807" t="n">
        <v>4518.59282</v>
      </c>
      <c r="F807" t="n">
        <v>4596.05595</v>
      </c>
      <c r="G807" t="n">
        <v>4755.40355</v>
      </c>
      <c r="H807" t="n">
        <v>4792.76972</v>
      </c>
      <c r="Q807" t="n">
        <v>4602.21644</v>
      </c>
      <c r="R807" t="n">
        <v>4631.57974</v>
      </c>
      <c r="S807" t="n">
        <v>4658.16851</v>
      </c>
      <c r="V807" t="n">
        <v>4567.27667</v>
      </c>
      <c r="W807" t="n">
        <v>4533.71167</v>
      </c>
      <c r="AB807" t="n">
        <v>4567.12603</v>
      </c>
      <c r="AC807" t="n">
        <v>4567.75999</v>
      </c>
      <c r="AD807" t="n">
        <v>0</v>
      </c>
      <c r="AE807">
        <f>AE806+1</f>
        <v/>
      </c>
      <c r="AF807">
        <f>AF806+1</f>
        <v/>
      </c>
      <c r="AG807">
        <f>D807-Q807</f>
        <v/>
      </c>
      <c r="AH807">
        <f>AG807^2</f>
        <v/>
      </c>
      <c r="AI807">
        <f>(AG807/STDEV($AG$3:$AG$1137))^3</f>
        <v/>
      </c>
      <c r="AJ807">
        <f>(AG807/STDEV($AG$3:$AG$1137))^4</f>
        <v/>
      </c>
      <c r="AK807">
        <f>AF807^2</f>
        <v/>
      </c>
      <c r="AL807">
        <f>IF(AD807=1,AB807,IF(AL806&lt;&gt;"",AL806,""))</f>
        <v/>
      </c>
      <c r="AM807">
        <f>IF(AND(AD807=1,AL806&lt;&gt;""),ABS(AB807-AL806),"")</f>
        <v/>
      </c>
    </row>
    <row r="808">
      <c r="A808" t="n">
        <v>1777454102</v>
      </c>
      <c r="B808" t="inlineStr">
        <is>
          <t>XAUUSD</t>
        </is>
      </c>
      <c r="C808" t="inlineStr">
        <is>
          <t>M15</t>
        </is>
      </c>
      <c r="D808" t="n">
        <v>4565.69</v>
      </c>
      <c r="E808" t="n">
        <v>4518.59282</v>
      </c>
      <c r="F808" t="n">
        <v>4596.05595</v>
      </c>
      <c r="G808" t="n">
        <v>4755.40355</v>
      </c>
      <c r="H808" t="n">
        <v>4792.76972</v>
      </c>
      <c r="Q808" t="n">
        <v>4601.94884</v>
      </c>
      <c r="R808" t="n">
        <v>4631.31213</v>
      </c>
      <c r="S808" t="n">
        <v>4657.9009</v>
      </c>
      <c r="V808" t="n">
        <v>4567.00907</v>
      </c>
      <c r="W808" t="n">
        <v>4533.44407</v>
      </c>
      <c r="AB808" t="n">
        <v>4566.14866</v>
      </c>
      <c r="AC808" t="n">
        <v>4566.95433</v>
      </c>
      <c r="AD808" t="n">
        <v>0</v>
      </c>
      <c r="AE808">
        <f>AE807+1</f>
        <v/>
      </c>
      <c r="AF808">
        <f>AF807+1</f>
        <v/>
      </c>
      <c r="AG808">
        <f>D808-Q808</f>
        <v/>
      </c>
      <c r="AH808">
        <f>AG808^2</f>
        <v/>
      </c>
      <c r="AI808">
        <f>(AG808/STDEV($AG$3:$AG$1137))^3</f>
        <v/>
      </c>
      <c r="AJ808">
        <f>(AG808/STDEV($AG$3:$AG$1137))^4</f>
        <v/>
      </c>
      <c r="AK808">
        <f>AF808^2</f>
        <v/>
      </c>
      <c r="AL808">
        <f>IF(AD808=1,AB808,IF(AL807&lt;&gt;"",AL807,""))</f>
        <v/>
      </c>
      <c r="AM808">
        <f>IF(AND(AD808=1,AL807&lt;&gt;""),ABS(AB808-AL807),"")</f>
        <v/>
      </c>
    </row>
    <row r="809">
      <c r="A809" t="n">
        <v>1777455002</v>
      </c>
      <c r="B809" t="inlineStr">
        <is>
          <t>XAUUSD</t>
        </is>
      </c>
      <c r="C809" t="inlineStr">
        <is>
          <t>M15</t>
        </is>
      </c>
      <c r="D809" t="n">
        <v>4558.86</v>
      </c>
      <c r="E809" t="n">
        <v>4518.59282</v>
      </c>
      <c r="F809" t="n">
        <v>4596.05595</v>
      </c>
      <c r="G809" t="n">
        <v>4755.40355</v>
      </c>
      <c r="H809" t="n">
        <v>4792.76972</v>
      </c>
      <c r="Q809" t="n">
        <v>4601.68123</v>
      </c>
      <c r="R809" t="n">
        <v>4631.04453</v>
      </c>
      <c r="S809" t="n">
        <v>4657.6333</v>
      </c>
      <c r="V809" t="n">
        <v>4566.74146</v>
      </c>
      <c r="W809" t="n">
        <v>4533.17646</v>
      </c>
      <c r="AB809" t="n">
        <v>4565.28688</v>
      </c>
      <c r="AC809" t="n">
        <v>4566.1206</v>
      </c>
      <c r="AD809" t="n">
        <v>0</v>
      </c>
      <c r="AE809">
        <f>AE808+1</f>
        <v/>
      </c>
      <c r="AF809">
        <f>AF808+1</f>
        <v/>
      </c>
      <c r="AG809">
        <f>D809-Q809</f>
        <v/>
      </c>
      <c r="AH809">
        <f>AG809^2</f>
        <v/>
      </c>
      <c r="AI809">
        <f>(AG809/STDEV($AG$3:$AG$1137))^3</f>
        <v/>
      </c>
      <c r="AJ809">
        <f>(AG809/STDEV($AG$3:$AG$1137))^4</f>
        <v/>
      </c>
      <c r="AK809">
        <f>AF809^2</f>
        <v/>
      </c>
      <c r="AL809">
        <f>IF(AD809=1,AB809,IF(AL808&lt;&gt;"",AL808,""))</f>
        <v/>
      </c>
      <c r="AM809">
        <f>IF(AND(AD809=1,AL808&lt;&gt;""),ABS(AB809-AL808),"")</f>
        <v/>
      </c>
    </row>
    <row r="810">
      <c r="A810" t="n">
        <v>1777455902</v>
      </c>
      <c r="B810" t="inlineStr">
        <is>
          <t>XAUUSD</t>
        </is>
      </c>
      <c r="C810" t="inlineStr">
        <is>
          <t>M15</t>
        </is>
      </c>
      <c r="D810" t="n">
        <v>4555.94</v>
      </c>
      <c r="E810" t="n">
        <v>4518.59282</v>
      </c>
      <c r="F810" t="n">
        <v>4596.05595</v>
      </c>
      <c r="G810" t="n">
        <v>4755.40355</v>
      </c>
      <c r="H810" t="n">
        <v>4792.76972</v>
      </c>
      <c r="Q810" t="n">
        <v>4601.41363</v>
      </c>
      <c r="R810" t="n">
        <v>4630.77693</v>
      </c>
      <c r="S810" t="n">
        <v>4657.3657</v>
      </c>
      <c r="V810" t="n">
        <v>4566.47386</v>
      </c>
      <c r="W810" t="n">
        <v>4532.90886</v>
      </c>
      <c r="AB810" t="n">
        <v>4564.86135</v>
      </c>
      <c r="AC810" t="n">
        <v>4565.49098</v>
      </c>
      <c r="AD810" t="n">
        <v>0</v>
      </c>
      <c r="AE810">
        <f>AE809+1</f>
        <v/>
      </c>
      <c r="AF810">
        <f>AF809+1</f>
        <v/>
      </c>
      <c r="AG810">
        <f>D810-Q810</f>
        <v/>
      </c>
      <c r="AH810">
        <f>AG810^2</f>
        <v/>
      </c>
      <c r="AI810">
        <f>(AG810/STDEV($AG$3:$AG$1137))^3</f>
        <v/>
      </c>
      <c r="AJ810">
        <f>(AG810/STDEV($AG$3:$AG$1137))^4</f>
        <v/>
      </c>
      <c r="AK810">
        <f>AF810^2</f>
        <v/>
      </c>
      <c r="AL810">
        <f>IF(AD810=1,AB810,IF(AL809&lt;&gt;"",AL809,""))</f>
        <v/>
      </c>
      <c r="AM810">
        <f>IF(AND(AD810=1,AL809&lt;&gt;""),ABS(AB810-AL809),"")</f>
        <v/>
      </c>
    </row>
    <row r="811">
      <c r="A811" t="n">
        <v>1777456802</v>
      </c>
      <c r="B811" t="inlineStr">
        <is>
          <t>XAUUSD</t>
        </is>
      </c>
      <c r="C811" t="inlineStr">
        <is>
          <t>M15</t>
        </is>
      </c>
      <c r="D811" t="n">
        <v>4568.04</v>
      </c>
      <c r="E811" t="n">
        <v>4518.59282</v>
      </c>
      <c r="F811" t="n">
        <v>4596.05595</v>
      </c>
      <c r="G811" t="n">
        <v>4755.40355</v>
      </c>
      <c r="H811" t="n">
        <v>4792.76972</v>
      </c>
      <c r="Q811" t="n">
        <v>4601.14602</v>
      </c>
      <c r="R811" t="n">
        <v>4630.50932</v>
      </c>
      <c r="S811" t="n">
        <v>4657.09809</v>
      </c>
      <c r="V811" t="n">
        <v>4566.20625</v>
      </c>
      <c r="W811" t="n">
        <v>4532.64126</v>
      </c>
      <c r="AB811" t="n">
        <v>4565.07204</v>
      </c>
      <c r="AC811" t="n">
        <v>4565.28151</v>
      </c>
      <c r="AD811" t="n">
        <v>0</v>
      </c>
      <c r="AE811">
        <f>AE810+1</f>
        <v/>
      </c>
      <c r="AF811">
        <f>AF810+1</f>
        <v/>
      </c>
      <c r="AG811">
        <f>D811-Q811</f>
        <v/>
      </c>
      <c r="AH811">
        <f>AG811^2</f>
        <v/>
      </c>
      <c r="AI811">
        <f>(AG811/STDEV($AG$3:$AG$1137))^3</f>
        <v/>
      </c>
      <c r="AJ811">
        <f>(AG811/STDEV($AG$3:$AG$1137))^4</f>
        <v/>
      </c>
      <c r="AK811">
        <f>AF811^2</f>
        <v/>
      </c>
      <c r="AL811">
        <f>IF(AD811=1,AB811,IF(AL810&lt;&gt;"",AL810,""))</f>
        <v/>
      </c>
      <c r="AM811">
        <f>IF(AND(AD811=1,AL810&lt;&gt;""),ABS(AB811-AL810),"")</f>
        <v/>
      </c>
    </row>
    <row r="812">
      <c r="A812" t="n">
        <v>1777457702</v>
      </c>
      <c r="B812" t="inlineStr">
        <is>
          <t>XAUUSD</t>
        </is>
      </c>
      <c r="C812" t="inlineStr">
        <is>
          <t>M15</t>
        </is>
      </c>
      <c r="D812" t="n">
        <v>4571.78</v>
      </c>
      <c r="E812" t="n">
        <v>4518.59282</v>
      </c>
      <c r="F812" t="n">
        <v>4596.05595</v>
      </c>
      <c r="G812" t="n">
        <v>4755.40355</v>
      </c>
      <c r="H812" t="n">
        <v>4792.76972</v>
      </c>
      <c r="Q812" t="n">
        <v>4600.87842</v>
      </c>
      <c r="R812" t="n">
        <v>4630.24172</v>
      </c>
      <c r="S812" t="n">
        <v>4656.83049</v>
      </c>
      <c r="V812" t="n">
        <v>4565.93865</v>
      </c>
      <c r="W812" t="n">
        <v>4532.37365</v>
      </c>
      <c r="AB812" t="n">
        <v>4565.60789</v>
      </c>
      <c r="AC812" t="n">
        <v>4565.4447</v>
      </c>
      <c r="AD812" t="n">
        <v>1</v>
      </c>
      <c r="AE812">
        <f>AE811+1</f>
        <v/>
      </c>
      <c r="AF812">
        <f>AF811+1</f>
        <v/>
      </c>
      <c r="AG812">
        <f>D812-Q812</f>
        <v/>
      </c>
      <c r="AH812">
        <f>AG812^2</f>
        <v/>
      </c>
      <c r="AI812">
        <f>(AG812/STDEV($AG$3:$AG$1137))^3</f>
        <v/>
      </c>
      <c r="AJ812">
        <f>(AG812/STDEV($AG$3:$AG$1137))^4</f>
        <v/>
      </c>
      <c r="AK812">
        <f>AF812^2</f>
        <v/>
      </c>
      <c r="AL812">
        <f>IF(AD812=1,AB812,IF(AL811&lt;&gt;"",AL811,""))</f>
        <v/>
      </c>
      <c r="AM812">
        <f>IF(AND(AD812=1,AL811&lt;&gt;""),ABS(AB812-AL811),"")</f>
        <v/>
      </c>
    </row>
    <row r="813">
      <c r="A813" t="n">
        <v>1777458602</v>
      </c>
      <c r="B813" t="inlineStr">
        <is>
          <t>XAUUSD</t>
        </is>
      </c>
      <c r="C813" t="inlineStr">
        <is>
          <t>M15</t>
        </is>
      </c>
      <c r="D813" t="n">
        <v>4566.36</v>
      </c>
      <c r="E813" t="n">
        <v>4518.59282</v>
      </c>
      <c r="F813" t="n">
        <v>4596.05595</v>
      </c>
      <c r="G813" t="n">
        <v>4755.40355</v>
      </c>
      <c r="H813" t="n">
        <v>4792.76972</v>
      </c>
      <c r="Q813" t="n">
        <v>4600.61081</v>
      </c>
      <c r="R813" t="n">
        <v>4629.97411</v>
      </c>
      <c r="S813" t="n">
        <v>4656.56288</v>
      </c>
      <c r="V813" t="n">
        <v>4565.67104</v>
      </c>
      <c r="W813" t="n">
        <v>4532.10605</v>
      </c>
      <c r="AB813" t="n">
        <v>4566.29792</v>
      </c>
      <c r="AC813" t="n">
        <v>4565.87131</v>
      </c>
      <c r="AD813" t="n">
        <v>0</v>
      </c>
      <c r="AE813">
        <f>AE812+1</f>
        <v/>
      </c>
      <c r="AF813">
        <f>AF812+1</f>
        <v/>
      </c>
      <c r="AG813">
        <f>D813-Q813</f>
        <v/>
      </c>
      <c r="AH813">
        <f>AG813^2</f>
        <v/>
      </c>
      <c r="AI813">
        <f>(AG813/STDEV($AG$3:$AG$1137))^3</f>
        <v/>
      </c>
      <c r="AJ813">
        <f>(AG813/STDEV($AG$3:$AG$1137))^4</f>
        <v/>
      </c>
      <c r="AK813">
        <f>AF813^2</f>
        <v/>
      </c>
      <c r="AL813">
        <f>IF(AD813=1,AB813,IF(AL812&lt;&gt;"",AL812,""))</f>
        <v/>
      </c>
      <c r="AM813">
        <f>IF(AND(AD813=1,AL812&lt;&gt;""),ABS(AB813-AL812),"")</f>
        <v/>
      </c>
    </row>
    <row r="814">
      <c r="A814" t="n">
        <v>1777459502</v>
      </c>
      <c r="B814" t="inlineStr">
        <is>
          <t>XAUUSD</t>
        </is>
      </c>
      <c r="C814" t="inlineStr">
        <is>
          <t>M15</t>
        </is>
      </c>
      <c r="D814" t="n">
        <v>4569.98</v>
      </c>
      <c r="E814" t="n">
        <v>4518.59282</v>
      </c>
      <c r="F814" t="n">
        <v>4596.05595</v>
      </c>
      <c r="G814" t="n">
        <v>4755.40355</v>
      </c>
      <c r="H814" t="n">
        <v>4792.76972</v>
      </c>
      <c r="Q814" t="n">
        <v>4600.34321</v>
      </c>
      <c r="R814" t="n">
        <v>4629.70651</v>
      </c>
      <c r="S814" t="n">
        <v>4656.29528</v>
      </c>
      <c r="V814" t="n">
        <v>4565.40344</v>
      </c>
      <c r="W814" t="n">
        <v>4531.83844</v>
      </c>
      <c r="AB814" t="n">
        <v>4567.16354</v>
      </c>
      <c r="AC814" t="n">
        <v>4566.51742</v>
      </c>
      <c r="AD814" t="n">
        <v>0</v>
      </c>
      <c r="AE814">
        <f>AE813+1</f>
        <v/>
      </c>
      <c r="AF814">
        <f>AF813+1</f>
        <v/>
      </c>
      <c r="AG814">
        <f>D814-Q814</f>
        <v/>
      </c>
      <c r="AH814">
        <f>AG814^2</f>
        <v/>
      </c>
      <c r="AI814">
        <f>(AG814/STDEV($AG$3:$AG$1137))^3</f>
        <v/>
      </c>
      <c r="AJ814">
        <f>(AG814/STDEV($AG$3:$AG$1137))^4</f>
        <v/>
      </c>
      <c r="AK814">
        <f>AF814^2</f>
        <v/>
      </c>
      <c r="AL814">
        <f>IF(AD814=1,AB814,IF(AL813&lt;&gt;"",AL813,""))</f>
        <v/>
      </c>
      <c r="AM814">
        <f>IF(AND(AD814=1,AL813&lt;&gt;""),ABS(AB814-AL813),"")</f>
        <v/>
      </c>
    </row>
    <row r="815">
      <c r="A815" t="n">
        <v>1777460402</v>
      </c>
      <c r="B815" t="inlineStr">
        <is>
          <t>XAUUSD</t>
        </is>
      </c>
      <c r="C815" t="inlineStr">
        <is>
          <t>M15</t>
        </is>
      </c>
      <c r="D815" t="n">
        <v>4568.02</v>
      </c>
      <c r="E815" t="n">
        <v>4518.59282</v>
      </c>
      <c r="F815" t="n">
        <v>4596.05595</v>
      </c>
      <c r="G815" t="n">
        <v>4755.40355</v>
      </c>
      <c r="H815" t="n">
        <v>4792.76972</v>
      </c>
      <c r="Q815" t="n">
        <v>4600.07561</v>
      </c>
      <c r="R815" t="n">
        <v>4629.43891</v>
      </c>
      <c r="S815" t="n">
        <v>4656.02768</v>
      </c>
      <c r="V815" t="n">
        <v>4565.13584</v>
      </c>
      <c r="W815" t="n">
        <v>4531.57084</v>
      </c>
      <c r="AB815" t="n">
        <v>4567.85456</v>
      </c>
      <c r="AC815" t="n">
        <v>4567.18599</v>
      </c>
      <c r="AD815" t="n">
        <v>0</v>
      </c>
      <c r="AE815">
        <f>AE814+1</f>
        <v/>
      </c>
      <c r="AF815">
        <f>AF814+1</f>
        <v/>
      </c>
      <c r="AG815">
        <f>D815-Q815</f>
        <v/>
      </c>
      <c r="AH815">
        <f>AG815^2</f>
        <v/>
      </c>
      <c r="AI815">
        <f>(AG815/STDEV($AG$3:$AG$1137))^3</f>
        <v/>
      </c>
      <c r="AJ815">
        <f>(AG815/STDEV($AG$3:$AG$1137))^4</f>
        <v/>
      </c>
      <c r="AK815">
        <f>AF815^2</f>
        <v/>
      </c>
      <c r="AL815">
        <f>IF(AD815=1,AB815,IF(AL814&lt;&gt;"",AL814,""))</f>
        <v/>
      </c>
      <c r="AM815">
        <f>IF(AND(AD815=1,AL814&lt;&gt;""),ABS(AB815-AL814),"")</f>
        <v/>
      </c>
    </row>
    <row r="816">
      <c r="A816" t="n">
        <v>1777461302</v>
      </c>
      <c r="B816" t="inlineStr">
        <is>
          <t>XAUUSD</t>
        </is>
      </c>
      <c r="C816" t="inlineStr">
        <is>
          <t>M15</t>
        </is>
      </c>
      <c r="D816" t="n">
        <v>4564.76</v>
      </c>
      <c r="E816" t="n">
        <v>4518.59282</v>
      </c>
      <c r="F816" t="n">
        <v>4596.05595</v>
      </c>
      <c r="G816" t="n">
        <v>4755.40355</v>
      </c>
      <c r="H816" t="n">
        <v>4792.76972</v>
      </c>
      <c r="Q816" t="n">
        <v>4599.808</v>
      </c>
      <c r="R816" t="n">
        <v>4629.1713</v>
      </c>
      <c r="S816" t="n">
        <v>4655.76007</v>
      </c>
      <c r="V816" t="n">
        <v>4564.86823</v>
      </c>
      <c r="W816" t="n">
        <v>4531.30324</v>
      </c>
      <c r="AB816" t="n">
        <v>4568.1324</v>
      </c>
      <c r="AC816" t="n">
        <v>4567.65919</v>
      </c>
      <c r="AD816" t="n">
        <v>0</v>
      </c>
      <c r="AE816">
        <f>AE815+1</f>
        <v/>
      </c>
      <c r="AF816">
        <f>AF815+1</f>
        <v/>
      </c>
      <c r="AG816">
        <f>D816-Q816</f>
        <v/>
      </c>
      <c r="AH816">
        <f>AG816^2</f>
        <v/>
      </c>
      <c r="AI816">
        <f>(AG816/STDEV($AG$3:$AG$1137))^3</f>
        <v/>
      </c>
      <c r="AJ816">
        <f>(AG816/STDEV($AG$3:$AG$1137))^4</f>
        <v/>
      </c>
      <c r="AK816">
        <f>AF816^2</f>
        <v/>
      </c>
      <c r="AL816">
        <f>IF(AD816=1,AB816,IF(AL815&lt;&gt;"",AL815,""))</f>
        <v/>
      </c>
      <c r="AM816">
        <f>IF(AND(AD816=1,AL815&lt;&gt;""),ABS(AB816-AL815),"")</f>
        <v/>
      </c>
    </row>
    <row r="817">
      <c r="A817" t="n">
        <v>1777462202</v>
      </c>
      <c r="B817" t="inlineStr">
        <is>
          <t>XAUUSD</t>
        </is>
      </c>
      <c r="C817" t="inlineStr">
        <is>
          <t>M15</t>
        </is>
      </c>
      <c r="D817" t="n">
        <v>4567.03</v>
      </c>
      <c r="E817" t="n">
        <v>4518.59282</v>
      </c>
      <c r="F817" t="n">
        <v>4596.05595</v>
      </c>
      <c r="G817" t="n">
        <v>4755.40355</v>
      </c>
      <c r="H817" t="n">
        <v>4792.76972</v>
      </c>
      <c r="Q817" t="n">
        <v>4599.5404</v>
      </c>
      <c r="R817" t="n">
        <v>4628.9037</v>
      </c>
      <c r="S817" t="n">
        <v>4655.49247</v>
      </c>
      <c r="V817" t="n">
        <v>4564.60063</v>
      </c>
      <c r="W817" t="n">
        <v>4531.03563</v>
      </c>
      <c r="AB817" t="n">
        <v>4567.69281</v>
      </c>
      <c r="AC817" t="n">
        <v>4567.676</v>
      </c>
      <c r="AD817" t="n">
        <v>0</v>
      </c>
      <c r="AE817">
        <f>AE816+1</f>
        <v/>
      </c>
      <c r="AF817">
        <f>AF816+1</f>
        <v/>
      </c>
      <c r="AG817">
        <f>D817-Q817</f>
        <v/>
      </c>
      <c r="AH817">
        <f>AG817^2</f>
        <v/>
      </c>
      <c r="AI817">
        <f>(AG817/STDEV($AG$3:$AG$1137))^3</f>
        <v/>
      </c>
      <c r="AJ817">
        <f>(AG817/STDEV($AG$3:$AG$1137))^4</f>
        <v/>
      </c>
      <c r="AK817">
        <f>AF817^2</f>
        <v/>
      </c>
      <c r="AL817">
        <f>IF(AD817=1,AB817,IF(AL816&lt;&gt;"",AL816,""))</f>
        <v/>
      </c>
      <c r="AM817">
        <f>IF(AND(AD817=1,AL816&lt;&gt;""),ABS(AB817-AL816),"")</f>
        <v/>
      </c>
    </row>
    <row r="818">
      <c r="A818" t="n">
        <v>1777463102</v>
      </c>
      <c r="B818" t="inlineStr">
        <is>
          <t>XAUUSD</t>
        </is>
      </c>
      <c r="C818" t="inlineStr">
        <is>
          <t>M15</t>
        </is>
      </c>
      <c r="D818" t="n">
        <v>4561.87</v>
      </c>
      <c r="E818" t="n">
        <v>4518.59282</v>
      </c>
      <c r="F818" t="n">
        <v>4596.05595</v>
      </c>
      <c r="G818" t="n">
        <v>4755.40355</v>
      </c>
      <c r="H818" t="n">
        <v>4792.76972</v>
      </c>
      <c r="Q818" t="n">
        <v>4599.27279</v>
      </c>
      <c r="R818" t="n">
        <v>4628.63609</v>
      </c>
      <c r="S818" t="n">
        <v>4655.22486</v>
      </c>
      <c r="V818" t="n">
        <v>4564.33302</v>
      </c>
      <c r="W818" t="n">
        <v>4530.76803</v>
      </c>
      <c r="AB818" t="n">
        <v>4566.10145</v>
      </c>
      <c r="AC818" t="n">
        <v>4566.88873</v>
      </c>
      <c r="AD818" t="n">
        <v>1</v>
      </c>
      <c r="AE818">
        <f>AE817+1</f>
        <v/>
      </c>
      <c r="AF818">
        <f>AF817+1</f>
        <v/>
      </c>
      <c r="AG818">
        <f>D818-Q818</f>
        <v/>
      </c>
      <c r="AH818">
        <f>AG818^2</f>
        <v/>
      </c>
      <c r="AI818">
        <f>(AG818/STDEV($AG$3:$AG$1137))^3</f>
        <v/>
      </c>
      <c r="AJ818">
        <f>(AG818/STDEV($AG$3:$AG$1137))^4</f>
        <v/>
      </c>
      <c r="AK818">
        <f>AF818^2</f>
        <v/>
      </c>
      <c r="AL818">
        <f>IF(AD818=1,AB818,IF(AL817&lt;&gt;"",AL817,""))</f>
        <v/>
      </c>
      <c r="AM818">
        <f>IF(AND(AD818=1,AL817&lt;&gt;""),ABS(AB818-AL817),"")</f>
        <v/>
      </c>
    </row>
    <row r="819">
      <c r="A819" t="n">
        <v>1777464002</v>
      </c>
      <c r="B819" t="inlineStr">
        <is>
          <t>XAUUSD</t>
        </is>
      </c>
      <c r="C819" t="inlineStr">
        <is>
          <t>M15</t>
        </is>
      </c>
      <c r="D819" t="n">
        <v>4564.41</v>
      </c>
      <c r="E819" t="n">
        <v>4518.59282</v>
      </c>
      <c r="F819" t="n">
        <v>4596.05595</v>
      </c>
      <c r="G819" t="n">
        <v>4755.40355</v>
      </c>
      <c r="H819" t="n">
        <v>4792.76972</v>
      </c>
      <c r="Q819" t="n">
        <v>4599.00519</v>
      </c>
      <c r="R819" t="n">
        <v>4628.36849</v>
      </c>
      <c r="S819" t="n">
        <v>4654.95726</v>
      </c>
      <c r="V819" t="n">
        <v>4564.06542</v>
      </c>
      <c r="W819" t="n">
        <v>4530.50042</v>
      </c>
      <c r="AB819" t="n">
        <v>4563.24936</v>
      </c>
      <c r="AC819" t="n">
        <v>4565.06904</v>
      </c>
      <c r="AD819" t="n">
        <v>0</v>
      </c>
      <c r="AE819">
        <f>AE818+1</f>
        <v/>
      </c>
      <c r="AF819">
        <f>AF818+1</f>
        <v/>
      </c>
      <c r="AG819">
        <f>D819-Q819</f>
        <v/>
      </c>
      <c r="AH819">
        <f>AG819^2</f>
        <v/>
      </c>
      <c r="AI819">
        <f>(AG819/STDEV($AG$3:$AG$1137))^3</f>
        <v/>
      </c>
      <c r="AJ819">
        <f>(AG819/STDEV($AG$3:$AG$1137))^4</f>
        <v/>
      </c>
      <c r="AK819">
        <f>AF819^2</f>
        <v/>
      </c>
      <c r="AL819">
        <f>IF(AD819=1,AB819,IF(AL818&lt;&gt;"",AL818,""))</f>
        <v/>
      </c>
      <c r="AM819">
        <f>IF(AND(AD819=1,AL818&lt;&gt;""),ABS(AB819-AL818),"")</f>
        <v/>
      </c>
    </row>
    <row r="820">
      <c r="A820" t="n">
        <v>1777464902</v>
      </c>
      <c r="B820" t="inlineStr">
        <is>
          <t>XAUUSD</t>
        </is>
      </c>
      <c r="C820" t="inlineStr">
        <is>
          <t>M15</t>
        </is>
      </c>
      <c r="D820" t="n">
        <v>4559.4</v>
      </c>
      <c r="E820" t="n">
        <v>4518.59282</v>
      </c>
      <c r="F820" t="n">
        <v>4596.05595</v>
      </c>
      <c r="G820" t="n">
        <v>4755.40355</v>
      </c>
      <c r="H820" t="n">
        <v>4792.76972</v>
      </c>
      <c r="Q820" t="n">
        <v>4598.73759</v>
      </c>
      <c r="R820" t="n">
        <v>4628.10089</v>
      </c>
      <c r="S820" t="n">
        <v>4654.68966</v>
      </c>
      <c r="V820" t="n">
        <v>4563.79782</v>
      </c>
      <c r="W820" t="n">
        <v>4530.23282</v>
      </c>
      <c r="AB820" t="n">
        <v>4558.9607</v>
      </c>
      <c r="AC820" t="n">
        <v>4562.01487</v>
      </c>
      <c r="AD820" t="n">
        <v>0</v>
      </c>
      <c r="AE820">
        <f>AE819+1</f>
        <v/>
      </c>
      <c r="AF820">
        <f>AF819+1</f>
        <v/>
      </c>
      <c r="AG820">
        <f>D820-Q820</f>
        <v/>
      </c>
      <c r="AH820">
        <f>AG820^2</f>
        <v/>
      </c>
      <c r="AI820">
        <f>(AG820/STDEV($AG$3:$AG$1137))^3</f>
        <v/>
      </c>
      <c r="AJ820">
        <f>(AG820/STDEV($AG$3:$AG$1137))^4</f>
        <v/>
      </c>
      <c r="AK820">
        <f>AF820^2</f>
        <v/>
      </c>
      <c r="AL820">
        <f>IF(AD820=1,AB820,IF(AL819&lt;&gt;"",AL819,""))</f>
        <v/>
      </c>
      <c r="AM820">
        <f>IF(AND(AD820=1,AL819&lt;&gt;""),ABS(AB820-AL819),"")</f>
        <v/>
      </c>
    </row>
    <row r="821">
      <c r="A821" t="n">
        <v>1777465802</v>
      </c>
      <c r="B821" t="inlineStr">
        <is>
          <t>XAUUSD</t>
        </is>
      </c>
      <c r="C821" t="inlineStr">
        <is>
          <t>M15</t>
        </is>
      </c>
      <c r="D821" t="n">
        <v>4557.62</v>
      </c>
      <c r="E821" t="n">
        <v>4518.59282</v>
      </c>
      <c r="F821" t="n">
        <v>4596.05595</v>
      </c>
      <c r="G821" t="n">
        <v>4755.40355</v>
      </c>
      <c r="H821" t="n">
        <v>4792.76972</v>
      </c>
      <c r="Q821" t="n">
        <v>4598.46998</v>
      </c>
      <c r="R821" t="n">
        <v>4627.83328</v>
      </c>
      <c r="S821" t="n">
        <v>4654.42205</v>
      </c>
      <c r="V821" t="n">
        <v>4563.53021</v>
      </c>
      <c r="W821" t="n">
        <v>4529.96522</v>
      </c>
      <c r="AB821" t="n">
        <v>4553.43356</v>
      </c>
      <c r="AC821" t="n">
        <v>4557.72422</v>
      </c>
      <c r="AD821" t="n">
        <v>0</v>
      </c>
      <c r="AE821">
        <f>AE820+1</f>
        <v/>
      </c>
      <c r="AF821">
        <f>AF820+1</f>
        <v/>
      </c>
      <c r="AG821">
        <f>D821-Q821</f>
        <v/>
      </c>
      <c r="AH821">
        <f>AG821^2</f>
        <v/>
      </c>
      <c r="AI821">
        <f>(AG821/STDEV($AG$3:$AG$1137))^3</f>
        <v/>
      </c>
      <c r="AJ821">
        <f>(AG821/STDEV($AG$3:$AG$1137))^4</f>
        <v/>
      </c>
      <c r="AK821">
        <f>AF821^2</f>
        <v/>
      </c>
      <c r="AL821">
        <f>IF(AD821=1,AB821,IF(AL820&lt;&gt;"",AL820,""))</f>
        <v/>
      </c>
      <c r="AM821">
        <f>IF(AND(AD821=1,AL820&lt;&gt;""),ABS(AB821-AL820),"")</f>
        <v/>
      </c>
    </row>
    <row r="822">
      <c r="A822" t="n">
        <v>1777466702</v>
      </c>
      <c r="B822" t="inlineStr">
        <is>
          <t>XAUUSD</t>
        </is>
      </c>
      <c r="C822" t="inlineStr">
        <is>
          <t>M15</t>
        </is>
      </c>
      <c r="D822" t="n">
        <v>4544.9</v>
      </c>
      <c r="E822" t="n">
        <v>4518.59282</v>
      </c>
      <c r="F822" t="n">
        <v>4596.05595</v>
      </c>
      <c r="G822" t="n">
        <v>4755.40355</v>
      </c>
      <c r="H822" t="n">
        <v>4792.76972</v>
      </c>
      <c r="Q822" t="n">
        <v>4598.20238</v>
      </c>
      <c r="R822" t="n">
        <v>4627.56568</v>
      </c>
      <c r="S822" t="n">
        <v>4654.15445</v>
      </c>
      <c r="V822" t="n">
        <v>4563.26261</v>
      </c>
      <c r="W822" t="n">
        <v>4529.69761</v>
      </c>
      <c r="AB822" t="n">
        <v>4547.01485</v>
      </c>
      <c r="AC822" t="n">
        <v>4552.36953</v>
      </c>
      <c r="AD822" t="n">
        <v>0</v>
      </c>
      <c r="AE822">
        <f>AE821+1</f>
        <v/>
      </c>
      <c r="AF822">
        <f>AF821+1</f>
        <v/>
      </c>
      <c r="AG822">
        <f>D822-Q822</f>
        <v/>
      </c>
      <c r="AH822">
        <f>AG822^2</f>
        <v/>
      </c>
      <c r="AI822">
        <f>(AG822/STDEV($AG$3:$AG$1137))^3</f>
        <v/>
      </c>
      <c r="AJ822">
        <f>(AG822/STDEV($AG$3:$AG$1137))^4</f>
        <v/>
      </c>
      <c r="AK822">
        <f>AF822^2</f>
        <v/>
      </c>
      <c r="AL822">
        <f>IF(AD822=1,AB822,IF(AL821&lt;&gt;"",AL821,""))</f>
        <v/>
      </c>
      <c r="AM822">
        <f>IF(AND(AD822=1,AL821&lt;&gt;""),ABS(AB822-AL821),"")</f>
        <v/>
      </c>
    </row>
    <row r="823">
      <c r="A823" t="n">
        <v>1777467602</v>
      </c>
      <c r="B823" t="inlineStr">
        <is>
          <t>XAUUSD</t>
        </is>
      </c>
      <c r="C823" t="inlineStr">
        <is>
          <t>M15</t>
        </is>
      </c>
      <c r="D823" t="n">
        <v>4549.8</v>
      </c>
      <c r="E823" t="n">
        <v>4518.59282</v>
      </c>
      <c r="F823" t="n">
        <v>4596.05595</v>
      </c>
      <c r="G823" t="n">
        <v>4755.40355</v>
      </c>
      <c r="H823" t="n">
        <v>4792.76972</v>
      </c>
      <c r="Q823" t="n">
        <v>4597.93477</v>
      </c>
      <c r="R823" t="n">
        <v>4627.29807</v>
      </c>
      <c r="S823" t="n">
        <v>4653.88684</v>
      </c>
      <c r="V823" t="n">
        <v>4562.995</v>
      </c>
      <c r="W823" t="n">
        <v>4529.43001</v>
      </c>
      <c r="AB823" t="n">
        <v>4540.52002</v>
      </c>
      <c r="AC823" t="n">
        <v>4546.44477</v>
      </c>
      <c r="AD823" t="n">
        <v>0</v>
      </c>
      <c r="AE823">
        <f>AE822+1</f>
        <v/>
      </c>
      <c r="AF823">
        <f>AF822+1</f>
        <v/>
      </c>
      <c r="AG823">
        <f>D823-Q823</f>
        <v/>
      </c>
      <c r="AH823">
        <f>AG823^2</f>
        <v/>
      </c>
      <c r="AI823">
        <f>(AG823/STDEV($AG$3:$AG$1137))^3</f>
        <v/>
      </c>
      <c r="AJ823">
        <f>(AG823/STDEV($AG$3:$AG$1137))^4</f>
        <v/>
      </c>
      <c r="AK823">
        <f>AF823^2</f>
        <v/>
      </c>
      <c r="AL823">
        <f>IF(AD823=1,AB823,IF(AL822&lt;&gt;"",AL822,""))</f>
        <v/>
      </c>
      <c r="AM823">
        <f>IF(AND(AD823=1,AL822&lt;&gt;""),ABS(AB823-AL822),"")</f>
        <v/>
      </c>
    </row>
    <row r="824">
      <c r="A824" t="n">
        <v>1777468502</v>
      </c>
      <c r="B824" t="inlineStr">
        <is>
          <t>XAUUSD</t>
        </is>
      </c>
      <c r="C824" t="inlineStr">
        <is>
          <t>M15</t>
        </is>
      </c>
      <c r="D824" t="n">
        <v>4537.82</v>
      </c>
      <c r="E824" t="n">
        <v>4518.59282</v>
      </c>
      <c r="F824" t="n">
        <v>4596.05595</v>
      </c>
      <c r="G824" t="n">
        <v>4755.40355</v>
      </c>
      <c r="H824" t="n">
        <v>4792.76972</v>
      </c>
      <c r="Q824" t="n">
        <v>4597.66717</v>
      </c>
      <c r="R824" t="n">
        <v>4627.03047</v>
      </c>
      <c r="S824" t="n">
        <v>4653.61924</v>
      </c>
      <c r="V824" t="n">
        <v>4562.7274</v>
      </c>
      <c r="W824" t="n">
        <v>4529.1624</v>
      </c>
      <c r="AB824" t="n">
        <v>4534.37601</v>
      </c>
      <c r="AC824" t="n">
        <v>4540.41039</v>
      </c>
      <c r="AD824" t="n">
        <v>0</v>
      </c>
      <c r="AE824">
        <f>AE823+1</f>
        <v/>
      </c>
      <c r="AF824">
        <f>AF823+1</f>
        <v/>
      </c>
      <c r="AG824">
        <f>D824-Q824</f>
        <v/>
      </c>
      <c r="AH824">
        <f>AG824^2</f>
        <v/>
      </c>
      <c r="AI824">
        <f>(AG824/STDEV($AG$3:$AG$1137))^3</f>
        <v/>
      </c>
      <c r="AJ824">
        <f>(AG824/STDEV($AG$3:$AG$1137))^4</f>
        <v/>
      </c>
      <c r="AK824">
        <f>AF824^2</f>
        <v/>
      </c>
      <c r="AL824">
        <f>IF(AD824=1,AB824,IF(AL823&lt;&gt;"",AL823,""))</f>
        <v/>
      </c>
      <c r="AM824">
        <f>IF(AND(AD824=1,AL823&lt;&gt;""),ABS(AB824-AL823),"")</f>
        <v/>
      </c>
    </row>
    <row r="825">
      <c r="A825" t="n">
        <v>1777469402</v>
      </c>
      <c r="B825" t="inlineStr">
        <is>
          <t>XAUUSD</t>
        </is>
      </c>
      <c r="C825" t="inlineStr">
        <is>
          <t>M15</t>
        </is>
      </c>
      <c r="D825" t="n">
        <v>4514.81</v>
      </c>
      <c r="E825" t="n">
        <v>4518.59282</v>
      </c>
      <c r="F825" t="n">
        <v>4596.05595</v>
      </c>
      <c r="G825" t="n">
        <v>4755.40355</v>
      </c>
      <c r="H825" t="n">
        <v>4792.76972</v>
      </c>
      <c r="Q825" t="n">
        <v>4597.39957</v>
      </c>
      <c r="R825" t="n">
        <v>4626.76286</v>
      </c>
      <c r="S825" t="n">
        <v>4653.35164</v>
      </c>
      <c r="V825" t="n">
        <v>4562.4598</v>
      </c>
      <c r="W825" t="n">
        <v>4528.8948</v>
      </c>
      <c r="AB825" t="n">
        <v>4529.49932</v>
      </c>
      <c r="AC825" t="n">
        <v>4534.95486</v>
      </c>
      <c r="AD825" t="n">
        <v>0</v>
      </c>
      <c r="AE825">
        <f>AE824+1</f>
        <v/>
      </c>
      <c r="AF825">
        <f>AF824+1</f>
        <v/>
      </c>
      <c r="AG825">
        <f>D825-Q825</f>
        <v/>
      </c>
      <c r="AH825">
        <f>AG825^2</f>
        <v/>
      </c>
      <c r="AI825">
        <f>(AG825/STDEV($AG$3:$AG$1137))^3</f>
        <v/>
      </c>
      <c r="AJ825">
        <f>(AG825/STDEV($AG$3:$AG$1137))^4</f>
        <v/>
      </c>
      <c r="AK825">
        <f>AF825^2</f>
        <v/>
      </c>
      <c r="AL825">
        <f>IF(AD825=1,AB825,IF(AL824&lt;&gt;"",AL824,""))</f>
        <v/>
      </c>
      <c r="AM825">
        <f>IF(AND(AD825=1,AL824&lt;&gt;""),ABS(AB825-AL824),"")</f>
        <v/>
      </c>
    </row>
    <row r="826">
      <c r="A826" t="n">
        <v>1777470302</v>
      </c>
      <c r="B826" t="inlineStr">
        <is>
          <t>XAUUSD</t>
        </is>
      </c>
      <c r="C826" t="inlineStr">
        <is>
          <t>M15</t>
        </is>
      </c>
      <c r="D826" t="n">
        <v>4521.71</v>
      </c>
      <c r="E826" t="n">
        <v>4518.59282</v>
      </c>
      <c r="F826" t="n">
        <v>4596.05595</v>
      </c>
      <c r="G826" t="n">
        <v>4755.40355</v>
      </c>
      <c r="H826" t="n">
        <v>4792.76972</v>
      </c>
      <c r="Q826" t="n">
        <v>4597.13196</v>
      </c>
      <c r="R826" t="n">
        <v>4626.49526</v>
      </c>
      <c r="S826" t="n">
        <v>4653.08403</v>
      </c>
      <c r="V826" t="n">
        <v>4562.19219</v>
      </c>
      <c r="W826" t="n">
        <v>4528.6272</v>
      </c>
      <c r="AA826" t="n">
        <v>4510.28</v>
      </c>
      <c r="AB826" t="n">
        <v>4526.96404</v>
      </c>
      <c r="AC826" t="n">
        <v>4530.95945</v>
      </c>
      <c r="AD826" t="n">
        <v>0</v>
      </c>
      <c r="AE826">
        <f>AE825+1</f>
        <v/>
      </c>
      <c r="AF826">
        <f>AF825+1</f>
        <v/>
      </c>
      <c r="AG826">
        <f>D826-Q826</f>
        <v/>
      </c>
      <c r="AH826">
        <f>AG826^2</f>
        <v/>
      </c>
      <c r="AI826">
        <f>(AG826/STDEV($AG$3:$AG$1137))^3</f>
        <v/>
      </c>
      <c r="AJ826">
        <f>(AG826/STDEV($AG$3:$AG$1137))^4</f>
        <v/>
      </c>
      <c r="AK826">
        <f>AF826^2</f>
        <v/>
      </c>
      <c r="AL826">
        <f>IF(AD826=1,AB826,IF(AL825&lt;&gt;"",AL825,""))</f>
        <v/>
      </c>
      <c r="AM826">
        <f>IF(AND(AD826=1,AL825&lt;&gt;""),ABS(AB826-AL825),"")</f>
        <v/>
      </c>
    </row>
    <row r="827">
      <c r="A827" t="n">
        <v>1777471202</v>
      </c>
      <c r="B827" t="inlineStr">
        <is>
          <t>XAUUSD</t>
        </is>
      </c>
      <c r="C827" t="inlineStr">
        <is>
          <t>M15</t>
        </is>
      </c>
      <c r="D827" t="n">
        <v>4526.15</v>
      </c>
      <c r="E827" t="n">
        <v>4518.59282</v>
      </c>
      <c r="F827" t="n">
        <v>4596.05595</v>
      </c>
      <c r="G827" t="n">
        <v>4755.40355</v>
      </c>
      <c r="H827" t="n">
        <v>4792.76972</v>
      </c>
      <c r="Q827" t="n">
        <v>4596.86436</v>
      </c>
      <c r="R827" t="n">
        <v>4626.22766</v>
      </c>
      <c r="S827" t="n">
        <v>4652.81643</v>
      </c>
      <c r="V827" t="n">
        <v>4561.92459</v>
      </c>
      <c r="W827" t="n">
        <v>4528.35959</v>
      </c>
      <c r="AB827" t="n">
        <v>4526.75464</v>
      </c>
      <c r="AC827" t="n">
        <v>4528.85705</v>
      </c>
      <c r="AD827" t="n">
        <v>0</v>
      </c>
      <c r="AE827">
        <f>AE826+1</f>
        <v/>
      </c>
      <c r="AF827">
        <f>AF826+1</f>
        <v/>
      </c>
      <c r="AG827">
        <f>D827-Q827</f>
        <v/>
      </c>
      <c r="AH827">
        <f>AG827^2</f>
        <v/>
      </c>
      <c r="AI827">
        <f>(AG827/STDEV($AG$3:$AG$1137))^3</f>
        <v/>
      </c>
      <c r="AJ827">
        <f>(AG827/STDEV($AG$3:$AG$1137))^4</f>
        <v/>
      </c>
      <c r="AK827">
        <f>AF827^2</f>
        <v/>
      </c>
      <c r="AL827">
        <f>IF(AD827=1,AB827,IF(AL826&lt;&gt;"",AL826,""))</f>
        <v/>
      </c>
      <c r="AM827">
        <f>IF(AND(AD827=1,AL826&lt;&gt;""),ABS(AB827-AL826),"")</f>
        <v/>
      </c>
    </row>
    <row r="828">
      <c r="A828" t="n">
        <v>1777472102</v>
      </c>
      <c r="B828" t="inlineStr">
        <is>
          <t>XAUUSD</t>
        </is>
      </c>
      <c r="C828" t="inlineStr">
        <is>
          <t>M15</t>
        </is>
      </c>
      <c r="D828" t="n">
        <v>4533.2</v>
      </c>
      <c r="E828" t="n">
        <v>4518.59282</v>
      </c>
      <c r="F828" t="n">
        <v>4596.05595</v>
      </c>
      <c r="G828" t="n">
        <v>4755.40355</v>
      </c>
      <c r="H828" t="n">
        <v>4792.76972</v>
      </c>
      <c r="Q828" t="n">
        <v>4596.59675</v>
      </c>
      <c r="R828" t="n">
        <v>4625.96005</v>
      </c>
      <c r="S828" t="n">
        <v>4652.54882</v>
      </c>
      <c r="V828" t="n">
        <v>4561.65698</v>
      </c>
      <c r="W828" t="n">
        <v>4528.09199</v>
      </c>
      <c r="AB828" t="n">
        <v>4528.6334</v>
      </c>
      <c r="AC828" t="n">
        <v>4528.74522</v>
      </c>
      <c r="AD828" t="n">
        <v>0</v>
      </c>
      <c r="AE828">
        <f>AE827+1</f>
        <v/>
      </c>
      <c r="AF828">
        <f>AF827+1</f>
        <v/>
      </c>
      <c r="AG828">
        <f>D828-Q828</f>
        <v/>
      </c>
      <c r="AH828">
        <f>AG828^2</f>
        <v/>
      </c>
      <c r="AI828">
        <f>(AG828/STDEV($AG$3:$AG$1137))^3</f>
        <v/>
      </c>
      <c r="AJ828">
        <f>(AG828/STDEV($AG$3:$AG$1137))^4</f>
        <v/>
      </c>
      <c r="AK828">
        <f>AF828^2</f>
        <v/>
      </c>
      <c r="AL828">
        <f>IF(AD828=1,AB828,IF(AL827&lt;&gt;"",AL827,""))</f>
        <v/>
      </c>
      <c r="AM828">
        <f>IF(AND(AD828=1,AL827&lt;&gt;""),ABS(AB828-AL827),"")</f>
        <v/>
      </c>
    </row>
    <row r="829">
      <c r="A829" t="n">
        <v>1777473002</v>
      </c>
      <c r="B829" t="inlineStr">
        <is>
          <t>XAUUSD</t>
        </is>
      </c>
      <c r="C829" t="inlineStr">
        <is>
          <t>M15</t>
        </is>
      </c>
      <c r="D829" t="n">
        <v>4538.69</v>
      </c>
      <c r="E829" t="n">
        <v>4518.59282</v>
      </c>
      <c r="F829" t="n">
        <v>4596.05595</v>
      </c>
      <c r="G829" t="n">
        <v>4755.40355</v>
      </c>
      <c r="H829" t="n">
        <v>4792.76972</v>
      </c>
      <c r="Q829" t="n">
        <v>4596.32915</v>
      </c>
      <c r="R829" t="n">
        <v>4625.69245</v>
      </c>
      <c r="S829" t="n">
        <v>4652.28122</v>
      </c>
      <c r="V829" t="n">
        <v>4561.38938</v>
      </c>
      <c r="W829" t="n">
        <v>4527.82438</v>
      </c>
      <c r="AB829" t="n">
        <v>4532.06776</v>
      </c>
      <c r="AC829" t="n">
        <v>4530.40649</v>
      </c>
      <c r="AD829" t="n">
        <v>1</v>
      </c>
      <c r="AE829">
        <f>AE828+1</f>
        <v/>
      </c>
      <c r="AF829">
        <f>AF828+1</f>
        <v/>
      </c>
      <c r="AG829">
        <f>D829-Q829</f>
        <v/>
      </c>
      <c r="AH829">
        <f>AG829^2</f>
        <v/>
      </c>
      <c r="AI829">
        <f>(AG829/STDEV($AG$3:$AG$1137))^3</f>
        <v/>
      </c>
      <c r="AJ829">
        <f>(AG829/STDEV($AG$3:$AG$1137))^4</f>
        <v/>
      </c>
      <c r="AK829">
        <f>AF829^2</f>
        <v/>
      </c>
      <c r="AL829">
        <f>IF(AD829=1,AB829,IF(AL828&lt;&gt;"",AL828,""))</f>
        <v/>
      </c>
      <c r="AM829">
        <f>IF(AND(AD829=1,AL828&lt;&gt;""),ABS(AB829-AL828),"")</f>
        <v/>
      </c>
    </row>
    <row r="830">
      <c r="A830" t="n">
        <v>1777473902</v>
      </c>
      <c r="B830" t="inlineStr">
        <is>
          <t>XAUUSD</t>
        </is>
      </c>
      <c r="C830" t="inlineStr">
        <is>
          <t>M15</t>
        </is>
      </c>
      <c r="D830" t="n">
        <v>4539.25</v>
      </c>
      <c r="E830" t="n">
        <v>4518.59282</v>
      </c>
      <c r="F830" t="n">
        <v>4596.05595</v>
      </c>
      <c r="G830" t="n">
        <v>4755.40355</v>
      </c>
      <c r="H830" t="n">
        <v>4792.76972</v>
      </c>
      <c r="Q830" t="n">
        <v>4596.06155</v>
      </c>
      <c r="R830" t="n">
        <v>4625.42484</v>
      </c>
      <c r="S830" t="n">
        <v>4652.01362</v>
      </c>
      <c r="V830" t="n">
        <v>4561.12178</v>
      </c>
      <c r="W830" t="n">
        <v>4527.55678</v>
      </c>
      <c r="AB830" t="n">
        <v>4536.46429</v>
      </c>
      <c r="AC830" t="n">
        <v>4533.43539</v>
      </c>
      <c r="AD830" t="n">
        <v>0</v>
      </c>
      <c r="AE830">
        <f>AE829+1</f>
        <v/>
      </c>
      <c r="AF830">
        <f>AF829+1</f>
        <v/>
      </c>
      <c r="AG830">
        <f>D830-Q830</f>
        <v/>
      </c>
      <c r="AH830">
        <f>AG830^2</f>
        <v/>
      </c>
      <c r="AI830">
        <f>(AG830/STDEV($AG$3:$AG$1137))^3</f>
        <v/>
      </c>
      <c r="AJ830">
        <f>(AG830/STDEV($AG$3:$AG$1137))^4</f>
        <v/>
      </c>
      <c r="AK830">
        <f>AF830^2</f>
        <v/>
      </c>
      <c r="AL830">
        <f>IF(AD830=1,AB830,IF(AL829&lt;&gt;"",AL829,""))</f>
        <v/>
      </c>
      <c r="AM830">
        <f>IF(AND(AD830=1,AL829&lt;&gt;""),ABS(AB830-AL829),"")</f>
        <v/>
      </c>
    </row>
    <row r="831">
      <c r="A831" t="n">
        <v>1777474802</v>
      </c>
      <c r="B831" t="inlineStr">
        <is>
          <t>XAUUSD</t>
        </is>
      </c>
      <c r="C831" t="inlineStr">
        <is>
          <t>M15</t>
        </is>
      </c>
      <c r="D831" t="n">
        <v>4538.08</v>
      </c>
      <c r="E831" t="n">
        <v>4518.59282</v>
      </c>
      <c r="F831" t="n">
        <v>4596.05595</v>
      </c>
      <c r="G831" t="n">
        <v>4755.40355</v>
      </c>
      <c r="H831" t="n">
        <v>4792.76972</v>
      </c>
      <c r="Q831" t="n">
        <v>4595.79394</v>
      </c>
      <c r="R831" t="n">
        <v>4625.15724</v>
      </c>
      <c r="S831" t="n">
        <v>4651.74601</v>
      </c>
      <c r="V831" t="n">
        <v>4560.85417</v>
      </c>
      <c r="W831" t="n">
        <v>4527.28917</v>
      </c>
      <c r="AB831" t="n">
        <v>4541.33113</v>
      </c>
      <c r="AC831" t="n">
        <v>4537.38326</v>
      </c>
      <c r="AD831" t="n">
        <v>0</v>
      </c>
      <c r="AE831">
        <f>AE830+1</f>
        <v/>
      </c>
      <c r="AF831">
        <f>AF830+1</f>
        <v/>
      </c>
      <c r="AG831">
        <f>D831-Q831</f>
        <v/>
      </c>
      <c r="AH831">
        <f>AG831^2</f>
        <v/>
      </c>
      <c r="AI831">
        <f>(AG831/STDEV($AG$3:$AG$1137))^3</f>
        <v/>
      </c>
      <c r="AJ831">
        <f>(AG831/STDEV($AG$3:$AG$1137))^4</f>
        <v/>
      </c>
      <c r="AK831">
        <f>AF831^2</f>
        <v/>
      </c>
      <c r="AL831">
        <f>IF(AD831=1,AB831,IF(AL830&lt;&gt;"",AL830,""))</f>
        <v/>
      </c>
      <c r="AM831">
        <f>IF(AND(AD831=1,AL830&lt;&gt;""),ABS(AB831-AL830),"")</f>
        <v/>
      </c>
    </row>
    <row r="832">
      <c r="A832" t="n">
        <v>1777475702</v>
      </c>
      <c r="B832" t="inlineStr">
        <is>
          <t>XAUUSD</t>
        </is>
      </c>
      <c r="C832" t="inlineStr">
        <is>
          <t>M15</t>
        </is>
      </c>
      <c r="D832" t="n">
        <v>4543.61</v>
      </c>
      <c r="E832" t="n">
        <v>4518.59282</v>
      </c>
      <c r="F832" t="n">
        <v>4596.05595</v>
      </c>
      <c r="G832" t="n">
        <v>4755.40355</v>
      </c>
      <c r="H832" t="n">
        <v>4792.76972</v>
      </c>
      <c r="Q832" t="n">
        <v>4595.52634</v>
      </c>
      <c r="R832" t="n">
        <v>4624.88964</v>
      </c>
      <c r="S832" t="n">
        <v>4651.47841</v>
      </c>
      <c r="V832" t="n">
        <v>4560.58657</v>
      </c>
      <c r="W832" t="n">
        <v>4527.02157</v>
      </c>
      <c r="AB832" t="n">
        <v>4546.2278</v>
      </c>
      <c r="AC832" t="n">
        <v>4541.80553</v>
      </c>
      <c r="AD832" t="n">
        <v>0</v>
      </c>
      <c r="AE832">
        <f>AE831+1</f>
        <v/>
      </c>
      <c r="AF832">
        <f>AF831+1</f>
        <v/>
      </c>
      <c r="AG832">
        <f>D832-Q832</f>
        <v/>
      </c>
      <c r="AH832">
        <f>AG832^2</f>
        <v/>
      </c>
      <c r="AI832">
        <f>(AG832/STDEV($AG$3:$AG$1137))^3</f>
        <v/>
      </c>
      <c r="AJ832">
        <f>(AG832/STDEV($AG$3:$AG$1137))^4</f>
        <v/>
      </c>
      <c r="AK832">
        <f>AF832^2</f>
        <v/>
      </c>
      <c r="AL832">
        <f>IF(AD832=1,AB832,IF(AL831&lt;&gt;"",AL831,""))</f>
        <v/>
      </c>
      <c r="AM832">
        <f>IF(AND(AD832=1,AL831&lt;&gt;""),ABS(AB832-AL831),"")</f>
        <v/>
      </c>
    </row>
    <row r="833">
      <c r="A833" t="n">
        <v>1777476602</v>
      </c>
      <c r="B833" t="inlineStr">
        <is>
          <t>XAUUSD</t>
        </is>
      </c>
      <c r="C833" t="inlineStr">
        <is>
          <t>M15</t>
        </is>
      </c>
      <c r="D833" t="n">
        <v>4553.17</v>
      </c>
      <c r="E833" t="n">
        <v>4518.59282</v>
      </c>
      <c r="F833" t="n">
        <v>4596.05595</v>
      </c>
      <c r="G833" t="n">
        <v>4755.40355</v>
      </c>
      <c r="H833" t="n">
        <v>4792.76972</v>
      </c>
      <c r="Q833" t="n">
        <v>4595.25873</v>
      </c>
      <c r="R833" t="n">
        <v>4624.62203</v>
      </c>
      <c r="S833" t="n">
        <v>4651.2108</v>
      </c>
      <c r="V833" t="n">
        <v>4560.31896</v>
      </c>
      <c r="W833" t="n">
        <v>4526.75397</v>
      </c>
      <c r="AB833" t="n">
        <v>4550.55587</v>
      </c>
      <c r="AC833" t="n">
        <v>4546.1807</v>
      </c>
      <c r="AD833" t="n">
        <v>0</v>
      </c>
      <c r="AE833">
        <f>AE832+1</f>
        <v/>
      </c>
      <c r="AF833">
        <f>AF832+1</f>
        <v/>
      </c>
      <c r="AG833">
        <f>D833-Q833</f>
        <v/>
      </c>
      <c r="AH833">
        <f>AG833^2</f>
        <v/>
      </c>
      <c r="AI833">
        <f>(AG833/STDEV($AG$3:$AG$1137))^3</f>
        <v/>
      </c>
      <c r="AJ833">
        <f>(AG833/STDEV($AG$3:$AG$1137))^4</f>
        <v/>
      </c>
      <c r="AK833">
        <f>AF833^2</f>
        <v/>
      </c>
      <c r="AL833">
        <f>IF(AD833=1,AB833,IF(AL832&lt;&gt;"",AL832,""))</f>
        <v/>
      </c>
      <c r="AM833">
        <f>IF(AND(AD833=1,AL832&lt;&gt;""),ABS(AB833-AL832),"")</f>
        <v/>
      </c>
    </row>
    <row r="834">
      <c r="A834" t="n">
        <v>1777477502</v>
      </c>
      <c r="B834" t="inlineStr">
        <is>
          <t>XAUUSD</t>
        </is>
      </c>
      <c r="C834" t="inlineStr">
        <is>
          <t>M15</t>
        </is>
      </c>
      <c r="D834" t="n">
        <v>4547.48</v>
      </c>
      <c r="E834" t="n">
        <v>4518.59282</v>
      </c>
      <c r="F834" t="n">
        <v>4596.05595</v>
      </c>
      <c r="G834" t="n">
        <v>4755.40355</v>
      </c>
      <c r="H834" t="n">
        <v>4792.76972</v>
      </c>
      <c r="Q834" t="n">
        <v>4594.99113</v>
      </c>
      <c r="R834" t="n">
        <v>4624.35443</v>
      </c>
      <c r="S834" t="n">
        <v>4650.9432</v>
      </c>
      <c r="V834" t="n">
        <v>4560.05136</v>
      </c>
      <c r="W834" t="n">
        <v>4526.48636</v>
      </c>
      <c r="AB834" t="n">
        <v>4553.70883</v>
      </c>
      <c r="AC834" t="n">
        <v>4549.94477</v>
      </c>
      <c r="AD834" t="n">
        <v>0</v>
      </c>
      <c r="AE834">
        <f>AE833+1</f>
        <v/>
      </c>
      <c r="AF834">
        <f>AF833+1</f>
        <v/>
      </c>
      <c r="AG834">
        <f>D834-Q834</f>
        <v/>
      </c>
      <c r="AH834">
        <f>AG834^2</f>
        <v/>
      </c>
      <c r="AI834">
        <f>(AG834/STDEV($AG$3:$AG$1137))^3</f>
        <v/>
      </c>
      <c r="AJ834">
        <f>(AG834/STDEV($AG$3:$AG$1137))^4</f>
        <v/>
      </c>
      <c r="AK834">
        <f>AF834^2</f>
        <v/>
      </c>
      <c r="AL834">
        <f>IF(AD834=1,AB834,IF(AL833&lt;&gt;"",AL833,""))</f>
        <v/>
      </c>
      <c r="AM834">
        <f>IF(AND(AD834=1,AL833&lt;&gt;""),ABS(AB834-AL833),"")</f>
        <v/>
      </c>
    </row>
    <row r="835">
      <c r="A835" t="n">
        <v>1777478402</v>
      </c>
      <c r="B835" t="inlineStr">
        <is>
          <t>XAUUSD</t>
        </is>
      </c>
      <c r="C835" t="inlineStr">
        <is>
          <t>M15</t>
        </is>
      </c>
      <c r="D835" t="n">
        <v>4559.1</v>
      </c>
      <c r="E835" t="n">
        <v>4518.59282</v>
      </c>
      <c r="F835" t="n">
        <v>4596.05595</v>
      </c>
      <c r="G835" t="n">
        <v>4755.40355</v>
      </c>
      <c r="H835" t="n">
        <v>4792.76972</v>
      </c>
      <c r="Q835" t="n">
        <v>4594.72352</v>
      </c>
      <c r="R835" t="n">
        <v>4624.08682</v>
      </c>
      <c r="S835" t="n">
        <v>4650.67559</v>
      </c>
      <c r="V835" t="n">
        <v>4559.78375</v>
      </c>
      <c r="W835" t="n">
        <v>4526.21876</v>
      </c>
      <c r="AB835" t="n">
        <v>4555.59548</v>
      </c>
      <c r="AC835" t="n">
        <v>4552.77012</v>
      </c>
      <c r="AD835" t="n">
        <v>0</v>
      </c>
      <c r="AE835">
        <f>AE834+1</f>
        <v/>
      </c>
      <c r="AF835">
        <f>AF834+1</f>
        <v/>
      </c>
      <c r="AG835">
        <f>D835-Q835</f>
        <v/>
      </c>
      <c r="AH835">
        <f>AG835^2</f>
        <v/>
      </c>
      <c r="AI835">
        <f>(AG835/STDEV($AG$3:$AG$1137))^3</f>
        <v/>
      </c>
      <c r="AJ835">
        <f>(AG835/STDEV($AG$3:$AG$1137))^4</f>
        <v/>
      </c>
      <c r="AK835">
        <f>AF835^2</f>
        <v/>
      </c>
      <c r="AL835">
        <f>IF(AD835=1,AB835,IF(AL834&lt;&gt;"",AL834,""))</f>
        <v/>
      </c>
      <c r="AM835">
        <f>IF(AND(AD835=1,AL834&lt;&gt;""),ABS(AB835-AL834),"")</f>
        <v/>
      </c>
    </row>
    <row r="836">
      <c r="A836" t="n">
        <v>1777479302</v>
      </c>
      <c r="B836" t="inlineStr">
        <is>
          <t>XAUUSD</t>
        </is>
      </c>
      <c r="C836" t="inlineStr">
        <is>
          <t>M15</t>
        </is>
      </c>
      <c r="D836" t="n">
        <v>4560.23</v>
      </c>
      <c r="E836" t="n">
        <v>4518.59282</v>
      </c>
      <c r="F836" t="n">
        <v>4596.05595</v>
      </c>
      <c r="G836" t="n">
        <v>4755.40355</v>
      </c>
      <c r="H836" t="n">
        <v>4792.76972</v>
      </c>
      <c r="Q836" t="n">
        <v>4594.45592</v>
      </c>
      <c r="R836" t="n">
        <v>4623.81922</v>
      </c>
      <c r="S836" t="n">
        <v>4650.40799</v>
      </c>
      <c r="V836" t="n">
        <v>4559.51615</v>
      </c>
      <c r="W836" t="n">
        <v>4525.95115</v>
      </c>
      <c r="AB836" t="n">
        <v>4555.7869</v>
      </c>
      <c r="AC836" t="n">
        <v>4554.27851</v>
      </c>
      <c r="AD836" t="n">
        <v>0</v>
      </c>
      <c r="AE836">
        <f>AE835+1</f>
        <v/>
      </c>
      <c r="AF836">
        <f>AF835+1</f>
        <v/>
      </c>
      <c r="AG836">
        <f>D836-Q836</f>
        <v/>
      </c>
      <c r="AH836">
        <f>AG836^2</f>
        <v/>
      </c>
      <c r="AI836">
        <f>(AG836/STDEV($AG$3:$AG$1137))^3</f>
        <v/>
      </c>
      <c r="AJ836">
        <f>(AG836/STDEV($AG$3:$AG$1137))^4</f>
        <v/>
      </c>
      <c r="AK836">
        <f>AF836^2</f>
        <v/>
      </c>
      <c r="AL836">
        <f>IF(AD836=1,AB836,IF(AL835&lt;&gt;"",AL835,""))</f>
        <v/>
      </c>
      <c r="AM836">
        <f>IF(AND(AD836=1,AL835&lt;&gt;""),ABS(AB836-AL835),"")</f>
        <v/>
      </c>
    </row>
    <row r="837">
      <c r="A837" t="n">
        <v>1777480202</v>
      </c>
      <c r="B837" t="inlineStr">
        <is>
          <t>XAUUSD</t>
        </is>
      </c>
      <c r="C837" t="inlineStr">
        <is>
          <t>M15</t>
        </is>
      </c>
      <c r="D837" t="n">
        <v>4550.51</v>
      </c>
      <c r="E837" t="n">
        <v>4518.59282</v>
      </c>
      <c r="F837" t="n">
        <v>4596.05595</v>
      </c>
      <c r="G837" t="n">
        <v>4755.40355</v>
      </c>
      <c r="H837" t="n">
        <v>4792.76972</v>
      </c>
      <c r="Q837" t="n">
        <v>4594.18832</v>
      </c>
      <c r="R837" t="n">
        <v>4623.55162</v>
      </c>
      <c r="S837" t="n">
        <v>4650.14039</v>
      </c>
      <c r="V837" t="n">
        <v>4559.24855</v>
      </c>
      <c r="W837" t="n">
        <v>4525.68355</v>
      </c>
      <c r="AB837" t="n">
        <v>4554.30816</v>
      </c>
      <c r="AC837" t="n">
        <v>4554.29334</v>
      </c>
      <c r="AD837" t="n">
        <v>0</v>
      </c>
      <c r="AE837">
        <f>AE836+1</f>
        <v/>
      </c>
      <c r="AF837">
        <f>AF836+1</f>
        <v/>
      </c>
      <c r="AG837">
        <f>D837-Q837</f>
        <v/>
      </c>
      <c r="AH837">
        <f>AG837^2</f>
        <v/>
      </c>
      <c r="AI837">
        <f>(AG837/STDEV($AG$3:$AG$1137))^3</f>
        <v/>
      </c>
      <c r="AJ837">
        <f>(AG837/STDEV($AG$3:$AG$1137))^4</f>
        <v/>
      </c>
      <c r="AK837">
        <f>AF837^2</f>
        <v/>
      </c>
      <c r="AL837">
        <f>IF(AD837=1,AB837,IF(AL836&lt;&gt;"",AL836,""))</f>
        <v/>
      </c>
      <c r="AM837">
        <f>IF(AND(AD837=1,AL836&lt;&gt;""),ABS(AB837-AL836),"")</f>
        <v/>
      </c>
    </row>
    <row r="838">
      <c r="A838" t="n">
        <v>1777481102</v>
      </c>
      <c r="B838" t="inlineStr">
        <is>
          <t>XAUUSD</t>
        </is>
      </c>
      <c r="C838" t="inlineStr">
        <is>
          <t>M15</t>
        </is>
      </c>
      <c r="D838" t="n">
        <v>4545.36</v>
      </c>
      <c r="E838" t="n">
        <v>4518.59282</v>
      </c>
      <c r="F838" t="n">
        <v>4596.05595</v>
      </c>
      <c r="G838" t="n">
        <v>4755.40355</v>
      </c>
      <c r="H838" t="n">
        <v>4792.76972</v>
      </c>
      <c r="Q838" t="n">
        <v>4593.92071</v>
      </c>
      <c r="R838" t="n">
        <v>4623.28401</v>
      </c>
      <c r="S838" t="n">
        <v>4649.87278</v>
      </c>
      <c r="V838" t="n">
        <v>4558.98094</v>
      </c>
      <c r="W838" t="n">
        <v>4525.41595</v>
      </c>
      <c r="AB838" t="n">
        <v>4551.6611</v>
      </c>
      <c r="AC838" t="n">
        <v>4552.97722</v>
      </c>
      <c r="AD838" t="n">
        <v>1</v>
      </c>
      <c r="AE838">
        <f>AE837+1</f>
        <v/>
      </c>
      <c r="AF838">
        <f>AF837+1</f>
        <v/>
      </c>
      <c r="AG838">
        <f>D838-Q838</f>
        <v/>
      </c>
      <c r="AH838">
        <f>AG838^2</f>
        <v/>
      </c>
      <c r="AI838">
        <f>(AG838/STDEV($AG$3:$AG$1137))^3</f>
        <v/>
      </c>
      <c r="AJ838">
        <f>(AG838/STDEV($AG$3:$AG$1137))^4</f>
        <v/>
      </c>
      <c r="AK838">
        <f>AF838^2</f>
        <v/>
      </c>
      <c r="AL838">
        <f>IF(AD838=1,AB838,IF(AL837&lt;&gt;"",AL837,""))</f>
        <v/>
      </c>
      <c r="AM838">
        <f>IF(AND(AD838=1,AL837&lt;&gt;""),ABS(AB838-AL837),"")</f>
        <v/>
      </c>
    </row>
    <row r="839">
      <c r="A839" t="n">
        <v>1777482002</v>
      </c>
      <c r="B839" t="inlineStr">
        <is>
          <t>XAUUSD</t>
        </is>
      </c>
      <c r="C839" t="inlineStr">
        <is>
          <t>M15</t>
        </is>
      </c>
      <c r="D839" t="n">
        <v>4550.68</v>
      </c>
      <c r="E839" t="n">
        <v>4518.59282</v>
      </c>
      <c r="F839" t="n">
        <v>4596.05595</v>
      </c>
      <c r="G839" t="n">
        <v>4755.40355</v>
      </c>
      <c r="H839" t="n">
        <v>4792.76972</v>
      </c>
      <c r="Q839" t="n">
        <v>4593.65311</v>
      </c>
      <c r="R839" t="n">
        <v>4623.01641</v>
      </c>
      <c r="S839" t="n">
        <v>4649.60518</v>
      </c>
      <c r="V839" t="n">
        <v>4558.71334</v>
      </c>
      <c r="W839" t="n">
        <v>4525.14834</v>
      </c>
      <c r="AB839" t="n">
        <v>4548.32138</v>
      </c>
      <c r="AC839" t="n">
        <v>4550.6493</v>
      </c>
      <c r="AD839" t="n">
        <v>0</v>
      </c>
      <c r="AE839">
        <f>AE838+1</f>
        <v/>
      </c>
      <c r="AF839">
        <f>AF838+1</f>
        <v/>
      </c>
      <c r="AG839">
        <f>D839-Q839</f>
        <v/>
      </c>
      <c r="AH839">
        <f>AG839^2</f>
        <v/>
      </c>
      <c r="AI839">
        <f>(AG839/STDEV($AG$3:$AG$1137))^3</f>
        <v/>
      </c>
      <c r="AJ839">
        <f>(AG839/STDEV($AG$3:$AG$1137))^4</f>
        <v/>
      </c>
      <c r="AK839">
        <f>AF839^2</f>
        <v/>
      </c>
      <c r="AL839">
        <f>IF(AD839=1,AB839,IF(AL838&lt;&gt;"",AL838,""))</f>
        <v/>
      </c>
      <c r="AM839">
        <f>IF(AND(AD839=1,AL838&lt;&gt;""),ABS(AB839-AL838),"")</f>
        <v/>
      </c>
    </row>
    <row r="840">
      <c r="A840" t="n">
        <v>1777482902</v>
      </c>
      <c r="B840" t="inlineStr">
        <is>
          <t>XAUUSD</t>
        </is>
      </c>
      <c r="C840" t="inlineStr">
        <is>
          <t>M15</t>
        </is>
      </c>
      <c r="D840" t="n">
        <v>4547.23</v>
      </c>
      <c r="E840" t="n">
        <v>4518.59282</v>
      </c>
      <c r="F840" t="n">
        <v>4596.05595</v>
      </c>
      <c r="G840" t="n">
        <v>4755.40355</v>
      </c>
      <c r="H840" t="n">
        <v>4792.76972</v>
      </c>
      <c r="Q840" t="n">
        <v>4593.3855</v>
      </c>
      <c r="R840" t="n">
        <v>4622.7488</v>
      </c>
      <c r="S840" t="n">
        <v>4649.33757</v>
      </c>
      <c r="V840" t="n">
        <v>4558.44573</v>
      </c>
      <c r="W840" t="n">
        <v>4524.88074</v>
      </c>
      <c r="AB840" t="n">
        <v>4544.54776</v>
      </c>
      <c r="AC840" t="n">
        <v>4547.59853</v>
      </c>
      <c r="AD840" t="n">
        <v>0</v>
      </c>
      <c r="AE840">
        <f>AE839+1</f>
        <v/>
      </c>
      <c r="AF840">
        <f>AF839+1</f>
        <v/>
      </c>
      <c r="AG840">
        <f>D840-Q840</f>
        <v/>
      </c>
      <c r="AH840">
        <f>AG840^2</f>
        <v/>
      </c>
      <c r="AI840">
        <f>(AG840/STDEV($AG$3:$AG$1137))^3</f>
        <v/>
      </c>
      <c r="AJ840">
        <f>(AG840/STDEV($AG$3:$AG$1137))^4</f>
        <v/>
      </c>
      <c r="AK840">
        <f>AF840^2</f>
        <v/>
      </c>
      <c r="AL840">
        <f>IF(AD840=1,AB840,IF(AL839&lt;&gt;"",AL839,""))</f>
        <v/>
      </c>
      <c r="AM840">
        <f>IF(AND(AD840=1,AL839&lt;&gt;""),ABS(AB840-AL839),"")</f>
        <v/>
      </c>
    </row>
    <row r="841">
      <c r="A841" t="n">
        <v>1777483802</v>
      </c>
      <c r="B841" t="inlineStr">
        <is>
          <t>XAUUSD</t>
        </is>
      </c>
      <c r="C841" t="inlineStr">
        <is>
          <t>M15</t>
        </is>
      </c>
      <c r="D841" t="n">
        <v>4544.75</v>
      </c>
      <c r="E841" t="n">
        <v>4518.59282</v>
      </c>
      <c r="F841" t="n">
        <v>4596.05595</v>
      </c>
      <c r="G841" t="n">
        <v>4755.40355</v>
      </c>
      <c r="H841" t="n">
        <v>4792.76972</v>
      </c>
      <c r="Q841" t="n">
        <v>4593.1179</v>
      </c>
      <c r="R841" t="n">
        <v>4622.4812</v>
      </c>
      <c r="S841" t="n">
        <v>4649.06997</v>
      </c>
      <c r="V841" t="n">
        <v>4558.17813</v>
      </c>
      <c r="W841" t="n">
        <v>4524.61313</v>
      </c>
      <c r="AB841" t="n">
        <v>4540.83178</v>
      </c>
      <c r="AC841" t="n">
        <v>4544.21516</v>
      </c>
      <c r="AD841" t="n">
        <v>0</v>
      </c>
      <c r="AE841">
        <f>AE840+1</f>
        <v/>
      </c>
      <c r="AF841">
        <f>AF840+1</f>
        <v/>
      </c>
      <c r="AG841">
        <f>D841-Q841</f>
        <v/>
      </c>
      <c r="AH841">
        <f>AG841^2</f>
        <v/>
      </c>
      <c r="AI841">
        <f>(AG841/STDEV($AG$3:$AG$1137))^3</f>
        <v/>
      </c>
      <c r="AJ841">
        <f>(AG841/STDEV($AG$3:$AG$1137))^4</f>
        <v/>
      </c>
      <c r="AK841">
        <f>AF841^2</f>
        <v/>
      </c>
      <c r="AL841">
        <f>IF(AD841=1,AB841,IF(AL840&lt;&gt;"",AL840,""))</f>
        <v/>
      </c>
      <c r="AM841">
        <f>IF(AND(AD841=1,AL840&lt;&gt;""),ABS(AB841-AL840),"")</f>
        <v/>
      </c>
    </row>
    <row r="842">
      <c r="A842" t="n">
        <v>1777484702</v>
      </c>
      <c r="B842" t="inlineStr">
        <is>
          <t>XAUUSD</t>
        </is>
      </c>
      <c r="C842" t="inlineStr">
        <is>
          <t>M15</t>
        </is>
      </c>
      <c r="D842" t="n">
        <v>4547.33</v>
      </c>
      <c r="E842" t="n">
        <v>4518.59282</v>
      </c>
      <c r="F842" t="n">
        <v>4596.05595</v>
      </c>
      <c r="G842" t="n">
        <v>4755.40355</v>
      </c>
      <c r="H842" t="n">
        <v>4792.76972</v>
      </c>
      <c r="Q842" t="n">
        <v>4592.8503</v>
      </c>
      <c r="R842" t="n">
        <v>4622.2136</v>
      </c>
      <c r="S842" t="n">
        <v>4648.80237</v>
      </c>
      <c r="V842" t="n">
        <v>4557.91053</v>
      </c>
      <c r="W842" t="n">
        <v>4524.34553</v>
      </c>
      <c r="AB842" t="n">
        <v>4537.58408</v>
      </c>
      <c r="AC842" t="n">
        <v>4540.89962</v>
      </c>
      <c r="AD842" t="n">
        <v>0</v>
      </c>
      <c r="AE842">
        <f>AE841+1</f>
        <v/>
      </c>
      <c r="AF842">
        <f>AF841+1</f>
        <v/>
      </c>
      <c r="AG842">
        <f>D842-Q842</f>
        <v/>
      </c>
      <c r="AH842">
        <f>AG842^2</f>
        <v/>
      </c>
      <c r="AI842">
        <f>(AG842/STDEV($AG$3:$AG$1137))^3</f>
        <v/>
      </c>
      <c r="AJ842">
        <f>(AG842/STDEV($AG$3:$AG$1137))^4</f>
        <v/>
      </c>
      <c r="AK842">
        <f>AF842^2</f>
        <v/>
      </c>
      <c r="AL842">
        <f>IF(AD842=1,AB842,IF(AL841&lt;&gt;"",AL841,""))</f>
        <v/>
      </c>
      <c r="AM842">
        <f>IF(AND(AD842=1,AL841&lt;&gt;""),ABS(AB842-AL841),"")</f>
        <v/>
      </c>
    </row>
    <row r="843">
      <c r="A843" t="n">
        <v>1777485602</v>
      </c>
      <c r="B843" t="inlineStr">
        <is>
          <t>XAUUSD</t>
        </is>
      </c>
      <c r="C843" t="inlineStr">
        <is>
          <t>M15</t>
        </is>
      </c>
      <c r="D843" t="n">
        <v>4525.75</v>
      </c>
      <c r="E843" t="n">
        <v>4518.59282</v>
      </c>
      <c r="F843" t="n">
        <v>4596.05595</v>
      </c>
      <c r="G843" t="n">
        <v>4755.40355</v>
      </c>
      <c r="H843" t="n">
        <v>4792.76972</v>
      </c>
      <c r="Q843" t="n">
        <v>4592.58269</v>
      </c>
      <c r="R843" t="n">
        <v>4621.94599</v>
      </c>
      <c r="S843" t="n">
        <v>4648.53476</v>
      </c>
      <c r="V843" t="n">
        <v>4557.64292</v>
      </c>
      <c r="W843" t="n">
        <v>4524.07793</v>
      </c>
      <c r="AB843" t="n">
        <v>4535.04299</v>
      </c>
      <c r="AC843" t="n">
        <v>4537.97131</v>
      </c>
      <c r="AD843" t="n">
        <v>0</v>
      </c>
      <c r="AE843">
        <f>AE842+1</f>
        <v/>
      </c>
      <c r="AF843">
        <f>AF842+1</f>
        <v/>
      </c>
      <c r="AG843">
        <f>D843-Q843</f>
        <v/>
      </c>
      <c r="AH843">
        <f>AG843^2</f>
        <v/>
      </c>
      <c r="AI843">
        <f>(AG843/STDEV($AG$3:$AG$1137))^3</f>
        <v/>
      </c>
      <c r="AJ843">
        <f>(AG843/STDEV($AG$3:$AG$1137))^4</f>
        <v/>
      </c>
      <c r="AK843">
        <f>AF843^2</f>
        <v/>
      </c>
      <c r="AL843">
        <f>IF(AD843=1,AB843,IF(AL842&lt;&gt;"",AL842,""))</f>
        <v/>
      </c>
      <c r="AM843">
        <f>IF(AND(AD843=1,AL842&lt;&gt;""),ABS(AB843-AL842),"")</f>
        <v/>
      </c>
    </row>
    <row r="844">
      <c r="A844" t="n">
        <v>1777486502</v>
      </c>
      <c r="B844" t="inlineStr">
        <is>
          <t>XAUUSD</t>
        </is>
      </c>
      <c r="C844" t="inlineStr">
        <is>
          <t>M15</t>
        </is>
      </c>
      <c r="D844" t="n">
        <v>4532.95</v>
      </c>
      <c r="E844" t="n">
        <v>4518.59282</v>
      </c>
      <c r="F844" t="n">
        <v>4596.05595</v>
      </c>
      <c r="G844" t="n">
        <v>4755.40355</v>
      </c>
      <c r="H844" t="n">
        <v>4792.76972</v>
      </c>
      <c r="Q844" t="n">
        <v>4592.31509</v>
      </c>
      <c r="R844" t="n">
        <v>4621.67839</v>
      </c>
      <c r="S844" t="n">
        <v>4648.26716</v>
      </c>
      <c r="V844" t="n">
        <v>4557.37532</v>
      </c>
      <c r="W844" t="n">
        <v>4523.81032</v>
      </c>
      <c r="AB844" t="n">
        <v>4534.01298</v>
      </c>
      <c r="AC844" t="n">
        <v>4535.99214</v>
      </c>
      <c r="AD844" t="n">
        <v>0</v>
      </c>
      <c r="AE844">
        <f>AE843+1</f>
        <v/>
      </c>
      <c r="AF844">
        <f>AF843+1</f>
        <v/>
      </c>
      <c r="AG844">
        <f>D844-Q844</f>
        <v/>
      </c>
      <c r="AH844">
        <f>AG844^2</f>
        <v/>
      </c>
      <c r="AI844">
        <f>(AG844/STDEV($AG$3:$AG$1137))^3</f>
        <v/>
      </c>
      <c r="AJ844">
        <f>(AG844/STDEV($AG$3:$AG$1137))^4</f>
        <v/>
      </c>
      <c r="AK844">
        <f>AF844^2</f>
        <v/>
      </c>
      <c r="AL844">
        <f>IF(AD844=1,AB844,IF(AL843&lt;&gt;"",AL843,""))</f>
        <v/>
      </c>
      <c r="AM844">
        <f>IF(AND(AD844=1,AL843&lt;&gt;""),ABS(AB844-AL843),"")</f>
        <v/>
      </c>
    </row>
    <row r="845">
      <c r="A845" t="n">
        <v>1777487402</v>
      </c>
      <c r="B845" t="inlineStr">
        <is>
          <t>XAUUSD</t>
        </is>
      </c>
      <c r="C845" t="inlineStr">
        <is>
          <t>M15</t>
        </is>
      </c>
      <c r="D845" t="n">
        <v>4520.81</v>
      </c>
      <c r="E845" t="n">
        <v>4518.59282</v>
      </c>
      <c r="F845" t="n">
        <v>4596.05595</v>
      </c>
      <c r="G845" t="n">
        <v>4755.40355</v>
      </c>
      <c r="H845" t="n">
        <v>4792.76972</v>
      </c>
      <c r="Q845" t="n">
        <v>4592.04748</v>
      </c>
      <c r="R845" t="n">
        <v>4621.41078</v>
      </c>
      <c r="S845" t="n">
        <v>4647.99955</v>
      </c>
      <c r="V845" t="n">
        <v>4557.10771</v>
      </c>
      <c r="W845" t="n">
        <v>4523.54272</v>
      </c>
      <c r="AB845" t="n">
        <v>4534.27835</v>
      </c>
      <c r="AC845" t="n">
        <v>4535.13525</v>
      </c>
      <c r="AD845" t="n">
        <v>0</v>
      </c>
      <c r="AE845">
        <f>AE844+1</f>
        <v/>
      </c>
      <c r="AF845">
        <f>AF844+1</f>
        <v/>
      </c>
      <c r="AG845">
        <f>D845-Q845</f>
        <v/>
      </c>
      <c r="AH845">
        <f>AG845^2</f>
        <v/>
      </c>
      <c r="AI845">
        <f>(AG845/STDEV($AG$3:$AG$1137))^3</f>
        <v/>
      </c>
      <c r="AJ845">
        <f>(AG845/STDEV($AG$3:$AG$1137))^4</f>
        <v/>
      </c>
      <c r="AK845">
        <f>AF845^2</f>
        <v/>
      </c>
      <c r="AL845">
        <f>IF(AD845=1,AB845,IF(AL844&lt;&gt;"",AL844,""))</f>
        <v/>
      </c>
      <c r="AM845">
        <f>IF(AND(AD845=1,AL844&lt;&gt;""),ABS(AB845-AL844),"")</f>
        <v/>
      </c>
    </row>
    <row r="846">
      <c r="A846" t="n">
        <v>1777488302</v>
      </c>
      <c r="B846" t="inlineStr">
        <is>
          <t>XAUUSD</t>
        </is>
      </c>
      <c r="C846" t="inlineStr">
        <is>
          <t>M15</t>
        </is>
      </c>
      <c r="D846" t="n">
        <v>4538.19</v>
      </c>
      <c r="E846" t="n">
        <v>4518.59282</v>
      </c>
      <c r="F846" t="n">
        <v>4596.05595</v>
      </c>
      <c r="G846" t="n">
        <v>4755.40355</v>
      </c>
      <c r="H846" t="n">
        <v>4792.76972</v>
      </c>
      <c r="Q846" t="n">
        <v>4591.77988</v>
      </c>
      <c r="R846" t="n">
        <v>4621.14318</v>
      </c>
      <c r="S846" t="n">
        <v>4647.73195</v>
      </c>
      <c r="V846" t="n">
        <v>4556.84011</v>
      </c>
      <c r="W846" t="n">
        <v>4523.27511</v>
      </c>
      <c r="AA846" t="n">
        <v>4518.41</v>
      </c>
      <c r="AB846" t="n">
        <v>4535.96113</v>
      </c>
      <c r="AC846" t="n">
        <v>4535.54819</v>
      </c>
      <c r="AD846" t="n">
        <v>1</v>
      </c>
      <c r="AE846">
        <f>AE845+1</f>
        <v/>
      </c>
      <c r="AF846">
        <f>AF845+1</f>
        <v/>
      </c>
      <c r="AG846">
        <f>D846-Q846</f>
        <v/>
      </c>
      <c r="AH846">
        <f>AG846^2</f>
        <v/>
      </c>
      <c r="AI846">
        <f>(AG846/STDEV($AG$3:$AG$1137))^3</f>
        <v/>
      </c>
      <c r="AJ846">
        <f>(AG846/STDEV($AG$3:$AG$1137))^4</f>
        <v/>
      </c>
      <c r="AK846">
        <f>AF846^2</f>
        <v/>
      </c>
      <c r="AL846">
        <f>IF(AD846=1,AB846,IF(AL845&lt;&gt;"",AL845,""))</f>
        <v/>
      </c>
      <c r="AM846">
        <f>IF(AND(AD846=1,AL845&lt;&gt;""),ABS(AB846-AL845),"")</f>
        <v/>
      </c>
    </row>
    <row r="847">
      <c r="A847" t="n">
        <v>1777489202</v>
      </c>
      <c r="B847" t="inlineStr">
        <is>
          <t>XAUUSD</t>
        </is>
      </c>
      <c r="C847" t="inlineStr">
        <is>
          <t>M15</t>
        </is>
      </c>
      <c r="D847" t="n">
        <v>4547.72</v>
      </c>
      <c r="E847" t="n">
        <v>4518.59282</v>
      </c>
      <c r="F847" t="n">
        <v>4596.05595</v>
      </c>
      <c r="G847" t="n">
        <v>4755.40355</v>
      </c>
      <c r="H847" t="n">
        <v>4792.76972</v>
      </c>
      <c r="Q847" t="n">
        <v>4591.51228</v>
      </c>
      <c r="R847" t="n">
        <v>4620.87557</v>
      </c>
      <c r="S847" t="n">
        <v>4647.46435</v>
      </c>
      <c r="V847" t="n">
        <v>4556.57251</v>
      </c>
      <c r="W847" t="n">
        <v>4523.00751</v>
      </c>
      <c r="AB847" t="n">
        <v>4538.22619</v>
      </c>
      <c r="AC847" t="n">
        <v>4536.88719</v>
      </c>
      <c r="AD847" t="n">
        <v>0</v>
      </c>
      <c r="AE847">
        <f>AE846+1</f>
        <v/>
      </c>
      <c r="AF847">
        <f>AF846+1</f>
        <v/>
      </c>
      <c r="AG847">
        <f>D847-Q847</f>
        <v/>
      </c>
      <c r="AH847">
        <f>AG847^2</f>
        <v/>
      </c>
      <c r="AI847">
        <f>(AG847/STDEV($AG$3:$AG$1137))^3</f>
        <v/>
      </c>
      <c r="AJ847">
        <f>(AG847/STDEV($AG$3:$AG$1137))^4</f>
        <v/>
      </c>
      <c r="AK847">
        <f>AF847^2</f>
        <v/>
      </c>
      <c r="AL847">
        <f>IF(AD847=1,AB847,IF(AL846&lt;&gt;"",AL846,""))</f>
        <v/>
      </c>
      <c r="AM847">
        <f>IF(AND(AD847=1,AL846&lt;&gt;""),ABS(AB847-AL846),"")</f>
        <v/>
      </c>
    </row>
    <row r="848">
      <c r="A848" t="n">
        <v>1777490102</v>
      </c>
      <c r="B848" t="inlineStr">
        <is>
          <t>XAUUSD</t>
        </is>
      </c>
      <c r="C848" t="inlineStr">
        <is>
          <t>M15</t>
        </is>
      </c>
      <c r="D848" t="n">
        <v>4542.84</v>
      </c>
      <c r="E848" t="n">
        <v>4518.59282</v>
      </c>
      <c r="F848" t="n">
        <v>4596.05595</v>
      </c>
      <c r="G848" t="n">
        <v>4755.40355</v>
      </c>
      <c r="H848" t="n">
        <v>4792.76972</v>
      </c>
      <c r="Q848" t="n">
        <v>4591.24467</v>
      </c>
      <c r="R848" t="n">
        <v>4620.60797</v>
      </c>
      <c r="S848" t="n">
        <v>4647.19674</v>
      </c>
      <c r="V848" t="n">
        <v>4556.3049</v>
      </c>
      <c r="W848" t="n">
        <v>4522.73991</v>
      </c>
      <c r="AB848" t="n">
        <v>4540.41526</v>
      </c>
      <c r="AC848" t="n">
        <v>4538.65123</v>
      </c>
      <c r="AD848" t="n">
        <v>0</v>
      </c>
      <c r="AE848">
        <f>AE847+1</f>
        <v/>
      </c>
      <c r="AF848">
        <f>AF847+1</f>
        <v/>
      </c>
      <c r="AG848">
        <f>D848-Q848</f>
        <v/>
      </c>
      <c r="AH848">
        <f>AG848^2</f>
        <v/>
      </c>
      <c r="AI848">
        <f>(AG848/STDEV($AG$3:$AG$1137))^3</f>
        <v/>
      </c>
      <c r="AJ848">
        <f>(AG848/STDEV($AG$3:$AG$1137))^4</f>
        <v/>
      </c>
      <c r="AK848">
        <f>AF848^2</f>
        <v/>
      </c>
      <c r="AL848">
        <f>IF(AD848=1,AB848,IF(AL847&lt;&gt;"",AL847,""))</f>
        <v/>
      </c>
      <c r="AM848">
        <f>IF(AND(AD848=1,AL847&lt;&gt;""),ABS(AB848-AL847),"")</f>
        <v/>
      </c>
    </row>
    <row r="849">
      <c r="A849" t="n">
        <v>1777491002</v>
      </c>
      <c r="B849" t="inlineStr">
        <is>
          <t>XAUUSD</t>
        </is>
      </c>
      <c r="C849" t="inlineStr">
        <is>
          <t>M15</t>
        </is>
      </c>
      <c r="D849" t="n">
        <v>4539.61</v>
      </c>
      <c r="E849" t="n">
        <v>4518.59282</v>
      </c>
      <c r="F849" t="n">
        <v>4596.05595</v>
      </c>
      <c r="G849" t="n">
        <v>4755.40355</v>
      </c>
      <c r="H849" t="n">
        <v>4792.76972</v>
      </c>
      <c r="Q849" t="n">
        <v>4590.97707</v>
      </c>
      <c r="R849" t="n">
        <v>4620.34037</v>
      </c>
      <c r="S849" t="n">
        <v>4646.92914</v>
      </c>
      <c r="V849" t="n">
        <v>4556.0373</v>
      </c>
      <c r="W849" t="n">
        <v>4522.4723</v>
      </c>
      <c r="AB849" t="n">
        <v>4542.37717</v>
      </c>
      <c r="AC849" t="n">
        <v>4540.5142</v>
      </c>
      <c r="AD849" t="n">
        <v>0</v>
      </c>
      <c r="AE849">
        <f>AE848+1</f>
        <v/>
      </c>
      <c r="AF849">
        <f>AF848+1</f>
        <v/>
      </c>
      <c r="AG849">
        <f>D849-Q849</f>
        <v/>
      </c>
      <c r="AH849">
        <f>AG849^2</f>
        <v/>
      </c>
      <c r="AI849">
        <f>(AG849/STDEV($AG$3:$AG$1137))^3</f>
        <v/>
      </c>
      <c r="AJ849">
        <f>(AG849/STDEV($AG$3:$AG$1137))^4</f>
        <v/>
      </c>
      <c r="AK849">
        <f>AF849^2</f>
        <v/>
      </c>
      <c r="AL849">
        <f>IF(AD849=1,AB849,IF(AL848&lt;&gt;"",AL848,""))</f>
        <v/>
      </c>
      <c r="AM849">
        <f>IF(AND(AD849=1,AL848&lt;&gt;""),ABS(AB849-AL848),"")</f>
        <v/>
      </c>
    </row>
    <row r="850">
      <c r="A850" t="n">
        <v>1777491902</v>
      </c>
      <c r="B850" t="inlineStr">
        <is>
          <t>XAUUSD</t>
        </is>
      </c>
      <c r="C850" t="inlineStr">
        <is>
          <t>M15</t>
        </is>
      </c>
      <c r="D850" t="n">
        <v>4547.05</v>
      </c>
      <c r="E850" t="n">
        <v>4518.59282</v>
      </c>
      <c r="F850" t="n">
        <v>4596.05595</v>
      </c>
      <c r="G850" t="n">
        <v>4755.40355</v>
      </c>
      <c r="H850" t="n">
        <v>4792.76972</v>
      </c>
      <c r="Q850" t="n">
        <v>4590.70946</v>
      </c>
      <c r="R850" t="n">
        <v>4620.07276</v>
      </c>
      <c r="S850" t="n">
        <v>4646.66153</v>
      </c>
      <c r="V850" t="n">
        <v>4555.76969</v>
      </c>
      <c r="W850" t="n">
        <v>4522.2047</v>
      </c>
      <c r="AB850" t="n">
        <v>4544.01563</v>
      </c>
      <c r="AC850" t="n">
        <v>4542.26491</v>
      </c>
      <c r="AD850" t="n">
        <v>0</v>
      </c>
      <c r="AE850">
        <f>AE849+1</f>
        <v/>
      </c>
      <c r="AF850">
        <f>AF849+1</f>
        <v/>
      </c>
      <c r="AG850">
        <f>D850-Q850</f>
        <v/>
      </c>
      <c r="AH850">
        <f>AG850^2</f>
        <v/>
      </c>
      <c r="AI850">
        <f>(AG850/STDEV($AG$3:$AG$1137))^3</f>
        <v/>
      </c>
      <c r="AJ850">
        <f>(AG850/STDEV($AG$3:$AG$1137))^4</f>
        <v/>
      </c>
      <c r="AK850">
        <f>AF850^2</f>
        <v/>
      </c>
      <c r="AL850">
        <f>IF(AD850=1,AB850,IF(AL849&lt;&gt;"",AL849,""))</f>
        <v/>
      </c>
      <c r="AM850">
        <f>IF(AND(AD850=1,AL849&lt;&gt;""),ABS(AB850-AL849),"")</f>
        <v/>
      </c>
    </row>
    <row r="851">
      <c r="A851" t="n">
        <v>1777492802</v>
      </c>
      <c r="B851" t="inlineStr">
        <is>
          <t>XAUUSD</t>
        </is>
      </c>
      <c r="C851" t="inlineStr">
        <is>
          <t>M15</t>
        </is>
      </c>
      <c r="D851" t="n">
        <v>4546.25</v>
      </c>
      <c r="E851" t="n">
        <v>4518.59282</v>
      </c>
      <c r="F851" t="n">
        <v>4596.05595</v>
      </c>
      <c r="G851" t="n">
        <v>4755.40355</v>
      </c>
      <c r="H851" t="n">
        <v>4792.76972</v>
      </c>
      <c r="Q851" t="n">
        <v>4590.44186</v>
      </c>
      <c r="R851" t="n">
        <v>4619.80516</v>
      </c>
      <c r="S851" t="n">
        <v>4646.39393</v>
      </c>
      <c r="V851" t="n">
        <v>4555.50209</v>
      </c>
      <c r="W851" t="n">
        <v>4521.93709</v>
      </c>
      <c r="AB851" t="n">
        <v>4545.08305</v>
      </c>
      <c r="AC851" t="n">
        <v>4543.67398</v>
      </c>
      <c r="AD851" t="n">
        <v>0</v>
      </c>
      <c r="AE851">
        <f>AE850+1</f>
        <v/>
      </c>
      <c r="AF851">
        <f>AF850+1</f>
        <v/>
      </c>
      <c r="AG851">
        <f>D851-Q851</f>
        <v/>
      </c>
      <c r="AH851">
        <f>AG851^2</f>
        <v/>
      </c>
      <c r="AI851">
        <f>(AG851/STDEV($AG$3:$AG$1137))^3</f>
        <v/>
      </c>
      <c r="AJ851">
        <f>(AG851/STDEV($AG$3:$AG$1137))^4</f>
        <v/>
      </c>
      <c r="AK851">
        <f>AF851^2</f>
        <v/>
      </c>
      <c r="AL851">
        <f>IF(AD851=1,AB851,IF(AL850&lt;&gt;"",AL850,""))</f>
        <v/>
      </c>
      <c r="AM851">
        <f>IF(AND(AD851=1,AL850&lt;&gt;""),ABS(AB851-AL850),"")</f>
        <v/>
      </c>
    </row>
    <row r="852">
      <c r="A852" t="n">
        <v>1777493702</v>
      </c>
      <c r="B852" t="inlineStr">
        <is>
          <t>XAUUSD</t>
        </is>
      </c>
      <c r="C852" t="inlineStr">
        <is>
          <t>M15</t>
        </is>
      </c>
      <c r="D852" t="n">
        <v>4543.25</v>
      </c>
      <c r="E852" t="n">
        <v>4518.59282</v>
      </c>
      <c r="F852" t="n">
        <v>4596.05595</v>
      </c>
      <c r="G852" t="n">
        <v>4755.40355</v>
      </c>
      <c r="H852" t="n">
        <v>4792.76972</v>
      </c>
      <c r="Q852" t="n">
        <v>4590.17426</v>
      </c>
      <c r="R852" t="n">
        <v>4619.53755</v>
      </c>
      <c r="S852" t="n">
        <v>4646.12633</v>
      </c>
      <c r="V852" t="n">
        <v>4555.23449</v>
      </c>
      <c r="W852" t="n">
        <v>4521.66949</v>
      </c>
      <c r="AB852" t="n">
        <v>4545.66618</v>
      </c>
      <c r="AC852" t="n">
        <v>4544.67008</v>
      </c>
      <c r="AD852" t="n">
        <v>0</v>
      </c>
      <c r="AE852">
        <f>AE851+1</f>
        <v/>
      </c>
      <c r="AF852">
        <f>AF851+1</f>
        <v/>
      </c>
      <c r="AG852">
        <f>D852-Q852</f>
        <v/>
      </c>
      <c r="AH852">
        <f>AG852^2</f>
        <v/>
      </c>
      <c r="AI852">
        <f>(AG852/STDEV($AG$3:$AG$1137))^3</f>
        <v/>
      </c>
      <c r="AJ852">
        <f>(AG852/STDEV($AG$3:$AG$1137))^4</f>
        <v/>
      </c>
      <c r="AK852">
        <f>AF852^2</f>
        <v/>
      </c>
      <c r="AL852">
        <f>IF(AD852=1,AB852,IF(AL851&lt;&gt;"",AL851,""))</f>
        <v/>
      </c>
      <c r="AM852">
        <f>IF(AND(AD852=1,AL851&lt;&gt;""),ABS(AB852-AL851),"")</f>
        <v/>
      </c>
    </row>
    <row r="853">
      <c r="A853" t="n">
        <v>1777494602</v>
      </c>
      <c r="B853" t="inlineStr">
        <is>
          <t>XAUUSD</t>
        </is>
      </c>
      <c r="C853" t="inlineStr">
        <is>
          <t>M15</t>
        </is>
      </c>
      <c r="D853" t="n">
        <v>4543.79</v>
      </c>
      <c r="E853" t="n">
        <v>4518.59282</v>
      </c>
      <c r="F853" t="n">
        <v>4596.05595</v>
      </c>
      <c r="G853" t="n">
        <v>4755.40355</v>
      </c>
      <c r="H853" t="n">
        <v>4792.76972</v>
      </c>
      <c r="Q853" t="n">
        <v>4589.90665</v>
      </c>
      <c r="R853" t="n">
        <v>4619.26995</v>
      </c>
      <c r="S853" t="n">
        <v>4645.85872</v>
      </c>
      <c r="V853" t="n">
        <v>4554.96688</v>
      </c>
      <c r="W853" t="n">
        <v>4521.40188</v>
      </c>
      <c r="AB853" t="n">
        <v>4546.02341</v>
      </c>
      <c r="AC853" t="n">
        <v>4545.34675</v>
      </c>
      <c r="AD853" t="n">
        <v>0</v>
      </c>
      <c r="AE853">
        <f>AE852+1</f>
        <v/>
      </c>
      <c r="AF853">
        <f>AF852+1</f>
        <v/>
      </c>
      <c r="AG853">
        <f>D853-Q853</f>
        <v/>
      </c>
      <c r="AH853">
        <f>AG853^2</f>
        <v/>
      </c>
      <c r="AI853">
        <f>(AG853/STDEV($AG$3:$AG$1137))^3</f>
        <v/>
      </c>
      <c r="AJ853">
        <f>(AG853/STDEV($AG$3:$AG$1137))^4</f>
        <v/>
      </c>
      <c r="AK853">
        <f>AF853^2</f>
        <v/>
      </c>
      <c r="AL853">
        <f>IF(AD853=1,AB853,IF(AL852&lt;&gt;"",AL852,""))</f>
        <v/>
      </c>
      <c r="AM853">
        <f>IF(AND(AD853=1,AL852&lt;&gt;""),ABS(AB853-AL852),"")</f>
        <v/>
      </c>
    </row>
    <row r="854">
      <c r="A854" t="n">
        <v>1777495502</v>
      </c>
      <c r="B854" t="inlineStr">
        <is>
          <t>XAUUSD</t>
        </is>
      </c>
      <c r="C854" t="inlineStr">
        <is>
          <t>M15</t>
        </is>
      </c>
      <c r="D854" t="n">
        <v>4543.57</v>
      </c>
      <c r="E854" t="n">
        <v>4518.59282</v>
      </c>
      <c r="F854" t="n">
        <v>4596.05595</v>
      </c>
      <c r="G854" t="n">
        <v>4755.40355</v>
      </c>
      <c r="H854" t="n">
        <v>4792.76972</v>
      </c>
      <c r="Q854" t="n">
        <v>4589.63905</v>
      </c>
      <c r="R854" t="n">
        <v>4619.00235</v>
      </c>
      <c r="S854" t="n">
        <v>4645.59112</v>
      </c>
      <c r="V854" t="n">
        <v>4554.69928</v>
      </c>
      <c r="W854" t="n">
        <v>4521.13428</v>
      </c>
      <c r="AB854" t="n">
        <v>4546.30255</v>
      </c>
      <c r="AC854" t="n">
        <v>4545.82465</v>
      </c>
      <c r="AD854" t="n">
        <v>0</v>
      </c>
      <c r="AE854">
        <f>AE853+1</f>
        <v/>
      </c>
      <c r="AF854">
        <f>AF853+1</f>
        <v/>
      </c>
      <c r="AG854">
        <f>D854-Q854</f>
        <v/>
      </c>
      <c r="AH854">
        <f>AG854^2</f>
        <v/>
      </c>
      <c r="AI854">
        <f>(AG854/STDEV($AG$3:$AG$1137))^3</f>
        <v/>
      </c>
      <c r="AJ854">
        <f>(AG854/STDEV($AG$3:$AG$1137))^4</f>
        <v/>
      </c>
      <c r="AK854">
        <f>AF854^2</f>
        <v/>
      </c>
      <c r="AL854">
        <f>IF(AD854=1,AB854,IF(AL853&lt;&gt;"",AL853,""))</f>
        <v/>
      </c>
      <c r="AM854">
        <f>IF(AND(AD854=1,AL853&lt;&gt;""),ABS(AB854-AL853),"")</f>
        <v/>
      </c>
    </row>
    <row r="855">
      <c r="A855" t="n">
        <v>1777500002</v>
      </c>
      <c r="B855" t="inlineStr">
        <is>
          <t>XAUUSD</t>
        </is>
      </c>
      <c r="C855" t="inlineStr">
        <is>
          <t>M15</t>
        </is>
      </c>
      <c r="D855" t="n">
        <v>4546.4</v>
      </c>
      <c r="E855" t="n">
        <v>4518.59282</v>
      </c>
      <c r="F855" t="n">
        <v>4596.05595</v>
      </c>
      <c r="G855" t="n">
        <v>4755.40355</v>
      </c>
      <c r="H855" t="n">
        <v>4792.76972</v>
      </c>
      <c r="Q855" t="n">
        <v>4589.37144</v>
      </c>
      <c r="R855" t="n">
        <v>4618.73474</v>
      </c>
      <c r="S855" t="n">
        <v>4645.32351</v>
      </c>
      <c r="V855" t="n">
        <v>4554.43167</v>
      </c>
      <c r="W855" t="n">
        <v>4520.86668</v>
      </c>
      <c r="AB855" t="n">
        <v>4546.72227</v>
      </c>
      <c r="AC855" t="n">
        <v>4546.27346</v>
      </c>
      <c r="AD855" t="n">
        <v>0</v>
      </c>
      <c r="AE855">
        <f>AE854+1</f>
        <v/>
      </c>
      <c r="AF855">
        <f>AF854+1</f>
        <v/>
      </c>
      <c r="AG855">
        <f>D855-Q855</f>
        <v/>
      </c>
      <c r="AH855">
        <f>AG855^2</f>
        <v/>
      </c>
      <c r="AI855">
        <f>(AG855/STDEV($AG$3:$AG$1137))^3</f>
        <v/>
      </c>
      <c r="AJ855">
        <f>(AG855/STDEV($AG$3:$AG$1137))^4</f>
        <v/>
      </c>
      <c r="AK855">
        <f>AF855^2</f>
        <v/>
      </c>
      <c r="AL855">
        <f>IF(AD855=1,AB855,IF(AL854&lt;&gt;"",AL854,""))</f>
        <v/>
      </c>
      <c r="AM855">
        <f>IF(AND(AD855=1,AL854&lt;&gt;""),ABS(AB855-AL854),"")</f>
        <v/>
      </c>
    </row>
    <row r="856">
      <c r="A856" t="n">
        <v>1777500902</v>
      </c>
      <c r="B856" t="inlineStr">
        <is>
          <t>XAUUSD</t>
        </is>
      </c>
      <c r="C856" t="inlineStr">
        <is>
          <t>M15</t>
        </is>
      </c>
      <c r="D856" t="n">
        <v>4549.14</v>
      </c>
      <c r="E856" t="n">
        <v>4518.59282</v>
      </c>
      <c r="F856" t="n">
        <v>4596.05595</v>
      </c>
      <c r="G856" t="n">
        <v>4755.40355</v>
      </c>
      <c r="H856" t="n">
        <v>4792.76972</v>
      </c>
      <c r="Q856" t="n">
        <v>4589.10384</v>
      </c>
      <c r="R856" t="n">
        <v>4618.46714</v>
      </c>
      <c r="S856" t="n">
        <v>4645.05591</v>
      </c>
      <c r="V856" t="n">
        <v>4554.16407</v>
      </c>
      <c r="W856" t="n">
        <v>4520.59907</v>
      </c>
      <c r="AB856" t="n">
        <v>4547.40233</v>
      </c>
      <c r="AC856" t="n">
        <v>4546.83789</v>
      </c>
      <c r="AD856" t="n">
        <v>0</v>
      </c>
      <c r="AE856">
        <f>AE855+1</f>
        <v/>
      </c>
      <c r="AF856">
        <f>AF855+1</f>
        <v/>
      </c>
      <c r="AG856">
        <f>D856-Q856</f>
        <v/>
      </c>
      <c r="AH856">
        <f>AG856^2</f>
        <v/>
      </c>
      <c r="AI856">
        <f>(AG856/STDEV($AG$3:$AG$1137))^3</f>
        <v/>
      </c>
      <c r="AJ856">
        <f>(AG856/STDEV($AG$3:$AG$1137))^4</f>
        <v/>
      </c>
      <c r="AK856">
        <f>AF856^2</f>
        <v/>
      </c>
      <c r="AL856">
        <f>IF(AD856=1,AB856,IF(AL855&lt;&gt;"",AL855,""))</f>
        <v/>
      </c>
      <c r="AM856">
        <f>IF(AND(AD856=1,AL855&lt;&gt;""),ABS(AB856-AL855),"")</f>
        <v/>
      </c>
    </row>
    <row r="857">
      <c r="A857" t="n">
        <v>1777501802</v>
      </c>
      <c r="B857" t="inlineStr">
        <is>
          <t>XAUUSD</t>
        </is>
      </c>
      <c r="C857" t="inlineStr">
        <is>
          <t>M15</t>
        </is>
      </c>
      <c r="D857" t="n">
        <v>4548.51</v>
      </c>
      <c r="E857" t="n">
        <v>4518.59282</v>
      </c>
      <c r="F857" t="n">
        <v>4596.05595</v>
      </c>
      <c r="G857" t="n">
        <v>4755.40355</v>
      </c>
      <c r="H857" t="n">
        <v>4792.76972</v>
      </c>
      <c r="Q857" t="n">
        <v>4588.83623</v>
      </c>
      <c r="R857" t="n">
        <v>4618.19953</v>
      </c>
      <c r="S857" t="n">
        <v>4644.7883</v>
      </c>
      <c r="V857" t="n">
        <v>4553.89646</v>
      </c>
      <c r="W857" t="n">
        <v>4520.33147</v>
      </c>
      <c r="AB857" t="n">
        <v>4548.38375</v>
      </c>
      <c r="AC857" t="n">
        <v>4547.61082</v>
      </c>
      <c r="AD857" t="n">
        <v>0</v>
      </c>
      <c r="AE857">
        <f>AE856+1</f>
        <v/>
      </c>
      <c r="AF857">
        <f>AF856+1</f>
        <v/>
      </c>
      <c r="AG857">
        <f>D857-Q857</f>
        <v/>
      </c>
      <c r="AH857">
        <f>AG857^2</f>
        <v/>
      </c>
      <c r="AI857">
        <f>(AG857/STDEV($AG$3:$AG$1137))^3</f>
        <v/>
      </c>
      <c r="AJ857">
        <f>(AG857/STDEV($AG$3:$AG$1137))^4</f>
        <v/>
      </c>
      <c r="AK857">
        <f>AF857^2</f>
        <v/>
      </c>
      <c r="AL857">
        <f>IF(AD857=1,AB857,IF(AL856&lt;&gt;"",AL856,""))</f>
        <v/>
      </c>
      <c r="AM857">
        <f>IF(AND(AD857=1,AL856&lt;&gt;""),ABS(AB857-AL856),"")</f>
        <v/>
      </c>
    </row>
    <row r="858">
      <c r="A858" t="n">
        <v>1777502702</v>
      </c>
      <c r="B858" t="inlineStr">
        <is>
          <t>XAUUSD</t>
        </is>
      </c>
      <c r="C858" t="inlineStr">
        <is>
          <t>M15</t>
        </is>
      </c>
      <c r="D858" t="n">
        <v>4552.08</v>
      </c>
      <c r="E858" t="n">
        <v>4518.59282</v>
      </c>
      <c r="F858" t="n">
        <v>4596.05595</v>
      </c>
      <c r="G858" t="n">
        <v>4755.40355</v>
      </c>
      <c r="H858" t="n">
        <v>4792.76972</v>
      </c>
      <c r="Q858" t="n">
        <v>4588.56863</v>
      </c>
      <c r="R858" t="n">
        <v>4617.93193</v>
      </c>
      <c r="S858" t="n">
        <v>4644.5207</v>
      </c>
      <c r="V858" t="n">
        <v>4553.62886</v>
      </c>
      <c r="W858" t="n">
        <v>4520.06386</v>
      </c>
      <c r="AB858" t="n">
        <v>4549.74619</v>
      </c>
      <c r="AC858" t="n">
        <v>4548.67851</v>
      </c>
      <c r="AD858" t="n">
        <v>0</v>
      </c>
      <c r="AE858">
        <f>AE857+1</f>
        <v/>
      </c>
      <c r="AF858">
        <f>AF857+1</f>
        <v/>
      </c>
      <c r="AG858">
        <f>D858-Q858</f>
        <v/>
      </c>
      <c r="AH858">
        <f>AG858^2</f>
        <v/>
      </c>
      <c r="AI858">
        <f>(AG858/STDEV($AG$3:$AG$1137))^3</f>
        <v/>
      </c>
      <c r="AJ858">
        <f>(AG858/STDEV($AG$3:$AG$1137))^4</f>
        <v/>
      </c>
      <c r="AK858">
        <f>AF858^2</f>
        <v/>
      </c>
      <c r="AL858">
        <f>IF(AD858=1,AB858,IF(AL857&lt;&gt;"",AL857,""))</f>
        <v/>
      </c>
      <c r="AM858">
        <f>IF(AND(AD858=1,AL857&lt;&gt;""),ABS(AB858-AL857),"")</f>
        <v/>
      </c>
    </row>
    <row r="859">
      <c r="A859" t="n">
        <v>1777503602</v>
      </c>
      <c r="B859" t="inlineStr">
        <is>
          <t>XAUUSD</t>
        </is>
      </c>
      <c r="C859" t="inlineStr">
        <is>
          <t>M15</t>
        </is>
      </c>
      <c r="D859" t="n">
        <v>4553.33</v>
      </c>
      <c r="E859" t="n">
        <v>4518.59282</v>
      </c>
      <c r="F859" t="n">
        <v>4596.05595</v>
      </c>
      <c r="G859" t="n">
        <v>4755.40355</v>
      </c>
      <c r="H859" t="n">
        <v>4792.76972</v>
      </c>
      <c r="Q859" t="n">
        <v>4588.30103</v>
      </c>
      <c r="R859" t="n">
        <v>4617.66433</v>
      </c>
      <c r="S859" t="n">
        <v>4644.2531</v>
      </c>
      <c r="V859" t="n">
        <v>4553.36126</v>
      </c>
      <c r="W859" t="n">
        <v>4519.79626</v>
      </c>
      <c r="AB859" t="n">
        <v>4551.41538</v>
      </c>
      <c r="AC859" t="n">
        <v>4550.04694</v>
      </c>
      <c r="AD859" t="n">
        <v>0</v>
      </c>
      <c r="AE859">
        <f>AE858+1</f>
        <v/>
      </c>
      <c r="AF859">
        <f>AF858+1</f>
        <v/>
      </c>
      <c r="AG859">
        <f>D859-Q859</f>
        <v/>
      </c>
      <c r="AH859">
        <f>AG859^2</f>
        <v/>
      </c>
      <c r="AI859">
        <f>(AG859/STDEV($AG$3:$AG$1137))^3</f>
        <v/>
      </c>
      <c r="AJ859">
        <f>(AG859/STDEV($AG$3:$AG$1137))^4</f>
        <v/>
      </c>
      <c r="AK859">
        <f>AF859^2</f>
        <v/>
      </c>
      <c r="AL859">
        <f>IF(AD859=1,AB859,IF(AL858&lt;&gt;"",AL858,""))</f>
        <v/>
      </c>
      <c r="AM859">
        <f>IF(AND(AD859=1,AL858&lt;&gt;""),ABS(AB859-AL858),"")</f>
        <v/>
      </c>
    </row>
    <row r="860">
      <c r="A860" t="n">
        <v>1777504502</v>
      </c>
      <c r="B860" t="inlineStr">
        <is>
          <t>XAUUSD</t>
        </is>
      </c>
      <c r="C860" t="inlineStr">
        <is>
          <t>M15</t>
        </is>
      </c>
      <c r="D860" t="n">
        <v>4551.63</v>
      </c>
      <c r="E860" t="n">
        <v>4518.59282</v>
      </c>
      <c r="F860" t="n">
        <v>4596.05595</v>
      </c>
      <c r="G860" t="n">
        <v>4755.40355</v>
      </c>
      <c r="H860" t="n">
        <v>4792.76972</v>
      </c>
      <c r="Q860" t="n">
        <v>4588.03342</v>
      </c>
      <c r="R860" t="n">
        <v>4617.39672</v>
      </c>
      <c r="S860" t="n">
        <v>4643.98549</v>
      </c>
      <c r="V860" t="n">
        <v>4553.09365</v>
      </c>
      <c r="W860" t="n">
        <v>4519.52866</v>
      </c>
      <c r="AB860" t="n">
        <v>4553.37157</v>
      </c>
      <c r="AC860" t="n">
        <v>4551.70926</v>
      </c>
      <c r="AD860" t="n">
        <v>0</v>
      </c>
      <c r="AE860">
        <f>AE859+1</f>
        <v/>
      </c>
      <c r="AF860">
        <f>AF859+1</f>
        <v/>
      </c>
      <c r="AG860">
        <f>D860-Q860</f>
        <v/>
      </c>
      <c r="AH860">
        <f>AG860^2</f>
        <v/>
      </c>
      <c r="AI860">
        <f>(AG860/STDEV($AG$3:$AG$1137))^3</f>
        <v/>
      </c>
      <c r="AJ860">
        <f>(AG860/STDEV($AG$3:$AG$1137))^4</f>
        <v/>
      </c>
      <c r="AK860">
        <f>AF860^2</f>
        <v/>
      </c>
      <c r="AL860">
        <f>IF(AD860=1,AB860,IF(AL859&lt;&gt;"",AL859,""))</f>
        <v/>
      </c>
      <c r="AM860">
        <f>IF(AND(AD860=1,AL859&lt;&gt;""),ABS(AB860-AL859),"")</f>
        <v/>
      </c>
    </row>
    <row r="861">
      <c r="A861" t="n">
        <v>1777505402</v>
      </c>
      <c r="B861" t="inlineStr">
        <is>
          <t>XAUUSD</t>
        </is>
      </c>
      <c r="C861" t="inlineStr">
        <is>
          <t>M15</t>
        </is>
      </c>
      <c r="D861" t="n">
        <v>4554.44</v>
      </c>
      <c r="E861" t="n">
        <v>4518.59282</v>
      </c>
      <c r="F861" t="n">
        <v>4596.05595</v>
      </c>
      <c r="G861" t="n">
        <v>4755.40355</v>
      </c>
      <c r="H861" t="n">
        <v>4792.76972</v>
      </c>
      <c r="Q861" t="n">
        <v>4587.76582</v>
      </c>
      <c r="R861" t="n">
        <v>4617.12912</v>
      </c>
      <c r="S861" t="n">
        <v>4643.71789</v>
      </c>
      <c r="V861" t="n">
        <v>4552.82605</v>
      </c>
      <c r="W861" t="n">
        <v>4519.26105</v>
      </c>
      <c r="AB861" t="n">
        <v>4555.67977</v>
      </c>
      <c r="AC861" t="n">
        <v>4553.69451</v>
      </c>
      <c r="AD861" t="n">
        <v>0</v>
      </c>
      <c r="AE861">
        <f>AE860+1</f>
        <v/>
      </c>
      <c r="AF861">
        <f>AF860+1</f>
        <v/>
      </c>
      <c r="AG861">
        <f>D861-Q861</f>
        <v/>
      </c>
      <c r="AH861">
        <f>AG861^2</f>
        <v/>
      </c>
      <c r="AI861">
        <f>(AG861/STDEV($AG$3:$AG$1137))^3</f>
        <v/>
      </c>
      <c r="AJ861">
        <f>(AG861/STDEV($AG$3:$AG$1137))^4</f>
        <v/>
      </c>
      <c r="AK861">
        <f>AF861^2</f>
        <v/>
      </c>
      <c r="AL861">
        <f>IF(AD861=1,AB861,IF(AL860&lt;&gt;"",AL860,""))</f>
        <v/>
      </c>
      <c r="AM861">
        <f>IF(AND(AD861=1,AL860&lt;&gt;""),ABS(AB861-AL860),"")</f>
        <v/>
      </c>
    </row>
    <row r="862">
      <c r="A862" t="n">
        <v>1777506302</v>
      </c>
      <c r="B862" t="inlineStr">
        <is>
          <t>XAUUSD</t>
        </is>
      </c>
      <c r="C862" t="inlineStr">
        <is>
          <t>M15</t>
        </is>
      </c>
      <c r="D862" t="n">
        <v>4561.66</v>
      </c>
      <c r="E862" t="n">
        <v>4518.59282</v>
      </c>
      <c r="F862" t="n">
        <v>4596.05595</v>
      </c>
      <c r="G862" t="n">
        <v>4755.40355</v>
      </c>
      <c r="H862" t="n">
        <v>4792.76972</v>
      </c>
      <c r="Q862" t="n">
        <v>4587.49821</v>
      </c>
      <c r="R862" t="n">
        <v>4616.86151</v>
      </c>
      <c r="S862" t="n">
        <v>4643.45028</v>
      </c>
      <c r="V862" t="n">
        <v>4552.55844</v>
      </c>
      <c r="W862" t="n">
        <v>4518.99345</v>
      </c>
      <c r="AB862" t="n">
        <v>4558.31079</v>
      </c>
      <c r="AC862" t="n">
        <v>4556.00265</v>
      </c>
      <c r="AD862" t="n">
        <v>0</v>
      </c>
      <c r="AE862">
        <f>AE861+1</f>
        <v/>
      </c>
      <c r="AF862">
        <f>AF861+1</f>
        <v/>
      </c>
      <c r="AG862">
        <f>D862-Q862</f>
        <v/>
      </c>
      <c r="AH862">
        <f>AG862^2</f>
        <v/>
      </c>
      <c r="AI862">
        <f>(AG862/STDEV($AG$3:$AG$1137))^3</f>
        <v/>
      </c>
      <c r="AJ862">
        <f>(AG862/STDEV($AG$3:$AG$1137))^4</f>
        <v/>
      </c>
      <c r="AK862">
        <f>AF862^2</f>
        <v/>
      </c>
      <c r="AL862">
        <f>IF(AD862=1,AB862,IF(AL861&lt;&gt;"",AL861,""))</f>
        <v/>
      </c>
      <c r="AM862">
        <f>IF(AND(AD862=1,AL861&lt;&gt;""),ABS(AB862-AL861),"")</f>
        <v/>
      </c>
    </row>
    <row r="863">
      <c r="A863" t="n">
        <v>1777507202</v>
      </c>
      <c r="B863" t="inlineStr">
        <is>
          <t>XAUUSD</t>
        </is>
      </c>
      <c r="C863" t="inlineStr">
        <is>
          <t>M15</t>
        </is>
      </c>
      <c r="D863" t="n">
        <v>4557.93</v>
      </c>
      <c r="E863" t="n">
        <v>4518.59282</v>
      </c>
      <c r="F863" t="n">
        <v>4596.05595</v>
      </c>
      <c r="G863" t="n">
        <v>4755.40355</v>
      </c>
      <c r="H863" t="n">
        <v>4792.76972</v>
      </c>
      <c r="Q863" t="n">
        <v>4587.23061</v>
      </c>
      <c r="R863" t="n">
        <v>4616.59391</v>
      </c>
      <c r="S863" t="n">
        <v>4643.18268</v>
      </c>
      <c r="V863" t="n">
        <v>4552.29084</v>
      </c>
      <c r="W863" t="n">
        <v>4518.72584</v>
      </c>
      <c r="AB863" t="n">
        <v>4561.09762</v>
      </c>
      <c r="AC863" t="n">
        <v>4558.55014</v>
      </c>
      <c r="AD863" t="n">
        <v>0</v>
      </c>
      <c r="AE863">
        <f>AE862+1</f>
        <v/>
      </c>
      <c r="AF863">
        <f>AF862+1</f>
        <v/>
      </c>
      <c r="AG863">
        <f>D863-Q863</f>
        <v/>
      </c>
      <c r="AH863">
        <f>AG863^2</f>
        <v/>
      </c>
      <c r="AI863">
        <f>(AG863/STDEV($AG$3:$AG$1137))^3</f>
        <v/>
      </c>
      <c r="AJ863">
        <f>(AG863/STDEV($AG$3:$AG$1137))^4</f>
        <v/>
      </c>
      <c r="AK863">
        <f>AF863^2</f>
        <v/>
      </c>
      <c r="AL863">
        <f>IF(AD863=1,AB863,IF(AL862&lt;&gt;"",AL862,""))</f>
        <v/>
      </c>
      <c r="AM863">
        <f>IF(AND(AD863=1,AL862&lt;&gt;""),ABS(AB863-AL862),"")</f>
        <v/>
      </c>
    </row>
    <row r="864">
      <c r="A864" t="n">
        <v>1777508102</v>
      </c>
      <c r="B864" t="inlineStr">
        <is>
          <t>XAUUSD</t>
        </is>
      </c>
      <c r="C864" t="inlineStr">
        <is>
          <t>M15</t>
        </is>
      </c>
      <c r="D864" t="n">
        <v>4563.57</v>
      </c>
      <c r="E864" t="n">
        <v>4518.59282</v>
      </c>
      <c r="F864" t="n">
        <v>4596.05595</v>
      </c>
      <c r="G864" t="n">
        <v>4755.40355</v>
      </c>
      <c r="H864" t="n">
        <v>4792.76972</v>
      </c>
      <c r="Q864" t="n">
        <v>4586.96301</v>
      </c>
      <c r="R864" t="n">
        <v>4616.32631</v>
      </c>
      <c r="S864" t="n">
        <v>4642.91508</v>
      </c>
      <c r="V864" t="n">
        <v>4552.02324</v>
      </c>
      <c r="W864" t="n">
        <v>4518.45824</v>
      </c>
      <c r="AB864" t="n">
        <v>4564.13434</v>
      </c>
      <c r="AC864" t="n">
        <v>4561.34224</v>
      </c>
      <c r="AD864" t="n">
        <v>0</v>
      </c>
      <c r="AE864">
        <f>AE863+1</f>
        <v/>
      </c>
      <c r="AF864">
        <f>AF863+1</f>
        <v/>
      </c>
      <c r="AG864">
        <f>D864-Q864</f>
        <v/>
      </c>
      <c r="AH864">
        <f>AG864^2</f>
        <v/>
      </c>
      <c r="AI864">
        <f>(AG864/STDEV($AG$3:$AG$1137))^3</f>
        <v/>
      </c>
      <c r="AJ864">
        <f>(AG864/STDEV($AG$3:$AG$1137))^4</f>
        <v/>
      </c>
      <c r="AK864">
        <f>AF864^2</f>
        <v/>
      </c>
      <c r="AL864">
        <f>IF(AD864=1,AB864,IF(AL863&lt;&gt;"",AL863,""))</f>
        <v/>
      </c>
      <c r="AM864">
        <f>IF(AND(AD864=1,AL863&lt;&gt;""),ABS(AB864-AL863),"")</f>
        <v/>
      </c>
    </row>
    <row r="865">
      <c r="A865" t="n">
        <v>1777509002</v>
      </c>
      <c r="B865" t="inlineStr">
        <is>
          <t>XAUUSD</t>
        </is>
      </c>
      <c r="C865" t="inlineStr">
        <is>
          <t>M15</t>
        </is>
      </c>
      <c r="D865" t="n">
        <v>4567.11</v>
      </c>
      <c r="E865" t="n">
        <v>4518.59282</v>
      </c>
      <c r="F865" t="n">
        <v>4596.05595</v>
      </c>
      <c r="G865" t="n">
        <v>4755.40355</v>
      </c>
      <c r="H865" t="n">
        <v>4792.76972</v>
      </c>
      <c r="Q865" t="n">
        <v>4586.6954</v>
      </c>
      <c r="R865" t="n">
        <v>4616.0587</v>
      </c>
      <c r="S865" t="n">
        <v>4642.64747</v>
      </c>
      <c r="V865" t="n">
        <v>4551.75563</v>
      </c>
      <c r="W865" t="n">
        <v>4518.19064</v>
      </c>
      <c r="AB865" t="n">
        <v>4567.24095</v>
      </c>
      <c r="AC865" t="n">
        <v>4564.29159</v>
      </c>
      <c r="AD865" t="n">
        <v>0</v>
      </c>
      <c r="AE865">
        <f>AE864+1</f>
        <v/>
      </c>
      <c r="AF865">
        <f>AF864+1</f>
        <v/>
      </c>
      <c r="AG865">
        <f>D865-Q865</f>
        <v/>
      </c>
      <c r="AH865">
        <f>AG865^2</f>
        <v/>
      </c>
      <c r="AI865">
        <f>(AG865/STDEV($AG$3:$AG$1137))^3</f>
        <v/>
      </c>
      <c r="AJ865">
        <f>(AG865/STDEV($AG$3:$AG$1137))^4</f>
        <v/>
      </c>
      <c r="AK865">
        <f>AF865^2</f>
        <v/>
      </c>
      <c r="AL865">
        <f>IF(AD865=1,AB865,IF(AL864&lt;&gt;"",AL864,""))</f>
        <v/>
      </c>
      <c r="AM865">
        <f>IF(AND(AD865=1,AL864&lt;&gt;""),ABS(AB865-AL864),"")</f>
        <v/>
      </c>
    </row>
    <row r="866">
      <c r="A866" t="n">
        <v>1777509902</v>
      </c>
      <c r="B866" t="inlineStr">
        <is>
          <t>XAUUSD</t>
        </is>
      </c>
      <c r="C866" t="inlineStr">
        <is>
          <t>M15</t>
        </is>
      </c>
      <c r="D866" t="n">
        <v>4569.83</v>
      </c>
      <c r="E866" t="n">
        <v>4518.59282</v>
      </c>
      <c r="F866" t="n">
        <v>4596.05595</v>
      </c>
      <c r="G866" t="n">
        <v>4755.40355</v>
      </c>
      <c r="H866" t="n">
        <v>4792.76972</v>
      </c>
      <c r="Q866" t="n">
        <v>4586.4278</v>
      </c>
      <c r="R866" t="n">
        <v>4615.7911</v>
      </c>
      <c r="S866" t="n">
        <v>4642.37987</v>
      </c>
      <c r="V866" t="n">
        <v>4551.48803</v>
      </c>
      <c r="W866" t="n">
        <v>4517.92303</v>
      </c>
      <c r="AB866" t="n">
        <v>4570.18189</v>
      </c>
      <c r="AC866" t="n">
        <v>4567.23674</v>
      </c>
      <c r="AD866" t="n">
        <v>0</v>
      </c>
      <c r="AE866">
        <f>AE865+1</f>
        <v/>
      </c>
      <c r="AF866">
        <f>AF865+1</f>
        <v/>
      </c>
      <c r="AG866">
        <f>D866-Q866</f>
        <v/>
      </c>
      <c r="AH866">
        <f>AG866^2</f>
        <v/>
      </c>
      <c r="AI866">
        <f>(AG866/STDEV($AG$3:$AG$1137))^3</f>
        <v/>
      </c>
      <c r="AJ866">
        <f>(AG866/STDEV($AG$3:$AG$1137))^4</f>
        <v/>
      </c>
      <c r="AK866">
        <f>AF866^2</f>
        <v/>
      </c>
      <c r="AL866">
        <f>IF(AD866=1,AB866,IF(AL865&lt;&gt;"",AL865,""))</f>
        <v/>
      </c>
      <c r="AM866">
        <f>IF(AND(AD866=1,AL865&lt;&gt;""),ABS(AB866-AL865),"")</f>
        <v/>
      </c>
    </row>
    <row r="867">
      <c r="A867" t="n">
        <v>1777510802</v>
      </c>
      <c r="B867" t="inlineStr">
        <is>
          <t>XAUUSD</t>
        </is>
      </c>
      <c r="C867" t="inlineStr">
        <is>
          <t>M15</t>
        </is>
      </c>
      <c r="D867" t="n">
        <v>4568.52</v>
      </c>
      <c r="E867" t="n">
        <v>4518.59282</v>
      </c>
      <c r="F867" t="n">
        <v>4596.05595</v>
      </c>
      <c r="G867" t="n">
        <v>4755.40355</v>
      </c>
      <c r="H867" t="n">
        <v>4792.76972</v>
      </c>
      <c r="Q867" t="n">
        <v>4586.16019</v>
      </c>
      <c r="R867" t="n">
        <v>4615.52349</v>
      </c>
      <c r="S867" t="n">
        <v>4642.11226</v>
      </c>
      <c r="V867" t="n">
        <v>4551.22042</v>
      </c>
      <c r="W867" t="n">
        <v>4517.65543</v>
      </c>
      <c r="AB867" t="n">
        <v>4572.76695</v>
      </c>
      <c r="AC867" t="n">
        <v>4570.00184</v>
      </c>
      <c r="AD867" t="n">
        <v>0</v>
      </c>
      <c r="AE867">
        <f>AE866+1</f>
        <v/>
      </c>
      <c r="AF867">
        <f>AF866+1</f>
        <v/>
      </c>
      <c r="AG867">
        <f>D867-Q867</f>
        <v/>
      </c>
      <c r="AH867">
        <f>AG867^2</f>
        <v/>
      </c>
      <c r="AI867">
        <f>(AG867/STDEV($AG$3:$AG$1137))^3</f>
        <v/>
      </c>
      <c r="AJ867">
        <f>(AG867/STDEV($AG$3:$AG$1137))^4</f>
        <v/>
      </c>
      <c r="AK867">
        <f>AF867^2</f>
        <v/>
      </c>
      <c r="AL867">
        <f>IF(AD867=1,AB867,IF(AL866&lt;&gt;"",AL866,""))</f>
        <v/>
      </c>
      <c r="AM867">
        <f>IF(AND(AD867=1,AL866&lt;&gt;""),ABS(AB867-AL866),"")</f>
        <v/>
      </c>
    </row>
    <row r="868">
      <c r="A868" t="n">
        <v>1777511702</v>
      </c>
      <c r="B868" t="inlineStr">
        <is>
          <t>XAUUSD</t>
        </is>
      </c>
      <c r="C868" t="inlineStr">
        <is>
          <t>M15</t>
        </is>
      </c>
      <c r="D868" t="n">
        <v>4579.79</v>
      </c>
      <c r="E868" t="n">
        <v>4518.59282</v>
      </c>
      <c r="F868" t="n">
        <v>4596.05595</v>
      </c>
      <c r="G868" t="n">
        <v>4755.40355</v>
      </c>
      <c r="H868" t="n">
        <v>4792.76972</v>
      </c>
      <c r="Q868" t="n">
        <v>4585.89259</v>
      </c>
      <c r="R868" t="n">
        <v>4615.25589</v>
      </c>
      <c r="S868" t="n">
        <v>4641.84466</v>
      </c>
      <c r="V868" t="n">
        <v>4550.95282</v>
      </c>
      <c r="W868" t="n">
        <v>4517.38782</v>
      </c>
      <c r="AB868" t="n">
        <v>4574.9109</v>
      </c>
      <c r="AC868" t="n">
        <v>4572.45637</v>
      </c>
      <c r="AD868" t="n">
        <v>0</v>
      </c>
      <c r="AE868">
        <f>AE867+1</f>
        <v/>
      </c>
      <c r="AF868">
        <f>AF867+1</f>
        <v/>
      </c>
      <c r="AG868">
        <f>D868-Q868</f>
        <v/>
      </c>
      <c r="AH868">
        <f>AG868^2</f>
        <v/>
      </c>
      <c r="AI868">
        <f>(AG868/STDEV($AG$3:$AG$1137))^3</f>
        <v/>
      </c>
      <c r="AJ868">
        <f>(AG868/STDEV($AG$3:$AG$1137))^4</f>
        <v/>
      </c>
      <c r="AK868">
        <f>AF868^2</f>
        <v/>
      </c>
      <c r="AL868">
        <f>IF(AD868=1,AB868,IF(AL867&lt;&gt;"",AL867,""))</f>
        <v/>
      </c>
      <c r="AM868">
        <f>IF(AND(AD868=1,AL867&lt;&gt;""),ABS(AB868-AL867),"")</f>
        <v/>
      </c>
    </row>
    <row r="869">
      <c r="A869" t="n">
        <v>1777512602</v>
      </c>
      <c r="B869" t="inlineStr">
        <is>
          <t>XAUUSD</t>
        </is>
      </c>
      <c r="C869" t="inlineStr">
        <is>
          <t>M15</t>
        </is>
      </c>
      <c r="D869" t="n">
        <v>4576.31</v>
      </c>
      <c r="E869" t="n">
        <v>4518.59282</v>
      </c>
      <c r="F869" t="n">
        <v>4596.05595</v>
      </c>
      <c r="G869" t="n">
        <v>4755.40355</v>
      </c>
      <c r="H869" t="n">
        <v>4792.76972</v>
      </c>
      <c r="Q869" t="n">
        <v>4585.62499</v>
      </c>
      <c r="R869" t="n">
        <v>4614.98828</v>
      </c>
      <c r="S869" t="n">
        <v>4641.57706</v>
      </c>
      <c r="V869" t="n">
        <v>4550.68522</v>
      </c>
      <c r="W869" t="n">
        <v>4517.12022</v>
      </c>
      <c r="AB869" t="n">
        <v>4576.15334</v>
      </c>
      <c r="AC869" t="n">
        <v>4574.30486</v>
      </c>
      <c r="AD869" t="n">
        <v>0</v>
      </c>
      <c r="AE869">
        <f>AE868+1</f>
        <v/>
      </c>
      <c r="AF869">
        <f>AF868+1</f>
        <v/>
      </c>
      <c r="AG869">
        <f>D869-Q869</f>
        <v/>
      </c>
      <c r="AH869">
        <f>AG869^2</f>
        <v/>
      </c>
      <c r="AI869">
        <f>(AG869/STDEV($AG$3:$AG$1137))^3</f>
        <v/>
      </c>
      <c r="AJ869">
        <f>(AG869/STDEV($AG$3:$AG$1137))^4</f>
        <v/>
      </c>
      <c r="AK869">
        <f>AF869^2</f>
        <v/>
      </c>
      <c r="AL869">
        <f>IF(AD869=1,AB869,IF(AL868&lt;&gt;"",AL868,""))</f>
        <v/>
      </c>
      <c r="AM869">
        <f>IF(AND(AD869=1,AL868&lt;&gt;""),ABS(AB869-AL868),"")</f>
        <v/>
      </c>
    </row>
    <row r="870">
      <c r="A870" t="n">
        <v>1777513502</v>
      </c>
      <c r="B870" t="inlineStr">
        <is>
          <t>XAUUSD</t>
        </is>
      </c>
      <c r="C870" t="inlineStr">
        <is>
          <t>M15</t>
        </is>
      </c>
      <c r="D870" t="n">
        <v>4579.13</v>
      </c>
      <c r="E870" t="n">
        <v>4518.59282</v>
      </c>
      <c r="F870" t="n">
        <v>4596.05595</v>
      </c>
      <c r="G870" t="n">
        <v>4755.40355</v>
      </c>
      <c r="H870" t="n">
        <v>4792.76972</v>
      </c>
      <c r="Q870" t="n">
        <v>4585.35738</v>
      </c>
      <c r="R870" t="n">
        <v>4614.72068</v>
      </c>
      <c r="S870" t="n">
        <v>4641.30945</v>
      </c>
      <c r="V870" t="n">
        <v>4550.41761</v>
      </c>
      <c r="W870" t="n">
        <v>4516.85262</v>
      </c>
      <c r="Z870" t="n">
        <v>4582.32</v>
      </c>
      <c r="AB870" t="n">
        <v>4576.44131</v>
      </c>
      <c r="AC870" t="n">
        <v>4575.37308</v>
      </c>
      <c r="AD870" t="n">
        <v>0</v>
      </c>
      <c r="AE870">
        <f>AE869+1</f>
        <v/>
      </c>
      <c r="AF870">
        <f>AF869+1</f>
        <v/>
      </c>
      <c r="AG870">
        <f>D870-Q870</f>
        <v/>
      </c>
      <c r="AH870">
        <f>AG870^2</f>
        <v/>
      </c>
      <c r="AI870">
        <f>(AG870/STDEV($AG$3:$AG$1137))^3</f>
        <v/>
      </c>
      <c r="AJ870">
        <f>(AG870/STDEV($AG$3:$AG$1137))^4</f>
        <v/>
      </c>
      <c r="AK870">
        <f>AF870^2</f>
        <v/>
      </c>
      <c r="AL870">
        <f>IF(AD870=1,AB870,IF(AL869&lt;&gt;"",AL869,""))</f>
        <v/>
      </c>
      <c r="AM870">
        <f>IF(AND(AD870=1,AL869&lt;&gt;""),ABS(AB870-AL869),"")</f>
        <v/>
      </c>
    </row>
    <row r="871">
      <c r="A871" t="n">
        <v>1777514402</v>
      </c>
      <c r="B871" t="inlineStr">
        <is>
          <t>XAUUSD</t>
        </is>
      </c>
      <c r="C871" t="inlineStr">
        <is>
          <t>M15</t>
        </is>
      </c>
      <c r="D871" t="n">
        <v>4579.74</v>
      </c>
      <c r="E871" t="n">
        <v>4518.59282</v>
      </c>
      <c r="F871" t="n">
        <v>4596.05595</v>
      </c>
      <c r="G871" t="n">
        <v>4755.40355</v>
      </c>
      <c r="H871" t="n">
        <v>4792.76972</v>
      </c>
      <c r="Q871" t="n">
        <v>4585.08978</v>
      </c>
      <c r="R871" t="n">
        <v>4614.45308</v>
      </c>
      <c r="S871" t="n">
        <v>4641.04185</v>
      </c>
      <c r="V871" t="n">
        <v>4550.15001</v>
      </c>
      <c r="W871" t="n">
        <v>4516.58501</v>
      </c>
      <c r="AB871" t="n">
        <v>4575.62065</v>
      </c>
      <c r="AC871" t="n">
        <v>4575.49687</v>
      </c>
      <c r="AD871" t="n">
        <v>0</v>
      </c>
      <c r="AE871">
        <f>AE870+1</f>
        <v/>
      </c>
      <c r="AF871">
        <f>AF870+1</f>
        <v/>
      </c>
      <c r="AG871">
        <f>D871-Q871</f>
        <v/>
      </c>
      <c r="AH871">
        <f>AG871^2</f>
        <v/>
      </c>
      <c r="AI871">
        <f>(AG871/STDEV($AG$3:$AG$1137))^3</f>
        <v/>
      </c>
      <c r="AJ871">
        <f>(AG871/STDEV($AG$3:$AG$1137))^4</f>
        <v/>
      </c>
      <c r="AK871">
        <f>AF871^2</f>
        <v/>
      </c>
      <c r="AL871">
        <f>IF(AD871=1,AB871,IF(AL870&lt;&gt;"",AL870,""))</f>
        <v/>
      </c>
      <c r="AM871">
        <f>IF(AND(AD871=1,AL870&lt;&gt;""),ABS(AB871-AL870),"")</f>
        <v/>
      </c>
    </row>
    <row r="872">
      <c r="A872" t="n">
        <v>1777515302</v>
      </c>
      <c r="B872" t="inlineStr">
        <is>
          <t>XAUUSD</t>
        </is>
      </c>
      <c r="C872" t="inlineStr">
        <is>
          <t>M15</t>
        </is>
      </c>
      <c r="D872" t="n">
        <v>4573.13</v>
      </c>
      <c r="E872" t="n">
        <v>4518.59282</v>
      </c>
      <c r="F872" t="n">
        <v>4596.05595</v>
      </c>
      <c r="G872" t="n">
        <v>4755.40355</v>
      </c>
      <c r="H872" t="n">
        <v>4792.76972</v>
      </c>
      <c r="Q872" t="n">
        <v>4584.82217</v>
      </c>
      <c r="R872" t="n">
        <v>4614.18547</v>
      </c>
      <c r="S872" t="n">
        <v>4640.77424</v>
      </c>
      <c r="V872" t="n">
        <v>4549.8824</v>
      </c>
      <c r="W872" t="n">
        <v>4516.31741</v>
      </c>
      <c r="AB872" t="n">
        <v>4573.70372</v>
      </c>
      <c r="AC872" t="n">
        <v>4574.60029</v>
      </c>
      <c r="AD872" t="n">
        <v>1</v>
      </c>
      <c r="AE872">
        <f>AE871+1</f>
        <v/>
      </c>
      <c r="AF872">
        <f>AF871+1</f>
        <v/>
      </c>
      <c r="AG872">
        <f>D872-Q872</f>
        <v/>
      </c>
      <c r="AH872">
        <f>AG872^2</f>
        <v/>
      </c>
      <c r="AI872">
        <f>(AG872/STDEV($AG$3:$AG$1137))^3</f>
        <v/>
      </c>
      <c r="AJ872">
        <f>(AG872/STDEV($AG$3:$AG$1137))^4</f>
        <v/>
      </c>
      <c r="AK872">
        <f>AF872^2</f>
        <v/>
      </c>
      <c r="AL872">
        <f>IF(AD872=1,AB872,IF(AL871&lt;&gt;"",AL871,""))</f>
        <v/>
      </c>
      <c r="AM872">
        <f>IF(AND(AD872=1,AL871&lt;&gt;""),ABS(AB872-AL871),"")</f>
        <v/>
      </c>
    </row>
    <row r="873">
      <c r="A873" t="n">
        <v>1777516202</v>
      </c>
      <c r="B873" t="inlineStr">
        <is>
          <t>XAUUSD</t>
        </is>
      </c>
      <c r="C873" t="inlineStr">
        <is>
          <t>M15</t>
        </is>
      </c>
      <c r="D873" t="n">
        <v>4562.53</v>
      </c>
      <c r="E873" t="n">
        <v>4518.59282</v>
      </c>
      <c r="F873" t="n">
        <v>4596.05595</v>
      </c>
      <c r="G873" t="n">
        <v>4755.40355</v>
      </c>
      <c r="H873" t="n">
        <v>4792.76972</v>
      </c>
      <c r="Q873" t="n">
        <v>4584.55457</v>
      </c>
      <c r="R873" t="n">
        <v>4613.91787</v>
      </c>
      <c r="S873" t="n">
        <v>4640.50664</v>
      </c>
      <c r="V873" t="n">
        <v>4549.6148</v>
      </c>
      <c r="W873" t="n">
        <v>4516.0498</v>
      </c>
      <c r="AB873" t="n">
        <v>4570.96608</v>
      </c>
      <c r="AC873" t="n">
        <v>4572.78319</v>
      </c>
      <c r="AD873" t="n">
        <v>0</v>
      </c>
      <c r="AE873">
        <f>AE872+1</f>
        <v/>
      </c>
      <c r="AF873">
        <f>AF872+1</f>
        <v/>
      </c>
      <c r="AG873">
        <f>D873-Q873</f>
        <v/>
      </c>
      <c r="AH873">
        <f>AG873^2</f>
        <v/>
      </c>
      <c r="AI873">
        <f>(AG873/STDEV($AG$3:$AG$1137))^3</f>
        <v/>
      </c>
      <c r="AJ873">
        <f>(AG873/STDEV($AG$3:$AG$1137))^4</f>
        <v/>
      </c>
      <c r="AK873">
        <f>AF873^2</f>
        <v/>
      </c>
      <c r="AL873">
        <f>IF(AD873=1,AB873,IF(AL872&lt;&gt;"",AL872,""))</f>
        <v/>
      </c>
      <c r="AM873">
        <f>IF(AND(AD873=1,AL872&lt;&gt;""),ABS(AB873-AL872),"")</f>
        <v/>
      </c>
    </row>
    <row r="874">
      <c r="A874" t="n">
        <v>1777517102</v>
      </c>
      <c r="B874" t="inlineStr">
        <is>
          <t>XAUUSD</t>
        </is>
      </c>
      <c r="C874" t="inlineStr">
        <is>
          <t>M15</t>
        </is>
      </c>
      <c r="D874" t="n">
        <v>4565.02</v>
      </c>
      <c r="E874" t="n">
        <v>4518.59282</v>
      </c>
      <c r="F874" t="n">
        <v>4596.05595</v>
      </c>
      <c r="G874" t="n">
        <v>4755.40355</v>
      </c>
      <c r="H874" t="n">
        <v>4792.76972</v>
      </c>
      <c r="Q874" t="n">
        <v>4584.28697</v>
      </c>
      <c r="R874" t="n">
        <v>4613.65026</v>
      </c>
      <c r="S874" t="n">
        <v>4640.23904</v>
      </c>
      <c r="V874" t="n">
        <v>4549.3472</v>
      </c>
      <c r="W874" t="n">
        <v>4515.7822</v>
      </c>
      <c r="AB874" t="n">
        <v>4567.88808</v>
      </c>
      <c r="AC874" t="n">
        <v>4570.33563</v>
      </c>
      <c r="AD874" t="n">
        <v>0</v>
      </c>
      <c r="AE874">
        <f>AE873+1</f>
        <v/>
      </c>
      <c r="AF874">
        <f>AF873+1</f>
        <v/>
      </c>
      <c r="AG874">
        <f>D874-Q874</f>
        <v/>
      </c>
      <c r="AH874">
        <f>AG874^2</f>
        <v/>
      </c>
      <c r="AI874">
        <f>(AG874/STDEV($AG$3:$AG$1137))^3</f>
        <v/>
      </c>
      <c r="AJ874">
        <f>(AG874/STDEV($AG$3:$AG$1137))^4</f>
        <v/>
      </c>
      <c r="AK874">
        <f>AF874^2</f>
        <v/>
      </c>
      <c r="AL874">
        <f>IF(AD874=1,AB874,IF(AL873&lt;&gt;"",AL873,""))</f>
        <v/>
      </c>
      <c r="AM874">
        <f>IF(AND(AD874=1,AL873&lt;&gt;""),ABS(AB874-AL873),"")</f>
        <v/>
      </c>
    </row>
    <row r="875">
      <c r="A875" t="n">
        <v>1777518002</v>
      </c>
      <c r="B875" t="inlineStr">
        <is>
          <t>XAUUSD</t>
        </is>
      </c>
      <c r="C875" t="inlineStr">
        <is>
          <t>M15</t>
        </is>
      </c>
      <c r="D875" t="n">
        <v>4564.98</v>
      </c>
      <c r="E875" t="n">
        <v>4518.59282</v>
      </c>
      <c r="F875" t="n">
        <v>4596.05595</v>
      </c>
      <c r="G875" t="n">
        <v>4755.40355</v>
      </c>
      <c r="H875" t="n">
        <v>4792.76972</v>
      </c>
      <c r="Q875" t="n">
        <v>4584.01936</v>
      </c>
      <c r="R875" t="n">
        <v>4613.38266</v>
      </c>
      <c r="S875" t="n">
        <v>4639.97143</v>
      </c>
      <c r="V875" t="n">
        <v>4549.07959</v>
      </c>
      <c r="W875" t="n">
        <v>4515.51459</v>
      </c>
      <c r="AB875" t="n">
        <v>4564.51586</v>
      </c>
      <c r="AC875" t="n">
        <v>4567.42575</v>
      </c>
      <c r="AD875" t="n">
        <v>0</v>
      </c>
      <c r="AE875">
        <f>AE874+1</f>
        <v/>
      </c>
      <c r="AF875">
        <f>AF874+1</f>
        <v/>
      </c>
      <c r="AG875">
        <f>D875-Q875</f>
        <v/>
      </c>
      <c r="AH875">
        <f>AG875^2</f>
        <v/>
      </c>
      <c r="AI875">
        <f>(AG875/STDEV($AG$3:$AG$1137))^3</f>
        <v/>
      </c>
      <c r="AJ875">
        <f>(AG875/STDEV($AG$3:$AG$1137))^4</f>
        <v/>
      </c>
      <c r="AK875">
        <f>AF875^2</f>
        <v/>
      </c>
      <c r="AL875">
        <f>IF(AD875=1,AB875,IF(AL874&lt;&gt;"",AL874,""))</f>
        <v/>
      </c>
      <c r="AM875">
        <f>IF(AND(AD875=1,AL874&lt;&gt;""),ABS(AB875-AL874),"")</f>
        <v/>
      </c>
    </row>
    <row r="876">
      <c r="A876" t="n">
        <v>1777518902</v>
      </c>
      <c r="B876" t="inlineStr">
        <is>
          <t>XAUUSD</t>
        </is>
      </c>
      <c r="C876" t="inlineStr">
        <is>
          <t>M15</t>
        </is>
      </c>
      <c r="D876" t="n">
        <v>4563.32</v>
      </c>
      <c r="E876" t="n">
        <v>4518.59282</v>
      </c>
      <c r="F876" t="n">
        <v>4596.05595</v>
      </c>
      <c r="G876" t="n">
        <v>4755.40355</v>
      </c>
      <c r="H876" t="n">
        <v>4792.76972</v>
      </c>
      <c r="Q876" t="n">
        <v>4583.75176</v>
      </c>
      <c r="R876" t="n">
        <v>4613.11506</v>
      </c>
      <c r="S876" t="n">
        <v>4639.70383</v>
      </c>
      <c r="V876" t="n">
        <v>4548.81199</v>
      </c>
      <c r="W876" t="n">
        <v>4515.24699</v>
      </c>
      <c r="AB876" t="n">
        <v>4561.02691</v>
      </c>
      <c r="AC876" t="n">
        <v>4564.22633</v>
      </c>
      <c r="AD876" t="n">
        <v>0</v>
      </c>
      <c r="AE876">
        <f>AE875+1</f>
        <v/>
      </c>
      <c r="AF876">
        <f>AF875+1</f>
        <v/>
      </c>
      <c r="AG876">
        <f>D876-Q876</f>
        <v/>
      </c>
      <c r="AH876">
        <f>AG876^2</f>
        <v/>
      </c>
      <c r="AI876">
        <f>(AG876/STDEV($AG$3:$AG$1137))^3</f>
        <v/>
      </c>
      <c r="AJ876">
        <f>(AG876/STDEV($AG$3:$AG$1137))^4</f>
        <v/>
      </c>
      <c r="AK876">
        <f>AF876^2</f>
        <v/>
      </c>
      <c r="AL876">
        <f>IF(AD876=1,AB876,IF(AL875&lt;&gt;"",AL875,""))</f>
        <v/>
      </c>
      <c r="AM876">
        <f>IF(AND(AD876=1,AL875&lt;&gt;""),ABS(AB876-AL875),"")</f>
        <v/>
      </c>
    </row>
    <row r="877">
      <c r="A877" t="n">
        <v>1777519802</v>
      </c>
      <c r="B877" t="inlineStr">
        <is>
          <t>XAUUSD</t>
        </is>
      </c>
      <c r="C877" t="inlineStr">
        <is>
          <t>M15</t>
        </is>
      </c>
      <c r="D877" t="n">
        <v>4561.66</v>
      </c>
      <c r="E877" t="n">
        <v>4518.59282</v>
      </c>
      <c r="F877" t="n">
        <v>4596.05595</v>
      </c>
      <c r="G877" t="n">
        <v>4755.40355</v>
      </c>
      <c r="H877" t="n">
        <v>4792.76972</v>
      </c>
      <c r="Q877" t="n">
        <v>4583.48415</v>
      </c>
      <c r="R877" t="n">
        <v>4612.84745</v>
      </c>
      <c r="S877" t="n">
        <v>4639.43622</v>
      </c>
      <c r="V877" t="n">
        <v>4548.54438</v>
      </c>
      <c r="W877" t="n">
        <v>4514.97939</v>
      </c>
      <c r="AB877" t="n">
        <v>4557.5727</v>
      </c>
      <c r="AC877" t="n">
        <v>4560.89951</v>
      </c>
      <c r="AD877" t="n">
        <v>0</v>
      </c>
      <c r="AE877">
        <f>AE876+1</f>
        <v/>
      </c>
      <c r="AF877">
        <f>AF876+1</f>
        <v/>
      </c>
      <c r="AG877">
        <f>D877-Q877</f>
        <v/>
      </c>
      <c r="AH877">
        <f>AG877^2</f>
        <v/>
      </c>
      <c r="AI877">
        <f>(AG877/STDEV($AG$3:$AG$1137))^3</f>
        <v/>
      </c>
      <c r="AJ877">
        <f>(AG877/STDEV($AG$3:$AG$1137))^4</f>
        <v/>
      </c>
      <c r="AK877">
        <f>AF877^2</f>
        <v/>
      </c>
      <c r="AL877">
        <f>IF(AD877=1,AB877,IF(AL876&lt;&gt;"",AL876,""))</f>
        <v/>
      </c>
      <c r="AM877">
        <f>IF(AND(AD877=1,AL876&lt;&gt;""),ABS(AB877-AL876),"")</f>
        <v/>
      </c>
    </row>
    <row r="878">
      <c r="A878" t="n">
        <v>1777520702</v>
      </c>
      <c r="B878" t="inlineStr">
        <is>
          <t>XAUUSD</t>
        </is>
      </c>
      <c r="C878" t="inlineStr">
        <is>
          <t>M15</t>
        </is>
      </c>
      <c r="D878" t="n">
        <v>4556.09</v>
      </c>
      <c r="E878" t="n">
        <v>4518.59282</v>
      </c>
      <c r="F878" t="n">
        <v>4596.05595</v>
      </c>
      <c r="G878" t="n">
        <v>4755.40355</v>
      </c>
      <c r="H878" t="n">
        <v>4792.76972</v>
      </c>
      <c r="Q878" t="n">
        <v>4583.21655</v>
      </c>
      <c r="R878" t="n">
        <v>4612.57985</v>
      </c>
      <c r="S878" t="n">
        <v>4639.16862</v>
      </c>
      <c r="V878" t="n">
        <v>4548.27678</v>
      </c>
      <c r="W878" t="n">
        <v>4514.71178</v>
      </c>
      <c r="AB878" t="n">
        <v>4554.33844</v>
      </c>
      <c r="AC878" t="n">
        <v>4557.61898</v>
      </c>
      <c r="AD878" t="n">
        <v>0</v>
      </c>
      <c r="AE878">
        <f>AE877+1</f>
        <v/>
      </c>
      <c r="AF878">
        <f>AF877+1</f>
        <v/>
      </c>
      <c r="AG878">
        <f>D878-Q878</f>
        <v/>
      </c>
      <c r="AH878">
        <f>AG878^2</f>
        <v/>
      </c>
      <c r="AI878">
        <f>(AG878/STDEV($AG$3:$AG$1137))^3</f>
        <v/>
      </c>
      <c r="AJ878">
        <f>(AG878/STDEV($AG$3:$AG$1137))^4</f>
        <v/>
      </c>
      <c r="AK878">
        <f>AF878^2</f>
        <v/>
      </c>
      <c r="AL878">
        <f>IF(AD878=1,AB878,IF(AL877&lt;&gt;"",AL877,""))</f>
        <v/>
      </c>
      <c r="AM878">
        <f>IF(AND(AD878=1,AL877&lt;&gt;""),ABS(AB878-AL877),"")</f>
        <v/>
      </c>
    </row>
    <row r="879">
      <c r="A879" t="n">
        <v>1777521602</v>
      </c>
      <c r="B879" t="inlineStr">
        <is>
          <t>XAUUSD</t>
        </is>
      </c>
      <c r="C879" t="inlineStr">
        <is>
          <t>M15</t>
        </is>
      </c>
      <c r="D879" t="n">
        <v>4555.41</v>
      </c>
      <c r="E879" t="n">
        <v>4518.59282</v>
      </c>
      <c r="F879" t="n">
        <v>4596.05595</v>
      </c>
      <c r="G879" t="n">
        <v>4755.40355</v>
      </c>
      <c r="H879" t="n">
        <v>4792.76972</v>
      </c>
      <c r="Q879" t="n">
        <v>4582.94895</v>
      </c>
      <c r="R879" t="n">
        <v>4612.31224</v>
      </c>
      <c r="S879" t="n">
        <v>4638.90101</v>
      </c>
      <c r="V879" t="n">
        <v>4548.00917</v>
      </c>
      <c r="W879" t="n">
        <v>4514.44418</v>
      </c>
      <c r="AB879" t="n">
        <v>4551.65328</v>
      </c>
      <c r="AC879" t="n">
        <v>4554.63613</v>
      </c>
      <c r="AD879" t="n">
        <v>0</v>
      </c>
      <c r="AE879">
        <f>AE878+1</f>
        <v/>
      </c>
      <c r="AF879">
        <f>AF878+1</f>
        <v/>
      </c>
      <c r="AG879">
        <f>D879-Q879</f>
        <v/>
      </c>
      <c r="AH879">
        <f>AG879^2</f>
        <v/>
      </c>
      <c r="AI879">
        <f>(AG879/STDEV($AG$3:$AG$1137))^3</f>
        <v/>
      </c>
      <c r="AJ879">
        <f>(AG879/STDEV($AG$3:$AG$1137))^4</f>
        <v/>
      </c>
      <c r="AK879">
        <f>AF879^2</f>
        <v/>
      </c>
      <c r="AL879">
        <f>IF(AD879=1,AB879,IF(AL878&lt;&gt;"",AL878,""))</f>
        <v/>
      </c>
      <c r="AM879">
        <f>IF(AND(AD879=1,AL878&lt;&gt;""),ABS(AB879-AL878),"")</f>
        <v/>
      </c>
    </row>
    <row r="880">
      <c r="A880" t="n">
        <v>1777522502</v>
      </c>
      <c r="B880" t="inlineStr">
        <is>
          <t>XAUUSD</t>
        </is>
      </c>
      <c r="C880" t="inlineStr">
        <is>
          <t>M15</t>
        </is>
      </c>
      <c r="D880" t="n">
        <v>4547.28</v>
      </c>
      <c r="E880" t="n">
        <v>4518.59282</v>
      </c>
      <c r="F880" t="n">
        <v>4596.05595</v>
      </c>
      <c r="G880" t="n">
        <v>4755.40355</v>
      </c>
      <c r="H880" t="n">
        <v>4792.76972</v>
      </c>
      <c r="Q880" t="n">
        <v>4582.68134</v>
      </c>
      <c r="R880" t="n">
        <v>4612.04464</v>
      </c>
      <c r="S880" t="n">
        <v>4638.63341</v>
      </c>
      <c r="V880" t="n">
        <v>4547.74157</v>
      </c>
      <c r="W880" t="n">
        <v>4514.17657</v>
      </c>
      <c r="AB880" t="n">
        <v>4549.72842</v>
      </c>
      <c r="AC880" t="n">
        <v>4552.18228</v>
      </c>
      <c r="AD880" t="n">
        <v>0</v>
      </c>
      <c r="AE880">
        <f>AE879+1</f>
        <v/>
      </c>
      <c r="AF880">
        <f>AF879+1</f>
        <v/>
      </c>
      <c r="AG880">
        <f>D880-Q880</f>
        <v/>
      </c>
      <c r="AH880">
        <f>AG880^2</f>
        <v/>
      </c>
      <c r="AI880">
        <f>(AG880/STDEV($AG$3:$AG$1137))^3</f>
        <v/>
      </c>
      <c r="AJ880">
        <f>(AG880/STDEV($AG$3:$AG$1137))^4</f>
        <v/>
      </c>
      <c r="AK880">
        <f>AF880^2</f>
        <v/>
      </c>
      <c r="AL880">
        <f>IF(AD880=1,AB880,IF(AL879&lt;&gt;"",AL879,""))</f>
        <v/>
      </c>
      <c r="AM880">
        <f>IF(AND(AD880=1,AL879&lt;&gt;""),ABS(AB880-AL879),"")</f>
        <v/>
      </c>
    </row>
    <row r="881">
      <c r="A881" t="n">
        <v>1777523402</v>
      </c>
      <c r="B881" t="inlineStr">
        <is>
          <t>XAUUSD</t>
        </is>
      </c>
      <c r="C881" t="inlineStr">
        <is>
          <t>M15</t>
        </is>
      </c>
      <c r="D881" t="n">
        <v>4544.74</v>
      </c>
      <c r="E881" t="n">
        <v>4518.59282</v>
      </c>
      <c r="F881" t="n">
        <v>4596.05595</v>
      </c>
      <c r="G881" t="n">
        <v>4755.40355</v>
      </c>
      <c r="H881" t="n">
        <v>4792.76972</v>
      </c>
      <c r="Q881" t="n">
        <v>4582.41374</v>
      </c>
      <c r="R881" t="n">
        <v>4611.77704</v>
      </c>
      <c r="S881" t="n">
        <v>4638.36581</v>
      </c>
      <c r="V881" t="n">
        <v>4547.47397</v>
      </c>
      <c r="W881" t="n">
        <v>4513.90897</v>
      </c>
      <c r="AA881" t="n">
        <v>4540.82</v>
      </c>
      <c r="AB881" t="n">
        <v>4548.92114</v>
      </c>
      <c r="AC881" t="n">
        <v>4550.55171</v>
      </c>
      <c r="AD881" t="n">
        <v>0</v>
      </c>
      <c r="AE881">
        <f>AE880+1</f>
        <v/>
      </c>
      <c r="AF881">
        <f>AF880+1</f>
        <v/>
      </c>
      <c r="AG881">
        <f>D881-Q881</f>
        <v/>
      </c>
      <c r="AH881">
        <f>AG881^2</f>
        <v/>
      </c>
      <c r="AI881">
        <f>(AG881/STDEV($AG$3:$AG$1137))^3</f>
        <v/>
      </c>
      <c r="AJ881">
        <f>(AG881/STDEV($AG$3:$AG$1137))^4</f>
        <v/>
      </c>
      <c r="AK881">
        <f>AF881^2</f>
        <v/>
      </c>
      <c r="AL881">
        <f>IF(AD881=1,AB881,IF(AL880&lt;&gt;"",AL880,""))</f>
        <v/>
      </c>
      <c r="AM881">
        <f>IF(AND(AD881=1,AL880&lt;&gt;""),ABS(AB881-AL880),"")</f>
        <v/>
      </c>
    </row>
    <row r="882">
      <c r="A882" t="n">
        <v>1777524302</v>
      </c>
      <c r="B882" t="inlineStr">
        <is>
          <t>XAUUSD</t>
        </is>
      </c>
      <c r="C882" t="inlineStr">
        <is>
          <t>M15</t>
        </is>
      </c>
      <c r="D882" t="n">
        <v>4541.91</v>
      </c>
      <c r="E882" t="n">
        <v>4518.59282</v>
      </c>
      <c r="F882" t="n">
        <v>4596.05595</v>
      </c>
      <c r="G882" t="n">
        <v>4755.40355</v>
      </c>
      <c r="H882" t="n">
        <v>4792.76972</v>
      </c>
      <c r="Q882" t="n">
        <v>4582.14613</v>
      </c>
      <c r="R882" t="n">
        <v>4611.50943</v>
      </c>
      <c r="S882" t="n">
        <v>4638.0982</v>
      </c>
      <c r="V882" t="n">
        <v>4547.20636</v>
      </c>
      <c r="W882" t="n">
        <v>4513.64137</v>
      </c>
      <c r="AB882" t="n">
        <v>4549.3872</v>
      </c>
      <c r="AC882" t="n">
        <v>4549.96945</v>
      </c>
      <c r="AD882" t="n">
        <v>0</v>
      </c>
      <c r="AE882">
        <f>AE881+1</f>
        <v/>
      </c>
      <c r="AF882">
        <f>AF881+1</f>
        <v/>
      </c>
      <c r="AG882">
        <f>D882-Q882</f>
        <v/>
      </c>
      <c r="AH882">
        <f>AG882^2</f>
        <v/>
      </c>
      <c r="AI882">
        <f>(AG882/STDEV($AG$3:$AG$1137))^3</f>
        <v/>
      </c>
      <c r="AJ882">
        <f>(AG882/STDEV($AG$3:$AG$1137))^4</f>
        <v/>
      </c>
      <c r="AK882">
        <f>AF882^2</f>
        <v/>
      </c>
      <c r="AL882">
        <f>IF(AD882=1,AB882,IF(AL881&lt;&gt;"",AL881,""))</f>
        <v/>
      </c>
      <c r="AM882">
        <f>IF(AND(AD882=1,AL881&lt;&gt;""),ABS(AB882-AL881),"")</f>
        <v/>
      </c>
    </row>
    <row r="883">
      <c r="A883" t="n">
        <v>1777525202</v>
      </c>
      <c r="B883" t="inlineStr">
        <is>
          <t>XAUUSD</t>
        </is>
      </c>
      <c r="C883" t="inlineStr">
        <is>
          <t>M15</t>
        </is>
      </c>
      <c r="D883" t="n">
        <v>4553.22</v>
      </c>
      <c r="E883" t="n">
        <v>4518.59282</v>
      </c>
      <c r="F883" t="n">
        <v>4596.05595</v>
      </c>
      <c r="G883" t="n">
        <v>4755.40355</v>
      </c>
      <c r="H883" t="n">
        <v>4792.76972</v>
      </c>
      <c r="Q883" t="n">
        <v>4581.87853</v>
      </c>
      <c r="R883" t="n">
        <v>4611.24183</v>
      </c>
      <c r="S883" t="n">
        <v>4637.8306</v>
      </c>
      <c r="V883" t="n">
        <v>4546.93876</v>
      </c>
      <c r="W883" t="n">
        <v>4513.37376</v>
      </c>
      <c r="AB883" t="n">
        <v>4551.23411</v>
      </c>
      <c r="AC883" t="n">
        <v>4550.60178</v>
      </c>
      <c r="AD883" t="n">
        <v>1</v>
      </c>
      <c r="AE883">
        <f>AE882+1</f>
        <v/>
      </c>
      <c r="AF883">
        <f>AF882+1</f>
        <v/>
      </c>
      <c r="AG883">
        <f>D883-Q883</f>
        <v/>
      </c>
      <c r="AH883">
        <f>AG883^2</f>
        <v/>
      </c>
      <c r="AI883">
        <f>(AG883/STDEV($AG$3:$AG$1137))^3</f>
        <v/>
      </c>
      <c r="AJ883">
        <f>(AG883/STDEV($AG$3:$AG$1137))^4</f>
        <v/>
      </c>
      <c r="AK883">
        <f>AF883^2</f>
        <v/>
      </c>
      <c r="AL883">
        <f>IF(AD883=1,AB883,IF(AL882&lt;&gt;"",AL882,""))</f>
        <v/>
      </c>
      <c r="AM883">
        <f>IF(AND(AD883=1,AL882&lt;&gt;""),ABS(AB883-AL882),"")</f>
        <v/>
      </c>
    </row>
    <row r="884">
      <c r="A884" t="n">
        <v>1777526102</v>
      </c>
      <c r="B884" t="inlineStr">
        <is>
          <t>XAUUSD</t>
        </is>
      </c>
      <c r="C884" t="inlineStr">
        <is>
          <t>M15</t>
        </is>
      </c>
      <c r="D884" t="n">
        <v>4555.73</v>
      </c>
      <c r="E884" t="n">
        <v>4518.59282</v>
      </c>
      <c r="F884" t="n">
        <v>4596.05595</v>
      </c>
      <c r="G884" t="n">
        <v>4755.40355</v>
      </c>
      <c r="H884" t="n">
        <v>4792.76972</v>
      </c>
      <c r="Q884" t="n">
        <v>4581.61092</v>
      </c>
      <c r="R884" t="n">
        <v>4610.97422</v>
      </c>
      <c r="S884" t="n">
        <v>4637.56299</v>
      </c>
      <c r="V884" t="n">
        <v>4546.67115</v>
      </c>
      <c r="W884" t="n">
        <v>4513.10616</v>
      </c>
      <c r="AB884" t="n">
        <v>4554.10302</v>
      </c>
      <c r="AC884" t="n">
        <v>4552.3524</v>
      </c>
      <c r="AD884" t="n">
        <v>0</v>
      </c>
      <c r="AE884">
        <f>AE883+1</f>
        <v/>
      </c>
      <c r="AF884">
        <f>AF883+1</f>
        <v/>
      </c>
      <c r="AG884">
        <f>D884-Q884</f>
        <v/>
      </c>
      <c r="AH884">
        <f>AG884^2</f>
        <v/>
      </c>
      <c r="AI884">
        <f>(AG884/STDEV($AG$3:$AG$1137))^3</f>
        <v/>
      </c>
      <c r="AJ884">
        <f>(AG884/STDEV($AG$3:$AG$1137))^4</f>
        <v/>
      </c>
      <c r="AK884">
        <f>AF884^2</f>
        <v/>
      </c>
      <c r="AL884">
        <f>IF(AD884=1,AB884,IF(AL883&lt;&gt;"",AL883,""))</f>
        <v/>
      </c>
      <c r="AM884">
        <f>IF(AND(AD884=1,AL883&lt;&gt;""),ABS(AB884-AL883),"")</f>
        <v/>
      </c>
    </row>
    <row r="885">
      <c r="A885" t="n">
        <v>1777527002</v>
      </c>
      <c r="B885" t="inlineStr">
        <is>
          <t>XAUUSD</t>
        </is>
      </c>
      <c r="C885" t="inlineStr">
        <is>
          <t>M15</t>
        </is>
      </c>
      <c r="D885" t="n">
        <v>4564.04</v>
      </c>
      <c r="E885" t="n">
        <v>4518.59282</v>
      </c>
      <c r="F885" t="n">
        <v>4596.05595</v>
      </c>
      <c r="G885" t="n">
        <v>4755.40355</v>
      </c>
      <c r="H885" t="n">
        <v>4792.76972</v>
      </c>
      <c r="Q885" t="n">
        <v>4581.34332</v>
      </c>
      <c r="R885" t="n">
        <v>4610.70662</v>
      </c>
      <c r="S885" t="n">
        <v>4637.29539</v>
      </c>
      <c r="V885" t="n">
        <v>4546.40355</v>
      </c>
      <c r="W885" t="n">
        <v>4512.83855</v>
      </c>
      <c r="AB885" t="n">
        <v>4557.82199</v>
      </c>
      <c r="AC885" t="n">
        <v>4555.0872</v>
      </c>
      <c r="AD885" t="n">
        <v>0</v>
      </c>
      <c r="AE885">
        <f>AE884+1</f>
        <v/>
      </c>
      <c r="AF885">
        <f>AF884+1</f>
        <v/>
      </c>
      <c r="AG885">
        <f>D885-Q885</f>
        <v/>
      </c>
      <c r="AH885">
        <f>AG885^2</f>
        <v/>
      </c>
      <c r="AI885">
        <f>(AG885/STDEV($AG$3:$AG$1137))^3</f>
        <v/>
      </c>
      <c r="AJ885">
        <f>(AG885/STDEV($AG$3:$AG$1137))^4</f>
        <v/>
      </c>
      <c r="AK885">
        <f>AF885^2</f>
        <v/>
      </c>
      <c r="AL885">
        <f>IF(AD885=1,AB885,IF(AL884&lt;&gt;"",AL884,""))</f>
        <v/>
      </c>
      <c r="AM885">
        <f>IF(AND(AD885=1,AL884&lt;&gt;""),ABS(AB885-AL884),"")</f>
        <v/>
      </c>
    </row>
    <row r="886">
      <c r="A886" t="n">
        <v>1777527902</v>
      </c>
      <c r="B886" t="inlineStr">
        <is>
          <t>XAUUSD</t>
        </is>
      </c>
      <c r="C886" t="inlineStr">
        <is>
          <t>M15</t>
        </is>
      </c>
      <c r="D886" t="n">
        <v>4562.71</v>
      </c>
      <c r="E886" t="n">
        <v>4518.59282</v>
      </c>
      <c r="F886" t="n">
        <v>4596.05595</v>
      </c>
      <c r="G886" t="n">
        <v>4755.40355</v>
      </c>
      <c r="H886" t="n">
        <v>4792.76972</v>
      </c>
      <c r="Q886" t="n">
        <v>4581.07572</v>
      </c>
      <c r="R886" t="n">
        <v>4610.43902</v>
      </c>
      <c r="S886" t="n">
        <v>4637.02779</v>
      </c>
      <c r="V886" t="n">
        <v>4546.13595</v>
      </c>
      <c r="W886" t="n">
        <v>4512.57095</v>
      </c>
      <c r="AB886" t="n">
        <v>4562.10639</v>
      </c>
      <c r="AC886" t="n">
        <v>4558.59679</v>
      </c>
      <c r="AD886" t="n">
        <v>0</v>
      </c>
      <c r="AE886">
        <f>AE885+1</f>
        <v/>
      </c>
      <c r="AF886">
        <f>AF885+1</f>
        <v/>
      </c>
      <c r="AG886">
        <f>D886-Q886</f>
        <v/>
      </c>
      <c r="AH886">
        <f>AG886^2</f>
        <v/>
      </c>
      <c r="AI886">
        <f>(AG886/STDEV($AG$3:$AG$1137))^3</f>
        <v/>
      </c>
      <c r="AJ886">
        <f>(AG886/STDEV($AG$3:$AG$1137))^4</f>
        <v/>
      </c>
      <c r="AK886">
        <f>AF886^2</f>
        <v/>
      </c>
      <c r="AL886">
        <f>IF(AD886=1,AB886,IF(AL885&lt;&gt;"",AL885,""))</f>
        <v/>
      </c>
      <c r="AM886">
        <f>IF(AND(AD886=1,AL885&lt;&gt;""),ABS(AB886-AL885),"")</f>
        <v/>
      </c>
    </row>
    <row r="887">
      <c r="A887" t="n">
        <v>1777528802</v>
      </c>
      <c r="B887" t="inlineStr">
        <is>
          <t>XAUUSD</t>
        </is>
      </c>
      <c r="C887" t="inlineStr">
        <is>
          <t>M15</t>
        </is>
      </c>
      <c r="D887" t="n">
        <v>4566.21</v>
      </c>
      <c r="E887" t="n">
        <v>4518.59282</v>
      </c>
      <c r="F887" t="n">
        <v>4596.05595</v>
      </c>
      <c r="G887" t="n">
        <v>4755.40355</v>
      </c>
      <c r="H887" t="n">
        <v>4792.76972</v>
      </c>
      <c r="Q887" t="n">
        <v>4580.80811</v>
      </c>
      <c r="R887" t="n">
        <v>4610.17141</v>
      </c>
      <c r="S887" t="n">
        <v>4636.76018</v>
      </c>
      <c r="V887" t="n">
        <v>4545.86834</v>
      </c>
      <c r="W887" t="n">
        <v>4512.30335</v>
      </c>
      <c r="AB887" t="n">
        <v>4566.99173</v>
      </c>
      <c r="AC887" t="n">
        <v>4562.79426</v>
      </c>
      <c r="AD887" t="n">
        <v>0</v>
      </c>
      <c r="AE887">
        <f>AE886+1</f>
        <v/>
      </c>
      <c r="AF887">
        <f>AF886+1</f>
        <v/>
      </c>
      <c r="AG887">
        <f>D887-Q887</f>
        <v/>
      </c>
      <c r="AH887">
        <f>AG887^2</f>
        <v/>
      </c>
      <c r="AI887">
        <f>(AG887/STDEV($AG$3:$AG$1137))^3</f>
        <v/>
      </c>
      <c r="AJ887">
        <f>(AG887/STDEV($AG$3:$AG$1137))^4</f>
        <v/>
      </c>
      <c r="AK887">
        <f>AF887^2</f>
        <v/>
      </c>
      <c r="AL887">
        <f>IF(AD887=1,AB887,IF(AL886&lt;&gt;"",AL886,""))</f>
        <v/>
      </c>
      <c r="AM887">
        <f>IF(AND(AD887=1,AL886&lt;&gt;""),ABS(AB887-AL886),"")</f>
        <v/>
      </c>
    </row>
    <row r="888">
      <c r="A888" t="n">
        <v>1777529702</v>
      </c>
      <c r="B888" t="inlineStr">
        <is>
          <t>XAUUSD</t>
        </is>
      </c>
      <c r="C888" t="inlineStr">
        <is>
          <t>M15</t>
        </is>
      </c>
      <c r="D888" t="n">
        <v>4569.57</v>
      </c>
      <c r="E888" t="n">
        <v>4518.59282</v>
      </c>
      <c r="F888" t="n">
        <v>4596.05595</v>
      </c>
      <c r="G888" t="n">
        <v>4755.40355</v>
      </c>
      <c r="H888" t="n">
        <v>4792.76972</v>
      </c>
      <c r="Q888" t="n">
        <v>4580.54051</v>
      </c>
      <c r="R888" t="n">
        <v>4609.90381</v>
      </c>
      <c r="S888" t="n">
        <v>4636.49258</v>
      </c>
      <c r="V888" t="n">
        <v>4545.60074</v>
      </c>
      <c r="W888" t="n">
        <v>4512.03574</v>
      </c>
      <c r="AB888" t="n">
        <v>4572.40065</v>
      </c>
      <c r="AC888" t="n">
        <v>4567.59745</v>
      </c>
      <c r="AD888" t="n">
        <v>0</v>
      </c>
      <c r="AE888">
        <f>AE887+1</f>
        <v/>
      </c>
      <c r="AF888">
        <f>AF887+1</f>
        <v/>
      </c>
      <c r="AG888">
        <f>D888-Q888</f>
        <v/>
      </c>
      <c r="AH888">
        <f>AG888^2</f>
        <v/>
      </c>
      <c r="AI888">
        <f>(AG888/STDEV($AG$3:$AG$1137))^3</f>
        <v/>
      </c>
      <c r="AJ888">
        <f>(AG888/STDEV($AG$3:$AG$1137))^4</f>
        <v/>
      </c>
      <c r="AK888">
        <f>AF888^2</f>
        <v/>
      </c>
      <c r="AL888">
        <f>IF(AD888=1,AB888,IF(AL887&lt;&gt;"",AL887,""))</f>
        <v/>
      </c>
      <c r="AM888">
        <f>IF(AND(AD888=1,AL887&lt;&gt;""),ABS(AB888-AL887),"")</f>
        <v/>
      </c>
    </row>
    <row r="889">
      <c r="A889" t="n">
        <v>1777530602</v>
      </c>
      <c r="B889" t="inlineStr">
        <is>
          <t>XAUUSD</t>
        </is>
      </c>
      <c r="C889" t="inlineStr">
        <is>
          <t>M15</t>
        </is>
      </c>
      <c r="D889" t="n">
        <v>4575.23</v>
      </c>
      <c r="E889" t="n">
        <v>4518.59282</v>
      </c>
      <c r="F889" t="n">
        <v>4596.05595</v>
      </c>
      <c r="G889" t="n">
        <v>4755.40355</v>
      </c>
      <c r="H889" t="n">
        <v>4792.76972</v>
      </c>
      <c r="Q889" t="n">
        <v>4580.2729</v>
      </c>
      <c r="R889" t="n">
        <v>4609.6362</v>
      </c>
      <c r="S889" t="n">
        <v>4636.22497</v>
      </c>
      <c r="V889" t="n">
        <v>4545.33313</v>
      </c>
      <c r="W889" t="n">
        <v>4511.76814</v>
      </c>
      <c r="AB889" t="n">
        <v>4578.23145</v>
      </c>
      <c r="AC889" t="n">
        <v>4572.91445</v>
      </c>
      <c r="AD889" t="n">
        <v>0</v>
      </c>
      <c r="AE889">
        <f>AE888+1</f>
        <v/>
      </c>
      <c r="AF889">
        <f>AF888+1</f>
        <v/>
      </c>
      <c r="AG889">
        <f>D889-Q889</f>
        <v/>
      </c>
      <c r="AH889">
        <f>AG889^2</f>
        <v/>
      </c>
      <c r="AI889">
        <f>(AG889/STDEV($AG$3:$AG$1137))^3</f>
        <v/>
      </c>
      <c r="AJ889">
        <f>(AG889/STDEV($AG$3:$AG$1137))^4</f>
        <v/>
      </c>
      <c r="AK889">
        <f>AF889^2</f>
        <v/>
      </c>
      <c r="AL889">
        <f>IF(AD889=1,AB889,IF(AL888&lt;&gt;"",AL888,""))</f>
        <v/>
      </c>
      <c r="AM889">
        <f>IF(AND(AD889=1,AL888&lt;&gt;""),ABS(AB889-AL888),"")</f>
        <v/>
      </c>
    </row>
    <row r="890">
      <c r="A890" t="n">
        <v>1777531502</v>
      </c>
      <c r="B890" t="inlineStr">
        <is>
          <t>XAUUSD</t>
        </is>
      </c>
      <c r="C890" t="inlineStr">
        <is>
          <t>M15</t>
        </is>
      </c>
      <c r="D890" t="n">
        <v>4589.44</v>
      </c>
      <c r="E890" t="n">
        <v>4518.59282</v>
      </c>
      <c r="F890" t="n">
        <v>4596.05595</v>
      </c>
      <c r="G890" t="n">
        <v>4755.40355</v>
      </c>
      <c r="H890" t="n">
        <v>4792.76972</v>
      </c>
      <c r="Q890" t="n">
        <v>4580.0053</v>
      </c>
      <c r="R890" t="n">
        <v>4609.3686</v>
      </c>
      <c r="S890" t="n">
        <v>4635.95737</v>
      </c>
      <c r="V890" t="n">
        <v>4545.06553</v>
      </c>
      <c r="W890" t="n">
        <v>4511.50053</v>
      </c>
      <c r="AB890" t="n">
        <v>4584.24007</v>
      </c>
      <c r="AC890" t="n">
        <v>4578.57726</v>
      </c>
      <c r="AD890" t="n">
        <v>0</v>
      </c>
      <c r="AE890">
        <f>AE889+1</f>
        <v/>
      </c>
      <c r="AF890">
        <f>AF889+1</f>
        <v/>
      </c>
      <c r="AG890">
        <f>D890-Q890</f>
        <v/>
      </c>
      <c r="AH890">
        <f>AG890^2</f>
        <v/>
      </c>
      <c r="AI890">
        <f>(AG890/STDEV($AG$3:$AG$1137))^3</f>
        <v/>
      </c>
      <c r="AJ890">
        <f>(AG890/STDEV($AG$3:$AG$1137))^4</f>
        <v/>
      </c>
      <c r="AK890">
        <f>AF890^2</f>
        <v/>
      </c>
      <c r="AL890">
        <f>IF(AD890=1,AB890,IF(AL889&lt;&gt;"",AL889,""))</f>
        <v/>
      </c>
      <c r="AM890">
        <f>IF(AND(AD890=1,AL889&lt;&gt;""),ABS(AB890-AL889),"")</f>
        <v/>
      </c>
    </row>
    <row r="891">
      <c r="A891" t="n">
        <v>1777532402</v>
      </c>
      <c r="B891" t="inlineStr">
        <is>
          <t>XAUUSD</t>
        </is>
      </c>
      <c r="C891" t="inlineStr">
        <is>
          <t>M15</t>
        </is>
      </c>
      <c r="D891" t="n">
        <v>4591.59</v>
      </c>
      <c r="E891" t="n">
        <v>4518.59282</v>
      </c>
      <c r="F891" t="n">
        <v>4596.05595</v>
      </c>
      <c r="G891" t="n">
        <v>4755.40355</v>
      </c>
      <c r="H891" t="n">
        <v>4792.76972</v>
      </c>
      <c r="Q891" t="n">
        <v>4579.7377</v>
      </c>
      <c r="R891" t="n">
        <v>4609.10099</v>
      </c>
      <c r="S891" t="n">
        <v>4635.68977</v>
      </c>
      <c r="V891" t="n">
        <v>4544.79793</v>
      </c>
      <c r="W891" t="n">
        <v>4511.23293</v>
      </c>
      <c r="AB891" t="n">
        <v>4589.9598</v>
      </c>
      <c r="AC891" t="n">
        <v>4584.26853</v>
      </c>
      <c r="AD891" t="n">
        <v>0</v>
      </c>
      <c r="AE891">
        <f>AE890+1</f>
        <v/>
      </c>
      <c r="AF891">
        <f>AF890+1</f>
        <v/>
      </c>
      <c r="AG891">
        <f>D891-Q891</f>
        <v/>
      </c>
      <c r="AH891">
        <f>AG891^2</f>
        <v/>
      </c>
      <c r="AI891">
        <f>(AG891/STDEV($AG$3:$AG$1137))^3</f>
        <v/>
      </c>
      <c r="AJ891">
        <f>(AG891/STDEV($AG$3:$AG$1137))^4</f>
        <v/>
      </c>
      <c r="AK891">
        <f>AF891^2</f>
        <v/>
      </c>
      <c r="AL891">
        <f>IF(AD891=1,AB891,IF(AL890&lt;&gt;"",AL890,""))</f>
        <v/>
      </c>
      <c r="AM891">
        <f>IF(AND(AD891=1,AL890&lt;&gt;""),ABS(AB891-AL890),"")</f>
        <v/>
      </c>
    </row>
    <row r="892">
      <c r="A892" t="n">
        <v>1777533302</v>
      </c>
      <c r="B892" t="inlineStr">
        <is>
          <t>XAUUSD</t>
        </is>
      </c>
      <c r="C892" t="inlineStr">
        <is>
          <t>M15</t>
        </is>
      </c>
      <c r="D892" t="n">
        <v>4591.59</v>
      </c>
      <c r="E892" t="n">
        <v>4518.59282</v>
      </c>
      <c r="F892" t="n">
        <v>4596.05595</v>
      </c>
      <c r="G892" t="n">
        <v>4755.40355</v>
      </c>
      <c r="H892" t="n">
        <v>4792.76972</v>
      </c>
      <c r="Q892" t="n">
        <v>4579.47009</v>
      </c>
      <c r="R892" t="n">
        <v>4608.83339</v>
      </c>
      <c r="S892" t="n">
        <v>4635.42216</v>
      </c>
      <c r="V892" t="n">
        <v>4544.53032</v>
      </c>
      <c r="W892" t="n">
        <v>4510.96533</v>
      </c>
      <c r="AB892" t="n">
        <v>4595.30501</v>
      </c>
      <c r="AC892" t="n">
        <v>4589.78677</v>
      </c>
      <c r="AD892" t="n">
        <v>0</v>
      </c>
      <c r="AE892">
        <f>AE891+1</f>
        <v/>
      </c>
      <c r="AF892">
        <f>AF891+1</f>
        <v/>
      </c>
      <c r="AG892">
        <f>D892-Q892</f>
        <v/>
      </c>
      <c r="AH892">
        <f>AG892^2</f>
        <v/>
      </c>
      <c r="AI892">
        <f>(AG892/STDEV($AG$3:$AG$1137))^3</f>
        <v/>
      </c>
      <c r="AJ892">
        <f>(AG892/STDEV($AG$3:$AG$1137))^4</f>
        <v/>
      </c>
      <c r="AK892">
        <f>AF892^2</f>
        <v/>
      </c>
      <c r="AL892">
        <f>IF(AD892=1,AB892,IF(AL891&lt;&gt;"",AL891,""))</f>
        <v/>
      </c>
      <c r="AM892">
        <f>IF(AND(AD892=1,AL891&lt;&gt;""),ABS(AB892-AL891),"")</f>
        <v/>
      </c>
    </row>
    <row r="893">
      <c r="A893" t="n">
        <v>1777534202</v>
      </c>
      <c r="B893" t="inlineStr">
        <is>
          <t>XAUUSD</t>
        </is>
      </c>
      <c r="C893" t="inlineStr">
        <is>
          <t>M15</t>
        </is>
      </c>
      <c r="D893" t="n">
        <v>4596.69</v>
      </c>
      <c r="E893" t="n">
        <v>4518.59282</v>
      </c>
      <c r="F893" t="n">
        <v>4596.05595</v>
      </c>
      <c r="G893" t="n">
        <v>4755.40355</v>
      </c>
      <c r="H893" t="n">
        <v>4792.76972</v>
      </c>
      <c r="Q893" t="n">
        <v>4579.20249</v>
      </c>
      <c r="R893" t="n">
        <v>4608.56579</v>
      </c>
      <c r="S893" t="n">
        <v>4635.15456</v>
      </c>
      <c r="V893" t="n">
        <v>4544.26272</v>
      </c>
      <c r="W893" t="n">
        <v>4510.69772</v>
      </c>
      <c r="AB893" t="n">
        <v>4600.28116</v>
      </c>
      <c r="AC893" t="n">
        <v>4595.03396</v>
      </c>
      <c r="AD893" t="n">
        <v>0</v>
      </c>
      <c r="AE893">
        <f>AE892+1</f>
        <v/>
      </c>
      <c r="AF893">
        <f>AF892+1</f>
        <v/>
      </c>
      <c r="AG893">
        <f>D893-Q893</f>
        <v/>
      </c>
      <c r="AH893">
        <f>AG893^2</f>
        <v/>
      </c>
      <c r="AI893">
        <f>(AG893/STDEV($AG$3:$AG$1137))^3</f>
        <v/>
      </c>
      <c r="AJ893">
        <f>(AG893/STDEV($AG$3:$AG$1137))^4</f>
        <v/>
      </c>
      <c r="AK893">
        <f>AF893^2</f>
        <v/>
      </c>
      <c r="AL893">
        <f>IF(AD893=1,AB893,IF(AL892&lt;&gt;"",AL892,""))</f>
        <v/>
      </c>
      <c r="AM893">
        <f>IF(AND(AD893=1,AL892&lt;&gt;""),ABS(AB893-AL892),"")</f>
        <v/>
      </c>
    </row>
    <row r="894">
      <c r="A894" t="n">
        <v>1777535102</v>
      </c>
      <c r="B894" t="inlineStr">
        <is>
          <t>XAUUSD</t>
        </is>
      </c>
      <c r="C894" t="inlineStr">
        <is>
          <t>M15</t>
        </is>
      </c>
      <c r="D894" t="n">
        <v>4598.44</v>
      </c>
      <c r="E894" t="n">
        <v>4518.59282</v>
      </c>
      <c r="F894" t="n">
        <v>4596.05595</v>
      </c>
      <c r="G894" t="n">
        <v>4755.40355</v>
      </c>
      <c r="H894" t="n">
        <v>4792.76972</v>
      </c>
      <c r="Q894" t="n">
        <v>4578.93488</v>
      </c>
      <c r="R894" t="n">
        <v>4608.29818</v>
      </c>
      <c r="S894" t="n">
        <v>4634.88695</v>
      </c>
      <c r="V894" t="n">
        <v>4543.99511</v>
      </c>
      <c r="W894" t="n">
        <v>4510.43012</v>
      </c>
      <c r="AB894" t="n">
        <v>4604.81754</v>
      </c>
      <c r="AC894" t="n">
        <v>4599.92575</v>
      </c>
      <c r="AD894" t="n">
        <v>0</v>
      </c>
      <c r="AE894">
        <f>AE893+1</f>
        <v/>
      </c>
      <c r="AF894">
        <f>AF893+1</f>
        <v/>
      </c>
      <c r="AG894">
        <f>D894-Q894</f>
        <v/>
      </c>
      <c r="AH894">
        <f>AG894^2</f>
        <v/>
      </c>
      <c r="AI894">
        <f>(AG894/STDEV($AG$3:$AG$1137))^3</f>
        <v/>
      </c>
      <c r="AJ894">
        <f>(AG894/STDEV($AG$3:$AG$1137))^4</f>
        <v/>
      </c>
      <c r="AK894">
        <f>AF894^2</f>
        <v/>
      </c>
      <c r="AL894">
        <f>IF(AD894=1,AB894,IF(AL893&lt;&gt;"",AL893,""))</f>
        <v/>
      </c>
      <c r="AM894">
        <f>IF(AND(AD894=1,AL893&lt;&gt;""),ABS(AB894-AL893),"")</f>
        <v/>
      </c>
    </row>
    <row r="895">
      <c r="A895" t="n">
        <v>1777536002</v>
      </c>
      <c r="B895" t="inlineStr">
        <is>
          <t>XAUUSD</t>
        </is>
      </c>
      <c r="C895" t="inlineStr">
        <is>
          <t>M15</t>
        </is>
      </c>
      <c r="D895" t="n">
        <v>4618.7</v>
      </c>
      <c r="E895" t="n">
        <v>4518.59282</v>
      </c>
      <c r="F895" t="n">
        <v>4596.05595</v>
      </c>
      <c r="G895" t="n">
        <v>4755.40355</v>
      </c>
      <c r="H895" t="n">
        <v>4792.76972</v>
      </c>
      <c r="Q895" t="n">
        <v>4578.66728</v>
      </c>
      <c r="R895" t="n">
        <v>4608.03058</v>
      </c>
      <c r="S895" t="n">
        <v>4634.61935</v>
      </c>
      <c r="V895" t="n">
        <v>4543.72751</v>
      </c>
      <c r="W895" t="n">
        <v>4510.16251</v>
      </c>
      <c r="AB895" t="n">
        <v>4608.94986</v>
      </c>
      <c r="AC895" t="n">
        <v>4604.43781</v>
      </c>
      <c r="AD895" t="n">
        <v>0</v>
      </c>
      <c r="AE895">
        <f>AE894+1</f>
        <v/>
      </c>
      <c r="AF895">
        <f>AF894+1</f>
        <v/>
      </c>
      <c r="AG895">
        <f>D895-Q895</f>
        <v/>
      </c>
      <c r="AH895">
        <f>AG895^2</f>
        <v/>
      </c>
      <c r="AI895">
        <f>(AG895/STDEV($AG$3:$AG$1137))^3</f>
        <v/>
      </c>
      <c r="AJ895">
        <f>(AG895/STDEV($AG$3:$AG$1137))^4</f>
        <v/>
      </c>
      <c r="AK895">
        <f>AF895^2</f>
        <v/>
      </c>
      <c r="AL895">
        <f>IF(AD895=1,AB895,IF(AL894&lt;&gt;"",AL894,""))</f>
        <v/>
      </c>
      <c r="AM895">
        <f>IF(AND(AD895=1,AL894&lt;&gt;""),ABS(AB895-AL894),"")</f>
        <v/>
      </c>
    </row>
    <row r="896">
      <c r="A896" t="n">
        <v>1777536902</v>
      </c>
      <c r="B896" t="inlineStr">
        <is>
          <t>XAUUSD</t>
        </is>
      </c>
      <c r="C896" t="inlineStr">
        <is>
          <t>M15</t>
        </is>
      </c>
      <c r="D896" t="n">
        <v>4617.35</v>
      </c>
      <c r="E896" t="n">
        <v>4518.59282</v>
      </c>
      <c r="F896" t="n">
        <v>4596.05595</v>
      </c>
      <c r="G896" t="n">
        <v>4755.40355</v>
      </c>
      <c r="H896" t="n">
        <v>4792.76972</v>
      </c>
      <c r="Q896" t="n">
        <v>4578.39968</v>
      </c>
      <c r="R896" t="n">
        <v>4607.76297</v>
      </c>
      <c r="S896" t="n">
        <v>4634.35175</v>
      </c>
      <c r="V896" t="n">
        <v>4543.45991</v>
      </c>
      <c r="W896" t="n">
        <v>4509.89491</v>
      </c>
      <c r="AB896" t="n">
        <v>4612.27662</v>
      </c>
      <c r="AC896" t="n">
        <v>4608.35721</v>
      </c>
      <c r="AD896" t="n">
        <v>0</v>
      </c>
      <c r="AE896">
        <f>AE895+1</f>
        <v/>
      </c>
      <c r="AF896">
        <f>AF895+1</f>
        <v/>
      </c>
      <c r="AG896">
        <f>D896-Q896</f>
        <v/>
      </c>
      <c r="AH896">
        <f>AG896^2</f>
        <v/>
      </c>
      <c r="AI896">
        <f>(AG896/STDEV($AG$3:$AG$1137))^3</f>
        <v/>
      </c>
      <c r="AJ896">
        <f>(AG896/STDEV($AG$3:$AG$1137))^4</f>
        <v/>
      </c>
      <c r="AK896">
        <f>AF896^2</f>
        <v/>
      </c>
      <c r="AL896">
        <f>IF(AD896=1,AB896,IF(AL895&lt;&gt;"",AL895,""))</f>
        <v/>
      </c>
      <c r="AM896">
        <f>IF(AND(AD896=1,AL895&lt;&gt;""),ABS(AB896-AL895),"")</f>
        <v/>
      </c>
    </row>
    <row r="897">
      <c r="A897" t="n">
        <v>1777537802</v>
      </c>
      <c r="B897" t="inlineStr">
        <is>
          <t>XAUUSD</t>
        </is>
      </c>
      <c r="C897" t="inlineStr">
        <is>
          <t>M15</t>
        </is>
      </c>
      <c r="D897" t="n">
        <v>4614.82</v>
      </c>
      <c r="E897" t="n">
        <v>4518.59282</v>
      </c>
      <c r="F897" t="n">
        <v>4596.05595</v>
      </c>
      <c r="G897" t="n">
        <v>4755.40355</v>
      </c>
      <c r="H897" t="n">
        <v>4792.76972</v>
      </c>
      <c r="Q897" t="n">
        <v>4578.13207</v>
      </c>
      <c r="R897" t="n">
        <v>4607.49537</v>
      </c>
      <c r="S897" t="n">
        <v>4634.08414</v>
      </c>
      <c r="V897" t="n">
        <v>4543.1923</v>
      </c>
      <c r="W897" t="n">
        <v>4509.6273</v>
      </c>
      <c r="AB897" t="n">
        <v>4615.05883</v>
      </c>
      <c r="AC897" t="n">
        <v>4611.70802</v>
      </c>
      <c r="AD897" t="n">
        <v>0</v>
      </c>
      <c r="AE897">
        <f>AE896+1</f>
        <v/>
      </c>
      <c r="AF897">
        <f>AF896+1</f>
        <v/>
      </c>
      <c r="AG897">
        <f>D897-Q897</f>
        <v/>
      </c>
      <c r="AH897">
        <f>AG897^2</f>
        <v/>
      </c>
      <c r="AI897">
        <f>(AG897/STDEV($AG$3:$AG$1137))^3</f>
        <v/>
      </c>
      <c r="AJ897">
        <f>(AG897/STDEV($AG$3:$AG$1137))^4</f>
        <v/>
      </c>
      <c r="AK897">
        <f>AF897^2</f>
        <v/>
      </c>
      <c r="AL897">
        <f>IF(AD897=1,AB897,IF(AL896&lt;&gt;"",AL896,""))</f>
        <v/>
      </c>
      <c r="AM897">
        <f>IF(AND(AD897=1,AL896&lt;&gt;""),ABS(AB897-AL896),"")</f>
        <v/>
      </c>
    </row>
    <row r="898">
      <c r="A898" t="n">
        <v>1777538702</v>
      </c>
      <c r="B898" t="inlineStr">
        <is>
          <t>XAUUSD</t>
        </is>
      </c>
      <c r="C898" t="inlineStr">
        <is>
          <t>M15</t>
        </is>
      </c>
      <c r="D898" t="n">
        <v>4616</v>
      </c>
      <c r="E898" t="n">
        <v>4518.59282</v>
      </c>
      <c r="F898" t="n">
        <v>4596.05595</v>
      </c>
      <c r="G898" t="n">
        <v>4755.40355</v>
      </c>
      <c r="H898" t="n">
        <v>4792.76972</v>
      </c>
      <c r="Q898" t="n">
        <v>4577.86447</v>
      </c>
      <c r="R898" t="n">
        <v>4607.22777</v>
      </c>
      <c r="S898" t="n">
        <v>4633.81654</v>
      </c>
      <c r="V898" t="n">
        <v>4542.9247</v>
      </c>
      <c r="W898" t="n">
        <v>4509.3597</v>
      </c>
      <c r="AB898" t="n">
        <v>4617.65134</v>
      </c>
      <c r="AC898" t="n">
        <v>4614.67968</v>
      </c>
      <c r="AD898" t="n">
        <v>0</v>
      </c>
      <c r="AE898">
        <f>AE897+1</f>
        <v/>
      </c>
      <c r="AF898">
        <f>AF897+1</f>
        <v/>
      </c>
      <c r="AG898">
        <f>D898-Q898</f>
        <v/>
      </c>
      <c r="AH898">
        <f>AG898^2</f>
        <v/>
      </c>
      <c r="AI898">
        <f>(AG898/STDEV($AG$3:$AG$1137))^3</f>
        <v/>
      </c>
      <c r="AJ898">
        <f>(AG898/STDEV($AG$3:$AG$1137))^4</f>
        <v/>
      </c>
      <c r="AK898">
        <f>AF898^2</f>
        <v/>
      </c>
      <c r="AL898">
        <f>IF(AD898=1,AB898,IF(AL897&lt;&gt;"",AL897,""))</f>
        <v/>
      </c>
      <c r="AM898">
        <f>IF(AND(AD898=1,AL897&lt;&gt;""),ABS(AB898-AL897),"")</f>
        <v/>
      </c>
    </row>
    <row r="899">
      <c r="A899" t="n">
        <v>1777539602</v>
      </c>
      <c r="B899" t="inlineStr">
        <is>
          <t>XAUUSD</t>
        </is>
      </c>
      <c r="C899" t="inlineStr">
        <is>
          <t>M15</t>
        </is>
      </c>
      <c r="D899" t="n">
        <v>4618.96</v>
      </c>
      <c r="E899" t="n">
        <v>4518.59282</v>
      </c>
      <c r="F899" t="n">
        <v>4596.05595</v>
      </c>
      <c r="G899" t="n">
        <v>4755.40355</v>
      </c>
      <c r="H899" t="n">
        <v>4792.76972</v>
      </c>
      <c r="Q899" t="n">
        <v>4577.59686</v>
      </c>
      <c r="R899" t="n">
        <v>4606.96016</v>
      </c>
      <c r="S899" t="n">
        <v>4633.54893</v>
      </c>
      <c r="V899" t="n">
        <v>4542.65709</v>
      </c>
      <c r="W899" t="n">
        <v>4509.0921</v>
      </c>
      <c r="AB899" t="n">
        <v>4620.25437</v>
      </c>
      <c r="AC899" t="n">
        <v>4617.46703</v>
      </c>
      <c r="AD899" t="n">
        <v>0</v>
      </c>
      <c r="AE899">
        <f>AE898+1</f>
        <v/>
      </c>
      <c r="AF899">
        <f>AF898+1</f>
        <v/>
      </c>
      <c r="AG899">
        <f>D899-Q899</f>
        <v/>
      </c>
      <c r="AH899">
        <f>AG899^2</f>
        <v/>
      </c>
      <c r="AI899">
        <f>(AG899/STDEV($AG$3:$AG$1137))^3</f>
        <v/>
      </c>
      <c r="AJ899">
        <f>(AG899/STDEV($AG$3:$AG$1137))^4</f>
        <v/>
      </c>
      <c r="AK899">
        <f>AF899^2</f>
        <v/>
      </c>
      <c r="AL899">
        <f>IF(AD899=1,AB899,IF(AL898&lt;&gt;"",AL898,""))</f>
        <v/>
      </c>
      <c r="AM899">
        <f>IF(AND(AD899=1,AL898&lt;&gt;""),ABS(AB899-AL898),"")</f>
        <v/>
      </c>
    </row>
    <row r="900">
      <c r="A900" t="n">
        <v>1777540502</v>
      </c>
      <c r="B900" t="inlineStr">
        <is>
          <t>XAUUSD</t>
        </is>
      </c>
      <c r="C900" t="inlineStr">
        <is>
          <t>M15</t>
        </is>
      </c>
      <c r="D900" t="n">
        <v>4625.41</v>
      </c>
      <c r="E900" t="n">
        <v>4518.59282</v>
      </c>
      <c r="F900" t="n">
        <v>4596.05595</v>
      </c>
      <c r="G900" t="n">
        <v>4755.40355</v>
      </c>
      <c r="H900" t="n">
        <v>4792.76972</v>
      </c>
      <c r="Q900" t="n">
        <v>4577.32926</v>
      </c>
      <c r="R900" t="n">
        <v>4606.69256</v>
      </c>
      <c r="S900" t="n">
        <v>4633.28133</v>
      </c>
      <c r="V900" t="n">
        <v>4542.38949</v>
      </c>
      <c r="W900" t="n">
        <v>4508.82449</v>
      </c>
      <c r="AB900" t="n">
        <v>4622.95448</v>
      </c>
      <c r="AC900" t="n">
        <v>4620.21075</v>
      </c>
      <c r="AD900" t="n">
        <v>0</v>
      </c>
      <c r="AE900">
        <f>AE899+1</f>
        <v/>
      </c>
      <c r="AF900">
        <f>AF899+1</f>
        <v/>
      </c>
      <c r="AG900">
        <f>D900-Q900</f>
        <v/>
      </c>
      <c r="AH900">
        <f>AG900^2</f>
        <v/>
      </c>
      <c r="AI900">
        <f>(AG900/STDEV($AG$3:$AG$1137))^3</f>
        <v/>
      </c>
      <c r="AJ900">
        <f>(AG900/STDEV($AG$3:$AG$1137))^4</f>
        <v/>
      </c>
      <c r="AK900">
        <f>AF900^2</f>
        <v/>
      </c>
      <c r="AL900">
        <f>IF(AD900=1,AB900,IF(AL899&lt;&gt;"",AL899,""))</f>
        <v/>
      </c>
      <c r="AM900">
        <f>IF(AND(AD900=1,AL899&lt;&gt;""),ABS(AB900-AL899),"")</f>
        <v/>
      </c>
    </row>
    <row r="901">
      <c r="A901" t="n">
        <v>1777541402</v>
      </c>
      <c r="B901" t="inlineStr">
        <is>
          <t>XAUUSD</t>
        </is>
      </c>
      <c r="C901" t="inlineStr">
        <is>
          <t>M15</t>
        </is>
      </c>
      <c r="D901" t="n">
        <v>4619.35</v>
      </c>
      <c r="E901" t="n">
        <v>4518.59282</v>
      </c>
      <c r="F901" t="n">
        <v>4596.05595</v>
      </c>
      <c r="G901" t="n">
        <v>4755.40355</v>
      </c>
      <c r="H901" t="n">
        <v>4792.76972</v>
      </c>
      <c r="Q901" t="n">
        <v>4577.06166</v>
      </c>
      <c r="R901" t="n">
        <v>4606.42495</v>
      </c>
      <c r="S901" t="n">
        <v>4633.01372</v>
      </c>
      <c r="V901" t="n">
        <v>4542.12188</v>
      </c>
      <c r="W901" t="n">
        <v>4508.55689</v>
      </c>
      <c r="AB901" t="n">
        <v>4625.64644</v>
      </c>
      <c r="AC901" t="n">
        <v>4622.9286</v>
      </c>
      <c r="AD901" t="n">
        <v>0</v>
      </c>
      <c r="AE901">
        <f>AE900+1</f>
        <v/>
      </c>
      <c r="AF901">
        <f>AF900+1</f>
        <v/>
      </c>
      <c r="AG901">
        <f>D901-Q901</f>
        <v/>
      </c>
      <c r="AH901">
        <f>AG901^2</f>
        <v/>
      </c>
      <c r="AI901">
        <f>(AG901/STDEV($AG$3:$AG$1137))^3</f>
        <v/>
      </c>
      <c r="AJ901">
        <f>(AG901/STDEV($AG$3:$AG$1137))^4</f>
        <v/>
      </c>
      <c r="AK901">
        <f>AF901^2</f>
        <v/>
      </c>
      <c r="AL901">
        <f>IF(AD901=1,AB901,IF(AL900&lt;&gt;"",AL900,""))</f>
        <v/>
      </c>
      <c r="AM901">
        <f>IF(AND(AD901=1,AL900&lt;&gt;""),ABS(AB901-AL900),"")</f>
        <v/>
      </c>
    </row>
    <row r="902">
      <c r="A902" t="n">
        <v>1777542302</v>
      </c>
      <c r="B902" t="inlineStr">
        <is>
          <t>XAUUSD</t>
        </is>
      </c>
      <c r="C902" t="inlineStr">
        <is>
          <t>M15</t>
        </is>
      </c>
      <c r="D902" t="n">
        <v>4624.91</v>
      </c>
      <c r="E902" t="n">
        <v>4518.59282</v>
      </c>
      <c r="F902" t="n">
        <v>4596.05595</v>
      </c>
      <c r="G902" t="n">
        <v>4755.40355</v>
      </c>
      <c r="H902" t="n">
        <v>4792.76972</v>
      </c>
      <c r="Q902" t="n">
        <v>4576.79405</v>
      </c>
      <c r="R902" t="n">
        <v>4606.15735</v>
      </c>
      <c r="S902" t="n">
        <v>4632.74612</v>
      </c>
      <c r="V902" t="n">
        <v>4541.85428</v>
      </c>
      <c r="W902" t="n">
        <v>4508.28928</v>
      </c>
      <c r="AB902" t="n">
        <v>4628.46791</v>
      </c>
      <c r="AC902" t="n">
        <v>4625.69825</v>
      </c>
      <c r="AD902" t="n">
        <v>0</v>
      </c>
      <c r="AE902">
        <f>AE901+1</f>
        <v/>
      </c>
      <c r="AF902">
        <f>AF901+1</f>
        <v/>
      </c>
      <c r="AG902">
        <f>D902-Q902</f>
        <v/>
      </c>
      <c r="AH902">
        <f>AG902^2</f>
        <v/>
      </c>
      <c r="AI902">
        <f>(AG902/STDEV($AG$3:$AG$1137))^3</f>
        <v/>
      </c>
      <c r="AJ902">
        <f>(AG902/STDEV($AG$3:$AG$1137))^4</f>
        <v/>
      </c>
      <c r="AK902">
        <f>AF902^2</f>
        <v/>
      </c>
      <c r="AL902">
        <f>IF(AD902=1,AB902,IF(AL901&lt;&gt;"",AL901,""))</f>
        <v/>
      </c>
      <c r="AM902">
        <f>IF(AND(AD902=1,AL901&lt;&gt;""),ABS(AB902-AL901),"")</f>
        <v/>
      </c>
    </row>
    <row r="903">
      <c r="A903" t="n">
        <v>1777543202</v>
      </c>
      <c r="B903" t="inlineStr">
        <is>
          <t>XAUUSD</t>
        </is>
      </c>
      <c r="C903" t="inlineStr">
        <is>
          <t>M15</t>
        </is>
      </c>
      <c r="D903" t="n">
        <v>4626.92</v>
      </c>
      <c r="E903" t="n">
        <v>4518.59282</v>
      </c>
      <c r="F903" t="n">
        <v>4596.05595</v>
      </c>
      <c r="G903" t="n">
        <v>4755.40355</v>
      </c>
      <c r="H903" t="n">
        <v>4792.76972</v>
      </c>
      <c r="Q903" t="n">
        <v>4576.52645</v>
      </c>
      <c r="R903" t="n">
        <v>4605.88975</v>
      </c>
      <c r="S903" t="n">
        <v>4632.47852</v>
      </c>
      <c r="V903" t="n">
        <v>4541.58668</v>
      </c>
      <c r="W903" t="n">
        <v>4508.02168</v>
      </c>
      <c r="AB903" t="n">
        <v>4631.18716</v>
      </c>
      <c r="AC903" t="n">
        <v>4628.44271</v>
      </c>
      <c r="AD903" t="n">
        <v>0</v>
      </c>
      <c r="AE903">
        <f>AE902+1</f>
        <v/>
      </c>
      <c r="AF903">
        <f>AF902+1</f>
        <v/>
      </c>
      <c r="AG903">
        <f>D903-Q903</f>
        <v/>
      </c>
      <c r="AH903">
        <f>AG903^2</f>
        <v/>
      </c>
      <c r="AI903">
        <f>(AG903/STDEV($AG$3:$AG$1137))^3</f>
        <v/>
      </c>
      <c r="AJ903">
        <f>(AG903/STDEV($AG$3:$AG$1137))^4</f>
        <v/>
      </c>
      <c r="AK903">
        <f>AF903^2</f>
        <v/>
      </c>
      <c r="AL903">
        <f>IF(AD903=1,AB903,IF(AL902&lt;&gt;"",AL902,""))</f>
        <v/>
      </c>
      <c r="AM903">
        <f>IF(AND(AD903=1,AL902&lt;&gt;""),ABS(AB903-AL902),"")</f>
        <v/>
      </c>
    </row>
    <row r="904">
      <c r="A904" t="n">
        <v>1777544102</v>
      </c>
      <c r="B904" t="inlineStr">
        <is>
          <t>XAUUSD</t>
        </is>
      </c>
      <c r="C904" t="inlineStr">
        <is>
          <t>M15</t>
        </is>
      </c>
      <c r="D904" t="n">
        <v>4643.78</v>
      </c>
      <c r="E904" t="n">
        <v>4518.59282</v>
      </c>
      <c r="F904" t="n">
        <v>4596.05595</v>
      </c>
      <c r="G904" t="n">
        <v>4755.40355</v>
      </c>
      <c r="H904" t="n">
        <v>4792.76972</v>
      </c>
      <c r="Q904" t="n">
        <v>4576.25884</v>
      </c>
      <c r="R904" t="n">
        <v>4605.62214</v>
      </c>
      <c r="S904" t="n">
        <v>4632.21091</v>
      </c>
      <c r="V904" t="n">
        <v>4541.31907</v>
      </c>
      <c r="W904" t="n">
        <v>4507.75408</v>
      </c>
      <c r="AB904" t="n">
        <v>4633.63017</v>
      </c>
      <c r="AC904" t="n">
        <v>4631.03644</v>
      </c>
      <c r="AD904" t="n">
        <v>0</v>
      </c>
      <c r="AE904">
        <f>AE903+1</f>
        <v/>
      </c>
      <c r="AF904">
        <f>AF903+1</f>
        <v/>
      </c>
      <c r="AG904">
        <f>D904-Q904</f>
        <v/>
      </c>
      <c r="AH904">
        <f>AG904^2</f>
        <v/>
      </c>
      <c r="AI904">
        <f>(AG904/STDEV($AG$3:$AG$1137))^3</f>
        <v/>
      </c>
      <c r="AJ904">
        <f>(AG904/STDEV($AG$3:$AG$1137))^4</f>
        <v/>
      </c>
      <c r="AK904">
        <f>AF904^2</f>
        <v/>
      </c>
      <c r="AL904">
        <f>IF(AD904=1,AB904,IF(AL903&lt;&gt;"",AL903,""))</f>
        <v/>
      </c>
      <c r="AM904">
        <f>IF(AND(AD904=1,AL903&lt;&gt;""),ABS(AB904-AL903),"")</f>
        <v/>
      </c>
    </row>
    <row r="905">
      <c r="A905" t="n">
        <v>1777545002</v>
      </c>
      <c r="B905" t="inlineStr">
        <is>
          <t>XAUUSD</t>
        </is>
      </c>
      <c r="C905" t="inlineStr">
        <is>
          <t>M15</t>
        </is>
      </c>
      <c r="D905" t="n">
        <v>4636.62</v>
      </c>
      <c r="E905" t="n">
        <v>4518.59282</v>
      </c>
      <c r="F905" t="n">
        <v>4596.05595</v>
      </c>
      <c r="G905" t="n">
        <v>4755.40355</v>
      </c>
      <c r="H905" t="n">
        <v>4792.76972</v>
      </c>
      <c r="Q905" t="n">
        <v>4575.99124</v>
      </c>
      <c r="R905" t="n">
        <v>4605.35454</v>
      </c>
      <c r="S905" t="n">
        <v>4631.94331</v>
      </c>
      <c r="V905" t="n">
        <v>4541.05147</v>
      </c>
      <c r="W905" t="n">
        <v>4507.48647</v>
      </c>
      <c r="Z905" t="n">
        <v>4647.1</v>
      </c>
      <c r="AB905" t="n">
        <v>4635.21014</v>
      </c>
      <c r="AC905" t="n">
        <v>4633.12329</v>
      </c>
      <c r="AD905" t="n">
        <v>0</v>
      </c>
      <c r="AE905">
        <f>AE904+1</f>
        <v/>
      </c>
      <c r="AF905">
        <f>AF904+1</f>
        <v/>
      </c>
      <c r="AG905">
        <f>D905-Q905</f>
        <v/>
      </c>
      <c r="AH905">
        <f>AG905^2</f>
        <v/>
      </c>
      <c r="AI905">
        <f>(AG905/STDEV($AG$3:$AG$1137))^3</f>
        <v/>
      </c>
      <c r="AJ905">
        <f>(AG905/STDEV($AG$3:$AG$1137))^4</f>
        <v/>
      </c>
      <c r="AK905">
        <f>AF905^2</f>
        <v/>
      </c>
      <c r="AL905">
        <f>IF(AD905=1,AB905,IF(AL904&lt;&gt;"",AL904,""))</f>
        <v/>
      </c>
      <c r="AM905">
        <f>IF(AND(AD905=1,AL904&lt;&gt;""),ABS(AB905-AL904),"")</f>
        <v/>
      </c>
    </row>
    <row r="906">
      <c r="A906" t="n">
        <v>1777545902</v>
      </c>
      <c r="B906" t="inlineStr">
        <is>
          <t>XAUUSD</t>
        </is>
      </c>
      <c r="C906" t="inlineStr">
        <is>
          <t>M15</t>
        </is>
      </c>
      <c r="D906" t="n">
        <v>4639.68</v>
      </c>
      <c r="E906" t="n">
        <v>4518.59282</v>
      </c>
      <c r="F906" t="n">
        <v>4596.05595</v>
      </c>
      <c r="G906" t="n">
        <v>4755.40355</v>
      </c>
      <c r="H906" t="n">
        <v>4792.76972</v>
      </c>
      <c r="Q906" t="n">
        <v>4575.72363</v>
      </c>
      <c r="R906" t="n">
        <v>4605.08693</v>
      </c>
      <c r="S906" t="n">
        <v>4631.6757</v>
      </c>
      <c r="V906" t="n">
        <v>4540.78386</v>
      </c>
      <c r="W906" t="n">
        <v>4507.21887</v>
      </c>
      <c r="AB906" t="n">
        <v>4636.08044</v>
      </c>
      <c r="AC906" t="n">
        <v>4634.60186</v>
      </c>
      <c r="AD906" t="n">
        <v>0</v>
      </c>
      <c r="AE906">
        <f>AE905+1</f>
        <v/>
      </c>
      <c r="AF906">
        <f>AF905+1</f>
        <v/>
      </c>
      <c r="AG906">
        <f>D906-Q906</f>
        <v/>
      </c>
      <c r="AH906">
        <f>AG906^2</f>
        <v/>
      </c>
      <c r="AI906">
        <f>(AG906/STDEV($AG$3:$AG$1137))^3</f>
        <v/>
      </c>
      <c r="AJ906">
        <f>(AG906/STDEV($AG$3:$AG$1137))^4</f>
        <v/>
      </c>
      <c r="AK906">
        <f>AF906^2</f>
        <v/>
      </c>
      <c r="AL906">
        <f>IF(AD906=1,AB906,IF(AL905&lt;&gt;"",AL905,""))</f>
        <v/>
      </c>
      <c r="AM906">
        <f>IF(AND(AD906=1,AL905&lt;&gt;""),ABS(AB906-AL905),"")</f>
        <v/>
      </c>
    </row>
    <row r="907">
      <c r="A907" t="n">
        <v>1777546802</v>
      </c>
      <c r="B907" t="inlineStr">
        <is>
          <t>XAUUSD</t>
        </is>
      </c>
      <c r="C907" t="inlineStr">
        <is>
          <t>M15</t>
        </is>
      </c>
      <c r="D907" t="n">
        <v>4635.99</v>
      </c>
      <c r="E907" t="n">
        <v>4518.59282</v>
      </c>
      <c r="F907" t="n">
        <v>4596.05595</v>
      </c>
      <c r="G907" t="n">
        <v>4755.40355</v>
      </c>
      <c r="H907" t="n">
        <v>4792.76972</v>
      </c>
      <c r="Q907" t="n">
        <v>4575.45603</v>
      </c>
      <c r="R907" t="n">
        <v>4604.81933</v>
      </c>
      <c r="S907" t="n">
        <v>4631.4081</v>
      </c>
      <c r="V907" t="n">
        <v>4540.51626</v>
      </c>
      <c r="W907" t="n">
        <v>4506.95126</v>
      </c>
      <c r="AB907" t="n">
        <v>4636.22769</v>
      </c>
      <c r="AC907" t="n">
        <v>4635.41478</v>
      </c>
      <c r="AD907" t="n">
        <v>0</v>
      </c>
      <c r="AE907">
        <f>AE906+1</f>
        <v/>
      </c>
      <c r="AF907">
        <f>AF906+1</f>
        <v/>
      </c>
      <c r="AG907">
        <f>D907-Q907</f>
        <v/>
      </c>
      <c r="AH907">
        <f>AG907^2</f>
        <v/>
      </c>
      <c r="AI907">
        <f>(AG907/STDEV($AG$3:$AG$1137))^3</f>
        <v/>
      </c>
      <c r="AJ907">
        <f>(AG907/STDEV($AG$3:$AG$1137))^4</f>
        <v/>
      </c>
      <c r="AK907">
        <f>AF907^2</f>
        <v/>
      </c>
      <c r="AL907">
        <f>IF(AD907=1,AB907,IF(AL906&lt;&gt;"",AL906,""))</f>
        <v/>
      </c>
      <c r="AM907">
        <f>IF(AND(AD907=1,AL906&lt;&gt;""),ABS(AB907-AL906),"")</f>
        <v/>
      </c>
    </row>
    <row r="908">
      <c r="A908" t="n">
        <v>1777547702</v>
      </c>
      <c r="B908" t="inlineStr">
        <is>
          <t>XAUUSD</t>
        </is>
      </c>
      <c r="C908" t="inlineStr">
        <is>
          <t>M15</t>
        </is>
      </c>
      <c r="D908" t="n">
        <v>4637.7</v>
      </c>
      <c r="E908" t="n">
        <v>4518.59282</v>
      </c>
      <c r="F908" t="n">
        <v>4596.05595</v>
      </c>
      <c r="G908" t="n">
        <v>4755.40355</v>
      </c>
      <c r="H908" t="n">
        <v>4792.76972</v>
      </c>
      <c r="Q908" t="n">
        <v>4575.18843</v>
      </c>
      <c r="R908" t="n">
        <v>4604.55173</v>
      </c>
      <c r="S908" t="n">
        <v>4631.1405</v>
      </c>
      <c r="V908" t="n">
        <v>4540.24866</v>
      </c>
      <c r="W908" t="n">
        <v>4506.68366</v>
      </c>
      <c r="AB908" t="n">
        <v>4635.89963</v>
      </c>
      <c r="AC908" t="n">
        <v>4635.6572</v>
      </c>
      <c r="AD908" t="n">
        <v>0</v>
      </c>
      <c r="AE908">
        <f>AE907+1</f>
        <v/>
      </c>
      <c r="AF908">
        <f>AF907+1</f>
        <v/>
      </c>
      <c r="AG908">
        <f>D908-Q908</f>
        <v/>
      </c>
      <c r="AH908">
        <f>AG908^2</f>
        <v/>
      </c>
      <c r="AI908">
        <f>(AG908/STDEV($AG$3:$AG$1137))^3</f>
        <v/>
      </c>
      <c r="AJ908">
        <f>(AG908/STDEV($AG$3:$AG$1137))^4</f>
        <v/>
      </c>
      <c r="AK908">
        <f>AF908^2</f>
        <v/>
      </c>
      <c r="AL908">
        <f>IF(AD908=1,AB908,IF(AL907&lt;&gt;"",AL907,""))</f>
        <v/>
      </c>
      <c r="AM908">
        <f>IF(AND(AD908=1,AL907&lt;&gt;""),ABS(AB908-AL907),"")</f>
        <v/>
      </c>
    </row>
    <row r="909">
      <c r="A909" t="n">
        <v>1777548602</v>
      </c>
      <c r="B909" t="inlineStr">
        <is>
          <t>XAUUSD</t>
        </is>
      </c>
      <c r="C909" t="inlineStr">
        <is>
          <t>M15</t>
        </is>
      </c>
      <c r="D909" t="n">
        <v>4629.82</v>
      </c>
      <c r="E909" t="n">
        <v>4518.59282</v>
      </c>
      <c r="F909" t="n">
        <v>4596.05595</v>
      </c>
      <c r="G909" t="n">
        <v>4755.40355</v>
      </c>
      <c r="H909" t="n">
        <v>4792.76972</v>
      </c>
      <c r="Q909" t="n">
        <v>4574.92082</v>
      </c>
      <c r="R909" t="n">
        <v>4604.28412</v>
      </c>
      <c r="S909" t="n">
        <v>4630.87289</v>
      </c>
      <c r="V909" t="n">
        <v>4539.98105</v>
      </c>
      <c r="W909" t="n">
        <v>4506.41606</v>
      </c>
      <c r="AB909" t="n">
        <v>4635.23039</v>
      </c>
      <c r="AC909" t="n">
        <v>4635.4438</v>
      </c>
      <c r="AD909" t="n">
        <v>1</v>
      </c>
      <c r="AE909">
        <f>AE908+1</f>
        <v/>
      </c>
      <c r="AF909">
        <f>AF908+1</f>
        <v/>
      </c>
      <c r="AG909">
        <f>D909-Q909</f>
        <v/>
      </c>
      <c r="AH909">
        <f>AG909^2</f>
        <v/>
      </c>
      <c r="AI909">
        <f>(AG909/STDEV($AG$3:$AG$1137))^3</f>
        <v/>
      </c>
      <c r="AJ909">
        <f>(AG909/STDEV($AG$3:$AG$1137))^4</f>
        <v/>
      </c>
      <c r="AK909">
        <f>AF909^2</f>
        <v/>
      </c>
      <c r="AL909">
        <f>IF(AD909=1,AB909,IF(AL908&lt;&gt;"",AL908,""))</f>
        <v/>
      </c>
      <c r="AM909">
        <f>IF(AND(AD909=1,AL908&lt;&gt;""),ABS(AB909-AL908),"")</f>
        <v/>
      </c>
    </row>
    <row r="910">
      <c r="A910" t="n">
        <v>1777549502</v>
      </c>
      <c r="B910" t="inlineStr">
        <is>
          <t>XAUUSD</t>
        </is>
      </c>
      <c r="C910" t="inlineStr">
        <is>
          <t>M15</t>
        </is>
      </c>
      <c r="D910" t="n">
        <v>4630.21</v>
      </c>
      <c r="E910" t="n">
        <v>4518.59282</v>
      </c>
      <c r="F910" t="n">
        <v>4596.05595</v>
      </c>
      <c r="G910" t="n">
        <v>4755.40355</v>
      </c>
      <c r="H910" t="n">
        <v>4792.76972</v>
      </c>
      <c r="Q910" t="n">
        <v>4574.65322</v>
      </c>
      <c r="R910" t="n">
        <v>4604.01652</v>
      </c>
      <c r="S910" t="n">
        <v>4630.60529</v>
      </c>
      <c r="V910" t="n">
        <v>4539.71345</v>
      </c>
      <c r="W910" t="n">
        <v>4506.14845</v>
      </c>
      <c r="AB910" t="n">
        <v>4634.58541</v>
      </c>
      <c r="AC910" t="n">
        <v>4635.01461</v>
      </c>
      <c r="AD910" t="n">
        <v>0</v>
      </c>
      <c r="AE910">
        <f>AE909+1</f>
        <v/>
      </c>
      <c r="AF910">
        <f>AF909+1</f>
        <v/>
      </c>
      <c r="AG910">
        <f>D910-Q910</f>
        <v/>
      </c>
      <c r="AH910">
        <f>AG910^2</f>
        <v/>
      </c>
      <c r="AI910">
        <f>(AG910/STDEV($AG$3:$AG$1137))^3</f>
        <v/>
      </c>
      <c r="AJ910">
        <f>(AG910/STDEV($AG$3:$AG$1137))^4</f>
        <v/>
      </c>
      <c r="AK910">
        <f>AF910^2</f>
        <v/>
      </c>
      <c r="AL910">
        <f>IF(AD910=1,AB910,IF(AL909&lt;&gt;"",AL909,""))</f>
        <v/>
      </c>
      <c r="AM910">
        <f>IF(AND(AD910=1,AL909&lt;&gt;""),ABS(AB910-AL909),"")</f>
        <v/>
      </c>
    </row>
    <row r="911">
      <c r="A911" t="n">
        <v>1777550402</v>
      </c>
      <c r="B911" t="inlineStr">
        <is>
          <t>XAUUSD</t>
        </is>
      </c>
      <c r="C911" t="inlineStr">
        <is>
          <t>M15</t>
        </is>
      </c>
      <c r="D911" t="n">
        <v>4635.81</v>
      </c>
      <c r="E911" t="n">
        <v>4518.59282</v>
      </c>
      <c r="F911" t="n">
        <v>4596.05595</v>
      </c>
      <c r="G911" t="n">
        <v>4755.40355</v>
      </c>
      <c r="H911" t="n">
        <v>4792.76972</v>
      </c>
      <c r="Q911" t="n">
        <v>4574.38561</v>
      </c>
      <c r="R911" t="n">
        <v>4603.74891</v>
      </c>
      <c r="S911" t="n">
        <v>4630.33768</v>
      </c>
      <c r="V911" t="n">
        <v>4539.44584</v>
      </c>
      <c r="W911" t="n">
        <v>4505.88085</v>
      </c>
      <c r="AB911" t="n">
        <v>4634.04899</v>
      </c>
      <c r="AC911" t="n">
        <v>4634.5318</v>
      </c>
      <c r="AD911" t="n">
        <v>0</v>
      </c>
      <c r="AE911">
        <f>AE910+1</f>
        <v/>
      </c>
      <c r="AF911">
        <f>AF910+1</f>
        <v/>
      </c>
      <c r="AG911">
        <f>D911-Q911</f>
        <v/>
      </c>
      <c r="AH911">
        <f>AG911^2</f>
        <v/>
      </c>
      <c r="AI911">
        <f>(AG911/STDEV($AG$3:$AG$1137))^3</f>
        <v/>
      </c>
      <c r="AJ911">
        <f>(AG911/STDEV($AG$3:$AG$1137))^4</f>
        <v/>
      </c>
      <c r="AK911">
        <f>AF911^2</f>
        <v/>
      </c>
      <c r="AL911">
        <f>IF(AD911=1,AB911,IF(AL910&lt;&gt;"",AL910,""))</f>
        <v/>
      </c>
      <c r="AM911">
        <f>IF(AND(AD911=1,AL910&lt;&gt;""),ABS(AB911-AL910),"")</f>
        <v/>
      </c>
    </row>
    <row r="912">
      <c r="A912" t="n">
        <v>1777551302</v>
      </c>
      <c r="B912" t="inlineStr">
        <is>
          <t>XAUUSD</t>
        </is>
      </c>
      <c r="C912" t="inlineStr">
        <is>
          <t>M15</t>
        </is>
      </c>
      <c r="D912" t="n">
        <v>4630.51</v>
      </c>
      <c r="E912" t="n">
        <v>4518.59282</v>
      </c>
      <c r="F912" t="n">
        <v>4596.05595</v>
      </c>
      <c r="G912" t="n">
        <v>4755.40355</v>
      </c>
      <c r="H912" t="n">
        <v>4792.76972</v>
      </c>
      <c r="Q912" t="n">
        <v>4574.11801</v>
      </c>
      <c r="R912" t="n">
        <v>4603.48131</v>
      </c>
      <c r="S912" t="n">
        <v>4630.07008</v>
      </c>
      <c r="V912" t="n">
        <v>4539.17824</v>
      </c>
      <c r="W912" t="n">
        <v>4505.61324</v>
      </c>
      <c r="AB912" t="n">
        <v>4633.43639</v>
      </c>
      <c r="AC912" t="n">
        <v>4633.98409</v>
      </c>
      <c r="AD912" t="n">
        <v>0</v>
      </c>
      <c r="AE912">
        <f>AE911+1</f>
        <v/>
      </c>
      <c r="AF912">
        <f>AF911+1</f>
        <v/>
      </c>
      <c r="AG912">
        <f>D912-Q912</f>
        <v/>
      </c>
      <c r="AH912">
        <f>AG912^2</f>
        <v/>
      </c>
      <c r="AI912">
        <f>(AG912/STDEV($AG$3:$AG$1137))^3</f>
        <v/>
      </c>
      <c r="AJ912">
        <f>(AG912/STDEV($AG$3:$AG$1137))^4</f>
        <v/>
      </c>
      <c r="AK912">
        <f>AF912^2</f>
        <v/>
      </c>
      <c r="AL912">
        <f>IF(AD912=1,AB912,IF(AL911&lt;&gt;"",AL911,""))</f>
        <v/>
      </c>
      <c r="AM912">
        <f>IF(AND(AD912=1,AL911&lt;&gt;""),ABS(AB912-AL911),"")</f>
        <v/>
      </c>
    </row>
    <row r="913">
      <c r="A913" t="n">
        <v>1777552202</v>
      </c>
      <c r="B913" t="inlineStr">
        <is>
          <t>XAUUSD</t>
        </is>
      </c>
      <c r="C913" t="inlineStr">
        <is>
          <t>M15</t>
        </is>
      </c>
      <c r="D913" t="n">
        <v>4625.92</v>
      </c>
      <c r="E913" t="n">
        <v>4518.59282</v>
      </c>
      <c r="F913" t="n">
        <v>4596.05595</v>
      </c>
      <c r="G913" t="n">
        <v>4755.40355</v>
      </c>
      <c r="H913" t="n">
        <v>4792.76972</v>
      </c>
      <c r="Q913" t="n">
        <v>4573.85041</v>
      </c>
      <c r="R913" t="n">
        <v>4603.2137</v>
      </c>
      <c r="S913" t="n">
        <v>4629.80248</v>
      </c>
      <c r="V913" t="n">
        <v>4538.91064</v>
      </c>
      <c r="W913" t="n">
        <v>4505.34564</v>
      </c>
      <c r="AB913" t="n">
        <v>4632.80607</v>
      </c>
      <c r="AC913" t="n">
        <v>4633.39508</v>
      </c>
      <c r="AD913" t="n">
        <v>0</v>
      </c>
      <c r="AE913">
        <f>AE912+1</f>
        <v/>
      </c>
      <c r="AF913">
        <f>AF912+1</f>
        <v/>
      </c>
      <c r="AG913">
        <f>D913-Q913</f>
        <v/>
      </c>
      <c r="AH913">
        <f>AG913^2</f>
        <v/>
      </c>
      <c r="AI913">
        <f>(AG913/STDEV($AG$3:$AG$1137))^3</f>
        <v/>
      </c>
      <c r="AJ913">
        <f>(AG913/STDEV($AG$3:$AG$1137))^4</f>
        <v/>
      </c>
      <c r="AK913">
        <f>AF913^2</f>
        <v/>
      </c>
      <c r="AL913">
        <f>IF(AD913=1,AB913,IF(AL912&lt;&gt;"",AL912,""))</f>
        <v/>
      </c>
      <c r="AM913">
        <f>IF(AND(AD913=1,AL912&lt;&gt;""),ABS(AB913-AL912),"")</f>
        <v/>
      </c>
    </row>
    <row r="914">
      <c r="A914" t="n">
        <v>1777553102</v>
      </c>
      <c r="B914" t="inlineStr">
        <is>
          <t>XAUUSD</t>
        </is>
      </c>
      <c r="C914" t="inlineStr">
        <is>
          <t>M15</t>
        </is>
      </c>
      <c r="D914" t="n">
        <v>4639.57</v>
      </c>
      <c r="E914" t="n">
        <v>4518.59282</v>
      </c>
      <c r="F914" t="n">
        <v>4596.05595</v>
      </c>
      <c r="G914" t="n">
        <v>4755.40355</v>
      </c>
      <c r="H914" t="n">
        <v>4792.76972</v>
      </c>
      <c r="Q914" t="n">
        <v>4573.5828</v>
      </c>
      <c r="R914" t="n">
        <v>4602.9461</v>
      </c>
      <c r="S914" t="n">
        <v>4629.53487</v>
      </c>
      <c r="V914" t="n">
        <v>4538.64303</v>
      </c>
      <c r="W914" t="n">
        <v>4505.07804</v>
      </c>
      <c r="AB914" t="n">
        <v>4632.1084</v>
      </c>
      <c r="AC914" t="n">
        <v>4632.75174</v>
      </c>
      <c r="AD914" t="n">
        <v>0</v>
      </c>
      <c r="AE914">
        <f>AE913+1</f>
        <v/>
      </c>
      <c r="AF914">
        <f>AF913+1</f>
        <v/>
      </c>
      <c r="AG914">
        <f>D914-Q914</f>
        <v/>
      </c>
      <c r="AH914">
        <f>AG914^2</f>
        <v/>
      </c>
      <c r="AI914">
        <f>(AG914/STDEV($AG$3:$AG$1137))^3</f>
        <v/>
      </c>
      <c r="AJ914">
        <f>(AG914/STDEV($AG$3:$AG$1137))^4</f>
        <v/>
      </c>
      <c r="AK914">
        <f>AF914^2</f>
        <v/>
      </c>
      <c r="AL914">
        <f>IF(AD914=1,AB914,IF(AL913&lt;&gt;"",AL913,""))</f>
        <v/>
      </c>
      <c r="AM914">
        <f>IF(AND(AD914=1,AL913&lt;&gt;""),ABS(AB914-AL913),"")</f>
        <v/>
      </c>
    </row>
    <row r="915">
      <c r="A915" t="n">
        <v>1777554002</v>
      </c>
      <c r="B915" t="inlineStr">
        <is>
          <t>XAUUSD</t>
        </is>
      </c>
      <c r="C915" t="inlineStr">
        <is>
          <t>M15</t>
        </is>
      </c>
      <c r="D915" t="n">
        <v>4641.5</v>
      </c>
      <c r="E915" t="n">
        <v>4518.59282</v>
      </c>
      <c r="F915" t="n">
        <v>4596.05595</v>
      </c>
      <c r="G915" t="n">
        <v>4755.40355</v>
      </c>
      <c r="H915" t="n">
        <v>4792.76972</v>
      </c>
      <c r="Q915" t="n">
        <v>4573.3152</v>
      </c>
      <c r="R915" t="n">
        <v>4602.6785</v>
      </c>
      <c r="S915" t="n">
        <v>4629.26727</v>
      </c>
      <c r="V915" t="n">
        <v>4538.37543</v>
      </c>
      <c r="W915" t="n">
        <v>4504.81043</v>
      </c>
      <c r="AB915" t="n">
        <v>4630.81082</v>
      </c>
      <c r="AC915" t="n">
        <v>4631.78128</v>
      </c>
      <c r="AD915" t="n">
        <v>0</v>
      </c>
      <c r="AE915">
        <f>AE914+1</f>
        <v/>
      </c>
      <c r="AF915">
        <f>AF914+1</f>
        <v/>
      </c>
      <c r="AG915">
        <f>D915-Q915</f>
        <v/>
      </c>
      <c r="AH915">
        <f>AG915^2</f>
        <v/>
      </c>
      <c r="AI915">
        <f>(AG915/STDEV($AG$3:$AG$1137))^3</f>
        <v/>
      </c>
      <c r="AJ915">
        <f>(AG915/STDEV($AG$3:$AG$1137))^4</f>
        <v/>
      </c>
      <c r="AK915">
        <f>AF915^2</f>
        <v/>
      </c>
      <c r="AL915">
        <f>IF(AD915=1,AB915,IF(AL914&lt;&gt;"",AL914,""))</f>
        <v/>
      </c>
      <c r="AM915">
        <f>IF(AND(AD915=1,AL914&lt;&gt;""),ABS(AB915-AL914),"")</f>
        <v/>
      </c>
    </row>
    <row r="916">
      <c r="A916" t="n">
        <v>1777554902</v>
      </c>
      <c r="B916" t="inlineStr">
        <is>
          <t>XAUUSD</t>
        </is>
      </c>
      <c r="C916" t="inlineStr">
        <is>
          <t>M15</t>
        </is>
      </c>
      <c r="D916" t="n">
        <v>4633.5</v>
      </c>
      <c r="E916" t="n">
        <v>4518.59282</v>
      </c>
      <c r="F916" t="n">
        <v>4596.05595</v>
      </c>
      <c r="G916" t="n">
        <v>4755.40355</v>
      </c>
      <c r="H916" t="n">
        <v>4792.76972</v>
      </c>
      <c r="Q916" t="n">
        <v>4573.04759</v>
      </c>
      <c r="R916" t="n">
        <v>4602.41089</v>
      </c>
      <c r="S916" t="n">
        <v>4628.99966</v>
      </c>
      <c r="V916" t="n">
        <v>4538.10782</v>
      </c>
      <c r="W916" t="n">
        <v>4504.54283</v>
      </c>
      <c r="AB916" t="n">
        <v>4628.8019</v>
      </c>
      <c r="AC916" t="n">
        <v>4630.29159</v>
      </c>
      <c r="AD916" t="n">
        <v>0</v>
      </c>
      <c r="AE916">
        <f>AE915+1</f>
        <v/>
      </c>
      <c r="AF916">
        <f>AF915+1</f>
        <v/>
      </c>
      <c r="AG916">
        <f>D916-Q916</f>
        <v/>
      </c>
      <c r="AH916">
        <f>AG916^2</f>
        <v/>
      </c>
      <c r="AI916">
        <f>(AG916/STDEV($AG$3:$AG$1137))^3</f>
        <v/>
      </c>
      <c r="AJ916">
        <f>(AG916/STDEV($AG$3:$AG$1137))^4</f>
        <v/>
      </c>
      <c r="AK916">
        <f>AF916^2</f>
        <v/>
      </c>
      <c r="AL916">
        <f>IF(AD916=1,AB916,IF(AL915&lt;&gt;"",AL915,""))</f>
        <v/>
      </c>
      <c r="AM916">
        <f>IF(AND(AD916=1,AL915&lt;&gt;""),ABS(AB916-AL915),"")</f>
        <v/>
      </c>
    </row>
    <row r="917">
      <c r="A917" t="n">
        <v>1777555802</v>
      </c>
      <c r="B917" t="inlineStr">
        <is>
          <t>XAUUSD</t>
        </is>
      </c>
      <c r="C917" t="inlineStr">
        <is>
          <t>M15</t>
        </is>
      </c>
      <c r="D917" t="n">
        <v>4625.44</v>
      </c>
      <c r="E917" t="n">
        <v>4518.59282</v>
      </c>
      <c r="F917" t="n">
        <v>4596.05595</v>
      </c>
      <c r="G917" t="n">
        <v>4755.40355</v>
      </c>
      <c r="H917" t="n">
        <v>4792.76972</v>
      </c>
      <c r="Q917" t="n">
        <v>4572.77999</v>
      </c>
      <c r="R917" t="n">
        <v>4602.14329</v>
      </c>
      <c r="S917" t="n">
        <v>4628.73206</v>
      </c>
      <c r="V917" t="n">
        <v>4537.84022</v>
      </c>
      <c r="W917" t="n">
        <v>4504.27522</v>
      </c>
      <c r="AB917" t="n">
        <v>4626.40722</v>
      </c>
      <c r="AC917" t="n">
        <v>4628.3494</v>
      </c>
      <c r="AD917" t="n">
        <v>0</v>
      </c>
      <c r="AE917">
        <f>AE916+1</f>
        <v/>
      </c>
      <c r="AF917">
        <f>AF916+1</f>
        <v/>
      </c>
      <c r="AG917">
        <f>D917-Q917</f>
        <v/>
      </c>
      <c r="AH917">
        <f>AG917^2</f>
        <v/>
      </c>
      <c r="AI917">
        <f>(AG917/STDEV($AG$3:$AG$1137))^3</f>
        <v/>
      </c>
      <c r="AJ917">
        <f>(AG917/STDEV($AG$3:$AG$1137))^4</f>
        <v/>
      </c>
      <c r="AK917">
        <f>AF917^2</f>
        <v/>
      </c>
      <c r="AL917">
        <f>IF(AD917=1,AB917,IF(AL916&lt;&gt;"",AL916,""))</f>
        <v/>
      </c>
      <c r="AM917">
        <f>IF(AND(AD917=1,AL916&lt;&gt;""),ABS(AB917-AL916),"")</f>
        <v/>
      </c>
    </row>
    <row r="918">
      <c r="A918" t="n">
        <v>1777556702</v>
      </c>
      <c r="B918" t="inlineStr">
        <is>
          <t>XAUUSD</t>
        </is>
      </c>
      <c r="C918" t="inlineStr">
        <is>
          <t>M15</t>
        </is>
      </c>
      <c r="D918" t="n">
        <v>4610.99</v>
      </c>
      <c r="E918" t="n">
        <v>4518.59282</v>
      </c>
      <c r="F918" t="n">
        <v>4596.05595</v>
      </c>
      <c r="G918" t="n">
        <v>4755.40355</v>
      </c>
      <c r="H918" t="n">
        <v>4792.76972</v>
      </c>
      <c r="Q918" t="n">
        <v>4572.51239</v>
      </c>
      <c r="R918" t="n">
        <v>4601.87568</v>
      </c>
      <c r="S918" t="n">
        <v>4628.46446</v>
      </c>
      <c r="V918" t="n">
        <v>4537.57262</v>
      </c>
      <c r="W918" t="n">
        <v>4504.00762</v>
      </c>
      <c r="AB918" t="n">
        <v>4624.03612</v>
      </c>
      <c r="AC918" t="n">
        <v>4626.19276</v>
      </c>
      <c r="AD918" t="n">
        <v>0</v>
      </c>
      <c r="AE918">
        <f>AE917+1</f>
        <v/>
      </c>
      <c r="AF918">
        <f>AF917+1</f>
        <v/>
      </c>
      <c r="AG918">
        <f>D918-Q918</f>
        <v/>
      </c>
      <c r="AH918">
        <f>AG918^2</f>
        <v/>
      </c>
      <c r="AI918">
        <f>(AG918/STDEV($AG$3:$AG$1137))^3</f>
        <v/>
      </c>
      <c r="AJ918">
        <f>(AG918/STDEV($AG$3:$AG$1137))^4</f>
        <v/>
      </c>
      <c r="AK918">
        <f>AF918^2</f>
        <v/>
      </c>
      <c r="AL918">
        <f>IF(AD918=1,AB918,IF(AL917&lt;&gt;"",AL917,""))</f>
        <v/>
      </c>
      <c r="AM918">
        <f>IF(AND(AD918=1,AL917&lt;&gt;""),ABS(AB918-AL917),"")</f>
        <v/>
      </c>
    </row>
    <row r="919">
      <c r="A919" t="n">
        <v>1777557602</v>
      </c>
      <c r="B919" t="inlineStr">
        <is>
          <t>XAUUSD</t>
        </is>
      </c>
      <c r="C919" t="inlineStr">
        <is>
          <t>M15</t>
        </is>
      </c>
      <c r="D919" t="n">
        <v>4620.39</v>
      </c>
      <c r="E919" t="n">
        <v>4518.59282</v>
      </c>
      <c r="F919" t="n">
        <v>4596.05595</v>
      </c>
      <c r="G919" t="n">
        <v>4755.40355</v>
      </c>
      <c r="H919" t="n">
        <v>4792.76972</v>
      </c>
      <c r="Q919" t="n">
        <v>4572.24478</v>
      </c>
      <c r="R919" t="n">
        <v>4601.60808</v>
      </c>
      <c r="S919" t="n">
        <v>4628.19685</v>
      </c>
      <c r="V919" t="n">
        <v>4537.30501</v>
      </c>
      <c r="W919" t="n">
        <v>4503.74001</v>
      </c>
      <c r="AB919" t="n">
        <v>4622.27171</v>
      </c>
      <c r="AC919" t="n">
        <v>4624.23224</v>
      </c>
      <c r="AD919" t="n">
        <v>0</v>
      </c>
      <c r="AE919">
        <f>AE918+1</f>
        <v/>
      </c>
      <c r="AF919">
        <f>AF918+1</f>
        <v/>
      </c>
      <c r="AG919">
        <f>D919-Q919</f>
        <v/>
      </c>
      <c r="AH919">
        <f>AG919^2</f>
        <v/>
      </c>
      <c r="AI919">
        <f>(AG919/STDEV($AG$3:$AG$1137))^3</f>
        <v/>
      </c>
      <c r="AJ919">
        <f>(AG919/STDEV($AG$3:$AG$1137))^4</f>
        <v/>
      </c>
      <c r="AK919">
        <f>AF919^2</f>
        <v/>
      </c>
      <c r="AL919">
        <f>IF(AD919=1,AB919,IF(AL918&lt;&gt;"",AL918,""))</f>
        <v/>
      </c>
      <c r="AM919">
        <f>IF(AND(AD919=1,AL918&lt;&gt;""),ABS(AB919-AL918),"")</f>
        <v/>
      </c>
    </row>
    <row r="920">
      <c r="A920" t="n">
        <v>1777558502</v>
      </c>
      <c r="B920" t="inlineStr">
        <is>
          <t>XAUUSD</t>
        </is>
      </c>
      <c r="C920" t="inlineStr">
        <is>
          <t>M15</t>
        </is>
      </c>
      <c r="D920" t="n">
        <v>4622.81</v>
      </c>
      <c r="E920" t="n">
        <v>4518.59282</v>
      </c>
      <c r="F920" t="n">
        <v>4596.05595</v>
      </c>
      <c r="G920" t="n">
        <v>4755.40355</v>
      </c>
      <c r="H920" t="n">
        <v>4792.76972</v>
      </c>
      <c r="Q920" t="n">
        <v>4571.97718</v>
      </c>
      <c r="R920" t="n">
        <v>4601.34048</v>
      </c>
      <c r="S920" t="n">
        <v>4627.92925</v>
      </c>
      <c r="V920" t="n">
        <v>4537.03741</v>
      </c>
      <c r="W920" t="n">
        <v>4503.47241</v>
      </c>
      <c r="AB920" t="n">
        <v>4620.92027</v>
      </c>
      <c r="AC920" t="n">
        <v>4622.57625</v>
      </c>
      <c r="AD920" t="n">
        <v>0</v>
      </c>
      <c r="AE920">
        <f>AE919+1</f>
        <v/>
      </c>
      <c r="AF920">
        <f>AF919+1</f>
        <v/>
      </c>
      <c r="AG920">
        <f>D920-Q920</f>
        <v/>
      </c>
      <c r="AH920">
        <f>AG920^2</f>
        <v/>
      </c>
      <c r="AI920">
        <f>(AG920/STDEV($AG$3:$AG$1137))^3</f>
        <v/>
      </c>
      <c r="AJ920">
        <f>(AG920/STDEV($AG$3:$AG$1137))^4</f>
        <v/>
      </c>
      <c r="AK920">
        <f>AF920^2</f>
        <v/>
      </c>
      <c r="AL920">
        <f>IF(AD920=1,AB920,IF(AL919&lt;&gt;"",AL919,""))</f>
        <v/>
      </c>
      <c r="AM920">
        <f>IF(AND(AD920=1,AL919&lt;&gt;""),ABS(AB920-AL919),"")</f>
        <v/>
      </c>
    </row>
    <row r="921">
      <c r="A921" t="n">
        <v>1777559402</v>
      </c>
      <c r="B921" t="inlineStr">
        <is>
          <t>XAUUSD</t>
        </is>
      </c>
      <c r="C921" t="inlineStr">
        <is>
          <t>M15</t>
        </is>
      </c>
      <c r="D921" t="n">
        <v>4617.7</v>
      </c>
      <c r="E921" t="n">
        <v>4518.59282</v>
      </c>
      <c r="F921" t="n">
        <v>4596.05595</v>
      </c>
      <c r="G921" t="n">
        <v>4755.40355</v>
      </c>
      <c r="H921" t="n">
        <v>4792.76972</v>
      </c>
      <c r="Q921" t="n">
        <v>4571.70957</v>
      </c>
      <c r="R921" t="n">
        <v>4601.07287</v>
      </c>
      <c r="S921" t="n">
        <v>4627.66164</v>
      </c>
      <c r="V921" t="n">
        <v>4536.7698</v>
      </c>
      <c r="W921" t="n">
        <v>4503.20481</v>
      </c>
      <c r="AB921" t="n">
        <v>4619.83949</v>
      </c>
      <c r="AC921" t="n">
        <v>4621.20787</v>
      </c>
      <c r="AD921" t="n">
        <v>0</v>
      </c>
      <c r="AE921">
        <f>AE920+1</f>
        <v/>
      </c>
      <c r="AF921">
        <f>AF920+1</f>
        <v/>
      </c>
      <c r="AG921">
        <f>D921-Q921</f>
        <v/>
      </c>
      <c r="AH921">
        <f>AG921^2</f>
        <v/>
      </c>
      <c r="AI921">
        <f>(AG921/STDEV($AG$3:$AG$1137))^3</f>
        <v/>
      </c>
      <c r="AJ921">
        <f>(AG921/STDEV($AG$3:$AG$1137))^4</f>
        <v/>
      </c>
      <c r="AK921">
        <f>AF921^2</f>
        <v/>
      </c>
      <c r="AL921">
        <f>IF(AD921=1,AB921,IF(AL920&lt;&gt;"",AL920,""))</f>
        <v/>
      </c>
      <c r="AM921">
        <f>IF(AND(AD921=1,AL920&lt;&gt;""),ABS(AB921-AL920),"")</f>
        <v/>
      </c>
    </row>
    <row r="922">
      <c r="A922" t="n">
        <v>1777560302</v>
      </c>
      <c r="B922" t="inlineStr">
        <is>
          <t>XAUUSD</t>
        </is>
      </c>
      <c r="C922" t="inlineStr">
        <is>
          <t>M15</t>
        </is>
      </c>
      <c r="D922" t="n">
        <v>4619.59</v>
      </c>
      <c r="E922" t="n">
        <v>4518.59282</v>
      </c>
      <c r="F922" t="n">
        <v>4596.05595</v>
      </c>
      <c r="G922" t="n">
        <v>4755.40355</v>
      </c>
      <c r="H922" t="n">
        <v>4792.76972</v>
      </c>
      <c r="Q922" t="n">
        <v>4571.44197</v>
      </c>
      <c r="R922" t="n">
        <v>4600.80527</v>
      </c>
      <c r="S922" t="n">
        <v>4627.39404</v>
      </c>
      <c r="V922" t="n">
        <v>4536.5022</v>
      </c>
      <c r="W922" t="n">
        <v>4502.9372</v>
      </c>
      <c r="AB922" t="n">
        <v>4619.02569</v>
      </c>
      <c r="AC922" t="n">
        <v>4620.11678</v>
      </c>
      <c r="AD922" t="n">
        <v>0</v>
      </c>
      <c r="AE922">
        <f>AE921+1</f>
        <v/>
      </c>
      <c r="AF922">
        <f>AF921+1</f>
        <v/>
      </c>
      <c r="AG922">
        <f>D922-Q922</f>
        <v/>
      </c>
      <c r="AH922">
        <f>AG922^2</f>
        <v/>
      </c>
      <c r="AI922">
        <f>(AG922/STDEV($AG$3:$AG$1137))^3</f>
        <v/>
      </c>
      <c r="AJ922">
        <f>(AG922/STDEV($AG$3:$AG$1137))^4</f>
        <v/>
      </c>
      <c r="AK922">
        <f>AF922^2</f>
        <v/>
      </c>
      <c r="AL922">
        <f>IF(AD922=1,AB922,IF(AL921&lt;&gt;"",AL921,""))</f>
        <v/>
      </c>
      <c r="AM922">
        <f>IF(AND(AD922=1,AL921&lt;&gt;""),ABS(AB922-AL921),"")</f>
        <v/>
      </c>
    </row>
    <row r="923">
      <c r="A923" t="n">
        <v>1777561202</v>
      </c>
      <c r="B923" t="inlineStr">
        <is>
          <t>XAUUSD</t>
        </is>
      </c>
      <c r="C923" t="inlineStr">
        <is>
          <t>M15</t>
        </is>
      </c>
      <c r="D923" t="n">
        <v>4620.13</v>
      </c>
      <c r="E923" t="n">
        <v>4518.59282</v>
      </c>
      <c r="F923" t="n">
        <v>4596.05595</v>
      </c>
      <c r="G923" t="n">
        <v>4755.40355</v>
      </c>
      <c r="H923" t="n">
        <v>4792.76972</v>
      </c>
      <c r="Q923" t="n">
        <v>4571.17437</v>
      </c>
      <c r="R923" t="n">
        <v>4600.53766</v>
      </c>
      <c r="S923" t="n">
        <v>4627.12643</v>
      </c>
      <c r="V923" t="n">
        <v>4536.23459</v>
      </c>
      <c r="W923" t="n">
        <v>4502.6696</v>
      </c>
      <c r="AB923" t="n">
        <v>4618.23207</v>
      </c>
      <c r="AC923" t="n">
        <v>4619.17443</v>
      </c>
      <c r="AD923" t="n">
        <v>0</v>
      </c>
      <c r="AE923">
        <f>AE922+1</f>
        <v/>
      </c>
      <c r="AF923">
        <f>AF922+1</f>
        <v/>
      </c>
      <c r="AG923">
        <f>D923-Q923</f>
        <v/>
      </c>
      <c r="AH923">
        <f>AG923^2</f>
        <v/>
      </c>
      <c r="AI923">
        <f>(AG923/STDEV($AG$3:$AG$1137))^3</f>
        <v/>
      </c>
      <c r="AJ923">
        <f>(AG923/STDEV($AG$3:$AG$1137))^4</f>
        <v/>
      </c>
      <c r="AK923">
        <f>AF923^2</f>
        <v/>
      </c>
      <c r="AL923">
        <f>IF(AD923=1,AB923,IF(AL922&lt;&gt;"",AL922,""))</f>
        <v/>
      </c>
      <c r="AM923">
        <f>IF(AND(AD923=1,AL922&lt;&gt;""),ABS(AB923-AL922),"")</f>
        <v/>
      </c>
    </row>
    <row r="924">
      <c r="A924" t="n">
        <v>1777562102</v>
      </c>
      <c r="B924" t="inlineStr">
        <is>
          <t>XAUUSD</t>
        </is>
      </c>
      <c r="C924" t="inlineStr">
        <is>
          <t>M15</t>
        </is>
      </c>
      <c r="D924" t="n">
        <v>4623.09</v>
      </c>
      <c r="E924" t="n">
        <v>4518.59282</v>
      </c>
      <c r="F924" t="n">
        <v>4596.05595</v>
      </c>
      <c r="G924" t="n">
        <v>4755.40355</v>
      </c>
      <c r="H924" t="n">
        <v>4792.76972</v>
      </c>
      <c r="Q924" t="n">
        <v>4570.90676</v>
      </c>
      <c r="R924" t="n">
        <v>4600.27006</v>
      </c>
      <c r="S924" t="n">
        <v>4626.85883</v>
      </c>
      <c r="V924" t="n">
        <v>4535.96699</v>
      </c>
      <c r="W924" t="n">
        <v>4502.40199</v>
      </c>
      <c r="AB924" t="n">
        <v>4617.24817</v>
      </c>
      <c r="AC924" t="n">
        <v>4618.2113</v>
      </c>
      <c r="AD924" t="n">
        <v>0</v>
      </c>
      <c r="AE924">
        <f>AE923+1</f>
        <v/>
      </c>
      <c r="AF924">
        <f>AF923+1</f>
        <v/>
      </c>
      <c r="AG924">
        <f>D924-Q924</f>
        <v/>
      </c>
      <c r="AH924">
        <f>AG924^2</f>
        <v/>
      </c>
      <c r="AI924">
        <f>(AG924/STDEV($AG$3:$AG$1137))^3</f>
        <v/>
      </c>
      <c r="AJ924">
        <f>(AG924/STDEV($AG$3:$AG$1137))^4</f>
        <v/>
      </c>
      <c r="AK924">
        <f>AF924^2</f>
        <v/>
      </c>
      <c r="AL924">
        <f>IF(AD924=1,AB924,IF(AL923&lt;&gt;"",AL923,""))</f>
        <v/>
      </c>
      <c r="AM924">
        <f>IF(AND(AD924=1,AL923&lt;&gt;""),ABS(AB924-AL923),"")</f>
        <v/>
      </c>
    </row>
    <row r="925">
      <c r="A925" t="n">
        <v>1777563002</v>
      </c>
      <c r="B925" t="inlineStr">
        <is>
          <t>XAUUSD</t>
        </is>
      </c>
      <c r="C925" t="inlineStr">
        <is>
          <t>M15</t>
        </is>
      </c>
      <c r="D925" t="n">
        <v>4615.65</v>
      </c>
      <c r="E925" t="n">
        <v>4518.59282</v>
      </c>
      <c r="F925" t="n">
        <v>4596.05595</v>
      </c>
      <c r="G925" t="n">
        <v>4755.40355</v>
      </c>
      <c r="H925" t="n">
        <v>4792.76972</v>
      </c>
      <c r="Q925" t="n">
        <v>4570.63916</v>
      </c>
      <c r="R925" t="n">
        <v>4600.00246</v>
      </c>
      <c r="S925" t="n">
        <v>4626.59123</v>
      </c>
      <c r="V925" t="n">
        <v>4535.69939</v>
      </c>
      <c r="W925" t="n">
        <v>4502.13439</v>
      </c>
      <c r="AB925" t="n">
        <v>4615.89207</v>
      </c>
      <c r="AC925" t="n">
        <v>4617.05168</v>
      </c>
      <c r="AD925" t="n">
        <v>0</v>
      </c>
      <c r="AE925">
        <f>AE924+1</f>
        <v/>
      </c>
      <c r="AF925">
        <f>AF924+1</f>
        <v/>
      </c>
      <c r="AG925">
        <f>D925-Q925</f>
        <v/>
      </c>
      <c r="AH925">
        <f>AG925^2</f>
        <v/>
      </c>
      <c r="AI925">
        <f>(AG925/STDEV($AG$3:$AG$1137))^3</f>
        <v/>
      </c>
      <c r="AJ925">
        <f>(AG925/STDEV($AG$3:$AG$1137))^4</f>
        <v/>
      </c>
      <c r="AK925">
        <f>AF925^2</f>
        <v/>
      </c>
      <c r="AL925">
        <f>IF(AD925=1,AB925,IF(AL924&lt;&gt;"",AL924,""))</f>
        <v/>
      </c>
      <c r="AM925">
        <f>IF(AND(AD925=1,AL924&lt;&gt;""),ABS(AB925-AL924),"")</f>
        <v/>
      </c>
    </row>
    <row r="926">
      <c r="A926" t="n">
        <v>1777563902</v>
      </c>
      <c r="B926" t="inlineStr">
        <is>
          <t>XAUUSD</t>
        </is>
      </c>
      <c r="C926" t="inlineStr">
        <is>
          <t>M15</t>
        </is>
      </c>
      <c r="D926" t="n">
        <v>4615.35</v>
      </c>
      <c r="E926" t="n">
        <v>4518.59282</v>
      </c>
      <c r="F926" t="n">
        <v>4596.05595</v>
      </c>
      <c r="G926" t="n">
        <v>4755.40355</v>
      </c>
      <c r="H926" t="n">
        <v>4792.76972</v>
      </c>
      <c r="Q926" t="n">
        <v>4570.37155</v>
      </c>
      <c r="R926" t="n">
        <v>4599.73485</v>
      </c>
      <c r="S926" t="n">
        <v>4626.32362</v>
      </c>
      <c r="V926" t="n">
        <v>4535.43178</v>
      </c>
      <c r="W926" t="n">
        <v>4501.86679</v>
      </c>
      <c r="AB926" t="n">
        <v>4614.35706</v>
      </c>
      <c r="AC926" t="n">
        <v>4615.70437</v>
      </c>
      <c r="AD926" t="n">
        <v>0</v>
      </c>
      <c r="AE926">
        <f>AE925+1</f>
        <v/>
      </c>
      <c r="AF926">
        <f>AF925+1</f>
        <v/>
      </c>
      <c r="AG926">
        <f>D926-Q926</f>
        <v/>
      </c>
      <c r="AH926">
        <f>AG926^2</f>
        <v/>
      </c>
      <c r="AI926">
        <f>(AG926/STDEV($AG$3:$AG$1137))^3</f>
        <v/>
      </c>
      <c r="AJ926">
        <f>(AG926/STDEV($AG$3:$AG$1137))^4</f>
        <v/>
      </c>
      <c r="AK926">
        <f>AF926^2</f>
        <v/>
      </c>
      <c r="AL926">
        <f>IF(AD926=1,AB926,IF(AL925&lt;&gt;"",AL925,""))</f>
        <v/>
      </c>
      <c r="AM926">
        <f>IF(AND(AD926=1,AL925&lt;&gt;""),ABS(AB926-AL925),"")</f>
        <v/>
      </c>
    </row>
    <row r="927">
      <c r="A927" t="n">
        <v>1777564802</v>
      </c>
      <c r="B927" t="inlineStr">
        <is>
          <t>XAUUSD</t>
        </is>
      </c>
      <c r="C927" t="inlineStr">
        <is>
          <t>M15</t>
        </is>
      </c>
      <c r="D927" t="n">
        <v>4611.63</v>
      </c>
      <c r="E927" t="n">
        <v>4518.59282</v>
      </c>
      <c r="F927" t="n">
        <v>4596.05595</v>
      </c>
      <c r="G927" t="n">
        <v>4755.40355</v>
      </c>
      <c r="H927" t="n">
        <v>4792.76972</v>
      </c>
      <c r="Q927" t="n">
        <v>4570.10395</v>
      </c>
      <c r="R927" t="n">
        <v>4599.46725</v>
      </c>
      <c r="S927" t="n">
        <v>4626.05602</v>
      </c>
      <c r="V927" t="n">
        <v>4535.16418</v>
      </c>
      <c r="W927" t="n">
        <v>4501.59918</v>
      </c>
      <c r="AB927" t="n">
        <v>4612.79631</v>
      </c>
      <c r="AC927" t="n">
        <v>4614.25034</v>
      </c>
      <c r="AD927" t="n">
        <v>0</v>
      </c>
      <c r="AE927">
        <f>AE926+1</f>
        <v/>
      </c>
      <c r="AF927">
        <f>AF926+1</f>
        <v/>
      </c>
      <c r="AG927">
        <f>D927-Q927</f>
        <v/>
      </c>
      <c r="AH927">
        <f>AG927^2</f>
        <v/>
      </c>
      <c r="AI927">
        <f>(AG927/STDEV($AG$3:$AG$1137))^3</f>
        <v/>
      </c>
      <c r="AJ927">
        <f>(AG927/STDEV($AG$3:$AG$1137))^4</f>
        <v/>
      </c>
      <c r="AK927">
        <f>AF927^2</f>
        <v/>
      </c>
      <c r="AL927">
        <f>IF(AD927=1,AB927,IF(AL926&lt;&gt;"",AL926,""))</f>
        <v/>
      </c>
      <c r="AM927">
        <f>IF(AND(AD927=1,AL926&lt;&gt;""),ABS(AB927-AL926),"")</f>
        <v/>
      </c>
    </row>
    <row r="928">
      <c r="A928" t="n">
        <v>1777565702</v>
      </c>
      <c r="B928" t="inlineStr">
        <is>
          <t>XAUUSD</t>
        </is>
      </c>
      <c r="C928" t="inlineStr">
        <is>
          <t>M15</t>
        </is>
      </c>
      <c r="D928" t="n">
        <v>4608.08</v>
      </c>
      <c r="E928" t="n">
        <v>4518.59282</v>
      </c>
      <c r="F928" t="n">
        <v>4596.05595</v>
      </c>
      <c r="G928" t="n">
        <v>4755.40355</v>
      </c>
      <c r="H928" t="n">
        <v>4792.76972</v>
      </c>
      <c r="Q928" t="n">
        <v>4569.83634</v>
      </c>
      <c r="R928" t="n">
        <v>4599.19964</v>
      </c>
      <c r="S928" t="n">
        <v>4625.78841</v>
      </c>
      <c r="V928" t="n">
        <v>4534.89657</v>
      </c>
      <c r="W928" t="n">
        <v>4501.33158</v>
      </c>
      <c r="AB928" t="n">
        <v>4611.55884</v>
      </c>
      <c r="AC928" t="n">
        <v>4612.90459</v>
      </c>
      <c r="AD928" t="n">
        <v>0</v>
      </c>
      <c r="AE928">
        <f>AE927+1</f>
        <v/>
      </c>
      <c r="AF928">
        <f>AF927+1</f>
        <v/>
      </c>
      <c r="AG928">
        <f>D928-Q928</f>
        <v/>
      </c>
      <c r="AH928">
        <f>AG928^2</f>
        <v/>
      </c>
      <c r="AI928">
        <f>(AG928/STDEV($AG$3:$AG$1137))^3</f>
        <v/>
      </c>
      <c r="AJ928">
        <f>(AG928/STDEV($AG$3:$AG$1137))^4</f>
        <v/>
      </c>
      <c r="AK928">
        <f>AF928^2</f>
        <v/>
      </c>
      <c r="AL928">
        <f>IF(AD928=1,AB928,IF(AL927&lt;&gt;"",AL927,""))</f>
        <v/>
      </c>
      <c r="AM928">
        <f>IF(AND(AD928=1,AL927&lt;&gt;""),ABS(AB928-AL927),"")</f>
        <v/>
      </c>
    </row>
    <row r="929">
      <c r="A929" t="n">
        <v>1777566602</v>
      </c>
      <c r="B929" t="inlineStr">
        <is>
          <t>XAUUSD</t>
        </is>
      </c>
      <c r="C929" t="inlineStr">
        <is>
          <t>M15</t>
        </is>
      </c>
      <c r="D929" t="n">
        <v>4609.12</v>
      </c>
      <c r="E929" t="n">
        <v>4518.59282</v>
      </c>
      <c r="F929" t="n">
        <v>4596.05595</v>
      </c>
      <c r="G929" t="n">
        <v>4755.40355</v>
      </c>
      <c r="H929" t="n">
        <v>4792.76972</v>
      </c>
      <c r="Q929" t="n">
        <v>4569.56874</v>
      </c>
      <c r="R929" t="n">
        <v>4598.93204</v>
      </c>
      <c r="S929" t="n">
        <v>4625.52081</v>
      </c>
      <c r="V929" t="n">
        <v>4534.62897</v>
      </c>
      <c r="W929" t="n">
        <v>4501.06397</v>
      </c>
      <c r="AB929" t="n">
        <v>4610.99644</v>
      </c>
      <c r="AC929" t="n">
        <v>4611.95051</v>
      </c>
      <c r="AD929" t="n">
        <v>0</v>
      </c>
      <c r="AE929">
        <f>AE928+1</f>
        <v/>
      </c>
      <c r="AF929">
        <f>AF928+1</f>
        <v/>
      </c>
      <c r="AG929">
        <f>D929-Q929</f>
        <v/>
      </c>
      <c r="AH929">
        <f>AG929^2</f>
        <v/>
      </c>
      <c r="AI929">
        <f>(AG929/STDEV($AG$3:$AG$1137))^3</f>
        <v/>
      </c>
      <c r="AJ929">
        <f>(AG929/STDEV($AG$3:$AG$1137))^4</f>
        <v/>
      </c>
      <c r="AK929">
        <f>AF929^2</f>
        <v/>
      </c>
      <c r="AL929">
        <f>IF(AD929=1,AB929,IF(AL928&lt;&gt;"",AL928,""))</f>
        <v/>
      </c>
      <c r="AM929">
        <f>IF(AND(AD929=1,AL928&lt;&gt;""),ABS(AB929-AL928),"")</f>
        <v/>
      </c>
    </row>
    <row r="930">
      <c r="A930" t="n">
        <v>1777567502</v>
      </c>
      <c r="B930" t="inlineStr">
        <is>
          <t>XAUUSD</t>
        </is>
      </c>
      <c r="C930" t="inlineStr">
        <is>
          <t>M15</t>
        </is>
      </c>
      <c r="D930" t="n">
        <v>4607.62</v>
      </c>
      <c r="E930" t="n">
        <v>4518.59282</v>
      </c>
      <c r="F930" t="n">
        <v>4596.05595</v>
      </c>
      <c r="G930" t="n">
        <v>4755.40355</v>
      </c>
      <c r="H930" t="n">
        <v>4792.76972</v>
      </c>
      <c r="Q930" t="n">
        <v>4569.30114</v>
      </c>
      <c r="R930" t="n">
        <v>4598.66444</v>
      </c>
      <c r="S930" t="n">
        <v>4625.25321</v>
      </c>
      <c r="V930" t="n">
        <v>4534.36137</v>
      </c>
      <c r="W930" t="n">
        <v>4500.79637</v>
      </c>
      <c r="AA930" t="n">
        <v>4605.56</v>
      </c>
      <c r="AB930" t="n">
        <v>4611.26795</v>
      </c>
      <c r="AC930" t="n">
        <v>4611.60923</v>
      </c>
      <c r="AD930" t="n">
        <v>0</v>
      </c>
      <c r="AE930">
        <f>AE929+1</f>
        <v/>
      </c>
      <c r="AF930">
        <f>AF929+1</f>
        <v/>
      </c>
      <c r="AG930">
        <f>D930-Q930</f>
        <v/>
      </c>
      <c r="AH930">
        <f>AG930^2</f>
        <v/>
      </c>
      <c r="AI930">
        <f>(AG930/STDEV($AG$3:$AG$1137))^3</f>
        <v/>
      </c>
      <c r="AJ930">
        <f>(AG930/STDEV($AG$3:$AG$1137))^4</f>
        <v/>
      </c>
      <c r="AK930">
        <f>AF930^2</f>
        <v/>
      </c>
      <c r="AL930">
        <f>IF(AD930=1,AB930,IF(AL929&lt;&gt;"",AL929,""))</f>
        <v/>
      </c>
      <c r="AM930">
        <f>IF(AND(AD930=1,AL929&lt;&gt;""),ABS(AB930-AL929),"")</f>
        <v/>
      </c>
    </row>
    <row r="931">
      <c r="A931" t="n">
        <v>1777568402</v>
      </c>
      <c r="B931" t="inlineStr">
        <is>
          <t>XAUUSD</t>
        </is>
      </c>
      <c r="C931" t="inlineStr">
        <is>
          <t>M15</t>
        </is>
      </c>
      <c r="D931" t="n">
        <v>4615.95</v>
      </c>
      <c r="E931" t="n">
        <v>4518.59282</v>
      </c>
      <c r="F931" t="n">
        <v>4596.05595</v>
      </c>
      <c r="G931" t="n">
        <v>4755.40355</v>
      </c>
      <c r="H931" t="n">
        <v>4792.76972</v>
      </c>
      <c r="Q931" t="n">
        <v>4569.03353</v>
      </c>
      <c r="R931" t="n">
        <v>4598.39683</v>
      </c>
      <c r="S931" t="n">
        <v>4624.9856</v>
      </c>
      <c r="V931" t="n">
        <v>4534.09376</v>
      </c>
      <c r="W931" t="n">
        <v>4500.52877</v>
      </c>
      <c r="AB931" t="n">
        <v>4612.47026</v>
      </c>
      <c r="AC931" t="n">
        <v>4612.03975</v>
      </c>
      <c r="AD931" t="n">
        <v>1</v>
      </c>
      <c r="AE931">
        <f>AE930+1</f>
        <v/>
      </c>
      <c r="AF931">
        <f>AF930+1</f>
        <v/>
      </c>
      <c r="AG931">
        <f>D931-Q931</f>
        <v/>
      </c>
      <c r="AH931">
        <f>AG931^2</f>
        <v/>
      </c>
      <c r="AI931">
        <f>(AG931/STDEV($AG$3:$AG$1137))^3</f>
        <v/>
      </c>
      <c r="AJ931">
        <f>(AG931/STDEV($AG$3:$AG$1137))^4</f>
        <v/>
      </c>
      <c r="AK931">
        <f>AF931^2</f>
        <v/>
      </c>
      <c r="AL931">
        <f>IF(AD931=1,AB931,IF(AL930&lt;&gt;"",AL930,""))</f>
        <v/>
      </c>
      <c r="AM931">
        <f>IF(AND(AD931=1,AL930&lt;&gt;""),ABS(AB931-AL930),"")</f>
        <v/>
      </c>
    </row>
    <row r="932">
      <c r="A932" t="n">
        <v>1777569302</v>
      </c>
      <c r="B932" t="inlineStr">
        <is>
          <t>XAUUSD</t>
        </is>
      </c>
      <c r="C932" t="inlineStr">
        <is>
          <t>M15</t>
        </is>
      </c>
      <c r="D932" t="n">
        <v>4618</v>
      </c>
      <c r="E932" t="n">
        <v>4518.59282</v>
      </c>
      <c r="F932" t="n">
        <v>4596.05595</v>
      </c>
      <c r="G932" t="n">
        <v>4755.40355</v>
      </c>
      <c r="H932" t="n">
        <v>4792.76972</v>
      </c>
      <c r="Q932" t="n">
        <v>4568.76593</v>
      </c>
      <c r="R932" t="n">
        <v>4598.12923</v>
      </c>
      <c r="S932" t="n">
        <v>4624.718</v>
      </c>
      <c r="V932" t="n">
        <v>4533.82616</v>
      </c>
      <c r="W932" t="n">
        <v>4500.26116</v>
      </c>
      <c r="AB932" t="n">
        <v>4614.29549</v>
      </c>
      <c r="AC932" t="n">
        <v>4613.16762</v>
      </c>
      <c r="AD932" t="n">
        <v>0</v>
      </c>
      <c r="AE932">
        <f>AE931+1</f>
        <v/>
      </c>
      <c r="AF932">
        <f>AF931+1</f>
        <v/>
      </c>
      <c r="AG932">
        <f>D932-Q932</f>
        <v/>
      </c>
      <c r="AH932">
        <f>AG932^2</f>
        <v/>
      </c>
      <c r="AI932">
        <f>(AG932/STDEV($AG$3:$AG$1137))^3</f>
        <v/>
      </c>
      <c r="AJ932">
        <f>(AG932/STDEV($AG$3:$AG$1137))^4</f>
        <v/>
      </c>
      <c r="AK932">
        <f>AF932^2</f>
        <v/>
      </c>
      <c r="AL932">
        <f>IF(AD932=1,AB932,IF(AL931&lt;&gt;"",AL931,""))</f>
        <v/>
      </c>
      <c r="AM932">
        <f>IF(AND(AD932=1,AL931&lt;&gt;""),ABS(AB932-AL931),"")</f>
        <v/>
      </c>
    </row>
    <row r="933">
      <c r="A933" t="n">
        <v>1777570202</v>
      </c>
      <c r="B933" t="inlineStr">
        <is>
          <t>XAUUSD</t>
        </is>
      </c>
      <c r="C933" t="inlineStr">
        <is>
          <t>M15</t>
        </is>
      </c>
      <c r="D933" t="n">
        <v>4617.86</v>
      </c>
      <c r="E933" t="n">
        <v>4518.59282</v>
      </c>
      <c r="F933" t="n">
        <v>4596.05595</v>
      </c>
      <c r="G933" t="n">
        <v>4755.40355</v>
      </c>
      <c r="H933" t="n">
        <v>4792.76972</v>
      </c>
      <c r="Q933" t="n">
        <v>4568.49832</v>
      </c>
      <c r="R933" t="n">
        <v>4597.86162</v>
      </c>
      <c r="S933" t="n">
        <v>4624.45039</v>
      </c>
      <c r="V933" t="n">
        <v>4533.55855</v>
      </c>
      <c r="W933" t="n">
        <v>4499.99356</v>
      </c>
      <c r="AB933" t="n">
        <v>4616.46912</v>
      </c>
      <c r="AC933" t="n">
        <v>4614.81837</v>
      </c>
      <c r="AD933" t="n">
        <v>0</v>
      </c>
      <c r="AE933">
        <f>AE932+1</f>
        <v/>
      </c>
      <c r="AF933">
        <f>AF932+1</f>
        <v/>
      </c>
      <c r="AG933">
        <f>D933-Q933</f>
        <v/>
      </c>
      <c r="AH933">
        <f>AG933^2</f>
        <v/>
      </c>
      <c r="AI933">
        <f>(AG933/STDEV($AG$3:$AG$1137))^3</f>
        <v/>
      </c>
      <c r="AJ933">
        <f>(AG933/STDEV($AG$3:$AG$1137))^4</f>
        <v/>
      </c>
      <c r="AK933">
        <f>AF933^2</f>
        <v/>
      </c>
      <c r="AL933">
        <f>IF(AD933=1,AB933,IF(AL932&lt;&gt;"",AL932,""))</f>
        <v/>
      </c>
      <c r="AM933">
        <f>IF(AND(AD933=1,AL932&lt;&gt;""),ABS(AB933-AL932),"")</f>
        <v/>
      </c>
    </row>
    <row r="934">
      <c r="A934" t="n">
        <v>1777571102</v>
      </c>
      <c r="B934" t="inlineStr">
        <is>
          <t>XAUUSD</t>
        </is>
      </c>
      <c r="C934" t="inlineStr">
        <is>
          <t>M15</t>
        </is>
      </c>
      <c r="D934" t="n">
        <v>4616.86</v>
      </c>
      <c r="E934" t="n">
        <v>4518.59282</v>
      </c>
      <c r="F934" t="n">
        <v>4596.05595</v>
      </c>
      <c r="G934" t="n">
        <v>4755.40355</v>
      </c>
      <c r="H934" t="n">
        <v>4792.76972</v>
      </c>
      <c r="Q934" t="n">
        <v>4568.23072</v>
      </c>
      <c r="R934" t="n">
        <v>4597.59402</v>
      </c>
      <c r="S934" t="n">
        <v>4624.18279</v>
      </c>
      <c r="V934" t="n">
        <v>4533.29095</v>
      </c>
      <c r="W934" t="n">
        <v>4499.72595</v>
      </c>
      <c r="AB934" t="n">
        <v>4618.69063</v>
      </c>
      <c r="AC934" t="n">
        <v>4616.7545</v>
      </c>
      <c r="AD934" t="n">
        <v>0</v>
      </c>
      <c r="AE934">
        <f>AE933+1</f>
        <v/>
      </c>
      <c r="AF934">
        <f>AF933+1</f>
        <v/>
      </c>
      <c r="AG934">
        <f>D934-Q934</f>
        <v/>
      </c>
      <c r="AH934">
        <f>AG934^2</f>
        <v/>
      </c>
      <c r="AI934">
        <f>(AG934/STDEV($AG$3:$AG$1137))^3</f>
        <v/>
      </c>
      <c r="AJ934">
        <f>(AG934/STDEV($AG$3:$AG$1137))^4</f>
        <v/>
      </c>
      <c r="AK934">
        <f>AF934^2</f>
        <v/>
      </c>
      <c r="AL934">
        <f>IF(AD934=1,AB934,IF(AL933&lt;&gt;"",AL933,""))</f>
        <v/>
      </c>
      <c r="AM934">
        <f>IF(AND(AD934=1,AL933&lt;&gt;""),ABS(AB934-AL933),"")</f>
        <v/>
      </c>
    </row>
    <row r="935">
      <c r="A935" t="n">
        <v>1777572002</v>
      </c>
      <c r="B935" t="inlineStr">
        <is>
          <t>XAUUSD</t>
        </is>
      </c>
      <c r="C935" t="inlineStr">
        <is>
          <t>M15</t>
        </is>
      </c>
      <c r="D935" t="n">
        <v>4620.57</v>
      </c>
      <c r="E935" t="n">
        <v>4518.59282</v>
      </c>
      <c r="F935" t="n">
        <v>4596.05595</v>
      </c>
      <c r="G935" t="n">
        <v>4755.40355</v>
      </c>
      <c r="H935" t="n">
        <v>4792.76972</v>
      </c>
      <c r="Q935" t="n">
        <v>4567.96312</v>
      </c>
      <c r="R935" t="n">
        <v>4597.32641</v>
      </c>
      <c r="S935" t="n">
        <v>4623.91519</v>
      </c>
      <c r="V935" t="n">
        <v>4533.02335</v>
      </c>
      <c r="W935" t="n">
        <v>4499.45835</v>
      </c>
      <c r="AB935" t="n">
        <v>4620.65316</v>
      </c>
      <c r="AC935" t="n">
        <v>4618.70383</v>
      </c>
      <c r="AD935" t="n">
        <v>0</v>
      </c>
      <c r="AE935">
        <f>AE934+1</f>
        <v/>
      </c>
      <c r="AF935">
        <f>AF934+1</f>
        <v/>
      </c>
      <c r="AG935">
        <f>D935-Q935</f>
        <v/>
      </c>
      <c r="AH935">
        <f>AG935^2</f>
        <v/>
      </c>
      <c r="AI935">
        <f>(AG935/STDEV($AG$3:$AG$1137))^3</f>
        <v/>
      </c>
      <c r="AJ935">
        <f>(AG935/STDEV($AG$3:$AG$1137))^4</f>
        <v/>
      </c>
      <c r="AK935">
        <f>AF935^2</f>
        <v/>
      </c>
      <c r="AL935">
        <f>IF(AD935=1,AB935,IF(AL934&lt;&gt;"",AL934,""))</f>
        <v/>
      </c>
      <c r="AM935">
        <f>IF(AND(AD935=1,AL934&lt;&gt;""),ABS(AB935-AL934),"")</f>
        <v/>
      </c>
    </row>
    <row r="936">
      <c r="A936" t="n">
        <v>1777572902</v>
      </c>
      <c r="B936" t="inlineStr">
        <is>
          <t>XAUUSD</t>
        </is>
      </c>
      <c r="C936" t="inlineStr">
        <is>
          <t>M15</t>
        </is>
      </c>
      <c r="D936" t="n">
        <v>4620.79</v>
      </c>
      <c r="E936" t="n">
        <v>4518.59282</v>
      </c>
      <c r="F936" t="n">
        <v>4596.05595</v>
      </c>
      <c r="G936" t="n">
        <v>4755.40355</v>
      </c>
      <c r="H936" t="n">
        <v>4792.76972</v>
      </c>
      <c r="Q936" t="n">
        <v>4567.69551</v>
      </c>
      <c r="R936" t="n">
        <v>4597.05881</v>
      </c>
      <c r="S936" t="n">
        <v>4623.64758</v>
      </c>
      <c r="V936" t="n">
        <v>4532.75574</v>
      </c>
      <c r="W936" t="n">
        <v>4499.19075</v>
      </c>
      <c r="AB936" t="n">
        <v>4622.00271</v>
      </c>
      <c r="AC936" t="n">
        <v>4620.35327</v>
      </c>
      <c r="AD936" t="n">
        <v>0</v>
      </c>
      <c r="AE936">
        <f>AE935+1</f>
        <v/>
      </c>
      <c r="AF936">
        <f>AF935+1</f>
        <v/>
      </c>
      <c r="AG936">
        <f>D936-Q936</f>
        <v/>
      </c>
      <c r="AH936">
        <f>AG936^2</f>
        <v/>
      </c>
      <c r="AI936">
        <f>(AG936/STDEV($AG$3:$AG$1137))^3</f>
        <v/>
      </c>
      <c r="AJ936">
        <f>(AG936/STDEV($AG$3:$AG$1137))^4</f>
        <v/>
      </c>
      <c r="AK936">
        <f>AF936^2</f>
        <v/>
      </c>
      <c r="AL936">
        <f>IF(AD936=1,AB936,IF(AL935&lt;&gt;"",AL935,""))</f>
        <v/>
      </c>
      <c r="AM936">
        <f>IF(AND(AD936=1,AL935&lt;&gt;""),ABS(AB936-AL935),"")</f>
        <v/>
      </c>
    </row>
    <row r="937">
      <c r="A937" t="n">
        <v>1777573802</v>
      </c>
      <c r="B937" t="inlineStr">
        <is>
          <t>XAUUSD</t>
        </is>
      </c>
      <c r="C937" t="inlineStr">
        <is>
          <t>M15</t>
        </is>
      </c>
      <c r="D937" t="n">
        <v>4620.7</v>
      </c>
      <c r="E937" t="n">
        <v>4518.59282</v>
      </c>
      <c r="F937" t="n">
        <v>4596.05595</v>
      </c>
      <c r="G937" t="n">
        <v>4755.40355</v>
      </c>
      <c r="H937" t="n">
        <v>4792.76972</v>
      </c>
      <c r="Q937" t="n">
        <v>4567.42791</v>
      </c>
      <c r="R937" t="n">
        <v>4596.79121</v>
      </c>
      <c r="S937" t="n">
        <v>4623.37998</v>
      </c>
      <c r="V937" t="n">
        <v>4532.48814</v>
      </c>
      <c r="W937" t="n">
        <v>4498.92314</v>
      </c>
      <c r="AB937" t="n">
        <v>4622.56406</v>
      </c>
      <c r="AC937" t="n">
        <v>4621.45866</v>
      </c>
      <c r="AD937" t="n">
        <v>0</v>
      </c>
      <c r="AE937">
        <f>AE936+1</f>
        <v/>
      </c>
      <c r="AF937">
        <f>AF936+1</f>
        <v/>
      </c>
      <c r="AG937">
        <f>D937-Q937</f>
        <v/>
      </c>
      <c r="AH937">
        <f>AG937^2</f>
        <v/>
      </c>
      <c r="AI937">
        <f>(AG937/STDEV($AG$3:$AG$1137))^3</f>
        <v/>
      </c>
      <c r="AJ937">
        <f>(AG937/STDEV($AG$3:$AG$1137))^4</f>
        <v/>
      </c>
      <c r="AK937">
        <f>AF937^2</f>
        <v/>
      </c>
      <c r="AL937">
        <f>IF(AD937=1,AB937,IF(AL936&lt;&gt;"",AL936,""))</f>
        <v/>
      </c>
      <c r="AM937">
        <f>IF(AND(AD937=1,AL936&lt;&gt;""),ABS(AB937-AL936),"")</f>
        <v/>
      </c>
    </row>
    <row r="938">
      <c r="A938" t="n">
        <v>1777574702</v>
      </c>
      <c r="B938" t="inlineStr">
        <is>
          <t>XAUUSD</t>
        </is>
      </c>
      <c r="C938" t="inlineStr">
        <is>
          <t>M15</t>
        </is>
      </c>
      <c r="D938" t="n">
        <v>4622.48</v>
      </c>
      <c r="E938" t="n">
        <v>4518.59282</v>
      </c>
      <c r="F938" t="n">
        <v>4596.05595</v>
      </c>
      <c r="G938" t="n">
        <v>4755.40355</v>
      </c>
      <c r="H938" t="n">
        <v>4792.76972</v>
      </c>
      <c r="Q938" t="n">
        <v>4567.1603</v>
      </c>
      <c r="R938" t="n">
        <v>4596.5236</v>
      </c>
      <c r="S938" t="n">
        <v>4623.11237</v>
      </c>
      <c r="V938" t="n">
        <v>4532.22053</v>
      </c>
      <c r="W938" t="n">
        <v>4498.65554</v>
      </c>
      <c r="AB938" t="n">
        <v>4622.31167</v>
      </c>
      <c r="AC938" t="n">
        <v>4621.88517</v>
      </c>
      <c r="AD938" t="n">
        <v>0</v>
      </c>
      <c r="AE938">
        <f>AE937+1</f>
        <v/>
      </c>
      <c r="AF938">
        <f>AF937+1</f>
        <v/>
      </c>
      <c r="AG938">
        <f>D938-Q938</f>
        <v/>
      </c>
      <c r="AH938">
        <f>AG938^2</f>
        <v/>
      </c>
      <c r="AI938">
        <f>(AG938/STDEV($AG$3:$AG$1137))^3</f>
        <v/>
      </c>
      <c r="AJ938">
        <f>(AG938/STDEV($AG$3:$AG$1137))^4</f>
        <v/>
      </c>
      <c r="AK938">
        <f>AF938^2</f>
        <v/>
      </c>
      <c r="AL938">
        <f>IF(AD938=1,AB938,IF(AL937&lt;&gt;"",AL937,""))</f>
        <v/>
      </c>
      <c r="AM938">
        <f>IF(AND(AD938=1,AL937&lt;&gt;""),ABS(AB938-AL937),"")</f>
        <v/>
      </c>
    </row>
    <row r="939">
      <c r="A939" t="n">
        <v>1777575602</v>
      </c>
      <c r="B939" t="inlineStr">
        <is>
          <t>XAUUSD</t>
        </is>
      </c>
      <c r="C939" t="inlineStr">
        <is>
          <t>M15</t>
        </is>
      </c>
      <c r="D939" t="n">
        <v>4624.33</v>
      </c>
      <c r="E939" t="n">
        <v>4518.59282</v>
      </c>
      <c r="F939" t="n">
        <v>4596.05595</v>
      </c>
      <c r="G939" t="n">
        <v>4755.40355</v>
      </c>
      <c r="H939" t="n">
        <v>4792.76972</v>
      </c>
      <c r="Q939" t="n">
        <v>4566.8927</v>
      </c>
      <c r="R939" t="n">
        <v>4596.256</v>
      </c>
      <c r="S939" t="n">
        <v>4622.84477</v>
      </c>
      <c r="V939" t="n">
        <v>4531.95293</v>
      </c>
      <c r="W939" t="n">
        <v>4498.38793</v>
      </c>
      <c r="AB939" t="n">
        <v>4621.3179</v>
      </c>
      <c r="AC939" t="n">
        <v>4621.60153</v>
      </c>
      <c r="AD939" t="n">
        <v>1</v>
      </c>
      <c r="AE939">
        <f>AE938+1</f>
        <v/>
      </c>
      <c r="AF939">
        <f>AF938+1</f>
        <v/>
      </c>
      <c r="AG939">
        <f>D939-Q939</f>
        <v/>
      </c>
      <c r="AH939">
        <f>AG939^2</f>
        <v/>
      </c>
      <c r="AI939">
        <f>(AG939/STDEV($AG$3:$AG$1137))^3</f>
        <v/>
      </c>
      <c r="AJ939">
        <f>(AG939/STDEV($AG$3:$AG$1137))^4</f>
        <v/>
      </c>
      <c r="AK939">
        <f>AF939^2</f>
        <v/>
      </c>
      <c r="AL939">
        <f>IF(AD939=1,AB939,IF(AL938&lt;&gt;"",AL938,""))</f>
        <v/>
      </c>
      <c r="AM939">
        <f>IF(AND(AD939=1,AL938&lt;&gt;""),ABS(AB939-AL938),"")</f>
        <v/>
      </c>
    </row>
    <row r="940">
      <c r="A940" t="n">
        <v>1777576502</v>
      </c>
      <c r="B940" t="inlineStr">
        <is>
          <t>XAUUSD</t>
        </is>
      </c>
      <c r="C940" t="inlineStr">
        <is>
          <t>M15</t>
        </is>
      </c>
      <c r="D940" t="n">
        <v>4617.77</v>
      </c>
      <c r="E940" t="n">
        <v>4518.59282</v>
      </c>
      <c r="F940" t="n">
        <v>4596.05595</v>
      </c>
      <c r="G940" t="n">
        <v>4755.40355</v>
      </c>
      <c r="H940" t="n">
        <v>4792.76972</v>
      </c>
      <c r="Q940" t="n">
        <v>4566.6251</v>
      </c>
      <c r="R940" t="n">
        <v>4595.98839</v>
      </c>
      <c r="S940" t="n">
        <v>4622.57717</v>
      </c>
      <c r="V940" t="n">
        <v>4531.68533</v>
      </c>
      <c r="W940" t="n">
        <v>4498.12033</v>
      </c>
      <c r="AB940" t="n">
        <v>4619.84251</v>
      </c>
      <c r="AC940" t="n">
        <v>4620.72202</v>
      </c>
      <c r="AD940" t="n">
        <v>0</v>
      </c>
      <c r="AE940">
        <f>AE939+1</f>
        <v/>
      </c>
      <c r="AF940">
        <f>AF939+1</f>
        <v/>
      </c>
      <c r="AG940">
        <f>D940-Q940</f>
        <v/>
      </c>
      <c r="AH940">
        <f>AG940^2</f>
        <v/>
      </c>
      <c r="AI940">
        <f>(AG940/STDEV($AG$3:$AG$1137))^3</f>
        <v/>
      </c>
      <c r="AJ940">
        <f>(AG940/STDEV($AG$3:$AG$1137))^4</f>
        <v/>
      </c>
      <c r="AK940">
        <f>AF940^2</f>
        <v/>
      </c>
      <c r="AL940">
        <f>IF(AD940=1,AB940,IF(AL939&lt;&gt;"",AL939,""))</f>
        <v/>
      </c>
      <c r="AM940">
        <f>IF(AND(AD940=1,AL939&lt;&gt;""),ABS(AB940-AL939),"")</f>
        <v/>
      </c>
    </row>
    <row r="941">
      <c r="A941" t="n">
        <v>1777577402</v>
      </c>
      <c r="B941" t="inlineStr">
        <is>
          <t>XAUUSD</t>
        </is>
      </c>
      <c r="C941" t="inlineStr">
        <is>
          <t>M15</t>
        </is>
      </c>
      <c r="D941" t="n">
        <v>4622.49</v>
      </c>
      <c r="E941" t="n">
        <v>4518.59282</v>
      </c>
      <c r="F941" t="n">
        <v>4596.05595</v>
      </c>
      <c r="G941" t="n">
        <v>4755.40355</v>
      </c>
      <c r="H941" t="n">
        <v>4792.76972</v>
      </c>
      <c r="Q941" t="n">
        <v>4566.35749</v>
      </c>
      <c r="R941" t="n">
        <v>4595.72079</v>
      </c>
      <c r="S941" t="n">
        <v>4622.30956</v>
      </c>
      <c r="V941" t="n">
        <v>4531.41772</v>
      </c>
      <c r="W941" t="n">
        <v>4497.85273</v>
      </c>
      <c r="AB941" t="n">
        <v>4618.46841</v>
      </c>
      <c r="AC941" t="n">
        <v>4619.59522</v>
      </c>
      <c r="AD941" t="n">
        <v>0</v>
      </c>
      <c r="AE941">
        <f>AE940+1</f>
        <v/>
      </c>
      <c r="AF941">
        <f>AF940+1</f>
        <v/>
      </c>
      <c r="AG941">
        <f>D941-Q941</f>
        <v/>
      </c>
      <c r="AH941">
        <f>AG941^2</f>
        <v/>
      </c>
      <c r="AI941">
        <f>(AG941/STDEV($AG$3:$AG$1137))^3</f>
        <v/>
      </c>
      <c r="AJ941">
        <f>(AG941/STDEV($AG$3:$AG$1137))^4</f>
        <v/>
      </c>
      <c r="AK941">
        <f>AF941^2</f>
        <v/>
      </c>
      <c r="AL941">
        <f>IF(AD941=1,AB941,IF(AL940&lt;&gt;"",AL940,""))</f>
        <v/>
      </c>
      <c r="AM941">
        <f>IF(AND(AD941=1,AL940&lt;&gt;""),ABS(AB941-AL940),"")</f>
        <v/>
      </c>
    </row>
    <row r="942">
      <c r="A942" t="n">
        <v>1777578302</v>
      </c>
      <c r="B942" t="inlineStr">
        <is>
          <t>XAUUSD</t>
        </is>
      </c>
      <c r="C942" t="inlineStr">
        <is>
          <t>M15</t>
        </is>
      </c>
      <c r="D942" t="n">
        <v>4617.07</v>
      </c>
      <c r="E942" t="n">
        <v>4518.59282</v>
      </c>
      <c r="F942" t="n">
        <v>4596.05595</v>
      </c>
      <c r="G942" t="n">
        <v>4755.40355</v>
      </c>
      <c r="H942" t="n">
        <v>4792.76972</v>
      </c>
      <c r="Q942" t="n">
        <v>4566.08989</v>
      </c>
      <c r="R942" t="n">
        <v>4595.45319</v>
      </c>
      <c r="S942" t="n">
        <v>4622.04196</v>
      </c>
      <c r="V942" t="n">
        <v>4531.15012</v>
      </c>
      <c r="W942" t="n">
        <v>4497.58512</v>
      </c>
      <c r="AB942" t="n">
        <v>4617.48319</v>
      </c>
      <c r="AC942" t="n">
        <v>4618.5392</v>
      </c>
      <c r="AD942" t="n">
        <v>0</v>
      </c>
      <c r="AE942">
        <f>AE941+1</f>
        <v/>
      </c>
      <c r="AF942">
        <f>AF941+1</f>
        <v/>
      </c>
      <c r="AG942">
        <f>D942-Q942</f>
        <v/>
      </c>
      <c r="AH942">
        <f>AG942^2</f>
        <v/>
      </c>
      <c r="AI942">
        <f>(AG942/STDEV($AG$3:$AG$1137))^3</f>
        <v/>
      </c>
      <c r="AJ942">
        <f>(AG942/STDEV($AG$3:$AG$1137))^4</f>
        <v/>
      </c>
      <c r="AK942">
        <f>AF942^2</f>
        <v/>
      </c>
      <c r="AL942">
        <f>IF(AD942=1,AB942,IF(AL941&lt;&gt;"",AL941,""))</f>
        <v/>
      </c>
      <c r="AM942">
        <f>IF(AND(AD942=1,AL941&lt;&gt;""),ABS(AB942-AL941),"")</f>
        <v/>
      </c>
    </row>
    <row r="943">
      <c r="A943" t="n">
        <v>1777579202</v>
      </c>
      <c r="B943" t="inlineStr">
        <is>
          <t>XAUUSD</t>
        </is>
      </c>
      <c r="C943" t="inlineStr">
        <is>
          <t>M15</t>
        </is>
      </c>
      <c r="D943" t="n">
        <v>4616.16</v>
      </c>
      <c r="E943" t="n">
        <v>4518.59282</v>
      </c>
      <c r="F943" t="n">
        <v>4596.05595</v>
      </c>
      <c r="G943" t="n">
        <v>4755.40355</v>
      </c>
      <c r="H943" t="n">
        <v>4792.76972</v>
      </c>
      <c r="Q943" t="n">
        <v>4565.82228</v>
      </c>
      <c r="R943" t="n">
        <v>4595.18558</v>
      </c>
      <c r="S943" t="n">
        <v>4621.77435</v>
      </c>
      <c r="V943" t="n">
        <v>4530.88251</v>
      </c>
      <c r="W943" t="n">
        <v>4497.31752</v>
      </c>
      <c r="AB943" t="n">
        <v>4617.39455</v>
      </c>
      <c r="AC943" t="n">
        <v>4617.96688</v>
      </c>
      <c r="AD943" t="n">
        <v>0</v>
      </c>
      <c r="AE943">
        <f>AE942+1</f>
        <v/>
      </c>
      <c r="AF943">
        <f>AF942+1</f>
        <v/>
      </c>
      <c r="AG943">
        <f>D943-Q943</f>
        <v/>
      </c>
      <c r="AH943">
        <f>AG943^2</f>
        <v/>
      </c>
      <c r="AI943">
        <f>(AG943/STDEV($AG$3:$AG$1137))^3</f>
        <v/>
      </c>
      <c r="AJ943">
        <f>(AG943/STDEV($AG$3:$AG$1137))^4</f>
        <v/>
      </c>
      <c r="AK943">
        <f>AF943^2</f>
        <v/>
      </c>
      <c r="AL943">
        <f>IF(AD943=1,AB943,IF(AL942&lt;&gt;"",AL942,""))</f>
        <v/>
      </c>
      <c r="AM943">
        <f>IF(AND(AD943=1,AL942&lt;&gt;""),ABS(AB943-AL942),"")</f>
        <v/>
      </c>
    </row>
    <row r="944">
      <c r="A944" t="n">
        <v>1777580102</v>
      </c>
      <c r="B944" t="inlineStr">
        <is>
          <t>XAUUSD</t>
        </is>
      </c>
      <c r="C944" t="inlineStr">
        <is>
          <t>M15</t>
        </is>
      </c>
      <c r="D944" t="n">
        <v>4616.72</v>
      </c>
      <c r="E944" t="n">
        <v>4518.59282</v>
      </c>
      <c r="F944" t="n">
        <v>4596.05595</v>
      </c>
      <c r="G944" t="n">
        <v>4755.40355</v>
      </c>
      <c r="H944" t="n">
        <v>4792.76972</v>
      </c>
      <c r="Q944" t="n">
        <v>4565.55468</v>
      </c>
      <c r="R944" t="n">
        <v>4594.91798</v>
      </c>
      <c r="S944" t="n">
        <v>4621.50675</v>
      </c>
      <c r="V944" t="n">
        <v>4530.61491</v>
      </c>
      <c r="W944" t="n">
        <v>4497.04991</v>
      </c>
      <c r="AB944" t="n">
        <v>4618.42066</v>
      </c>
      <c r="AC944" t="n">
        <v>4618.19377</v>
      </c>
      <c r="AD944" t="n">
        <v>1</v>
      </c>
      <c r="AE944">
        <f>AE943+1</f>
        <v/>
      </c>
      <c r="AF944">
        <f>AF943+1</f>
        <v/>
      </c>
      <c r="AG944">
        <f>D944-Q944</f>
        <v/>
      </c>
      <c r="AH944">
        <f>AG944^2</f>
        <v/>
      </c>
      <c r="AI944">
        <f>(AG944/STDEV($AG$3:$AG$1137))^3</f>
        <v/>
      </c>
      <c r="AJ944">
        <f>(AG944/STDEV($AG$3:$AG$1137))^4</f>
        <v/>
      </c>
      <c r="AK944">
        <f>AF944^2</f>
        <v/>
      </c>
      <c r="AL944">
        <f>IF(AD944=1,AB944,IF(AL943&lt;&gt;"",AL943,""))</f>
        <v/>
      </c>
      <c r="AM944">
        <f>IF(AND(AD944=1,AL943&lt;&gt;""),ABS(AB944-AL943),"")</f>
        <v/>
      </c>
    </row>
    <row r="945">
      <c r="A945" t="n">
        <v>1777581002</v>
      </c>
      <c r="B945" t="inlineStr">
        <is>
          <t>XAUUSD</t>
        </is>
      </c>
      <c r="C945" t="inlineStr">
        <is>
          <t>M15</t>
        </is>
      </c>
      <c r="D945" t="n">
        <v>4617.33</v>
      </c>
      <c r="E945" t="n">
        <v>4518.59282</v>
      </c>
      <c r="F945" t="n">
        <v>4596.05595</v>
      </c>
      <c r="G945" t="n">
        <v>4755.40355</v>
      </c>
      <c r="H945" t="n">
        <v>4792.76972</v>
      </c>
      <c r="Q945" t="n">
        <v>4565.28708</v>
      </c>
      <c r="R945" t="n">
        <v>4594.65037</v>
      </c>
      <c r="S945" t="n">
        <v>4621.23914</v>
      </c>
      <c r="V945" t="n">
        <v>4530.3473</v>
      </c>
      <c r="W945" t="n">
        <v>4496.78231</v>
      </c>
      <c r="AB945" t="n">
        <v>4620.48777</v>
      </c>
      <c r="AC945" t="n">
        <v>4619.34077</v>
      </c>
      <c r="AD945" t="n">
        <v>0</v>
      </c>
      <c r="AE945">
        <f>AE944+1</f>
        <v/>
      </c>
      <c r="AF945">
        <f>AF944+1</f>
        <v/>
      </c>
      <c r="AG945">
        <f>D945-Q945</f>
        <v/>
      </c>
      <c r="AH945">
        <f>AG945^2</f>
        <v/>
      </c>
      <c r="AI945">
        <f>(AG945/STDEV($AG$3:$AG$1137))^3</f>
        <v/>
      </c>
      <c r="AJ945">
        <f>(AG945/STDEV($AG$3:$AG$1137))^4</f>
        <v/>
      </c>
      <c r="AK945">
        <f>AF945^2</f>
        <v/>
      </c>
      <c r="AL945">
        <f>IF(AD945=1,AB945,IF(AL944&lt;&gt;"",AL944,""))</f>
        <v/>
      </c>
      <c r="AM945">
        <f>IF(AND(AD945=1,AL944&lt;&gt;""),ABS(AB945-AL944),"")</f>
        <v/>
      </c>
    </row>
    <row r="946">
      <c r="A946" t="n">
        <v>1777581902</v>
      </c>
      <c r="B946" t="inlineStr">
        <is>
          <t>XAUUSD</t>
        </is>
      </c>
      <c r="C946" t="inlineStr">
        <is>
          <t>M15</t>
        </is>
      </c>
      <c r="D946" t="n">
        <v>4621.81</v>
      </c>
      <c r="E946" t="n">
        <v>4518.59282</v>
      </c>
      <c r="F946" t="n">
        <v>4596.05595</v>
      </c>
      <c r="G946" t="n">
        <v>4755.40355</v>
      </c>
      <c r="H946" t="n">
        <v>4792.76972</v>
      </c>
      <c r="Q946" t="n">
        <v>4565.01947</v>
      </c>
      <c r="R946" t="n">
        <v>4594.38277</v>
      </c>
      <c r="S946" t="n">
        <v>4620.97154</v>
      </c>
      <c r="V946" t="n">
        <v>4530.0797</v>
      </c>
      <c r="W946" t="n">
        <v>4496.5147</v>
      </c>
      <c r="AB946" t="n">
        <v>4623.32065</v>
      </c>
      <c r="AC946" t="n">
        <v>4621.33071</v>
      </c>
      <c r="AD946" t="n">
        <v>0</v>
      </c>
      <c r="AE946">
        <f>AE945+1</f>
        <v/>
      </c>
      <c r="AF946">
        <f>AF945+1</f>
        <v/>
      </c>
      <c r="AG946">
        <f>D946-Q946</f>
        <v/>
      </c>
      <c r="AH946">
        <f>AG946^2</f>
        <v/>
      </c>
      <c r="AI946">
        <f>(AG946/STDEV($AG$3:$AG$1137))^3</f>
        <v/>
      </c>
      <c r="AJ946">
        <f>(AG946/STDEV($AG$3:$AG$1137))^4</f>
        <v/>
      </c>
      <c r="AK946">
        <f>AF946^2</f>
        <v/>
      </c>
      <c r="AL946">
        <f>IF(AD946=1,AB946,IF(AL945&lt;&gt;"",AL945,""))</f>
        <v/>
      </c>
      <c r="AM946">
        <f>IF(AND(AD946=1,AL945&lt;&gt;""),ABS(AB946-AL945),"")</f>
        <v/>
      </c>
    </row>
    <row r="947">
      <c r="A947" t="n">
        <v>1777586402</v>
      </c>
      <c r="B947" t="inlineStr">
        <is>
          <t>XAUUSD</t>
        </is>
      </c>
      <c r="C947" t="inlineStr">
        <is>
          <t>M15</t>
        </is>
      </c>
      <c r="D947" t="n">
        <v>4631.38</v>
      </c>
      <c r="E947" t="n">
        <v>4518.59282</v>
      </c>
      <c r="F947" t="n">
        <v>4596.05595</v>
      </c>
      <c r="G947" t="n">
        <v>4755.40355</v>
      </c>
      <c r="H947" t="n">
        <v>4792.76972</v>
      </c>
      <c r="Q947" t="n">
        <v>4564.75187</v>
      </c>
      <c r="R947" t="n">
        <v>4594.11517</v>
      </c>
      <c r="S947" t="n">
        <v>4620.70394</v>
      </c>
      <c r="V947" t="n">
        <v>4529.8121</v>
      </c>
      <c r="W947" t="n">
        <v>4496.2471</v>
      </c>
      <c r="AB947" t="n">
        <v>4626.42762</v>
      </c>
      <c r="AC947" t="n">
        <v>4623.87917</v>
      </c>
      <c r="AD947" t="n">
        <v>0</v>
      </c>
      <c r="AE947">
        <f>AE946+1</f>
        <v/>
      </c>
      <c r="AF947">
        <f>AF946+1</f>
        <v/>
      </c>
      <c r="AG947">
        <f>D947-Q947</f>
        <v/>
      </c>
      <c r="AH947">
        <f>AG947^2</f>
        <v/>
      </c>
      <c r="AI947">
        <f>(AG947/STDEV($AG$3:$AG$1137))^3</f>
        <v/>
      </c>
      <c r="AJ947">
        <f>(AG947/STDEV($AG$3:$AG$1137))^4</f>
        <v/>
      </c>
      <c r="AK947">
        <f>AF947^2</f>
        <v/>
      </c>
      <c r="AL947">
        <f>IF(AD947=1,AB947,IF(AL946&lt;&gt;"",AL946,""))</f>
        <v/>
      </c>
      <c r="AM947">
        <f>IF(AND(AD947=1,AL946&lt;&gt;""),ABS(AB947-AL946),"")</f>
        <v/>
      </c>
    </row>
    <row r="948">
      <c r="A948" t="n">
        <v>1777587302</v>
      </c>
      <c r="B948" t="inlineStr">
        <is>
          <t>XAUUSD</t>
        </is>
      </c>
      <c r="C948" t="inlineStr">
        <is>
          <t>M15</t>
        </is>
      </c>
      <c r="D948" t="n">
        <v>4631.38</v>
      </c>
      <c r="E948" t="n">
        <v>4518.59282</v>
      </c>
      <c r="F948" t="n">
        <v>4596.05595</v>
      </c>
      <c r="G948" t="n">
        <v>4755.40355</v>
      </c>
      <c r="H948" t="n">
        <v>4792.76972</v>
      </c>
      <c r="Q948" t="n">
        <v>4564.48426</v>
      </c>
      <c r="R948" t="n">
        <v>4593.84756</v>
      </c>
      <c r="S948" t="n">
        <v>4620.43633</v>
      </c>
      <c r="V948" t="n">
        <v>4529.54449</v>
      </c>
      <c r="W948" t="n">
        <v>4495.9795</v>
      </c>
      <c r="AB948" t="n">
        <v>4629.1488</v>
      </c>
      <c r="AC948" t="n">
        <v>4626.51398</v>
      </c>
      <c r="AD948" t="n">
        <v>0</v>
      </c>
      <c r="AE948">
        <f>AE947+1</f>
        <v/>
      </c>
      <c r="AF948">
        <f>AF947+1</f>
        <v/>
      </c>
      <c r="AG948">
        <f>D948-Q948</f>
        <v/>
      </c>
      <c r="AH948">
        <f>AG948^2</f>
        <v/>
      </c>
      <c r="AI948">
        <f>(AG948/STDEV($AG$3:$AG$1137))^3</f>
        <v/>
      </c>
      <c r="AJ948">
        <f>(AG948/STDEV($AG$3:$AG$1137))^4</f>
        <v/>
      </c>
      <c r="AK948">
        <f>AF948^2</f>
        <v/>
      </c>
      <c r="AL948">
        <f>IF(AD948=1,AB948,IF(AL947&lt;&gt;"",AL947,""))</f>
        <v/>
      </c>
      <c r="AM948">
        <f>IF(AND(AD948=1,AL947&lt;&gt;""),ABS(AB948-AL947),"")</f>
        <v/>
      </c>
    </row>
    <row r="949">
      <c r="A949" t="n">
        <v>1777588202</v>
      </c>
      <c r="B949" t="inlineStr">
        <is>
          <t>XAUUSD</t>
        </is>
      </c>
      <c r="C949" t="inlineStr">
        <is>
          <t>M15</t>
        </is>
      </c>
      <c r="D949" t="n">
        <v>4631.75</v>
      </c>
      <c r="E949" t="n">
        <v>4518.59282</v>
      </c>
      <c r="F949" t="n">
        <v>4596.05595</v>
      </c>
      <c r="G949" t="n">
        <v>4755.40355</v>
      </c>
      <c r="H949" t="n">
        <v>4792.76972</v>
      </c>
      <c r="Q949" t="n">
        <v>4564.21666</v>
      </c>
      <c r="R949" t="n">
        <v>4593.57996</v>
      </c>
      <c r="S949" t="n">
        <v>4620.16873</v>
      </c>
      <c r="V949" t="n">
        <v>4529.27689</v>
      </c>
      <c r="W949" t="n">
        <v>4495.71189</v>
      </c>
      <c r="AB949" t="n">
        <v>4631.15873</v>
      </c>
      <c r="AC949" t="n">
        <v>4628.83636</v>
      </c>
      <c r="AD949" t="n">
        <v>0</v>
      </c>
      <c r="AE949">
        <f>AE948+1</f>
        <v/>
      </c>
      <c r="AF949">
        <f>AF948+1</f>
        <v/>
      </c>
      <c r="AG949">
        <f>D949-Q949</f>
        <v/>
      </c>
      <c r="AH949">
        <f>AG949^2</f>
        <v/>
      </c>
      <c r="AI949">
        <f>(AG949/STDEV($AG$3:$AG$1137))^3</f>
        <v/>
      </c>
      <c r="AJ949">
        <f>(AG949/STDEV($AG$3:$AG$1137))^4</f>
        <v/>
      </c>
      <c r="AK949">
        <f>AF949^2</f>
        <v/>
      </c>
      <c r="AL949">
        <f>IF(AD949=1,AB949,IF(AL948&lt;&gt;"",AL948,""))</f>
        <v/>
      </c>
      <c r="AM949">
        <f>IF(AND(AD949=1,AL948&lt;&gt;""),ABS(AB949-AL948),"")</f>
        <v/>
      </c>
    </row>
    <row r="950">
      <c r="A950" t="n">
        <v>1777589102</v>
      </c>
      <c r="B950" t="inlineStr">
        <is>
          <t>XAUUSD</t>
        </is>
      </c>
      <c r="C950" t="inlineStr">
        <is>
          <t>M15</t>
        </is>
      </c>
      <c r="D950" t="n">
        <v>4630.51</v>
      </c>
      <c r="E950" t="n">
        <v>4518.59282</v>
      </c>
      <c r="F950" t="n">
        <v>4596.05595</v>
      </c>
      <c r="G950" t="n">
        <v>4755.40355</v>
      </c>
      <c r="H950" t="n">
        <v>4792.76972</v>
      </c>
      <c r="Q950" t="n">
        <v>4563.94905</v>
      </c>
      <c r="R950" t="n">
        <v>4593.31235</v>
      </c>
      <c r="S950" t="n">
        <v>4619.90112</v>
      </c>
      <c r="V950" t="n">
        <v>4529.00928</v>
      </c>
      <c r="W950" t="n">
        <v>4495.44429</v>
      </c>
      <c r="AB950" t="n">
        <v>4632.1927</v>
      </c>
      <c r="AC950" t="n">
        <v>4630.51453</v>
      </c>
      <c r="AD950" t="n">
        <v>0</v>
      </c>
      <c r="AE950">
        <f>AE949+1</f>
        <v/>
      </c>
      <c r="AF950">
        <f>AF949+1</f>
        <v/>
      </c>
      <c r="AG950">
        <f>D950-Q950</f>
        <v/>
      </c>
      <c r="AH950">
        <f>AG950^2</f>
        <v/>
      </c>
      <c r="AI950">
        <f>(AG950/STDEV($AG$3:$AG$1137))^3</f>
        <v/>
      </c>
      <c r="AJ950">
        <f>(AG950/STDEV($AG$3:$AG$1137))^4</f>
        <v/>
      </c>
      <c r="AK950">
        <f>AF950^2</f>
        <v/>
      </c>
      <c r="AL950">
        <f>IF(AD950=1,AB950,IF(AL949&lt;&gt;"",AL949,""))</f>
        <v/>
      </c>
      <c r="AM950">
        <f>IF(AND(AD950=1,AL949&lt;&gt;""),ABS(AB950-AL949),"")</f>
        <v/>
      </c>
    </row>
    <row r="951">
      <c r="A951" t="n">
        <v>1777590002</v>
      </c>
      <c r="B951" t="inlineStr">
        <is>
          <t>XAUUSD</t>
        </is>
      </c>
      <c r="C951" t="inlineStr">
        <is>
          <t>M15</t>
        </is>
      </c>
      <c r="D951" t="n">
        <v>4630.26</v>
      </c>
      <c r="E951" t="n">
        <v>4518.59282</v>
      </c>
      <c r="F951" t="n">
        <v>4596.05595</v>
      </c>
      <c r="G951" t="n">
        <v>4755.40355</v>
      </c>
      <c r="H951" t="n">
        <v>4792.76972</v>
      </c>
      <c r="Q951" t="n">
        <v>4563.68145</v>
      </c>
      <c r="R951" t="n">
        <v>4593.04475</v>
      </c>
      <c r="S951" t="n">
        <v>4619.63352</v>
      </c>
      <c r="V951" t="n">
        <v>4528.74168</v>
      </c>
      <c r="W951" t="n">
        <v>4495.17668</v>
      </c>
      <c r="AB951" t="n">
        <v>4632.18551</v>
      </c>
      <c r="AC951" t="n">
        <v>4631.35002</v>
      </c>
      <c r="AD951" t="n">
        <v>0</v>
      </c>
      <c r="AE951">
        <f>AE950+1</f>
        <v/>
      </c>
      <c r="AF951">
        <f>AF950+1</f>
        <v/>
      </c>
      <c r="AG951">
        <f>D951-Q951</f>
        <v/>
      </c>
      <c r="AH951">
        <f>AG951^2</f>
        <v/>
      </c>
      <c r="AI951">
        <f>(AG951/STDEV($AG$3:$AG$1137))^3</f>
        <v/>
      </c>
      <c r="AJ951">
        <f>(AG951/STDEV($AG$3:$AG$1137))^4</f>
        <v/>
      </c>
      <c r="AK951">
        <f>AF951^2</f>
        <v/>
      </c>
      <c r="AL951">
        <f>IF(AD951=1,AB951,IF(AL950&lt;&gt;"",AL950,""))</f>
        <v/>
      </c>
      <c r="AM951">
        <f>IF(AND(AD951=1,AL950&lt;&gt;""),ABS(AB951-AL950),"")</f>
        <v/>
      </c>
    </row>
    <row r="952">
      <c r="A952" t="n">
        <v>1777590902</v>
      </c>
      <c r="B952" t="inlineStr">
        <is>
          <t>XAUUSD</t>
        </is>
      </c>
      <c r="C952" t="inlineStr">
        <is>
          <t>M15</t>
        </is>
      </c>
      <c r="D952" t="n">
        <v>4630.75</v>
      </c>
      <c r="E952" t="n">
        <v>4518.59282</v>
      </c>
      <c r="F952" t="n">
        <v>4596.05595</v>
      </c>
      <c r="G952" t="n">
        <v>4755.40355</v>
      </c>
      <c r="H952" t="n">
        <v>4792.76972</v>
      </c>
      <c r="Q952" t="n">
        <v>4563.41385</v>
      </c>
      <c r="R952" t="n">
        <v>4592.77715</v>
      </c>
      <c r="S952" t="n">
        <v>4619.36592</v>
      </c>
      <c r="V952" t="n">
        <v>4528.47408</v>
      </c>
      <c r="W952" t="n">
        <v>4494.90908</v>
      </c>
      <c r="AB952" t="n">
        <v>4631.18623</v>
      </c>
      <c r="AC952" t="n">
        <v>4631.26813</v>
      </c>
      <c r="AD952" t="n">
        <v>1</v>
      </c>
      <c r="AE952">
        <f>AE951+1</f>
        <v/>
      </c>
      <c r="AF952">
        <f>AF951+1</f>
        <v/>
      </c>
      <c r="AG952">
        <f>D952-Q952</f>
        <v/>
      </c>
      <c r="AH952">
        <f>AG952^2</f>
        <v/>
      </c>
      <c r="AI952">
        <f>(AG952/STDEV($AG$3:$AG$1137))^3</f>
        <v/>
      </c>
      <c r="AJ952">
        <f>(AG952/STDEV($AG$3:$AG$1137))^4</f>
        <v/>
      </c>
      <c r="AK952">
        <f>AF952^2</f>
        <v/>
      </c>
      <c r="AL952">
        <f>IF(AD952=1,AB952,IF(AL951&lt;&gt;"",AL951,""))</f>
        <v/>
      </c>
      <c r="AM952">
        <f>IF(AND(AD952=1,AL951&lt;&gt;""),ABS(AB952-AL951),"")</f>
        <v/>
      </c>
    </row>
    <row r="953">
      <c r="A953" t="n">
        <v>1777591802</v>
      </c>
      <c r="B953" t="inlineStr">
        <is>
          <t>XAUUSD</t>
        </is>
      </c>
      <c r="C953" t="inlineStr">
        <is>
          <t>M15</t>
        </is>
      </c>
      <c r="D953" t="n">
        <v>4631.31</v>
      </c>
      <c r="E953" t="n">
        <v>4518.59282</v>
      </c>
      <c r="F953" t="n">
        <v>4596.05595</v>
      </c>
      <c r="G953" t="n">
        <v>4755.40355</v>
      </c>
      <c r="H953" t="n">
        <v>4792.76972</v>
      </c>
      <c r="Q953" t="n">
        <v>4563.14624</v>
      </c>
      <c r="R953" t="n">
        <v>4592.50954</v>
      </c>
      <c r="S953" t="n">
        <v>4619.09831</v>
      </c>
      <c r="V953" t="n">
        <v>4528.20647</v>
      </c>
      <c r="W953" t="n">
        <v>4494.64148</v>
      </c>
      <c r="AB953" t="n">
        <v>4629.33694</v>
      </c>
      <c r="AC953" t="n">
        <v>4630.30253</v>
      </c>
      <c r="AD953" t="n">
        <v>0</v>
      </c>
      <c r="AE953">
        <f>AE952+1</f>
        <v/>
      </c>
      <c r="AF953">
        <f>AF952+1</f>
        <v/>
      </c>
      <c r="AG953">
        <f>D953-Q953</f>
        <v/>
      </c>
      <c r="AH953">
        <f>AG953^2</f>
        <v/>
      </c>
      <c r="AI953">
        <f>(AG953/STDEV($AG$3:$AG$1137))^3</f>
        <v/>
      </c>
      <c r="AJ953">
        <f>(AG953/STDEV($AG$3:$AG$1137))^4</f>
        <v/>
      </c>
      <c r="AK953">
        <f>AF953^2</f>
        <v/>
      </c>
      <c r="AL953">
        <f>IF(AD953=1,AB953,IF(AL952&lt;&gt;"",AL952,""))</f>
        <v/>
      </c>
      <c r="AM953">
        <f>IF(AND(AD953=1,AL952&lt;&gt;""),ABS(AB953-AL952),"")</f>
        <v/>
      </c>
    </row>
    <row r="954">
      <c r="A954" t="n">
        <v>1777592702</v>
      </c>
      <c r="B954" t="inlineStr">
        <is>
          <t>XAUUSD</t>
        </is>
      </c>
      <c r="C954" t="inlineStr">
        <is>
          <t>M15</t>
        </is>
      </c>
      <c r="D954" t="n">
        <v>4626.71</v>
      </c>
      <c r="E954" t="n">
        <v>4518.59282</v>
      </c>
      <c r="F954" t="n">
        <v>4596.05595</v>
      </c>
      <c r="G954" t="n">
        <v>4755.40355</v>
      </c>
      <c r="H954" t="n">
        <v>4792.76972</v>
      </c>
      <c r="Q954" t="n">
        <v>4562.87864</v>
      </c>
      <c r="R954" t="n">
        <v>4592.24194</v>
      </c>
      <c r="S954" t="n">
        <v>4618.83071</v>
      </c>
      <c r="V954" t="n">
        <v>4527.93887</v>
      </c>
      <c r="W954" t="n">
        <v>4494.37387</v>
      </c>
      <c r="AB954" t="n">
        <v>4626.8861</v>
      </c>
      <c r="AC954" t="n">
        <v>4628.59431</v>
      </c>
      <c r="AD954" t="n">
        <v>0</v>
      </c>
      <c r="AE954">
        <f>AE953+1</f>
        <v/>
      </c>
      <c r="AF954">
        <f>AF953+1</f>
        <v/>
      </c>
      <c r="AG954">
        <f>D954-Q954</f>
        <v/>
      </c>
      <c r="AH954">
        <f>AG954^2</f>
        <v/>
      </c>
      <c r="AI954">
        <f>(AG954/STDEV($AG$3:$AG$1137))^3</f>
        <v/>
      </c>
      <c r="AJ954">
        <f>(AG954/STDEV($AG$3:$AG$1137))^4</f>
        <v/>
      </c>
      <c r="AK954">
        <f>AF954^2</f>
        <v/>
      </c>
      <c r="AL954">
        <f>IF(AD954=1,AB954,IF(AL953&lt;&gt;"",AL953,""))</f>
        <v/>
      </c>
      <c r="AM954">
        <f>IF(AND(AD954=1,AL953&lt;&gt;""),ABS(AB954-AL953),"")</f>
        <v/>
      </c>
    </row>
    <row r="955">
      <c r="A955" t="n">
        <v>1777593602</v>
      </c>
      <c r="B955" t="inlineStr">
        <is>
          <t>XAUUSD</t>
        </is>
      </c>
      <c r="C955" t="inlineStr">
        <is>
          <t>M15</t>
        </is>
      </c>
      <c r="D955" t="n">
        <v>4622.55</v>
      </c>
      <c r="E955" t="n">
        <v>4518.59282</v>
      </c>
      <c r="F955" t="n">
        <v>4596.05595</v>
      </c>
      <c r="G955" t="n">
        <v>4755.40355</v>
      </c>
      <c r="H955" t="n">
        <v>4792.76972</v>
      </c>
      <c r="Q955" t="n">
        <v>4562.61103</v>
      </c>
      <c r="R955" t="n">
        <v>4591.97433</v>
      </c>
      <c r="S955" t="n">
        <v>4618.5631</v>
      </c>
      <c r="V955" t="n">
        <v>4527.67126</v>
      </c>
      <c r="W955" t="n">
        <v>4494.10627</v>
      </c>
      <c r="AB955" t="n">
        <v>4624.29223</v>
      </c>
      <c r="AC955" t="n">
        <v>4626.44327</v>
      </c>
      <c r="AD955" t="n">
        <v>0</v>
      </c>
      <c r="AE955">
        <f>AE954+1</f>
        <v/>
      </c>
      <c r="AF955">
        <f>AF954+1</f>
        <v/>
      </c>
      <c r="AG955">
        <f>D955-Q955</f>
        <v/>
      </c>
      <c r="AH955">
        <f>AG955^2</f>
        <v/>
      </c>
      <c r="AI955">
        <f>(AG955/STDEV($AG$3:$AG$1137))^3</f>
        <v/>
      </c>
      <c r="AJ955">
        <f>(AG955/STDEV($AG$3:$AG$1137))^4</f>
        <v/>
      </c>
      <c r="AK955">
        <f>AF955^2</f>
        <v/>
      </c>
      <c r="AL955">
        <f>IF(AD955=1,AB955,IF(AL954&lt;&gt;"",AL954,""))</f>
        <v/>
      </c>
      <c r="AM955">
        <f>IF(AND(AD955=1,AL954&lt;&gt;""),ABS(AB955-AL954),"")</f>
        <v/>
      </c>
    </row>
    <row r="956">
      <c r="A956" t="n">
        <v>1777594502</v>
      </c>
      <c r="B956" t="inlineStr">
        <is>
          <t>XAUUSD</t>
        </is>
      </c>
      <c r="C956" t="inlineStr">
        <is>
          <t>M15</t>
        </is>
      </c>
      <c r="D956" t="n">
        <v>4623.65</v>
      </c>
      <c r="E956" t="n">
        <v>4518.59282</v>
      </c>
      <c r="F956" t="n">
        <v>4596.05595</v>
      </c>
      <c r="G956" t="n">
        <v>4755.40355</v>
      </c>
      <c r="H956" t="n">
        <v>4792.76972</v>
      </c>
      <c r="Q956" t="n">
        <v>4562.34343</v>
      </c>
      <c r="R956" t="n">
        <v>4591.70673</v>
      </c>
      <c r="S956" t="n">
        <v>4618.2955</v>
      </c>
      <c r="V956" t="n">
        <v>4527.40366</v>
      </c>
      <c r="W956" t="n">
        <v>4493.83866</v>
      </c>
      <c r="AB956" t="n">
        <v>4622.01892</v>
      </c>
      <c r="AC956" t="n">
        <v>4624.2311</v>
      </c>
      <c r="AD956" t="n">
        <v>0</v>
      </c>
      <c r="AE956">
        <f>AE955+1</f>
        <v/>
      </c>
      <c r="AF956">
        <f>AF955+1</f>
        <v/>
      </c>
      <c r="AG956">
        <f>D956-Q956</f>
        <v/>
      </c>
      <c r="AH956">
        <f>AG956^2</f>
        <v/>
      </c>
      <c r="AI956">
        <f>(AG956/STDEV($AG$3:$AG$1137))^3</f>
        <v/>
      </c>
      <c r="AJ956">
        <f>(AG956/STDEV($AG$3:$AG$1137))^4</f>
        <v/>
      </c>
      <c r="AK956">
        <f>AF956^2</f>
        <v/>
      </c>
      <c r="AL956">
        <f>IF(AD956=1,AB956,IF(AL955&lt;&gt;"",AL955,""))</f>
        <v/>
      </c>
      <c r="AM956">
        <f>IF(AND(AD956=1,AL955&lt;&gt;""),ABS(AB956-AL955),"")</f>
        <v/>
      </c>
    </row>
    <row r="957">
      <c r="A957" t="n">
        <v>1777595402</v>
      </c>
      <c r="B957" t="inlineStr">
        <is>
          <t>XAUUSD</t>
        </is>
      </c>
      <c r="C957" t="inlineStr">
        <is>
          <t>M15</t>
        </is>
      </c>
      <c r="D957" t="n">
        <v>4620.9</v>
      </c>
      <c r="E957" t="n">
        <v>4518.59282</v>
      </c>
      <c r="F957" t="n">
        <v>4596.05595</v>
      </c>
      <c r="G957" t="n">
        <v>4755.40355</v>
      </c>
      <c r="H957" t="n">
        <v>4792.76972</v>
      </c>
      <c r="Q957" t="n">
        <v>4562.07583</v>
      </c>
      <c r="R957" t="n">
        <v>4591.43912</v>
      </c>
      <c r="S957" t="n">
        <v>4618.0279</v>
      </c>
      <c r="V957" t="n">
        <v>4527.13606</v>
      </c>
      <c r="W957" t="n">
        <v>4493.57106</v>
      </c>
      <c r="AB957" t="n">
        <v>4620.30067</v>
      </c>
      <c r="AC957" t="n">
        <v>4622.26588</v>
      </c>
      <c r="AD957" t="n">
        <v>0</v>
      </c>
      <c r="AE957">
        <f>AE956+1</f>
        <v/>
      </c>
      <c r="AF957">
        <f>AF956+1</f>
        <v/>
      </c>
      <c r="AG957">
        <f>D957-Q957</f>
        <v/>
      </c>
      <c r="AH957">
        <f>AG957^2</f>
        <v/>
      </c>
      <c r="AI957">
        <f>(AG957/STDEV($AG$3:$AG$1137))^3</f>
        <v/>
      </c>
      <c r="AJ957">
        <f>(AG957/STDEV($AG$3:$AG$1137))^4</f>
        <v/>
      </c>
      <c r="AK957">
        <f>AF957^2</f>
        <v/>
      </c>
      <c r="AL957">
        <f>IF(AD957=1,AB957,IF(AL956&lt;&gt;"",AL956,""))</f>
        <v/>
      </c>
      <c r="AM957">
        <f>IF(AND(AD957=1,AL956&lt;&gt;""),ABS(AB957-AL956),"")</f>
        <v/>
      </c>
    </row>
    <row r="958">
      <c r="A958" t="n">
        <v>1777596302</v>
      </c>
      <c r="B958" t="inlineStr">
        <is>
          <t>XAUUSD</t>
        </is>
      </c>
      <c r="C958" t="inlineStr">
        <is>
          <t>M15</t>
        </is>
      </c>
      <c r="D958" t="n">
        <v>4620.02</v>
      </c>
      <c r="E958" t="n">
        <v>4518.59282</v>
      </c>
      <c r="F958" t="n">
        <v>4596.05595</v>
      </c>
      <c r="G958" t="n">
        <v>4755.40355</v>
      </c>
      <c r="H958" t="n">
        <v>4792.76972</v>
      </c>
      <c r="Q958" t="n">
        <v>4561.80822</v>
      </c>
      <c r="R958" t="n">
        <v>4591.17152</v>
      </c>
      <c r="S958" t="n">
        <v>4617.76029</v>
      </c>
      <c r="V958" t="n">
        <v>4526.86845</v>
      </c>
      <c r="W958" t="n">
        <v>4493.30346</v>
      </c>
      <c r="AB958" t="n">
        <v>4619.3652</v>
      </c>
      <c r="AC958" t="n">
        <v>4620.81554</v>
      </c>
      <c r="AD958" t="n">
        <v>0</v>
      </c>
      <c r="AE958">
        <f>AE957+1</f>
        <v/>
      </c>
      <c r="AF958">
        <f>AF957+1</f>
        <v/>
      </c>
      <c r="AG958">
        <f>D958-Q958</f>
        <v/>
      </c>
      <c r="AH958">
        <f>AG958^2</f>
        <v/>
      </c>
      <c r="AI958">
        <f>(AG958/STDEV($AG$3:$AG$1137))^3</f>
        <v/>
      </c>
      <c r="AJ958">
        <f>(AG958/STDEV($AG$3:$AG$1137))^4</f>
        <v/>
      </c>
      <c r="AK958">
        <f>AF958^2</f>
        <v/>
      </c>
      <c r="AL958">
        <f>IF(AD958=1,AB958,IF(AL957&lt;&gt;"",AL957,""))</f>
        <v/>
      </c>
      <c r="AM958">
        <f>IF(AND(AD958=1,AL957&lt;&gt;""),ABS(AB958-AL957),"")</f>
        <v/>
      </c>
    </row>
    <row r="959">
      <c r="A959" t="n">
        <v>1777597202</v>
      </c>
      <c r="B959" t="inlineStr">
        <is>
          <t>XAUUSD</t>
        </is>
      </c>
      <c r="C959" t="inlineStr">
        <is>
          <t>M15</t>
        </is>
      </c>
      <c r="D959" t="n">
        <v>4618.7</v>
      </c>
      <c r="E959" t="n">
        <v>4518.59282</v>
      </c>
      <c r="F959" t="n">
        <v>4596.05595</v>
      </c>
      <c r="G959" t="n">
        <v>4755.40355</v>
      </c>
      <c r="H959" t="n">
        <v>4792.76972</v>
      </c>
      <c r="Q959" t="n">
        <v>4561.54062</v>
      </c>
      <c r="R959" t="n">
        <v>4590.90392</v>
      </c>
      <c r="S959" t="n">
        <v>4617.49269</v>
      </c>
      <c r="V959" t="n">
        <v>4526.60085</v>
      </c>
      <c r="W959" t="n">
        <v>4493.03585</v>
      </c>
      <c r="AB959" t="n">
        <v>4619.26545</v>
      </c>
      <c r="AC959" t="n">
        <v>4620.04049</v>
      </c>
      <c r="AD959" t="n">
        <v>0</v>
      </c>
      <c r="AE959">
        <f>AE958+1</f>
        <v/>
      </c>
      <c r="AF959">
        <f>AF958+1</f>
        <v/>
      </c>
      <c r="AG959">
        <f>D959-Q959</f>
        <v/>
      </c>
      <c r="AH959">
        <f>AG959^2</f>
        <v/>
      </c>
      <c r="AI959">
        <f>(AG959/STDEV($AG$3:$AG$1137))^3</f>
        <v/>
      </c>
      <c r="AJ959">
        <f>(AG959/STDEV($AG$3:$AG$1137))^4</f>
        <v/>
      </c>
      <c r="AK959">
        <f>AF959^2</f>
        <v/>
      </c>
      <c r="AL959">
        <f>IF(AD959=1,AB959,IF(AL958&lt;&gt;"",AL958,""))</f>
        <v/>
      </c>
      <c r="AM959">
        <f>IF(AND(AD959=1,AL958&lt;&gt;""),ABS(AB959-AL958),"")</f>
        <v/>
      </c>
    </row>
    <row r="960">
      <c r="A960" t="n">
        <v>1777598102</v>
      </c>
      <c r="B960" t="inlineStr">
        <is>
          <t>XAUUSD</t>
        </is>
      </c>
      <c r="C960" t="inlineStr">
        <is>
          <t>M15</t>
        </is>
      </c>
      <c r="D960" t="n">
        <v>4616.68</v>
      </c>
      <c r="E960" t="n">
        <v>4518.59282</v>
      </c>
      <c r="F960" t="n">
        <v>4596.05595</v>
      </c>
      <c r="G960" t="n">
        <v>4755.40355</v>
      </c>
      <c r="H960" t="n">
        <v>4792.76972</v>
      </c>
      <c r="Q960" t="n">
        <v>4561.27301</v>
      </c>
      <c r="R960" t="n">
        <v>4590.63631</v>
      </c>
      <c r="S960" t="n">
        <v>4617.22508</v>
      </c>
      <c r="V960" t="n">
        <v>4526.33324</v>
      </c>
      <c r="W960" t="n">
        <v>4492.76825</v>
      </c>
      <c r="AB960" t="n">
        <v>4619.91773</v>
      </c>
      <c r="AC960" t="n">
        <v>4619.97911</v>
      </c>
      <c r="AD960" t="n">
        <v>0</v>
      </c>
      <c r="AE960">
        <f>AE959+1</f>
        <v/>
      </c>
      <c r="AF960">
        <f>AF959+1</f>
        <v/>
      </c>
      <c r="AG960">
        <f>D960-Q960</f>
        <v/>
      </c>
      <c r="AH960">
        <f>AG960^2</f>
        <v/>
      </c>
      <c r="AI960">
        <f>(AG960/STDEV($AG$3:$AG$1137))^3</f>
        <v/>
      </c>
      <c r="AJ960">
        <f>(AG960/STDEV($AG$3:$AG$1137))^4</f>
        <v/>
      </c>
      <c r="AK960">
        <f>AF960^2</f>
        <v/>
      </c>
      <c r="AL960">
        <f>IF(AD960=1,AB960,IF(AL959&lt;&gt;"",AL959,""))</f>
        <v/>
      </c>
      <c r="AM960">
        <f>IF(AND(AD960=1,AL959&lt;&gt;""),ABS(AB960-AL959),"")</f>
        <v/>
      </c>
    </row>
    <row r="961">
      <c r="A961" t="n">
        <v>1777599002</v>
      </c>
      <c r="B961" t="inlineStr">
        <is>
          <t>XAUUSD</t>
        </is>
      </c>
      <c r="C961" t="inlineStr">
        <is>
          <t>M15</t>
        </is>
      </c>
      <c r="D961" t="n">
        <v>4620.2</v>
      </c>
      <c r="E961" t="n">
        <v>4518.59282</v>
      </c>
      <c r="F961" t="n">
        <v>4596.05595</v>
      </c>
      <c r="G961" t="n">
        <v>4755.40355</v>
      </c>
      <c r="H961" t="n">
        <v>4792.76972</v>
      </c>
      <c r="Q961" t="n">
        <v>4561.00541</v>
      </c>
      <c r="R961" t="n">
        <v>4590.36871</v>
      </c>
      <c r="S961" t="n">
        <v>4616.95748</v>
      </c>
      <c r="V961" t="n">
        <v>4526.06564</v>
      </c>
      <c r="W961" t="n">
        <v>4492.50064</v>
      </c>
      <c r="AB961" t="n">
        <v>4621.17664</v>
      </c>
      <c r="AC961" t="n">
        <v>4620.57787</v>
      </c>
      <c r="AD961" t="n">
        <v>1</v>
      </c>
      <c r="AE961">
        <f>AE960+1</f>
        <v/>
      </c>
      <c r="AF961">
        <f>AF960+1</f>
        <v/>
      </c>
      <c r="AG961">
        <f>D961-Q961</f>
        <v/>
      </c>
      <c r="AH961">
        <f>AG961^2</f>
        <v/>
      </c>
      <c r="AI961">
        <f>(AG961/STDEV($AG$3:$AG$1137))^3</f>
        <v/>
      </c>
      <c r="AJ961">
        <f>(AG961/STDEV($AG$3:$AG$1137))^4</f>
        <v/>
      </c>
      <c r="AK961">
        <f>AF961^2</f>
        <v/>
      </c>
      <c r="AL961">
        <f>IF(AD961=1,AB961,IF(AL960&lt;&gt;"",AL960,""))</f>
        <v/>
      </c>
      <c r="AM961">
        <f>IF(AND(AD961=1,AL960&lt;&gt;""),ABS(AB961-AL960),"")</f>
        <v/>
      </c>
    </row>
    <row r="962">
      <c r="A962" t="n">
        <v>1777599902</v>
      </c>
      <c r="B962" t="inlineStr">
        <is>
          <t>XAUUSD</t>
        </is>
      </c>
      <c r="C962" t="inlineStr">
        <is>
          <t>M15</t>
        </is>
      </c>
      <c r="D962" t="n">
        <v>4621.05</v>
      </c>
      <c r="E962" t="n">
        <v>4518.59282</v>
      </c>
      <c r="F962" t="n">
        <v>4596.05595</v>
      </c>
      <c r="G962" t="n">
        <v>4755.40355</v>
      </c>
      <c r="H962" t="n">
        <v>4792.76972</v>
      </c>
      <c r="Q962" t="n">
        <v>4560.73781</v>
      </c>
      <c r="R962" t="n">
        <v>4590.1011</v>
      </c>
      <c r="S962" t="n">
        <v>4616.68988</v>
      </c>
      <c r="V962" t="n">
        <v>4525.79804</v>
      </c>
      <c r="W962" t="n">
        <v>4492.23304</v>
      </c>
      <c r="AB962" t="n">
        <v>4622.67109</v>
      </c>
      <c r="AC962" t="n">
        <v>4621.62448</v>
      </c>
      <c r="AD962" t="n">
        <v>0</v>
      </c>
      <c r="AE962">
        <f>AE961+1</f>
        <v/>
      </c>
      <c r="AF962">
        <f>AF961+1</f>
        <v/>
      </c>
      <c r="AG962">
        <f>D962-Q962</f>
        <v/>
      </c>
      <c r="AH962">
        <f>AG962^2</f>
        <v/>
      </c>
      <c r="AI962">
        <f>(AG962/STDEV($AG$3:$AG$1137))^3</f>
        <v/>
      </c>
      <c r="AJ962">
        <f>(AG962/STDEV($AG$3:$AG$1137))^4</f>
        <v/>
      </c>
      <c r="AK962">
        <f>AF962^2</f>
        <v/>
      </c>
      <c r="AL962">
        <f>IF(AD962=1,AB962,IF(AL961&lt;&gt;"",AL961,""))</f>
        <v/>
      </c>
      <c r="AM962">
        <f>IF(AND(AD962=1,AL961&lt;&gt;""),ABS(AB962-AL961),"")</f>
        <v/>
      </c>
    </row>
    <row r="963">
      <c r="A963" t="n">
        <v>1777600802</v>
      </c>
      <c r="B963" t="inlineStr">
        <is>
          <t>XAUUSD</t>
        </is>
      </c>
      <c r="C963" t="inlineStr">
        <is>
          <t>M15</t>
        </is>
      </c>
      <c r="D963" t="n">
        <v>4630.89</v>
      </c>
      <c r="E963" t="n">
        <v>4518.59282</v>
      </c>
      <c r="F963" t="n">
        <v>4596.05595</v>
      </c>
      <c r="G963" t="n">
        <v>4755.40355</v>
      </c>
      <c r="H963" t="n">
        <v>4792.76972</v>
      </c>
      <c r="Q963" t="n">
        <v>4560.4702</v>
      </c>
      <c r="R963" t="n">
        <v>4589.8335</v>
      </c>
      <c r="S963" t="n">
        <v>4616.42227</v>
      </c>
      <c r="V963" t="n">
        <v>4525.53043</v>
      </c>
      <c r="W963" t="n">
        <v>4491.96544</v>
      </c>
      <c r="AB963" t="n">
        <v>4624.1071</v>
      </c>
      <c r="AC963" t="n">
        <v>4622.86579</v>
      </c>
      <c r="AD963" t="n">
        <v>0</v>
      </c>
      <c r="AE963">
        <f>AE962+1</f>
        <v/>
      </c>
      <c r="AF963">
        <f>AF962+1</f>
        <v/>
      </c>
      <c r="AG963">
        <f>D963-Q963</f>
        <v/>
      </c>
      <c r="AH963">
        <f>AG963^2</f>
        <v/>
      </c>
      <c r="AI963">
        <f>(AG963/STDEV($AG$3:$AG$1137))^3</f>
        <v/>
      </c>
      <c r="AJ963">
        <f>(AG963/STDEV($AG$3:$AG$1137))^4</f>
        <v/>
      </c>
      <c r="AK963">
        <f>AF963^2</f>
        <v/>
      </c>
      <c r="AL963">
        <f>IF(AD963=1,AB963,IF(AL962&lt;&gt;"",AL962,""))</f>
        <v/>
      </c>
      <c r="AM963">
        <f>IF(AND(AD963=1,AL962&lt;&gt;""),ABS(AB963-AL962),"")</f>
        <v/>
      </c>
    </row>
    <row r="964">
      <c r="A964" t="n">
        <v>1777601702</v>
      </c>
      <c r="B964" t="inlineStr">
        <is>
          <t>XAUUSD</t>
        </is>
      </c>
      <c r="C964" t="inlineStr">
        <is>
          <t>M15</t>
        </is>
      </c>
      <c r="D964" t="n">
        <v>4629.39</v>
      </c>
      <c r="E964" t="n">
        <v>4518.59282</v>
      </c>
      <c r="F964" t="n">
        <v>4596.05595</v>
      </c>
      <c r="G964" t="n">
        <v>4755.40355</v>
      </c>
      <c r="H964" t="n">
        <v>4792.76972</v>
      </c>
      <c r="Q964" t="n">
        <v>4560.2026</v>
      </c>
      <c r="R964" t="n">
        <v>4589.5659</v>
      </c>
      <c r="S964" t="n">
        <v>4616.15467</v>
      </c>
      <c r="V964" t="n">
        <v>4525.26283</v>
      </c>
      <c r="W964" t="n">
        <v>4491.69783</v>
      </c>
      <c r="Z964" t="n">
        <v>4635.83</v>
      </c>
      <c r="AB964" t="n">
        <v>4625.02416</v>
      </c>
      <c r="AC964" t="n">
        <v>4623.94497</v>
      </c>
      <c r="AD964" t="n">
        <v>0</v>
      </c>
      <c r="AE964">
        <f>AE963+1</f>
        <v/>
      </c>
      <c r="AF964">
        <f>AF963+1</f>
        <v/>
      </c>
      <c r="AG964">
        <f>D964-Q964</f>
        <v/>
      </c>
      <c r="AH964">
        <f>AG964^2</f>
        <v/>
      </c>
      <c r="AI964">
        <f>(AG964/STDEV($AG$3:$AG$1137))^3</f>
        <v/>
      </c>
      <c r="AJ964">
        <f>(AG964/STDEV($AG$3:$AG$1137))^4</f>
        <v/>
      </c>
      <c r="AK964">
        <f>AF964^2</f>
        <v/>
      </c>
      <c r="AL964">
        <f>IF(AD964=1,AB964,IF(AL963&lt;&gt;"",AL963,""))</f>
        <v/>
      </c>
      <c r="AM964">
        <f>IF(AND(AD964=1,AL963&lt;&gt;""),ABS(AB964-AL963),"")</f>
        <v/>
      </c>
    </row>
    <row r="965">
      <c r="A965" t="n">
        <v>1777602602</v>
      </c>
      <c r="B965" t="inlineStr">
        <is>
          <t>XAUUSD</t>
        </is>
      </c>
      <c r="C965" t="inlineStr">
        <is>
          <t>M15</t>
        </is>
      </c>
      <c r="D965" t="n">
        <v>4624.38</v>
      </c>
      <c r="E965" t="n">
        <v>4518.59282</v>
      </c>
      <c r="F965" t="n">
        <v>4596.05595</v>
      </c>
      <c r="G965" t="n">
        <v>4755.40355</v>
      </c>
      <c r="H965" t="n">
        <v>4792.76972</v>
      </c>
      <c r="Q965" t="n">
        <v>4559.93499</v>
      </c>
      <c r="R965" t="n">
        <v>4589.29829</v>
      </c>
      <c r="S965" t="n">
        <v>4615.88706</v>
      </c>
      <c r="V965" t="n">
        <v>4524.99522</v>
      </c>
      <c r="W965" t="n">
        <v>4491.43023</v>
      </c>
      <c r="AB965" t="n">
        <v>4625.40267</v>
      </c>
      <c r="AC965" t="n">
        <v>4624.67382</v>
      </c>
      <c r="AD965" t="n">
        <v>0</v>
      </c>
      <c r="AE965">
        <f>AE964+1</f>
        <v/>
      </c>
      <c r="AF965">
        <f>AF964+1</f>
        <v/>
      </c>
      <c r="AG965">
        <f>D965-Q965</f>
        <v/>
      </c>
      <c r="AH965">
        <f>AG965^2</f>
        <v/>
      </c>
      <c r="AI965">
        <f>(AG965/STDEV($AG$3:$AG$1137))^3</f>
        <v/>
      </c>
      <c r="AJ965">
        <f>(AG965/STDEV($AG$3:$AG$1137))^4</f>
        <v/>
      </c>
      <c r="AK965">
        <f>AF965^2</f>
        <v/>
      </c>
      <c r="AL965">
        <f>IF(AD965=1,AB965,IF(AL964&lt;&gt;"",AL964,""))</f>
        <v/>
      </c>
      <c r="AM965">
        <f>IF(AND(AD965=1,AL964&lt;&gt;""),ABS(AB965-AL964),"")</f>
        <v/>
      </c>
    </row>
    <row r="966">
      <c r="A966" t="n">
        <v>1777603502</v>
      </c>
      <c r="B966" t="inlineStr">
        <is>
          <t>XAUUSD</t>
        </is>
      </c>
      <c r="C966" t="inlineStr">
        <is>
          <t>M15</t>
        </is>
      </c>
      <c r="D966" t="n">
        <v>4619.15</v>
      </c>
      <c r="E966" t="n">
        <v>4518.59282</v>
      </c>
      <c r="F966" t="n">
        <v>4596.05595</v>
      </c>
      <c r="G966" t="n">
        <v>4755.40355</v>
      </c>
      <c r="H966" t="n">
        <v>4792.76972</v>
      </c>
      <c r="Q966" t="n">
        <v>4559.66739</v>
      </c>
      <c r="R966" t="n">
        <v>4589.03069</v>
      </c>
      <c r="S966" t="n">
        <v>4615.61946</v>
      </c>
      <c r="V966" t="n">
        <v>4524.72762</v>
      </c>
      <c r="W966" t="n">
        <v>4491.16262</v>
      </c>
      <c r="AB966" t="n">
        <v>4625.38626</v>
      </c>
      <c r="AC966" t="n">
        <v>4625.03004</v>
      </c>
      <c r="AD966" t="n">
        <v>0</v>
      </c>
      <c r="AE966">
        <f>AE965+1</f>
        <v/>
      </c>
      <c r="AF966">
        <f>AF965+1</f>
        <v/>
      </c>
      <c r="AG966">
        <f>D966-Q966</f>
        <v/>
      </c>
      <c r="AH966">
        <f>AG966^2</f>
        <v/>
      </c>
      <c r="AI966">
        <f>(AG966/STDEV($AG$3:$AG$1137))^3</f>
        <v/>
      </c>
      <c r="AJ966">
        <f>(AG966/STDEV($AG$3:$AG$1137))^4</f>
        <v/>
      </c>
      <c r="AK966">
        <f>AF966^2</f>
        <v/>
      </c>
      <c r="AL966">
        <f>IF(AD966=1,AB966,IF(AL965&lt;&gt;"",AL965,""))</f>
        <v/>
      </c>
      <c r="AM966">
        <f>IF(AND(AD966=1,AL965&lt;&gt;""),ABS(AB966-AL965),"")</f>
        <v/>
      </c>
    </row>
    <row r="967">
      <c r="A967" t="n">
        <v>1777604402</v>
      </c>
      <c r="B967" t="inlineStr">
        <is>
          <t>XAUUSD</t>
        </is>
      </c>
      <c r="C967" t="inlineStr">
        <is>
          <t>M15</t>
        </is>
      </c>
      <c r="D967" t="n">
        <v>4620.85</v>
      </c>
      <c r="E967" t="n">
        <v>4518.59282</v>
      </c>
      <c r="F967" t="n">
        <v>4596.05595</v>
      </c>
      <c r="G967" t="n">
        <v>4755.40355</v>
      </c>
      <c r="H967" t="n">
        <v>4792.76972</v>
      </c>
      <c r="Q967" t="n">
        <v>4559.39979</v>
      </c>
      <c r="R967" t="n">
        <v>4588.76308</v>
      </c>
      <c r="S967" t="n">
        <v>4615.35185</v>
      </c>
      <c r="V967" t="n">
        <v>4524.46001</v>
      </c>
      <c r="W967" t="n">
        <v>4490.89502</v>
      </c>
      <c r="AB967" t="n">
        <v>4625.15934</v>
      </c>
      <c r="AC967" t="n">
        <v>4625.09469</v>
      </c>
      <c r="AD967" t="n">
        <v>0</v>
      </c>
      <c r="AE967">
        <f>AE966+1</f>
        <v/>
      </c>
      <c r="AF967">
        <f>AF966+1</f>
        <v/>
      </c>
      <c r="AG967">
        <f>D967-Q967</f>
        <v/>
      </c>
      <c r="AH967">
        <f>AG967^2</f>
        <v/>
      </c>
      <c r="AI967">
        <f>(AG967/STDEV($AG$3:$AG$1137))^3</f>
        <v/>
      </c>
      <c r="AJ967">
        <f>(AG967/STDEV($AG$3:$AG$1137))^4</f>
        <v/>
      </c>
      <c r="AK967">
        <f>AF967^2</f>
        <v/>
      </c>
      <c r="AL967">
        <f>IF(AD967=1,AB967,IF(AL966&lt;&gt;"",AL966,""))</f>
        <v/>
      </c>
      <c r="AM967">
        <f>IF(AND(AD967=1,AL966&lt;&gt;""),ABS(AB967-AL966),"")</f>
        <v/>
      </c>
    </row>
    <row r="968">
      <c r="A968" t="n">
        <v>1777605302</v>
      </c>
      <c r="B968" t="inlineStr">
        <is>
          <t>XAUUSD</t>
        </is>
      </c>
      <c r="C968" t="inlineStr">
        <is>
          <t>M15</t>
        </is>
      </c>
      <c r="D968" t="n">
        <v>4626.13</v>
      </c>
      <c r="E968" t="n">
        <v>4518.59282</v>
      </c>
      <c r="F968" t="n">
        <v>4596.05595</v>
      </c>
      <c r="G968" t="n">
        <v>4755.40355</v>
      </c>
      <c r="H968" t="n">
        <v>4792.76972</v>
      </c>
      <c r="Q968" t="n">
        <v>4559.13218</v>
      </c>
      <c r="R968" t="n">
        <v>4588.49548</v>
      </c>
      <c r="S968" t="n">
        <v>4615.08425</v>
      </c>
      <c r="V968" t="n">
        <v>4524.19241</v>
      </c>
      <c r="W968" t="n">
        <v>4490.62741</v>
      </c>
      <c r="AB968" t="n">
        <v>4624.70187</v>
      </c>
      <c r="AC968" t="n">
        <v>4624.89828</v>
      </c>
      <c r="AD968" t="n">
        <v>1</v>
      </c>
      <c r="AE968">
        <f>AE967+1</f>
        <v/>
      </c>
      <c r="AF968">
        <f>AF967+1</f>
        <v/>
      </c>
      <c r="AG968">
        <f>D968-Q968</f>
        <v/>
      </c>
      <c r="AH968">
        <f>AG968^2</f>
        <v/>
      </c>
      <c r="AI968">
        <f>(AG968/STDEV($AG$3:$AG$1137))^3</f>
        <v/>
      </c>
      <c r="AJ968">
        <f>(AG968/STDEV($AG$3:$AG$1137))^4</f>
        <v/>
      </c>
      <c r="AK968">
        <f>AF968^2</f>
        <v/>
      </c>
      <c r="AL968">
        <f>IF(AD968=1,AB968,IF(AL967&lt;&gt;"",AL967,""))</f>
        <v/>
      </c>
      <c r="AM968">
        <f>IF(AND(AD968=1,AL967&lt;&gt;""),ABS(AB968-AL967),"")</f>
        <v/>
      </c>
    </row>
    <row r="969">
      <c r="A969" t="n">
        <v>1777606202</v>
      </c>
      <c r="B969" t="inlineStr">
        <is>
          <t>XAUUSD</t>
        </is>
      </c>
      <c r="C969" t="inlineStr">
        <is>
          <t>M15</t>
        </is>
      </c>
      <c r="D969" t="n">
        <v>4626.21</v>
      </c>
      <c r="E969" t="n">
        <v>4518.59282</v>
      </c>
      <c r="F969" t="n">
        <v>4596.05595</v>
      </c>
      <c r="G969" t="n">
        <v>4755.40355</v>
      </c>
      <c r="H969" t="n">
        <v>4792.76972</v>
      </c>
      <c r="Q969" t="n">
        <v>4558.86458</v>
      </c>
      <c r="R969" t="n">
        <v>4588.22788</v>
      </c>
      <c r="S969" t="n">
        <v>4614.81665</v>
      </c>
      <c r="V969" t="n">
        <v>4523.92481</v>
      </c>
      <c r="W969" t="n">
        <v>4490.35981</v>
      </c>
      <c r="AB969" t="n">
        <v>4623.85411</v>
      </c>
      <c r="AC969" t="n">
        <v>4624.37619</v>
      </c>
      <c r="AD969" t="n">
        <v>0</v>
      </c>
      <c r="AE969">
        <f>AE968+1</f>
        <v/>
      </c>
      <c r="AF969">
        <f>AF968+1</f>
        <v/>
      </c>
      <c r="AG969">
        <f>D969-Q969</f>
        <v/>
      </c>
      <c r="AH969">
        <f>AG969^2</f>
        <v/>
      </c>
      <c r="AI969">
        <f>(AG969/STDEV($AG$3:$AG$1137))^3</f>
        <v/>
      </c>
      <c r="AJ969">
        <f>(AG969/STDEV($AG$3:$AG$1137))^4</f>
        <v/>
      </c>
      <c r="AK969">
        <f>AF969^2</f>
        <v/>
      </c>
      <c r="AL969">
        <f>IF(AD969=1,AB969,IF(AL968&lt;&gt;"",AL968,""))</f>
        <v/>
      </c>
      <c r="AM969">
        <f>IF(AND(AD969=1,AL968&lt;&gt;""),ABS(AB969-AL968),"")</f>
        <v/>
      </c>
    </row>
    <row r="970">
      <c r="A970" t="n">
        <v>1777607102</v>
      </c>
      <c r="B970" t="inlineStr">
        <is>
          <t>XAUUSD</t>
        </is>
      </c>
      <c r="C970" t="inlineStr">
        <is>
          <t>M15</t>
        </is>
      </c>
      <c r="D970" t="n">
        <v>4626.67</v>
      </c>
      <c r="E970" t="n">
        <v>4518.59282</v>
      </c>
      <c r="F970" t="n">
        <v>4596.05595</v>
      </c>
      <c r="G970" t="n">
        <v>4755.40355</v>
      </c>
      <c r="H970" t="n">
        <v>4792.76972</v>
      </c>
      <c r="Q970" t="n">
        <v>4558.59697</v>
      </c>
      <c r="R970" t="n">
        <v>4587.96027</v>
      </c>
      <c r="S970" t="n">
        <v>4614.54904</v>
      </c>
      <c r="V970" t="n">
        <v>4523.6572</v>
      </c>
      <c r="W970" t="n">
        <v>4490.09221</v>
      </c>
      <c r="AB970" t="n">
        <v>4622.57556</v>
      </c>
      <c r="AC970" t="n">
        <v>4623.47588</v>
      </c>
      <c r="AD970" t="n">
        <v>0</v>
      </c>
      <c r="AE970">
        <f>AE969+1</f>
        <v/>
      </c>
      <c r="AF970">
        <f>AF969+1</f>
        <v/>
      </c>
      <c r="AG970">
        <f>D970-Q970</f>
        <v/>
      </c>
      <c r="AH970">
        <f>AG970^2</f>
        <v/>
      </c>
      <c r="AI970">
        <f>(AG970/STDEV($AG$3:$AG$1137))^3</f>
        <v/>
      </c>
      <c r="AJ970">
        <f>(AG970/STDEV($AG$3:$AG$1137))^4</f>
        <v/>
      </c>
      <c r="AK970">
        <f>AF970^2</f>
        <v/>
      </c>
      <c r="AL970">
        <f>IF(AD970=1,AB970,IF(AL969&lt;&gt;"",AL969,""))</f>
        <v/>
      </c>
      <c r="AM970">
        <f>IF(AND(AD970=1,AL969&lt;&gt;""),ABS(AB970-AL969),"")</f>
        <v/>
      </c>
    </row>
    <row r="971">
      <c r="A971" t="n">
        <v>1777608002</v>
      </c>
      <c r="B971" t="inlineStr">
        <is>
          <t>XAUUSD</t>
        </is>
      </c>
      <c r="C971" t="inlineStr">
        <is>
          <t>M15</t>
        </is>
      </c>
      <c r="D971" t="n">
        <v>4621.93</v>
      </c>
      <c r="E971" t="n">
        <v>4518.59282</v>
      </c>
      <c r="F971" t="n">
        <v>4596.05595</v>
      </c>
      <c r="G971" t="n">
        <v>4755.40355</v>
      </c>
      <c r="H971" t="n">
        <v>4792.76972</v>
      </c>
      <c r="Q971" t="n">
        <v>4558.32937</v>
      </c>
      <c r="R971" t="n">
        <v>4587.69267</v>
      </c>
      <c r="S971" t="n">
        <v>4614.28144</v>
      </c>
      <c r="V971" t="n">
        <v>4523.3896</v>
      </c>
      <c r="W971" t="n">
        <v>4489.8246</v>
      </c>
      <c r="AB971" t="n">
        <v>4620.83276</v>
      </c>
      <c r="AC971" t="n">
        <v>4622.15432</v>
      </c>
      <c r="AD971" t="n">
        <v>0</v>
      </c>
      <c r="AE971">
        <f>AE970+1</f>
        <v/>
      </c>
      <c r="AF971">
        <f>AF970+1</f>
        <v/>
      </c>
      <c r="AG971">
        <f>D971-Q971</f>
        <v/>
      </c>
      <c r="AH971">
        <f>AG971^2</f>
        <v/>
      </c>
      <c r="AI971">
        <f>(AG971/STDEV($AG$3:$AG$1137))^3</f>
        <v/>
      </c>
      <c r="AJ971">
        <f>(AG971/STDEV($AG$3:$AG$1137))^4</f>
        <v/>
      </c>
      <c r="AK971">
        <f>AF971^2</f>
        <v/>
      </c>
      <c r="AL971">
        <f>IF(AD971=1,AB971,IF(AL970&lt;&gt;"",AL970,""))</f>
        <v/>
      </c>
      <c r="AM971">
        <f>IF(AND(AD971=1,AL970&lt;&gt;""),ABS(AB971-AL970),"")</f>
        <v/>
      </c>
    </row>
    <row r="972">
      <c r="A972" t="n">
        <v>1777608902</v>
      </c>
      <c r="B972" t="inlineStr">
        <is>
          <t>XAUUSD</t>
        </is>
      </c>
      <c r="C972" t="inlineStr">
        <is>
          <t>M15</t>
        </is>
      </c>
      <c r="D972" t="n">
        <v>4617.53</v>
      </c>
      <c r="E972" t="n">
        <v>4518.59282</v>
      </c>
      <c r="F972" t="n">
        <v>4596.05595</v>
      </c>
      <c r="G972" t="n">
        <v>4755.40355</v>
      </c>
      <c r="H972" t="n">
        <v>4792.76972</v>
      </c>
      <c r="Q972" t="n">
        <v>4558.06176</v>
      </c>
      <c r="R972" t="n">
        <v>4587.42506</v>
      </c>
      <c r="S972" t="n">
        <v>4614.01383</v>
      </c>
      <c r="V972" t="n">
        <v>4523.12199</v>
      </c>
      <c r="W972" t="n">
        <v>4489.557</v>
      </c>
      <c r="AB972" t="n">
        <v>4618.75149</v>
      </c>
      <c r="AC972" t="n">
        <v>4620.4529</v>
      </c>
      <c r="AD972" t="n">
        <v>0</v>
      </c>
      <c r="AE972">
        <f>AE971+1</f>
        <v/>
      </c>
      <c r="AF972">
        <f>AF971+1</f>
        <v/>
      </c>
      <c r="AG972">
        <f>D972-Q972</f>
        <v/>
      </c>
      <c r="AH972">
        <f>AG972^2</f>
        <v/>
      </c>
      <c r="AI972">
        <f>(AG972/STDEV($AG$3:$AG$1137))^3</f>
        <v/>
      </c>
      <c r="AJ972">
        <f>(AG972/STDEV($AG$3:$AG$1137))^4</f>
        <v/>
      </c>
      <c r="AK972">
        <f>AF972^2</f>
        <v/>
      </c>
      <c r="AL972">
        <f>IF(AD972=1,AB972,IF(AL971&lt;&gt;"",AL971,""))</f>
        <v/>
      </c>
      <c r="AM972">
        <f>IF(AND(AD972=1,AL971&lt;&gt;""),ABS(AB972-AL971),"")</f>
        <v/>
      </c>
    </row>
    <row r="973">
      <c r="A973" t="n">
        <v>1777609802</v>
      </c>
      <c r="B973" t="inlineStr">
        <is>
          <t>XAUUSD</t>
        </is>
      </c>
      <c r="C973" t="inlineStr">
        <is>
          <t>M15</t>
        </is>
      </c>
      <c r="D973" t="n">
        <v>4613.51</v>
      </c>
      <c r="E973" t="n">
        <v>4518.59282</v>
      </c>
      <c r="F973" t="n">
        <v>4596.05595</v>
      </c>
      <c r="G973" t="n">
        <v>4755.40355</v>
      </c>
      <c r="H973" t="n">
        <v>4792.76972</v>
      </c>
      <c r="Q973" t="n">
        <v>4557.79416</v>
      </c>
      <c r="R973" t="n">
        <v>4587.15746</v>
      </c>
      <c r="S973" t="n">
        <v>4613.74623</v>
      </c>
      <c r="V973" t="n">
        <v>4522.85439</v>
      </c>
      <c r="W973" t="n">
        <v>4489.28939</v>
      </c>
      <c r="AB973" t="n">
        <v>4616.49328</v>
      </c>
      <c r="AC973" t="n">
        <v>4618.47309</v>
      </c>
      <c r="AD973" t="n">
        <v>0</v>
      </c>
      <c r="AE973">
        <f>AE972+1</f>
        <v/>
      </c>
      <c r="AF973">
        <f>AF972+1</f>
        <v/>
      </c>
      <c r="AG973">
        <f>D973-Q973</f>
        <v/>
      </c>
      <c r="AH973">
        <f>AG973^2</f>
        <v/>
      </c>
      <c r="AI973">
        <f>(AG973/STDEV($AG$3:$AG$1137))^3</f>
        <v/>
      </c>
      <c r="AJ973">
        <f>(AG973/STDEV($AG$3:$AG$1137))^4</f>
        <v/>
      </c>
      <c r="AK973">
        <f>AF973^2</f>
        <v/>
      </c>
      <c r="AL973">
        <f>IF(AD973=1,AB973,IF(AL972&lt;&gt;"",AL972,""))</f>
        <v/>
      </c>
      <c r="AM973">
        <f>IF(AND(AD973=1,AL972&lt;&gt;""),ABS(AB973-AL972),"")</f>
        <v/>
      </c>
    </row>
    <row r="974">
      <c r="A974" t="n">
        <v>1777610702</v>
      </c>
      <c r="B974" t="inlineStr">
        <is>
          <t>XAUUSD</t>
        </is>
      </c>
      <c r="C974" t="inlineStr">
        <is>
          <t>M15</t>
        </is>
      </c>
      <c r="D974" t="n">
        <v>4609.18</v>
      </c>
      <c r="E974" t="n">
        <v>4518.59282</v>
      </c>
      <c r="F974" t="n">
        <v>4596.05595</v>
      </c>
      <c r="G974" t="n">
        <v>4755.40355</v>
      </c>
      <c r="H974" t="n">
        <v>4792.76972</v>
      </c>
      <c r="Q974" t="n">
        <v>4557.52656</v>
      </c>
      <c r="R974" t="n">
        <v>4586.88986</v>
      </c>
      <c r="S974" t="n">
        <v>4613.47863</v>
      </c>
      <c r="V974" t="n">
        <v>4522.58679</v>
      </c>
      <c r="W974" t="n">
        <v>4489.02179</v>
      </c>
      <c r="AB974" t="n">
        <v>4614.20071</v>
      </c>
      <c r="AC974" t="n">
        <v>4616.3369</v>
      </c>
      <c r="AD974" t="n">
        <v>0</v>
      </c>
      <c r="AE974">
        <f>AE973+1</f>
        <v/>
      </c>
      <c r="AF974">
        <f>AF973+1</f>
        <v/>
      </c>
      <c r="AG974">
        <f>D974-Q974</f>
        <v/>
      </c>
      <c r="AH974">
        <f>AG974^2</f>
        <v/>
      </c>
      <c r="AI974">
        <f>(AG974/STDEV($AG$3:$AG$1137))^3</f>
        <v/>
      </c>
      <c r="AJ974">
        <f>(AG974/STDEV($AG$3:$AG$1137))^4</f>
        <v/>
      </c>
      <c r="AK974">
        <f>AF974^2</f>
        <v/>
      </c>
      <c r="AL974">
        <f>IF(AD974=1,AB974,IF(AL973&lt;&gt;"",AL973,""))</f>
        <v/>
      </c>
      <c r="AM974">
        <f>IF(AND(AD974=1,AL973&lt;&gt;""),ABS(AB974-AL973),"")</f>
        <v/>
      </c>
    </row>
    <row r="975">
      <c r="A975" t="n">
        <v>1777611602</v>
      </c>
      <c r="B975" t="inlineStr">
        <is>
          <t>XAUUSD</t>
        </is>
      </c>
      <c r="C975" t="inlineStr">
        <is>
          <t>M15</t>
        </is>
      </c>
      <c r="D975" t="n">
        <v>4614.29</v>
      </c>
      <c r="E975" t="n">
        <v>4518.59282</v>
      </c>
      <c r="F975" t="n">
        <v>4596.05595</v>
      </c>
      <c r="G975" t="n">
        <v>4755.40355</v>
      </c>
      <c r="H975" t="n">
        <v>4792.76972</v>
      </c>
      <c r="Q975" t="n">
        <v>4557.25895</v>
      </c>
      <c r="R975" t="n">
        <v>4586.62225</v>
      </c>
      <c r="S975" t="n">
        <v>4613.21102</v>
      </c>
      <c r="V975" t="n">
        <v>4522.31918</v>
      </c>
      <c r="W975" t="n">
        <v>4488.75419</v>
      </c>
      <c r="AB975" t="n">
        <v>4611.98192</v>
      </c>
      <c r="AC975" t="n">
        <v>4614.15941</v>
      </c>
      <c r="AD975" t="n">
        <v>0</v>
      </c>
      <c r="AE975">
        <f>AE974+1</f>
        <v/>
      </c>
      <c r="AF975">
        <f>AF974+1</f>
        <v/>
      </c>
      <c r="AG975">
        <f>D975-Q975</f>
        <v/>
      </c>
      <c r="AH975">
        <f>AG975^2</f>
        <v/>
      </c>
      <c r="AI975">
        <f>(AG975/STDEV($AG$3:$AG$1137))^3</f>
        <v/>
      </c>
      <c r="AJ975">
        <f>(AG975/STDEV($AG$3:$AG$1137))^4</f>
        <v/>
      </c>
      <c r="AK975">
        <f>AF975^2</f>
        <v/>
      </c>
      <c r="AL975">
        <f>IF(AD975=1,AB975,IF(AL974&lt;&gt;"",AL974,""))</f>
        <v/>
      </c>
      <c r="AM975">
        <f>IF(AND(AD975=1,AL974&lt;&gt;""),ABS(AB975-AL974),"")</f>
        <v/>
      </c>
    </row>
    <row r="976">
      <c r="A976" t="n">
        <v>1777612502</v>
      </c>
      <c r="B976" t="inlineStr">
        <is>
          <t>XAUUSD</t>
        </is>
      </c>
      <c r="C976" t="inlineStr">
        <is>
          <t>M15</t>
        </is>
      </c>
      <c r="D976" t="n">
        <v>4614.64</v>
      </c>
      <c r="E976" t="n">
        <v>4518.59282</v>
      </c>
      <c r="F976" t="n">
        <v>4596.05595</v>
      </c>
      <c r="G976" t="n">
        <v>4755.40355</v>
      </c>
      <c r="H976" t="n">
        <v>4792.76972</v>
      </c>
      <c r="Q976" t="n">
        <v>4556.99135</v>
      </c>
      <c r="R976" t="n">
        <v>4586.35465</v>
      </c>
      <c r="S976" t="n">
        <v>4612.94342</v>
      </c>
      <c r="V976" t="n">
        <v>4522.05158</v>
      </c>
      <c r="W976" t="n">
        <v>4488.48658</v>
      </c>
      <c r="AB976" t="n">
        <v>4609.70218</v>
      </c>
      <c r="AC976" t="n">
        <v>4611.9308</v>
      </c>
      <c r="AD976" t="n">
        <v>0</v>
      </c>
      <c r="AE976">
        <f>AE975+1</f>
        <v/>
      </c>
      <c r="AF976">
        <f>AF975+1</f>
        <v/>
      </c>
      <c r="AG976">
        <f>D976-Q976</f>
        <v/>
      </c>
      <c r="AH976">
        <f>AG976^2</f>
        <v/>
      </c>
      <c r="AI976">
        <f>(AG976/STDEV($AG$3:$AG$1137))^3</f>
        <v/>
      </c>
      <c r="AJ976">
        <f>(AG976/STDEV($AG$3:$AG$1137))^4</f>
        <v/>
      </c>
      <c r="AK976">
        <f>AF976^2</f>
        <v/>
      </c>
      <c r="AL976">
        <f>IF(AD976=1,AB976,IF(AL975&lt;&gt;"",AL975,""))</f>
        <v/>
      </c>
      <c r="AM976">
        <f>IF(AND(AD976=1,AL975&lt;&gt;""),ABS(AB976-AL975),"")</f>
        <v/>
      </c>
    </row>
    <row r="977">
      <c r="A977" t="n">
        <v>1777613402</v>
      </c>
      <c r="B977" t="inlineStr">
        <is>
          <t>XAUUSD</t>
        </is>
      </c>
      <c r="C977" t="inlineStr">
        <is>
          <t>M15</t>
        </is>
      </c>
      <c r="D977" t="n">
        <v>4610</v>
      </c>
      <c r="E977" t="n">
        <v>4518.59282</v>
      </c>
      <c r="F977" t="n">
        <v>4596.05595</v>
      </c>
      <c r="G977" t="n">
        <v>4755.40355</v>
      </c>
      <c r="H977" t="n">
        <v>4792.76972</v>
      </c>
      <c r="Q977" t="n">
        <v>4556.72374</v>
      </c>
      <c r="R977" t="n">
        <v>4586.08704</v>
      </c>
      <c r="S977" t="n">
        <v>4612.67581</v>
      </c>
      <c r="V977" t="n">
        <v>4521.78397</v>
      </c>
      <c r="W977" t="n">
        <v>4488.21898</v>
      </c>
      <c r="AB977" t="n">
        <v>4607.30397</v>
      </c>
      <c r="AC977" t="n">
        <v>4609.61738</v>
      </c>
      <c r="AD977" t="n">
        <v>0</v>
      </c>
      <c r="AE977">
        <f>AE976+1</f>
        <v/>
      </c>
      <c r="AF977">
        <f>AF976+1</f>
        <v/>
      </c>
      <c r="AG977">
        <f>D977-Q977</f>
        <v/>
      </c>
      <c r="AH977">
        <f>AG977^2</f>
        <v/>
      </c>
      <c r="AI977">
        <f>(AG977/STDEV($AG$3:$AG$1137))^3</f>
        <v/>
      </c>
      <c r="AJ977">
        <f>(AG977/STDEV($AG$3:$AG$1137))^4</f>
        <v/>
      </c>
      <c r="AK977">
        <f>AF977^2</f>
        <v/>
      </c>
      <c r="AL977">
        <f>IF(AD977=1,AB977,IF(AL976&lt;&gt;"",AL976,""))</f>
        <v/>
      </c>
      <c r="AM977">
        <f>IF(AND(AD977=1,AL976&lt;&gt;""),ABS(AB977-AL976),"")</f>
        <v/>
      </c>
    </row>
    <row r="978">
      <c r="A978" t="n">
        <v>1777614302</v>
      </c>
      <c r="B978" t="inlineStr">
        <is>
          <t>XAUUSD</t>
        </is>
      </c>
      <c r="C978" t="inlineStr">
        <is>
          <t>M15</t>
        </is>
      </c>
      <c r="D978" t="n">
        <v>4605.03</v>
      </c>
      <c r="E978" t="n">
        <v>4518.59282</v>
      </c>
      <c r="F978" t="n">
        <v>4596.05595</v>
      </c>
      <c r="G978" t="n">
        <v>4755.40355</v>
      </c>
      <c r="H978" t="n">
        <v>4792.76972</v>
      </c>
      <c r="Q978" t="n">
        <v>4556.45614</v>
      </c>
      <c r="R978" t="n">
        <v>4585.81944</v>
      </c>
      <c r="S978" t="n">
        <v>4612.40821</v>
      </c>
      <c r="V978" t="n">
        <v>4521.51637</v>
      </c>
      <c r="W978" t="n">
        <v>4487.95137</v>
      </c>
      <c r="AB978" t="n">
        <v>4604.83316</v>
      </c>
      <c r="AC978" t="n">
        <v>4607.22527</v>
      </c>
      <c r="AD978" t="n">
        <v>0</v>
      </c>
      <c r="AE978">
        <f>AE977+1</f>
        <v/>
      </c>
      <c r="AF978">
        <f>AF977+1</f>
        <v/>
      </c>
      <c r="AG978">
        <f>D978-Q978</f>
        <v/>
      </c>
      <c r="AH978">
        <f>AG978^2</f>
        <v/>
      </c>
      <c r="AI978">
        <f>(AG978/STDEV($AG$3:$AG$1137))^3</f>
        <v/>
      </c>
      <c r="AJ978">
        <f>(AG978/STDEV($AG$3:$AG$1137))^4</f>
        <v/>
      </c>
      <c r="AK978">
        <f>AF978^2</f>
        <v/>
      </c>
      <c r="AL978">
        <f>IF(AD978=1,AB978,IF(AL977&lt;&gt;"",AL977,""))</f>
        <v/>
      </c>
      <c r="AM978">
        <f>IF(AND(AD978=1,AL977&lt;&gt;""),ABS(AB978-AL977),"")</f>
        <v/>
      </c>
    </row>
    <row r="979">
      <c r="A979" t="n">
        <v>1777615202</v>
      </c>
      <c r="B979" t="inlineStr">
        <is>
          <t>XAUUSD</t>
        </is>
      </c>
      <c r="C979" t="inlineStr">
        <is>
          <t>M15</t>
        </is>
      </c>
      <c r="D979" t="n">
        <v>4601.49</v>
      </c>
      <c r="E979" t="n">
        <v>4518.59282</v>
      </c>
      <c r="F979" t="n">
        <v>4596.05595</v>
      </c>
      <c r="G979" t="n">
        <v>4755.40355</v>
      </c>
      <c r="H979" t="n">
        <v>4792.76972</v>
      </c>
      <c r="Q979" t="n">
        <v>4556.18854</v>
      </c>
      <c r="R979" t="n">
        <v>4585.55183</v>
      </c>
      <c r="S979" t="n">
        <v>4612.14061</v>
      </c>
      <c r="V979" t="n">
        <v>4521.24877</v>
      </c>
      <c r="W979" t="n">
        <v>4487.68377</v>
      </c>
      <c r="AB979" t="n">
        <v>4602.33592</v>
      </c>
      <c r="AC979" t="n">
        <v>4604.7806</v>
      </c>
      <c r="AD979" t="n">
        <v>0</v>
      </c>
      <c r="AE979">
        <f>AE978+1</f>
        <v/>
      </c>
      <c r="AF979">
        <f>AF978+1</f>
        <v/>
      </c>
      <c r="AG979">
        <f>D979-Q979</f>
        <v/>
      </c>
      <c r="AH979">
        <f>AG979^2</f>
        <v/>
      </c>
      <c r="AI979">
        <f>(AG979/STDEV($AG$3:$AG$1137))^3</f>
        <v/>
      </c>
      <c r="AJ979">
        <f>(AG979/STDEV($AG$3:$AG$1137))^4</f>
        <v/>
      </c>
      <c r="AK979">
        <f>AF979^2</f>
        <v/>
      </c>
      <c r="AL979">
        <f>IF(AD979=1,AB979,IF(AL978&lt;&gt;"",AL978,""))</f>
        <v/>
      </c>
      <c r="AM979">
        <f>IF(AND(AD979=1,AL978&lt;&gt;""),ABS(AB979-AL978),"")</f>
        <v/>
      </c>
    </row>
    <row r="980">
      <c r="A980" t="n">
        <v>1777616102</v>
      </c>
      <c r="B980" t="inlineStr">
        <is>
          <t>XAUUSD</t>
        </is>
      </c>
      <c r="C980" t="inlineStr">
        <is>
          <t>M15</t>
        </is>
      </c>
      <c r="D980" t="n">
        <v>4593.44</v>
      </c>
      <c r="E980" t="n">
        <v>4518.59282</v>
      </c>
      <c r="F980" t="n">
        <v>4596.05595</v>
      </c>
      <c r="G980" t="n">
        <v>4755.40355</v>
      </c>
      <c r="H980" t="n">
        <v>4792.76972</v>
      </c>
      <c r="Q980" t="n">
        <v>4555.92093</v>
      </c>
      <c r="R980" t="n">
        <v>4585.28423</v>
      </c>
      <c r="S980" t="n">
        <v>4611.873</v>
      </c>
      <c r="V980" t="n">
        <v>4520.98116</v>
      </c>
      <c r="W980" t="n">
        <v>4487.41617</v>
      </c>
      <c r="AB980" t="n">
        <v>4599.75347</v>
      </c>
      <c r="AC980" t="n">
        <v>4602.26703</v>
      </c>
      <c r="AD980" t="n">
        <v>0</v>
      </c>
      <c r="AE980">
        <f>AE979+1</f>
        <v/>
      </c>
      <c r="AF980">
        <f>AF979+1</f>
        <v/>
      </c>
      <c r="AG980">
        <f>D980-Q980</f>
        <v/>
      </c>
      <c r="AH980">
        <f>AG980^2</f>
        <v/>
      </c>
      <c r="AI980">
        <f>(AG980/STDEV($AG$3:$AG$1137))^3</f>
        <v/>
      </c>
      <c r="AJ980">
        <f>(AG980/STDEV($AG$3:$AG$1137))^4</f>
        <v/>
      </c>
      <c r="AK980">
        <f>AF980^2</f>
        <v/>
      </c>
      <c r="AL980">
        <f>IF(AD980=1,AB980,IF(AL979&lt;&gt;"",AL979,""))</f>
        <v/>
      </c>
      <c r="AM980">
        <f>IF(AND(AD980=1,AL979&lt;&gt;""),ABS(AB980-AL979),"")</f>
        <v/>
      </c>
    </row>
    <row r="981">
      <c r="A981" t="n">
        <v>1777617002</v>
      </c>
      <c r="B981" t="inlineStr">
        <is>
          <t>XAUUSD</t>
        </is>
      </c>
      <c r="C981" t="inlineStr">
        <is>
          <t>M15</t>
        </is>
      </c>
      <c r="D981" t="n">
        <v>4593.36</v>
      </c>
      <c r="E981" t="n">
        <v>4518.59282</v>
      </c>
      <c r="F981" t="n">
        <v>4596.05595</v>
      </c>
      <c r="G981" t="n">
        <v>4755.40355</v>
      </c>
      <c r="H981" t="n">
        <v>4792.76972</v>
      </c>
      <c r="Q981" t="n">
        <v>4555.65333</v>
      </c>
      <c r="R981" t="n">
        <v>4585.01663</v>
      </c>
      <c r="S981" t="n">
        <v>4611.6054</v>
      </c>
      <c r="V981" t="n">
        <v>4520.71356</v>
      </c>
      <c r="W981" t="n">
        <v>4487.14856</v>
      </c>
      <c r="AB981" t="n">
        <v>4597.13603</v>
      </c>
      <c r="AC981" t="n">
        <v>4599.70153</v>
      </c>
      <c r="AD981" t="n">
        <v>0</v>
      </c>
      <c r="AE981">
        <f>AE980+1</f>
        <v/>
      </c>
      <c r="AF981">
        <f>AF980+1</f>
        <v/>
      </c>
      <c r="AG981">
        <f>D981-Q981</f>
        <v/>
      </c>
      <c r="AH981">
        <f>AG981^2</f>
        <v/>
      </c>
      <c r="AI981">
        <f>(AG981/STDEV($AG$3:$AG$1137))^3</f>
        <v/>
      </c>
      <c r="AJ981">
        <f>(AG981/STDEV($AG$3:$AG$1137))^4</f>
        <v/>
      </c>
      <c r="AK981">
        <f>AF981^2</f>
        <v/>
      </c>
      <c r="AL981">
        <f>IF(AD981=1,AB981,IF(AL980&lt;&gt;"",AL980,""))</f>
        <v/>
      </c>
      <c r="AM981">
        <f>IF(AND(AD981=1,AL980&lt;&gt;""),ABS(AB981-AL980),"")</f>
        <v/>
      </c>
    </row>
    <row r="982">
      <c r="A982" t="n">
        <v>1777617902</v>
      </c>
      <c r="B982" t="inlineStr">
        <is>
          <t>XAUUSD</t>
        </is>
      </c>
      <c r="C982" t="inlineStr">
        <is>
          <t>M15</t>
        </is>
      </c>
      <c r="D982" t="n">
        <v>4594.77</v>
      </c>
      <c r="E982" t="n">
        <v>4518.59282</v>
      </c>
      <c r="F982" t="n">
        <v>4596.05595</v>
      </c>
      <c r="G982" t="n">
        <v>4755.40355</v>
      </c>
      <c r="H982" t="n">
        <v>4792.76972</v>
      </c>
      <c r="Q982" t="n">
        <v>4555.38572</v>
      </c>
      <c r="R982" t="n">
        <v>4584.74902</v>
      </c>
      <c r="S982" t="n">
        <v>4611.33779</v>
      </c>
      <c r="V982" t="n">
        <v>4520.44595</v>
      </c>
      <c r="W982" t="n">
        <v>4486.88096</v>
      </c>
      <c r="AB982" t="n">
        <v>4594.29338</v>
      </c>
      <c r="AC982" t="n">
        <v>4596.99745</v>
      </c>
      <c r="AD982" t="n">
        <v>0</v>
      </c>
      <c r="AE982">
        <f>AE981+1</f>
        <v/>
      </c>
      <c r="AF982">
        <f>AF981+1</f>
        <v/>
      </c>
      <c r="AG982">
        <f>D982-Q982</f>
        <v/>
      </c>
      <c r="AH982">
        <f>AG982^2</f>
        <v/>
      </c>
      <c r="AI982">
        <f>(AG982/STDEV($AG$3:$AG$1137))^3</f>
        <v/>
      </c>
      <c r="AJ982">
        <f>(AG982/STDEV($AG$3:$AG$1137))^4</f>
        <v/>
      </c>
      <c r="AK982">
        <f>AF982^2</f>
        <v/>
      </c>
      <c r="AL982">
        <f>IF(AD982=1,AB982,IF(AL981&lt;&gt;"",AL981,""))</f>
        <v/>
      </c>
      <c r="AM982">
        <f>IF(AND(AD982=1,AL981&lt;&gt;""),ABS(AB982-AL981),"")</f>
        <v/>
      </c>
    </row>
    <row r="983">
      <c r="A983" t="n">
        <v>1777618802</v>
      </c>
      <c r="B983" t="inlineStr">
        <is>
          <t>XAUUSD</t>
        </is>
      </c>
      <c r="C983" t="inlineStr">
        <is>
          <t>M15</t>
        </is>
      </c>
      <c r="D983" t="n">
        <v>4595.97</v>
      </c>
      <c r="E983" t="n">
        <v>4518.59282</v>
      </c>
      <c r="F983" t="n">
        <v>4596.05595</v>
      </c>
      <c r="G983" t="n">
        <v>4755.40355</v>
      </c>
      <c r="H983" t="n">
        <v>4792.76972</v>
      </c>
      <c r="Q983" t="n">
        <v>4555.11812</v>
      </c>
      <c r="R983" t="n">
        <v>4584.48142</v>
      </c>
      <c r="S983" t="n">
        <v>4611.07019</v>
      </c>
      <c r="V983" t="n">
        <v>4520.17835</v>
      </c>
      <c r="W983" t="n">
        <v>4486.61335</v>
      </c>
      <c r="AB983" t="n">
        <v>4591.09649</v>
      </c>
      <c r="AC983" t="n">
        <v>4594.04697</v>
      </c>
      <c r="AD983" t="n">
        <v>0</v>
      </c>
      <c r="AE983">
        <f>AE982+1</f>
        <v/>
      </c>
      <c r="AF983">
        <f>AF982+1</f>
        <v/>
      </c>
      <c r="AG983">
        <f>D983-Q983</f>
        <v/>
      </c>
      <c r="AH983">
        <f>AG983^2</f>
        <v/>
      </c>
      <c r="AI983">
        <f>(AG983/STDEV($AG$3:$AG$1137))^3</f>
        <v/>
      </c>
      <c r="AJ983">
        <f>(AG983/STDEV($AG$3:$AG$1137))^4</f>
        <v/>
      </c>
      <c r="AK983">
        <f>AF983^2</f>
        <v/>
      </c>
      <c r="AL983">
        <f>IF(AD983=1,AB983,IF(AL982&lt;&gt;"",AL982,""))</f>
        <v/>
      </c>
      <c r="AM983">
        <f>IF(AND(AD983=1,AL982&lt;&gt;""),ABS(AB983-AL982),"")</f>
        <v/>
      </c>
    </row>
    <row r="984">
      <c r="A984" t="n">
        <v>1777619702</v>
      </c>
      <c r="B984" t="inlineStr">
        <is>
          <t>XAUUSD</t>
        </is>
      </c>
      <c r="C984" t="inlineStr">
        <is>
          <t>M15</t>
        </is>
      </c>
      <c r="D984" t="n">
        <v>4592.32</v>
      </c>
      <c r="E984" t="n">
        <v>4518.59282</v>
      </c>
      <c r="F984" t="n">
        <v>4596.05595</v>
      </c>
      <c r="G984" t="n">
        <v>4755.40355</v>
      </c>
      <c r="H984" t="n">
        <v>4792.76972</v>
      </c>
      <c r="Q984" t="n">
        <v>4554.85052</v>
      </c>
      <c r="R984" t="n">
        <v>4584.21381</v>
      </c>
      <c r="S984" t="n">
        <v>4610.80259</v>
      </c>
      <c r="V984" t="n">
        <v>4519.91075</v>
      </c>
      <c r="W984" t="n">
        <v>4486.34575</v>
      </c>
      <c r="AB984" t="n">
        <v>4587.48142</v>
      </c>
      <c r="AC984" t="n">
        <v>4590.7642</v>
      </c>
      <c r="AD984" t="n">
        <v>0</v>
      </c>
      <c r="AE984">
        <f>AE983+1</f>
        <v/>
      </c>
      <c r="AF984">
        <f>AF983+1</f>
        <v/>
      </c>
      <c r="AG984">
        <f>D984-Q984</f>
        <v/>
      </c>
      <c r="AH984">
        <f>AG984^2</f>
        <v/>
      </c>
      <c r="AI984">
        <f>(AG984/STDEV($AG$3:$AG$1137))^3</f>
        <v/>
      </c>
      <c r="AJ984">
        <f>(AG984/STDEV($AG$3:$AG$1137))^4</f>
        <v/>
      </c>
      <c r="AK984">
        <f>AF984^2</f>
        <v/>
      </c>
      <c r="AL984">
        <f>IF(AD984=1,AB984,IF(AL983&lt;&gt;"",AL983,""))</f>
        <v/>
      </c>
      <c r="AM984">
        <f>IF(AND(AD984=1,AL983&lt;&gt;""),ABS(AB984-AL983),"")</f>
        <v/>
      </c>
    </row>
    <row r="985">
      <c r="A985" t="n">
        <v>1777620602</v>
      </c>
      <c r="B985" t="inlineStr">
        <is>
          <t>XAUUSD</t>
        </is>
      </c>
      <c r="C985" t="inlineStr">
        <is>
          <t>M15</t>
        </is>
      </c>
      <c r="D985" t="n">
        <v>4585.41</v>
      </c>
      <c r="E985" t="n">
        <v>4518.59282</v>
      </c>
      <c r="F985" t="n">
        <v>4596.05595</v>
      </c>
      <c r="G985" t="n">
        <v>4755.40355</v>
      </c>
      <c r="H985" t="n">
        <v>4792.76972</v>
      </c>
      <c r="Q985" t="n">
        <v>4554.58291</v>
      </c>
      <c r="R985" t="n">
        <v>4583.94621</v>
      </c>
      <c r="S985" t="n">
        <v>4610.53498</v>
      </c>
      <c r="V985" t="n">
        <v>4519.64314</v>
      </c>
      <c r="W985" t="n">
        <v>4486.07815</v>
      </c>
      <c r="AB985" t="n">
        <v>4583.57847</v>
      </c>
      <c r="AC985" t="n">
        <v>4587.17133</v>
      </c>
      <c r="AD985" t="n">
        <v>0</v>
      </c>
      <c r="AE985">
        <f>AE984+1</f>
        <v/>
      </c>
      <c r="AF985">
        <f>AF984+1</f>
        <v/>
      </c>
      <c r="AG985">
        <f>D985-Q985</f>
        <v/>
      </c>
      <c r="AH985">
        <f>AG985^2</f>
        <v/>
      </c>
      <c r="AI985">
        <f>(AG985/STDEV($AG$3:$AG$1137))^3</f>
        <v/>
      </c>
      <c r="AJ985">
        <f>(AG985/STDEV($AG$3:$AG$1137))^4</f>
        <v/>
      </c>
      <c r="AK985">
        <f>AF985^2</f>
        <v/>
      </c>
      <c r="AL985">
        <f>IF(AD985=1,AB985,IF(AL984&lt;&gt;"",AL984,""))</f>
        <v/>
      </c>
      <c r="AM985">
        <f>IF(AND(AD985=1,AL984&lt;&gt;""),ABS(AB985-AL984),"")</f>
        <v/>
      </c>
    </row>
    <row r="986">
      <c r="A986" t="n">
        <v>1777621502</v>
      </c>
      <c r="B986" t="inlineStr">
        <is>
          <t>XAUUSD</t>
        </is>
      </c>
      <c r="C986" t="inlineStr">
        <is>
          <t>M15</t>
        </is>
      </c>
      <c r="D986" t="n">
        <v>4578.16</v>
      </c>
      <c r="E986" t="n">
        <v>4518.59282</v>
      </c>
      <c r="F986" t="n">
        <v>4596.05595</v>
      </c>
      <c r="G986" t="n">
        <v>4755.40355</v>
      </c>
      <c r="H986" t="n">
        <v>4792.76972</v>
      </c>
      <c r="Q986" t="n">
        <v>4554.31531</v>
      </c>
      <c r="R986" t="n">
        <v>4583.67861</v>
      </c>
      <c r="S986" t="n">
        <v>4610.26738</v>
      </c>
      <c r="V986" t="n">
        <v>4519.37554</v>
      </c>
      <c r="W986" t="n">
        <v>4485.81054</v>
      </c>
      <c r="AB986" t="n">
        <v>4579.65779</v>
      </c>
      <c r="AC986" t="n">
        <v>4583.41456</v>
      </c>
      <c r="AD986" t="n">
        <v>0</v>
      </c>
      <c r="AE986">
        <f>AE985+1</f>
        <v/>
      </c>
      <c r="AF986">
        <f>AF985+1</f>
        <v/>
      </c>
      <c r="AG986">
        <f>D986-Q986</f>
        <v/>
      </c>
      <c r="AH986">
        <f>AG986^2</f>
        <v/>
      </c>
      <c r="AI986">
        <f>(AG986/STDEV($AG$3:$AG$1137))^3</f>
        <v/>
      </c>
      <c r="AJ986">
        <f>(AG986/STDEV($AG$3:$AG$1137))^4</f>
        <v/>
      </c>
      <c r="AK986">
        <f>AF986^2</f>
        <v/>
      </c>
      <c r="AL986">
        <f>IF(AD986=1,AB986,IF(AL985&lt;&gt;"",AL985,""))</f>
        <v/>
      </c>
      <c r="AM986">
        <f>IF(AND(AD986=1,AL985&lt;&gt;""),ABS(AB986-AL985),"")</f>
        <v/>
      </c>
    </row>
    <row r="987">
      <c r="A987" t="n">
        <v>1777622402</v>
      </c>
      <c r="B987" t="inlineStr">
        <is>
          <t>XAUUSD</t>
        </is>
      </c>
      <c r="C987" t="inlineStr">
        <is>
          <t>M15</t>
        </is>
      </c>
      <c r="D987" t="n">
        <v>4574.06</v>
      </c>
      <c r="E987" t="n">
        <v>4518.59282</v>
      </c>
      <c r="F987" t="n">
        <v>4596.05595</v>
      </c>
      <c r="G987" t="n">
        <v>4755.40355</v>
      </c>
      <c r="H987" t="n">
        <v>4792.76972</v>
      </c>
      <c r="Q987" t="n">
        <v>4554.0477</v>
      </c>
      <c r="R987" t="n">
        <v>4583.411</v>
      </c>
      <c r="S987" t="n">
        <v>4609.99977</v>
      </c>
      <c r="V987" t="n">
        <v>4519.10793</v>
      </c>
      <c r="W987" t="n">
        <v>4485.54294</v>
      </c>
      <c r="AB987" t="n">
        <v>4576.01848</v>
      </c>
      <c r="AC987" t="n">
        <v>4579.71652</v>
      </c>
      <c r="AD987" t="n">
        <v>0</v>
      </c>
      <c r="AE987">
        <f>AE986+1</f>
        <v/>
      </c>
      <c r="AF987">
        <f>AF986+1</f>
        <v/>
      </c>
      <c r="AG987">
        <f>D987-Q987</f>
        <v/>
      </c>
      <c r="AH987">
        <f>AG987^2</f>
        <v/>
      </c>
      <c r="AI987">
        <f>(AG987/STDEV($AG$3:$AG$1137))^3</f>
        <v/>
      </c>
      <c r="AJ987">
        <f>(AG987/STDEV($AG$3:$AG$1137))^4</f>
        <v/>
      </c>
      <c r="AK987">
        <f>AF987^2</f>
        <v/>
      </c>
      <c r="AL987">
        <f>IF(AD987=1,AB987,IF(AL986&lt;&gt;"",AL986,""))</f>
        <v/>
      </c>
      <c r="AM987">
        <f>IF(AND(AD987=1,AL986&lt;&gt;""),ABS(AB987-AL986),"")</f>
        <v/>
      </c>
    </row>
    <row r="988">
      <c r="A988" t="n">
        <v>1777623302</v>
      </c>
      <c r="B988" t="inlineStr">
        <is>
          <t>XAUUSD</t>
        </is>
      </c>
      <c r="C988" t="inlineStr">
        <is>
          <t>M15</t>
        </is>
      </c>
      <c r="D988" t="n">
        <v>4567.37</v>
      </c>
      <c r="E988" t="n">
        <v>4518.59282</v>
      </c>
      <c r="F988" t="n">
        <v>4596.05595</v>
      </c>
      <c r="G988" t="n">
        <v>4755.40355</v>
      </c>
      <c r="H988" t="n">
        <v>4792.76972</v>
      </c>
      <c r="Q988" t="n">
        <v>4553.7801</v>
      </c>
      <c r="R988" t="n">
        <v>4583.1434</v>
      </c>
      <c r="S988" t="n">
        <v>4609.73217</v>
      </c>
      <c r="V988" t="n">
        <v>4518.84033</v>
      </c>
      <c r="W988" t="n">
        <v>4485.27533</v>
      </c>
      <c r="AB988" t="n">
        <v>4572.85269</v>
      </c>
      <c r="AC988" t="n">
        <v>4576.2846</v>
      </c>
      <c r="AD988" t="n">
        <v>0</v>
      </c>
      <c r="AE988">
        <f>AE987+1</f>
        <v/>
      </c>
      <c r="AF988">
        <f>AF987+1</f>
        <v/>
      </c>
      <c r="AG988">
        <f>D988-Q988</f>
        <v/>
      </c>
      <c r="AH988">
        <f>AG988^2</f>
        <v/>
      </c>
      <c r="AI988">
        <f>(AG988/STDEV($AG$3:$AG$1137))^3</f>
        <v/>
      </c>
      <c r="AJ988">
        <f>(AG988/STDEV($AG$3:$AG$1137))^4</f>
        <v/>
      </c>
      <c r="AK988">
        <f>AF988^2</f>
        <v/>
      </c>
      <c r="AL988">
        <f>IF(AD988=1,AB988,IF(AL987&lt;&gt;"",AL987,""))</f>
        <v/>
      </c>
      <c r="AM988">
        <f>IF(AND(AD988=1,AL987&lt;&gt;""),ABS(AB988-AL987),"")</f>
        <v/>
      </c>
    </row>
    <row r="989">
      <c r="A989" t="n">
        <v>1777624202</v>
      </c>
      <c r="B989" t="inlineStr">
        <is>
          <t>XAUUSD</t>
        </is>
      </c>
      <c r="C989" t="inlineStr">
        <is>
          <t>M15</t>
        </is>
      </c>
      <c r="D989" t="n">
        <v>4571.29</v>
      </c>
      <c r="E989" t="n">
        <v>4518.59282</v>
      </c>
      <c r="F989" t="n">
        <v>4596.05595</v>
      </c>
      <c r="G989" t="n">
        <v>4755.40355</v>
      </c>
      <c r="H989" t="n">
        <v>4792.76972</v>
      </c>
      <c r="Q989" t="n">
        <v>4553.5125</v>
      </c>
      <c r="R989" t="n">
        <v>4582.87579</v>
      </c>
      <c r="S989" t="n">
        <v>4609.46456</v>
      </c>
      <c r="V989" t="n">
        <v>4518.57273</v>
      </c>
      <c r="W989" t="n">
        <v>4485.00773</v>
      </c>
      <c r="AB989" t="n">
        <v>4570.38966</v>
      </c>
      <c r="AC989" t="n">
        <v>4573.33713</v>
      </c>
      <c r="AD989" t="n">
        <v>0</v>
      </c>
      <c r="AE989">
        <f>AE988+1</f>
        <v/>
      </c>
      <c r="AF989">
        <f>AF988+1</f>
        <v/>
      </c>
      <c r="AG989">
        <f>D989-Q989</f>
        <v/>
      </c>
      <c r="AH989">
        <f>AG989^2</f>
        <v/>
      </c>
      <c r="AI989">
        <f>(AG989/STDEV($AG$3:$AG$1137))^3</f>
        <v/>
      </c>
      <c r="AJ989">
        <f>(AG989/STDEV($AG$3:$AG$1137))^4</f>
        <v/>
      </c>
      <c r="AK989">
        <f>AF989^2</f>
        <v/>
      </c>
      <c r="AL989">
        <f>IF(AD989=1,AB989,IF(AL988&lt;&gt;"",AL988,""))</f>
        <v/>
      </c>
      <c r="AM989">
        <f>IF(AND(AD989=1,AL988&lt;&gt;""),ABS(AB989-AL988),"")</f>
        <v/>
      </c>
    </row>
    <row r="990">
      <c r="A990" t="n">
        <v>1777625102</v>
      </c>
      <c r="B990" t="inlineStr">
        <is>
          <t>XAUUSD</t>
        </is>
      </c>
      <c r="C990" t="inlineStr">
        <is>
          <t>M15</t>
        </is>
      </c>
      <c r="D990" t="n">
        <v>4568.51</v>
      </c>
      <c r="E990" t="n">
        <v>4518.59282</v>
      </c>
      <c r="F990" t="n">
        <v>4596.05595</v>
      </c>
      <c r="G990" t="n">
        <v>4755.40355</v>
      </c>
      <c r="H990" t="n">
        <v>4792.76972</v>
      </c>
      <c r="Q990" t="n">
        <v>4553.24489</v>
      </c>
      <c r="R990" t="n">
        <v>4582.60819</v>
      </c>
      <c r="S990" t="n">
        <v>4609.19696</v>
      </c>
      <c r="V990" t="n">
        <v>4518.30512</v>
      </c>
      <c r="W990" t="n">
        <v>4484.74012</v>
      </c>
      <c r="AB990" t="n">
        <v>4568.51331</v>
      </c>
      <c r="AC990" t="n">
        <v>4570.92522</v>
      </c>
      <c r="AD990" t="n">
        <v>0</v>
      </c>
      <c r="AE990">
        <f>AE989+1</f>
        <v/>
      </c>
      <c r="AF990">
        <f>AF989+1</f>
        <v/>
      </c>
      <c r="AG990">
        <f>D990-Q990</f>
        <v/>
      </c>
      <c r="AH990">
        <f>AG990^2</f>
        <v/>
      </c>
      <c r="AI990">
        <f>(AG990/STDEV($AG$3:$AG$1137))^3</f>
        <v/>
      </c>
      <c r="AJ990">
        <f>(AG990/STDEV($AG$3:$AG$1137))^4</f>
        <v/>
      </c>
      <c r="AK990">
        <f>AF990^2</f>
        <v/>
      </c>
      <c r="AL990">
        <f>IF(AD990=1,AB990,IF(AL989&lt;&gt;"",AL989,""))</f>
        <v/>
      </c>
      <c r="AM990">
        <f>IF(AND(AD990=1,AL989&lt;&gt;""),ABS(AB990-AL989),"")</f>
        <v/>
      </c>
    </row>
    <row r="991">
      <c r="A991" t="n">
        <v>1777626002</v>
      </c>
      <c r="B991" t="inlineStr">
        <is>
          <t>XAUUSD</t>
        </is>
      </c>
      <c r="C991" t="inlineStr">
        <is>
          <t>M15</t>
        </is>
      </c>
      <c r="D991" t="n">
        <v>4565.87</v>
      </c>
      <c r="E991" t="n">
        <v>4518.59282</v>
      </c>
      <c r="F991" t="n">
        <v>4596.05595</v>
      </c>
      <c r="G991" t="n">
        <v>4755.40355</v>
      </c>
      <c r="H991" t="n">
        <v>4792.76972</v>
      </c>
      <c r="Q991" t="n">
        <v>4552.97729</v>
      </c>
      <c r="R991" t="n">
        <v>4582.34059</v>
      </c>
      <c r="S991" t="n">
        <v>4608.92936</v>
      </c>
      <c r="V991" t="n">
        <v>4518.03752</v>
      </c>
      <c r="W991" t="n">
        <v>4484.47252</v>
      </c>
      <c r="AB991" t="n">
        <v>4567.25655</v>
      </c>
      <c r="AC991" t="n">
        <v>4569.09088</v>
      </c>
      <c r="AD991" t="n">
        <v>0</v>
      </c>
      <c r="AE991">
        <f>AE990+1</f>
        <v/>
      </c>
      <c r="AF991">
        <f>AF990+1</f>
        <v/>
      </c>
      <c r="AG991">
        <f>D991-Q991</f>
        <v/>
      </c>
      <c r="AH991">
        <f>AG991^2</f>
        <v/>
      </c>
      <c r="AI991">
        <f>(AG991/STDEV($AG$3:$AG$1137))^3</f>
        <v/>
      </c>
      <c r="AJ991">
        <f>(AG991/STDEV($AG$3:$AG$1137))^4</f>
        <v/>
      </c>
      <c r="AK991">
        <f>AF991^2</f>
        <v/>
      </c>
      <c r="AL991">
        <f>IF(AD991=1,AB991,IF(AL990&lt;&gt;"",AL990,""))</f>
        <v/>
      </c>
      <c r="AM991">
        <f>IF(AND(AD991=1,AL990&lt;&gt;""),ABS(AB991-AL990),"")</f>
        <v/>
      </c>
    </row>
    <row r="992">
      <c r="A992" t="n">
        <v>1777626902</v>
      </c>
      <c r="B992" t="inlineStr">
        <is>
          <t>XAUUSD</t>
        </is>
      </c>
      <c r="C992" t="inlineStr">
        <is>
          <t>M15</t>
        </is>
      </c>
      <c r="D992" t="n">
        <v>4569.29</v>
      </c>
      <c r="E992" t="n">
        <v>4518.59282</v>
      </c>
      <c r="F992" t="n">
        <v>4596.05595</v>
      </c>
      <c r="G992" t="n">
        <v>4755.40355</v>
      </c>
      <c r="H992" t="n">
        <v>4792.76972</v>
      </c>
      <c r="Q992" t="n">
        <v>4552.70968</v>
      </c>
      <c r="R992" t="n">
        <v>4582.07298</v>
      </c>
      <c r="S992" t="n">
        <v>4608.66175</v>
      </c>
      <c r="V992" t="n">
        <v>4517.76991</v>
      </c>
      <c r="W992" t="n">
        <v>4484.20492</v>
      </c>
      <c r="AB992" t="n">
        <v>4566.60201</v>
      </c>
      <c r="AC992" t="n">
        <v>4567.84645</v>
      </c>
      <c r="AD992" t="n">
        <v>0</v>
      </c>
      <c r="AE992">
        <f>AE991+1</f>
        <v/>
      </c>
      <c r="AF992">
        <f>AF991+1</f>
        <v/>
      </c>
      <c r="AG992">
        <f>D992-Q992</f>
        <v/>
      </c>
      <c r="AH992">
        <f>AG992^2</f>
        <v/>
      </c>
      <c r="AI992">
        <f>(AG992/STDEV($AG$3:$AG$1137))^3</f>
        <v/>
      </c>
      <c r="AJ992">
        <f>(AG992/STDEV($AG$3:$AG$1137))^4</f>
        <v/>
      </c>
      <c r="AK992">
        <f>AF992^2</f>
        <v/>
      </c>
      <c r="AL992">
        <f>IF(AD992=1,AB992,IF(AL991&lt;&gt;"",AL991,""))</f>
        <v/>
      </c>
      <c r="AM992">
        <f>IF(AND(AD992=1,AL991&lt;&gt;""),ABS(AB992-AL991),"")</f>
        <v/>
      </c>
    </row>
    <row r="993">
      <c r="A993" t="n">
        <v>1777627802</v>
      </c>
      <c r="B993" t="inlineStr">
        <is>
          <t>XAUUSD</t>
        </is>
      </c>
      <c r="C993" t="inlineStr">
        <is>
          <t>M15</t>
        </is>
      </c>
      <c r="D993" t="n">
        <v>4570.62</v>
      </c>
      <c r="E993" t="n">
        <v>4518.59282</v>
      </c>
      <c r="F993" t="n">
        <v>4596.05595</v>
      </c>
      <c r="G993" t="n">
        <v>4755.40355</v>
      </c>
      <c r="H993" t="n">
        <v>4792.76972</v>
      </c>
      <c r="Q993" t="n">
        <v>4552.44208</v>
      </c>
      <c r="R993" t="n">
        <v>4581.80538</v>
      </c>
      <c r="S993" t="n">
        <v>4608.39415</v>
      </c>
      <c r="V993" t="n">
        <v>4517.50231</v>
      </c>
      <c r="W993" t="n">
        <v>4483.93731</v>
      </c>
      <c r="AB993" t="n">
        <v>4566.36135</v>
      </c>
      <c r="AC993" t="n">
        <v>4567.1039</v>
      </c>
      <c r="AD993" t="n">
        <v>0</v>
      </c>
      <c r="AE993">
        <f>AE992+1</f>
        <v/>
      </c>
      <c r="AF993">
        <f>AF992+1</f>
        <v/>
      </c>
      <c r="AG993">
        <f>D993-Q993</f>
        <v/>
      </c>
      <c r="AH993">
        <f>AG993^2</f>
        <v/>
      </c>
      <c r="AI993">
        <f>(AG993/STDEV($AG$3:$AG$1137))^3</f>
        <v/>
      </c>
      <c r="AJ993">
        <f>(AG993/STDEV($AG$3:$AG$1137))^4</f>
        <v/>
      </c>
      <c r="AK993">
        <f>AF993^2</f>
        <v/>
      </c>
      <c r="AL993">
        <f>IF(AD993=1,AB993,IF(AL992&lt;&gt;"",AL992,""))</f>
        <v/>
      </c>
      <c r="AM993">
        <f>IF(AND(AD993=1,AL992&lt;&gt;""),ABS(AB993-AL992),"")</f>
        <v/>
      </c>
    </row>
    <row r="994">
      <c r="A994" t="n">
        <v>1777628702</v>
      </c>
      <c r="B994" t="inlineStr">
        <is>
          <t>XAUUSD</t>
        </is>
      </c>
      <c r="C994" t="inlineStr">
        <is>
          <t>M15</t>
        </is>
      </c>
      <c r="D994" t="n">
        <v>4563.12</v>
      </c>
      <c r="E994" t="n">
        <v>4518.59282</v>
      </c>
      <c r="F994" t="n">
        <v>4596.05595</v>
      </c>
      <c r="G994" t="n">
        <v>4755.40355</v>
      </c>
      <c r="H994" t="n">
        <v>4792.76972</v>
      </c>
      <c r="Q994" t="n">
        <v>4552.17447</v>
      </c>
      <c r="R994" t="n">
        <v>4581.53777</v>
      </c>
      <c r="S994" t="n">
        <v>4608.12654</v>
      </c>
      <c r="V994" t="n">
        <v>4517.2347</v>
      </c>
      <c r="W994" t="n">
        <v>4483.66971</v>
      </c>
      <c r="AA994" t="n">
        <v>4560.44</v>
      </c>
      <c r="AB994" t="n">
        <v>4566.40961</v>
      </c>
      <c r="AC994" t="n">
        <v>4566.75676</v>
      </c>
      <c r="AD994" t="n">
        <v>0</v>
      </c>
      <c r="AE994">
        <f>AE993+1</f>
        <v/>
      </c>
      <c r="AF994">
        <f>AF993+1</f>
        <v/>
      </c>
      <c r="AG994">
        <f>D994-Q994</f>
        <v/>
      </c>
      <c r="AH994">
        <f>AG994^2</f>
        <v/>
      </c>
      <c r="AI994">
        <f>(AG994/STDEV($AG$3:$AG$1137))^3</f>
        <v/>
      </c>
      <c r="AJ994">
        <f>(AG994/STDEV($AG$3:$AG$1137))^4</f>
        <v/>
      </c>
      <c r="AK994">
        <f>AF994^2</f>
        <v/>
      </c>
      <c r="AL994">
        <f>IF(AD994=1,AB994,IF(AL993&lt;&gt;"",AL993,""))</f>
        <v/>
      </c>
      <c r="AM994">
        <f>IF(AND(AD994=1,AL993&lt;&gt;""),ABS(AB994-AL993),"")</f>
        <v/>
      </c>
    </row>
    <row r="995">
      <c r="A995" t="n">
        <v>1777629602</v>
      </c>
      <c r="B995" t="inlineStr">
        <is>
          <t>XAUUSD</t>
        </is>
      </c>
      <c r="C995" t="inlineStr">
        <is>
          <t>M15</t>
        </is>
      </c>
      <c r="D995" t="n">
        <v>4566.78</v>
      </c>
      <c r="E995" t="n">
        <v>4518.59282</v>
      </c>
      <c r="F995" t="n">
        <v>4596.05595</v>
      </c>
      <c r="G995" t="n">
        <v>4755.40355</v>
      </c>
      <c r="H995" t="n">
        <v>4792.76972</v>
      </c>
      <c r="Q995" t="n">
        <v>4551.90687</v>
      </c>
      <c r="R995" t="n">
        <v>4581.27017</v>
      </c>
      <c r="S995" t="n">
        <v>4607.85894</v>
      </c>
      <c r="V995" t="n">
        <v>4516.9671</v>
      </c>
      <c r="W995" t="n">
        <v>4483.4021</v>
      </c>
      <c r="AB995" t="n">
        <v>4566.93363</v>
      </c>
      <c r="AC995" t="n">
        <v>4566.84519</v>
      </c>
      <c r="AD995" t="n">
        <v>1</v>
      </c>
      <c r="AE995">
        <f>AE994+1</f>
        <v/>
      </c>
      <c r="AF995">
        <f>AF994+1</f>
        <v/>
      </c>
      <c r="AG995">
        <f>D995-Q995</f>
        <v/>
      </c>
      <c r="AH995">
        <f>AG995^2</f>
        <v/>
      </c>
      <c r="AI995">
        <f>(AG995/STDEV($AG$3:$AG$1137))^3</f>
        <v/>
      </c>
      <c r="AJ995">
        <f>(AG995/STDEV($AG$3:$AG$1137))^4</f>
        <v/>
      </c>
      <c r="AK995">
        <f>AF995^2</f>
        <v/>
      </c>
      <c r="AL995">
        <f>IF(AD995=1,AB995,IF(AL994&lt;&gt;"",AL994,""))</f>
        <v/>
      </c>
      <c r="AM995">
        <f>IF(AND(AD995=1,AL994&lt;&gt;""),ABS(AB995-AL994),"")</f>
        <v/>
      </c>
    </row>
    <row r="996">
      <c r="A996" t="n">
        <v>1777630502</v>
      </c>
      <c r="B996" t="inlineStr">
        <is>
          <t>XAUUSD</t>
        </is>
      </c>
      <c r="C996" t="inlineStr">
        <is>
          <t>M15</t>
        </is>
      </c>
      <c r="D996" t="n">
        <v>4572.18</v>
      </c>
      <c r="E996" t="n">
        <v>4518.59282</v>
      </c>
      <c r="F996" t="n">
        <v>4596.05595</v>
      </c>
      <c r="G996" t="n">
        <v>4755.40355</v>
      </c>
      <c r="H996" t="n">
        <v>4792.76972</v>
      </c>
      <c r="Q996" t="n">
        <v>4551.63927</v>
      </c>
      <c r="R996" t="n">
        <v>4581.00257</v>
      </c>
      <c r="S996" t="n">
        <v>4607.59134</v>
      </c>
      <c r="V996" t="n">
        <v>4516.6995</v>
      </c>
      <c r="W996" t="n">
        <v>4483.1345</v>
      </c>
      <c r="AB996" t="n">
        <v>4567.82184</v>
      </c>
      <c r="AC996" t="n">
        <v>4567.33352</v>
      </c>
      <c r="AD996" t="n">
        <v>0</v>
      </c>
      <c r="AE996">
        <f>AE995+1</f>
        <v/>
      </c>
      <c r="AF996">
        <f>AF995+1</f>
        <v/>
      </c>
      <c r="AG996">
        <f>D996-Q996</f>
        <v/>
      </c>
      <c r="AH996">
        <f>AG996^2</f>
        <v/>
      </c>
      <c r="AI996">
        <f>(AG996/STDEV($AG$3:$AG$1137))^3</f>
        <v/>
      </c>
      <c r="AJ996">
        <f>(AG996/STDEV($AG$3:$AG$1137))^4</f>
        <v/>
      </c>
      <c r="AK996">
        <f>AF996^2</f>
        <v/>
      </c>
      <c r="AL996">
        <f>IF(AD996=1,AB996,IF(AL995&lt;&gt;"",AL995,""))</f>
        <v/>
      </c>
      <c r="AM996">
        <f>IF(AND(AD996=1,AL995&lt;&gt;""),ABS(AB996-AL995),"")</f>
        <v/>
      </c>
    </row>
    <row r="997">
      <c r="A997" t="n">
        <v>1777631402</v>
      </c>
      <c r="B997" t="inlineStr">
        <is>
          <t>XAUUSD</t>
        </is>
      </c>
      <c r="C997" t="inlineStr">
        <is>
          <t>M15</t>
        </is>
      </c>
      <c r="D997" t="n">
        <v>4570.49</v>
      </c>
      <c r="E997" t="n">
        <v>4518.59282</v>
      </c>
      <c r="F997" t="n">
        <v>4596.05595</v>
      </c>
      <c r="G997" t="n">
        <v>4755.40355</v>
      </c>
      <c r="H997" t="n">
        <v>4792.76972</v>
      </c>
      <c r="Q997" t="n">
        <v>4551.37166</v>
      </c>
      <c r="R997" t="n">
        <v>4580.73496</v>
      </c>
      <c r="S997" t="n">
        <v>4607.32373</v>
      </c>
      <c r="V997" t="n">
        <v>4516.43189</v>
      </c>
      <c r="W997" t="n">
        <v>4482.8669</v>
      </c>
      <c r="AB997" t="n">
        <v>4568.91827</v>
      </c>
      <c r="AC997" t="n">
        <v>4568.12589</v>
      </c>
      <c r="AD997" t="n">
        <v>0</v>
      </c>
      <c r="AE997">
        <f>AE996+1</f>
        <v/>
      </c>
      <c r="AF997">
        <f>AF996+1</f>
        <v/>
      </c>
      <c r="AG997">
        <f>D997-Q997</f>
        <v/>
      </c>
      <c r="AH997">
        <f>AG997^2</f>
        <v/>
      </c>
      <c r="AI997">
        <f>(AG997/STDEV($AG$3:$AG$1137))^3</f>
        <v/>
      </c>
      <c r="AJ997">
        <f>(AG997/STDEV($AG$3:$AG$1137))^4</f>
        <v/>
      </c>
      <c r="AK997">
        <f>AF997^2</f>
        <v/>
      </c>
      <c r="AL997">
        <f>IF(AD997=1,AB997,IF(AL996&lt;&gt;"",AL996,""))</f>
        <v/>
      </c>
      <c r="AM997">
        <f>IF(AND(AD997=1,AL996&lt;&gt;""),ABS(AB997-AL996),"")</f>
        <v/>
      </c>
    </row>
    <row r="998">
      <c r="A998" t="n">
        <v>1777632302</v>
      </c>
      <c r="B998" t="inlineStr">
        <is>
          <t>XAUUSD</t>
        </is>
      </c>
      <c r="C998" t="inlineStr">
        <is>
          <t>M15</t>
        </is>
      </c>
      <c r="D998" t="n">
        <v>4566.67</v>
      </c>
      <c r="E998" t="n">
        <v>4518.59282</v>
      </c>
      <c r="F998" t="n">
        <v>4596.05595</v>
      </c>
      <c r="G998" t="n">
        <v>4755.40355</v>
      </c>
      <c r="H998" t="n">
        <v>4792.76972</v>
      </c>
      <c r="Q998" t="n">
        <v>4551.10406</v>
      </c>
      <c r="R998" t="n">
        <v>4580.46736</v>
      </c>
      <c r="S998" t="n">
        <v>4607.05613</v>
      </c>
      <c r="V998" t="n">
        <v>4516.16429</v>
      </c>
      <c r="W998" t="n">
        <v>4482.59929</v>
      </c>
      <c r="AB998" t="n">
        <v>4570.29255</v>
      </c>
      <c r="AC998" t="n">
        <v>4569.20922</v>
      </c>
      <c r="AD998" t="n">
        <v>0</v>
      </c>
      <c r="AE998">
        <f>AE997+1</f>
        <v/>
      </c>
      <c r="AF998">
        <f>AF997+1</f>
        <v/>
      </c>
      <c r="AG998">
        <f>D998-Q998</f>
        <v/>
      </c>
      <c r="AH998">
        <f>AG998^2</f>
        <v/>
      </c>
      <c r="AI998">
        <f>(AG998/STDEV($AG$3:$AG$1137))^3</f>
        <v/>
      </c>
      <c r="AJ998">
        <f>(AG998/STDEV($AG$3:$AG$1137))^4</f>
        <v/>
      </c>
      <c r="AK998">
        <f>AF998^2</f>
        <v/>
      </c>
      <c r="AL998">
        <f>IF(AD998=1,AB998,IF(AL997&lt;&gt;"",AL997,""))</f>
        <v/>
      </c>
      <c r="AM998">
        <f>IF(AND(AD998=1,AL997&lt;&gt;""),ABS(AB998-AL997),"")</f>
        <v/>
      </c>
    </row>
    <row r="999">
      <c r="A999" t="n">
        <v>1777633202</v>
      </c>
      <c r="B999" t="inlineStr">
        <is>
          <t>XAUUSD</t>
        </is>
      </c>
      <c r="C999" t="inlineStr">
        <is>
          <t>M15</t>
        </is>
      </c>
      <c r="D999" t="n">
        <v>4565.94</v>
      </c>
      <c r="E999" t="n">
        <v>4518.59282</v>
      </c>
      <c r="F999" t="n">
        <v>4596.05595</v>
      </c>
      <c r="G999" t="n">
        <v>4755.40355</v>
      </c>
      <c r="H999" t="n">
        <v>4792.76972</v>
      </c>
      <c r="Q999" t="n">
        <v>4550.83645</v>
      </c>
      <c r="R999" t="n">
        <v>4580.19975</v>
      </c>
      <c r="S999" t="n">
        <v>4606.78852</v>
      </c>
      <c r="V999" t="n">
        <v>4515.89668</v>
      </c>
      <c r="W999" t="n">
        <v>4482.33169</v>
      </c>
      <c r="AB999" t="n">
        <v>4572.03909</v>
      </c>
      <c r="AC999" t="n">
        <v>4570.62416</v>
      </c>
      <c r="AD999" t="n">
        <v>0</v>
      </c>
      <c r="AE999">
        <f>AE998+1</f>
        <v/>
      </c>
      <c r="AF999">
        <f>AF998+1</f>
        <v/>
      </c>
      <c r="AG999">
        <f>D999-Q999</f>
        <v/>
      </c>
      <c r="AH999">
        <f>AG999^2</f>
        <v/>
      </c>
      <c r="AI999">
        <f>(AG999/STDEV($AG$3:$AG$1137))^3</f>
        <v/>
      </c>
      <c r="AJ999">
        <f>(AG999/STDEV($AG$3:$AG$1137))^4</f>
        <v/>
      </c>
      <c r="AK999">
        <f>AF999^2</f>
        <v/>
      </c>
      <c r="AL999">
        <f>IF(AD999=1,AB999,IF(AL998&lt;&gt;"",AL998,""))</f>
        <v/>
      </c>
      <c r="AM999">
        <f>IF(AND(AD999=1,AL998&lt;&gt;""),ABS(AB999-AL998),"")</f>
        <v/>
      </c>
    </row>
    <row r="1000">
      <c r="A1000" t="n">
        <v>1777634102</v>
      </c>
      <c r="B1000" t="inlineStr">
        <is>
          <t>XAUUSD</t>
        </is>
      </c>
      <c r="C1000" t="inlineStr">
        <is>
          <t>M15</t>
        </is>
      </c>
      <c r="D1000" t="n">
        <v>4572.03</v>
      </c>
      <c r="E1000" t="n">
        <v>4518.59282</v>
      </c>
      <c r="F1000" t="n">
        <v>4596.05595</v>
      </c>
      <c r="G1000" t="n">
        <v>4755.40355</v>
      </c>
      <c r="H1000" t="n">
        <v>4792.76972</v>
      </c>
      <c r="Q1000" t="n">
        <v>4550.56885</v>
      </c>
      <c r="R1000" t="n">
        <v>4579.93215</v>
      </c>
      <c r="S1000" t="n">
        <v>4606.52092</v>
      </c>
      <c r="V1000" t="n">
        <v>4515.62908</v>
      </c>
      <c r="W1000" t="n">
        <v>4482.06408</v>
      </c>
      <c r="AB1000" t="n">
        <v>4574.19344</v>
      </c>
      <c r="AC1000" t="n">
        <v>4572.4088</v>
      </c>
      <c r="AD1000" t="n">
        <v>0</v>
      </c>
      <c r="AE1000">
        <f>AE999+1</f>
        <v/>
      </c>
      <c r="AF1000">
        <f>AF999+1</f>
        <v/>
      </c>
      <c r="AG1000">
        <f>D1000-Q1000</f>
        <v/>
      </c>
      <c r="AH1000">
        <f>AG1000^2</f>
        <v/>
      </c>
      <c r="AI1000">
        <f>(AG1000/STDEV($AG$3:$AG$1137))^3</f>
        <v/>
      </c>
      <c r="AJ1000">
        <f>(AG1000/STDEV($AG$3:$AG$1137))^4</f>
        <v/>
      </c>
      <c r="AK1000">
        <f>AF1000^2</f>
        <v/>
      </c>
      <c r="AL1000">
        <f>IF(AD1000=1,AB1000,IF(AL999&lt;&gt;"",AL999,""))</f>
        <v/>
      </c>
      <c r="AM1000">
        <f>IF(AND(AD1000=1,AL999&lt;&gt;""),ABS(AB1000-AL999),"")</f>
        <v/>
      </c>
    </row>
    <row r="1001">
      <c r="A1001" t="n">
        <v>1777635002</v>
      </c>
      <c r="B1001" t="inlineStr">
        <is>
          <t>XAUUSD</t>
        </is>
      </c>
      <c r="C1001" t="inlineStr">
        <is>
          <t>M15</t>
        </is>
      </c>
      <c r="D1001" t="n">
        <v>4575.75</v>
      </c>
      <c r="E1001" t="n">
        <v>4518.59282</v>
      </c>
      <c r="F1001" t="n">
        <v>4596.05595</v>
      </c>
      <c r="G1001" t="n">
        <v>4755.40355</v>
      </c>
      <c r="H1001" t="n">
        <v>4792.76972</v>
      </c>
      <c r="Q1001" t="n">
        <v>4550.30125</v>
      </c>
      <c r="R1001" t="n">
        <v>4579.66455</v>
      </c>
      <c r="S1001" t="n">
        <v>4606.25332</v>
      </c>
      <c r="V1001" t="n">
        <v>4515.36148</v>
      </c>
      <c r="W1001" t="n">
        <v>4481.79648</v>
      </c>
      <c r="AB1001" t="n">
        <v>4576.61592</v>
      </c>
      <c r="AC1001" t="n">
        <v>4574.51236</v>
      </c>
      <c r="AD1001" t="n">
        <v>0</v>
      </c>
      <c r="AE1001">
        <f>AE1000+1</f>
        <v/>
      </c>
      <c r="AF1001">
        <f>AF1000+1</f>
        <v/>
      </c>
      <c r="AG1001">
        <f>D1001-Q1001</f>
        <v/>
      </c>
      <c r="AH1001">
        <f>AG1001^2</f>
        <v/>
      </c>
      <c r="AI1001">
        <f>(AG1001/STDEV($AG$3:$AG$1137))^3</f>
        <v/>
      </c>
      <c r="AJ1001">
        <f>(AG1001/STDEV($AG$3:$AG$1137))^4</f>
        <v/>
      </c>
      <c r="AK1001">
        <f>AF1001^2</f>
        <v/>
      </c>
      <c r="AL1001">
        <f>IF(AD1001=1,AB1001,IF(AL1000&lt;&gt;"",AL1000,""))</f>
        <v/>
      </c>
      <c r="AM1001">
        <f>IF(AND(AD1001=1,AL1000&lt;&gt;""),ABS(AB1001-AL1000),"")</f>
        <v/>
      </c>
    </row>
    <row r="1002">
      <c r="A1002" t="n">
        <v>1777635902</v>
      </c>
      <c r="B1002" t="inlineStr">
        <is>
          <t>XAUUSD</t>
        </is>
      </c>
      <c r="C1002" t="inlineStr">
        <is>
          <t>M15</t>
        </is>
      </c>
      <c r="D1002" t="n">
        <v>4578.84</v>
      </c>
      <c r="E1002" t="n">
        <v>4518.59282</v>
      </c>
      <c r="F1002" t="n">
        <v>4596.05595</v>
      </c>
      <c r="G1002" t="n">
        <v>4755.40355</v>
      </c>
      <c r="H1002" t="n">
        <v>4792.76972</v>
      </c>
      <c r="Q1002" t="n">
        <v>4550.03364</v>
      </c>
      <c r="R1002" t="n">
        <v>4579.39694</v>
      </c>
      <c r="S1002" t="n">
        <v>4605.98571</v>
      </c>
      <c r="V1002" t="n">
        <v>4515.09387</v>
      </c>
      <c r="W1002" t="n">
        <v>4481.52888</v>
      </c>
      <c r="AB1002" t="n">
        <v>4579.29706</v>
      </c>
      <c r="AC1002" t="n">
        <v>4576.90471</v>
      </c>
      <c r="AD1002" t="n">
        <v>0</v>
      </c>
      <c r="AE1002">
        <f>AE1001+1</f>
        <v/>
      </c>
      <c r="AF1002">
        <f>AF1001+1</f>
        <v/>
      </c>
      <c r="AG1002">
        <f>D1002-Q1002</f>
        <v/>
      </c>
      <c r="AH1002">
        <f>AG1002^2</f>
        <v/>
      </c>
      <c r="AI1002">
        <f>(AG1002/STDEV($AG$3:$AG$1137))^3</f>
        <v/>
      </c>
      <c r="AJ1002">
        <f>(AG1002/STDEV($AG$3:$AG$1137))^4</f>
        <v/>
      </c>
      <c r="AK1002">
        <f>AF1002^2</f>
        <v/>
      </c>
      <c r="AL1002">
        <f>IF(AD1002=1,AB1002,IF(AL1001&lt;&gt;"",AL1001,""))</f>
        <v/>
      </c>
      <c r="AM1002">
        <f>IF(AND(AD1002=1,AL1001&lt;&gt;""),ABS(AB1002-AL1001),"")</f>
        <v/>
      </c>
    </row>
    <row r="1003">
      <c r="A1003" t="n">
        <v>1777636802</v>
      </c>
      <c r="B1003" t="inlineStr">
        <is>
          <t>XAUUSD</t>
        </is>
      </c>
      <c r="C1003" t="inlineStr">
        <is>
          <t>M15</t>
        </is>
      </c>
      <c r="D1003" t="n">
        <v>4584.86</v>
      </c>
      <c r="E1003" t="n">
        <v>4518.59282</v>
      </c>
      <c r="F1003" t="n">
        <v>4596.05595</v>
      </c>
      <c r="G1003" t="n">
        <v>4755.40355</v>
      </c>
      <c r="H1003" t="n">
        <v>4792.76972</v>
      </c>
      <c r="Q1003" t="n">
        <v>4549.76604</v>
      </c>
      <c r="R1003" t="n">
        <v>4579.12934</v>
      </c>
      <c r="S1003" t="n">
        <v>4605.71811</v>
      </c>
      <c r="V1003" t="n">
        <v>4514.82627</v>
      </c>
      <c r="W1003" t="n">
        <v>4481.26127</v>
      </c>
      <c r="AB1003" t="n">
        <v>4582.33157</v>
      </c>
      <c r="AC1003" t="n">
        <v>4579.61814</v>
      </c>
      <c r="AD1003" t="n">
        <v>0</v>
      </c>
      <c r="AE1003">
        <f>AE1002+1</f>
        <v/>
      </c>
      <c r="AF1003">
        <f>AF1002+1</f>
        <v/>
      </c>
      <c r="AG1003">
        <f>D1003-Q1003</f>
        <v/>
      </c>
      <c r="AH1003">
        <f>AG1003^2</f>
        <v/>
      </c>
      <c r="AI1003">
        <f>(AG1003/STDEV($AG$3:$AG$1137))^3</f>
        <v/>
      </c>
      <c r="AJ1003">
        <f>(AG1003/STDEV($AG$3:$AG$1137))^4</f>
        <v/>
      </c>
      <c r="AK1003">
        <f>AF1003^2</f>
        <v/>
      </c>
      <c r="AL1003">
        <f>IF(AD1003=1,AB1003,IF(AL1002&lt;&gt;"",AL1002,""))</f>
        <v/>
      </c>
      <c r="AM1003">
        <f>IF(AND(AD1003=1,AL1002&lt;&gt;""),ABS(AB1003-AL1002),"")</f>
        <v/>
      </c>
    </row>
    <row r="1004">
      <c r="A1004" t="n">
        <v>1777637702</v>
      </c>
      <c r="B1004" t="inlineStr">
        <is>
          <t>XAUUSD</t>
        </is>
      </c>
      <c r="C1004" t="inlineStr">
        <is>
          <t>M15</t>
        </is>
      </c>
      <c r="D1004" t="n">
        <v>4602.95</v>
      </c>
      <c r="E1004" t="n">
        <v>4518.59282</v>
      </c>
      <c r="F1004" t="n">
        <v>4596.05595</v>
      </c>
      <c r="G1004" t="n">
        <v>4755.40355</v>
      </c>
      <c r="H1004" t="n">
        <v>4792.76972</v>
      </c>
      <c r="Q1004" t="n">
        <v>4549.49843</v>
      </c>
      <c r="R1004" t="n">
        <v>4578.86173</v>
      </c>
      <c r="S1004" t="n">
        <v>4605.4505</v>
      </c>
      <c r="V1004" t="n">
        <v>4514.55866</v>
      </c>
      <c r="W1004" t="n">
        <v>4480.99367</v>
      </c>
      <c r="AB1004" t="n">
        <v>4585.81697</v>
      </c>
      <c r="AC1004" t="n">
        <v>4582.71755</v>
      </c>
      <c r="AD1004" t="n">
        <v>0</v>
      </c>
      <c r="AE1004">
        <f>AE1003+1</f>
        <v/>
      </c>
      <c r="AF1004">
        <f>AF1003+1</f>
        <v/>
      </c>
      <c r="AG1004">
        <f>D1004-Q1004</f>
        <v/>
      </c>
      <c r="AH1004">
        <f>AG1004^2</f>
        <v/>
      </c>
      <c r="AI1004">
        <f>(AG1004/STDEV($AG$3:$AG$1137))^3</f>
        <v/>
      </c>
      <c r="AJ1004">
        <f>(AG1004/STDEV($AG$3:$AG$1137))^4</f>
        <v/>
      </c>
      <c r="AK1004">
        <f>AF1004^2</f>
        <v/>
      </c>
      <c r="AL1004">
        <f>IF(AD1004=1,AB1004,IF(AL1003&lt;&gt;"",AL1003,""))</f>
        <v/>
      </c>
      <c r="AM1004">
        <f>IF(AND(AD1004=1,AL1003&lt;&gt;""),ABS(AB1004-AL1003),"")</f>
        <v/>
      </c>
    </row>
    <row r="1005">
      <c r="A1005" t="n">
        <v>1777638602</v>
      </c>
      <c r="B1005" t="inlineStr">
        <is>
          <t>XAUUSD</t>
        </is>
      </c>
      <c r="C1005" t="inlineStr">
        <is>
          <t>M15</t>
        </is>
      </c>
      <c r="D1005" t="n">
        <v>4591.95</v>
      </c>
      <c r="E1005" t="n">
        <v>4518.59282</v>
      </c>
      <c r="F1005" t="n">
        <v>4596.05595</v>
      </c>
      <c r="G1005" t="n">
        <v>4755.40355</v>
      </c>
      <c r="H1005" t="n">
        <v>4792.76972</v>
      </c>
      <c r="Q1005" t="n">
        <v>4549.23083</v>
      </c>
      <c r="R1005" t="n">
        <v>4578.59413</v>
      </c>
      <c r="S1005" t="n">
        <v>4605.1829</v>
      </c>
      <c r="V1005" t="n">
        <v>4514.29106</v>
      </c>
      <c r="W1005" t="n">
        <v>4480.72606</v>
      </c>
      <c r="AB1005" t="n">
        <v>4589.55893</v>
      </c>
      <c r="AC1005" t="n">
        <v>4586.13824</v>
      </c>
      <c r="AD1005" t="n">
        <v>0</v>
      </c>
      <c r="AE1005">
        <f>AE1004+1</f>
        <v/>
      </c>
      <c r="AF1005">
        <f>AF1004+1</f>
        <v/>
      </c>
      <c r="AG1005">
        <f>D1005-Q1005</f>
        <v/>
      </c>
      <c r="AH1005">
        <f>AG1005^2</f>
        <v/>
      </c>
      <c r="AI1005">
        <f>(AG1005/STDEV($AG$3:$AG$1137))^3</f>
        <v/>
      </c>
      <c r="AJ1005">
        <f>(AG1005/STDEV($AG$3:$AG$1137))^4</f>
        <v/>
      </c>
      <c r="AK1005">
        <f>AF1005^2</f>
        <v/>
      </c>
      <c r="AL1005">
        <f>IF(AD1005=1,AB1005,IF(AL1004&lt;&gt;"",AL1004,""))</f>
        <v/>
      </c>
      <c r="AM1005">
        <f>IF(AND(AD1005=1,AL1004&lt;&gt;""),ABS(AB1005-AL1004),"")</f>
        <v/>
      </c>
    </row>
    <row r="1006">
      <c r="A1006" t="n">
        <v>1777639502</v>
      </c>
      <c r="B1006" t="inlineStr">
        <is>
          <t>XAUUSD</t>
        </is>
      </c>
      <c r="C1006" t="inlineStr">
        <is>
          <t>M15</t>
        </is>
      </c>
      <c r="D1006" t="n">
        <v>4591.18</v>
      </c>
      <c r="E1006" t="n">
        <v>4518.59282</v>
      </c>
      <c r="F1006" t="n">
        <v>4596.05595</v>
      </c>
      <c r="G1006" t="n">
        <v>4755.40355</v>
      </c>
      <c r="H1006" t="n">
        <v>4792.76972</v>
      </c>
      <c r="Q1006" t="n">
        <v>4548.96323</v>
      </c>
      <c r="R1006" t="n">
        <v>4578.32652</v>
      </c>
      <c r="S1006" t="n">
        <v>4604.9153</v>
      </c>
      <c r="V1006" t="n">
        <v>4514.02346</v>
      </c>
      <c r="W1006" t="n">
        <v>4480.45846</v>
      </c>
      <c r="AB1006" t="n">
        <v>4594.16412</v>
      </c>
      <c r="AC1006" t="n">
        <v>4590.15118</v>
      </c>
      <c r="AD1006" t="n">
        <v>0</v>
      </c>
      <c r="AE1006">
        <f>AE1005+1</f>
        <v/>
      </c>
      <c r="AF1006">
        <f>AF1005+1</f>
        <v/>
      </c>
      <c r="AG1006">
        <f>D1006-Q1006</f>
        <v/>
      </c>
      <c r="AH1006">
        <f>AG1006^2</f>
        <v/>
      </c>
      <c r="AI1006">
        <f>(AG1006/STDEV($AG$3:$AG$1137))^3</f>
        <v/>
      </c>
      <c r="AJ1006">
        <f>(AG1006/STDEV($AG$3:$AG$1137))^4</f>
        <v/>
      </c>
      <c r="AK1006">
        <f>AF1006^2</f>
        <v/>
      </c>
      <c r="AL1006">
        <f>IF(AD1006=1,AB1006,IF(AL1005&lt;&gt;"",AL1005,""))</f>
        <v/>
      </c>
      <c r="AM1006">
        <f>IF(AND(AD1006=1,AL1005&lt;&gt;""),ABS(AB1006-AL1005),"")</f>
        <v/>
      </c>
    </row>
    <row r="1007">
      <c r="A1007" t="n">
        <v>1777640402</v>
      </c>
      <c r="B1007" t="inlineStr">
        <is>
          <t>XAUUSD</t>
        </is>
      </c>
      <c r="C1007" t="inlineStr">
        <is>
          <t>M15</t>
        </is>
      </c>
      <c r="D1007" t="n">
        <v>4591.32</v>
      </c>
      <c r="E1007" t="n">
        <v>4518.59282</v>
      </c>
      <c r="F1007" t="n">
        <v>4596.05595</v>
      </c>
      <c r="G1007" t="n">
        <v>4755.40355</v>
      </c>
      <c r="H1007" t="n">
        <v>4792.76972</v>
      </c>
      <c r="Q1007" t="n">
        <v>4548.69562</v>
      </c>
      <c r="R1007" t="n">
        <v>4578.05892</v>
      </c>
      <c r="S1007" t="n">
        <v>4604.64769</v>
      </c>
      <c r="V1007" t="n">
        <v>4513.75585</v>
      </c>
      <c r="W1007" t="n">
        <v>4480.19086</v>
      </c>
      <c r="AB1007" t="n">
        <v>4599.89016</v>
      </c>
      <c r="AC1007" t="n">
        <v>4595.02067</v>
      </c>
      <c r="AD1007" t="n">
        <v>0</v>
      </c>
      <c r="AE1007">
        <f>AE1006+1</f>
        <v/>
      </c>
      <c r="AF1007">
        <f>AF1006+1</f>
        <v/>
      </c>
      <c r="AG1007">
        <f>D1007-Q1007</f>
        <v/>
      </c>
      <c r="AH1007">
        <f>AG1007^2</f>
        <v/>
      </c>
      <c r="AI1007">
        <f>(AG1007/STDEV($AG$3:$AG$1137))^3</f>
        <v/>
      </c>
      <c r="AJ1007">
        <f>(AG1007/STDEV($AG$3:$AG$1137))^4</f>
        <v/>
      </c>
      <c r="AK1007">
        <f>AF1007^2</f>
        <v/>
      </c>
      <c r="AL1007">
        <f>IF(AD1007=1,AB1007,IF(AL1006&lt;&gt;"",AL1006,""))</f>
        <v/>
      </c>
      <c r="AM1007">
        <f>IF(AND(AD1007=1,AL1006&lt;&gt;""),ABS(AB1007-AL1006),"")</f>
        <v/>
      </c>
    </row>
    <row r="1008">
      <c r="A1008" t="n">
        <v>1777641302</v>
      </c>
      <c r="B1008" t="inlineStr">
        <is>
          <t>XAUUSD</t>
        </is>
      </c>
      <c r="C1008" t="inlineStr">
        <is>
          <t>M15</t>
        </is>
      </c>
      <c r="D1008" t="n">
        <v>4589.2</v>
      </c>
      <c r="E1008" t="n">
        <v>4518.59282</v>
      </c>
      <c r="F1008" t="n">
        <v>4596.05595</v>
      </c>
      <c r="G1008" t="n">
        <v>4755.40355</v>
      </c>
      <c r="H1008" t="n">
        <v>4792.76972</v>
      </c>
      <c r="Q1008" t="n">
        <v>4548.42802</v>
      </c>
      <c r="R1008" t="n">
        <v>4577.79132</v>
      </c>
      <c r="S1008" t="n">
        <v>4604.38009</v>
      </c>
      <c r="V1008" t="n">
        <v>4513.48825</v>
      </c>
      <c r="W1008" t="n">
        <v>4479.92325</v>
      </c>
      <c r="AB1008" t="n">
        <v>4606.79485</v>
      </c>
      <c r="AC1008" t="n">
        <v>4600.90776</v>
      </c>
      <c r="AD1008" t="n">
        <v>0</v>
      </c>
      <c r="AE1008">
        <f>AE1007+1</f>
        <v/>
      </c>
      <c r="AF1008">
        <f>AF1007+1</f>
        <v/>
      </c>
      <c r="AG1008">
        <f>D1008-Q1008</f>
        <v/>
      </c>
      <c r="AH1008">
        <f>AG1008^2</f>
        <v/>
      </c>
      <c r="AI1008">
        <f>(AG1008/STDEV($AG$3:$AG$1137))^3</f>
        <v/>
      </c>
      <c r="AJ1008">
        <f>(AG1008/STDEV($AG$3:$AG$1137))^4</f>
        <v/>
      </c>
      <c r="AK1008">
        <f>AF1008^2</f>
        <v/>
      </c>
      <c r="AL1008">
        <f>IF(AD1008=1,AB1008,IF(AL1007&lt;&gt;"",AL1007,""))</f>
        <v/>
      </c>
      <c r="AM1008">
        <f>IF(AND(AD1008=1,AL1007&lt;&gt;""),ABS(AB1008-AL1007),"")</f>
        <v/>
      </c>
    </row>
    <row r="1009">
      <c r="A1009" t="n">
        <v>1777642202</v>
      </c>
      <c r="B1009" t="inlineStr">
        <is>
          <t>XAUUSD</t>
        </is>
      </c>
      <c r="C1009" t="inlineStr">
        <is>
          <t>M15</t>
        </is>
      </c>
      <c r="D1009" t="n">
        <v>4608.07</v>
      </c>
      <c r="E1009" t="n">
        <v>4518.59282</v>
      </c>
      <c r="F1009" t="n">
        <v>4596.05595</v>
      </c>
      <c r="G1009" t="n">
        <v>4755.40355</v>
      </c>
      <c r="H1009" t="n">
        <v>4792.76972</v>
      </c>
      <c r="Q1009" t="n">
        <v>4548.16041</v>
      </c>
      <c r="R1009" t="n">
        <v>4577.52371</v>
      </c>
      <c r="S1009" t="n">
        <v>4604.11248</v>
      </c>
      <c r="V1009" t="n">
        <v>4513.22064</v>
      </c>
      <c r="W1009" t="n">
        <v>4479.65565</v>
      </c>
      <c r="AB1009" t="n">
        <v>4614.75087</v>
      </c>
      <c r="AC1009" t="n">
        <v>4607.82932</v>
      </c>
      <c r="AD1009" t="n">
        <v>0</v>
      </c>
      <c r="AE1009">
        <f>AE1008+1</f>
        <v/>
      </c>
      <c r="AF1009">
        <f>AF1008+1</f>
        <v/>
      </c>
      <c r="AG1009">
        <f>D1009-Q1009</f>
        <v/>
      </c>
      <c r="AH1009">
        <f>AG1009^2</f>
        <v/>
      </c>
      <c r="AI1009">
        <f>(AG1009/STDEV($AG$3:$AG$1137))^3</f>
        <v/>
      </c>
      <c r="AJ1009">
        <f>(AG1009/STDEV($AG$3:$AG$1137))^4</f>
        <v/>
      </c>
      <c r="AK1009">
        <f>AF1009^2</f>
        <v/>
      </c>
      <c r="AL1009">
        <f>IF(AD1009=1,AB1009,IF(AL1008&lt;&gt;"",AL1008,""))</f>
        <v/>
      </c>
      <c r="AM1009">
        <f>IF(AND(AD1009=1,AL1008&lt;&gt;""),ABS(AB1009-AL1008),"")</f>
        <v/>
      </c>
    </row>
    <row r="1010">
      <c r="A1010" t="n">
        <v>1777643102</v>
      </c>
      <c r="B1010" t="inlineStr">
        <is>
          <t>XAUUSD</t>
        </is>
      </c>
      <c r="C1010" t="inlineStr">
        <is>
          <t>M15</t>
        </is>
      </c>
      <c r="D1010" t="n">
        <v>4625.7</v>
      </c>
      <c r="E1010" t="n">
        <v>4518.59282</v>
      </c>
      <c r="F1010" t="n">
        <v>4596.05595</v>
      </c>
      <c r="G1010" t="n">
        <v>4755.40355</v>
      </c>
      <c r="H1010" t="n">
        <v>4792.76972</v>
      </c>
      <c r="Q1010" t="n">
        <v>4547.89281</v>
      </c>
      <c r="R1010" t="n">
        <v>4577.25611</v>
      </c>
      <c r="S1010" t="n">
        <v>4603.84488</v>
      </c>
      <c r="V1010" t="n">
        <v>4512.95304</v>
      </c>
      <c r="W1010" t="n">
        <v>4479.38804</v>
      </c>
      <c r="AB1010" t="n">
        <v>4622.81406</v>
      </c>
      <c r="AC1010" t="n">
        <v>4615.32169</v>
      </c>
      <c r="AD1010" t="n">
        <v>0</v>
      </c>
      <c r="AE1010">
        <f>AE1009+1</f>
        <v/>
      </c>
      <c r="AF1010">
        <f>AF1009+1</f>
        <v/>
      </c>
      <c r="AG1010">
        <f>D1010-Q1010</f>
        <v/>
      </c>
      <c r="AH1010">
        <f>AG1010^2</f>
        <v/>
      </c>
      <c r="AI1010">
        <f>(AG1010/STDEV($AG$3:$AG$1137))^3</f>
        <v/>
      </c>
      <c r="AJ1010">
        <f>(AG1010/STDEV($AG$3:$AG$1137))^4</f>
        <v/>
      </c>
      <c r="AK1010">
        <f>AF1010^2</f>
        <v/>
      </c>
      <c r="AL1010">
        <f>IF(AD1010=1,AB1010,IF(AL1009&lt;&gt;"",AL1009,""))</f>
        <v/>
      </c>
      <c r="AM1010">
        <f>IF(AND(AD1010=1,AL1009&lt;&gt;""),ABS(AB1010-AL1009),"")</f>
        <v/>
      </c>
    </row>
    <row r="1011">
      <c r="A1011" t="n">
        <v>1777644002</v>
      </c>
      <c r="B1011" t="inlineStr">
        <is>
          <t>XAUUSD</t>
        </is>
      </c>
      <c r="C1011" t="inlineStr">
        <is>
          <t>M15</t>
        </is>
      </c>
      <c r="D1011" t="n">
        <v>4656.06</v>
      </c>
      <c r="E1011" t="n">
        <v>4518.59282</v>
      </c>
      <c r="F1011" t="n">
        <v>4596.05595</v>
      </c>
      <c r="G1011" t="n">
        <v>4755.40355</v>
      </c>
      <c r="H1011" t="n">
        <v>4792.76972</v>
      </c>
      <c r="Q1011" t="n">
        <v>4547.62521</v>
      </c>
      <c r="R1011" t="n">
        <v>4576.9885</v>
      </c>
      <c r="S1011" t="n">
        <v>4603.57727</v>
      </c>
      <c r="V1011" t="n">
        <v>4512.68544</v>
      </c>
      <c r="W1011" t="n">
        <v>4479.12044</v>
      </c>
      <c r="AB1011" t="n">
        <v>4630.01888</v>
      </c>
      <c r="AC1011" t="n">
        <v>4622.67028</v>
      </c>
      <c r="AD1011" t="n">
        <v>0</v>
      </c>
      <c r="AE1011">
        <f>AE1010+1</f>
        <v/>
      </c>
      <c r="AF1011">
        <f>AF1010+1</f>
        <v/>
      </c>
      <c r="AG1011">
        <f>D1011-Q1011</f>
        <v/>
      </c>
      <c r="AH1011">
        <f>AG1011^2</f>
        <v/>
      </c>
      <c r="AI1011">
        <f>(AG1011/STDEV($AG$3:$AG$1137))^3</f>
        <v/>
      </c>
      <c r="AJ1011">
        <f>(AG1011/STDEV($AG$3:$AG$1137))^4</f>
        <v/>
      </c>
      <c r="AK1011">
        <f>AF1011^2</f>
        <v/>
      </c>
      <c r="AL1011">
        <f>IF(AD1011=1,AB1011,IF(AL1010&lt;&gt;"",AL1010,""))</f>
        <v/>
      </c>
      <c r="AM1011">
        <f>IF(AND(AD1011=1,AL1010&lt;&gt;""),ABS(AB1011-AL1010),"")</f>
        <v/>
      </c>
    </row>
    <row r="1012">
      <c r="A1012" t="n">
        <v>1777644902</v>
      </c>
      <c r="B1012" t="inlineStr">
        <is>
          <t>XAUUSD</t>
        </is>
      </c>
      <c r="C1012" t="inlineStr">
        <is>
          <t>M15</t>
        </is>
      </c>
      <c r="D1012" t="n">
        <v>4644.67</v>
      </c>
      <c r="E1012" t="n">
        <v>4518.59282</v>
      </c>
      <c r="F1012" t="n">
        <v>4596.05595</v>
      </c>
      <c r="G1012" t="n">
        <v>4755.40355</v>
      </c>
      <c r="H1012" t="n">
        <v>4792.76972</v>
      </c>
      <c r="Q1012" t="n">
        <v>4547.3576</v>
      </c>
      <c r="R1012" t="n">
        <v>4576.7209</v>
      </c>
      <c r="S1012" t="n">
        <v>4603.30967</v>
      </c>
      <c r="V1012" t="n">
        <v>4512.41783</v>
      </c>
      <c r="W1012" t="n">
        <v>4478.85283</v>
      </c>
      <c r="Z1012" t="n">
        <v>4660.32</v>
      </c>
      <c r="AB1012" t="n">
        <v>4635.15975</v>
      </c>
      <c r="AC1012" t="n">
        <v>4628.91501</v>
      </c>
      <c r="AD1012" t="n">
        <v>0</v>
      </c>
      <c r="AE1012">
        <f>AE1011+1</f>
        <v/>
      </c>
      <c r="AF1012">
        <f>AF1011+1</f>
        <v/>
      </c>
      <c r="AG1012">
        <f>D1012-Q1012</f>
        <v/>
      </c>
      <c r="AH1012">
        <f>AG1012^2</f>
        <v/>
      </c>
      <c r="AI1012">
        <f>(AG1012/STDEV($AG$3:$AG$1137))^3</f>
        <v/>
      </c>
      <c r="AJ1012">
        <f>(AG1012/STDEV($AG$3:$AG$1137))^4</f>
        <v/>
      </c>
      <c r="AK1012">
        <f>AF1012^2</f>
        <v/>
      </c>
      <c r="AL1012">
        <f>IF(AD1012=1,AB1012,IF(AL1011&lt;&gt;"",AL1011,""))</f>
        <v/>
      </c>
      <c r="AM1012">
        <f>IF(AND(AD1012=1,AL1011&lt;&gt;""),ABS(AB1012-AL1011),"")</f>
        <v/>
      </c>
    </row>
    <row r="1013">
      <c r="A1013" t="n">
        <v>1777645802</v>
      </c>
      <c r="B1013" t="inlineStr">
        <is>
          <t>XAUUSD</t>
        </is>
      </c>
      <c r="C1013" t="inlineStr">
        <is>
          <t>M15</t>
        </is>
      </c>
      <c r="D1013" t="n">
        <v>4633.23</v>
      </c>
      <c r="E1013" t="n">
        <v>4518.59282</v>
      </c>
      <c r="F1013" t="n">
        <v>4596.05595</v>
      </c>
      <c r="G1013" t="n">
        <v>4755.40355</v>
      </c>
      <c r="H1013" t="n">
        <v>4792.76972</v>
      </c>
      <c r="Q1013" t="n">
        <v>4547.09</v>
      </c>
      <c r="R1013" t="n">
        <v>4576.4533</v>
      </c>
      <c r="S1013" t="n">
        <v>4603.04207</v>
      </c>
      <c r="V1013" t="n">
        <v>4512.15023</v>
      </c>
      <c r="W1013" t="n">
        <v>4478.58523</v>
      </c>
      <c r="AB1013" t="n">
        <v>4638.49104</v>
      </c>
      <c r="AC1013" t="n">
        <v>4633.70303</v>
      </c>
      <c r="AD1013" t="n">
        <v>0</v>
      </c>
      <c r="AE1013">
        <f>AE1012+1</f>
        <v/>
      </c>
      <c r="AF1013">
        <f>AF1012+1</f>
        <v/>
      </c>
      <c r="AG1013">
        <f>D1013-Q1013</f>
        <v/>
      </c>
      <c r="AH1013">
        <f>AG1013^2</f>
        <v/>
      </c>
      <c r="AI1013">
        <f>(AG1013/STDEV($AG$3:$AG$1137))^3</f>
        <v/>
      </c>
      <c r="AJ1013">
        <f>(AG1013/STDEV($AG$3:$AG$1137))^4</f>
        <v/>
      </c>
      <c r="AK1013">
        <f>AF1013^2</f>
        <v/>
      </c>
      <c r="AL1013">
        <f>IF(AD1013=1,AB1013,IF(AL1012&lt;&gt;"",AL1012,""))</f>
        <v/>
      </c>
      <c r="AM1013">
        <f>IF(AND(AD1013=1,AL1012&lt;&gt;""),ABS(AB1013-AL1012),"")</f>
        <v/>
      </c>
    </row>
    <row r="1014">
      <c r="A1014" t="n">
        <v>1777646702</v>
      </c>
      <c r="B1014" t="inlineStr">
        <is>
          <t>XAUUSD</t>
        </is>
      </c>
      <c r="C1014" t="inlineStr">
        <is>
          <t>M15</t>
        </is>
      </c>
      <c r="D1014" t="n">
        <v>4632.21</v>
      </c>
      <c r="E1014" t="n">
        <v>4518.59282</v>
      </c>
      <c r="F1014" t="n">
        <v>4596.05595</v>
      </c>
      <c r="G1014" t="n">
        <v>4755.40355</v>
      </c>
      <c r="H1014" t="n">
        <v>4792.76972</v>
      </c>
      <c r="Q1014" t="n">
        <v>4546.82239</v>
      </c>
      <c r="R1014" t="n">
        <v>4576.18569</v>
      </c>
      <c r="S1014" t="n">
        <v>4602.77446</v>
      </c>
      <c r="V1014" t="n">
        <v>4511.88262</v>
      </c>
      <c r="W1014" t="n">
        <v>4478.31763</v>
      </c>
      <c r="AB1014" t="n">
        <v>4640.51928</v>
      </c>
      <c r="AC1014" t="n">
        <v>4637.11115</v>
      </c>
      <c r="AD1014" t="n">
        <v>0</v>
      </c>
      <c r="AE1014">
        <f>AE1013+1</f>
        <v/>
      </c>
      <c r="AF1014">
        <f>AF1013+1</f>
        <v/>
      </c>
      <c r="AG1014">
        <f>D1014-Q1014</f>
        <v/>
      </c>
      <c r="AH1014">
        <f>AG1014^2</f>
        <v/>
      </c>
      <c r="AI1014">
        <f>(AG1014/STDEV($AG$3:$AG$1137))^3</f>
        <v/>
      </c>
      <c r="AJ1014">
        <f>(AG1014/STDEV($AG$3:$AG$1137))^4</f>
        <v/>
      </c>
      <c r="AK1014">
        <f>AF1014^2</f>
        <v/>
      </c>
      <c r="AL1014">
        <f>IF(AD1014=1,AB1014,IF(AL1013&lt;&gt;"",AL1013,""))</f>
        <v/>
      </c>
      <c r="AM1014">
        <f>IF(AND(AD1014=1,AL1013&lt;&gt;""),ABS(AB1014-AL1013),"")</f>
        <v/>
      </c>
    </row>
    <row r="1015">
      <c r="A1015" t="n">
        <v>1777647602</v>
      </c>
      <c r="B1015" t="inlineStr">
        <is>
          <t>XAUUSD</t>
        </is>
      </c>
      <c r="C1015" t="inlineStr">
        <is>
          <t>M15</t>
        </is>
      </c>
      <c r="D1015" t="n">
        <v>4636.58</v>
      </c>
      <c r="E1015" t="n">
        <v>4518.59282</v>
      </c>
      <c r="F1015" t="n">
        <v>4596.05595</v>
      </c>
      <c r="G1015" t="n">
        <v>4755.40355</v>
      </c>
      <c r="H1015" t="n">
        <v>4792.76972</v>
      </c>
      <c r="Q1015" t="n">
        <v>4546.55479</v>
      </c>
      <c r="R1015" t="n">
        <v>4575.91809</v>
      </c>
      <c r="S1015" t="n">
        <v>4602.50686</v>
      </c>
      <c r="V1015" t="n">
        <v>4511.61502</v>
      </c>
      <c r="W1015" t="n">
        <v>4478.05002</v>
      </c>
      <c r="AB1015" t="n">
        <v>4641.58542</v>
      </c>
      <c r="AC1015" t="n">
        <v>4639.34829</v>
      </c>
      <c r="AD1015" t="n">
        <v>0</v>
      </c>
      <c r="AE1015">
        <f>AE1014+1</f>
        <v/>
      </c>
      <c r="AF1015">
        <f>AF1014+1</f>
        <v/>
      </c>
      <c r="AG1015">
        <f>D1015-Q1015</f>
        <v/>
      </c>
      <c r="AH1015">
        <f>AG1015^2</f>
        <v/>
      </c>
      <c r="AI1015">
        <f>(AG1015/STDEV($AG$3:$AG$1137))^3</f>
        <v/>
      </c>
      <c r="AJ1015">
        <f>(AG1015/STDEV($AG$3:$AG$1137))^4</f>
        <v/>
      </c>
      <c r="AK1015">
        <f>AF1015^2</f>
        <v/>
      </c>
      <c r="AL1015">
        <f>IF(AD1015=1,AB1015,IF(AL1014&lt;&gt;"",AL1014,""))</f>
        <v/>
      </c>
      <c r="AM1015">
        <f>IF(AND(AD1015=1,AL1014&lt;&gt;""),ABS(AB1015-AL1014),"")</f>
        <v/>
      </c>
    </row>
    <row r="1016">
      <c r="A1016" t="n">
        <v>1777648502</v>
      </c>
      <c r="B1016" t="inlineStr">
        <is>
          <t>XAUUSD</t>
        </is>
      </c>
      <c r="C1016" t="inlineStr">
        <is>
          <t>M15</t>
        </is>
      </c>
      <c r="D1016" t="n">
        <v>4636.46</v>
      </c>
      <c r="E1016" t="n">
        <v>4518.59282</v>
      </c>
      <c r="F1016" t="n">
        <v>4596.05595</v>
      </c>
      <c r="G1016" t="n">
        <v>4755.40355</v>
      </c>
      <c r="H1016" t="n">
        <v>4792.76972</v>
      </c>
      <c r="Q1016" t="n">
        <v>4546.28718</v>
      </c>
      <c r="R1016" t="n">
        <v>4575.65048</v>
      </c>
      <c r="S1016" t="n">
        <v>4602.23925</v>
      </c>
      <c r="V1016" t="n">
        <v>4511.34741</v>
      </c>
      <c r="W1016" t="n">
        <v>4477.78242</v>
      </c>
      <c r="AB1016" t="n">
        <v>4641.91621</v>
      </c>
      <c r="AC1016" t="n">
        <v>4640.63225</v>
      </c>
      <c r="AD1016" t="n">
        <v>0</v>
      </c>
      <c r="AE1016">
        <f>AE1015+1</f>
        <v/>
      </c>
      <c r="AF1016">
        <f>AF1015+1</f>
        <v/>
      </c>
      <c r="AG1016">
        <f>D1016-Q1016</f>
        <v/>
      </c>
      <c r="AH1016">
        <f>AG1016^2</f>
        <v/>
      </c>
      <c r="AI1016">
        <f>(AG1016/STDEV($AG$3:$AG$1137))^3</f>
        <v/>
      </c>
      <c r="AJ1016">
        <f>(AG1016/STDEV($AG$3:$AG$1137))^4</f>
        <v/>
      </c>
      <c r="AK1016">
        <f>AF1016^2</f>
        <v/>
      </c>
      <c r="AL1016">
        <f>IF(AD1016=1,AB1016,IF(AL1015&lt;&gt;"",AL1015,""))</f>
        <v/>
      </c>
      <c r="AM1016">
        <f>IF(AND(AD1016=1,AL1015&lt;&gt;""),ABS(AB1016-AL1015),"")</f>
        <v/>
      </c>
    </row>
    <row r="1017">
      <c r="A1017" t="n">
        <v>1777649402</v>
      </c>
      <c r="B1017" t="inlineStr">
        <is>
          <t>XAUUSD</t>
        </is>
      </c>
      <c r="C1017" t="inlineStr">
        <is>
          <t>M15</t>
        </is>
      </c>
      <c r="D1017" t="n">
        <v>4643.6</v>
      </c>
      <c r="E1017" t="n">
        <v>4518.59282</v>
      </c>
      <c r="F1017" t="n">
        <v>4596.05595</v>
      </c>
      <c r="G1017" t="n">
        <v>4755.40355</v>
      </c>
      <c r="H1017" t="n">
        <v>4792.76972</v>
      </c>
      <c r="Q1017" t="n">
        <v>4546.01958</v>
      </c>
      <c r="R1017" t="n">
        <v>4575.38288</v>
      </c>
      <c r="S1017" t="n">
        <v>4601.97165</v>
      </c>
      <c r="V1017" t="n">
        <v>4511.07981</v>
      </c>
      <c r="W1017" t="n">
        <v>4477.51481</v>
      </c>
      <c r="AB1017" t="n">
        <v>4641.80579</v>
      </c>
      <c r="AC1017" t="n">
        <v>4641.21902</v>
      </c>
      <c r="AD1017" t="n">
        <v>0</v>
      </c>
      <c r="AE1017">
        <f>AE1016+1</f>
        <v/>
      </c>
      <c r="AF1017">
        <f>AF1016+1</f>
        <v/>
      </c>
      <c r="AG1017">
        <f>D1017-Q1017</f>
        <v/>
      </c>
      <c r="AH1017">
        <f>AG1017^2</f>
        <v/>
      </c>
      <c r="AI1017">
        <f>(AG1017/STDEV($AG$3:$AG$1137))^3</f>
        <v/>
      </c>
      <c r="AJ1017">
        <f>(AG1017/STDEV($AG$3:$AG$1137))^4</f>
        <v/>
      </c>
      <c r="AK1017">
        <f>AF1017^2</f>
        <v/>
      </c>
      <c r="AL1017">
        <f>IF(AD1017=1,AB1017,IF(AL1016&lt;&gt;"",AL1016,""))</f>
        <v/>
      </c>
      <c r="AM1017">
        <f>IF(AND(AD1017=1,AL1016&lt;&gt;""),ABS(AB1017-AL1016),"")</f>
        <v/>
      </c>
    </row>
    <row r="1018">
      <c r="A1018" t="n">
        <v>1777650302</v>
      </c>
      <c r="B1018" t="inlineStr">
        <is>
          <t>XAUUSD</t>
        </is>
      </c>
      <c r="C1018" t="inlineStr">
        <is>
          <t>M15</t>
        </is>
      </c>
      <c r="D1018" t="n">
        <v>4643.3</v>
      </c>
      <c r="E1018" t="n">
        <v>4518.59282</v>
      </c>
      <c r="F1018" t="n">
        <v>4596.05595</v>
      </c>
      <c r="G1018" t="n">
        <v>4755.40355</v>
      </c>
      <c r="H1018" t="n">
        <v>4792.76972</v>
      </c>
      <c r="Q1018" t="n">
        <v>4545.75198</v>
      </c>
      <c r="R1018" t="n">
        <v>4575.11528</v>
      </c>
      <c r="S1018" t="n">
        <v>4601.70405</v>
      </c>
      <c r="V1018" t="n">
        <v>4510.81221</v>
      </c>
      <c r="W1018" t="n">
        <v>4477.24721</v>
      </c>
      <c r="AB1018" t="n">
        <v>4641.25997</v>
      </c>
      <c r="AC1018" t="n">
        <v>4641.23949</v>
      </c>
      <c r="AD1018" t="n">
        <v>0</v>
      </c>
      <c r="AE1018">
        <f>AE1017+1</f>
        <v/>
      </c>
      <c r="AF1018">
        <f>AF1017+1</f>
        <v/>
      </c>
      <c r="AG1018">
        <f>D1018-Q1018</f>
        <v/>
      </c>
      <c r="AH1018">
        <f>AG1018^2</f>
        <v/>
      </c>
      <c r="AI1018">
        <f>(AG1018/STDEV($AG$3:$AG$1137))^3</f>
        <v/>
      </c>
      <c r="AJ1018">
        <f>(AG1018/STDEV($AG$3:$AG$1137))^4</f>
        <v/>
      </c>
      <c r="AK1018">
        <f>AF1018^2</f>
        <v/>
      </c>
      <c r="AL1018">
        <f>IF(AD1018=1,AB1018,IF(AL1017&lt;&gt;"",AL1017,""))</f>
        <v/>
      </c>
      <c r="AM1018">
        <f>IF(AND(AD1018=1,AL1017&lt;&gt;""),ABS(AB1018-AL1017),"")</f>
        <v/>
      </c>
    </row>
    <row r="1019">
      <c r="A1019" t="n">
        <v>1777651202</v>
      </c>
      <c r="B1019" t="inlineStr">
        <is>
          <t>XAUUSD</t>
        </is>
      </c>
      <c r="C1019" t="inlineStr">
        <is>
          <t>M15</t>
        </is>
      </c>
      <c r="D1019" t="n">
        <v>4642.75</v>
      </c>
      <c r="E1019" t="n">
        <v>4518.59282</v>
      </c>
      <c r="F1019" t="n">
        <v>4596.05595</v>
      </c>
      <c r="G1019" t="n">
        <v>4755.40355</v>
      </c>
      <c r="H1019" t="n">
        <v>4792.76972</v>
      </c>
      <c r="Q1019" t="n">
        <v>4545.48437</v>
      </c>
      <c r="R1019" t="n">
        <v>4574.84767</v>
      </c>
      <c r="S1019" t="n">
        <v>4601.43644</v>
      </c>
      <c r="V1019" t="n">
        <v>4510.5446</v>
      </c>
      <c r="W1019" t="n">
        <v>4476.97961</v>
      </c>
      <c r="AB1019" t="n">
        <v>4640.41346</v>
      </c>
      <c r="AC1019" t="n">
        <v>4640.82648</v>
      </c>
      <c r="AD1019" t="n">
        <v>1</v>
      </c>
      <c r="AE1019">
        <f>AE1018+1</f>
        <v/>
      </c>
      <c r="AF1019">
        <f>AF1018+1</f>
        <v/>
      </c>
      <c r="AG1019">
        <f>D1019-Q1019</f>
        <v/>
      </c>
      <c r="AH1019">
        <f>AG1019^2</f>
        <v/>
      </c>
      <c r="AI1019">
        <f>(AG1019/STDEV($AG$3:$AG$1137))^3</f>
        <v/>
      </c>
      <c r="AJ1019">
        <f>(AG1019/STDEV($AG$3:$AG$1137))^4</f>
        <v/>
      </c>
      <c r="AK1019">
        <f>AF1019^2</f>
        <v/>
      </c>
      <c r="AL1019">
        <f>IF(AD1019=1,AB1019,IF(AL1018&lt;&gt;"",AL1018,""))</f>
        <v/>
      </c>
      <c r="AM1019">
        <f>IF(AND(AD1019=1,AL1018&lt;&gt;""),ABS(AB1019-AL1018),"")</f>
        <v/>
      </c>
    </row>
    <row r="1020">
      <c r="A1020" t="n">
        <v>1777652102</v>
      </c>
      <c r="B1020" t="inlineStr">
        <is>
          <t>XAUUSD</t>
        </is>
      </c>
      <c r="C1020" t="inlineStr">
        <is>
          <t>M15</t>
        </is>
      </c>
      <c r="D1020" t="n">
        <v>4637.96</v>
      </c>
      <c r="E1020" t="n">
        <v>4518.59282</v>
      </c>
      <c r="F1020" t="n">
        <v>4596.05595</v>
      </c>
      <c r="G1020" t="n">
        <v>4755.40355</v>
      </c>
      <c r="H1020" t="n">
        <v>4792.76972</v>
      </c>
      <c r="Q1020" t="n">
        <v>4545.21677</v>
      </c>
      <c r="R1020" t="n">
        <v>4574.58007</v>
      </c>
      <c r="S1020" t="n">
        <v>4601.16884</v>
      </c>
      <c r="V1020" t="n">
        <v>4510.277</v>
      </c>
      <c r="W1020" t="n">
        <v>4476.712</v>
      </c>
      <c r="AB1020" t="n">
        <v>4639.30238</v>
      </c>
      <c r="AC1020" t="n">
        <v>4640.06443</v>
      </c>
      <c r="AD1020" t="n">
        <v>0</v>
      </c>
      <c r="AE1020">
        <f>AE1019+1</f>
        <v/>
      </c>
      <c r="AF1020">
        <f>AF1019+1</f>
        <v/>
      </c>
      <c r="AG1020">
        <f>D1020-Q1020</f>
        <v/>
      </c>
      <c r="AH1020">
        <f>AG1020^2</f>
        <v/>
      </c>
      <c r="AI1020">
        <f>(AG1020/STDEV($AG$3:$AG$1137))^3</f>
        <v/>
      </c>
      <c r="AJ1020">
        <f>(AG1020/STDEV($AG$3:$AG$1137))^4</f>
        <v/>
      </c>
      <c r="AK1020">
        <f>AF1020^2</f>
        <v/>
      </c>
      <c r="AL1020">
        <f>IF(AD1020=1,AB1020,IF(AL1019&lt;&gt;"",AL1019,""))</f>
        <v/>
      </c>
      <c r="AM1020">
        <f>IF(AND(AD1020=1,AL1019&lt;&gt;""),ABS(AB1020-AL1019),"")</f>
        <v/>
      </c>
    </row>
    <row r="1021">
      <c r="A1021" t="n">
        <v>1777653002</v>
      </c>
      <c r="B1021" t="inlineStr">
        <is>
          <t>XAUUSD</t>
        </is>
      </c>
      <c r="C1021" t="inlineStr">
        <is>
          <t>M15</t>
        </is>
      </c>
      <c r="D1021" t="n">
        <v>4638.86</v>
      </c>
      <c r="E1021" t="n">
        <v>4518.59282</v>
      </c>
      <c r="F1021" t="n">
        <v>4596.05595</v>
      </c>
      <c r="G1021" t="n">
        <v>4755.40355</v>
      </c>
      <c r="H1021" t="n">
        <v>4792.76972</v>
      </c>
      <c r="Q1021" t="n">
        <v>4544.94916</v>
      </c>
      <c r="R1021" t="n">
        <v>4574.31246</v>
      </c>
      <c r="S1021" t="n">
        <v>4600.90123</v>
      </c>
      <c r="V1021" t="n">
        <v>4510.00939</v>
      </c>
      <c r="W1021" t="n">
        <v>4476.4444</v>
      </c>
      <c r="AB1021" t="n">
        <v>4638.02024</v>
      </c>
      <c r="AC1021" t="n">
        <v>4639.04233</v>
      </c>
      <c r="AD1021" t="n">
        <v>0</v>
      </c>
      <c r="AE1021">
        <f>AE1020+1</f>
        <v/>
      </c>
      <c r="AF1021">
        <f>AF1020+1</f>
        <v/>
      </c>
      <c r="AG1021">
        <f>D1021-Q1021</f>
        <v/>
      </c>
      <c r="AH1021">
        <f>AG1021^2</f>
        <v/>
      </c>
      <c r="AI1021">
        <f>(AG1021/STDEV($AG$3:$AG$1137))^3</f>
        <v/>
      </c>
      <c r="AJ1021">
        <f>(AG1021/STDEV($AG$3:$AG$1137))^4</f>
        <v/>
      </c>
      <c r="AK1021">
        <f>AF1021^2</f>
        <v/>
      </c>
      <c r="AL1021">
        <f>IF(AD1021=1,AB1021,IF(AL1020&lt;&gt;"",AL1020,""))</f>
        <v/>
      </c>
      <c r="AM1021">
        <f>IF(AND(AD1021=1,AL1020&lt;&gt;""),ABS(AB1021-AL1020),"")</f>
        <v/>
      </c>
    </row>
    <row r="1022">
      <c r="A1022" t="n">
        <v>1777653902</v>
      </c>
      <c r="B1022" t="inlineStr">
        <is>
          <t>XAUUSD</t>
        </is>
      </c>
      <c r="C1022" t="inlineStr">
        <is>
          <t>M15</t>
        </is>
      </c>
      <c r="D1022" t="n">
        <v>4638.72</v>
      </c>
      <c r="E1022" t="n">
        <v>4518.59282</v>
      </c>
      <c r="F1022" t="n">
        <v>4596.05595</v>
      </c>
      <c r="G1022" t="n">
        <v>4755.40355</v>
      </c>
      <c r="H1022" t="n">
        <v>4792.76972</v>
      </c>
      <c r="Q1022" t="n">
        <v>4544.68156</v>
      </c>
      <c r="R1022" t="n">
        <v>4574.04486</v>
      </c>
      <c r="S1022" t="n">
        <v>4600.63363</v>
      </c>
      <c r="V1022" t="n">
        <v>4509.74179</v>
      </c>
      <c r="W1022" t="n">
        <v>4476.17679</v>
      </c>
      <c r="AB1022" t="n">
        <v>4636.50939</v>
      </c>
      <c r="AC1022" t="n">
        <v>4637.77586</v>
      </c>
      <c r="AD1022" t="n">
        <v>0</v>
      </c>
      <c r="AE1022">
        <f>AE1021+1</f>
        <v/>
      </c>
      <c r="AF1022">
        <f>AF1021+1</f>
        <v/>
      </c>
      <c r="AG1022">
        <f>D1022-Q1022</f>
        <v/>
      </c>
      <c r="AH1022">
        <f>AG1022^2</f>
        <v/>
      </c>
      <c r="AI1022">
        <f>(AG1022/STDEV($AG$3:$AG$1137))^3</f>
        <v/>
      </c>
      <c r="AJ1022">
        <f>(AG1022/STDEV($AG$3:$AG$1137))^4</f>
        <v/>
      </c>
      <c r="AK1022">
        <f>AF1022^2</f>
        <v/>
      </c>
      <c r="AL1022">
        <f>IF(AD1022=1,AB1022,IF(AL1021&lt;&gt;"",AL1021,""))</f>
        <v/>
      </c>
      <c r="AM1022">
        <f>IF(AND(AD1022=1,AL1021&lt;&gt;""),ABS(AB1022-AL1021),"")</f>
        <v/>
      </c>
    </row>
    <row r="1023">
      <c r="A1023" t="n">
        <v>1777654802</v>
      </c>
      <c r="B1023" t="inlineStr">
        <is>
          <t>XAUUSD</t>
        </is>
      </c>
      <c r="C1023" t="inlineStr">
        <is>
          <t>M15</t>
        </is>
      </c>
      <c r="D1023" t="n">
        <v>4639.73</v>
      </c>
      <c r="E1023" t="n">
        <v>4518.59282</v>
      </c>
      <c r="F1023" t="n">
        <v>4596.05595</v>
      </c>
      <c r="G1023" t="n">
        <v>4755.40355</v>
      </c>
      <c r="H1023" t="n">
        <v>4792.76972</v>
      </c>
      <c r="Q1023" t="n">
        <v>4544.41396</v>
      </c>
      <c r="R1023" t="n">
        <v>4573.77726</v>
      </c>
      <c r="S1023" t="n">
        <v>4600.36603</v>
      </c>
      <c r="V1023" t="n">
        <v>4509.47419</v>
      </c>
      <c r="W1023" t="n">
        <v>4475.90919</v>
      </c>
      <c r="AB1023" t="n">
        <v>4634.714</v>
      </c>
      <c r="AC1023" t="n">
        <v>4636.24493</v>
      </c>
      <c r="AD1023" t="n">
        <v>0</v>
      </c>
      <c r="AE1023">
        <f>AE1022+1</f>
        <v/>
      </c>
      <c r="AF1023">
        <f>AF1022+1</f>
        <v/>
      </c>
      <c r="AG1023">
        <f>D1023-Q1023</f>
        <v/>
      </c>
      <c r="AH1023">
        <f>AG1023^2</f>
        <v/>
      </c>
      <c r="AI1023">
        <f>(AG1023/STDEV($AG$3:$AG$1137))^3</f>
        <v/>
      </c>
      <c r="AJ1023">
        <f>(AG1023/STDEV($AG$3:$AG$1137))^4</f>
        <v/>
      </c>
      <c r="AK1023">
        <f>AF1023^2</f>
        <v/>
      </c>
      <c r="AL1023">
        <f>IF(AD1023=1,AB1023,IF(AL1022&lt;&gt;"",AL1022,""))</f>
        <v/>
      </c>
      <c r="AM1023">
        <f>IF(AND(AD1023=1,AL1022&lt;&gt;""),ABS(AB1023-AL1022),"")</f>
        <v/>
      </c>
    </row>
    <row r="1024">
      <c r="A1024" t="n">
        <v>1777655702</v>
      </c>
      <c r="B1024" t="inlineStr">
        <is>
          <t>XAUUSD</t>
        </is>
      </c>
      <c r="C1024" t="inlineStr">
        <is>
          <t>M15</t>
        </is>
      </c>
      <c r="D1024" t="n">
        <v>4631.67</v>
      </c>
      <c r="E1024" t="n">
        <v>4518.59282</v>
      </c>
      <c r="F1024" t="n">
        <v>4596.05595</v>
      </c>
      <c r="G1024" t="n">
        <v>4755.40355</v>
      </c>
      <c r="H1024" t="n">
        <v>4792.76972</v>
      </c>
      <c r="Q1024" t="n">
        <v>4544.14635</v>
      </c>
      <c r="R1024" t="n">
        <v>4573.50965</v>
      </c>
      <c r="S1024" t="n">
        <v>4600.09842</v>
      </c>
      <c r="V1024" t="n">
        <v>4509.20658</v>
      </c>
      <c r="W1024" t="n">
        <v>4475.64159</v>
      </c>
      <c r="AB1024" t="n">
        <v>4632.56488</v>
      </c>
      <c r="AC1024" t="n">
        <v>4634.40491</v>
      </c>
      <c r="AD1024" t="n">
        <v>0</v>
      </c>
      <c r="AE1024">
        <f>AE1023+1</f>
        <v/>
      </c>
      <c r="AF1024">
        <f>AF1023+1</f>
        <v/>
      </c>
      <c r="AG1024">
        <f>D1024-Q1024</f>
        <v/>
      </c>
      <c r="AH1024">
        <f>AG1024^2</f>
        <v/>
      </c>
      <c r="AI1024">
        <f>(AG1024/STDEV($AG$3:$AG$1137))^3</f>
        <v/>
      </c>
      <c r="AJ1024">
        <f>(AG1024/STDEV($AG$3:$AG$1137))^4</f>
        <v/>
      </c>
      <c r="AK1024">
        <f>AF1024^2</f>
        <v/>
      </c>
      <c r="AL1024">
        <f>IF(AD1024=1,AB1024,IF(AL1023&lt;&gt;"",AL1023,""))</f>
        <v/>
      </c>
      <c r="AM1024">
        <f>IF(AND(AD1024=1,AL1023&lt;&gt;""),ABS(AB1024-AL1023),"")</f>
        <v/>
      </c>
    </row>
    <row r="1025">
      <c r="A1025" t="n">
        <v>1777656602</v>
      </c>
      <c r="B1025" t="inlineStr">
        <is>
          <t>XAUUSD</t>
        </is>
      </c>
      <c r="C1025" t="inlineStr">
        <is>
          <t>M15</t>
        </is>
      </c>
      <c r="D1025" t="n">
        <v>4628</v>
      </c>
      <c r="E1025" t="n">
        <v>4518.59282</v>
      </c>
      <c r="F1025" t="n">
        <v>4596.05595</v>
      </c>
      <c r="G1025" t="n">
        <v>4755.40355</v>
      </c>
      <c r="H1025" t="n">
        <v>4792.76972</v>
      </c>
      <c r="Q1025" t="n">
        <v>4543.87875</v>
      </c>
      <c r="R1025" t="n">
        <v>4573.24205</v>
      </c>
      <c r="S1025" t="n">
        <v>4599.83082</v>
      </c>
      <c r="V1025" t="n">
        <v>4508.93898</v>
      </c>
      <c r="W1025" t="n">
        <v>4475.37398</v>
      </c>
      <c r="AB1025" t="n">
        <v>4630.30637</v>
      </c>
      <c r="AC1025" t="n">
        <v>4632.35564</v>
      </c>
      <c r="AD1025" t="n">
        <v>0</v>
      </c>
      <c r="AE1025">
        <f>AE1024+1</f>
        <v/>
      </c>
      <c r="AF1025">
        <f>AF1024+1</f>
        <v/>
      </c>
      <c r="AG1025">
        <f>D1025-Q1025</f>
        <v/>
      </c>
      <c r="AH1025">
        <f>AG1025^2</f>
        <v/>
      </c>
      <c r="AI1025">
        <f>(AG1025/STDEV($AG$3:$AG$1137))^3</f>
        <v/>
      </c>
      <c r="AJ1025">
        <f>(AG1025/STDEV($AG$3:$AG$1137))^4</f>
        <v/>
      </c>
      <c r="AK1025">
        <f>AF1025^2</f>
        <v/>
      </c>
      <c r="AL1025">
        <f>IF(AD1025=1,AB1025,IF(AL1024&lt;&gt;"",AL1024,""))</f>
        <v/>
      </c>
      <c r="AM1025">
        <f>IF(AND(AD1025=1,AL1024&lt;&gt;""),ABS(AB1025-AL1024),"")</f>
        <v/>
      </c>
    </row>
    <row r="1026">
      <c r="A1026" t="n">
        <v>1777657502</v>
      </c>
      <c r="B1026" t="inlineStr">
        <is>
          <t>XAUUSD</t>
        </is>
      </c>
      <c r="C1026" t="inlineStr">
        <is>
          <t>M15</t>
        </is>
      </c>
      <c r="D1026" t="n">
        <v>4629.43</v>
      </c>
      <c r="E1026" t="n">
        <v>4518.59282</v>
      </c>
      <c r="F1026" t="n">
        <v>4596.05595</v>
      </c>
      <c r="G1026" t="n">
        <v>4755.40355</v>
      </c>
      <c r="H1026" t="n">
        <v>4792.76972</v>
      </c>
      <c r="Q1026" t="n">
        <v>4543.61114</v>
      </c>
      <c r="R1026" t="n">
        <v>4572.97444</v>
      </c>
      <c r="S1026" t="n">
        <v>4599.56321</v>
      </c>
      <c r="V1026" t="n">
        <v>4508.67137</v>
      </c>
      <c r="W1026" t="n">
        <v>4475.10638</v>
      </c>
      <c r="AB1026" t="n">
        <v>4628.09334</v>
      </c>
      <c r="AC1026" t="n">
        <v>4630.22449</v>
      </c>
      <c r="AD1026" t="n">
        <v>0</v>
      </c>
      <c r="AE1026">
        <f>AE1025+1</f>
        <v/>
      </c>
      <c r="AF1026">
        <f>AF1025+1</f>
        <v/>
      </c>
      <c r="AG1026">
        <f>D1026-Q1026</f>
        <v/>
      </c>
      <c r="AH1026">
        <f>AG1026^2</f>
        <v/>
      </c>
      <c r="AI1026">
        <f>(AG1026/STDEV($AG$3:$AG$1137))^3</f>
        <v/>
      </c>
      <c r="AJ1026">
        <f>(AG1026/STDEV($AG$3:$AG$1137))^4</f>
        <v/>
      </c>
      <c r="AK1026">
        <f>AF1026^2</f>
        <v/>
      </c>
      <c r="AL1026">
        <f>IF(AD1026=1,AB1026,IF(AL1025&lt;&gt;"",AL1025,""))</f>
        <v/>
      </c>
      <c r="AM1026">
        <f>IF(AND(AD1026=1,AL1025&lt;&gt;""),ABS(AB1026-AL1025),"")</f>
        <v/>
      </c>
    </row>
    <row r="1027">
      <c r="A1027" t="n">
        <v>1777658402</v>
      </c>
      <c r="B1027" t="inlineStr">
        <is>
          <t>XAUUSD</t>
        </is>
      </c>
      <c r="C1027" t="inlineStr">
        <is>
          <t>M15</t>
        </is>
      </c>
      <c r="D1027" t="n">
        <v>4615.72</v>
      </c>
      <c r="E1027" t="n">
        <v>4518.59282</v>
      </c>
      <c r="F1027" t="n">
        <v>4596.05595</v>
      </c>
      <c r="G1027" t="n">
        <v>4755.40355</v>
      </c>
      <c r="H1027" t="n">
        <v>4792.76972</v>
      </c>
      <c r="Q1027" t="n">
        <v>4543.34354</v>
      </c>
      <c r="R1027" t="n">
        <v>4572.70684</v>
      </c>
      <c r="S1027" t="n">
        <v>4599.29561</v>
      </c>
      <c r="V1027" t="n">
        <v>4508.40377</v>
      </c>
      <c r="W1027" t="n">
        <v>4474.83877</v>
      </c>
      <c r="AB1027" t="n">
        <v>4625.93992</v>
      </c>
      <c r="AC1027" t="n">
        <v>4628.08221</v>
      </c>
      <c r="AD1027" t="n">
        <v>0</v>
      </c>
      <c r="AE1027">
        <f>AE1026+1</f>
        <v/>
      </c>
      <c r="AF1027">
        <f>AF1026+1</f>
        <v/>
      </c>
      <c r="AG1027">
        <f>D1027-Q1027</f>
        <v/>
      </c>
      <c r="AH1027">
        <f>AG1027^2</f>
        <v/>
      </c>
      <c r="AI1027">
        <f>(AG1027/STDEV($AG$3:$AG$1137))^3</f>
        <v/>
      </c>
      <c r="AJ1027">
        <f>(AG1027/STDEV($AG$3:$AG$1137))^4</f>
        <v/>
      </c>
      <c r="AK1027">
        <f>AF1027^2</f>
        <v/>
      </c>
      <c r="AL1027">
        <f>IF(AD1027=1,AB1027,IF(AL1026&lt;&gt;"",AL1026,""))</f>
        <v/>
      </c>
      <c r="AM1027">
        <f>IF(AND(AD1027=1,AL1026&lt;&gt;""),ABS(AB1027-AL1026),"")</f>
        <v/>
      </c>
    </row>
    <row r="1028">
      <c r="A1028" t="n">
        <v>1777659302</v>
      </c>
      <c r="B1028" t="inlineStr">
        <is>
          <t>XAUUSD</t>
        </is>
      </c>
      <c r="C1028" t="inlineStr">
        <is>
          <t>M15</t>
        </is>
      </c>
      <c r="D1028" t="n">
        <v>4623.48</v>
      </c>
      <c r="E1028" t="n">
        <v>4518.59282</v>
      </c>
      <c r="F1028" t="n">
        <v>4596.05595</v>
      </c>
      <c r="G1028" t="n">
        <v>4755.40355</v>
      </c>
      <c r="H1028" t="n">
        <v>4792.76972</v>
      </c>
      <c r="Q1028" t="n">
        <v>4543.07594</v>
      </c>
      <c r="R1028" t="n">
        <v>4572.43923</v>
      </c>
      <c r="S1028" t="n">
        <v>4599.02801</v>
      </c>
      <c r="V1028" t="n">
        <v>4508.13617</v>
      </c>
      <c r="W1028" t="n">
        <v>4474.57117</v>
      </c>
      <c r="AB1028" t="n">
        <v>4624.1975</v>
      </c>
      <c r="AC1028" t="n">
        <v>4626.13985</v>
      </c>
      <c r="AD1028" t="n">
        <v>0</v>
      </c>
      <c r="AE1028">
        <f>AE1027+1</f>
        <v/>
      </c>
      <c r="AF1028">
        <f>AF1027+1</f>
        <v/>
      </c>
      <c r="AG1028">
        <f>D1028-Q1028</f>
        <v/>
      </c>
      <c r="AH1028">
        <f>AG1028^2</f>
        <v/>
      </c>
      <c r="AI1028">
        <f>(AG1028/STDEV($AG$3:$AG$1137))^3</f>
        <v/>
      </c>
      <c r="AJ1028">
        <f>(AG1028/STDEV($AG$3:$AG$1137))^4</f>
        <v/>
      </c>
      <c r="AK1028">
        <f>AF1028^2</f>
        <v/>
      </c>
      <c r="AL1028">
        <f>IF(AD1028=1,AB1028,IF(AL1027&lt;&gt;"",AL1027,""))</f>
        <v/>
      </c>
      <c r="AM1028">
        <f>IF(AND(AD1028=1,AL1027&lt;&gt;""),ABS(AB1028-AL1027),"")</f>
        <v/>
      </c>
    </row>
    <row r="1029">
      <c r="A1029" t="n">
        <v>1777660202</v>
      </c>
      <c r="B1029" t="inlineStr">
        <is>
          <t>XAUUSD</t>
        </is>
      </c>
      <c r="C1029" t="inlineStr">
        <is>
          <t>M15</t>
        </is>
      </c>
      <c r="D1029" t="n">
        <v>4622.32</v>
      </c>
      <c r="E1029" t="n">
        <v>4518.59282</v>
      </c>
      <c r="F1029" t="n">
        <v>4596.05595</v>
      </c>
      <c r="G1029" t="n">
        <v>4755.40355</v>
      </c>
      <c r="H1029" t="n">
        <v>4792.76972</v>
      </c>
      <c r="Q1029" t="n">
        <v>4542.80833</v>
      </c>
      <c r="R1029" t="n">
        <v>4572.17163</v>
      </c>
      <c r="S1029" t="n">
        <v>4598.7604</v>
      </c>
      <c r="V1029" t="n">
        <v>4507.86856</v>
      </c>
      <c r="W1029" t="n">
        <v>4474.30357</v>
      </c>
      <c r="AB1029" t="n">
        <v>4622.58442</v>
      </c>
      <c r="AC1029" t="n">
        <v>4624.36214</v>
      </c>
      <c r="AD1029" t="n">
        <v>0</v>
      </c>
      <c r="AE1029">
        <f>AE1028+1</f>
        <v/>
      </c>
      <c r="AF1029">
        <f>AF1028+1</f>
        <v/>
      </c>
      <c r="AG1029">
        <f>D1029-Q1029</f>
        <v/>
      </c>
      <c r="AH1029">
        <f>AG1029^2</f>
        <v/>
      </c>
      <c r="AI1029">
        <f>(AG1029/STDEV($AG$3:$AG$1137))^3</f>
        <v/>
      </c>
      <c r="AJ1029">
        <f>(AG1029/STDEV($AG$3:$AG$1137))^4</f>
        <v/>
      </c>
      <c r="AK1029">
        <f>AF1029^2</f>
        <v/>
      </c>
      <c r="AL1029">
        <f>IF(AD1029=1,AB1029,IF(AL1028&lt;&gt;"",AL1028,""))</f>
        <v/>
      </c>
      <c r="AM1029">
        <f>IF(AND(AD1029=1,AL1028&lt;&gt;""),ABS(AB1029-AL1028),"")</f>
        <v/>
      </c>
    </row>
    <row r="1030">
      <c r="A1030" t="n">
        <v>1777661102</v>
      </c>
      <c r="B1030" t="inlineStr">
        <is>
          <t>XAUUSD</t>
        </is>
      </c>
      <c r="C1030" t="inlineStr">
        <is>
          <t>M15</t>
        </is>
      </c>
      <c r="D1030" t="n">
        <v>4624.35</v>
      </c>
      <c r="E1030" t="n">
        <v>4518.59282</v>
      </c>
      <c r="F1030" t="n">
        <v>4596.05595</v>
      </c>
      <c r="G1030" t="n">
        <v>4755.40355</v>
      </c>
      <c r="H1030" t="n">
        <v>4792.76972</v>
      </c>
      <c r="Q1030" t="n">
        <v>4542.54073</v>
      </c>
      <c r="R1030" t="n">
        <v>4571.90403</v>
      </c>
      <c r="S1030" t="n">
        <v>4598.4928</v>
      </c>
      <c r="V1030" t="n">
        <v>4507.60096</v>
      </c>
      <c r="W1030" t="n">
        <v>4474.03596</v>
      </c>
      <c r="AB1030" t="n">
        <v>4621.02677</v>
      </c>
      <c r="AC1030" t="n">
        <v>4622.69445</v>
      </c>
      <c r="AD1030" t="n">
        <v>0</v>
      </c>
      <c r="AE1030">
        <f>AE1029+1</f>
        <v/>
      </c>
      <c r="AF1030">
        <f>AF1029+1</f>
        <v/>
      </c>
      <c r="AG1030">
        <f>D1030-Q1030</f>
        <v/>
      </c>
      <c r="AH1030">
        <f>AG1030^2</f>
        <v/>
      </c>
      <c r="AI1030">
        <f>(AG1030/STDEV($AG$3:$AG$1137))^3</f>
        <v/>
      </c>
      <c r="AJ1030">
        <f>(AG1030/STDEV($AG$3:$AG$1137))^4</f>
        <v/>
      </c>
      <c r="AK1030">
        <f>AF1030^2</f>
        <v/>
      </c>
      <c r="AL1030">
        <f>IF(AD1030=1,AB1030,IF(AL1029&lt;&gt;"",AL1029,""))</f>
        <v/>
      </c>
      <c r="AM1030">
        <f>IF(AND(AD1030=1,AL1029&lt;&gt;""),ABS(AB1030-AL1029),"")</f>
        <v/>
      </c>
    </row>
    <row r="1031">
      <c r="A1031" t="n">
        <v>1777662002</v>
      </c>
      <c r="B1031" t="inlineStr">
        <is>
          <t>XAUUSD</t>
        </is>
      </c>
      <c r="C1031" t="inlineStr">
        <is>
          <t>M15</t>
        </is>
      </c>
      <c r="D1031" t="n">
        <v>4626.3</v>
      </c>
      <c r="E1031" t="n">
        <v>4518.59282</v>
      </c>
      <c r="F1031" t="n">
        <v>4596.05595</v>
      </c>
      <c r="G1031" t="n">
        <v>4755.40355</v>
      </c>
      <c r="H1031" t="n">
        <v>4792.76972</v>
      </c>
      <c r="Q1031" t="n">
        <v>4542.27312</v>
      </c>
      <c r="R1031" t="n">
        <v>4571.63642</v>
      </c>
      <c r="S1031" t="n">
        <v>4598.22519</v>
      </c>
      <c r="V1031" t="n">
        <v>4507.33335</v>
      </c>
      <c r="W1031" t="n">
        <v>4473.76836</v>
      </c>
      <c r="AB1031" t="n">
        <v>4619.38731</v>
      </c>
      <c r="AC1031" t="n">
        <v>4621.04088</v>
      </c>
      <c r="AD1031" t="n">
        <v>0</v>
      </c>
      <c r="AE1031">
        <f>AE1030+1</f>
        <v/>
      </c>
      <c r="AF1031">
        <f>AF1030+1</f>
        <v/>
      </c>
      <c r="AG1031">
        <f>D1031-Q1031</f>
        <v/>
      </c>
      <c r="AH1031">
        <f>AG1031^2</f>
        <v/>
      </c>
      <c r="AI1031">
        <f>(AG1031/STDEV($AG$3:$AG$1137))^3</f>
        <v/>
      </c>
      <c r="AJ1031">
        <f>(AG1031/STDEV($AG$3:$AG$1137))^4</f>
        <v/>
      </c>
      <c r="AK1031">
        <f>AF1031^2</f>
        <v/>
      </c>
      <c r="AL1031">
        <f>IF(AD1031=1,AB1031,IF(AL1030&lt;&gt;"",AL1030,""))</f>
        <v/>
      </c>
      <c r="AM1031">
        <f>IF(AND(AD1031=1,AL1030&lt;&gt;""),ABS(AB1031-AL1030),"")</f>
        <v/>
      </c>
    </row>
    <row r="1032">
      <c r="A1032" t="n">
        <v>1777662902</v>
      </c>
      <c r="B1032" t="inlineStr">
        <is>
          <t>XAUUSD</t>
        </is>
      </c>
      <c r="C1032" t="inlineStr">
        <is>
          <t>M15</t>
        </is>
      </c>
      <c r="D1032" t="n">
        <v>4624.4</v>
      </c>
      <c r="E1032" t="n">
        <v>4518.59282</v>
      </c>
      <c r="F1032" t="n">
        <v>4596.05595</v>
      </c>
      <c r="G1032" t="n">
        <v>4755.40355</v>
      </c>
      <c r="H1032" t="n">
        <v>4792.76972</v>
      </c>
      <c r="Q1032" t="n">
        <v>4542.00552</v>
      </c>
      <c r="R1032" t="n">
        <v>4571.36882</v>
      </c>
      <c r="S1032" t="n">
        <v>4597.95759</v>
      </c>
      <c r="V1032" t="n">
        <v>4507.06575</v>
      </c>
      <c r="W1032" t="n">
        <v>4473.50075</v>
      </c>
      <c r="AB1032" t="n">
        <v>4617.61764</v>
      </c>
      <c r="AC1032" t="n">
        <v>4619.32926</v>
      </c>
      <c r="AD1032" t="n">
        <v>0</v>
      </c>
      <c r="AE1032">
        <f>AE1031+1</f>
        <v/>
      </c>
      <c r="AF1032">
        <f>AF1031+1</f>
        <v/>
      </c>
      <c r="AG1032">
        <f>D1032-Q1032</f>
        <v/>
      </c>
      <c r="AH1032">
        <f>AG1032^2</f>
        <v/>
      </c>
      <c r="AI1032">
        <f>(AG1032/STDEV($AG$3:$AG$1137))^3</f>
        <v/>
      </c>
      <c r="AJ1032">
        <f>(AG1032/STDEV($AG$3:$AG$1137))^4</f>
        <v/>
      </c>
      <c r="AK1032">
        <f>AF1032^2</f>
        <v/>
      </c>
      <c r="AL1032">
        <f>IF(AD1032=1,AB1032,IF(AL1031&lt;&gt;"",AL1031,""))</f>
        <v/>
      </c>
      <c r="AM1032">
        <f>IF(AND(AD1032=1,AL1031&lt;&gt;""),ABS(AB1032-AL1031),"")</f>
        <v/>
      </c>
    </row>
    <row r="1033">
      <c r="A1033" t="n">
        <v>1777663802</v>
      </c>
      <c r="B1033" t="inlineStr">
        <is>
          <t>XAUUSD</t>
        </is>
      </c>
      <c r="C1033" t="inlineStr">
        <is>
          <t>M15</t>
        </is>
      </c>
      <c r="D1033" t="n">
        <v>4611.78</v>
      </c>
      <c r="E1033" t="n">
        <v>4518.59282</v>
      </c>
      <c r="F1033" t="n">
        <v>4596.05595</v>
      </c>
      <c r="G1033" t="n">
        <v>4755.40355</v>
      </c>
      <c r="H1033" t="n">
        <v>4792.76972</v>
      </c>
      <c r="Q1033" t="n">
        <v>4541.73792</v>
      </c>
      <c r="R1033" t="n">
        <v>4571.10121</v>
      </c>
      <c r="S1033" t="n">
        <v>4597.68999</v>
      </c>
      <c r="V1033" t="n">
        <v>4506.79815</v>
      </c>
      <c r="W1033" t="n">
        <v>4473.23315</v>
      </c>
      <c r="AB1033" t="n">
        <v>4615.85239</v>
      </c>
      <c r="AC1033" t="n">
        <v>4617.59082</v>
      </c>
      <c r="AD1033" t="n">
        <v>0</v>
      </c>
      <c r="AE1033">
        <f>AE1032+1</f>
        <v/>
      </c>
      <c r="AF1033">
        <f>AF1032+1</f>
        <v/>
      </c>
      <c r="AG1033">
        <f>D1033-Q1033</f>
        <v/>
      </c>
      <c r="AH1033">
        <f>AG1033^2</f>
        <v/>
      </c>
      <c r="AI1033">
        <f>(AG1033/STDEV($AG$3:$AG$1137))^3</f>
        <v/>
      </c>
      <c r="AJ1033">
        <f>(AG1033/STDEV($AG$3:$AG$1137))^4</f>
        <v/>
      </c>
      <c r="AK1033">
        <f>AF1033^2</f>
        <v/>
      </c>
      <c r="AL1033">
        <f>IF(AD1033=1,AB1033,IF(AL1032&lt;&gt;"",AL1032,""))</f>
        <v/>
      </c>
      <c r="AM1033">
        <f>IF(AND(AD1033=1,AL1032&lt;&gt;""),ABS(AB1033-AL1032),"")</f>
        <v/>
      </c>
    </row>
    <row r="1034">
      <c r="A1034" t="n">
        <v>1777664702</v>
      </c>
      <c r="B1034" t="inlineStr">
        <is>
          <t>XAUUSD</t>
        </is>
      </c>
      <c r="C1034" t="inlineStr">
        <is>
          <t>M15</t>
        </is>
      </c>
      <c r="D1034" t="n">
        <v>4610.06</v>
      </c>
      <c r="E1034" t="n">
        <v>4518.59282</v>
      </c>
      <c r="F1034" t="n">
        <v>4596.05595</v>
      </c>
      <c r="G1034" t="n">
        <v>4755.40355</v>
      </c>
      <c r="H1034" t="n">
        <v>4792.76972</v>
      </c>
      <c r="Q1034" t="n">
        <v>4541.47031</v>
      </c>
      <c r="R1034" t="n">
        <v>4570.83361</v>
      </c>
      <c r="S1034" t="n">
        <v>4597.42238</v>
      </c>
      <c r="V1034" t="n">
        <v>4506.53054</v>
      </c>
      <c r="W1034" t="n">
        <v>4472.96554</v>
      </c>
      <c r="AB1034" t="n">
        <v>4614.60638</v>
      </c>
      <c r="AC1034" t="n">
        <v>4616.0986</v>
      </c>
      <c r="AD1034" t="n">
        <v>0</v>
      </c>
      <c r="AE1034">
        <f>AE1033+1</f>
        <v/>
      </c>
      <c r="AF1034">
        <f>AF1033+1</f>
        <v/>
      </c>
      <c r="AG1034">
        <f>D1034-Q1034</f>
        <v/>
      </c>
      <c r="AH1034">
        <f>AG1034^2</f>
        <v/>
      </c>
      <c r="AI1034">
        <f>(AG1034/STDEV($AG$3:$AG$1137))^3</f>
        <v/>
      </c>
      <c r="AJ1034">
        <f>(AG1034/STDEV($AG$3:$AG$1137))^4</f>
        <v/>
      </c>
      <c r="AK1034">
        <f>AF1034^2</f>
        <v/>
      </c>
      <c r="AL1034">
        <f>IF(AD1034=1,AB1034,IF(AL1033&lt;&gt;"",AL1033,""))</f>
        <v/>
      </c>
      <c r="AM1034">
        <f>IF(AND(AD1034=1,AL1033&lt;&gt;""),ABS(AB1034-AL1033),"")</f>
        <v/>
      </c>
    </row>
    <row r="1035">
      <c r="A1035" t="n">
        <v>1777665602</v>
      </c>
      <c r="B1035" t="inlineStr">
        <is>
          <t>XAUUSD</t>
        </is>
      </c>
      <c r="C1035" t="inlineStr">
        <is>
          <t>M15</t>
        </is>
      </c>
      <c r="D1035" t="n">
        <v>4611.41</v>
      </c>
      <c r="E1035" t="n">
        <v>4518.59282</v>
      </c>
      <c r="F1035" t="n">
        <v>4596.05595</v>
      </c>
      <c r="G1035" t="n">
        <v>4755.40355</v>
      </c>
      <c r="H1035" t="n">
        <v>4792.76972</v>
      </c>
      <c r="Q1035" t="n">
        <v>4541.20271</v>
      </c>
      <c r="R1035" t="n">
        <v>4570.56601</v>
      </c>
      <c r="S1035" t="n">
        <v>4597.15478</v>
      </c>
      <c r="V1035" t="n">
        <v>4506.26294</v>
      </c>
      <c r="W1035" t="n">
        <v>4472.69794</v>
      </c>
      <c r="AB1035" t="n">
        <v>4614.05923</v>
      </c>
      <c r="AC1035" t="n">
        <v>4615.07892</v>
      </c>
      <c r="AD1035" t="n">
        <v>0</v>
      </c>
      <c r="AE1035">
        <f>AE1034+1</f>
        <v/>
      </c>
      <c r="AF1035">
        <f>AF1034+1</f>
        <v/>
      </c>
      <c r="AG1035">
        <f>D1035-Q1035</f>
        <v/>
      </c>
      <c r="AH1035">
        <f>AG1035^2</f>
        <v/>
      </c>
      <c r="AI1035">
        <f>(AG1035/STDEV($AG$3:$AG$1137))^3</f>
        <v/>
      </c>
      <c r="AJ1035">
        <f>(AG1035/STDEV($AG$3:$AG$1137))^4</f>
        <v/>
      </c>
      <c r="AK1035">
        <f>AF1035^2</f>
        <v/>
      </c>
      <c r="AL1035">
        <f>IF(AD1035=1,AB1035,IF(AL1034&lt;&gt;"",AL1034,""))</f>
        <v/>
      </c>
      <c r="AM1035">
        <f>IF(AND(AD1035=1,AL1034&lt;&gt;""),ABS(AB1035-AL1034),"")</f>
        <v/>
      </c>
    </row>
    <row r="1036">
      <c r="A1036" t="n">
        <v>1777666502</v>
      </c>
      <c r="B1036" t="inlineStr">
        <is>
          <t>XAUUSD</t>
        </is>
      </c>
      <c r="C1036" t="inlineStr">
        <is>
          <t>M15</t>
        </is>
      </c>
      <c r="D1036" t="n">
        <v>4613.3</v>
      </c>
      <c r="E1036" t="n">
        <v>4518.59282</v>
      </c>
      <c r="F1036" t="n">
        <v>4596.05595</v>
      </c>
      <c r="G1036" t="n">
        <v>4755.40355</v>
      </c>
      <c r="H1036" t="n">
        <v>4792.76972</v>
      </c>
      <c r="Q1036" t="n">
        <v>4540.9351</v>
      </c>
      <c r="R1036" t="n">
        <v>4570.2984</v>
      </c>
      <c r="S1036" t="n">
        <v>4596.88717</v>
      </c>
      <c r="V1036" t="n">
        <v>4505.99533</v>
      </c>
      <c r="W1036" t="n">
        <v>4472.43034</v>
      </c>
      <c r="AB1036" t="n">
        <v>4614.27441</v>
      </c>
      <c r="AC1036" t="n">
        <v>4614.67666</v>
      </c>
      <c r="AD1036" t="n">
        <v>0</v>
      </c>
      <c r="AE1036">
        <f>AE1035+1</f>
        <v/>
      </c>
      <c r="AF1036">
        <f>AF1035+1</f>
        <v/>
      </c>
      <c r="AG1036">
        <f>D1036-Q1036</f>
        <v/>
      </c>
      <c r="AH1036">
        <f>AG1036^2</f>
        <v/>
      </c>
      <c r="AI1036">
        <f>(AG1036/STDEV($AG$3:$AG$1137))^3</f>
        <v/>
      </c>
      <c r="AJ1036">
        <f>(AG1036/STDEV($AG$3:$AG$1137))^4</f>
        <v/>
      </c>
      <c r="AK1036">
        <f>AF1036^2</f>
        <v/>
      </c>
      <c r="AL1036">
        <f>IF(AD1036=1,AB1036,IF(AL1035&lt;&gt;"",AL1035,""))</f>
        <v/>
      </c>
      <c r="AM1036">
        <f>IF(AND(AD1036=1,AL1035&lt;&gt;""),ABS(AB1036-AL1035),"")</f>
        <v/>
      </c>
    </row>
    <row r="1037">
      <c r="A1037" t="n">
        <v>1777667402</v>
      </c>
      <c r="B1037" t="inlineStr">
        <is>
          <t>XAUUSD</t>
        </is>
      </c>
      <c r="C1037" t="inlineStr">
        <is>
          <t>M15</t>
        </is>
      </c>
      <c r="D1037" t="n">
        <v>4613.77</v>
      </c>
      <c r="E1037" t="n">
        <v>4518.59282</v>
      </c>
      <c r="F1037" t="n">
        <v>4596.05595</v>
      </c>
      <c r="G1037" t="n">
        <v>4755.40355</v>
      </c>
      <c r="H1037" t="n">
        <v>4792.76972</v>
      </c>
      <c r="Q1037" t="n">
        <v>4540.6675</v>
      </c>
      <c r="R1037" t="n">
        <v>4570.0308</v>
      </c>
      <c r="S1037" t="n">
        <v>4596.61957</v>
      </c>
      <c r="V1037" t="n">
        <v>4505.72773</v>
      </c>
      <c r="W1037" t="n">
        <v>4472.16273</v>
      </c>
      <c r="AB1037" t="n">
        <v>4615.19343</v>
      </c>
      <c r="AC1037" t="n">
        <v>4614.93505</v>
      </c>
      <c r="AD1037" t="n">
        <v>1</v>
      </c>
      <c r="AE1037">
        <f>AE1036+1</f>
        <v/>
      </c>
      <c r="AF1037">
        <f>AF1036+1</f>
        <v/>
      </c>
      <c r="AG1037">
        <f>D1037-Q1037</f>
        <v/>
      </c>
      <c r="AH1037">
        <f>AG1037^2</f>
        <v/>
      </c>
      <c r="AI1037">
        <f>(AG1037/STDEV($AG$3:$AG$1137))^3</f>
        <v/>
      </c>
      <c r="AJ1037">
        <f>(AG1037/STDEV($AG$3:$AG$1137))^4</f>
        <v/>
      </c>
      <c r="AK1037">
        <f>AF1037^2</f>
        <v/>
      </c>
      <c r="AL1037">
        <f>IF(AD1037=1,AB1037,IF(AL1036&lt;&gt;"",AL1036,""))</f>
        <v/>
      </c>
      <c r="AM1037">
        <f>IF(AND(AD1037=1,AL1036&lt;&gt;""),ABS(AB1037-AL1036),"")</f>
        <v/>
      </c>
    </row>
    <row r="1038">
      <c r="A1038" t="n">
        <v>1777668302</v>
      </c>
      <c r="B1038" t="inlineStr">
        <is>
          <t>XAUUSD</t>
        </is>
      </c>
      <c r="C1038" t="inlineStr">
        <is>
          <t>M15</t>
        </is>
      </c>
      <c r="D1038" t="n">
        <v>4613.98</v>
      </c>
      <c r="E1038" t="n">
        <v>4518.59282</v>
      </c>
      <c r="F1038" t="n">
        <v>4596.05595</v>
      </c>
      <c r="G1038" t="n">
        <v>4755.40355</v>
      </c>
      <c r="H1038" t="n">
        <v>4792.76972</v>
      </c>
      <c r="Q1038" t="n">
        <v>4540.39989</v>
      </c>
      <c r="R1038" t="n">
        <v>4569.76319</v>
      </c>
      <c r="S1038" t="n">
        <v>4596.35196</v>
      </c>
      <c r="V1038" t="n">
        <v>4505.46012</v>
      </c>
      <c r="W1038" t="n">
        <v>4471.89513</v>
      </c>
      <c r="AB1038" t="n">
        <v>4616.67455</v>
      </c>
      <c r="AC1038" t="n">
        <v>4615.8048</v>
      </c>
      <c r="AD1038" t="n">
        <v>0</v>
      </c>
      <c r="AE1038">
        <f>AE1037+1</f>
        <v/>
      </c>
      <c r="AF1038">
        <f>AF1037+1</f>
        <v/>
      </c>
      <c r="AG1038">
        <f>D1038-Q1038</f>
        <v/>
      </c>
      <c r="AH1038">
        <f>AG1038^2</f>
        <v/>
      </c>
      <c r="AI1038">
        <f>(AG1038/STDEV($AG$3:$AG$1137))^3</f>
        <v/>
      </c>
      <c r="AJ1038">
        <f>(AG1038/STDEV($AG$3:$AG$1137))^4</f>
        <v/>
      </c>
      <c r="AK1038">
        <f>AF1038^2</f>
        <v/>
      </c>
      <c r="AL1038">
        <f>IF(AD1038=1,AB1038,IF(AL1037&lt;&gt;"",AL1037,""))</f>
        <v/>
      </c>
      <c r="AM1038">
        <f>IF(AND(AD1038=1,AL1037&lt;&gt;""),ABS(AB1038-AL1037),"")</f>
        <v/>
      </c>
    </row>
    <row r="1039">
      <c r="A1039" t="n">
        <v>1777845602</v>
      </c>
      <c r="B1039" t="inlineStr">
        <is>
          <t>XAUUSD</t>
        </is>
      </c>
      <c r="C1039" t="inlineStr">
        <is>
          <t>M15</t>
        </is>
      </c>
      <c r="D1039" t="n">
        <v>4623.11</v>
      </c>
      <c r="E1039" t="n">
        <v>4518.59282</v>
      </c>
      <c r="F1039" t="n">
        <v>4596.05595</v>
      </c>
      <c r="G1039" t="n">
        <v>4755.40355</v>
      </c>
      <c r="H1039" t="n">
        <v>4792.76972</v>
      </c>
      <c r="Q1039" t="n">
        <v>4540.13229</v>
      </c>
      <c r="R1039" t="n">
        <v>4569.49559</v>
      </c>
      <c r="S1039" t="n">
        <v>4596.08436</v>
      </c>
      <c r="V1039" t="n">
        <v>4505.19252</v>
      </c>
      <c r="W1039" t="n">
        <v>4471.62752</v>
      </c>
      <c r="AB1039" t="n">
        <v>4618.47149</v>
      </c>
      <c r="AC1039" t="n">
        <v>4617.13815</v>
      </c>
      <c r="AD1039" t="n">
        <v>0</v>
      </c>
      <c r="AE1039">
        <f>AE1038+1</f>
        <v/>
      </c>
      <c r="AF1039">
        <f>AF1038+1</f>
        <v/>
      </c>
      <c r="AG1039">
        <f>D1039-Q1039</f>
        <v/>
      </c>
      <c r="AH1039">
        <f>AG1039^2</f>
        <v/>
      </c>
      <c r="AI1039">
        <f>(AG1039/STDEV($AG$3:$AG$1137))^3</f>
        <v/>
      </c>
      <c r="AJ1039">
        <f>(AG1039/STDEV($AG$3:$AG$1137))^4</f>
        <v/>
      </c>
      <c r="AK1039">
        <f>AF1039^2</f>
        <v/>
      </c>
      <c r="AL1039">
        <f>IF(AD1039=1,AB1039,IF(AL1038&lt;&gt;"",AL1038,""))</f>
        <v/>
      </c>
      <c r="AM1039">
        <f>IF(AND(AD1039=1,AL1038&lt;&gt;""),ABS(AB1039-AL1038),"")</f>
        <v/>
      </c>
    </row>
    <row r="1040">
      <c r="A1040" t="n">
        <v>1777846502</v>
      </c>
      <c r="B1040" t="inlineStr">
        <is>
          <t>XAUUSD</t>
        </is>
      </c>
      <c r="C1040" t="inlineStr">
        <is>
          <t>M15</t>
        </is>
      </c>
      <c r="D1040" t="n">
        <v>4620.91</v>
      </c>
      <c r="E1040" t="n">
        <v>4518.59282</v>
      </c>
      <c r="F1040" t="n">
        <v>4596.05595</v>
      </c>
      <c r="G1040" t="n">
        <v>4755.40355</v>
      </c>
      <c r="H1040" t="n">
        <v>4792.76972</v>
      </c>
      <c r="Q1040" t="n">
        <v>4539.86469</v>
      </c>
      <c r="R1040" t="n">
        <v>4569.22799</v>
      </c>
      <c r="S1040" t="n">
        <v>4595.81676</v>
      </c>
      <c r="V1040" t="n">
        <v>4504.92492</v>
      </c>
      <c r="W1040" t="n">
        <v>4471.35992</v>
      </c>
      <c r="AB1040" t="n">
        <v>4619.95768</v>
      </c>
      <c r="AC1040" t="n">
        <v>4618.54791</v>
      </c>
      <c r="AD1040" t="n">
        <v>0</v>
      </c>
      <c r="AE1040">
        <f>AE1039+1</f>
        <v/>
      </c>
      <c r="AF1040">
        <f>AF1039+1</f>
        <v/>
      </c>
      <c r="AG1040">
        <f>D1040-Q1040</f>
        <v/>
      </c>
      <c r="AH1040">
        <f>AG1040^2</f>
        <v/>
      </c>
      <c r="AI1040">
        <f>(AG1040/STDEV($AG$3:$AG$1137))^3</f>
        <v/>
      </c>
      <c r="AJ1040">
        <f>(AG1040/STDEV($AG$3:$AG$1137))^4</f>
        <v/>
      </c>
      <c r="AK1040">
        <f>AF1040^2</f>
        <v/>
      </c>
      <c r="AL1040">
        <f>IF(AD1040=1,AB1040,IF(AL1039&lt;&gt;"",AL1039,""))</f>
        <v/>
      </c>
      <c r="AM1040">
        <f>IF(AND(AD1040=1,AL1039&lt;&gt;""),ABS(AB1040-AL1039),"")</f>
        <v/>
      </c>
    </row>
    <row r="1041">
      <c r="A1041" t="n">
        <v>1777847402</v>
      </c>
      <c r="B1041" t="inlineStr">
        <is>
          <t>XAUUSD</t>
        </is>
      </c>
      <c r="C1041" t="inlineStr">
        <is>
          <t>M15</t>
        </is>
      </c>
      <c r="D1041" t="n">
        <v>4628.2</v>
      </c>
      <c r="E1041" t="n">
        <v>4518.59282</v>
      </c>
      <c r="F1041" t="n">
        <v>4596.05595</v>
      </c>
      <c r="G1041" t="n">
        <v>4755.40355</v>
      </c>
      <c r="H1041" t="n">
        <v>4792.76972</v>
      </c>
      <c r="Q1041" t="n">
        <v>4539.59708</v>
      </c>
      <c r="R1041" t="n">
        <v>4568.96038</v>
      </c>
      <c r="S1041" t="n">
        <v>4595.54915</v>
      </c>
      <c r="V1041" t="n">
        <v>4504.65731</v>
      </c>
      <c r="W1041" t="n">
        <v>4471.09232</v>
      </c>
      <c r="AB1041" t="n">
        <v>4620.82973</v>
      </c>
      <c r="AC1041" t="n">
        <v>4619.68882</v>
      </c>
      <c r="AD1041" t="n">
        <v>0</v>
      </c>
      <c r="AE1041">
        <f>AE1040+1</f>
        <v/>
      </c>
      <c r="AF1041">
        <f>AF1040+1</f>
        <v/>
      </c>
      <c r="AG1041">
        <f>D1041-Q1041</f>
        <v/>
      </c>
      <c r="AH1041">
        <f>AG1041^2</f>
        <v/>
      </c>
      <c r="AI1041">
        <f>(AG1041/STDEV($AG$3:$AG$1137))^3</f>
        <v/>
      </c>
      <c r="AJ1041">
        <f>(AG1041/STDEV($AG$3:$AG$1137))^4</f>
        <v/>
      </c>
      <c r="AK1041">
        <f>AF1041^2</f>
        <v/>
      </c>
      <c r="AL1041">
        <f>IF(AD1041=1,AB1041,IF(AL1040&lt;&gt;"",AL1040,""))</f>
        <v/>
      </c>
      <c r="AM1041">
        <f>IF(AND(AD1041=1,AL1040&lt;&gt;""),ABS(AB1041-AL1040),"")</f>
        <v/>
      </c>
    </row>
    <row r="1042">
      <c r="A1042" t="n">
        <v>1777848302</v>
      </c>
      <c r="B1042" t="inlineStr">
        <is>
          <t>XAUUSD</t>
        </is>
      </c>
      <c r="C1042" t="inlineStr">
        <is>
          <t>M15</t>
        </is>
      </c>
      <c r="D1042" t="n">
        <v>4618.95</v>
      </c>
      <c r="E1042" t="n">
        <v>4518.59282</v>
      </c>
      <c r="F1042" t="n">
        <v>4596.05595</v>
      </c>
      <c r="G1042" t="n">
        <v>4755.40355</v>
      </c>
      <c r="H1042" t="n">
        <v>4792.76972</v>
      </c>
      <c r="Q1042" t="n">
        <v>4539.32948</v>
      </c>
      <c r="R1042" t="n">
        <v>4568.69278</v>
      </c>
      <c r="S1042" t="n">
        <v>4595.28155</v>
      </c>
      <c r="V1042" t="n">
        <v>4504.38971</v>
      </c>
      <c r="W1042" t="n">
        <v>4470.82471</v>
      </c>
      <c r="AB1042" t="n">
        <v>4620.61267</v>
      </c>
      <c r="AC1042" t="n">
        <v>4620.15074</v>
      </c>
      <c r="AD1042" t="n">
        <v>0</v>
      </c>
      <c r="AE1042">
        <f>AE1041+1</f>
        <v/>
      </c>
      <c r="AF1042">
        <f>AF1041+1</f>
        <v/>
      </c>
      <c r="AG1042">
        <f>D1042-Q1042</f>
        <v/>
      </c>
      <c r="AH1042">
        <f>AG1042^2</f>
        <v/>
      </c>
      <c r="AI1042">
        <f>(AG1042/STDEV($AG$3:$AG$1137))^3</f>
        <v/>
      </c>
      <c r="AJ1042">
        <f>(AG1042/STDEV($AG$3:$AG$1137))^4</f>
        <v/>
      </c>
      <c r="AK1042">
        <f>AF1042^2</f>
        <v/>
      </c>
      <c r="AL1042">
        <f>IF(AD1042=1,AB1042,IF(AL1041&lt;&gt;"",AL1041,""))</f>
        <v/>
      </c>
      <c r="AM1042">
        <f>IF(AND(AD1042=1,AL1041&lt;&gt;""),ABS(AB1042-AL1041),"")</f>
        <v/>
      </c>
    </row>
    <row r="1043">
      <c r="A1043" t="n">
        <v>1777849202</v>
      </c>
      <c r="B1043" t="inlineStr">
        <is>
          <t>XAUUSD</t>
        </is>
      </c>
      <c r="C1043" t="inlineStr">
        <is>
          <t>M15</t>
        </is>
      </c>
      <c r="D1043" t="n">
        <v>4615.08</v>
      </c>
      <c r="E1043" t="n">
        <v>4518.59282</v>
      </c>
      <c r="F1043" t="n">
        <v>4596.05595</v>
      </c>
      <c r="G1043" t="n">
        <v>4755.40355</v>
      </c>
      <c r="H1043" t="n">
        <v>4792.76972</v>
      </c>
      <c r="Q1043" t="n">
        <v>4539.06187</v>
      </c>
      <c r="R1043" t="n">
        <v>4568.42517</v>
      </c>
      <c r="S1043" t="n">
        <v>4595.01394</v>
      </c>
      <c r="V1043" t="n">
        <v>4504.1221</v>
      </c>
      <c r="W1043" t="n">
        <v>4470.55711</v>
      </c>
      <c r="AB1043" t="n">
        <v>4619.52983</v>
      </c>
      <c r="AC1043" t="n">
        <v>4619.84029</v>
      </c>
      <c r="AD1043" t="n">
        <v>1</v>
      </c>
      <c r="AE1043">
        <f>AE1042+1</f>
        <v/>
      </c>
      <c r="AF1043">
        <f>AF1042+1</f>
        <v/>
      </c>
      <c r="AG1043">
        <f>D1043-Q1043</f>
        <v/>
      </c>
      <c r="AH1043">
        <f>AG1043^2</f>
        <v/>
      </c>
      <c r="AI1043">
        <f>(AG1043/STDEV($AG$3:$AG$1137))^3</f>
        <v/>
      </c>
      <c r="AJ1043">
        <f>(AG1043/STDEV($AG$3:$AG$1137))^4</f>
        <v/>
      </c>
      <c r="AK1043">
        <f>AF1043^2</f>
        <v/>
      </c>
      <c r="AL1043">
        <f>IF(AD1043=1,AB1043,IF(AL1042&lt;&gt;"",AL1042,""))</f>
        <v/>
      </c>
      <c r="AM1043">
        <f>IF(AND(AD1043=1,AL1042&lt;&gt;""),ABS(AB1043-AL1042),"")</f>
        <v/>
      </c>
    </row>
    <row r="1044">
      <c r="A1044" t="n">
        <v>1777850102</v>
      </c>
      <c r="B1044" t="inlineStr">
        <is>
          <t>XAUUSD</t>
        </is>
      </c>
      <c r="C1044" t="inlineStr">
        <is>
          <t>M15</t>
        </is>
      </c>
      <c r="D1044" t="n">
        <v>4617.09</v>
      </c>
      <c r="E1044" t="n">
        <v>4518.59282</v>
      </c>
      <c r="F1044" t="n">
        <v>4596.05595</v>
      </c>
      <c r="G1044" t="n">
        <v>4755.40355</v>
      </c>
      <c r="H1044" t="n">
        <v>4792.76972</v>
      </c>
      <c r="Q1044" t="n">
        <v>4538.79427</v>
      </c>
      <c r="R1044" t="n">
        <v>4568.15757</v>
      </c>
      <c r="S1044" t="n">
        <v>4594.74634</v>
      </c>
      <c r="V1044" t="n">
        <v>4503.8545</v>
      </c>
      <c r="W1044" t="n">
        <v>4470.2895</v>
      </c>
      <c r="AB1044" t="n">
        <v>4617.81383</v>
      </c>
      <c r="AC1044" t="n">
        <v>4618.82706</v>
      </c>
      <c r="AD1044" t="n">
        <v>0</v>
      </c>
      <c r="AE1044">
        <f>AE1043+1</f>
        <v/>
      </c>
      <c r="AF1044">
        <f>AF1043+1</f>
        <v/>
      </c>
      <c r="AG1044">
        <f>D1044-Q1044</f>
        <v/>
      </c>
      <c r="AH1044">
        <f>AG1044^2</f>
        <v/>
      </c>
      <c r="AI1044">
        <f>(AG1044/STDEV($AG$3:$AG$1137))^3</f>
        <v/>
      </c>
      <c r="AJ1044">
        <f>(AG1044/STDEV($AG$3:$AG$1137))^4</f>
        <v/>
      </c>
      <c r="AK1044">
        <f>AF1044^2</f>
        <v/>
      </c>
      <c r="AL1044">
        <f>IF(AD1044=1,AB1044,IF(AL1043&lt;&gt;"",AL1043,""))</f>
        <v/>
      </c>
      <c r="AM1044">
        <f>IF(AND(AD1044=1,AL1043&lt;&gt;""),ABS(AB1044-AL1043),"")</f>
        <v/>
      </c>
    </row>
    <row r="1045">
      <c r="A1045" t="n">
        <v>1777851002</v>
      </c>
      <c r="B1045" t="inlineStr">
        <is>
          <t>XAUUSD</t>
        </is>
      </c>
      <c r="C1045" t="inlineStr">
        <is>
          <t>M15</t>
        </is>
      </c>
      <c r="D1045" t="n">
        <v>4613.63</v>
      </c>
      <c r="E1045" t="n">
        <v>4518.59282</v>
      </c>
      <c r="F1045" t="n">
        <v>4596.05595</v>
      </c>
      <c r="G1045" t="n">
        <v>4755.40355</v>
      </c>
      <c r="H1045" t="n">
        <v>4792.76972</v>
      </c>
      <c r="Q1045" t="n">
        <v>4538.52667</v>
      </c>
      <c r="R1045" t="n">
        <v>4567.88997</v>
      </c>
      <c r="S1045" t="n">
        <v>4594.47874</v>
      </c>
      <c r="V1045" t="n">
        <v>4503.5869</v>
      </c>
      <c r="W1045" t="n">
        <v>4470.0219</v>
      </c>
      <c r="AB1045" t="n">
        <v>4615.57777</v>
      </c>
      <c r="AC1045" t="n">
        <v>4617.20241</v>
      </c>
      <c r="AD1045" t="n">
        <v>0</v>
      </c>
      <c r="AE1045">
        <f>AE1044+1</f>
        <v/>
      </c>
      <c r="AF1045">
        <f>AF1044+1</f>
        <v/>
      </c>
      <c r="AG1045">
        <f>D1045-Q1045</f>
        <v/>
      </c>
      <c r="AH1045">
        <f>AG1045^2</f>
        <v/>
      </c>
      <c r="AI1045">
        <f>(AG1045/STDEV($AG$3:$AG$1137))^3</f>
        <v/>
      </c>
      <c r="AJ1045">
        <f>(AG1045/STDEV($AG$3:$AG$1137))^4</f>
        <v/>
      </c>
      <c r="AK1045">
        <f>AF1045^2</f>
        <v/>
      </c>
      <c r="AL1045">
        <f>IF(AD1045=1,AB1045,IF(AL1044&lt;&gt;"",AL1044,""))</f>
        <v/>
      </c>
      <c r="AM1045">
        <f>IF(AND(AD1045=1,AL1044&lt;&gt;""),ABS(AB1045-AL1044),"")</f>
        <v/>
      </c>
    </row>
    <row r="1046">
      <c r="A1046" t="n">
        <v>1777851902</v>
      </c>
      <c r="B1046" t="inlineStr">
        <is>
          <t>XAUUSD</t>
        </is>
      </c>
      <c r="C1046" t="inlineStr">
        <is>
          <t>M15</t>
        </is>
      </c>
      <c r="D1046" t="n">
        <v>4613.86</v>
      </c>
      <c r="E1046" t="n">
        <v>4518.59282</v>
      </c>
      <c r="F1046" t="n">
        <v>4596.05595</v>
      </c>
      <c r="G1046" t="n">
        <v>4755.40355</v>
      </c>
      <c r="H1046" t="n">
        <v>4792.76972</v>
      </c>
      <c r="Q1046" t="n">
        <v>4538.25906</v>
      </c>
      <c r="R1046" t="n">
        <v>4567.62236</v>
      </c>
      <c r="S1046" t="n">
        <v>4594.21113</v>
      </c>
      <c r="V1046" t="n">
        <v>4503.31929</v>
      </c>
      <c r="W1046" t="n">
        <v>4469.7543</v>
      </c>
      <c r="AB1046" t="n">
        <v>4613.10995</v>
      </c>
      <c r="AC1046" t="n">
        <v>4615.15618</v>
      </c>
      <c r="AD1046" t="n">
        <v>0</v>
      </c>
      <c r="AE1046">
        <f>AE1045+1</f>
        <v/>
      </c>
      <c r="AF1046">
        <f>AF1045+1</f>
        <v/>
      </c>
      <c r="AG1046">
        <f>D1046-Q1046</f>
        <v/>
      </c>
      <c r="AH1046">
        <f>AG1046^2</f>
        <v/>
      </c>
      <c r="AI1046">
        <f>(AG1046/STDEV($AG$3:$AG$1137))^3</f>
        <v/>
      </c>
      <c r="AJ1046">
        <f>(AG1046/STDEV($AG$3:$AG$1137))^4</f>
        <v/>
      </c>
      <c r="AK1046">
        <f>AF1046^2</f>
        <v/>
      </c>
      <c r="AL1046">
        <f>IF(AD1046=1,AB1046,IF(AL1045&lt;&gt;"",AL1045,""))</f>
        <v/>
      </c>
      <c r="AM1046">
        <f>IF(AND(AD1046=1,AL1045&lt;&gt;""),ABS(AB1046-AL1045),"")</f>
        <v/>
      </c>
    </row>
    <row r="1047">
      <c r="A1047" t="n">
        <v>1777852802</v>
      </c>
      <c r="B1047" t="inlineStr">
        <is>
          <t>XAUUSD</t>
        </is>
      </c>
      <c r="C1047" t="inlineStr">
        <is>
          <t>M15</t>
        </is>
      </c>
      <c r="D1047" t="n">
        <v>4612.3</v>
      </c>
      <c r="E1047" t="n">
        <v>4518.59282</v>
      </c>
      <c r="F1047" t="n">
        <v>4596.05595</v>
      </c>
      <c r="G1047" t="n">
        <v>4755.40355</v>
      </c>
      <c r="H1047" t="n">
        <v>4792.76972</v>
      </c>
      <c r="Q1047" t="n">
        <v>4537.99146</v>
      </c>
      <c r="R1047" t="n">
        <v>4567.35476</v>
      </c>
      <c r="S1047" t="n">
        <v>4593.94353</v>
      </c>
      <c r="V1047" t="n">
        <v>4503.05169</v>
      </c>
      <c r="W1047" t="n">
        <v>4469.48669</v>
      </c>
      <c r="AB1047" t="n">
        <v>4610.61196</v>
      </c>
      <c r="AC1047" t="n">
        <v>4612.88407</v>
      </c>
      <c r="AD1047" t="n">
        <v>0</v>
      </c>
      <c r="AE1047">
        <f>AE1046+1</f>
        <v/>
      </c>
      <c r="AF1047">
        <f>AF1046+1</f>
        <v/>
      </c>
      <c r="AG1047">
        <f>D1047-Q1047</f>
        <v/>
      </c>
      <c r="AH1047">
        <f>AG1047^2</f>
        <v/>
      </c>
      <c r="AI1047">
        <f>(AG1047/STDEV($AG$3:$AG$1137))^3</f>
        <v/>
      </c>
      <c r="AJ1047">
        <f>(AG1047/STDEV($AG$3:$AG$1137))^4</f>
        <v/>
      </c>
      <c r="AK1047">
        <f>AF1047^2</f>
        <v/>
      </c>
      <c r="AL1047">
        <f>IF(AD1047=1,AB1047,IF(AL1046&lt;&gt;"",AL1046,""))</f>
        <v/>
      </c>
      <c r="AM1047">
        <f>IF(AND(AD1047=1,AL1046&lt;&gt;""),ABS(AB1047-AL1046),"")</f>
        <v/>
      </c>
    </row>
    <row r="1048">
      <c r="A1048" t="n">
        <v>1777853702</v>
      </c>
      <c r="B1048" t="inlineStr">
        <is>
          <t>XAUUSD</t>
        </is>
      </c>
      <c r="C1048" t="inlineStr">
        <is>
          <t>M15</t>
        </is>
      </c>
      <c r="D1048" t="n">
        <v>4606.13</v>
      </c>
      <c r="E1048" t="n">
        <v>4518.59282</v>
      </c>
      <c r="F1048" t="n">
        <v>4596.05595</v>
      </c>
      <c r="G1048" t="n">
        <v>4755.40355</v>
      </c>
      <c r="H1048" t="n">
        <v>4792.76972</v>
      </c>
      <c r="Q1048" t="n">
        <v>4537.72385</v>
      </c>
      <c r="R1048" t="n">
        <v>4567.08715</v>
      </c>
      <c r="S1048" t="n">
        <v>4593.67592</v>
      </c>
      <c r="V1048" t="n">
        <v>4502.78408</v>
      </c>
      <c r="W1048" t="n">
        <v>4469.21909</v>
      </c>
      <c r="AB1048" t="n">
        <v>4608.26458</v>
      </c>
      <c r="AC1048" t="n">
        <v>4610.57432</v>
      </c>
      <c r="AD1048" t="n">
        <v>0</v>
      </c>
      <c r="AE1048">
        <f>AE1047+1</f>
        <v/>
      </c>
      <c r="AF1048">
        <f>AF1047+1</f>
        <v/>
      </c>
      <c r="AG1048">
        <f>D1048-Q1048</f>
        <v/>
      </c>
      <c r="AH1048">
        <f>AG1048^2</f>
        <v/>
      </c>
      <c r="AI1048">
        <f>(AG1048/STDEV($AG$3:$AG$1137))^3</f>
        <v/>
      </c>
      <c r="AJ1048">
        <f>(AG1048/STDEV($AG$3:$AG$1137))^4</f>
        <v/>
      </c>
      <c r="AK1048">
        <f>AF1048^2</f>
        <v/>
      </c>
      <c r="AL1048">
        <f>IF(AD1048=1,AB1048,IF(AL1047&lt;&gt;"",AL1047,""))</f>
        <v/>
      </c>
      <c r="AM1048">
        <f>IF(AND(AD1048=1,AL1047&lt;&gt;""),ABS(AB1048-AL1047),"")</f>
        <v/>
      </c>
    </row>
    <row r="1049">
      <c r="A1049" t="n">
        <v>1777854602</v>
      </c>
      <c r="B1049" t="inlineStr">
        <is>
          <t>XAUUSD</t>
        </is>
      </c>
      <c r="C1049" t="inlineStr">
        <is>
          <t>M15</t>
        </is>
      </c>
      <c r="D1049" t="n">
        <v>4605.86</v>
      </c>
      <c r="E1049" t="n">
        <v>4518.59282</v>
      </c>
      <c r="F1049" t="n">
        <v>4596.05595</v>
      </c>
      <c r="G1049" t="n">
        <v>4755.40355</v>
      </c>
      <c r="H1049" t="n">
        <v>4792.76972</v>
      </c>
      <c r="Q1049" t="n">
        <v>4537.45625</v>
      </c>
      <c r="R1049" t="n">
        <v>4566.81955</v>
      </c>
      <c r="S1049" t="n">
        <v>4593.40832</v>
      </c>
      <c r="V1049" t="n">
        <v>4502.51648</v>
      </c>
      <c r="W1049" t="n">
        <v>4468.95148</v>
      </c>
      <c r="AB1049" t="n">
        <v>4606.33898</v>
      </c>
      <c r="AC1049" t="n">
        <v>4608.45665</v>
      </c>
      <c r="AD1049" t="n">
        <v>0</v>
      </c>
      <c r="AE1049">
        <f>AE1048+1</f>
        <v/>
      </c>
      <c r="AF1049">
        <f>AF1048+1</f>
        <v/>
      </c>
      <c r="AG1049">
        <f>D1049-Q1049</f>
        <v/>
      </c>
      <c r="AH1049">
        <f>AG1049^2</f>
        <v/>
      </c>
      <c r="AI1049">
        <f>(AG1049/STDEV($AG$3:$AG$1137))^3</f>
        <v/>
      </c>
      <c r="AJ1049">
        <f>(AG1049/STDEV($AG$3:$AG$1137))^4</f>
        <v/>
      </c>
      <c r="AK1049">
        <f>AF1049^2</f>
        <v/>
      </c>
      <c r="AL1049">
        <f>IF(AD1049=1,AB1049,IF(AL1048&lt;&gt;"",AL1048,""))</f>
        <v/>
      </c>
      <c r="AM1049">
        <f>IF(AND(AD1049=1,AL1048&lt;&gt;""),ABS(AB1049-AL1048),"")</f>
        <v/>
      </c>
    </row>
    <row r="1050">
      <c r="A1050" t="n">
        <v>1777855502</v>
      </c>
      <c r="B1050" t="inlineStr">
        <is>
          <t>XAUUSD</t>
        </is>
      </c>
      <c r="C1050" t="inlineStr">
        <is>
          <t>M15</t>
        </is>
      </c>
      <c r="D1050" t="n">
        <v>4613.01</v>
      </c>
      <c r="E1050" t="n">
        <v>4518.59282</v>
      </c>
      <c r="F1050" t="n">
        <v>4596.05595</v>
      </c>
      <c r="G1050" t="n">
        <v>4755.40355</v>
      </c>
      <c r="H1050" t="n">
        <v>4792.76972</v>
      </c>
      <c r="Q1050" t="n">
        <v>4537.18865</v>
      </c>
      <c r="R1050" t="n">
        <v>4566.55194</v>
      </c>
      <c r="S1050" t="n">
        <v>4593.14072</v>
      </c>
      <c r="V1050" t="n">
        <v>4502.24888</v>
      </c>
      <c r="W1050" t="n">
        <v>4468.68388</v>
      </c>
      <c r="AB1050" t="n">
        <v>4604.85083</v>
      </c>
      <c r="AC1050" t="n">
        <v>4606.65374</v>
      </c>
      <c r="AD1050" t="n">
        <v>0</v>
      </c>
      <c r="AE1050">
        <f>AE1049+1</f>
        <v/>
      </c>
      <c r="AF1050">
        <f>AF1049+1</f>
        <v/>
      </c>
      <c r="AG1050">
        <f>D1050-Q1050</f>
        <v/>
      </c>
      <c r="AH1050">
        <f>AG1050^2</f>
        <v/>
      </c>
      <c r="AI1050">
        <f>(AG1050/STDEV($AG$3:$AG$1137))^3</f>
        <v/>
      </c>
      <c r="AJ1050">
        <f>(AG1050/STDEV($AG$3:$AG$1137))^4</f>
        <v/>
      </c>
      <c r="AK1050">
        <f>AF1050^2</f>
        <v/>
      </c>
      <c r="AL1050">
        <f>IF(AD1050=1,AB1050,IF(AL1049&lt;&gt;"",AL1049,""))</f>
        <v/>
      </c>
      <c r="AM1050">
        <f>IF(AND(AD1050=1,AL1049&lt;&gt;""),ABS(AB1050-AL1049),"")</f>
        <v/>
      </c>
    </row>
    <row r="1051">
      <c r="A1051" t="n">
        <v>1777856402</v>
      </c>
      <c r="B1051" t="inlineStr">
        <is>
          <t>XAUUSD</t>
        </is>
      </c>
      <c r="C1051" t="inlineStr">
        <is>
          <t>M15</t>
        </is>
      </c>
      <c r="D1051" t="n">
        <v>4600.58</v>
      </c>
      <c r="E1051" t="n">
        <v>4518.59282</v>
      </c>
      <c r="F1051" t="n">
        <v>4596.05595</v>
      </c>
      <c r="G1051" t="n">
        <v>4755.40355</v>
      </c>
      <c r="H1051" t="n">
        <v>4792.76972</v>
      </c>
      <c r="Q1051" t="n">
        <v>4536.92104</v>
      </c>
      <c r="R1051" t="n">
        <v>4566.28434</v>
      </c>
      <c r="S1051" t="n">
        <v>4592.87311</v>
      </c>
      <c r="V1051" t="n">
        <v>4501.98127</v>
      </c>
      <c r="W1051" t="n">
        <v>4468.41628</v>
      </c>
      <c r="AB1051" t="n">
        <v>4603.58268</v>
      </c>
      <c r="AC1051" t="n">
        <v>4605.11821</v>
      </c>
      <c r="AD1051" t="n">
        <v>0</v>
      </c>
      <c r="AE1051">
        <f>AE1050+1</f>
        <v/>
      </c>
      <c r="AF1051">
        <f>AF1050+1</f>
        <v/>
      </c>
      <c r="AG1051">
        <f>D1051-Q1051</f>
        <v/>
      </c>
      <c r="AH1051">
        <f>AG1051^2</f>
        <v/>
      </c>
      <c r="AI1051">
        <f>(AG1051/STDEV($AG$3:$AG$1137))^3</f>
        <v/>
      </c>
      <c r="AJ1051">
        <f>(AG1051/STDEV($AG$3:$AG$1137))^4</f>
        <v/>
      </c>
      <c r="AK1051">
        <f>AF1051^2</f>
        <v/>
      </c>
      <c r="AL1051">
        <f>IF(AD1051=1,AB1051,IF(AL1050&lt;&gt;"",AL1050,""))</f>
        <v/>
      </c>
      <c r="AM1051">
        <f>IF(AND(AD1051=1,AL1050&lt;&gt;""),ABS(AB1051-AL1050),"")</f>
        <v/>
      </c>
    </row>
    <row r="1052">
      <c r="A1052" t="n">
        <v>1777857302</v>
      </c>
      <c r="B1052" t="inlineStr">
        <is>
          <t>XAUUSD</t>
        </is>
      </c>
      <c r="C1052" t="inlineStr">
        <is>
          <t>M15</t>
        </is>
      </c>
      <c r="D1052" t="n">
        <v>4594.65</v>
      </c>
      <c r="E1052" t="n">
        <v>4518.59282</v>
      </c>
      <c r="F1052" t="n">
        <v>4596.05595</v>
      </c>
      <c r="G1052" t="n">
        <v>4755.40355</v>
      </c>
      <c r="H1052" t="n">
        <v>4792.76972</v>
      </c>
      <c r="Q1052" t="n">
        <v>4536.65344</v>
      </c>
      <c r="R1052" t="n">
        <v>4566.01674</v>
      </c>
      <c r="S1052" t="n">
        <v>4592.60551</v>
      </c>
      <c r="V1052" t="n">
        <v>4501.71367</v>
      </c>
      <c r="W1052" t="n">
        <v>4468.14867</v>
      </c>
      <c r="AB1052" t="n">
        <v>4602.82428</v>
      </c>
      <c r="AC1052" t="n">
        <v>4603.97125</v>
      </c>
      <c r="AD1052" t="n">
        <v>0</v>
      </c>
      <c r="AE1052">
        <f>AE1051+1</f>
        <v/>
      </c>
      <c r="AF1052">
        <f>AF1051+1</f>
        <v/>
      </c>
      <c r="AG1052">
        <f>D1052-Q1052</f>
        <v/>
      </c>
      <c r="AH1052">
        <f>AG1052^2</f>
        <v/>
      </c>
      <c r="AI1052">
        <f>(AG1052/STDEV($AG$3:$AG$1137))^3</f>
        <v/>
      </c>
      <c r="AJ1052">
        <f>(AG1052/STDEV($AG$3:$AG$1137))^4</f>
        <v/>
      </c>
      <c r="AK1052">
        <f>AF1052^2</f>
        <v/>
      </c>
      <c r="AL1052">
        <f>IF(AD1052=1,AB1052,IF(AL1051&lt;&gt;"",AL1051,""))</f>
        <v/>
      </c>
      <c r="AM1052">
        <f>IF(AND(AD1052=1,AL1051&lt;&gt;""),ABS(AB1052-AL1051),"")</f>
        <v/>
      </c>
    </row>
    <row r="1053">
      <c r="A1053" t="n">
        <v>1777858202</v>
      </c>
      <c r="B1053" t="inlineStr">
        <is>
          <t>XAUUSD</t>
        </is>
      </c>
      <c r="C1053" t="inlineStr">
        <is>
          <t>M15</t>
        </is>
      </c>
      <c r="D1053" t="n">
        <v>4601.59</v>
      </c>
      <c r="E1053" t="n">
        <v>4518.59282</v>
      </c>
      <c r="F1053" t="n">
        <v>4596.05595</v>
      </c>
      <c r="G1053" t="n">
        <v>4755.40355</v>
      </c>
      <c r="H1053" t="n">
        <v>4792.76972</v>
      </c>
      <c r="Q1053" t="n">
        <v>4536.38583</v>
      </c>
      <c r="R1053" t="n">
        <v>4565.74913</v>
      </c>
      <c r="S1053" t="n">
        <v>4592.3379</v>
      </c>
      <c r="V1053" t="n">
        <v>4501.44606</v>
      </c>
      <c r="W1053" t="n">
        <v>4467.88107</v>
      </c>
      <c r="AB1053" t="n">
        <v>4602.68068</v>
      </c>
      <c r="AC1053" t="n">
        <v>4603.32596</v>
      </c>
      <c r="AD1053" t="n">
        <v>0</v>
      </c>
      <c r="AE1053">
        <f>AE1052+1</f>
        <v/>
      </c>
      <c r="AF1053">
        <f>AF1052+1</f>
        <v/>
      </c>
      <c r="AG1053">
        <f>D1053-Q1053</f>
        <v/>
      </c>
      <c r="AH1053">
        <f>AG1053^2</f>
        <v/>
      </c>
      <c r="AI1053">
        <f>(AG1053/STDEV($AG$3:$AG$1137))^3</f>
        <v/>
      </c>
      <c r="AJ1053">
        <f>(AG1053/STDEV($AG$3:$AG$1137))^4</f>
        <v/>
      </c>
      <c r="AK1053">
        <f>AF1053^2</f>
        <v/>
      </c>
      <c r="AL1053">
        <f>IF(AD1053=1,AB1053,IF(AL1052&lt;&gt;"",AL1052,""))</f>
        <v/>
      </c>
      <c r="AM1053">
        <f>IF(AND(AD1053=1,AL1052&lt;&gt;""),ABS(AB1053-AL1052),"")</f>
        <v/>
      </c>
    </row>
    <row r="1054">
      <c r="A1054" t="n">
        <v>1777859102</v>
      </c>
      <c r="B1054" t="inlineStr">
        <is>
          <t>XAUUSD</t>
        </is>
      </c>
      <c r="C1054" t="inlineStr">
        <is>
          <t>M15</t>
        </is>
      </c>
      <c r="D1054" t="n">
        <v>4613.14</v>
      </c>
      <c r="E1054" t="n">
        <v>4518.59282</v>
      </c>
      <c r="F1054" t="n">
        <v>4596.05595</v>
      </c>
      <c r="G1054" t="n">
        <v>4755.40355</v>
      </c>
      <c r="H1054" t="n">
        <v>4792.76972</v>
      </c>
      <c r="Q1054" t="n">
        <v>4536.11823</v>
      </c>
      <c r="R1054" t="n">
        <v>4565.48153</v>
      </c>
      <c r="S1054" t="n">
        <v>4592.0703</v>
      </c>
      <c r="V1054" t="n">
        <v>4501.17846</v>
      </c>
      <c r="W1054" t="n">
        <v>4467.61346</v>
      </c>
      <c r="AB1054" t="n">
        <v>4602.87373</v>
      </c>
      <c r="AC1054" t="n">
        <v>4603.09985</v>
      </c>
      <c r="AD1054" t="n">
        <v>0</v>
      </c>
      <c r="AE1054">
        <f>AE1053+1</f>
        <v/>
      </c>
      <c r="AF1054">
        <f>AF1053+1</f>
        <v/>
      </c>
      <c r="AG1054">
        <f>D1054-Q1054</f>
        <v/>
      </c>
      <c r="AH1054">
        <f>AG1054^2</f>
        <v/>
      </c>
      <c r="AI1054">
        <f>(AG1054/STDEV($AG$3:$AG$1137))^3</f>
        <v/>
      </c>
      <c r="AJ1054">
        <f>(AG1054/STDEV($AG$3:$AG$1137))^4</f>
        <v/>
      </c>
      <c r="AK1054">
        <f>AF1054^2</f>
        <v/>
      </c>
      <c r="AL1054">
        <f>IF(AD1054=1,AB1054,IF(AL1053&lt;&gt;"",AL1053,""))</f>
        <v/>
      </c>
      <c r="AM1054">
        <f>IF(AND(AD1054=1,AL1053&lt;&gt;""),ABS(AB1054-AL1053),"")</f>
        <v/>
      </c>
    </row>
    <row r="1055">
      <c r="A1055" t="n">
        <v>1777860002</v>
      </c>
      <c r="B1055" t="inlineStr">
        <is>
          <t>XAUUSD</t>
        </is>
      </c>
      <c r="C1055" t="inlineStr">
        <is>
          <t>M15</t>
        </is>
      </c>
      <c r="D1055" t="n">
        <v>4608.34</v>
      </c>
      <c r="E1055" t="n">
        <v>4518.59282</v>
      </c>
      <c r="F1055" t="n">
        <v>4596.05595</v>
      </c>
      <c r="G1055" t="n">
        <v>4755.40355</v>
      </c>
      <c r="H1055" t="n">
        <v>4792.76972</v>
      </c>
      <c r="Q1055" t="n">
        <v>4535.85063</v>
      </c>
      <c r="R1055" t="n">
        <v>4565.21392</v>
      </c>
      <c r="S1055" t="n">
        <v>4591.8027</v>
      </c>
      <c r="V1055" t="n">
        <v>4500.91086</v>
      </c>
      <c r="W1055" t="n">
        <v>4467.34586</v>
      </c>
      <c r="AB1055" t="n">
        <v>4603.07433</v>
      </c>
      <c r="AC1055" t="n">
        <v>4603.08709</v>
      </c>
      <c r="AD1055" t="n">
        <v>0</v>
      </c>
      <c r="AE1055">
        <f>AE1054+1</f>
        <v/>
      </c>
      <c r="AF1055">
        <f>AF1054+1</f>
        <v/>
      </c>
      <c r="AG1055">
        <f>D1055-Q1055</f>
        <v/>
      </c>
      <c r="AH1055">
        <f>AG1055^2</f>
        <v/>
      </c>
      <c r="AI1055">
        <f>(AG1055/STDEV($AG$3:$AG$1137))^3</f>
        <v/>
      </c>
      <c r="AJ1055">
        <f>(AG1055/STDEV($AG$3:$AG$1137))^4</f>
        <v/>
      </c>
      <c r="AK1055">
        <f>AF1055^2</f>
        <v/>
      </c>
      <c r="AL1055">
        <f>IF(AD1055=1,AB1055,IF(AL1054&lt;&gt;"",AL1054,""))</f>
        <v/>
      </c>
      <c r="AM1055">
        <f>IF(AND(AD1055=1,AL1054&lt;&gt;""),ABS(AB1055-AL1054),"")</f>
        <v/>
      </c>
    </row>
    <row r="1056">
      <c r="A1056" t="n">
        <v>1777860902</v>
      </c>
      <c r="B1056" t="inlineStr">
        <is>
          <t>XAUUSD</t>
        </is>
      </c>
      <c r="C1056" t="inlineStr">
        <is>
          <t>M15</t>
        </is>
      </c>
      <c r="D1056" t="n">
        <v>4593.09</v>
      </c>
      <c r="E1056" t="n">
        <v>4518.59282</v>
      </c>
      <c r="F1056" t="n">
        <v>4596.05595</v>
      </c>
      <c r="G1056" t="n">
        <v>4755.40355</v>
      </c>
      <c r="H1056" t="n">
        <v>4792.76972</v>
      </c>
      <c r="Q1056" t="n">
        <v>4535.58302</v>
      </c>
      <c r="R1056" t="n">
        <v>4564.94632</v>
      </c>
      <c r="S1056" t="n">
        <v>4591.53509</v>
      </c>
      <c r="V1056" t="n">
        <v>4500.64325</v>
      </c>
      <c r="W1056" t="n">
        <v>4467.07825</v>
      </c>
      <c r="AB1056" t="n">
        <v>4603.46313</v>
      </c>
      <c r="AC1056" t="n">
        <v>4603.27511</v>
      </c>
      <c r="AD1056" t="n">
        <v>1</v>
      </c>
      <c r="AE1056">
        <f>AE1055+1</f>
        <v/>
      </c>
      <c r="AF1056">
        <f>AF1055+1</f>
        <v/>
      </c>
      <c r="AG1056">
        <f>D1056-Q1056</f>
        <v/>
      </c>
      <c r="AH1056">
        <f>AG1056^2</f>
        <v/>
      </c>
      <c r="AI1056">
        <f>(AG1056/STDEV($AG$3:$AG$1137))^3</f>
        <v/>
      </c>
      <c r="AJ1056">
        <f>(AG1056/STDEV($AG$3:$AG$1137))^4</f>
        <v/>
      </c>
      <c r="AK1056">
        <f>AF1056^2</f>
        <v/>
      </c>
      <c r="AL1056">
        <f>IF(AD1056=1,AB1056,IF(AL1055&lt;&gt;"",AL1055,""))</f>
        <v/>
      </c>
      <c r="AM1056">
        <f>IF(AND(AD1056=1,AL1055&lt;&gt;""),ABS(AB1056-AL1055),"")</f>
        <v/>
      </c>
    </row>
    <row r="1057">
      <c r="A1057" t="n">
        <v>1777861802</v>
      </c>
      <c r="B1057" t="inlineStr">
        <is>
          <t>XAUUSD</t>
        </is>
      </c>
      <c r="C1057" t="inlineStr">
        <is>
          <t>M15</t>
        </is>
      </c>
      <c r="D1057" t="n">
        <v>4603.32</v>
      </c>
      <c r="E1057" t="n">
        <v>4518.59282</v>
      </c>
      <c r="F1057" t="n">
        <v>4596.05595</v>
      </c>
      <c r="G1057" t="n">
        <v>4755.40355</v>
      </c>
      <c r="H1057" t="n">
        <v>4792.76972</v>
      </c>
      <c r="Q1057" t="n">
        <v>4535.31542</v>
      </c>
      <c r="R1057" t="n">
        <v>4564.67872</v>
      </c>
      <c r="S1057" t="n">
        <v>4591.26749</v>
      </c>
      <c r="V1057" t="n">
        <v>4500.37565</v>
      </c>
      <c r="W1057" t="n">
        <v>4466.81065</v>
      </c>
      <c r="AB1057" t="n">
        <v>4604.51814</v>
      </c>
      <c r="AC1057" t="n">
        <v>4603.89663</v>
      </c>
      <c r="AD1057" t="n">
        <v>0</v>
      </c>
      <c r="AE1057">
        <f>AE1056+1</f>
        <v/>
      </c>
      <c r="AF1057">
        <f>AF1056+1</f>
        <v/>
      </c>
      <c r="AG1057">
        <f>D1057-Q1057</f>
        <v/>
      </c>
      <c r="AH1057">
        <f>AG1057^2</f>
        <v/>
      </c>
      <c r="AI1057">
        <f>(AG1057/STDEV($AG$3:$AG$1137))^3</f>
        <v/>
      </c>
      <c r="AJ1057">
        <f>(AG1057/STDEV($AG$3:$AG$1137))^4</f>
        <v/>
      </c>
      <c r="AK1057">
        <f>AF1057^2</f>
        <v/>
      </c>
      <c r="AL1057">
        <f>IF(AD1057=1,AB1057,IF(AL1056&lt;&gt;"",AL1056,""))</f>
        <v/>
      </c>
      <c r="AM1057">
        <f>IF(AND(AD1057=1,AL1056&lt;&gt;""),ABS(AB1057-AL1056),"")</f>
        <v/>
      </c>
    </row>
    <row r="1058">
      <c r="A1058" t="n">
        <v>1777862702</v>
      </c>
      <c r="B1058" t="inlineStr">
        <is>
          <t>XAUUSD</t>
        </is>
      </c>
      <c r="C1058" t="inlineStr">
        <is>
          <t>M15</t>
        </is>
      </c>
      <c r="D1058" t="n">
        <v>4605.77</v>
      </c>
      <c r="E1058" t="n">
        <v>4518.59282</v>
      </c>
      <c r="F1058" t="n">
        <v>4596.05595</v>
      </c>
      <c r="G1058" t="n">
        <v>4755.40355</v>
      </c>
      <c r="H1058" t="n">
        <v>4792.76972</v>
      </c>
      <c r="Q1058" t="n">
        <v>4535.04781</v>
      </c>
      <c r="R1058" t="n">
        <v>4564.41111</v>
      </c>
      <c r="S1058" t="n">
        <v>4590.99988</v>
      </c>
      <c r="V1058" t="n">
        <v>4500.10804</v>
      </c>
      <c r="W1058" t="n">
        <v>4466.54305</v>
      </c>
      <c r="AB1058" t="n">
        <v>4605.99584</v>
      </c>
      <c r="AC1058" t="n">
        <v>4604.94624</v>
      </c>
      <c r="AD1058" t="n">
        <v>0</v>
      </c>
      <c r="AE1058">
        <f>AE1057+1</f>
        <v/>
      </c>
      <c r="AF1058">
        <f>AF1057+1</f>
        <v/>
      </c>
      <c r="AG1058">
        <f>D1058-Q1058</f>
        <v/>
      </c>
      <c r="AH1058">
        <f>AG1058^2</f>
        <v/>
      </c>
      <c r="AI1058">
        <f>(AG1058/STDEV($AG$3:$AG$1137))^3</f>
        <v/>
      </c>
      <c r="AJ1058">
        <f>(AG1058/STDEV($AG$3:$AG$1137))^4</f>
        <v/>
      </c>
      <c r="AK1058">
        <f>AF1058^2</f>
        <v/>
      </c>
      <c r="AL1058">
        <f>IF(AD1058=1,AB1058,IF(AL1057&lt;&gt;"",AL1057,""))</f>
        <v/>
      </c>
      <c r="AM1058">
        <f>IF(AND(AD1058=1,AL1057&lt;&gt;""),ABS(AB1058-AL1057),"")</f>
        <v/>
      </c>
    </row>
    <row r="1059">
      <c r="A1059" t="n">
        <v>1777863602</v>
      </c>
      <c r="B1059" t="inlineStr">
        <is>
          <t>XAUUSD</t>
        </is>
      </c>
      <c r="C1059" t="inlineStr">
        <is>
          <t>M15</t>
        </is>
      </c>
      <c r="D1059" t="n">
        <v>4610.07</v>
      </c>
      <c r="E1059" t="n">
        <v>4518.59282</v>
      </c>
      <c r="F1059" t="n">
        <v>4596.05595</v>
      </c>
      <c r="G1059" t="n">
        <v>4755.40355</v>
      </c>
      <c r="H1059" t="n">
        <v>4792.76972</v>
      </c>
      <c r="Q1059" t="n">
        <v>4534.78021</v>
      </c>
      <c r="R1059" t="n">
        <v>4564.14351</v>
      </c>
      <c r="S1059" t="n">
        <v>4590.73228</v>
      </c>
      <c r="V1059" t="n">
        <v>4499.84044</v>
      </c>
      <c r="W1059" t="n">
        <v>4466.27544</v>
      </c>
      <c r="AB1059" t="n">
        <v>4607.64179</v>
      </c>
      <c r="AC1059" t="n">
        <v>4606.29401</v>
      </c>
      <c r="AD1059" t="n">
        <v>0</v>
      </c>
      <c r="AE1059">
        <f>AE1058+1</f>
        <v/>
      </c>
      <c r="AF1059">
        <f>AF1058+1</f>
        <v/>
      </c>
      <c r="AG1059">
        <f>D1059-Q1059</f>
        <v/>
      </c>
      <c r="AH1059">
        <f>AG1059^2</f>
        <v/>
      </c>
      <c r="AI1059">
        <f>(AG1059/STDEV($AG$3:$AG$1137))^3</f>
        <v/>
      </c>
      <c r="AJ1059">
        <f>(AG1059/STDEV($AG$3:$AG$1137))^4</f>
        <v/>
      </c>
      <c r="AK1059">
        <f>AF1059^2</f>
        <v/>
      </c>
      <c r="AL1059">
        <f>IF(AD1059=1,AB1059,IF(AL1058&lt;&gt;"",AL1058,""))</f>
        <v/>
      </c>
      <c r="AM1059">
        <f>IF(AND(AD1059=1,AL1058&lt;&gt;""),ABS(AB1059-AL1058),"")</f>
        <v/>
      </c>
    </row>
    <row r="1060">
      <c r="A1060" t="n">
        <v>1777864502</v>
      </c>
      <c r="B1060" t="inlineStr">
        <is>
          <t>XAUUSD</t>
        </is>
      </c>
      <c r="C1060" t="inlineStr">
        <is>
          <t>M15</t>
        </is>
      </c>
      <c r="D1060" t="n">
        <v>4610.27</v>
      </c>
      <c r="E1060" t="n">
        <v>4518.59282</v>
      </c>
      <c r="F1060" t="n">
        <v>4596.05595</v>
      </c>
      <c r="G1060" t="n">
        <v>4755.40355</v>
      </c>
      <c r="H1060" t="n">
        <v>4792.76972</v>
      </c>
      <c r="Q1060" t="n">
        <v>4534.5126</v>
      </c>
      <c r="R1060" t="n">
        <v>4563.8759</v>
      </c>
      <c r="S1060" t="n">
        <v>4590.46467</v>
      </c>
      <c r="V1060" t="n">
        <v>4499.57283</v>
      </c>
      <c r="W1060" t="n">
        <v>4466.00784</v>
      </c>
      <c r="AB1060" t="n">
        <v>4609.07942</v>
      </c>
      <c r="AC1060" t="n">
        <v>4607.68672</v>
      </c>
      <c r="AD1060" t="n">
        <v>0</v>
      </c>
      <c r="AE1060">
        <f>AE1059+1</f>
        <v/>
      </c>
      <c r="AF1060">
        <f>AF1059+1</f>
        <v/>
      </c>
      <c r="AG1060">
        <f>D1060-Q1060</f>
        <v/>
      </c>
      <c r="AH1060">
        <f>AG1060^2</f>
        <v/>
      </c>
      <c r="AI1060">
        <f>(AG1060/STDEV($AG$3:$AG$1137))^3</f>
        <v/>
      </c>
      <c r="AJ1060">
        <f>(AG1060/STDEV($AG$3:$AG$1137))^4</f>
        <v/>
      </c>
      <c r="AK1060">
        <f>AF1060^2</f>
        <v/>
      </c>
      <c r="AL1060">
        <f>IF(AD1060=1,AB1060,IF(AL1059&lt;&gt;"",AL1059,""))</f>
        <v/>
      </c>
      <c r="AM1060">
        <f>IF(AND(AD1060=1,AL1059&lt;&gt;""),ABS(AB1060-AL1059),"")</f>
        <v/>
      </c>
    </row>
    <row r="1061">
      <c r="A1061" t="n">
        <v>1777865402</v>
      </c>
      <c r="B1061" t="inlineStr">
        <is>
          <t>XAUUSD</t>
        </is>
      </c>
      <c r="C1061" t="inlineStr">
        <is>
          <t>M15</t>
        </is>
      </c>
      <c r="D1061" t="n">
        <v>4605.07</v>
      </c>
      <c r="E1061" t="n">
        <v>4518.59282</v>
      </c>
      <c r="F1061" t="n">
        <v>4596.05595</v>
      </c>
      <c r="G1061" t="n">
        <v>4755.40355</v>
      </c>
      <c r="H1061" t="n">
        <v>4792.76972</v>
      </c>
      <c r="Q1061" t="n">
        <v>4534.245</v>
      </c>
      <c r="R1061" t="n">
        <v>4563.6083</v>
      </c>
      <c r="S1061" t="n">
        <v>4590.19707</v>
      </c>
      <c r="V1061" t="n">
        <v>4499.30523</v>
      </c>
      <c r="W1061" t="n">
        <v>4465.74023</v>
      </c>
      <c r="AB1061" t="n">
        <v>4610.0652</v>
      </c>
      <c r="AC1061" t="n">
        <v>4608.87596</v>
      </c>
      <c r="AD1061" t="n">
        <v>0</v>
      </c>
      <c r="AE1061">
        <f>AE1060+1</f>
        <v/>
      </c>
      <c r="AF1061">
        <f>AF1060+1</f>
        <v/>
      </c>
      <c r="AG1061">
        <f>D1061-Q1061</f>
        <v/>
      </c>
      <c r="AH1061">
        <f>AG1061^2</f>
        <v/>
      </c>
      <c r="AI1061">
        <f>(AG1061/STDEV($AG$3:$AG$1137))^3</f>
        <v/>
      </c>
      <c r="AJ1061">
        <f>(AG1061/STDEV($AG$3:$AG$1137))^4</f>
        <v/>
      </c>
      <c r="AK1061">
        <f>AF1061^2</f>
        <v/>
      </c>
      <c r="AL1061">
        <f>IF(AD1061=1,AB1061,IF(AL1060&lt;&gt;"",AL1060,""))</f>
        <v/>
      </c>
      <c r="AM1061">
        <f>IF(AND(AD1061=1,AL1060&lt;&gt;""),ABS(AB1061-AL1060),"")</f>
        <v/>
      </c>
    </row>
    <row r="1062">
      <c r="A1062" t="n">
        <v>1777866302</v>
      </c>
      <c r="B1062" t="inlineStr">
        <is>
          <t>XAUUSD</t>
        </is>
      </c>
      <c r="C1062" t="inlineStr">
        <is>
          <t>M15</t>
        </is>
      </c>
      <c r="D1062" t="n">
        <v>4615.09</v>
      </c>
      <c r="E1062" t="n">
        <v>4518.59282</v>
      </c>
      <c r="F1062" t="n">
        <v>4596.05595</v>
      </c>
      <c r="G1062" t="n">
        <v>4755.40355</v>
      </c>
      <c r="H1062" t="n">
        <v>4792.76972</v>
      </c>
      <c r="Q1062" t="n">
        <v>4533.9774</v>
      </c>
      <c r="R1062" t="n">
        <v>4563.3407</v>
      </c>
      <c r="S1062" t="n">
        <v>4589.92947</v>
      </c>
      <c r="V1062" t="n">
        <v>4499.03763</v>
      </c>
      <c r="W1062" t="n">
        <v>4465.47263</v>
      </c>
      <c r="AB1062" t="n">
        <v>4610.55983</v>
      </c>
      <c r="AC1062" t="n">
        <v>4609.71789</v>
      </c>
      <c r="AD1062" t="n">
        <v>0</v>
      </c>
      <c r="AE1062">
        <f>AE1061+1</f>
        <v/>
      </c>
      <c r="AF1062">
        <f>AF1061+1</f>
        <v/>
      </c>
      <c r="AG1062">
        <f>D1062-Q1062</f>
        <v/>
      </c>
      <c r="AH1062">
        <f>AG1062^2</f>
        <v/>
      </c>
      <c r="AI1062">
        <f>(AG1062/STDEV($AG$3:$AG$1137))^3</f>
        <v/>
      </c>
      <c r="AJ1062">
        <f>(AG1062/STDEV($AG$3:$AG$1137))^4</f>
        <v/>
      </c>
      <c r="AK1062">
        <f>AF1062^2</f>
        <v/>
      </c>
      <c r="AL1062">
        <f>IF(AD1062=1,AB1062,IF(AL1061&lt;&gt;"",AL1061,""))</f>
        <v/>
      </c>
      <c r="AM1062">
        <f>IF(AND(AD1062=1,AL1061&lt;&gt;""),ABS(AB1062-AL1061),"")</f>
        <v/>
      </c>
    </row>
    <row r="1063">
      <c r="A1063" t="n">
        <v>1777867202</v>
      </c>
      <c r="B1063" t="inlineStr">
        <is>
          <t>XAUUSD</t>
        </is>
      </c>
      <c r="C1063" t="inlineStr">
        <is>
          <t>M15</t>
        </is>
      </c>
      <c r="D1063" t="n">
        <v>4611.19</v>
      </c>
      <c r="E1063" t="n">
        <v>4518.59282</v>
      </c>
      <c r="F1063" t="n">
        <v>4596.05595</v>
      </c>
      <c r="G1063" t="n">
        <v>4755.40355</v>
      </c>
      <c r="H1063" t="n">
        <v>4792.76972</v>
      </c>
      <c r="Q1063" t="n">
        <v>4533.70979</v>
      </c>
      <c r="R1063" t="n">
        <v>4563.07309</v>
      </c>
      <c r="S1063" t="n">
        <v>4589.66186</v>
      </c>
      <c r="V1063" t="n">
        <v>4498.77002</v>
      </c>
      <c r="W1063" t="n">
        <v>4465.20503</v>
      </c>
      <c r="AB1063" t="n">
        <v>4610.21073</v>
      </c>
      <c r="AC1063" t="n">
        <v>4609.96431</v>
      </c>
      <c r="AD1063" t="n">
        <v>0</v>
      </c>
      <c r="AE1063">
        <f>AE1062+1</f>
        <v/>
      </c>
      <c r="AF1063">
        <f>AF1062+1</f>
        <v/>
      </c>
      <c r="AG1063">
        <f>D1063-Q1063</f>
        <v/>
      </c>
      <c r="AH1063">
        <f>AG1063^2</f>
        <v/>
      </c>
      <c r="AI1063">
        <f>(AG1063/STDEV($AG$3:$AG$1137))^3</f>
        <v/>
      </c>
      <c r="AJ1063">
        <f>(AG1063/STDEV($AG$3:$AG$1137))^4</f>
        <v/>
      </c>
      <c r="AK1063">
        <f>AF1063^2</f>
        <v/>
      </c>
      <c r="AL1063">
        <f>IF(AD1063=1,AB1063,IF(AL1062&lt;&gt;"",AL1062,""))</f>
        <v/>
      </c>
      <c r="AM1063">
        <f>IF(AND(AD1063=1,AL1062&lt;&gt;""),ABS(AB1063-AL1062),"")</f>
        <v/>
      </c>
    </row>
    <row r="1064">
      <c r="A1064" t="n">
        <v>1777868102</v>
      </c>
      <c r="B1064" t="inlineStr">
        <is>
          <t>XAUUSD</t>
        </is>
      </c>
      <c r="C1064" t="inlineStr">
        <is>
          <t>M15</t>
        </is>
      </c>
      <c r="D1064" t="n">
        <v>4608.12</v>
      </c>
      <c r="E1064" t="n">
        <v>4518.59282</v>
      </c>
      <c r="F1064" t="n">
        <v>4596.05595</v>
      </c>
      <c r="G1064" t="n">
        <v>4755.40355</v>
      </c>
      <c r="H1064" t="n">
        <v>4792.76972</v>
      </c>
      <c r="Q1064" t="n">
        <v>4533.44219</v>
      </c>
      <c r="R1064" t="n">
        <v>4562.80549</v>
      </c>
      <c r="S1064" t="n">
        <v>4589.39426</v>
      </c>
      <c r="V1064" t="n">
        <v>4498.50242</v>
      </c>
      <c r="W1064" t="n">
        <v>4464.93742</v>
      </c>
      <c r="AB1064" t="n">
        <v>4609.17869</v>
      </c>
      <c r="AC1064" t="n">
        <v>4609.5715</v>
      </c>
      <c r="AD1064" t="n">
        <v>1</v>
      </c>
      <c r="AE1064">
        <f>AE1063+1</f>
        <v/>
      </c>
      <c r="AF1064">
        <f>AF1063+1</f>
        <v/>
      </c>
      <c r="AG1064">
        <f>D1064-Q1064</f>
        <v/>
      </c>
      <c r="AH1064">
        <f>AG1064^2</f>
        <v/>
      </c>
      <c r="AI1064">
        <f>(AG1064/STDEV($AG$3:$AG$1137))^3</f>
        <v/>
      </c>
      <c r="AJ1064">
        <f>(AG1064/STDEV($AG$3:$AG$1137))^4</f>
        <v/>
      </c>
      <c r="AK1064">
        <f>AF1064^2</f>
        <v/>
      </c>
      <c r="AL1064">
        <f>IF(AD1064=1,AB1064,IF(AL1063&lt;&gt;"",AL1063,""))</f>
        <v/>
      </c>
      <c r="AM1064">
        <f>IF(AND(AD1064=1,AL1063&lt;&gt;""),ABS(AB1064-AL1063),"")</f>
        <v/>
      </c>
    </row>
    <row r="1065">
      <c r="A1065" t="n">
        <v>1777869002</v>
      </c>
      <c r="B1065" t="inlineStr">
        <is>
          <t>XAUUSD</t>
        </is>
      </c>
      <c r="C1065" t="inlineStr">
        <is>
          <t>M15</t>
        </is>
      </c>
      <c r="D1065" t="n">
        <v>4609.32</v>
      </c>
      <c r="E1065" t="n">
        <v>4518.59282</v>
      </c>
      <c r="F1065" t="n">
        <v>4596.05595</v>
      </c>
      <c r="G1065" t="n">
        <v>4755.40355</v>
      </c>
      <c r="H1065" t="n">
        <v>4792.76972</v>
      </c>
      <c r="Q1065" t="n">
        <v>4533.17458</v>
      </c>
      <c r="R1065" t="n">
        <v>4562.53788</v>
      </c>
      <c r="S1065" t="n">
        <v>4589.12665</v>
      </c>
      <c r="V1065" t="n">
        <v>4498.23481</v>
      </c>
      <c r="W1065" t="n">
        <v>4464.66982</v>
      </c>
      <c r="AB1065" t="n">
        <v>4607.63961</v>
      </c>
      <c r="AC1065" t="n">
        <v>4608.60555</v>
      </c>
      <c r="AD1065" t="n">
        <v>0</v>
      </c>
      <c r="AE1065">
        <f>AE1064+1</f>
        <v/>
      </c>
      <c r="AF1065">
        <f>AF1064+1</f>
        <v/>
      </c>
      <c r="AG1065">
        <f>D1065-Q1065</f>
        <v/>
      </c>
      <c r="AH1065">
        <f>AG1065^2</f>
        <v/>
      </c>
      <c r="AI1065">
        <f>(AG1065/STDEV($AG$3:$AG$1137))^3</f>
        <v/>
      </c>
      <c r="AJ1065">
        <f>(AG1065/STDEV($AG$3:$AG$1137))^4</f>
        <v/>
      </c>
      <c r="AK1065">
        <f>AF1065^2</f>
        <v/>
      </c>
      <c r="AL1065">
        <f>IF(AD1065=1,AB1065,IF(AL1064&lt;&gt;"",AL1064,""))</f>
        <v/>
      </c>
      <c r="AM1065">
        <f>IF(AND(AD1065=1,AL1064&lt;&gt;""),ABS(AB1065-AL1064),"")</f>
        <v/>
      </c>
    </row>
    <row r="1066">
      <c r="A1066" t="n">
        <v>1777869902</v>
      </c>
      <c r="B1066" t="inlineStr">
        <is>
          <t>XAUUSD</t>
        </is>
      </c>
      <c r="C1066" t="inlineStr">
        <is>
          <t>M15</t>
        </is>
      </c>
      <c r="D1066" t="n">
        <v>4606</v>
      </c>
      <c r="E1066" t="n">
        <v>4518.59282</v>
      </c>
      <c r="F1066" t="n">
        <v>4596.05595</v>
      </c>
      <c r="G1066" t="n">
        <v>4755.40355</v>
      </c>
      <c r="H1066" t="n">
        <v>4792.76972</v>
      </c>
      <c r="Q1066" t="n">
        <v>4532.90698</v>
      </c>
      <c r="R1066" t="n">
        <v>4562.27028</v>
      </c>
      <c r="S1066" t="n">
        <v>4588.85905</v>
      </c>
      <c r="V1066" t="n">
        <v>4497.96721</v>
      </c>
      <c r="W1066" t="n">
        <v>4464.40221</v>
      </c>
      <c r="AB1066" t="n">
        <v>4605.68574</v>
      </c>
      <c r="AC1066" t="n">
        <v>4607.14565</v>
      </c>
      <c r="AD1066" t="n">
        <v>0</v>
      </c>
      <c r="AE1066">
        <f>AE1065+1</f>
        <v/>
      </c>
      <c r="AF1066">
        <f>AF1065+1</f>
        <v/>
      </c>
      <c r="AG1066">
        <f>D1066-Q1066</f>
        <v/>
      </c>
      <c r="AH1066">
        <f>AG1066^2</f>
        <v/>
      </c>
      <c r="AI1066">
        <f>(AG1066/STDEV($AG$3:$AG$1137))^3</f>
        <v/>
      </c>
      <c r="AJ1066">
        <f>(AG1066/STDEV($AG$3:$AG$1137))^4</f>
        <v/>
      </c>
      <c r="AK1066">
        <f>AF1066^2</f>
        <v/>
      </c>
      <c r="AL1066">
        <f>IF(AD1066=1,AB1066,IF(AL1065&lt;&gt;"",AL1065,""))</f>
        <v/>
      </c>
      <c r="AM1066">
        <f>IF(AND(AD1066=1,AL1065&lt;&gt;""),ABS(AB1066-AL1065),"")</f>
        <v/>
      </c>
    </row>
    <row r="1067">
      <c r="A1067" t="n">
        <v>1777870802</v>
      </c>
      <c r="B1067" t="inlineStr">
        <is>
          <t>XAUUSD</t>
        </is>
      </c>
      <c r="C1067" t="inlineStr">
        <is>
          <t>M15</t>
        </is>
      </c>
      <c r="D1067" t="n">
        <v>4603.74</v>
      </c>
      <c r="E1067" t="n">
        <v>4518.59282</v>
      </c>
      <c r="F1067" t="n">
        <v>4596.05595</v>
      </c>
      <c r="G1067" t="n">
        <v>4755.40355</v>
      </c>
      <c r="H1067" t="n">
        <v>4792.76972</v>
      </c>
      <c r="Q1067" t="n">
        <v>4532.63938</v>
      </c>
      <c r="R1067" t="n">
        <v>4562.00268</v>
      </c>
      <c r="S1067" t="n">
        <v>4588.59145</v>
      </c>
      <c r="V1067" t="n">
        <v>4497.69961</v>
      </c>
      <c r="W1067" t="n">
        <v>4464.13461</v>
      </c>
      <c r="AB1067" t="n">
        <v>4603.53031</v>
      </c>
      <c r="AC1067" t="n">
        <v>4605.33798</v>
      </c>
      <c r="AD1067" t="n">
        <v>0</v>
      </c>
      <c r="AE1067">
        <f>AE1066+1</f>
        <v/>
      </c>
      <c r="AF1067">
        <f>AF1066+1</f>
        <v/>
      </c>
      <c r="AG1067">
        <f>D1067-Q1067</f>
        <v/>
      </c>
      <c r="AH1067">
        <f>AG1067^2</f>
        <v/>
      </c>
      <c r="AI1067">
        <f>(AG1067/STDEV($AG$3:$AG$1137))^3</f>
        <v/>
      </c>
      <c r="AJ1067">
        <f>(AG1067/STDEV($AG$3:$AG$1137))^4</f>
        <v/>
      </c>
      <c r="AK1067">
        <f>AF1067^2</f>
        <v/>
      </c>
      <c r="AL1067">
        <f>IF(AD1067=1,AB1067,IF(AL1066&lt;&gt;"",AL1066,""))</f>
        <v/>
      </c>
      <c r="AM1067">
        <f>IF(AND(AD1067=1,AL1066&lt;&gt;""),ABS(AB1067-AL1066),"")</f>
        <v/>
      </c>
    </row>
    <row r="1068">
      <c r="A1068" t="n">
        <v>1777871702</v>
      </c>
      <c r="B1068" t="inlineStr">
        <is>
          <t>XAUUSD</t>
        </is>
      </c>
      <c r="C1068" t="inlineStr">
        <is>
          <t>M15</t>
        </is>
      </c>
      <c r="D1068" t="n">
        <v>4596.32</v>
      </c>
      <c r="E1068" t="n">
        <v>4518.59282</v>
      </c>
      <c r="F1068" t="n">
        <v>4596.05595</v>
      </c>
      <c r="G1068" t="n">
        <v>4755.40355</v>
      </c>
      <c r="H1068" t="n">
        <v>4792.76972</v>
      </c>
      <c r="Q1068" t="n">
        <v>4532.37177</v>
      </c>
      <c r="R1068" t="n">
        <v>4561.73507</v>
      </c>
      <c r="S1068" t="n">
        <v>4588.32384</v>
      </c>
      <c r="V1068" t="n">
        <v>4497.432</v>
      </c>
      <c r="W1068" t="n">
        <v>4463.86701</v>
      </c>
      <c r="AB1068" t="n">
        <v>4601.33061</v>
      </c>
      <c r="AC1068" t="n">
        <v>4603.33429</v>
      </c>
      <c r="AD1068" t="n">
        <v>0</v>
      </c>
      <c r="AE1068">
        <f>AE1067+1</f>
        <v/>
      </c>
      <c r="AF1068">
        <f>AF1067+1</f>
        <v/>
      </c>
      <c r="AG1068">
        <f>D1068-Q1068</f>
        <v/>
      </c>
      <c r="AH1068">
        <f>AG1068^2</f>
        <v/>
      </c>
      <c r="AI1068">
        <f>(AG1068/STDEV($AG$3:$AG$1137))^3</f>
        <v/>
      </c>
      <c r="AJ1068">
        <f>(AG1068/STDEV($AG$3:$AG$1137))^4</f>
        <v/>
      </c>
      <c r="AK1068">
        <f>AF1068^2</f>
        <v/>
      </c>
      <c r="AL1068">
        <f>IF(AD1068=1,AB1068,IF(AL1067&lt;&gt;"",AL1067,""))</f>
        <v/>
      </c>
      <c r="AM1068">
        <f>IF(AND(AD1068=1,AL1067&lt;&gt;""),ABS(AB1068-AL1067),"")</f>
        <v/>
      </c>
    </row>
    <row r="1069">
      <c r="A1069" t="n">
        <v>1777872602</v>
      </c>
      <c r="B1069" t="inlineStr">
        <is>
          <t>XAUUSD</t>
        </is>
      </c>
      <c r="C1069" t="inlineStr">
        <is>
          <t>M15</t>
        </is>
      </c>
      <c r="D1069" t="n">
        <v>4598.85</v>
      </c>
      <c r="E1069" t="n">
        <v>4518.59282</v>
      </c>
      <c r="F1069" t="n">
        <v>4596.05595</v>
      </c>
      <c r="G1069" t="n">
        <v>4755.40355</v>
      </c>
      <c r="H1069" t="n">
        <v>4792.76972</v>
      </c>
      <c r="Q1069" t="n">
        <v>4532.10417</v>
      </c>
      <c r="R1069" t="n">
        <v>4561.46747</v>
      </c>
      <c r="S1069" t="n">
        <v>4588.05624</v>
      </c>
      <c r="V1069" t="n">
        <v>4497.1644</v>
      </c>
      <c r="W1069" t="n">
        <v>4463.5994</v>
      </c>
      <c r="AB1069" t="n">
        <v>4599.31382</v>
      </c>
      <c r="AC1069" t="n">
        <v>4601.32406</v>
      </c>
      <c r="AD1069" t="n">
        <v>0</v>
      </c>
      <c r="AE1069">
        <f>AE1068+1</f>
        <v/>
      </c>
      <c r="AF1069">
        <f>AF1068+1</f>
        <v/>
      </c>
      <c r="AG1069">
        <f>D1069-Q1069</f>
        <v/>
      </c>
      <c r="AH1069">
        <f>AG1069^2</f>
        <v/>
      </c>
      <c r="AI1069">
        <f>(AG1069/STDEV($AG$3:$AG$1137))^3</f>
        <v/>
      </c>
      <c r="AJ1069">
        <f>(AG1069/STDEV($AG$3:$AG$1137))^4</f>
        <v/>
      </c>
      <c r="AK1069">
        <f>AF1069^2</f>
        <v/>
      </c>
      <c r="AL1069">
        <f>IF(AD1069=1,AB1069,IF(AL1068&lt;&gt;"",AL1068,""))</f>
        <v/>
      </c>
      <c r="AM1069">
        <f>IF(AND(AD1069=1,AL1068&lt;&gt;""),ABS(AB1069-AL1068),"")</f>
        <v/>
      </c>
    </row>
    <row r="1070">
      <c r="A1070" t="n">
        <v>1777873502</v>
      </c>
      <c r="B1070" t="inlineStr">
        <is>
          <t>XAUUSD</t>
        </is>
      </c>
      <c r="C1070" t="inlineStr">
        <is>
          <t>M15</t>
        </is>
      </c>
      <c r="D1070" t="n">
        <v>4599.12</v>
      </c>
      <c r="E1070" t="n">
        <v>4518.59282</v>
      </c>
      <c r="F1070" t="n">
        <v>4596.05595</v>
      </c>
      <c r="G1070" t="n">
        <v>4755.40355</v>
      </c>
      <c r="H1070" t="n">
        <v>4792.76972</v>
      </c>
      <c r="Q1070" t="n">
        <v>4531.83656</v>
      </c>
      <c r="R1070" t="n">
        <v>4561.19986</v>
      </c>
      <c r="S1070" t="n">
        <v>4587.78863</v>
      </c>
      <c r="V1070" t="n">
        <v>4496.89679</v>
      </c>
      <c r="W1070" t="n">
        <v>4463.3318</v>
      </c>
      <c r="AB1070" t="n">
        <v>4597.33706</v>
      </c>
      <c r="AC1070" t="n">
        <v>4599.33056</v>
      </c>
      <c r="AD1070" t="n">
        <v>0</v>
      </c>
      <c r="AE1070">
        <f>AE1069+1</f>
        <v/>
      </c>
      <c r="AF1070">
        <f>AF1069+1</f>
        <v/>
      </c>
      <c r="AG1070">
        <f>D1070-Q1070</f>
        <v/>
      </c>
      <c r="AH1070">
        <f>AG1070^2</f>
        <v/>
      </c>
      <c r="AI1070">
        <f>(AG1070/STDEV($AG$3:$AG$1137))^3</f>
        <v/>
      </c>
      <c r="AJ1070">
        <f>(AG1070/STDEV($AG$3:$AG$1137))^4</f>
        <v/>
      </c>
      <c r="AK1070">
        <f>AF1070^2</f>
        <v/>
      </c>
      <c r="AL1070">
        <f>IF(AD1070=1,AB1070,IF(AL1069&lt;&gt;"",AL1069,""))</f>
        <v/>
      </c>
      <c r="AM1070">
        <f>IF(AND(AD1070=1,AL1069&lt;&gt;""),ABS(AB1070-AL1069),"")</f>
        <v/>
      </c>
    </row>
    <row r="1071">
      <c r="A1071" t="n">
        <v>1777874402</v>
      </c>
      <c r="B1071" t="inlineStr">
        <is>
          <t>XAUUSD</t>
        </is>
      </c>
      <c r="C1071" t="inlineStr">
        <is>
          <t>M15</t>
        </is>
      </c>
      <c r="D1071" t="n">
        <v>4597.44</v>
      </c>
      <c r="E1071" t="n">
        <v>4518.59282</v>
      </c>
      <c r="F1071" t="n">
        <v>4596.05595</v>
      </c>
      <c r="G1071" t="n">
        <v>4755.40355</v>
      </c>
      <c r="H1071" t="n">
        <v>4792.76972</v>
      </c>
      <c r="Q1071" t="n">
        <v>4531.56896</v>
      </c>
      <c r="R1071" t="n">
        <v>4560.93226</v>
      </c>
      <c r="S1071" t="n">
        <v>4587.52103</v>
      </c>
      <c r="V1071" t="n">
        <v>4496.62919</v>
      </c>
      <c r="W1071" t="n">
        <v>4463.06419</v>
      </c>
      <c r="AB1071" t="n">
        <v>4595.29208</v>
      </c>
      <c r="AC1071" t="n">
        <v>4597.31132</v>
      </c>
      <c r="AD1071" t="n">
        <v>0</v>
      </c>
      <c r="AE1071">
        <f>AE1070+1</f>
        <v/>
      </c>
      <c r="AF1071">
        <f>AF1070+1</f>
        <v/>
      </c>
      <c r="AG1071">
        <f>D1071-Q1071</f>
        <v/>
      </c>
      <c r="AH1071">
        <f>AG1071^2</f>
        <v/>
      </c>
      <c r="AI1071">
        <f>(AG1071/STDEV($AG$3:$AG$1137))^3</f>
        <v/>
      </c>
      <c r="AJ1071">
        <f>(AG1071/STDEV($AG$3:$AG$1137))^4</f>
        <v/>
      </c>
      <c r="AK1071">
        <f>AF1071^2</f>
        <v/>
      </c>
      <c r="AL1071">
        <f>IF(AD1071=1,AB1071,IF(AL1070&lt;&gt;"",AL1070,""))</f>
        <v/>
      </c>
      <c r="AM1071">
        <f>IF(AND(AD1071=1,AL1070&lt;&gt;""),ABS(AB1071-AL1070),"")</f>
        <v/>
      </c>
    </row>
    <row r="1072">
      <c r="A1072" t="n">
        <v>1777875302</v>
      </c>
      <c r="B1072" t="inlineStr">
        <is>
          <t>XAUUSD</t>
        </is>
      </c>
      <c r="C1072" t="inlineStr">
        <is>
          <t>M15</t>
        </is>
      </c>
      <c r="D1072" t="n">
        <v>4594.08</v>
      </c>
      <c r="E1072" t="n">
        <v>4518.59282</v>
      </c>
      <c r="F1072" t="n">
        <v>4596.05595</v>
      </c>
      <c r="G1072" t="n">
        <v>4755.40355</v>
      </c>
      <c r="H1072" t="n">
        <v>4792.76972</v>
      </c>
      <c r="Q1072" t="n">
        <v>4531.30136</v>
      </c>
      <c r="R1072" t="n">
        <v>4560.66465</v>
      </c>
      <c r="S1072" t="n">
        <v>4587.25343</v>
      </c>
      <c r="V1072" t="n">
        <v>4496.36159</v>
      </c>
      <c r="W1072" t="n">
        <v>4462.79659</v>
      </c>
      <c r="AB1072" t="n">
        <v>4593.10538</v>
      </c>
      <c r="AC1072" t="n">
        <v>4595.20835</v>
      </c>
      <c r="AD1072" t="n">
        <v>0</v>
      </c>
      <c r="AE1072">
        <f>AE1071+1</f>
        <v/>
      </c>
      <c r="AF1072">
        <f>AF1071+1</f>
        <v/>
      </c>
      <c r="AG1072">
        <f>D1072-Q1072</f>
        <v/>
      </c>
      <c r="AH1072">
        <f>AG1072^2</f>
        <v/>
      </c>
      <c r="AI1072">
        <f>(AG1072/STDEV($AG$3:$AG$1137))^3</f>
        <v/>
      </c>
      <c r="AJ1072">
        <f>(AG1072/STDEV($AG$3:$AG$1137))^4</f>
        <v/>
      </c>
      <c r="AK1072">
        <f>AF1072^2</f>
        <v/>
      </c>
      <c r="AL1072">
        <f>IF(AD1072=1,AB1072,IF(AL1071&lt;&gt;"",AL1071,""))</f>
        <v/>
      </c>
      <c r="AM1072">
        <f>IF(AND(AD1072=1,AL1071&lt;&gt;""),ABS(AB1072-AL1071),"")</f>
        <v/>
      </c>
    </row>
    <row r="1073">
      <c r="A1073" t="n">
        <v>1777876202</v>
      </c>
      <c r="B1073" t="inlineStr">
        <is>
          <t>XAUUSD</t>
        </is>
      </c>
      <c r="C1073" t="inlineStr">
        <is>
          <t>M15</t>
        </is>
      </c>
      <c r="D1073" t="n">
        <v>4585.46</v>
      </c>
      <c r="E1073" t="n">
        <v>4518.59282</v>
      </c>
      <c r="F1073" t="n">
        <v>4596.05595</v>
      </c>
      <c r="G1073" t="n">
        <v>4755.40355</v>
      </c>
      <c r="H1073" t="n">
        <v>4792.76972</v>
      </c>
      <c r="Q1073" t="n">
        <v>4531.03375</v>
      </c>
      <c r="R1073" t="n">
        <v>4560.39705</v>
      </c>
      <c r="S1073" t="n">
        <v>4586.98582</v>
      </c>
      <c r="V1073" t="n">
        <v>4496.09398</v>
      </c>
      <c r="W1073" t="n">
        <v>4462.52899</v>
      </c>
      <c r="AB1073" t="n">
        <v>4590.84735</v>
      </c>
      <c r="AC1073" t="n">
        <v>4593.02785</v>
      </c>
      <c r="AD1073" t="n">
        <v>0</v>
      </c>
      <c r="AE1073">
        <f>AE1072+1</f>
        <v/>
      </c>
      <c r="AF1073">
        <f>AF1072+1</f>
        <v/>
      </c>
      <c r="AG1073">
        <f>D1073-Q1073</f>
        <v/>
      </c>
      <c r="AH1073">
        <f>AG1073^2</f>
        <v/>
      </c>
      <c r="AI1073">
        <f>(AG1073/STDEV($AG$3:$AG$1137))^3</f>
        <v/>
      </c>
      <c r="AJ1073">
        <f>(AG1073/STDEV($AG$3:$AG$1137))^4</f>
        <v/>
      </c>
      <c r="AK1073">
        <f>AF1073^2</f>
        <v/>
      </c>
      <c r="AL1073">
        <f>IF(AD1073=1,AB1073,IF(AL1072&lt;&gt;"",AL1072,""))</f>
        <v/>
      </c>
      <c r="AM1073">
        <f>IF(AND(AD1073=1,AL1072&lt;&gt;""),ABS(AB1073-AL1072),"")</f>
        <v/>
      </c>
    </row>
    <row r="1074">
      <c r="A1074" t="n">
        <v>1777877102</v>
      </c>
      <c r="B1074" t="inlineStr">
        <is>
          <t>XAUUSD</t>
        </is>
      </c>
      <c r="C1074" t="inlineStr">
        <is>
          <t>M15</t>
        </is>
      </c>
      <c r="D1074" t="n">
        <v>4588.54</v>
      </c>
      <c r="E1074" t="n">
        <v>4518.59282</v>
      </c>
      <c r="F1074" t="n">
        <v>4596.05595</v>
      </c>
      <c r="G1074" t="n">
        <v>4755.40355</v>
      </c>
      <c r="H1074" t="n">
        <v>4792.76972</v>
      </c>
      <c r="Q1074" t="n">
        <v>4530.76615</v>
      </c>
      <c r="R1074" t="n">
        <v>4560.12945</v>
      </c>
      <c r="S1074" t="n">
        <v>4586.71822</v>
      </c>
      <c r="V1074" t="n">
        <v>4495.82638</v>
      </c>
      <c r="W1074" t="n">
        <v>4462.26138</v>
      </c>
      <c r="AB1074" t="n">
        <v>4588.78298</v>
      </c>
      <c r="AC1074" t="n">
        <v>4590.90542</v>
      </c>
      <c r="AD1074" t="n">
        <v>0</v>
      </c>
      <c r="AE1074">
        <f>AE1073+1</f>
        <v/>
      </c>
      <c r="AF1074">
        <f>AF1073+1</f>
        <v/>
      </c>
      <c r="AG1074">
        <f>D1074-Q1074</f>
        <v/>
      </c>
      <c r="AH1074">
        <f>AG1074^2</f>
        <v/>
      </c>
      <c r="AI1074">
        <f>(AG1074/STDEV($AG$3:$AG$1137))^3</f>
        <v/>
      </c>
      <c r="AJ1074">
        <f>(AG1074/STDEV($AG$3:$AG$1137))^4</f>
        <v/>
      </c>
      <c r="AK1074">
        <f>AF1074^2</f>
        <v/>
      </c>
      <c r="AL1074">
        <f>IF(AD1074=1,AB1074,IF(AL1073&lt;&gt;"",AL1073,""))</f>
        <v/>
      </c>
      <c r="AM1074">
        <f>IF(AND(AD1074=1,AL1073&lt;&gt;""),ABS(AB1074-AL1073),"")</f>
        <v/>
      </c>
    </row>
    <row r="1075">
      <c r="A1075" t="n">
        <v>1777878002</v>
      </c>
      <c r="B1075" t="inlineStr">
        <is>
          <t>XAUUSD</t>
        </is>
      </c>
      <c r="C1075" t="inlineStr">
        <is>
          <t>M15</t>
        </is>
      </c>
      <c r="D1075" t="n">
        <v>4592.16</v>
      </c>
      <c r="E1075" t="n">
        <v>4518.59282</v>
      </c>
      <c r="F1075" t="n">
        <v>4596.05595</v>
      </c>
      <c r="G1075" t="n">
        <v>4755.40355</v>
      </c>
      <c r="H1075" t="n">
        <v>4792.76972</v>
      </c>
      <c r="Q1075" t="n">
        <v>4530.49854</v>
      </c>
      <c r="R1075" t="n">
        <v>4559.86184</v>
      </c>
      <c r="S1075" t="n">
        <v>4586.45061</v>
      </c>
      <c r="V1075" t="n">
        <v>4495.55877</v>
      </c>
      <c r="W1075" t="n">
        <v>4461.99378</v>
      </c>
      <c r="AB1075" t="n">
        <v>4586.85043</v>
      </c>
      <c r="AC1075" t="n">
        <v>4588.87792</v>
      </c>
      <c r="AD1075" t="n">
        <v>0</v>
      </c>
      <c r="AE1075">
        <f>AE1074+1</f>
        <v/>
      </c>
      <c r="AF1075">
        <f>AF1074+1</f>
        <v/>
      </c>
      <c r="AG1075">
        <f>D1075-Q1075</f>
        <v/>
      </c>
      <c r="AH1075">
        <f>AG1075^2</f>
        <v/>
      </c>
      <c r="AI1075">
        <f>(AG1075/STDEV($AG$3:$AG$1137))^3</f>
        <v/>
      </c>
      <c r="AJ1075">
        <f>(AG1075/STDEV($AG$3:$AG$1137))^4</f>
        <v/>
      </c>
      <c r="AK1075">
        <f>AF1075^2</f>
        <v/>
      </c>
      <c r="AL1075">
        <f>IF(AD1075=1,AB1075,IF(AL1074&lt;&gt;"",AL1074,""))</f>
        <v/>
      </c>
      <c r="AM1075">
        <f>IF(AND(AD1075=1,AL1074&lt;&gt;""),ABS(AB1075-AL1074),"")</f>
        <v/>
      </c>
    </row>
    <row r="1076">
      <c r="A1076" t="n">
        <v>1777878902</v>
      </c>
      <c r="B1076" t="inlineStr">
        <is>
          <t>XAUUSD</t>
        </is>
      </c>
      <c r="C1076" t="inlineStr">
        <is>
          <t>M15</t>
        </is>
      </c>
      <c r="D1076" t="n">
        <v>4585.82</v>
      </c>
      <c r="E1076" t="n">
        <v>4518.59282</v>
      </c>
      <c r="F1076" t="n">
        <v>4596.05595</v>
      </c>
      <c r="G1076" t="n">
        <v>4755.40355</v>
      </c>
      <c r="H1076" t="n">
        <v>4792.76972</v>
      </c>
      <c r="Q1076" t="n">
        <v>4530.23094</v>
      </c>
      <c r="R1076" t="n">
        <v>4559.59424</v>
      </c>
      <c r="S1076" t="n">
        <v>4586.18301</v>
      </c>
      <c r="V1076" t="n">
        <v>4495.29117</v>
      </c>
      <c r="W1076" t="n">
        <v>4461.72617</v>
      </c>
      <c r="AB1076" t="n">
        <v>4585.02155</v>
      </c>
      <c r="AC1076" t="n">
        <v>4586.94974</v>
      </c>
      <c r="AD1076" t="n">
        <v>0</v>
      </c>
      <c r="AE1076">
        <f>AE1075+1</f>
        <v/>
      </c>
      <c r="AF1076">
        <f>AF1075+1</f>
        <v/>
      </c>
      <c r="AG1076">
        <f>D1076-Q1076</f>
        <v/>
      </c>
      <c r="AH1076">
        <f>AG1076^2</f>
        <v/>
      </c>
      <c r="AI1076">
        <f>(AG1076/STDEV($AG$3:$AG$1137))^3</f>
        <v/>
      </c>
      <c r="AJ1076">
        <f>(AG1076/STDEV($AG$3:$AG$1137))^4</f>
        <v/>
      </c>
      <c r="AK1076">
        <f>AF1076^2</f>
        <v/>
      </c>
      <c r="AL1076">
        <f>IF(AD1076=1,AB1076,IF(AL1075&lt;&gt;"",AL1075,""))</f>
        <v/>
      </c>
      <c r="AM1076">
        <f>IF(AND(AD1076=1,AL1075&lt;&gt;""),ABS(AB1076-AL1075),"")</f>
        <v/>
      </c>
    </row>
    <row r="1077">
      <c r="A1077" t="n">
        <v>1777879802</v>
      </c>
      <c r="B1077" t="inlineStr">
        <is>
          <t>XAUUSD</t>
        </is>
      </c>
      <c r="C1077" t="inlineStr">
        <is>
          <t>M15</t>
        </is>
      </c>
      <c r="D1077" t="n">
        <v>4587.99</v>
      </c>
      <c r="E1077" t="n">
        <v>4518.59282</v>
      </c>
      <c r="F1077" t="n">
        <v>4596.05595</v>
      </c>
      <c r="G1077" t="n">
        <v>4755.40355</v>
      </c>
      <c r="H1077" t="n">
        <v>4792.76972</v>
      </c>
      <c r="Q1077" t="n">
        <v>4529.96334</v>
      </c>
      <c r="R1077" t="n">
        <v>4559.32663</v>
      </c>
      <c r="S1077" t="n">
        <v>4585.91541</v>
      </c>
      <c r="V1077" t="n">
        <v>4495.02357</v>
      </c>
      <c r="W1077" t="n">
        <v>4461.45857</v>
      </c>
      <c r="AB1077" t="n">
        <v>4583.56213</v>
      </c>
      <c r="AC1077" t="n">
        <v>4585.25593</v>
      </c>
      <c r="AD1077" t="n">
        <v>0</v>
      </c>
      <c r="AE1077">
        <f>AE1076+1</f>
        <v/>
      </c>
      <c r="AF1077">
        <f>AF1076+1</f>
        <v/>
      </c>
      <c r="AG1077">
        <f>D1077-Q1077</f>
        <v/>
      </c>
      <c r="AH1077">
        <f>AG1077^2</f>
        <v/>
      </c>
      <c r="AI1077">
        <f>(AG1077/STDEV($AG$3:$AG$1137))^3</f>
        <v/>
      </c>
      <c r="AJ1077">
        <f>(AG1077/STDEV($AG$3:$AG$1137))^4</f>
        <v/>
      </c>
      <c r="AK1077">
        <f>AF1077^2</f>
        <v/>
      </c>
      <c r="AL1077">
        <f>IF(AD1077=1,AB1077,IF(AL1076&lt;&gt;"",AL1076,""))</f>
        <v/>
      </c>
      <c r="AM1077">
        <f>IF(AND(AD1077=1,AL1076&lt;&gt;""),ABS(AB1077-AL1076),"")</f>
        <v/>
      </c>
    </row>
    <row r="1078">
      <c r="A1078" t="n">
        <v>1777880702</v>
      </c>
      <c r="B1078" t="inlineStr">
        <is>
          <t>XAUUSD</t>
        </is>
      </c>
      <c r="C1078" t="inlineStr">
        <is>
          <t>M15</t>
        </is>
      </c>
      <c r="D1078" t="n">
        <v>4579.06</v>
      </c>
      <c r="E1078" t="n">
        <v>4518.59282</v>
      </c>
      <c r="F1078" t="n">
        <v>4596.05595</v>
      </c>
      <c r="G1078" t="n">
        <v>4755.40355</v>
      </c>
      <c r="H1078" t="n">
        <v>4792.76972</v>
      </c>
      <c r="Q1078" t="n">
        <v>4529.69573</v>
      </c>
      <c r="R1078" t="n">
        <v>4559.05903</v>
      </c>
      <c r="S1078" t="n">
        <v>4585.6478</v>
      </c>
      <c r="V1078" t="n">
        <v>4494.75596</v>
      </c>
      <c r="W1078" t="n">
        <v>4461.19096</v>
      </c>
      <c r="AB1078" t="n">
        <v>4582.44301</v>
      </c>
      <c r="AC1078" t="n">
        <v>4583.84947</v>
      </c>
      <c r="AD1078" t="n">
        <v>0</v>
      </c>
      <c r="AE1078">
        <f>AE1077+1</f>
        <v/>
      </c>
      <c r="AF1078">
        <f>AF1077+1</f>
        <v/>
      </c>
      <c r="AG1078">
        <f>D1078-Q1078</f>
        <v/>
      </c>
      <c r="AH1078">
        <f>AG1078^2</f>
        <v/>
      </c>
      <c r="AI1078">
        <f>(AG1078/STDEV($AG$3:$AG$1137))^3</f>
        <v/>
      </c>
      <c r="AJ1078">
        <f>(AG1078/STDEV($AG$3:$AG$1137))^4</f>
        <v/>
      </c>
      <c r="AK1078">
        <f>AF1078^2</f>
        <v/>
      </c>
      <c r="AL1078">
        <f>IF(AD1078=1,AB1078,IF(AL1077&lt;&gt;"",AL1077,""))</f>
        <v/>
      </c>
      <c r="AM1078">
        <f>IF(AND(AD1078=1,AL1077&lt;&gt;""),ABS(AB1078-AL1077),"")</f>
        <v/>
      </c>
    </row>
    <row r="1079">
      <c r="A1079" t="n">
        <v>1777881602</v>
      </c>
      <c r="B1079" t="inlineStr">
        <is>
          <t>XAUUSD</t>
        </is>
      </c>
      <c r="C1079" t="inlineStr">
        <is>
          <t>M15</t>
        </is>
      </c>
      <c r="D1079" t="n">
        <v>4580.25</v>
      </c>
      <c r="E1079" t="n">
        <v>4518.59282</v>
      </c>
      <c r="F1079" t="n">
        <v>4596.05595</v>
      </c>
      <c r="G1079" t="n">
        <v>4755.40355</v>
      </c>
      <c r="H1079" t="n">
        <v>4792.76972</v>
      </c>
      <c r="Q1079" t="n">
        <v>4529.42813</v>
      </c>
      <c r="R1079" t="n">
        <v>4558.79143</v>
      </c>
      <c r="S1079" t="n">
        <v>4585.3802</v>
      </c>
      <c r="V1079" t="n">
        <v>4494.48836</v>
      </c>
      <c r="W1079" t="n">
        <v>4460.92336</v>
      </c>
      <c r="AB1079" t="n">
        <v>4581.82346</v>
      </c>
      <c r="AC1079" t="n">
        <v>4582.83646</v>
      </c>
      <c r="AD1079" t="n">
        <v>0</v>
      </c>
      <c r="AE1079">
        <f>AE1078+1</f>
        <v/>
      </c>
      <c r="AF1079">
        <f>AF1078+1</f>
        <v/>
      </c>
      <c r="AG1079">
        <f>D1079-Q1079</f>
        <v/>
      </c>
      <c r="AH1079">
        <f>AG1079^2</f>
        <v/>
      </c>
      <c r="AI1079">
        <f>(AG1079/STDEV($AG$3:$AG$1137))^3</f>
        <v/>
      </c>
      <c r="AJ1079">
        <f>(AG1079/STDEV($AG$3:$AG$1137))^4</f>
        <v/>
      </c>
      <c r="AK1079">
        <f>AF1079^2</f>
        <v/>
      </c>
      <c r="AL1079">
        <f>IF(AD1079=1,AB1079,IF(AL1078&lt;&gt;"",AL1078,""))</f>
        <v/>
      </c>
      <c r="AM1079">
        <f>IF(AND(AD1079=1,AL1078&lt;&gt;""),ABS(AB1079-AL1078),"")</f>
        <v/>
      </c>
    </row>
    <row r="1080">
      <c r="A1080" t="n">
        <v>1777882502</v>
      </c>
      <c r="B1080" t="inlineStr">
        <is>
          <t>XAUUSD</t>
        </is>
      </c>
      <c r="C1080" t="inlineStr">
        <is>
          <t>M15</t>
        </is>
      </c>
      <c r="D1080" t="n">
        <v>4575.07</v>
      </c>
      <c r="E1080" t="n">
        <v>4518.59282</v>
      </c>
      <c r="F1080" t="n">
        <v>4596.05595</v>
      </c>
      <c r="G1080" t="n">
        <v>4755.40355</v>
      </c>
      <c r="H1080" t="n">
        <v>4792.76972</v>
      </c>
      <c r="Q1080" t="n">
        <v>4529.16052</v>
      </c>
      <c r="R1080" t="n">
        <v>4558.52382</v>
      </c>
      <c r="S1080" t="n">
        <v>4585.11259</v>
      </c>
      <c r="V1080" t="n">
        <v>4494.22075</v>
      </c>
      <c r="W1080" t="n">
        <v>4460.65576</v>
      </c>
      <c r="AB1080" t="n">
        <v>4581.41462</v>
      </c>
      <c r="AC1080" t="n">
        <v>4582.12554</v>
      </c>
      <c r="AD1080" t="n">
        <v>0</v>
      </c>
      <c r="AE1080">
        <f>AE1079+1</f>
        <v/>
      </c>
      <c r="AF1080">
        <f>AF1079+1</f>
        <v/>
      </c>
      <c r="AG1080">
        <f>D1080-Q1080</f>
        <v/>
      </c>
      <c r="AH1080">
        <f>AG1080^2</f>
        <v/>
      </c>
      <c r="AI1080">
        <f>(AG1080/STDEV($AG$3:$AG$1137))^3</f>
        <v/>
      </c>
      <c r="AJ1080">
        <f>(AG1080/STDEV($AG$3:$AG$1137))^4</f>
        <v/>
      </c>
      <c r="AK1080">
        <f>AF1080^2</f>
        <v/>
      </c>
      <c r="AL1080">
        <f>IF(AD1080=1,AB1080,IF(AL1079&lt;&gt;"",AL1079,""))</f>
        <v/>
      </c>
      <c r="AM1080">
        <f>IF(AND(AD1080=1,AL1079&lt;&gt;""),ABS(AB1080-AL1079),"")</f>
        <v/>
      </c>
    </row>
    <row r="1081">
      <c r="A1081" t="n">
        <v>1777883402</v>
      </c>
      <c r="B1081" t="inlineStr">
        <is>
          <t>XAUUSD</t>
        </is>
      </c>
      <c r="C1081" t="inlineStr">
        <is>
          <t>M15</t>
        </is>
      </c>
      <c r="D1081" t="n">
        <v>4578.09</v>
      </c>
      <c r="E1081" t="n">
        <v>4518.59282</v>
      </c>
      <c r="F1081" t="n">
        <v>4596.05595</v>
      </c>
      <c r="G1081" t="n">
        <v>4755.40355</v>
      </c>
      <c r="H1081" t="n">
        <v>4792.76972</v>
      </c>
      <c r="Q1081" t="n">
        <v>4528.89292</v>
      </c>
      <c r="R1081" t="n">
        <v>4558.25622</v>
      </c>
      <c r="S1081" t="n">
        <v>4584.84499</v>
      </c>
      <c r="V1081" t="n">
        <v>4493.95315</v>
      </c>
      <c r="W1081" t="n">
        <v>4460.38815</v>
      </c>
      <c r="AB1081" t="n">
        <v>4580.98161</v>
      </c>
      <c r="AC1081" t="n">
        <v>4581.55357</v>
      </c>
      <c r="AD1081" t="n">
        <v>0</v>
      </c>
      <c r="AE1081">
        <f>AE1080+1</f>
        <v/>
      </c>
      <c r="AF1081">
        <f>AF1080+1</f>
        <v/>
      </c>
      <c r="AG1081">
        <f>D1081-Q1081</f>
        <v/>
      </c>
      <c r="AH1081">
        <f>AG1081^2</f>
        <v/>
      </c>
      <c r="AI1081">
        <f>(AG1081/STDEV($AG$3:$AG$1137))^3</f>
        <v/>
      </c>
      <c r="AJ1081">
        <f>(AG1081/STDEV($AG$3:$AG$1137))^4</f>
        <v/>
      </c>
      <c r="AK1081">
        <f>AF1081^2</f>
        <v/>
      </c>
      <c r="AL1081">
        <f>IF(AD1081=1,AB1081,IF(AL1080&lt;&gt;"",AL1080,""))</f>
        <v/>
      </c>
      <c r="AM1081">
        <f>IF(AND(AD1081=1,AL1080&lt;&gt;""),ABS(AB1081-AL1080),"")</f>
        <v/>
      </c>
    </row>
    <row r="1082">
      <c r="A1082" t="n">
        <v>1777884302</v>
      </c>
      <c r="B1082" t="inlineStr">
        <is>
          <t>XAUUSD</t>
        </is>
      </c>
      <c r="C1082" t="inlineStr">
        <is>
          <t>M15</t>
        </is>
      </c>
      <c r="D1082" t="n">
        <v>4577.11</v>
      </c>
      <c r="E1082" t="n">
        <v>4518.59282</v>
      </c>
      <c r="F1082" t="n">
        <v>4596.05595</v>
      </c>
      <c r="G1082" t="n">
        <v>4755.40355</v>
      </c>
      <c r="H1082" t="n">
        <v>4792.76972</v>
      </c>
      <c r="Q1082" t="n">
        <v>4528.62531</v>
      </c>
      <c r="R1082" t="n">
        <v>4557.98861</v>
      </c>
      <c r="S1082" t="n">
        <v>4584.57738</v>
      </c>
      <c r="V1082" t="n">
        <v>4493.68554</v>
      </c>
      <c r="W1082" t="n">
        <v>4460.12055</v>
      </c>
      <c r="AB1082" t="n">
        <v>4580.04908</v>
      </c>
      <c r="AC1082" t="n">
        <v>4580.80133</v>
      </c>
      <c r="AD1082" t="n">
        <v>0</v>
      </c>
      <c r="AE1082">
        <f>AE1081+1</f>
        <v/>
      </c>
      <c r="AF1082">
        <f>AF1081+1</f>
        <v/>
      </c>
      <c r="AG1082">
        <f>D1082-Q1082</f>
        <v/>
      </c>
      <c r="AH1082">
        <f>AG1082^2</f>
        <v/>
      </c>
      <c r="AI1082">
        <f>(AG1082/STDEV($AG$3:$AG$1137))^3</f>
        <v/>
      </c>
      <c r="AJ1082">
        <f>(AG1082/STDEV($AG$3:$AG$1137))^4</f>
        <v/>
      </c>
      <c r="AK1082">
        <f>AF1082^2</f>
        <v/>
      </c>
      <c r="AL1082">
        <f>IF(AD1082=1,AB1082,IF(AL1081&lt;&gt;"",AL1081,""))</f>
        <v/>
      </c>
      <c r="AM1082">
        <f>IF(AND(AD1082=1,AL1081&lt;&gt;""),ABS(AB1082-AL1081),"")</f>
        <v/>
      </c>
    </row>
    <row r="1083">
      <c r="A1083" t="n">
        <v>1777885202</v>
      </c>
      <c r="B1083" t="inlineStr">
        <is>
          <t>XAUUSD</t>
        </is>
      </c>
      <c r="C1083" t="inlineStr">
        <is>
          <t>M15</t>
        </is>
      </c>
      <c r="D1083" t="n">
        <v>4584.21</v>
      </c>
      <c r="E1083" t="n">
        <v>4518.59282</v>
      </c>
      <c r="F1083" t="n">
        <v>4596.05595</v>
      </c>
      <c r="G1083" t="n">
        <v>4755.40355</v>
      </c>
      <c r="H1083" t="n">
        <v>4792.76972</v>
      </c>
      <c r="Q1083" t="n">
        <v>4528.35771</v>
      </c>
      <c r="R1083" t="n">
        <v>4557.72101</v>
      </c>
      <c r="S1083" t="n">
        <v>4584.30978</v>
      </c>
      <c r="V1083" t="n">
        <v>4493.41794</v>
      </c>
      <c r="W1083" t="n">
        <v>4459.85294</v>
      </c>
      <c r="AB1083" t="n">
        <v>4578.27299</v>
      </c>
      <c r="AC1083" t="n">
        <v>4579.53716</v>
      </c>
      <c r="AD1083" t="n">
        <v>0</v>
      </c>
      <c r="AE1083">
        <f>AE1082+1</f>
        <v/>
      </c>
      <c r="AF1083">
        <f>AF1082+1</f>
        <v/>
      </c>
      <c r="AG1083">
        <f>D1083-Q1083</f>
        <v/>
      </c>
      <c r="AH1083">
        <f>AG1083^2</f>
        <v/>
      </c>
      <c r="AI1083">
        <f>(AG1083/STDEV($AG$3:$AG$1137))^3</f>
        <v/>
      </c>
      <c r="AJ1083">
        <f>(AG1083/STDEV($AG$3:$AG$1137))^4</f>
        <v/>
      </c>
      <c r="AK1083">
        <f>AF1083^2</f>
        <v/>
      </c>
      <c r="AL1083">
        <f>IF(AD1083=1,AB1083,IF(AL1082&lt;&gt;"",AL1082,""))</f>
        <v/>
      </c>
      <c r="AM1083">
        <f>IF(AND(AD1083=1,AL1082&lt;&gt;""),ABS(AB1083-AL1082),"")</f>
        <v/>
      </c>
    </row>
    <row r="1084">
      <c r="A1084" t="n">
        <v>1777886102</v>
      </c>
      <c r="B1084" t="inlineStr">
        <is>
          <t>XAUUSD</t>
        </is>
      </c>
      <c r="C1084" t="inlineStr">
        <is>
          <t>M15</t>
        </is>
      </c>
      <c r="D1084" t="n">
        <v>4581.15</v>
      </c>
      <c r="E1084" t="n">
        <v>4518.59282</v>
      </c>
      <c r="F1084" t="n">
        <v>4596.05595</v>
      </c>
      <c r="G1084" t="n">
        <v>4755.40355</v>
      </c>
      <c r="H1084" t="n">
        <v>4792.76972</v>
      </c>
      <c r="Q1084" t="n">
        <v>4528.09011</v>
      </c>
      <c r="R1084" t="n">
        <v>4557.45341</v>
      </c>
      <c r="S1084" t="n">
        <v>4584.04218</v>
      </c>
      <c r="V1084" t="n">
        <v>4493.15034</v>
      </c>
      <c r="W1084" t="n">
        <v>4459.58534</v>
      </c>
      <c r="AB1084" t="n">
        <v>4575.25669</v>
      </c>
      <c r="AC1084" t="n">
        <v>4577.39692</v>
      </c>
      <c r="AD1084" t="n">
        <v>0</v>
      </c>
      <c r="AE1084">
        <f>AE1083+1</f>
        <v/>
      </c>
      <c r="AF1084">
        <f>AF1083+1</f>
        <v/>
      </c>
      <c r="AG1084">
        <f>D1084-Q1084</f>
        <v/>
      </c>
      <c r="AH1084">
        <f>AG1084^2</f>
        <v/>
      </c>
      <c r="AI1084">
        <f>(AG1084/STDEV($AG$3:$AG$1137))^3</f>
        <v/>
      </c>
      <c r="AJ1084">
        <f>(AG1084/STDEV($AG$3:$AG$1137))^4</f>
        <v/>
      </c>
      <c r="AK1084">
        <f>AF1084^2</f>
        <v/>
      </c>
      <c r="AL1084">
        <f>IF(AD1084=1,AB1084,IF(AL1083&lt;&gt;"",AL1083,""))</f>
        <v/>
      </c>
      <c r="AM1084">
        <f>IF(AND(AD1084=1,AL1083&lt;&gt;""),ABS(AB1084-AL1083),"")</f>
        <v/>
      </c>
    </row>
    <row r="1085">
      <c r="A1085" t="n">
        <v>1777887002</v>
      </c>
      <c r="B1085" t="inlineStr">
        <is>
          <t>XAUUSD</t>
        </is>
      </c>
      <c r="C1085" t="inlineStr">
        <is>
          <t>M15</t>
        </is>
      </c>
      <c r="D1085" t="n">
        <v>4581.26</v>
      </c>
      <c r="E1085" t="n">
        <v>4518.59282</v>
      </c>
      <c r="F1085" t="n">
        <v>4596.05595</v>
      </c>
      <c r="G1085" t="n">
        <v>4755.40355</v>
      </c>
      <c r="H1085" t="n">
        <v>4792.76972</v>
      </c>
      <c r="Q1085" t="n">
        <v>4527.8225</v>
      </c>
      <c r="R1085" t="n">
        <v>4557.1858</v>
      </c>
      <c r="S1085" t="n">
        <v>4583.77457</v>
      </c>
      <c r="V1085" t="n">
        <v>4492.88273</v>
      </c>
      <c r="W1085" t="n">
        <v>4459.31774</v>
      </c>
      <c r="AB1085" t="n">
        <v>4571.14583</v>
      </c>
      <c r="AC1085" t="n">
        <v>4574.27138</v>
      </c>
      <c r="AD1085" t="n">
        <v>0</v>
      </c>
      <c r="AE1085">
        <f>AE1084+1</f>
        <v/>
      </c>
      <c r="AF1085">
        <f>AF1084+1</f>
        <v/>
      </c>
      <c r="AG1085">
        <f>D1085-Q1085</f>
        <v/>
      </c>
      <c r="AH1085">
        <f>AG1085^2</f>
        <v/>
      </c>
      <c r="AI1085">
        <f>(AG1085/STDEV($AG$3:$AG$1137))^3</f>
        <v/>
      </c>
      <c r="AJ1085">
        <f>(AG1085/STDEV($AG$3:$AG$1137))^4</f>
        <v/>
      </c>
      <c r="AK1085">
        <f>AF1085^2</f>
        <v/>
      </c>
      <c r="AL1085">
        <f>IF(AD1085=1,AB1085,IF(AL1084&lt;&gt;"",AL1084,""))</f>
        <v/>
      </c>
      <c r="AM1085">
        <f>IF(AND(AD1085=1,AL1084&lt;&gt;""),ABS(AB1085-AL1084),"")</f>
        <v/>
      </c>
    </row>
    <row r="1086">
      <c r="A1086" t="n">
        <v>1777887902</v>
      </c>
      <c r="B1086" t="inlineStr">
        <is>
          <t>XAUUSD</t>
        </is>
      </c>
      <c r="C1086" t="inlineStr">
        <is>
          <t>M15</t>
        </is>
      </c>
      <c r="D1086" t="n">
        <v>4575.47</v>
      </c>
      <c r="E1086" t="n">
        <v>4518.59282</v>
      </c>
      <c r="F1086" t="n">
        <v>4596.05595</v>
      </c>
      <c r="G1086" t="n">
        <v>4755.40355</v>
      </c>
      <c r="H1086" t="n">
        <v>4792.76972</v>
      </c>
      <c r="Q1086" t="n">
        <v>4527.5549</v>
      </c>
      <c r="R1086" t="n">
        <v>4556.9182</v>
      </c>
      <c r="S1086" t="n">
        <v>4583.50697</v>
      </c>
      <c r="V1086" t="n">
        <v>4492.61513</v>
      </c>
      <c r="W1086" t="n">
        <v>4459.05013</v>
      </c>
      <c r="AB1086" t="n">
        <v>4566.29874</v>
      </c>
      <c r="AC1086" t="n">
        <v>4570.28506</v>
      </c>
      <c r="AD1086" t="n">
        <v>0</v>
      </c>
      <c r="AE1086">
        <f>AE1085+1</f>
        <v/>
      </c>
      <c r="AF1086">
        <f>AF1085+1</f>
        <v/>
      </c>
      <c r="AG1086">
        <f>D1086-Q1086</f>
        <v/>
      </c>
      <c r="AH1086">
        <f>AG1086^2</f>
        <v/>
      </c>
      <c r="AI1086">
        <f>(AG1086/STDEV($AG$3:$AG$1137))^3</f>
        <v/>
      </c>
      <c r="AJ1086">
        <f>(AG1086/STDEV($AG$3:$AG$1137))^4</f>
        <v/>
      </c>
      <c r="AK1086">
        <f>AF1086^2</f>
        <v/>
      </c>
      <c r="AL1086">
        <f>IF(AD1086=1,AB1086,IF(AL1085&lt;&gt;"",AL1085,""))</f>
        <v/>
      </c>
      <c r="AM1086">
        <f>IF(AND(AD1086=1,AL1085&lt;&gt;""),ABS(AB1086-AL1085),"")</f>
        <v/>
      </c>
    </row>
    <row r="1087">
      <c r="A1087" t="n">
        <v>1777888802</v>
      </c>
      <c r="B1087" t="inlineStr">
        <is>
          <t>XAUUSD</t>
        </is>
      </c>
      <c r="C1087" t="inlineStr">
        <is>
          <t>M15</t>
        </is>
      </c>
      <c r="D1087" t="n">
        <v>4541.79</v>
      </c>
      <c r="E1087" t="n">
        <v>4518.59282</v>
      </c>
      <c r="F1087" t="n">
        <v>4596.05595</v>
      </c>
      <c r="G1087" t="n">
        <v>4755.40355</v>
      </c>
      <c r="H1087" t="n">
        <v>4792.76972</v>
      </c>
      <c r="Q1087" t="n">
        <v>4527.28729</v>
      </c>
      <c r="R1087" t="n">
        <v>4556.65059</v>
      </c>
      <c r="S1087" t="n">
        <v>4583.23936</v>
      </c>
      <c r="V1087" t="n">
        <v>4492.34752</v>
      </c>
      <c r="W1087" t="n">
        <v>4458.78253</v>
      </c>
      <c r="AB1087" t="n">
        <v>4561.49005</v>
      </c>
      <c r="AC1087" t="n">
        <v>4565.88755</v>
      </c>
      <c r="AD1087" t="n">
        <v>0</v>
      </c>
      <c r="AE1087">
        <f>AE1086+1</f>
        <v/>
      </c>
      <c r="AF1087">
        <f>AF1086+1</f>
        <v/>
      </c>
      <c r="AG1087">
        <f>D1087-Q1087</f>
        <v/>
      </c>
      <c r="AH1087">
        <f>AG1087^2</f>
        <v/>
      </c>
      <c r="AI1087">
        <f>(AG1087/STDEV($AG$3:$AG$1137))^3</f>
        <v/>
      </c>
      <c r="AJ1087">
        <f>(AG1087/STDEV($AG$3:$AG$1137))^4</f>
        <v/>
      </c>
      <c r="AK1087">
        <f>AF1087^2</f>
        <v/>
      </c>
      <c r="AL1087">
        <f>IF(AD1087=1,AB1087,IF(AL1086&lt;&gt;"",AL1086,""))</f>
        <v/>
      </c>
      <c r="AM1087">
        <f>IF(AND(AD1087=1,AL1086&lt;&gt;""),ABS(AB1087-AL1086),"")</f>
        <v/>
      </c>
    </row>
    <row r="1088">
      <c r="A1088" t="n">
        <v>1777889702</v>
      </c>
      <c r="B1088" t="inlineStr">
        <is>
          <t>XAUUSD</t>
        </is>
      </c>
      <c r="C1088" t="inlineStr">
        <is>
          <t>M15</t>
        </is>
      </c>
      <c r="D1088" t="n">
        <v>4545</v>
      </c>
      <c r="E1088" t="n">
        <v>4518.59282</v>
      </c>
      <c r="F1088" t="n">
        <v>4596.05595</v>
      </c>
      <c r="G1088" t="n">
        <v>4755.40355</v>
      </c>
      <c r="H1088" t="n">
        <v>4792.76972</v>
      </c>
      <c r="Q1088" t="n">
        <v>4527.01969</v>
      </c>
      <c r="R1088" t="n">
        <v>4556.38299</v>
      </c>
      <c r="S1088" t="n">
        <v>4582.97176</v>
      </c>
      <c r="V1088" t="n">
        <v>4492.07992</v>
      </c>
      <c r="W1088" t="n">
        <v>4458.51492</v>
      </c>
      <c r="AA1088" t="n">
        <v>4526.4</v>
      </c>
      <c r="AB1088" t="n">
        <v>4558.22146</v>
      </c>
      <c r="AC1088" t="n">
        <v>4562.05451</v>
      </c>
      <c r="AD1088" t="n">
        <v>0</v>
      </c>
      <c r="AE1088">
        <f>AE1087+1</f>
        <v/>
      </c>
      <c r="AF1088">
        <f>AF1087+1</f>
        <v/>
      </c>
      <c r="AG1088">
        <f>D1088-Q1088</f>
        <v/>
      </c>
      <c r="AH1088">
        <f>AG1088^2</f>
        <v/>
      </c>
      <c r="AI1088">
        <f>(AG1088/STDEV($AG$3:$AG$1137))^3</f>
        <v/>
      </c>
      <c r="AJ1088">
        <f>(AG1088/STDEV($AG$3:$AG$1137))^4</f>
        <v/>
      </c>
      <c r="AK1088">
        <f>AF1088^2</f>
        <v/>
      </c>
      <c r="AL1088">
        <f>IF(AD1088=1,AB1088,IF(AL1087&lt;&gt;"",AL1087,""))</f>
        <v/>
      </c>
      <c r="AM1088">
        <f>IF(AND(AD1088=1,AL1087&lt;&gt;""),ABS(AB1088-AL1087),"")</f>
        <v/>
      </c>
    </row>
    <row r="1089">
      <c r="A1089" t="n">
        <v>1777890602</v>
      </c>
      <c r="B1089" t="inlineStr">
        <is>
          <t>XAUUSD</t>
        </is>
      </c>
      <c r="C1089" t="inlineStr">
        <is>
          <t>M15</t>
        </is>
      </c>
      <c r="D1089" t="n">
        <v>4558.64</v>
      </c>
      <c r="E1089" t="n">
        <v>4518.59282</v>
      </c>
      <c r="F1089" t="n">
        <v>4596.05595</v>
      </c>
      <c r="G1089" t="n">
        <v>4755.40355</v>
      </c>
      <c r="H1089" t="n">
        <v>4792.76972</v>
      </c>
      <c r="Q1089" t="n">
        <v>4526.75209</v>
      </c>
      <c r="R1089" t="n">
        <v>4556.11539</v>
      </c>
      <c r="S1089" t="n">
        <v>4582.70416</v>
      </c>
      <c r="V1089" t="n">
        <v>4491.81232</v>
      </c>
      <c r="W1089" t="n">
        <v>4458.24732</v>
      </c>
      <c r="AB1089" t="n">
        <v>4556.75146</v>
      </c>
      <c r="AC1089" t="n">
        <v>4559.40298</v>
      </c>
      <c r="AD1089" t="n">
        <v>0</v>
      </c>
      <c r="AE1089">
        <f>AE1088+1</f>
        <v/>
      </c>
      <c r="AF1089">
        <f>AF1088+1</f>
        <v/>
      </c>
      <c r="AG1089">
        <f>D1089-Q1089</f>
        <v/>
      </c>
      <c r="AH1089">
        <f>AG1089^2</f>
        <v/>
      </c>
      <c r="AI1089">
        <f>(AG1089/STDEV($AG$3:$AG$1137))^3</f>
        <v/>
      </c>
      <c r="AJ1089">
        <f>(AG1089/STDEV($AG$3:$AG$1137))^4</f>
        <v/>
      </c>
      <c r="AK1089">
        <f>AF1089^2</f>
        <v/>
      </c>
      <c r="AL1089">
        <f>IF(AD1089=1,AB1089,IF(AL1088&lt;&gt;"",AL1088,""))</f>
        <v/>
      </c>
      <c r="AM1089">
        <f>IF(AND(AD1089=1,AL1088&lt;&gt;""),ABS(AB1089-AL1088),"")</f>
        <v/>
      </c>
    </row>
    <row r="1090">
      <c r="A1090" t="n">
        <v>1777891502</v>
      </c>
      <c r="B1090" t="inlineStr">
        <is>
          <t>XAUUSD</t>
        </is>
      </c>
      <c r="C1090" t="inlineStr">
        <is>
          <t>M15</t>
        </is>
      </c>
      <c r="D1090" t="n">
        <v>4562.67</v>
      </c>
      <c r="E1090" t="n">
        <v>4518.59282</v>
      </c>
      <c r="F1090" t="n">
        <v>4596.05595</v>
      </c>
      <c r="G1090" t="n">
        <v>4755.40355</v>
      </c>
      <c r="H1090" t="n">
        <v>4792.76972</v>
      </c>
      <c r="Q1090" t="n">
        <v>4526.48448</v>
      </c>
      <c r="R1090" t="n">
        <v>4555.84778</v>
      </c>
      <c r="S1090" t="n">
        <v>4582.43655</v>
      </c>
      <c r="V1090" t="n">
        <v>4491.54471</v>
      </c>
      <c r="W1090" t="n">
        <v>4457.97972</v>
      </c>
      <c r="AB1090" t="n">
        <v>4556.70054</v>
      </c>
      <c r="AC1090" t="n">
        <v>4558.05176</v>
      </c>
      <c r="AD1090" t="n">
        <v>0</v>
      </c>
      <c r="AE1090">
        <f>AE1089+1</f>
        <v/>
      </c>
      <c r="AF1090">
        <f>AF1089+1</f>
        <v/>
      </c>
      <c r="AG1090">
        <f>D1090-Q1090</f>
        <v/>
      </c>
      <c r="AH1090">
        <f>AG1090^2</f>
        <v/>
      </c>
      <c r="AI1090">
        <f>(AG1090/STDEV($AG$3:$AG$1137))^3</f>
        <v/>
      </c>
      <c r="AJ1090">
        <f>(AG1090/STDEV($AG$3:$AG$1137))^4</f>
        <v/>
      </c>
      <c r="AK1090">
        <f>AF1090^2</f>
        <v/>
      </c>
      <c r="AL1090">
        <f>IF(AD1090=1,AB1090,IF(AL1089&lt;&gt;"",AL1089,""))</f>
        <v/>
      </c>
      <c r="AM1090">
        <f>IF(AND(AD1090=1,AL1089&lt;&gt;""),ABS(AB1090-AL1089),"")</f>
        <v/>
      </c>
    </row>
    <row r="1091">
      <c r="A1091" t="n">
        <v>1777892402</v>
      </c>
      <c r="B1091" t="inlineStr">
        <is>
          <t>XAUUSD</t>
        </is>
      </c>
      <c r="C1091" t="inlineStr">
        <is>
          <t>M15</t>
        </is>
      </c>
      <c r="D1091" t="n">
        <v>4565.34</v>
      </c>
      <c r="E1091" t="n">
        <v>4518.59282</v>
      </c>
      <c r="F1091" t="n">
        <v>4596.05595</v>
      </c>
      <c r="G1091" t="n">
        <v>4755.40355</v>
      </c>
      <c r="H1091" t="n">
        <v>4792.76972</v>
      </c>
      <c r="Q1091" t="n">
        <v>4526.21688</v>
      </c>
      <c r="R1091" t="n">
        <v>4555.58018</v>
      </c>
      <c r="S1091" t="n">
        <v>4582.16895</v>
      </c>
      <c r="V1091" t="n">
        <v>4491.27711</v>
      </c>
      <c r="W1091" t="n">
        <v>4457.71211</v>
      </c>
      <c r="AB1091" t="n">
        <v>4557.69867</v>
      </c>
      <c r="AC1091" t="n">
        <v>4557.87521</v>
      </c>
      <c r="AD1091" t="n">
        <v>0</v>
      </c>
      <c r="AE1091">
        <f>AE1090+1</f>
        <v/>
      </c>
      <c r="AF1091">
        <f>AF1090+1</f>
        <v/>
      </c>
      <c r="AG1091">
        <f>D1091-Q1091</f>
        <v/>
      </c>
      <c r="AH1091">
        <f>AG1091^2</f>
        <v/>
      </c>
      <c r="AI1091">
        <f>(AG1091/STDEV($AG$3:$AG$1137))^3</f>
        <v/>
      </c>
      <c r="AJ1091">
        <f>(AG1091/STDEV($AG$3:$AG$1137))^4</f>
        <v/>
      </c>
      <c r="AK1091">
        <f>AF1091^2</f>
        <v/>
      </c>
      <c r="AL1091">
        <f>IF(AD1091=1,AB1091,IF(AL1090&lt;&gt;"",AL1090,""))</f>
        <v/>
      </c>
      <c r="AM1091">
        <f>IF(AND(AD1091=1,AL1090&lt;&gt;""),ABS(AB1091-AL1090),"")</f>
        <v/>
      </c>
    </row>
    <row r="1092">
      <c r="A1092" t="n">
        <v>1777893302</v>
      </c>
      <c r="B1092" t="inlineStr">
        <is>
          <t>XAUUSD</t>
        </is>
      </c>
      <c r="C1092" t="inlineStr">
        <is>
          <t>M15</t>
        </is>
      </c>
      <c r="D1092" t="n">
        <v>4562.26</v>
      </c>
      <c r="E1092" t="n">
        <v>4518.59282</v>
      </c>
      <c r="F1092" t="n">
        <v>4596.05595</v>
      </c>
      <c r="G1092" t="n">
        <v>4755.40355</v>
      </c>
      <c r="H1092" t="n">
        <v>4792.76972</v>
      </c>
      <c r="Q1092" t="n">
        <v>4525.94927</v>
      </c>
      <c r="R1092" t="n">
        <v>4555.31257</v>
      </c>
      <c r="S1092" t="n">
        <v>4581.90134</v>
      </c>
      <c r="V1092" t="n">
        <v>4491.0095</v>
      </c>
      <c r="W1092" t="n">
        <v>4457.44451</v>
      </c>
      <c r="AB1092" t="n">
        <v>4559.26237</v>
      </c>
      <c r="AC1092" t="n">
        <v>4558.56879</v>
      </c>
      <c r="AD1092" t="n">
        <v>1</v>
      </c>
      <c r="AE1092">
        <f>AE1091+1</f>
        <v/>
      </c>
      <c r="AF1092">
        <f>AF1091+1</f>
        <v/>
      </c>
      <c r="AG1092">
        <f>D1092-Q1092</f>
        <v/>
      </c>
      <c r="AH1092">
        <f>AG1092^2</f>
        <v/>
      </c>
      <c r="AI1092">
        <f>(AG1092/STDEV($AG$3:$AG$1137))^3</f>
        <v/>
      </c>
      <c r="AJ1092">
        <f>(AG1092/STDEV($AG$3:$AG$1137))^4</f>
        <v/>
      </c>
      <c r="AK1092">
        <f>AF1092^2</f>
        <v/>
      </c>
      <c r="AL1092">
        <f>IF(AD1092=1,AB1092,IF(AL1091&lt;&gt;"",AL1091,""))</f>
        <v/>
      </c>
      <c r="AM1092">
        <f>IF(AND(AD1092=1,AL1091&lt;&gt;""),ABS(AB1092-AL1091),"")</f>
        <v/>
      </c>
    </row>
    <row r="1093">
      <c r="A1093" t="n">
        <v>1777894202</v>
      </c>
      <c r="B1093" t="inlineStr">
        <is>
          <t>XAUUSD</t>
        </is>
      </c>
      <c r="C1093" t="inlineStr">
        <is>
          <t>M15</t>
        </is>
      </c>
      <c r="D1093" t="n">
        <v>4553.65</v>
      </c>
      <c r="E1093" t="n">
        <v>4518.59282</v>
      </c>
      <c r="F1093" t="n">
        <v>4596.05595</v>
      </c>
      <c r="G1093" t="n">
        <v>4755.40355</v>
      </c>
      <c r="H1093" t="n">
        <v>4792.76972</v>
      </c>
      <c r="Q1093" t="n">
        <v>4525.68167</v>
      </c>
      <c r="R1093" t="n">
        <v>4555.04497</v>
      </c>
      <c r="S1093" t="n">
        <v>4581.63374</v>
      </c>
      <c r="V1093" t="n">
        <v>4490.7419</v>
      </c>
      <c r="W1093" t="n">
        <v>4457.1769</v>
      </c>
      <c r="AB1093" t="n">
        <v>4561.01172</v>
      </c>
      <c r="AC1093" t="n">
        <v>4559.79026</v>
      </c>
      <c r="AD1093" t="n">
        <v>0</v>
      </c>
      <c r="AE1093">
        <f>AE1092+1</f>
        <v/>
      </c>
      <c r="AF1093">
        <f>AF1092+1</f>
        <v/>
      </c>
      <c r="AG1093">
        <f>D1093-Q1093</f>
        <v/>
      </c>
      <c r="AH1093">
        <f>AG1093^2</f>
        <v/>
      </c>
      <c r="AI1093">
        <f>(AG1093/STDEV($AG$3:$AG$1137))^3</f>
        <v/>
      </c>
      <c r="AJ1093">
        <f>(AG1093/STDEV($AG$3:$AG$1137))^4</f>
        <v/>
      </c>
      <c r="AK1093">
        <f>AF1093^2</f>
        <v/>
      </c>
      <c r="AL1093">
        <f>IF(AD1093=1,AB1093,IF(AL1092&lt;&gt;"",AL1092,""))</f>
        <v/>
      </c>
      <c r="AM1093">
        <f>IF(AND(AD1093=1,AL1092&lt;&gt;""),ABS(AB1093-AL1092),"")</f>
        <v/>
      </c>
    </row>
    <row r="1094">
      <c r="A1094" t="n">
        <v>1777895102</v>
      </c>
      <c r="B1094" t="inlineStr">
        <is>
          <t>XAUUSD</t>
        </is>
      </c>
      <c r="C1094" t="inlineStr">
        <is>
          <t>M15</t>
        </is>
      </c>
      <c r="D1094" t="n">
        <v>4559.94</v>
      </c>
      <c r="E1094" t="n">
        <v>4518.59282</v>
      </c>
      <c r="F1094" t="n">
        <v>4596.05595</v>
      </c>
      <c r="G1094" t="n">
        <v>4755.40355</v>
      </c>
      <c r="H1094" t="n">
        <v>4792.76972</v>
      </c>
      <c r="Q1094" t="n">
        <v>4525.41407</v>
      </c>
      <c r="R1094" t="n">
        <v>4554.77736</v>
      </c>
      <c r="S1094" t="n">
        <v>4581.36614</v>
      </c>
      <c r="V1094" t="n">
        <v>4490.4743</v>
      </c>
      <c r="W1094" t="n">
        <v>4456.9093</v>
      </c>
      <c r="AB1094" t="n">
        <v>4562.81704</v>
      </c>
      <c r="AC1094" t="n">
        <v>4561.30365</v>
      </c>
      <c r="AD1094" t="n">
        <v>0</v>
      </c>
      <c r="AE1094">
        <f>AE1093+1</f>
        <v/>
      </c>
      <c r="AF1094">
        <f>AF1093+1</f>
        <v/>
      </c>
      <c r="AG1094">
        <f>D1094-Q1094</f>
        <v/>
      </c>
      <c r="AH1094">
        <f>AG1094^2</f>
        <v/>
      </c>
      <c r="AI1094">
        <f>(AG1094/STDEV($AG$3:$AG$1137))^3</f>
        <v/>
      </c>
      <c r="AJ1094">
        <f>(AG1094/STDEV($AG$3:$AG$1137))^4</f>
        <v/>
      </c>
      <c r="AK1094">
        <f>AF1094^2</f>
        <v/>
      </c>
      <c r="AL1094">
        <f>IF(AD1094=1,AB1094,IF(AL1093&lt;&gt;"",AL1093,""))</f>
        <v/>
      </c>
      <c r="AM1094">
        <f>IF(AND(AD1094=1,AL1093&lt;&gt;""),ABS(AB1094-AL1093),"")</f>
        <v/>
      </c>
    </row>
    <row r="1095">
      <c r="A1095" t="n">
        <v>1777896002</v>
      </c>
      <c r="B1095" t="inlineStr">
        <is>
          <t>XAUUSD</t>
        </is>
      </c>
      <c r="C1095" t="inlineStr">
        <is>
          <t>M15</t>
        </is>
      </c>
      <c r="D1095" t="n">
        <v>4563.67</v>
      </c>
      <c r="E1095" t="n">
        <v>4518.59282</v>
      </c>
      <c r="F1095" t="n">
        <v>4596.05595</v>
      </c>
      <c r="G1095" t="n">
        <v>4755.40355</v>
      </c>
      <c r="H1095" t="n">
        <v>4792.76972</v>
      </c>
      <c r="Q1095" t="n">
        <v>4525.14646</v>
      </c>
      <c r="R1095" t="n">
        <v>4554.50976</v>
      </c>
      <c r="S1095" t="n">
        <v>4581.09853</v>
      </c>
      <c r="V1095" t="n">
        <v>4490.20669</v>
      </c>
      <c r="W1095" t="n">
        <v>4456.6417</v>
      </c>
      <c r="AB1095" t="n">
        <v>4564.27067</v>
      </c>
      <c r="AC1095" t="n">
        <v>4562.78716</v>
      </c>
      <c r="AD1095" t="n">
        <v>0</v>
      </c>
      <c r="AE1095">
        <f>AE1094+1</f>
        <v/>
      </c>
      <c r="AF1095">
        <f>AF1094+1</f>
        <v/>
      </c>
      <c r="AG1095">
        <f>D1095-Q1095</f>
        <v/>
      </c>
      <c r="AH1095">
        <f>AG1095^2</f>
        <v/>
      </c>
      <c r="AI1095">
        <f>(AG1095/STDEV($AG$3:$AG$1137))^3</f>
        <v/>
      </c>
      <c r="AJ1095">
        <f>(AG1095/STDEV($AG$3:$AG$1137))^4</f>
        <v/>
      </c>
      <c r="AK1095">
        <f>AF1095^2</f>
        <v/>
      </c>
      <c r="AL1095">
        <f>IF(AD1095=1,AB1095,IF(AL1094&lt;&gt;"",AL1094,""))</f>
        <v/>
      </c>
      <c r="AM1095">
        <f>IF(AND(AD1095=1,AL1094&lt;&gt;""),ABS(AB1095-AL1094),"")</f>
        <v/>
      </c>
    </row>
    <row r="1096">
      <c r="A1096" t="n">
        <v>1777896902</v>
      </c>
      <c r="B1096" t="inlineStr">
        <is>
          <t>XAUUSD</t>
        </is>
      </c>
      <c r="C1096" t="inlineStr">
        <is>
          <t>M15</t>
        </is>
      </c>
      <c r="D1096" t="n">
        <v>4568.68</v>
      </c>
      <c r="E1096" t="n">
        <v>4518.59282</v>
      </c>
      <c r="F1096" t="n">
        <v>4596.05595</v>
      </c>
      <c r="G1096" t="n">
        <v>4755.40355</v>
      </c>
      <c r="H1096" t="n">
        <v>4792.76972</v>
      </c>
      <c r="Q1096" t="n">
        <v>4524.87886</v>
      </c>
      <c r="R1096" t="n">
        <v>4554.24216</v>
      </c>
      <c r="S1096" t="n">
        <v>4580.83093</v>
      </c>
      <c r="V1096" t="n">
        <v>4489.93909</v>
      </c>
      <c r="W1096" t="n">
        <v>4456.37409</v>
      </c>
      <c r="AB1096" t="n">
        <v>4565.21562</v>
      </c>
      <c r="AC1096" t="n">
        <v>4564.00139</v>
      </c>
      <c r="AD1096" t="n">
        <v>0</v>
      </c>
      <c r="AE1096">
        <f>AE1095+1</f>
        <v/>
      </c>
      <c r="AF1096">
        <f>AF1095+1</f>
        <v/>
      </c>
      <c r="AG1096">
        <f>D1096-Q1096</f>
        <v/>
      </c>
      <c r="AH1096">
        <f>AG1096^2</f>
        <v/>
      </c>
      <c r="AI1096">
        <f>(AG1096/STDEV($AG$3:$AG$1137))^3</f>
        <v/>
      </c>
      <c r="AJ1096">
        <f>(AG1096/STDEV($AG$3:$AG$1137))^4</f>
        <v/>
      </c>
      <c r="AK1096">
        <f>AF1096^2</f>
        <v/>
      </c>
      <c r="AL1096">
        <f>IF(AD1096=1,AB1096,IF(AL1095&lt;&gt;"",AL1095,""))</f>
        <v/>
      </c>
      <c r="AM1096">
        <f>IF(AND(AD1096=1,AL1095&lt;&gt;""),ABS(AB1096-AL1095),"")</f>
        <v/>
      </c>
    </row>
    <row r="1097">
      <c r="A1097" t="n">
        <v>1777897802</v>
      </c>
      <c r="B1097" t="inlineStr">
        <is>
          <t>XAUUSD</t>
        </is>
      </c>
      <c r="C1097" t="inlineStr">
        <is>
          <t>M15</t>
        </is>
      </c>
      <c r="D1097" t="n">
        <v>4570.1</v>
      </c>
      <c r="E1097" t="n">
        <v>4518.59282</v>
      </c>
      <c r="F1097" t="n">
        <v>4596.05595</v>
      </c>
      <c r="G1097" t="n">
        <v>4755.40355</v>
      </c>
      <c r="H1097" t="n">
        <v>4792.76972</v>
      </c>
      <c r="Q1097" t="n">
        <v>4524.61125</v>
      </c>
      <c r="R1097" t="n">
        <v>4553.97455</v>
      </c>
      <c r="S1097" t="n">
        <v>4580.56332</v>
      </c>
      <c r="V1097" t="n">
        <v>4489.67148</v>
      </c>
      <c r="W1097" t="n">
        <v>4456.10649</v>
      </c>
      <c r="AB1097" t="n">
        <v>4565.65915</v>
      </c>
      <c r="AC1097" t="n">
        <v>4564.83027</v>
      </c>
      <c r="AD1097" t="n">
        <v>0</v>
      </c>
      <c r="AE1097">
        <f>AE1096+1</f>
        <v/>
      </c>
      <c r="AF1097">
        <f>AF1096+1</f>
        <v/>
      </c>
      <c r="AG1097">
        <f>D1097-Q1097</f>
        <v/>
      </c>
      <c r="AH1097">
        <f>AG1097^2</f>
        <v/>
      </c>
      <c r="AI1097">
        <f>(AG1097/STDEV($AG$3:$AG$1137))^3</f>
        <v/>
      </c>
      <c r="AJ1097">
        <f>(AG1097/STDEV($AG$3:$AG$1137))^4</f>
        <v/>
      </c>
      <c r="AK1097">
        <f>AF1097^2</f>
        <v/>
      </c>
      <c r="AL1097">
        <f>IF(AD1097=1,AB1097,IF(AL1096&lt;&gt;"",AL1096,""))</f>
        <v/>
      </c>
      <c r="AM1097">
        <f>IF(AND(AD1097=1,AL1096&lt;&gt;""),ABS(AB1097-AL1096),"")</f>
        <v/>
      </c>
    </row>
    <row r="1098">
      <c r="A1098" t="n">
        <v>1777898702</v>
      </c>
      <c r="B1098" t="inlineStr">
        <is>
          <t>XAUUSD</t>
        </is>
      </c>
      <c r="C1098" t="inlineStr">
        <is>
          <t>M15</t>
        </is>
      </c>
      <c r="D1098" t="n">
        <v>4568.79</v>
      </c>
      <c r="E1098" t="n">
        <v>4518.59282</v>
      </c>
      <c r="F1098" t="n">
        <v>4596.05595</v>
      </c>
      <c r="G1098" t="n">
        <v>4755.40355</v>
      </c>
      <c r="H1098" t="n">
        <v>4792.76972</v>
      </c>
      <c r="Q1098" t="n">
        <v>4524.34365</v>
      </c>
      <c r="R1098" t="n">
        <v>4553.70695</v>
      </c>
      <c r="S1098" t="n">
        <v>4580.29572</v>
      </c>
      <c r="V1098" t="n">
        <v>4489.40388</v>
      </c>
      <c r="W1098" t="n">
        <v>4455.83888</v>
      </c>
      <c r="AB1098" t="n">
        <v>4565.82801</v>
      </c>
      <c r="AC1098" t="n">
        <v>4565.32914</v>
      </c>
      <c r="AD1098" t="n">
        <v>0</v>
      </c>
      <c r="AE1098">
        <f>AE1097+1</f>
        <v/>
      </c>
      <c r="AF1098">
        <f>AF1097+1</f>
        <v/>
      </c>
      <c r="AG1098">
        <f>D1098-Q1098</f>
        <v/>
      </c>
      <c r="AH1098">
        <f>AG1098^2</f>
        <v/>
      </c>
      <c r="AI1098">
        <f>(AG1098/STDEV($AG$3:$AG$1137))^3</f>
        <v/>
      </c>
      <c r="AJ1098">
        <f>(AG1098/STDEV($AG$3:$AG$1137))^4</f>
        <v/>
      </c>
      <c r="AK1098">
        <f>AF1098^2</f>
        <v/>
      </c>
      <c r="AL1098">
        <f>IF(AD1098=1,AB1098,IF(AL1097&lt;&gt;"",AL1097,""))</f>
        <v/>
      </c>
      <c r="AM1098">
        <f>IF(AND(AD1098=1,AL1097&lt;&gt;""),ABS(AB1098-AL1097),"")</f>
        <v/>
      </c>
    </row>
    <row r="1099">
      <c r="A1099" t="n">
        <v>1777899602</v>
      </c>
      <c r="B1099" t="inlineStr">
        <is>
          <t>XAUUSD</t>
        </is>
      </c>
      <c r="C1099" t="inlineStr">
        <is>
          <t>M15</t>
        </is>
      </c>
      <c r="D1099" t="n">
        <v>4565.98</v>
      </c>
      <c r="E1099" t="n">
        <v>4518.59282</v>
      </c>
      <c r="F1099" t="n">
        <v>4596.05595</v>
      </c>
      <c r="G1099" t="n">
        <v>4755.40355</v>
      </c>
      <c r="H1099" t="n">
        <v>4792.76972</v>
      </c>
      <c r="Q1099" t="n">
        <v>4524.07605</v>
      </c>
      <c r="R1099" t="n">
        <v>4553.43934</v>
      </c>
      <c r="S1099" t="n">
        <v>4580.02812</v>
      </c>
      <c r="V1099" t="n">
        <v>4489.13628</v>
      </c>
      <c r="W1099" t="n">
        <v>4455.57128</v>
      </c>
      <c r="AB1099" t="n">
        <v>4566.04079</v>
      </c>
      <c r="AC1099" t="n">
        <v>4565.68496</v>
      </c>
      <c r="AD1099" t="n">
        <v>0</v>
      </c>
      <c r="AE1099">
        <f>AE1098+1</f>
        <v/>
      </c>
      <c r="AF1099">
        <f>AF1098+1</f>
        <v/>
      </c>
      <c r="AG1099">
        <f>D1099-Q1099</f>
        <v/>
      </c>
      <c r="AH1099">
        <f>AG1099^2</f>
        <v/>
      </c>
      <c r="AI1099">
        <f>(AG1099/STDEV($AG$3:$AG$1137))^3</f>
        <v/>
      </c>
      <c r="AJ1099">
        <f>(AG1099/STDEV($AG$3:$AG$1137))^4</f>
        <v/>
      </c>
      <c r="AK1099">
        <f>AF1099^2</f>
        <v/>
      </c>
      <c r="AL1099">
        <f>IF(AD1099=1,AB1099,IF(AL1098&lt;&gt;"",AL1098,""))</f>
        <v/>
      </c>
      <c r="AM1099">
        <f>IF(AND(AD1099=1,AL1098&lt;&gt;""),ABS(AB1099-AL1098),"")</f>
        <v/>
      </c>
    </row>
    <row r="1100">
      <c r="A1100" t="n">
        <v>1777900502</v>
      </c>
      <c r="B1100" t="inlineStr">
        <is>
          <t>XAUUSD</t>
        </is>
      </c>
      <c r="C1100" t="inlineStr">
        <is>
          <t>M15</t>
        </is>
      </c>
      <c r="D1100" t="n">
        <v>4561.09</v>
      </c>
      <c r="E1100" t="n">
        <v>4518.59282</v>
      </c>
      <c r="F1100" t="n">
        <v>4596.05595</v>
      </c>
      <c r="G1100" t="n">
        <v>4755.40355</v>
      </c>
      <c r="H1100" t="n">
        <v>4792.76972</v>
      </c>
      <c r="Q1100" t="n">
        <v>4523.80844</v>
      </c>
      <c r="R1100" t="n">
        <v>4553.17174</v>
      </c>
      <c r="S1100" t="n">
        <v>4579.76051</v>
      </c>
      <c r="V1100" t="n">
        <v>4488.86867</v>
      </c>
      <c r="W1100" t="n">
        <v>4455.30367</v>
      </c>
      <c r="AB1100" t="n">
        <v>4566.51181</v>
      </c>
      <c r="AC1100" t="n">
        <v>4566.09838</v>
      </c>
      <c r="AD1100" t="n">
        <v>0</v>
      </c>
      <c r="AE1100">
        <f>AE1099+1</f>
        <v/>
      </c>
      <c r="AF1100">
        <f>AF1099+1</f>
        <v/>
      </c>
      <c r="AG1100">
        <f>D1100-Q1100</f>
        <v/>
      </c>
      <c r="AH1100">
        <f>AG1100^2</f>
        <v/>
      </c>
      <c r="AI1100">
        <f>(AG1100/STDEV($AG$3:$AG$1137))^3</f>
        <v/>
      </c>
      <c r="AJ1100">
        <f>(AG1100/STDEV($AG$3:$AG$1137))^4</f>
        <v/>
      </c>
      <c r="AK1100">
        <f>AF1100^2</f>
        <v/>
      </c>
      <c r="AL1100">
        <f>IF(AD1100=1,AB1100,IF(AL1099&lt;&gt;"",AL1099,""))</f>
        <v/>
      </c>
      <c r="AM1100">
        <f>IF(AND(AD1100=1,AL1099&lt;&gt;""),ABS(AB1100-AL1099),"")</f>
        <v/>
      </c>
    </row>
    <row r="1101">
      <c r="A1101" t="n">
        <v>1777901402</v>
      </c>
      <c r="B1101" t="inlineStr">
        <is>
          <t>XAUUSD</t>
        </is>
      </c>
      <c r="C1101" t="inlineStr">
        <is>
          <t>M15</t>
        </is>
      </c>
      <c r="D1101" t="n">
        <v>4565.51</v>
      </c>
      <c r="E1101" t="n">
        <v>4518.59282</v>
      </c>
      <c r="F1101" t="n">
        <v>4596.05595</v>
      </c>
      <c r="G1101" t="n">
        <v>4755.40355</v>
      </c>
      <c r="H1101" t="n">
        <v>4792.76972</v>
      </c>
      <c r="Q1101" t="n">
        <v>4523.54084</v>
      </c>
      <c r="R1101" t="n">
        <v>4552.90414</v>
      </c>
      <c r="S1101" t="n">
        <v>4579.49291</v>
      </c>
      <c r="V1101" t="n">
        <v>4488.60107</v>
      </c>
      <c r="W1101" t="n">
        <v>4455.03607</v>
      </c>
      <c r="AB1101" t="n">
        <v>4567.28242</v>
      </c>
      <c r="AC1101" t="n">
        <v>4566.6904</v>
      </c>
      <c r="AD1101" t="n">
        <v>0</v>
      </c>
      <c r="AE1101">
        <f>AE1100+1</f>
        <v/>
      </c>
      <c r="AF1101">
        <f>AF1100+1</f>
        <v/>
      </c>
      <c r="AG1101">
        <f>D1101-Q1101</f>
        <v/>
      </c>
      <c r="AH1101">
        <f>AG1101^2</f>
        <v/>
      </c>
      <c r="AI1101">
        <f>(AG1101/STDEV($AG$3:$AG$1137))^3</f>
        <v/>
      </c>
      <c r="AJ1101">
        <f>(AG1101/STDEV($AG$3:$AG$1137))^4</f>
        <v/>
      </c>
      <c r="AK1101">
        <f>AF1101^2</f>
        <v/>
      </c>
      <c r="AL1101">
        <f>IF(AD1101=1,AB1101,IF(AL1100&lt;&gt;"",AL1100,""))</f>
        <v/>
      </c>
      <c r="AM1101">
        <f>IF(AND(AD1101=1,AL1100&lt;&gt;""),ABS(AB1101-AL1100),"")</f>
        <v/>
      </c>
    </row>
    <row r="1102">
      <c r="A1102" t="n">
        <v>1777902302</v>
      </c>
      <c r="B1102" t="inlineStr">
        <is>
          <t>XAUUSD</t>
        </is>
      </c>
      <c r="C1102" t="inlineStr">
        <is>
          <t>M15</t>
        </is>
      </c>
      <c r="D1102" t="n">
        <v>4563.85</v>
      </c>
      <c r="E1102" t="n">
        <v>4518.59282</v>
      </c>
      <c r="F1102" t="n">
        <v>4596.05595</v>
      </c>
      <c r="G1102" t="n">
        <v>4755.40355</v>
      </c>
      <c r="H1102" t="n">
        <v>4792.76972</v>
      </c>
      <c r="Q1102" t="n">
        <v>4523.27323</v>
      </c>
      <c r="R1102" t="n">
        <v>4552.63653</v>
      </c>
      <c r="S1102" t="n">
        <v>4579.2253</v>
      </c>
      <c r="V1102" t="n">
        <v>4488.33346</v>
      </c>
      <c r="W1102" t="n">
        <v>4454.76847</v>
      </c>
      <c r="AB1102" t="n">
        <v>4567.88901</v>
      </c>
      <c r="AC1102" t="n">
        <v>4567.2897</v>
      </c>
      <c r="AD1102" t="n">
        <v>0</v>
      </c>
      <c r="AE1102">
        <f>AE1101+1</f>
        <v/>
      </c>
      <c r="AF1102">
        <f>AF1101+1</f>
        <v/>
      </c>
      <c r="AG1102">
        <f>D1102-Q1102</f>
        <v/>
      </c>
      <c r="AH1102">
        <f>AG1102^2</f>
        <v/>
      </c>
      <c r="AI1102">
        <f>(AG1102/STDEV($AG$3:$AG$1137))^3</f>
        <v/>
      </c>
      <c r="AJ1102">
        <f>(AG1102/STDEV($AG$3:$AG$1137))^4</f>
        <v/>
      </c>
      <c r="AK1102">
        <f>AF1102^2</f>
        <v/>
      </c>
      <c r="AL1102">
        <f>IF(AD1102=1,AB1102,IF(AL1101&lt;&gt;"",AL1101,""))</f>
        <v/>
      </c>
      <c r="AM1102">
        <f>IF(AND(AD1102=1,AL1101&lt;&gt;""),ABS(AB1102-AL1101),"")</f>
        <v/>
      </c>
    </row>
    <row r="1103">
      <c r="A1103" t="n">
        <v>1777903202</v>
      </c>
      <c r="B1103" t="inlineStr">
        <is>
          <t>XAUUSD</t>
        </is>
      </c>
      <c r="C1103" t="inlineStr">
        <is>
          <t>M15</t>
        </is>
      </c>
      <c r="D1103" t="n">
        <v>4560.18</v>
      </c>
      <c r="E1103" t="n">
        <v>4518.59282</v>
      </c>
      <c r="F1103" t="n">
        <v>4596.05595</v>
      </c>
      <c r="G1103" t="n">
        <v>4755.40355</v>
      </c>
      <c r="H1103" t="n">
        <v>4792.76972</v>
      </c>
      <c r="Q1103" t="n">
        <v>4523.00563</v>
      </c>
      <c r="R1103" t="n">
        <v>4552.36893</v>
      </c>
      <c r="S1103" t="n">
        <v>4578.9577</v>
      </c>
      <c r="V1103" t="n">
        <v>4488.06586</v>
      </c>
      <c r="W1103" t="n">
        <v>4454.50086</v>
      </c>
      <c r="AB1103" t="n">
        <v>4567.82539</v>
      </c>
      <c r="AC1103" t="n">
        <v>4567.55755</v>
      </c>
      <c r="AD1103" t="n">
        <v>0</v>
      </c>
      <c r="AE1103">
        <f>AE1102+1</f>
        <v/>
      </c>
      <c r="AF1103">
        <f>AF1102+1</f>
        <v/>
      </c>
      <c r="AG1103">
        <f>D1103-Q1103</f>
        <v/>
      </c>
      <c r="AH1103">
        <f>AG1103^2</f>
        <v/>
      </c>
      <c r="AI1103">
        <f>(AG1103/STDEV($AG$3:$AG$1137))^3</f>
        <v/>
      </c>
      <c r="AJ1103">
        <f>(AG1103/STDEV($AG$3:$AG$1137))^4</f>
        <v/>
      </c>
      <c r="AK1103">
        <f>AF1103^2</f>
        <v/>
      </c>
      <c r="AL1103">
        <f>IF(AD1103=1,AB1103,IF(AL1102&lt;&gt;"",AL1102,""))</f>
        <v/>
      </c>
      <c r="AM1103">
        <f>IF(AND(AD1103=1,AL1102&lt;&gt;""),ABS(AB1103-AL1102),"")</f>
        <v/>
      </c>
    </row>
    <row r="1104">
      <c r="A1104" t="n">
        <v>1777904102</v>
      </c>
      <c r="B1104" t="inlineStr">
        <is>
          <t>XAUUSD</t>
        </is>
      </c>
      <c r="C1104" t="inlineStr">
        <is>
          <t>M15</t>
        </is>
      </c>
      <c r="D1104" t="n">
        <v>4571.2</v>
      </c>
      <c r="E1104" t="n">
        <v>4518.59282</v>
      </c>
      <c r="F1104" t="n">
        <v>4596.05595</v>
      </c>
      <c r="G1104" t="n">
        <v>4755.40355</v>
      </c>
      <c r="H1104" t="n">
        <v>4792.76972</v>
      </c>
      <c r="Q1104" t="n">
        <v>4522.73803</v>
      </c>
      <c r="R1104" t="n">
        <v>4552.10132</v>
      </c>
      <c r="S1104" t="n">
        <v>4578.69009</v>
      </c>
      <c r="V1104" t="n">
        <v>4487.79825</v>
      </c>
      <c r="W1104" t="n">
        <v>4454.23326</v>
      </c>
      <c r="AB1104" t="n">
        <v>4566.55373</v>
      </c>
      <c r="AC1104" t="n">
        <v>4567.05564</v>
      </c>
      <c r="AD1104" t="n">
        <v>1</v>
      </c>
      <c r="AE1104">
        <f>AE1103+1</f>
        <v/>
      </c>
      <c r="AF1104">
        <f>AF1103+1</f>
        <v/>
      </c>
      <c r="AG1104">
        <f>D1104-Q1104</f>
        <v/>
      </c>
      <c r="AH1104">
        <f>AG1104^2</f>
        <v/>
      </c>
      <c r="AI1104">
        <f>(AG1104/STDEV($AG$3:$AG$1137))^3</f>
        <v/>
      </c>
      <c r="AJ1104">
        <f>(AG1104/STDEV($AG$3:$AG$1137))^4</f>
        <v/>
      </c>
      <c r="AK1104">
        <f>AF1104^2</f>
        <v/>
      </c>
      <c r="AL1104">
        <f>IF(AD1104=1,AB1104,IF(AL1103&lt;&gt;"",AL1103,""))</f>
        <v/>
      </c>
      <c r="AM1104">
        <f>IF(AND(AD1104=1,AL1103&lt;&gt;""),ABS(AB1104-AL1103),"")</f>
        <v/>
      </c>
    </row>
    <row r="1105">
      <c r="A1105" t="n">
        <v>1777905002</v>
      </c>
      <c r="B1105" t="inlineStr">
        <is>
          <t>XAUUSD</t>
        </is>
      </c>
      <c r="C1105" t="inlineStr">
        <is>
          <t>M15</t>
        </is>
      </c>
      <c r="D1105" t="n">
        <v>4574.38</v>
      </c>
      <c r="E1105" t="n">
        <v>4518.59282</v>
      </c>
      <c r="F1105" t="n">
        <v>4596.05595</v>
      </c>
      <c r="G1105" t="n">
        <v>4755.40355</v>
      </c>
      <c r="H1105" t="n">
        <v>4792.76972</v>
      </c>
      <c r="Q1105" t="n">
        <v>4522.47042</v>
      </c>
      <c r="R1105" t="n">
        <v>4551.83372</v>
      </c>
      <c r="S1105" t="n">
        <v>4578.42249</v>
      </c>
      <c r="V1105" t="n">
        <v>4487.53065</v>
      </c>
      <c r="W1105" t="n">
        <v>4453.96565</v>
      </c>
      <c r="Z1105" t="n">
        <v>4583.16</v>
      </c>
      <c r="AB1105" t="n">
        <v>4563.19435</v>
      </c>
      <c r="AC1105" t="n">
        <v>4565.12499</v>
      </c>
      <c r="AD1105" t="n">
        <v>0</v>
      </c>
      <c r="AE1105">
        <f>AE1104+1</f>
        <v/>
      </c>
      <c r="AF1105">
        <f>AF1104+1</f>
        <v/>
      </c>
      <c r="AG1105">
        <f>D1105-Q1105</f>
        <v/>
      </c>
      <c r="AH1105">
        <f>AG1105^2</f>
        <v/>
      </c>
      <c r="AI1105">
        <f>(AG1105/STDEV($AG$3:$AG$1137))^3</f>
        <v/>
      </c>
      <c r="AJ1105">
        <f>(AG1105/STDEV($AG$3:$AG$1137))^4</f>
        <v/>
      </c>
      <c r="AK1105">
        <f>AF1105^2</f>
        <v/>
      </c>
      <c r="AL1105">
        <f>IF(AD1105=1,AB1105,IF(AL1104&lt;&gt;"",AL1104,""))</f>
        <v/>
      </c>
      <c r="AM1105">
        <f>IF(AND(AD1105=1,AL1104&lt;&gt;""),ABS(AB1105-AL1104),"")</f>
        <v/>
      </c>
    </row>
    <row r="1106">
      <c r="A1106" t="n">
        <v>1777905902</v>
      </c>
      <c r="B1106" t="inlineStr">
        <is>
          <t>XAUUSD</t>
        </is>
      </c>
      <c r="C1106" t="inlineStr">
        <is>
          <t>M15</t>
        </is>
      </c>
      <c r="D1106" t="n">
        <v>4561.26</v>
      </c>
      <c r="E1106" t="n">
        <v>4518.59282</v>
      </c>
      <c r="F1106" t="n">
        <v>4596.05595</v>
      </c>
      <c r="G1106" t="n">
        <v>4755.40355</v>
      </c>
      <c r="H1106" t="n">
        <v>4792.76972</v>
      </c>
      <c r="Q1106" t="n">
        <v>4522.20282</v>
      </c>
      <c r="R1106" t="n">
        <v>4551.56612</v>
      </c>
      <c r="S1106" t="n">
        <v>4578.15489</v>
      </c>
      <c r="V1106" t="n">
        <v>4487.26305</v>
      </c>
      <c r="W1106" t="n">
        <v>4453.69805</v>
      </c>
      <c r="AB1106" t="n">
        <v>4557.36864</v>
      </c>
      <c r="AC1106" t="n">
        <v>4561.24682</v>
      </c>
      <c r="AD1106" t="n">
        <v>0</v>
      </c>
      <c r="AE1106">
        <f>AE1105+1</f>
        <v/>
      </c>
      <c r="AF1106">
        <f>AF1105+1</f>
        <v/>
      </c>
      <c r="AG1106">
        <f>D1106-Q1106</f>
        <v/>
      </c>
      <c r="AH1106">
        <f>AG1106^2</f>
        <v/>
      </c>
      <c r="AI1106">
        <f>(AG1106/STDEV($AG$3:$AG$1137))^3</f>
        <v/>
      </c>
      <c r="AJ1106">
        <f>(AG1106/STDEV($AG$3:$AG$1137))^4</f>
        <v/>
      </c>
      <c r="AK1106">
        <f>AF1106^2</f>
        <v/>
      </c>
      <c r="AL1106">
        <f>IF(AD1106=1,AB1106,IF(AL1105&lt;&gt;"",AL1105,""))</f>
        <v/>
      </c>
      <c r="AM1106">
        <f>IF(AND(AD1106=1,AL1105&lt;&gt;""),ABS(AB1106-AL1105),"")</f>
        <v/>
      </c>
    </row>
    <row r="1107">
      <c r="A1107" t="n">
        <v>1777906802</v>
      </c>
      <c r="B1107" t="inlineStr">
        <is>
          <t>XAUUSD</t>
        </is>
      </c>
      <c r="C1107" t="inlineStr">
        <is>
          <t>M15</t>
        </is>
      </c>
      <c r="D1107" t="n">
        <v>4548.46</v>
      </c>
      <c r="E1107" t="n">
        <v>4518.59282</v>
      </c>
      <c r="F1107" t="n">
        <v>4596.05595</v>
      </c>
      <c r="G1107" t="n">
        <v>4755.40355</v>
      </c>
      <c r="H1107" t="n">
        <v>4792.76972</v>
      </c>
      <c r="Q1107" t="n">
        <v>4521.93521</v>
      </c>
      <c r="R1107" t="n">
        <v>4551.29851</v>
      </c>
      <c r="S1107" t="n">
        <v>4577.88728</v>
      </c>
      <c r="V1107" t="n">
        <v>4486.99544</v>
      </c>
      <c r="W1107" t="n">
        <v>4453.43045</v>
      </c>
      <c r="AB1107" t="n">
        <v>4549.59106</v>
      </c>
      <c r="AC1107" t="n">
        <v>4555.41894</v>
      </c>
      <c r="AD1107" t="n">
        <v>0</v>
      </c>
      <c r="AE1107">
        <f>AE1106+1</f>
        <v/>
      </c>
      <c r="AF1107">
        <f>AF1106+1</f>
        <v/>
      </c>
      <c r="AG1107">
        <f>D1107-Q1107</f>
        <v/>
      </c>
      <c r="AH1107">
        <f>AG1107^2</f>
        <v/>
      </c>
      <c r="AI1107">
        <f>(AG1107/STDEV($AG$3:$AG$1137))^3</f>
        <v/>
      </c>
      <c r="AJ1107">
        <f>(AG1107/STDEV($AG$3:$AG$1137))^4</f>
        <v/>
      </c>
      <c r="AK1107">
        <f>AF1107^2</f>
        <v/>
      </c>
      <c r="AL1107">
        <f>IF(AD1107=1,AB1107,IF(AL1106&lt;&gt;"",AL1106,""))</f>
        <v/>
      </c>
      <c r="AM1107">
        <f>IF(AND(AD1107=1,AL1106&lt;&gt;""),ABS(AB1107-AL1106),"")</f>
        <v/>
      </c>
    </row>
    <row r="1108">
      <c r="A1108" t="n">
        <v>1777907702</v>
      </c>
      <c r="B1108" t="inlineStr">
        <is>
          <t>XAUUSD</t>
        </is>
      </c>
      <c r="C1108" t="inlineStr">
        <is>
          <t>M15</t>
        </is>
      </c>
      <c r="D1108" t="n">
        <v>4537.95</v>
      </c>
      <c r="E1108" t="n">
        <v>4518.59282</v>
      </c>
      <c r="F1108" t="n">
        <v>4596.05595</v>
      </c>
      <c r="G1108" t="n">
        <v>4755.40355</v>
      </c>
      <c r="H1108" t="n">
        <v>4792.76972</v>
      </c>
      <c r="Q1108" t="n">
        <v>4521.66761</v>
      </c>
      <c r="R1108" t="n">
        <v>4551.03091</v>
      </c>
      <c r="S1108" t="n">
        <v>4577.61968</v>
      </c>
      <c r="V1108" t="n">
        <v>4486.72784</v>
      </c>
      <c r="W1108" t="n">
        <v>4453.16284</v>
      </c>
      <c r="AB1108" t="n">
        <v>4540.74889</v>
      </c>
      <c r="AC1108" t="n">
        <v>4548.08392</v>
      </c>
      <c r="AD1108" t="n">
        <v>0</v>
      </c>
      <c r="AE1108">
        <f>AE1107+1</f>
        <v/>
      </c>
      <c r="AF1108">
        <f>AF1107+1</f>
        <v/>
      </c>
      <c r="AG1108">
        <f>D1108-Q1108</f>
        <v/>
      </c>
      <c r="AH1108">
        <f>AG1108^2</f>
        <v/>
      </c>
      <c r="AI1108">
        <f>(AG1108/STDEV($AG$3:$AG$1137))^3</f>
        <v/>
      </c>
      <c r="AJ1108">
        <f>(AG1108/STDEV($AG$3:$AG$1137))^4</f>
        <v/>
      </c>
      <c r="AK1108">
        <f>AF1108^2</f>
        <v/>
      </c>
      <c r="AL1108">
        <f>IF(AD1108=1,AB1108,IF(AL1107&lt;&gt;"",AL1107,""))</f>
        <v/>
      </c>
      <c r="AM1108">
        <f>IF(AND(AD1108=1,AL1107&lt;&gt;""),ABS(AB1108-AL1107),"")</f>
        <v/>
      </c>
    </row>
    <row r="1109">
      <c r="A1109" t="n">
        <v>1777908602</v>
      </c>
      <c r="B1109" t="inlineStr">
        <is>
          <t>XAUUSD</t>
        </is>
      </c>
      <c r="C1109" t="inlineStr">
        <is>
          <t>M15</t>
        </is>
      </c>
      <c r="D1109" t="n">
        <v>4535.1</v>
      </c>
      <c r="E1109" t="n">
        <v>4518.59282</v>
      </c>
      <c r="F1109" t="n">
        <v>4596.05595</v>
      </c>
      <c r="G1109" t="n">
        <v>4755.40355</v>
      </c>
      <c r="H1109" t="n">
        <v>4792.76972</v>
      </c>
      <c r="Q1109" t="n">
        <v>4521.4</v>
      </c>
      <c r="R1109" t="n">
        <v>4550.7633</v>
      </c>
      <c r="S1109" t="n">
        <v>4577.35207</v>
      </c>
      <c r="V1109" t="n">
        <v>4486.46023</v>
      </c>
      <c r="W1109" t="n">
        <v>4452.89524</v>
      </c>
      <c r="AB1109" t="n">
        <v>4531.91789</v>
      </c>
      <c r="AC1109" t="n">
        <v>4540.0009</v>
      </c>
      <c r="AD1109" t="n">
        <v>0</v>
      </c>
      <c r="AE1109">
        <f>AE1108+1</f>
        <v/>
      </c>
      <c r="AF1109">
        <f>AF1108+1</f>
        <v/>
      </c>
      <c r="AG1109">
        <f>D1109-Q1109</f>
        <v/>
      </c>
      <c r="AH1109">
        <f>AG1109^2</f>
        <v/>
      </c>
      <c r="AI1109">
        <f>(AG1109/STDEV($AG$3:$AG$1137))^3</f>
        <v/>
      </c>
      <c r="AJ1109">
        <f>(AG1109/STDEV($AG$3:$AG$1137))^4</f>
        <v/>
      </c>
      <c r="AK1109">
        <f>AF1109^2</f>
        <v/>
      </c>
      <c r="AL1109">
        <f>IF(AD1109=1,AB1109,IF(AL1108&lt;&gt;"",AL1108,""))</f>
        <v/>
      </c>
      <c r="AM1109">
        <f>IF(AND(AD1109=1,AL1108&lt;&gt;""),ABS(AB1109-AL1108),"")</f>
        <v/>
      </c>
    </row>
    <row r="1110">
      <c r="A1110" t="n">
        <v>1777909502</v>
      </c>
      <c r="B1110" t="inlineStr">
        <is>
          <t>XAUUSD</t>
        </is>
      </c>
      <c r="C1110" t="inlineStr">
        <is>
          <t>M15</t>
        </is>
      </c>
      <c r="D1110" t="n">
        <v>4521.33</v>
      </c>
      <c r="E1110" t="n">
        <v>4518.59282</v>
      </c>
      <c r="F1110" t="n">
        <v>4596.05595</v>
      </c>
      <c r="G1110" t="n">
        <v>4755.40355</v>
      </c>
      <c r="H1110" t="n">
        <v>4792.76972</v>
      </c>
      <c r="Q1110" t="n">
        <v>4521.1324</v>
      </c>
      <c r="R1110" t="n">
        <v>4550.4957</v>
      </c>
      <c r="S1110" t="n">
        <v>4577.08447</v>
      </c>
      <c r="V1110" t="n">
        <v>4486.19263</v>
      </c>
      <c r="W1110" t="n">
        <v>4452.62763</v>
      </c>
      <c r="AB1110" t="n">
        <v>4523.98413</v>
      </c>
      <c r="AC1110" t="n">
        <v>4531.99252</v>
      </c>
      <c r="AD1110" t="n">
        <v>0</v>
      </c>
      <c r="AE1110">
        <f>AE1109+1</f>
        <v/>
      </c>
      <c r="AF1110">
        <f>AF1109+1</f>
        <v/>
      </c>
      <c r="AG1110">
        <f>D1110-Q1110</f>
        <v/>
      </c>
      <c r="AH1110">
        <f>AG1110^2</f>
        <v/>
      </c>
      <c r="AI1110">
        <f>(AG1110/STDEV($AG$3:$AG$1137))^3</f>
        <v/>
      </c>
      <c r="AJ1110">
        <f>(AG1110/STDEV($AG$3:$AG$1137))^4</f>
        <v/>
      </c>
      <c r="AK1110">
        <f>AF1110^2</f>
        <v/>
      </c>
      <c r="AL1110">
        <f>IF(AD1110=1,AB1110,IF(AL1109&lt;&gt;"",AL1109,""))</f>
        <v/>
      </c>
      <c r="AM1110">
        <f>IF(AND(AD1110=1,AL1109&lt;&gt;""),ABS(AB1110-AL1109),"")</f>
        <v/>
      </c>
    </row>
    <row r="1111">
      <c r="A1111" t="n">
        <v>1777910402</v>
      </c>
      <c r="B1111" t="inlineStr">
        <is>
          <t>XAUUSD</t>
        </is>
      </c>
      <c r="C1111" t="inlineStr">
        <is>
          <t>M15</t>
        </is>
      </c>
      <c r="D1111" t="n">
        <v>4509.88</v>
      </c>
      <c r="E1111" t="n">
        <v>4518.59282</v>
      </c>
      <c r="F1111" t="n">
        <v>4596.05595</v>
      </c>
      <c r="G1111" t="n">
        <v>4755.40355</v>
      </c>
      <c r="H1111" t="n">
        <v>4792.76972</v>
      </c>
      <c r="Q1111" t="n">
        <v>4520.8648</v>
      </c>
      <c r="R1111" t="n">
        <v>4550.2281</v>
      </c>
      <c r="S1111" t="n">
        <v>4576.81687</v>
      </c>
      <c r="V1111" t="n">
        <v>4485.92503</v>
      </c>
      <c r="W1111" t="n">
        <v>4452.36003</v>
      </c>
      <c r="AA1111" t="n">
        <v>4500.86</v>
      </c>
      <c r="AB1111" t="n">
        <v>4518.02761</v>
      </c>
      <c r="AC1111" t="n">
        <v>4525.01006</v>
      </c>
      <c r="AD1111" t="n">
        <v>0</v>
      </c>
      <c r="AE1111">
        <f>AE1110+1</f>
        <v/>
      </c>
      <c r="AF1111">
        <f>AF1110+1</f>
        <v/>
      </c>
      <c r="AG1111">
        <f>D1111-Q1111</f>
        <v/>
      </c>
      <c r="AH1111">
        <f>AG1111^2</f>
        <v/>
      </c>
      <c r="AI1111">
        <f>(AG1111/STDEV($AG$3:$AG$1137))^3</f>
        <v/>
      </c>
      <c r="AJ1111">
        <f>(AG1111/STDEV($AG$3:$AG$1137))^4</f>
        <v/>
      </c>
      <c r="AK1111">
        <f>AF1111^2</f>
        <v/>
      </c>
      <c r="AL1111">
        <f>IF(AD1111=1,AB1111,IF(AL1110&lt;&gt;"",AL1110,""))</f>
        <v/>
      </c>
      <c r="AM1111">
        <f>IF(AND(AD1111=1,AL1110&lt;&gt;""),ABS(AB1111-AL1110),"")</f>
        <v/>
      </c>
    </row>
    <row r="1112">
      <c r="A1112" t="n">
        <v>1777911302</v>
      </c>
      <c r="B1112" t="inlineStr">
        <is>
          <t>XAUUSD</t>
        </is>
      </c>
      <c r="C1112" t="inlineStr">
        <is>
          <t>M15</t>
        </is>
      </c>
      <c r="D1112" t="n">
        <v>4515.03</v>
      </c>
      <c r="E1112" t="n">
        <v>4518.59282</v>
      </c>
      <c r="F1112" t="n">
        <v>4596.05595</v>
      </c>
      <c r="G1112" t="n">
        <v>4755.40355</v>
      </c>
      <c r="H1112" t="n">
        <v>4792.76972</v>
      </c>
      <c r="Q1112" t="n">
        <v>4520.59719</v>
      </c>
      <c r="R1112" t="n">
        <v>4549.96049</v>
      </c>
      <c r="S1112" t="n">
        <v>4576.54926</v>
      </c>
      <c r="V1112" t="n">
        <v>4485.65742</v>
      </c>
      <c r="W1112" t="n">
        <v>4452.09243</v>
      </c>
      <c r="AB1112" t="n">
        <v>4514.68386</v>
      </c>
      <c r="AC1112" t="n">
        <v>4519.84696</v>
      </c>
      <c r="AD1112" t="n">
        <v>0</v>
      </c>
      <c r="AE1112">
        <f>AE1111+1</f>
        <v/>
      </c>
      <c r="AF1112">
        <f>AF1111+1</f>
        <v/>
      </c>
      <c r="AG1112">
        <f>D1112-Q1112</f>
        <v/>
      </c>
      <c r="AH1112">
        <f>AG1112^2</f>
        <v/>
      </c>
      <c r="AI1112">
        <f>(AG1112/STDEV($AG$3:$AG$1137))^3</f>
        <v/>
      </c>
      <c r="AJ1112">
        <f>(AG1112/STDEV($AG$3:$AG$1137))^4</f>
        <v/>
      </c>
      <c r="AK1112">
        <f>AF1112^2</f>
        <v/>
      </c>
      <c r="AL1112">
        <f>IF(AD1112=1,AB1112,IF(AL1111&lt;&gt;"",AL1111,""))</f>
        <v/>
      </c>
      <c r="AM1112">
        <f>IF(AND(AD1112=1,AL1111&lt;&gt;""),ABS(AB1112-AL1111),"")</f>
        <v/>
      </c>
    </row>
    <row r="1113">
      <c r="A1113" t="n">
        <v>1777912202</v>
      </c>
      <c r="B1113" t="inlineStr">
        <is>
          <t>XAUUSD</t>
        </is>
      </c>
      <c r="C1113" t="inlineStr">
        <is>
          <t>M15</t>
        </is>
      </c>
      <c r="D1113" t="n">
        <v>4512.59</v>
      </c>
      <c r="E1113" t="n">
        <v>4518.59282</v>
      </c>
      <c r="F1113" t="n">
        <v>4596.05595</v>
      </c>
      <c r="G1113" t="n">
        <v>4755.40355</v>
      </c>
      <c r="H1113" t="n">
        <v>4792.76972</v>
      </c>
      <c r="Q1113" t="n">
        <v>4520.32959</v>
      </c>
      <c r="R1113" t="n">
        <v>4549.69289</v>
      </c>
      <c r="S1113" t="n">
        <v>4576.28166</v>
      </c>
      <c r="V1113" t="n">
        <v>4485.38982</v>
      </c>
      <c r="W1113" t="n">
        <v>4451.82482</v>
      </c>
      <c r="AB1113" t="n">
        <v>4513.70295</v>
      </c>
      <c r="AC1113" t="n">
        <v>4516.77496</v>
      </c>
      <c r="AD1113" t="n">
        <v>0</v>
      </c>
      <c r="AE1113">
        <f>AE1112+1</f>
        <v/>
      </c>
      <c r="AF1113">
        <f>AF1112+1</f>
        <v/>
      </c>
      <c r="AG1113">
        <f>D1113-Q1113</f>
        <v/>
      </c>
      <c r="AH1113">
        <f>AG1113^2</f>
        <v/>
      </c>
      <c r="AI1113">
        <f>(AG1113/STDEV($AG$3:$AG$1137))^3</f>
        <v/>
      </c>
      <c r="AJ1113">
        <f>(AG1113/STDEV($AG$3:$AG$1137))^4</f>
        <v/>
      </c>
      <c r="AK1113">
        <f>AF1113^2</f>
        <v/>
      </c>
      <c r="AL1113">
        <f>IF(AD1113=1,AB1113,IF(AL1112&lt;&gt;"",AL1112,""))</f>
        <v/>
      </c>
      <c r="AM1113">
        <f>IF(AND(AD1113=1,AL1112&lt;&gt;""),ABS(AB1113-AL1112),"")</f>
        <v/>
      </c>
    </row>
    <row r="1114">
      <c r="A1114" t="n">
        <v>1777913102</v>
      </c>
      <c r="B1114" t="inlineStr">
        <is>
          <t>XAUUSD</t>
        </is>
      </c>
      <c r="C1114" t="inlineStr">
        <is>
          <t>M15</t>
        </is>
      </c>
      <c r="D1114" t="n">
        <v>4510.69</v>
      </c>
      <c r="E1114" t="n">
        <v>4518.59282</v>
      </c>
      <c r="F1114" t="n">
        <v>4596.05595</v>
      </c>
      <c r="G1114" t="n">
        <v>4755.40355</v>
      </c>
      <c r="H1114" t="n">
        <v>4792.76972</v>
      </c>
      <c r="Q1114" t="n">
        <v>4520.06198</v>
      </c>
      <c r="R1114" t="n">
        <v>4549.42528</v>
      </c>
      <c r="S1114" t="n">
        <v>4576.01405</v>
      </c>
      <c r="V1114" t="n">
        <v>4485.12221</v>
      </c>
      <c r="W1114" t="n">
        <v>4451.55722</v>
      </c>
      <c r="AB1114" t="n">
        <v>4514.63593</v>
      </c>
      <c r="AC1114" t="n">
        <v>4515.70544</v>
      </c>
      <c r="AD1114" t="n">
        <v>0</v>
      </c>
      <c r="AE1114">
        <f>AE1113+1</f>
        <v/>
      </c>
      <c r="AF1114">
        <f>AF1113+1</f>
        <v/>
      </c>
      <c r="AG1114">
        <f>D1114-Q1114</f>
        <v/>
      </c>
      <c r="AH1114">
        <f>AG1114^2</f>
        <v/>
      </c>
      <c r="AI1114">
        <f>(AG1114/STDEV($AG$3:$AG$1137))^3</f>
        <v/>
      </c>
      <c r="AJ1114">
        <f>(AG1114/STDEV($AG$3:$AG$1137))^4</f>
        <v/>
      </c>
      <c r="AK1114">
        <f>AF1114^2</f>
        <v/>
      </c>
      <c r="AL1114">
        <f>IF(AD1114=1,AB1114,IF(AL1113&lt;&gt;"",AL1113,""))</f>
        <v/>
      </c>
      <c r="AM1114">
        <f>IF(AND(AD1114=1,AL1113&lt;&gt;""),ABS(AB1114-AL1113),"")</f>
        <v/>
      </c>
    </row>
    <row r="1115">
      <c r="A1115" t="n">
        <v>1777914002</v>
      </c>
      <c r="B1115" t="inlineStr">
        <is>
          <t>XAUUSD</t>
        </is>
      </c>
      <c r="C1115" t="inlineStr">
        <is>
          <t>M15</t>
        </is>
      </c>
      <c r="D1115" t="n">
        <v>4522.39</v>
      </c>
      <c r="E1115" t="n">
        <v>4518.59282</v>
      </c>
      <c r="F1115" t="n">
        <v>4596.05595</v>
      </c>
      <c r="G1115" t="n">
        <v>4755.40355</v>
      </c>
      <c r="H1115" t="n">
        <v>4792.76972</v>
      </c>
      <c r="Q1115" t="n">
        <v>4519.79438</v>
      </c>
      <c r="R1115" t="n">
        <v>4549.15768</v>
      </c>
      <c r="S1115" t="n">
        <v>4575.74645</v>
      </c>
      <c r="V1115" t="n">
        <v>4484.85461</v>
      </c>
      <c r="W1115" t="n">
        <v>4451.28961</v>
      </c>
      <c r="AB1115" t="n">
        <v>4516.79679</v>
      </c>
      <c r="AC1115" t="n">
        <v>4516.25111</v>
      </c>
      <c r="AD1115" t="n">
        <v>1</v>
      </c>
      <c r="AE1115">
        <f>AE1114+1</f>
        <v/>
      </c>
      <c r="AF1115">
        <f>AF1114+1</f>
        <v/>
      </c>
      <c r="AG1115">
        <f>D1115-Q1115</f>
        <v/>
      </c>
      <c r="AH1115">
        <f>AG1115^2</f>
        <v/>
      </c>
      <c r="AI1115">
        <f>(AG1115/STDEV($AG$3:$AG$1137))^3</f>
        <v/>
      </c>
      <c r="AJ1115">
        <f>(AG1115/STDEV($AG$3:$AG$1137))^4</f>
        <v/>
      </c>
      <c r="AK1115">
        <f>AF1115^2</f>
        <v/>
      </c>
      <c r="AL1115">
        <f>IF(AD1115=1,AB1115,IF(AL1114&lt;&gt;"",AL1114,""))</f>
        <v/>
      </c>
      <c r="AM1115">
        <f>IF(AND(AD1115=1,AL1114&lt;&gt;""),ABS(AB1115-AL1114),"")</f>
        <v/>
      </c>
    </row>
    <row r="1116">
      <c r="A1116" t="n">
        <v>1777914902</v>
      </c>
      <c r="B1116" t="inlineStr">
        <is>
          <t>XAUUSD</t>
        </is>
      </c>
      <c r="C1116" t="inlineStr">
        <is>
          <t>M15</t>
        </is>
      </c>
      <c r="D1116" t="n">
        <v>4524.38</v>
      </c>
      <c r="E1116" t="n">
        <v>4518.59282</v>
      </c>
      <c r="F1116" t="n">
        <v>4596.05595</v>
      </c>
      <c r="G1116" t="n">
        <v>4755.40355</v>
      </c>
      <c r="H1116" t="n">
        <v>4792.76972</v>
      </c>
      <c r="Q1116" t="n">
        <v>4519.52678</v>
      </c>
      <c r="R1116" t="n">
        <v>4548.89007</v>
      </c>
      <c r="S1116" t="n">
        <v>4575.47885</v>
      </c>
      <c r="V1116" t="n">
        <v>4484.58701</v>
      </c>
      <c r="W1116" t="n">
        <v>4451.02201</v>
      </c>
      <c r="AB1116" t="n">
        <v>4519.04827</v>
      </c>
      <c r="AC1116" t="n">
        <v>4517.64969</v>
      </c>
      <c r="AD1116" t="n">
        <v>0</v>
      </c>
      <c r="AE1116">
        <f>AE1115+1</f>
        <v/>
      </c>
      <c r="AF1116">
        <f>AF1115+1</f>
        <v/>
      </c>
      <c r="AG1116">
        <f>D1116-Q1116</f>
        <v/>
      </c>
      <c r="AH1116">
        <f>AG1116^2</f>
        <v/>
      </c>
      <c r="AI1116">
        <f>(AG1116/STDEV($AG$3:$AG$1137))^3</f>
        <v/>
      </c>
      <c r="AJ1116">
        <f>(AG1116/STDEV($AG$3:$AG$1137))^4</f>
        <v/>
      </c>
      <c r="AK1116">
        <f>AF1116^2</f>
        <v/>
      </c>
      <c r="AL1116">
        <f>IF(AD1116=1,AB1116,IF(AL1115&lt;&gt;"",AL1115,""))</f>
        <v/>
      </c>
      <c r="AM1116">
        <f>IF(AND(AD1116=1,AL1115&lt;&gt;""),ABS(AB1116-AL1115),"")</f>
        <v/>
      </c>
    </row>
    <row r="1117">
      <c r="A1117" t="n">
        <v>1777915802</v>
      </c>
      <c r="B1117" t="inlineStr">
        <is>
          <t>XAUUSD</t>
        </is>
      </c>
      <c r="C1117" t="inlineStr">
        <is>
          <t>M15</t>
        </is>
      </c>
      <c r="D1117" t="n">
        <v>4526.1</v>
      </c>
      <c r="E1117" t="n">
        <v>4518.59282</v>
      </c>
      <c r="F1117" t="n">
        <v>4596.05595</v>
      </c>
      <c r="G1117" t="n">
        <v>4755.40355</v>
      </c>
      <c r="H1117" t="n">
        <v>4792.76972</v>
      </c>
      <c r="Q1117" t="n">
        <v>4519.25917</v>
      </c>
      <c r="R1117" t="n">
        <v>4548.62247</v>
      </c>
      <c r="S1117" t="n">
        <v>4575.21124</v>
      </c>
      <c r="V1117" t="n">
        <v>4484.3194</v>
      </c>
      <c r="W1117" t="n">
        <v>4450.75441</v>
      </c>
      <c r="AB1117" t="n">
        <v>4520.6637</v>
      </c>
      <c r="AC1117" t="n">
        <v>4519.1567</v>
      </c>
      <c r="AD1117" t="n">
        <v>0</v>
      </c>
      <c r="AE1117">
        <f>AE1116+1</f>
        <v/>
      </c>
      <c r="AF1117">
        <f>AF1116+1</f>
        <v/>
      </c>
      <c r="AG1117">
        <f>D1117-Q1117</f>
        <v/>
      </c>
      <c r="AH1117">
        <f>AG1117^2</f>
        <v/>
      </c>
      <c r="AI1117">
        <f>(AG1117/STDEV($AG$3:$AG$1137))^3</f>
        <v/>
      </c>
      <c r="AJ1117">
        <f>(AG1117/STDEV($AG$3:$AG$1137))^4</f>
        <v/>
      </c>
      <c r="AK1117">
        <f>AF1117^2</f>
        <v/>
      </c>
      <c r="AL1117">
        <f>IF(AD1117=1,AB1117,IF(AL1116&lt;&gt;"",AL1116,""))</f>
        <v/>
      </c>
      <c r="AM1117">
        <f>IF(AND(AD1117=1,AL1116&lt;&gt;""),ABS(AB1117-AL1116),"")</f>
        <v/>
      </c>
    </row>
    <row r="1118">
      <c r="A1118" t="n">
        <v>1777916702</v>
      </c>
      <c r="B1118" t="inlineStr">
        <is>
          <t>XAUUSD</t>
        </is>
      </c>
      <c r="C1118" t="inlineStr">
        <is>
          <t>M15</t>
        </is>
      </c>
      <c r="D1118" t="n">
        <v>4522.35</v>
      </c>
      <c r="E1118" t="n">
        <v>4518.59282</v>
      </c>
      <c r="F1118" t="n">
        <v>4596.05595</v>
      </c>
      <c r="G1118" t="n">
        <v>4755.40355</v>
      </c>
      <c r="H1118" t="n">
        <v>4792.76972</v>
      </c>
      <c r="Q1118" t="n">
        <v>4518.99157</v>
      </c>
      <c r="R1118" t="n">
        <v>4548.35487</v>
      </c>
      <c r="S1118" t="n">
        <v>4574.94364</v>
      </c>
      <c r="V1118" t="n">
        <v>4484.0518</v>
      </c>
      <c r="W1118" t="n">
        <v>4450.4868</v>
      </c>
      <c r="AB1118" t="n">
        <v>4521.27447</v>
      </c>
      <c r="AC1118" t="n">
        <v>4520.21558</v>
      </c>
      <c r="AD1118" t="n">
        <v>0</v>
      </c>
      <c r="AE1118">
        <f>AE1117+1</f>
        <v/>
      </c>
      <c r="AF1118">
        <f>AF1117+1</f>
        <v/>
      </c>
      <c r="AG1118">
        <f>D1118-Q1118</f>
        <v/>
      </c>
      <c r="AH1118">
        <f>AG1118^2</f>
        <v/>
      </c>
      <c r="AI1118">
        <f>(AG1118/STDEV($AG$3:$AG$1137))^3</f>
        <v/>
      </c>
      <c r="AJ1118">
        <f>(AG1118/STDEV($AG$3:$AG$1137))^4</f>
        <v/>
      </c>
      <c r="AK1118">
        <f>AF1118^2</f>
        <v/>
      </c>
      <c r="AL1118">
        <f>IF(AD1118=1,AB1118,IF(AL1117&lt;&gt;"",AL1117,""))</f>
        <v/>
      </c>
      <c r="AM1118">
        <f>IF(AND(AD1118=1,AL1117&lt;&gt;""),ABS(AB1118-AL1117),"")</f>
        <v/>
      </c>
    </row>
    <row r="1119">
      <c r="A1119" t="n">
        <v>1777917602</v>
      </c>
      <c r="B1119" t="inlineStr">
        <is>
          <t>XAUUSD</t>
        </is>
      </c>
      <c r="C1119" t="inlineStr">
        <is>
          <t>M15</t>
        </is>
      </c>
      <c r="D1119" t="n">
        <v>4520.01</v>
      </c>
      <c r="E1119" t="n">
        <v>4518.59282</v>
      </c>
      <c r="F1119" t="n">
        <v>4596.05595</v>
      </c>
      <c r="G1119" t="n">
        <v>4755.40355</v>
      </c>
      <c r="H1119" t="n">
        <v>4792.76972</v>
      </c>
      <c r="Q1119" t="n">
        <v>4518.72396</v>
      </c>
      <c r="R1119" t="n">
        <v>4548.08726</v>
      </c>
      <c r="S1119" t="n">
        <v>4574.67603</v>
      </c>
      <c r="V1119" t="n">
        <v>4483.78419</v>
      </c>
      <c r="W1119" t="n">
        <v>4450.2192</v>
      </c>
      <c r="AB1119" t="n">
        <v>4520.90726</v>
      </c>
      <c r="AC1119" t="n">
        <v>4520.56142</v>
      </c>
      <c r="AD1119" t="n">
        <v>0</v>
      </c>
      <c r="AE1119">
        <f>AE1118+1</f>
        <v/>
      </c>
      <c r="AF1119">
        <f>AF1118+1</f>
        <v/>
      </c>
      <c r="AG1119">
        <f>D1119-Q1119</f>
        <v/>
      </c>
      <c r="AH1119">
        <f>AG1119^2</f>
        <v/>
      </c>
      <c r="AI1119">
        <f>(AG1119/STDEV($AG$3:$AG$1137))^3</f>
        <v/>
      </c>
      <c r="AJ1119">
        <f>(AG1119/STDEV($AG$3:$AG$1137))^4</f>
        <v/>
      </c>
      <c r="AK1119">
        <f>AF1119^2</f>
        <v/>
      </c>
      <c r="AL1119">
        <f>IF(AD1119=1,AB1119,IF(AL1118&lt;&gt;"",AL1118,""))</f>
        <v/>
      </c>
      <c r="AM1119">
        <f>IF(AND(AD1119=1,AL1118&lt;&gt;""),ABS(AB1119-AL1118),"")</f>
        <v/>
      </c>
    </row>
    <row r="1120">
      <c r="A1120" t="n">
        <v>1777918502</v>
      </c>
      <c r="B1120" t="inlineStr">
        <is>
          <t>XAUUSD</t>
        </is>
      </c>
      <c r="C1120" t="inlineStr">
        <is>
          <t>M15</t>
        </is>
      </c>
      <c r="D1120" t="n">
        <v>4511.95</v>
      </c>
      <c r="E1120" t="n">
        <v>4518.59282</v>
      </c>
      <c r="F1120" t="n">
        <v>4596.05595</v>
      </c>
      <c r="G1120" t="n">
        <v>4755.40355</v>
      </c>
      <c r="H1120" t="n">
        <v>4792.76972</v>
      </c>
      <c r="Q1120" t="n">
        <v>4518.45636</v>
      </c>
      <c r="R1120" t="n">
        <v>4547.81966</v>
      </c>
      <c r="S1120" t="n">
        <v>4574.40843</v>
      </c>
      <c r="V1120" t="n">
        <v>4483.51659</v>
      </c>
      <c r="W1120" t="n">
        <v>4449.95159</v>
      </c>
      <c r="AB1120" t="n">
        <v>4519.79381</v>
      </c>
      <c r="AC1120" t="n">
        <v>4520.17761</v>
      </c>
      <c r="AD1120" t="n">
        <v>1</v>
      </c>
      <c r="AE1120">
        <f>AE1119+1</f>
        <v/>
      </c>
      <c r="AF1120">
        <f>AF1119+1</f>
        <v/>
      </c>
      <c r="AG1120">
        <f>D1120-Q1120</f>
        <v/>
      </c>
      <c r="AH1120">
        <f>AG1120^2</f>
        <v/>
      </c>
      <c r="AI1120">
        <f>(AG1120/STDEV($AG$3:$AG$1137))^3</f>
        <v/>
      </c>
      <c r="AJ1120">
        <f>(AG1120/STDEV($AG$3:$AG$1137))^4</f>
        <v/>
      </c>
      <c r="AK1120">
        <f>AF1120^2</f>
        <v/>
      </c>
      <c r="AL1120">
        <f>IF(AD1120=1,AB1120,IF(AL1119&lt;&gt;"",AL1119,""))</f>
        <v/>
      </c>
      <c r="AM1120">
        <f>IF(AND(AD1120=1,AL1119&lt;&gt;""),ABS(AB1120-AL1119),"")</f>
        <v/>
      </c>
    </row>
    <row r="1121">
      <c r="A1121" t="n">
        <v>1777919402</v>
      </c>
      <c r="B1121" t="inlineStr">
        <is>
          <t>XAUUSD</t>
        </is>
      </c>
      <c r="C1121" t="inlineStr">
        <is>
          <t>M15</t>
        </is>
      </c>
      <c r="D1121" t="n">
        <v>4511.86</v>
      </c>
      <c r="E1121" t="n">
        <v>4518.59282</v>
      </c>
      <c r="F1121" t="n">
        <v>4596.05595</v>
      </c>
      <c r="G1121" t="n">
        <v>4755.40355</v>
      </c>
      <c r="H1121" t="n">
        <v>4792.76972</v>
      </c>
      <c r="Q1121" t="n">
        <v>4518.18876</v>
      </c>
      <c r="R1121" t="n">
        <v>4547.55205</v>
      </c>
      <c r="S1121" t="n">
        <v>4574.14083</v>
      </c>
      <c r="V1121" t="n">
        <v>4483.24899</v>
      </c>
      <c r="W1121" t="n">
        <v>4449.68399</v>
      </c>
      <c r="AB1121" t="n">
        <v>4518.50828</v>
      </c>
      <c r="AC1121" t="n">
        <v>4519.34294</v>
      </c>
      <c r="AD1121" t="n">
        <v>0</v>
      </c>
      <c r="AE1121">
        <f>AE1120+1</f>
        <v/>
      </c>
      <c r="AF1121">
        <f>AF1120+1</f>
        <v/>
      </c>
      <c r="AG1121">
        <f>D1121-Q1121</f>
        <v/>
      </c>
      <c r="AH1121">
        <f>AG1121^2</f>
        <v/>
      </c>
      <c r="AI1121">
        <f>(AG1121/STDEV($AG$3:$AG$1137))^3</f>
        <v/>
      </c>
      <c r="AJ1121">
        <f>(AG1121/STDEV($AG$3:$AG$1137))^4</f>
        <v/>
      </c>
      <c r="AK1121">
        <f>AF1121^2</f>
        <v/>
      </c>
      <c r="AL1121">
        <f>IF(AD1121=1,AB1121,IF(AL1120&lt;&gt;"",AL1120,""))</f>
        <v/>
      </c>
      <c r="AM1121">
        <f>IF(AND(AD1121=1,AL1120&lt;&gt;""),ABS(AB1121-AL1120),"")</f>
        <v/>
      </c>
    </row>
    <row r="1122">
      <c r="A1122" t="n">
        <v>1777920302</v>
      </c>
      <c r="B1122" t="inlineStr">
        <is>
          <t>XAUUSD</t>
        </is>
      </c>
      <c r="C1122" t="inlineStr">
        <is>
          <t>M15</t>
        </is>
      </c>
      <c r="D1122" t="n">
        <v>4516.4</v>
      </c>
      <c r="E1122" t="n">
        <v>4518.59282</v>
      </c>
      <c r="F1122" t="n">
        <v>4596.05595</v>
      </c>
      <c r="G1122" t="n">
        <v>4755.40355</v>
      </c>
      <c r="H1122" t="n">
        <v>4792.76972</v>
      </c>
      <c r="Q1122" t="n">
        <v>4517.92115</v>
      </c>
      <c r="R1122" t="n">
        <v>4547.28445</v>
      </c>
      <c r="S1122" t="n">
        <v>4573.87322</v>
      </c>
      <c r="V1122" t="n">
        <v>4482.98138</v>
      </c>
      <c r="W1122" t="n">
        <v>4449.41638</v>
      </c>
      <c r="AB1122" t="n">
        <v>4517.41568</v>
      </c>
      <c r="AC1122" t="n">
        <v>4518.37931</v>
      </c>
      <c r="AD1122" t="n">
        <v>0</v>
      </c>
      <c r="AE1122">
        <f>AE1121+1</f>
        <v/>
      </c>
      <c r="AF1122">
        <f>AF1121+1</f>
        <v/>
      </c>
      <c r="AG1122">
        <f>D1122-Q1122</f>
        <v/>
      </c>
      <c r="AH1122">
        <f>AG1122^2</f>
        <v/>
      </c>
      <c r="AI1122">
        <f>(AG1122/STDEV($AG$3:$AG$1137))^3</f>
        <v/>
      </c>
      <c r="AJ1122">
        <f>(AG1122/STDEV($AG$3:$AG$1137))^4</f>
        <v/>
      </c>
      <c r="AK1122">
        <f>AF1122^2</f>
        <v/>
      </c>
      <c r="AL1122">
        <f>IF(AD1122=1,AB1122,IF(AL1121&lt;&gt;"",AL1121,""))</f>
        <v/>
      </c>
      <c r="AM1122">
        <f>IF(AND(AD1122=1,AL1121&lt;&gt;""),ABS(AB1122-AL1121),"")</f>
        <v/>
      </c>
    </row>
    <row r="1123">
      <c r="A1123" t="n">
        <v>1777921202</v>
      </c>
      <c r="B1123" t="inlineStr">
        <is>
          <t>XAUUSD</t>
        </is>
      </c>
      <c r="C1123" t="inlineStr">
        <is>
          <t>M15</t>
        </is>
      </c>
      <c r="D1123" t="n">
        <v>4519.05</v>
      </c>
      <c r="E1123" t="n">
        <v>4518.59282</v>
      </c>
      <c r="F1123" t="n">
        <v>4596.05595</v>
      </c>
      <c r="G1123" t="n">
        <v>4755.40355</v>
      </c>
      <c r="H1123" t="n">
        <v>4792.76972</v>
      </c>
      <c r="Q1123" t="n">
        <v>4517.65355</v>
      </c>
      <c r="R1123" t="n">
        <v>4547.01685</v>
      </c>
      <c r="S1123" t="n">
        <v>4573.60562</v>
      </c>
      <c r="V1123" t="n">
        <v>4482.71378</v>
      </c>
      <c r="W1123" t="n">
        <v>4449.14878</v>
      </c>
      <c r="AB1123" t="n">
        <v>4516.69738</v>
      </c>
      <c r="AC1123" t="n">
        <v>4517.53835</v>
      </c>
      <c r="AD1123" t="n">
        <v>0</v>
      </c>
      <c r="AE1123">
        <f>AE1122+1</f>
        <v/>
      </c>
      <c r="AF1123">
        <f>AF1122+1</f>
        <v/>
      </c>
      <c r="AG1123">
        <f>D1123-Q1123</f>
        <v/>
      </c>
      <c r="AH1123">
        <f>AG1123^2</f>
        <v/>
      </c>
      <c r="AI1123">
        <f>(AG1123/STDEV($AG$3:$AG$1137))^3</f>
        <v/>
      </c>
      <c r="AJ1123">
        <f>(AG1123/STDEV($AG$3:$AG$1137))^4</f>
        <v/>
      </c>
      <c r="AK1123">
        <f>AF1123^2</f>
        <v/>
      </c>
      <c r="AL1123">
        <f>IF(AD1123=1,AB1123,IF(AL1122&lt;&gt;"",AL1122,""))</f>
        <v/>
      </c>
      <c r="AM1123">
        <f>IF(AND(AD1123=1,AL1122&lt;&gt;""),ABS(AB1123-AL1122),"")</f>
        <v/>
      </c>
    </row>
    <row r="1124">
      <c r="A1124" t="n">
        <v>1777922102</v>
      </c>
      <c r="B1124" t="inlineStr">
        <is>
          <t>XAUUSD</t>
        </is>
      </c>
      <c r="C1124" t="inlineStr">
        <is>
          <t>M15</t>
        </is>
      </c>
      <c r="D1124" t="n">
        <v>4522.42</v>
      </c>
      <c r="E1124" t="n">
        <v>4518.59282</v>
      </c>
      <c r="F1124" t="n">
        <v>4596.05595</v>
      </c>
      <c r="G1124" t="n">
        <v>4755.40355</v>
      </c>
      <c r="H1124" t="n">
        <v>4792.76972</v>
      </c>
      <c r="Q1124" t="n">
        <v>4517.38594</v>
      </c>
      <c r="R1124" t="n">
        <v>4546.74924</v>
      </c>
      <c r="S1124" t="n">
        <v>4573.33801</v>
      </c>
      <c r="V1124" t="n">
        <v>4482.44617</v>
      </c>
      <c r="W1124" t="n">
        <v>4448.88118</v>
      </c>
      <c r="AB1124" t="n">
        <v>4516.46243</v>
      </c>
      <c r="AC1124" t="n">
        <v>4517.00039</v>
      </c>
      <c r="AD1124" t="n">
        <v>0</v>
      </c>
      <c r="AE1124">
        <f>AE1123+1</f>
        <v/>
      </c>
      <c r="AF1124">
        <f>AF1123+1</f>
        <v/>
      </c>
      <c r="AG1124">
        <f>D1124-Q1124</f>
        <v/>
      </c>
      <c r="AH1124">
        <f>AG1124^2</f>
        <v/>
      </c>
      <c r="AI1124">
        <f>(AG1124/STDEV($AG$3:$AG$1137))^3</f>
        <v/>
      </c>
      <c r="AJ1124">
        <f>(AG1124/STDEV($AG$3:$AG$1137))^4</f>
        <v/>
      </c>
      <c r="AK1124">
        <f>AF1124^2</f>
        <v/>
      </c>
      <c r="AL1124">
        <f>IF(AD1124=1,AB1124,IF(AL1123&lt;&gt;"",AL1123,""))</f>
        <v/>
      </c>
      <c r="AM1124">
        <f>IF(AND(AD1124=1,AL1123&lt;&gt;""),ABS(AB1124-AL1123),"")</f>
        <v/>
      </c>
    </row>
    <row r="1125">
      <c r="A1125" t="n">
        <v>1777923002</v>
      </c>
      <c r="B1125" t="inlineStr">
        <is>
          <t>XAUUSD</t>
        </is>
      </c>
      <c r="C1125" t="inlineStr">
        <is>
          <t>M15</t>
        </is>
      </c>
      <c r="D1125" t="n">
        <v>4521.16</v>
      </c>
      <c r="E1125" t="n">
        <v>4518.59282</v>
      </c>
      <c r="F1125" t="n">
        <v>4596.05595</v>
      </c>
      <c r="G1125" t="n">
        <v>4755.40355</v>
      </c>
      <c r="H1125" t="n">
        <v>4792.76972</v>
      </c>
      <c r="Q1125" t="n">
        <v>4517.11834</v>
      </c>
      <c r="R1125" t="n">
        <v>4546.48164</v>
      </c>
      <c r="S1125" t="n">
        <v>4573.07041</v>
      </c>
      <c r="V1125" t="n">
        <v>4482.17857</v>
      </c>
      <c r="W1125" t="n">
        <v>4448.61357</v>
      </c>
      <c r="AB1125" t="n">
        <v>4516.63686</v>
      </c>
      <c r="AC1125" t="n">
        <v>4516.81862</v>
      </c>
      <c r="AD1125" t="n">
        <v>0</v>
      </c>
      <c r="AE1125">
        <f>AE1124+1</f>
        <v/>
      </c>
      <c r="AF1125">
        <f>AF1124+1</f>
        <v/>
      </c>
      <c r="AG1125">
        <f>D1125-Q1125</f>
        <v/>
      </c>
      <c r="AH1125">
        <f>AG1125^2</f>
        <v/>
      </c>
      <c r="AI1125">
        <f>(AG1125/STDEV($AG$3:$AG$1137))^3</f>
        <v/>
      </c>
      <c r="AJ1125">
        <f>(AG1125/STDEV($AG$3:$AG$1137))^4</f>
        <v/>
      </c>
      <c r="AK1125">
        <f>AF1125^2</f>
        <v/>
      </c>
      <c r="AL1125">
        <f>IF(AD1125=1,AB1125,IF(AL1124&lt;&gt;"",AL1124,""))</f>
        <v/>
      </c>
      <c r="AM1125">
        <f>IF(AND(AD1125=1,AL1124&lt;&gt;""),ABS(AB1125-AL1124),"")</f>
        <v/>
      </c>
    </row>
    <row r="1126">
      <c r="A1126" t="n">
        <v>1777923902</v>
      </c>
      <c r="B1126" t="inlineStr">
        <is>
          <t>XAUUSD</t>
        </is>
      </c>
      <c r="C1126" t="inlineStr">
        <is>
          <t>M15</t>
        </is>
      </c>
      <c r="D1126" t="n">
        <v>4517.46</v>
      </c>
      <c r="E1126" t="n">
        <v>4518.59282</v>
      </c>
      <c r="F1126" t="n">
        <v>4596.05595</v>
      </c>
      <c r="G1126" t="n">
        <v>4755.40355</v>
      </c>
      <c r="H1126" t="n">
        <v>4792.76972</v>
      </c>
      <c r="Q1126" t="n">
        <v>4516.85074</v>
      </c>
      <c r="R1126" t="n">
        <v>4546.21403</v>
      </c>
      <c r="S1126" t="n">
        <v>4572.8028</v>
      </c>
      <c r="V1126" t="n">
        <v>4481.91096</v>
      </c>
      <c r="W1126" t="n">
        <v>4448.34597</v>
      </c>
      <c r="AB1126" t="n">
        <v>4517.16653</v>
      </c>
      <c r="AC1126" t="n">
        <v>4516.99258</v>
      </c>
      <c r="AD1126" t="n">
        <v>1</v>
      </c>
      <c r="AE1126">
        <f>AE1125+1</f>
        <v/>
      </c>
      <c r="AF1126">
        <f>AF1125+1</f>
        <v/>
      </c>
      <c r="AG1126">
        <f>D1126-Q1126</f>
        <v/>
      </c>
      <c r="AH1126">
        <f>AG1126^2</f>
        <v/>
      </c>
      <c r="AI1126">
        <f>(AG1126/STDEV($AG$3:$AG$1137))^3</f>
        <v/>
      </c>
      <c r="AJ1126">
        <f>(AG1126/STDEV($AG$3:$AG$1137))^4</f>
        <v/>
      </c>
      <c r="AK1126">
        <f>AF1126^2</f>
        <v/>
      </c>
      <c r="AL1126">
        <f>IF(AD1126=1,AB1126,IF(AL1125&lt;&gt;"",AL1125,""))</f>
        <v/>
      </c>
      <c r="AM1126">
        <f>IF(AND(AD1126=1,AL1125&lt;&gt;""),ABS(AB1126-AL1125),"")</f>
        <v/>
      </c>
    </row>
    <row r="1127">
      <c r="A1127" t="n">
        <v>1777924802</v>
      </c>
      <c r="B1127" t="inlineStr">
        <is>
          <t>XAUUSD</t>
        </is>
      </c>
      <c r="C1127" t="inlineStr">
        <is>
          <t>M15</t>
        </is>
      </c>
      <c r="D1127" t="n">
        <v>4514.74</v>
      </c>
      <c r="E1127" t="n">
        <v>4518.59282</v>
      </c>
      <c r="F1127" t="n">
        <v>4596.05595</v>
      </c>
      <c r="G1127" t="n">
        <v>4755.40355</v>
      </c>
      <c r="H1127" t="n">
        <v>4792.76972</v>
      </c>
      <c r="Q1127" t="n">
        <v>4516.58313</v>
      </c>
      <c r="R1127" t="n">
        <v>4545.94643</v>
      </c>
      <c r="S1127" t="n">
        <v>4572.5352</v>
      </c>
      <c r="V1127" t="n">
        <v>4481.64336</v>
      </c>
      <c r="W1127" t="n">
        <v>4448.07836</v>
      </c>
      <c r="AB1127" t="n">
        <v>4517.98711</v>
      </c>
      <c r="AC1127" t="n">
        <v>4517.48985</v>
      </c>
      <c r="AD1127" t="n">
        <v>0</v>
      </c>
      <c r="AE1127">
        <f>AE1126+1</f>
        <v/>
      </c>
      <c r="AF1127">
        <f>AF1126+1</f>
        <v/>
      </c>
      <c r="AG1127">
        <f>D1127-Q1127</f>
        <v/>
      </c>
      <c r="AH1127">
        <f>AG1127^2</f>
        <v/>
      </c>
      <c r="AI1127">
        <f>(AG1127/STDEV($AG$3:$AG$1137))^3</f>
        <v/>
      </c>
      <c r="AJ1127">
        <f>(AG1127/STDEV($AG$3:$AG$1137))^4</f>
        <v/>
      </c>
      <c r="AK1127">
        <f>AF1127^2</f>
        <v/>
      </c>
      <c r="AL1127">
        <f>IF(AD1127=1,AB1127,IF(AL1126&lt;&gt;"",AL1126,""))</f>
        <v/>
      </c>
      <c r="AM1127">
        <f>IF(AND(AD1127=1,AL1126&lt;&gt;""),ABS(AB1127-AL1126),"")</f>
        <v/>
      </c>
    </row>
    <row r="1128">
      <c r="A1128" t="n">
        <v>1777925702</v>
      </c>
      <c r="B1128" t="inlineStr">
        <is>
          <t>XAUUSD</t>
        </is>
      </c>
      <c r="C1128" t="inlineStr">
        <is>
          <t>M15</t>
        </is>
      </c>
      <c r="D1128" t="n">
        <v>4515.21</v>
      </c>
      <c r="E1128" t="n">
        <v>4518.59282</v>
      </c>
      <c r="F1128" t="n">
        <v>4596.05595</v>
      </c>
      <c r="G1128" t="n">
        <v>4755.40355</v>
      </c>
      <c r="H1128" t="n">
        <v>4792.76972</v>
      </c>
      <c r="Q1128" t="n">
        <v>4516.31553</v>
      </c>
      <c r="R1128" t="n">
        <v>4545.67883</v>
      </c>
      <c r="S1128" t="n">
        <v>4572.2676</v>
      </c>
      <c r="V1128" t="n">
        <v>4481.37576</v>
      </c>
      <c r="W1128" t="n">
        <v>4447.81076</v>
      </c>
      <c r="AB1128" t="n">
        <v>4518.96045</v>
      </c>
      <c r="AC1128" t="n">
        <v>4518.22515</v>
      </c>
      <c r="AD1128" t="n">
        <v>0</v>
      </c>
      <c r="AE1128">
        <f>AE1127+1</f>
        <v/>
      </c>
      <c r="AF1128">
        <f>AF1127+1</f>
        <v/>
      </c>
      <c r="AG1128">
        <f>D1128-Q1128</f>
        <v/>
      </c>
      <c r="AH1128">
        <f>AG1128^2</f>
        <v/>
      </c>
      <c r="AI1128">
        <f>(AG1128/STDEV($AG$3:$AG$1137))^3</f>
        <v/>
      </c>
      <c r="AJ1128">
        <f>(AG1128/STDEV($AG$3:$AG$1137))^4</f>
        <v/>
      </c>
      <c r="AK1128">
        <f>AF1128^2</f>
        <v/>
      </c>
      <c r="AL1128">
        <f>IF(AD1128=1,AB1128,IF(AL1127&lt;&gt;"",AL1127,""))</f>
        <v/>
      </c>
      <c r="AM1128">
        <f>IF(AND(AD1128=1,AL1127&lt;&gt;""),ABS(AB1128-AL1127),"")</f>
        <v/>
      </c>
    </row>
    <row r="1129">
      <c r="A1129" t="n">
        <v>1777926602</v>
      </c>
      <c r="B1129" t="inlineStr">
        <is>
          <t>XAUUSD</t>
        </is>
      </c>
      <c r="C1129" t="inlineStr">
        <is>
          <t>M15</t>
        </is>
      </c>
      <c r="D1129" t="n">
        <v>4518.75</v>
      </c>
      <c r="E1129" t="n">
        <v>4518.59282</v>
      </c>
      <c r="F1129" t="n">
        <v>4596.05595</v>
      </c>
      <c r="G1129" t="n">
        <v>4755.40355</v>
      </c>
      <c r="H1129" t="n">
        <v>4792.76972</v>
      </c>
      <c r="Q1129" t="n">
        <v>4516.04792</v>
      </c>
      <c r="R1129" t="n">
        <v>4545.41122</v>
      </c>
      <c r="S1129" t="n">
        <v>4571.99999</v>
      </c>
      <c r="V1129" t="n">
        <v>4481.10815</v>
      </c>
      <c r="W1129" t="n">
        <v>4447.54316</v>
      </c>
      <c r="AB1129" t="n">
        <v>4519.86715</v>
      </c>
      <c r="AC1129" t="n">
        <v>4519.04615</v>
      </c>
      <c r="AD1129" t="n">
        <v>0</v>
      </c>
      <c r="AE1129">
        <f>AE1128+1</f>
        <v/>
      </c>
      <c r="AF1129">
        <f>AF1128+1</f>
        <v/>
      </c>
      <c r="AG1129">
        <f>D1129-Q1129</f>
        <v/>
      </c>
      <c r="AH1129">
        <f>AG1129^2</f>
        <v/>
      </c>
      <c r="AI1129">
        <f>(AG1129/STDEV($AG$3:$AG$1137))^3</f>
        <v/>
      </c>
      <c r="AJ1129">
        <f>(AG1129/STDEV($AG$3:$AG$1137))^4</f>
        <v/>
      </c>
      <c r="AK1129">
        <f>AF1129^2</f>
        <v/>
      </c>
      <c r="AL1129">
        <f>IF(AD1129=1,AB1129,IF(AL1128&lt;&gt;"",AL1128,""))</f>
        <v/>
      </c>
      <c r="AM1129">
        <f>IF(AND(AD1129=1,AL1128&lt;&gt;""),ABS(AB1129-AL1128),"")</f>
        <v/>
      </c>
    </row>
    <row r="1130">
      <c r="A1130" t="n">
        <v>1777927502</v>
      </c>
      <c r="B1130" t="inlineStr">
        <is>
          <t>XAUUSD</t>
        </is>
      </c>
      <c r="C1130" t="inlineStr">
        <is>
          <t>M15</t>
        </is>
      </c>
      <c r="D1130" t="n">
        <v>4523.84</v>
      </c>
      <c r="E1130" t="n">
        <v>4518.59282</v>
      </c>
      <c r="F1130" t="n">
        <v>4596.05595</v>
      </c>
      <c r="G1130" t="n">
        <v>4755.40355</v>
      </c>
      <c r="H1130" t="n">
        <v>4792.76972</v>
      </c>
      <c r="Q1130" t="n">
        <v>4515.78032</v>
      </c>
      <c r="R1130" t="n">
        <v>4545.14362</v>
      </c>
      <c r="S1130" t="n">
        <v>4571.73239</v>
      </c>
      <c r="V1130" t="n">
        <v>4480.84055</v>
      </c>
      <c r="W1130" t="n">
        <v>4447.27555</v>
      </c>
      <c r="AB1130" t="n">
        <v>4520.45224</v>
      </c>
      <c r="AC1130" t="n">
        <v>4519.74919</v>
      </c>
      <c r="AD1130" t="n">
        <v>0</v>
      </c>
      <c r="AE1130">
        <f>AE1129+1</f>
        <v/>
      </c>
      <c r="AF1130">
        <f>AF1129+1</f>
        <v/>
      </c>
      <c r="AG1130">
        <f>D1130-Q1130</f>
        <v/>
      </c>
      <c r="AH1130">
        <f>AG1130^2</f>
        <v/>
      </c>
      <c r="AI1130">
        <f>(AG1130/STDEV($AG$3:$AG$1137))^3</f>
        <v/>
      </c>
      <c r="AJ1130">
        <f>(AG1130/STDEV($AG$3:$AG$1137))^4</f>
        <v/>
      </c>
      <c r="AK1130">
        <f>AF1130^2</f>
        <v/>
      </c>
      <c r="AL1130">
        <f>IF(AD1130=1,AB1130,IF(AL1129&lt;&gt;"",AL1129,""))</f>
        <v/>
      </c>
      <c r="AM1130">
        <f>IF(AND(AD1130=1,AL1129&lt;&gt;""),ABS(AB1130-AL1129),"")</f>
        <v/>
      </c>
    </row>
    <row r="1131">
      <c r="A1131" t="n">
        <v>1777932002</v>
      </c>
      <c r="B1131" t="inlineStr">
        <is>
          <t>XAUUSD</t>
        </is>
      </c>
      <c r="C1131" t="inlineStr">
        <is>
          <t>M15</t>
        </is>
      </c>
      <c r="D1131" t="n">
        <v>4521.1</v>
      </c>
      <c r="E1131" t="n">
        <v>4518.59282</v>
      </c>
      <c r="F1131" t="n">
        <v>4596.05595</v>
      </c>
      <c r="G1131" t="n">
        <v>4755.40355</v>
      </c>
      <c r="H1131" t="n">
        <v>4792.76972</v>
      </c>
      <c r="Q1131" t="n">
        <v>4515.51271</v>
      </c>
      <c r="R1131" t="n">
        <v>4544.87601</v>
      </c>
      <c r="S1131" t="n">
        <v>4571.46478</v>
      </c>
      <c r="V1131" t="n">
        <v>4480.57294</v>
      </c>
      <c r="W1131" t="n">
        <v>4447.00795</v>
      </c>
      <c r="AB1131" t="n">
        <v>4520.53403</v>
      </c>
      <c r="AC1131" t="n">
        <v>4520.14161</v>
      </c>
      <c r="AD1131" t="n">
        <v>0</v>
      </c>
      <c r="AE1131">
        <f>AE1130+1</f>
        <v/>
      </c>
      <c r="AF1131">
        <f>AF1130+1</f>
        <v/>
      </c>
      <c r="AG1131">
        <f>D1131-Q1131</f>
        <v/>
      </c>
      <c r="AH1131">
        <f>AG1131^2</f>
        <v/>
      </c>
      <c r="AI1131">
        <f>(AG1131/STDEV($AG$3:$AG$1137))^3</f>
        <v/>
      </c>
      <c r="AJ1131">
        <f>(AG1131/STDEV($AG$3:$AG$1137))^4</f>
        <v/>
      </c>
      <c r="AK1131">
        <f>AF1131^2</f>
        <v/>
      </c>
      <c r="AL1131">
        <f>IF(AD1131=1,AB1131,IF(AL1130&lt;&gt;"",AL1130,""))</f>
        <v/>
      </c>
      <c r="AM1131">
        <f>IF(AND(AD1131=1,AL1130&lt;&gt;""),ABS(AB1131-AL1130),"")</f>
        <v/>
      </c>
    </row>
    <row r="1132">
      <c r="A1132" t="n">
        <v>1777932902</v>
      </c>
      <c r="B1132" t="inlineStr">
        <is>
          <t>XAUUSD</t>
        </is>
      </c>
      <c r="C1132" t="inlineStr">
        <is>
          <t>M15</t>
        </is>
      </c>
      <c r="D1132" t="n">
        <v>4519.66</v>
      </c>
      <c r="E1132" t="n">
        <v>4518.59282</v>
      </c>
      <c r="F1132" t="n">
        <v>4596.05595</v>
      </c>
      <c r="G1132" t="n">
        <v>4755.40355</v>
      </c>
      <c r="H1132" t="n">
        <v>4792.76972</v>
      </c>
      <c r="Q1132" t="n">
        <v>4515.24511</v>
      </c>
      <c r="R1132" t="n">
        <v>4544.60841</v>
      </c>
      <c r="S1132" t="n">
        <v>4571.19718</v>
      </c>
      <c r="V1132" t="n">
        <v>4480.30534</v>
      </c>
      <c r="W1132" t="n">
        <v>4446.74034</v>
      </c>
      <c r="AB1132" t="n">
        <v>4520.23738</v>
      </c>
      <c r="AC1132" t="n">
        <v>4520.1895</v>
      </c>
      <c r="AD1132" t="n">
        <v>0</v>
      </c>
      <c r="AE1132">
        <f>AE1131+1</f>
        <v/>
      </c>
      <c r="AF1132">
        <f>AF1131+1</f>
        <v/>
      </c>
      <c r="AG1132">
        <f>D1132-Q1132</f>
        <v/>
      </c>
      <c r="AH1132">
        <f>AG1132^2</f>
        <v/>
      </c>
      <c r="AI1132">
        <f>(AG1132/STDEV($AG$3:$AG$1137))^3</f>
        <v/>
      </c>
      <c r="AJ1132">
        <f>(AG1132/STDEV($AG$3:$AG$1137))^4</f>
        <v/>
      </c>
      <c r="AK1132">
        <f>AF1132^2</f>
        <v/>
      </c>
      <c r="AL1132">
        <f>IF(AD1132=1,AB1132,IF(AL1131&lt;&gt;"",AL1131,""))</f>
        <v/>
      </c>
      <c r="AM1132">
        <f>IF(AND(AD1132=1,AL1131&lt;&gt;""),ABS(AB1132-AL1131),"")</f>
        <v/>
      </c>
    </row>
    <row r="1133">
      <c r="A1133" t="n">
        <v>1777933802</v>
      </c>
      <c r="B1133" t="inlineStr">
        <is>
          <t>XAUUSD</t>
        </is>
      </c>
      <c r="C1133" t="inlineStr">
        <is>
          <t>M15</t>
        </is>
      </c>
      <c r="D1133" t="n">
        <v>4519.02</v>
      </c>
      <c r="E1133" t="n">
        <v>4518.59282</v>
      </c>
      <c r="F1133" t="n">
        <v>4596.05595</v>
      </c>
      <c r="G1133" t="n">
        <v>4755.40355</v>
      </c>
      <c r="H1133" t="n">
        <v>4792.76972</v>
      </c>
      <c r="Q1133" t="n">
        <v>4514.97751</v>
      </c>
      <c r="R1133" t="n">
        <v>4544.34081</v>
      </c>
      <c r="S1133" t="n">
        <v>4570.92958</v>
      </c>
      <c r="V1133" t="n">
        <v>4480.03774</v>
      </c>
      <c r="W1133" t="n">
        <v>4446.47274</v>
      </c>
      <c r="AB1133" t="n">
        <v>4519.7573</v>
      </c>
      <c r="AC1133" t="n">
        <v>4519.9734</v>
      </c>
      <c r="AD1133" t="n">
        <v>1</v>
      </c>
      <c r="AE1133">
        <f>AE1132+1</f>
        <v/>
      </c>
      <c r="AF1133">
        <f>AF1132+1</f>
        <v/>
      </c>
      <c r="AG1133">
        <f>D1133-Q1133</f>
        <v/>
      </c>
      <c r="AH1133">
        <f>AG1133^2</f>
        <v/>
      </c>
      <c r="AI1133">
        <f>(AG1133/STDEV($AG$3:$AG$1137))^3</f>
        <v/>
      </c>
      <c r="AJ1133">
        <f>(AG1133/STDEV($AG$3:$AG$1137))^4</f>
        <v/>
      </c>
      <c r="AK1133">
        <f>AF1133^2</f>
        <v/>
      </c>
      <c r="AL1133">
        <f>IF(AD1133=1,AB1133,IF(AL1132&lt;&gt;"",AL1132,""))</f>
        <v/>
      </c>
      <c r="AM1133">
        <f>IF(AND(AD1133=1,AL1132&lt;&gt;""),ABS(AB1133-AL1132),"")</f>
        <v/>
      </c>
    </row>
    <row r="1134">
      <c r="A1134" t="n">
        <v>1777934702</v>
      </c>
      <c r="B1134" t="inlineStr">
        <is>
          <t>XAUUSD</t>
        </is>
      </c>
      <c r="C1134" t="inlineStr">
        <is>
          <t>M15</t>
        </is>
      </c>
      <c r="D1134" t="n">
        <v>4517.52</v>
      </c>
      <c r="E1134" t="n">
        <v>4518.59282</v>
      </c>
      <c r="F1134" t="n">
        <v>4596.05595</v>
      </c>
      <c r="G1134" t="n">
        <v>4755.40355</v>
      </c>
      <c r="H1134" t="n">
        <v>4792.76972</v>
      </c>
      <c r="Q1134" t="n">
        <v>4514.7099</v>
      </c>
      <c r="R1134" t="n">
        <v>4544.0732</v>
      </c>
      <c r="S1134" t="n">
        <v>4570.66197</v>
      </c>
      <c r="V1134" t="n">
        <v>4479.77013</v>
      </c>
      <c r="W1134" t="n">
        <v>4446.20514</v>
      </c>
      <c r="AB1134" t="n">
        <v>4519.30251</v>
      </c>
      <c r="AC1134" t="n">
        <v>4519.63796</v>
      </c>
      <c r="AD1134" t="n">
        <v>0</v>
      </c>
      <c r="AE1134">
        <f>AE1133+1</f>
        <v/>
      </c>
      <c r="AF1134">
        <f>AF1133+1</f>
        <v/>
      </c>
      <c r="AG1134">
        <f>D1134-Q1134</f>
        <v/>
      </c>
      <c r="AH1134">
        <f>AG1134^2</f>
        <v/>
      </c>
      <c r="AI1134">
        <f>(AG1134/STDEV($AG$3:$AG$1137))^3</f>
        <v/>
      </c>
      <c r="AJ1134">
        <f>(AG1134/STDEV($AG$3:$AG$1137))^4</f>
        <v/>
      </c>
      <c r="AK1134">
        <f>AF1134^2</f>
        <v/>
      </c>
      <c r="AL1134">
        <f>IF(AD1134=1,AB1134,IF(AL1133&lt;&gt;"",AL1133,""))</f>
        <v/>
      </c>
      <c r="AM1134">
        <f>IF(AND(AD1134=1,AL1133&lt;&gt;""),ABS(AB1134-AL1133),"")</f>
        <v/>
      </c>
    </row>
    <row r="1135">
      <c r="A1135" t="n">
        <v>1777935602</v>
      </c>
      <c r="B1135" t="inlineStr">
        <is>
          <t>XAUUSD</t>
        </is>
      </c>
      <c r="C1135" t="inlineStr">
        <is>
          <t>M15</t>
        </is>
      </c>
      <c r="D1135" t="n">
        <v>4520.44</v>
      </c>
      <c r="E1135" t="n">
        <v>4518.59282</v>
      </c>
      <c r="F1135" t="n">
        <v>4596.05595</v>
      </c>
      <c r="G1135" t="n">
        <v>4755.40355</v>
      </c>
      <c r="H1135" t="n">
        <v>4792.76972</v>
      </c>
      <c r="Q1135" t="n">
        <v>4514.4423</v>
      </c>
      <c r="R1135" t="n">
        <v>4543.8056</v>
      </c>
      <c r="S1135" t="n">
        <v>4570.39437</v>
      </c>
      <c r="V1135" t="n">
        <v>4479.50253</v>
      </c>
      <c r="W1135" t="n">
        <v>4445.93753</v>
      </c>
      <c r="AB1135" t="n">
        <v>4519.06874</v>
      </c>
      <c r="AC1135" t="n">
        <v>4519.35335</v>
      </c>
      <c r="AD1135" t="n">
        <v>0</v>
      </c>
      <c r="AE1135">
        <f>AE1134+1</f>
        <v/>
      </c>
      <c r="AF1135">
        <f>AF1134+1</f>
        <v/>
      </c>
      <c r="AG1135">
        <f>D1135-Q1135</f>
        <v/>
      </c>
      <c r="AH1135">
        <f>AG1135^2</f>
        <v/>
      </c>
      <c r="AI1135">
        <f>(AG1135/STDEV($AG$3:$AG$1137))^3</f>
        <v/>
      </c>
      <c r="AJ1135">
        <f>(AG1135/STDEV($AG$3:$AG$1137))^4</f>
        <v/>
      </c>
      <c r="AK1135">
        <f>AF1135^2</f>
        <v/>
      </c>
      <c r="AL1135">
        <f>IF(AD1135=1,AB1135,IF(AL1134&lt;&gt;"",AL1134,""))</f>
        <v/>
      </c>
      <c r="AM1135">
        <f>IF(AND(AD1135=1,AL1134&lt;&gt;""),ABS(AB1135-AL1134),"")</f>
        <v/>
      </c>
    </row>
    <row r="1136">
      <c r="A1136" t="n">
        <v>1777936502</v>
      </c>
      <c r="B1136" t="inlineStr">
        <is>
          <t>XAUUSD</t>
        </is>
      </c>
      <c r="C1136" t="inlineStr">
        <is>
          <t>M15</t>
        </is>
      </c>
      <c r="D1136" t="n">
        <v>4521.13</v>
      </c>
      <c r="E1136" t="n">
        <v>4518.59282</v>
      </c>
      <c r="F1136" t="n">
        <v>4596.05595</v>
      </c>
      <c r="G1136" t="n">
        <v>4755.40355</v>
      </c>
      <c r="H1136" t="n">
        <v>4792.76972</v>
      </c>
      <c r="Q1136" t="n">
        <v>4514.17469</v>
      </c>
      <c r="R1136" t="n">
        <v>4543.53799</v>
      </c>
      <c r="S1136" t="n">
        <v>4570.12676</v>
      </c>
      <c r="V1136" t="n">
        <v>4479.23492</v>
      </c>
      <c r="W1136" t="n">
        <v>4445.66993</v>
      </c>
      <c r="AB1136" t="n">
        <v>4519.0811</v>
      </c>
      <c r="AC1136" t="n">
        <v>4519.21723</v>
      </c>
      <c r="AD1136" t="n">
        <v>0</v>
      </c>
      <c r="AE1136">
        <f>AE1135+1</f>
        <v/>
      </c>
      <c r="AF1136">
        <f>AF1135+1</f>
        <v/>
      </c>
      <c r="AG1136">
        <f>D1136-Q1136</f>
        <v/>
      </c>
      <c r="AH1136">
        <f>AG1136^2</f>
        <v/>
      </c>
      <c r="AI1136">
        <f>(AG1136/STDEV($AG$3:$AG$1137))^3</f>
        <v/>
      </c>
      <c r="AJ1136">
        <f>(AG1136/STDEV($AG$3:$AG$1137))^4</f>
        <v/>
      </c>
      <c r="AK1136">
        <f>AF1136^2</f>
        <v/>
      </c>
      <c r="AL1136">
        <f>IF(AD1136=1,AB1136,IF(AL1135&lt;&gt;"",AL1135,""))</f>
        <v/>
      </c>
      <c r="AM1136">
        <f>IF(AND(AD1136=1,AL1135&lt;&gt;""),ABS(AB1136-AL1135),"")</f>
        <v/>
      </c>
    </row>
    <row r="1137">
      <c r="A1137" t="n">
        <v>1777937402</v>
      </c>
      <c r="B1137" t="inlineStr">
        <is>
          <t>XAUUSD</t>
        </is>
      </c>
      <c r="C1137" t="inlineStr">
        <is>
          <t>M15</t>
        </is>
      </c>
      <c r="D1137" t="n">
        <v>4518.52</v>
      </c>
      <c r="E1137" t="n">
        <v>4518.59282</v>
      </c>
      <c r="F1137" t="n">
        <v>4596.05595</v>
      </c>
      <c r="G1137" t="n">
        <v>4755.40355</v>
      </c>
      <c r="H1137" t="n">
        <v>4792.76972</v>
      </c>
      <c r="Q1137" t="n">
        <v>4513.90709</v>
      </c>
      <c r="R1137" t="n">
        <v>4543.27039</v>
      </c>
      <c r="S1137" t="n">
        <v>4569.85916</v>
      </c>
      <c r="V1137" t="n">
        <v>4478.96732</v>
      </c>
      <c r="W1137" t="n">
        <v>4445.40232</v>
      </c>
      <c r="AB1137" t="n">
        <v>4519.44966</v>
      </c>
      <c r="AC1137" t="n">
        <v>4519.33344</v>
      </c>
      <c r="AD1137" t="n">
        <v>1</v>
      </c>
      <c r="AE1137">
        <f>AE1136+1</f>
        <v/>
      </c>
      <c r="AF1137">
        <f>AF1136+1</f>
        <v/>
      </c>
      <c r="AG1137">
        <f>D1137-Q1137</f>
        <v/>
      </c>
      <c r="AH1137">
        <f>AG1137^2</f>
        <v/>
      </c>
      <c r="AI1137">
        <f>(AG1137/STDEV($AG$3:$AG$1137))^3</f>
        <v/>
      </c>
      <c r="AJ1137">
        <f>(AG1137/STDEV($AG$3:$AG$1137))^4</f>
        <v/>
      </c>
      <c r="AK1137">
        <f>AF1137^2</f>
        <v/>
      </c>
      <c r="AL1137">
        <f>IF(AD1137=1,AB1137,IF(AL1136&lt;&gt;"",AL1136,""))</f>
        <v/>
      </c>
      <c r="AM1137">
        <f>IF(AND(AD1137=1,AL1136&lt;&gt;""),ABS(AB1137-AL1136),"")</f>
        <v/>
      </c>
    </row>
  </sheetData>
  <mergeCells count="2">
    <mergeCell ref="AE1:AK1"/>
    <mergeCell ref="A1:AD1"/>
  </mergeCells>
  <pageMargins left="0.7" right="0.7" top="0.75" bottom="0.75" header="0.3" footer="0.3"/>
  <pageSetup orientation="portrait" horizontalDpi="200" verticalDpi="200"/>
</worksheet>
</file>

<file path=xl/worksheets/sheet4.xml><?xml version="1.0" encoding="utf-8"?>
<worksheet xmlns="http://schemas.openxmlformats.org/spreadsheetml/2006/main">
  <sheetPr>
    <outlinePr summaryBelow="1" summaryRight="1"/>
    <pageSetUpPr/>
  </sheetPr>
  <dimension ref="A1:F61"/>
  <sheetViews>
    <sheetView workbookViewId="0">
      <selection activeCell="B9" sqref="B9"/>
    </sheetView>
  </sheetViews>
  <sheetFormatPr baseColWidth="8" defaultRowHeight="14.4"/>
  <cols>
    <col width="52" customWidth="1" style="103" min="1" max="1"/>
    <col width="16" customWidth="1" style="103" min="2" max="3"/>
    <col width="14" customWidth="1" style="103" min="4" max="4"/>
    <col width="13" customWidth="1" style="103" min="5" max="5"/>
    <col width="12" customWidth="1" style="103" min="6" max="6"/>
  </cols>
  <sheetData>
    <row r="1" ht="20.05" customHeight="1" s="103">
      <c r="A1" s="109" t="inlineStr">
        <is>
          <t>MACD Hybrid v2 (8-Dim) — MACD_H2_Int1</t>
        </is>
      </c>
    </row>
    <row r="2">
      <c r="A2" s="107" t="inlineStr">
        <is>
          <t>SLOW Window: Bars 136–1135  (n=1000, anchored from bar 136)</t>
        </is>
      </c>
    </row>
    <row r="3">
      <c r="A3" s="114" t="inlineStr">
        <is>
          <t>FAST Window: Bars 386–635  (n=250, sliding)</t>
        </is>
      </c>
    </row>
    <row r="4" ht="32.05" customHeight="1" s="103">
      <c r="A4" s="112" t="inlineStr">
        <is>
          <t>8-Dim model. REI two-sided (below + above) with symmetric anchor = (|EDT_outermost_below| + EDT_outermost_above) / 2 — robust to Base_FL asymmetry. SCD = SSA crossing-to-crossing distance (position-agnostic). Col E = editable threshold. Col F = ALERT when threshold crossed.</t>
        </is>
      </c>
    </row>
    <row r="5">
      <c r="A5" s="6" t="n"/>
      <c r="B5" s="6" t="n"/>
      <c r="C5" s="6" t="n"/>
      <c r="D5" s="6" t="n"/>
      <c r="E5" s="6" t="n"/>
      <c r="F5" s="6" t="n"/>
    </row>
    <row r="6">
      <c r="A6" s="7" t="inlineStr">
        <is>
          <t>Metric</t>
        </is>
      </c>
      <c r="B6" s="108" t="inlineStr">
        <is>
          <t>SLOW</t>
        </is>
      </c>
      <c r="C6" s="108" t="inlineStr">
        <is>
          <t>FAST</t>
        </is>
      </c>
      <c r="D6" s="108" t="inlineStr">
        <is>
          <t>Score</t>
        </is>
      </c>
      <c r="E6" s="108" t="inlineStr">
        <is>
          <t>Threshold</t>
        </is>
      </c>
      <c r="F6" s="108" t="inlineStr">
        <is>
          <t>Alert</t>
        </is>
      </c>
    </row>
    <row r="7">
      <c r="A7" s="115" t="inlineStr">
        <is>
          <t>── Structural &amp; Mean-Reversion Metrics ──</t>
        </is>
      </c>
    </row>
    <row r="8">
      <c r="A8" s="10" t="inlineStr">
        <is>
          <t>n (observations)</t>
        </is>
      </c>
      <c r="B8" s="11">
        <f>COUNT('Data Export2 Refine'!AF138:AF1137)</f>
        <v/>
      </c>
      <c r="C8" s="11">
        <f>COUNT('Data Export2 Refine'!AF388:AF637)</f>
        <v/>
      </c>
    </row>
    <row r="9">
      <c r="A9" s="10" t="inlineStr">
        <is>
          <t>Variance  E[eᵢ²]</t>
        </is>
      </c>
      <c r="B9" s="12">
        <f>AVERAGE('Data Export2 Refine'!AH138:AH1137)</f>
        <v/>
      </c>
      <c r="C9" s="12">
        <f>AVERAGE('Data Export2 Refine'!AH388:AH637)</f>
        <v/>
      </c>
    </row>
    <row r="10">
      <c r="A10" s="10" t="inlineStr">
        <is>
          <t>σ_rms  (RMS of residuals)</t>
        </is>
      </c>
      <c r="B10" s="12">
        <f>SQRT(AVERAGE('Data Export2 Refine'!AH138:AH1137))</f>
        <v/>
      </c>
      <c r="C10" s="12">
        <f>SQRT(AVERAGE('Data Export2 Refine'!AH388:AH637))</f>
        <v/>
      </c>
    </row>
    <row r="11">
      <c r="A11" s="10" t="inlineStr">
        <is>
          <t>HL Alpha  (AR1 no-const)</t>
        </is>
      </c>
      <c r="B11" s="12">
        <f>SUMPRODUCT(('Data Export2 Refine'!AG139:AG1137-'Data Export2 Refine'!AG138:AG1136),'Data Export2 Refine'!AG138:AG1136)/SUMPRODUCT('Data Export2 Refine'!AG138:AG1136,'Data Export2 Refine'!AG138:AG1136)</f>
        <v/>
      </c>
      <c r="C11" s="12">
        <f>SUMPRODUCT(('Data Export2 Refine'!AG389:AG637-'Data Export2 Refine'!AG388:AG636),'Data Export2 Refine'!AG388:AG636)/SUMPRODUCT('Data Export2 Refine'!AG388:AG636,'Data Export2 Refine'!AG388:AG636)</f>
        <v/>
      </c>
    </row>
    <row r="12">
      <c r="A12" s="10" t="inlineStr">
        <is>
          <t>Half-Life (bars)</t>
        </is>
      </c>
      <c r="B12" s="13">
        <f>IF(B11&gt;=0,9999,-LN(2)/LN(1+B11))</f>
        <v/>
      </c>
      <c r="C12" s="13">
        <f>IF(C11&gt;=0,9999,-LN(2)/LN(1+C11))</f>
        <v/>
      </c>
    </row>
    <row r="13">
      <c r="A13" s="10" t="inlineStr">
        <is>
          <t>R²(close ~ BarIdx)  — linear trend quality</t>
        </is>
      </c>
      <c r="B13" s="12">
        <f>RSQ('Data Export2 Refine'!D138:D1137,'Data Export2 Refine'!AF138:AF1137)</f>
        <v/>
      </c>
      <c r="C13" s="12">
        <f>RSQ('Data Export2 Refine'!D388:D637,'Data Export2 Refine'!AF388:AF637)</f>
        <v/>
      </c>
    </row>
    <row r="14">
      <c r="A14" s="6" t="n"/>
      <c r="B14" s="6" t="n"/>
      <c r="C14" s="6" t="n"/>
      <c r="D14" s="6" t="n"/>
      <c r="E14" s="6" t="n"/>
      <c r="F14" s="6" t="n"/>
    </row>
    <row r="15">
      <c r="A15" s="115" t="inlineStr">
        <is>
          <t>── Jarque-Bera Normality Test  (on eᵢ) ──</t>
        </is>
      </c>
    </row>
    <row r="16">
      <c r="A16" s="10" t="inlineStr">
        <is>
          <t>Significance level α</t>
        </is>
      </c>
      <c r="B16" s="13">
        <f>0.05</f>
        <v/>
      </c>
      <c r="C16" s="13">
        <f>0.05</f>
        <v/>
      </c>
    </row>
    <row r="17">
      <c r="A17" s="10" t="inlineStr">
        <is>
          <t>Skewness  S  (SKEW)</t>
        </is>
      </c>
      <c r="B17" s="12">
        <f>SKEW('Data Export2 Refine'!AG138:AG1137)</f>
        <v/>
      </c>
      <c r="C17" s="12">
        <f>SKEW('Data Export2 Refine'!AG388:AG637)</f>
        <v/>
      </c>
    </row>
    <row r="18">
      <c r="A18" s="10" t="inlineStr">
        <is>
          <t>Excess Kurtosis  K-3  (KURT)</t>
        </is>
      </c>
      <c r="B18" s="12">
        <f>KURT('Data Export2 Refine'!AG138:AG1137)</f>
        <v/>
      </c>
      <c r="C18" s="12">
        <f>KURT('Data Export2 Refine'!AG388:AG637)</f>
        <v/>
      </c>
    </row>
    <row r="19">
      <c r="A19" s="10" t="inlineStr">
        <is>
          <t>JB Statistic  = n/6·(S²+(K-3)²/4)</t>
        </is>
      </c>
      <c r="B19" s="12">
        <f>B8/6*(B17^2+B18^2/4)</f>
        <v/>
      </c>
      <c r="C19" s="12">
        <f>C8/6*(C17^2+C18^2/4)</f>
        <v/>
      </c>
    </row>
    <row r="20">
      <c r="A20" s="10" t="inlineStr">
        <is>
          <t>p-value  (CHIDIST, df=2)</t>
        </is>
      </c>
      <c r="B20" s="12">
        <f>CHIDIST(B19,2)</f>
        <v/>
      </c>
      <c r="C20" s="12">
        <f>CHIDIST(C19,2)</f>
        <v/>
      </c>
    </row>
    <row r="21">
      <c r="A21" s="10" t="inlineStr">
        <is>
          <t>Critical value  χ²(α,2)  (CHIINV)</t>
        </is>
      </c>
      <c r="B21" s="12">
        <f>CHIINV(B16,2)</f>
        <v/>
      </c>
      <c r="C21" s="12">
        <f>CHIINV(C16,2)</f>
        <v/>
      </c>
    </row>
    <row r="22">
      <c r="A22" s="14" t="inlineStr">
        <is>
          <t>JB Decision (Slow)</t>
        </is>
      </c>
      <c r="B22" s="15">
        <f>IF(B19&gt;B21,"REJECT H₀","FAIL TO REJECT")</f>
        <v/>
      </c>
    </row>
    <row r="23">
      <c r="A23" s="14" t="inlineStr">
        <is>
          <t>JB Decision (Fast)</t>
        </is>
      </c>
      <c r="C23" s="15">
        <f>IF(C19&gt;C21,"REJECT H₀","FAIL TO REJECT")</f>
        <v/>
      </c>
    </row>
    <row r="24">
      <c r="A24" s="6" t="n"/>
      <c r="B24" s="6" t="n"/>
      <c r="C24" s="6" t="n"/>
      <c r="D24" s="6" t="n"/>
      <c r="E24" s="6" t="n"/>
      <c r="F24" s="6" t="n"/>
    </row>
    <row r="25">
      <c r="A25" s="115" t="inlineStr">
        <is>
          <t>── White's Heteroscedasticity Test  (on eᵢ) ──</t>
        </is>
      </c>
    </row>
    <row r="26">
      <c r="A26" s="10" t="inlineStr">
        <is>
          <t>Significance level α</t>
        </is>
      </c>
      <c r="B26" s="13">
        <f>0.05</f>
        <v/>
      </c>
      <c r="C26" s="13">
        <f>0.05</f>
        <v/>
      </c>
    </row>
    <row r="27">
      <c r="A27" s="10" t="inlineStr">
        <is>
          <t>R²_aux  (eᵢ² ~ BarIdx + BarIdx²)</t>
        </is>
      </c>
      <c r="B27" s="12">
        <f>INDEX(LINEST('Data Export2 Refine'!AH138:AH1137,CHOOSE({1,2},'Data Export2 Refine'!AF138:AF1137,'Data Export2 Refine'!AK138:AK1137),TRUE,TRUE),3,1)</f>
        <v/>
      </c>
      <c r="C27" s="12">
        <f>INDEX(LINEST('Data Export2 Refine'!AH388:AH637,CHOOSE({1,2},'Data Export2 Refine'!AF388:AF637,'Data Export2 Refine'!AK388:AK637),TRUE,TRUE),3,1)</f>
        <v/>
      </c>
    </row>
    <row r="28">
      <c r="A28" s="10" t="inlineStr">
        <is>
          <t>LM = n × R²_aux</t>
        </is>
      </c>
      <c r="B28" s="12">
        <f>B8*B27</f>
        <v/>
      </c>
      <c r="C28" s="12">
        <f>C8*C27</f>
        <v/>
      </c>
    </row>
    <row r="29">
      <c r="A29" s="10" t="inlineStr">
        <is>
          <t>p-value  (CHIDIST, df=2)</t>
        </is>
      </c>
      <c r="B29" s="12">
        <f>CHIDIST(B28,2)</f>
        <v/>
      </c>
      <c r="C29" s="12">
        <f>CHIDIST(C28,2)</f>
        <v/>
      </c>
    </row>
    <row r="30">
      <c r="A30" s="10" t="inlineStr">
        <is>
          <t>Critical value  χ²(α,2)  (CHIINV)</t>
        </is>
      </c>
      <c r="B30" s="12">
        <f>CHIINV(B26,2)</f>
        <v/>
      </c>
      <c r="C30" s="12">
        <f>CHIINV(C26,2)</f>
        <v/>
      </c>
    </row>
    <row r="31">
      <c r="A31" s="10" t="inlineStr">
        <is>
          <t>log₁₀(p_White)</t>
        </is>
      </c>
      <c r="B31" s="12">
        <f>IF(B29=0,-300,LOG10(B29))</f>
        <v/>
      </c>
      <c r="C31" s="12">
        <f>IF(C29=0,-300,LOG10(C29))</f>
        <v/>
      </c>
    </row>
    <row r="32">
      <c r="A32" s="14" t="inlineStr">
        <is>
          <t>White's Decision (Slow)</t>
        </is>
      </c>
      <c r="B32" s="15">
        <f>IF(B28&gt;B30,"REJECT H₀","FAIL TO REJECT")</f>
        <v/>
      </c>
    </row>
    <row r="33">
      <c r="A33" s="14" t="inlineStr">
        <is>
          <t>White's Decision (Fast)</t>
        </is>
      </c>
      <c r="C33" s="15">
        <f>IF(C28&gt;C30,"REJECT H₀","FAIL TO REJECT")</f>
        <v/>
      </c>
    </row>
    <row r="34">
      <c r="A34" s="6" t="n"/>
      <c r="B34" s="6" t="n"/>
      <c r="C34" s="6" t="n"/>
      <c r="D34" s="6" t="n"/>
      <c r="E34" s="6" t="n"/>
      <c r="F34" s="6" t="n"/>
    </row>
    <row r="35">
      <c r="A35" s="111" t="inlineStr">
        <is>
          <t>── EDT Extremity  (REI — two-sided, Symmetric Anchor) ──</t>
        </is>
      </c>
    </row>
    <row r="36">
      <c r="A36" s="16" t="inlineStr">
        <is>
          <t>Outermost Below EDT offset  (EDT_8→EDT_7→EDT_6 fallback)  [negative]</t>
        </is>
      </c>
      <c r="B36" s="17">
        <f>IF(SUMPRODUCT(('Data Export2 Refine'!Y138:Y1137&lt;&gt;"")*1)&gt;0,SUMPRODUCT(('Data Export2 Refine'!Y138:Y1137&lt;&gt;"")*('Data Export2 Refine'!Y138:Y1137-'Data Export2 Refine'!Q138:Q1137))/SUMPRODUCT(('Data Export2 Refine'!Y138:Y1137&lt;&gt;"")*1),IF(SUMPRODUCT(('Data Export2 Refine'!X138:X1137&lt;&gt;"")*1)&gt;0,SUMPRODUCT(('Data Export2 Refine'!X138:X1137&lt;&gt;"")*('Data Export2 Refine'!X138:X1137-'Data Export2 Refine'!Q138:Q1137))/SUMPRODUCT(('Data Export2 Refine'!X138:X1137&lt;&gt;"")*1),SUMPRODUCT(('Data Export2 Refine'!W138:W1137&lt;&gt;"")*('Data Export2 Refine'!W138:W1137-'Data Export2 Refine'!Q138:Q1137))/SUMPRODUCT(('Data Export2 Refine'!W138:W1137&lt;&gt;"")*1)))</f>
        <v/>
      </c>
      <c r="C36" s="17">
        <f>IF(SUMPRODUCT(('Data Export2 Refine'!Y388:Y637&lt;&gt;"")*1)&gt;0,SUMPRODUCT(('Data Export2 Refine'!Y388:Y637&lt;&gt;"")*('Data Export2 Refine'!Y388:Y637-'Data Export2 Refine'!Q388:Q637))/SUMPRODUCT(('Data Export2 Refine'!Y388:Y637&lt;&gt;"")*1),IF(SUMPRODUCT(('Data Export2 Refine'!X388:X637&lt;&gt;"")*1)&gt;0,SUMPRODUCT(('Data Export2 Refine'!X388:X637&lt;&gt;"")*('Data Export2 Refine'!X388:X637-'Data Export2 Refine'!Q388:Q637))/SUMPRODUCT(('Data Export2 Refine'!X388:X637&lt;&gt;"")*1),SUMPRODUCT(('Data Export2 Refine'!W388:W637&lt;&gt;"")*('Data Export2 Refine'!W388:W637-'Data Export2 Refine'!Q388:Q637))/SUMPRODUCT(('Data Export2 Refine'!W388:W637&lt;&gt;"")*1)))</f>
        <v/>
      </c>
    </row>
    <row r="37">
      <c r="A37" s="16" t="inlineStr">
        <is>
          <t>Outermost Above EDT offset  (EDT_4→EDT_3→EDT_2→EDT_1 fallback)  [positive]</t>
        </is>
      </c>
      <c r="B37" s="17">
        <f>IF(SUMPRODUCT(('Data Export2 Refine'!U138:U1137&lt;&gt;"")*1)&gt;0,SUMPRODUCT(('Data Export2 Refine'!U138:U1137&lt;&gt;"")*('Data Export2 Refine'!U138:U1137-'Data Export2 Refine'!Q138:Q1137))/SUMPRODUCT(('Data Export2 Refine'!U138:U1137&lt;&gt;"")*1),IF(SUMPRODUCT(('Data Export2 Refine'!T138:T1137&lt;&gt;"")*1)&gt;0,SUMPRODUCT(('Data Export2 Refine'!T138:T1137&lt;&gt;"")*('Data Export2 Refine'!T138:T1137-'Data Export2 Refine'!Q138:Q1137))/SUMPRODUCT(('Data Export2 Refine'!T138:T1137&lt;&gt;"")*1),IF(SUMPRODUCT(('Data Export2 Refine'!S138:S1137&lt;&gt;"")*1)&gt;0,SUMPRODUCT(('Data Export2 Refine'!S138:S1137&lt;&gt;"")*('Data Export2 Refine'!S138:S1137-'Data Export2 Refine'!Q138:Q1137))/SUMPRODUCT(('Data Export2 Refine'!S138:S1137&lt;&gt;"")*1),SUMPRODUCT(('Data Export2 Refine'!R138:R1137&lt;&gt;"")*('Data Export2 Refine'!R138:R1137-'Data Export2 Refine'!Q138:Q1137))/SUMPRODUCT(('Data Export2 Refine'!R138:R1137&lt;&gt;"")*1))))</f>
        <v/>
      </c>
      <c r="C37" s="17">
        <f>IF(SUMPRODUCT(('Data Export2 Refine'!U388:U637&lt;&gt;"")*1)&gt;0,SUMPRODUCT(('Data Export2 Refine'!U388:U637&lt;&gt;"")*('Data Export2 Refine'!U388:U637-'Data Export2 Refine'!Q388:Q637))/SUMPRODUCT(('Data Export2 Refine'!U388:U637&lt;&gt;"")*1),IF(SUMPRODUCT(('Data Export2 Refine'!T388:T637&lt;&gt;"")*1)&gt;0,SUMPRODUCT(('Data Export2 Refine'!T388:T637&lt;&gt;"")*('Data Export2 Refine'!T388:T637-'Data Export2 Refine'!Q388:Q637))/SUMPRODUCT(('Data Export2 Refine'!T388:T637&lt;&gt;"")*1),IF(SUMPRODUCT(('Data Export2 Refine'!S388:S637&lt;&gt;"")*1)&gt;0,SUMPRODUCT(('Data Export2 Refine'!S388:S637&lt;&gt;"")*('Data Export2 Refine'!S388:S637-'Data Export2 Refine'!Q388:Q637))/SUMPRODUCT(('Data Export2 Refine'!S388:S637&lt;&gt;"")*1),SUMPRODUCT(('Data Export2 Refine'!R388:R637&lt;&gt;"")*('Data Export2 Refine'!R388:R637-'Data Export2 Refine'!Q388:Q637))/SUMPRODUCT(('Data Export2 Refine'!R388:R637&lt;&gt;"")*1))))</f>
        <v/>
      </c>
    </row>
    <row r="38">
      <c r="A38" s="37" t="inlineStr">
        <is>
          <t>Symmetric Anchor  =  (|EDT_below| + EDT_above) / 2  — scale reference</t>
        </is>
      </c>
      <c r="B38" s="38">
        <f>IF(AND(B36&lt;0,B37&gt;0),(ABS(B36)+B37)/2,IF(B36&lt;0,ABS(B36),B37))</f>
        <v/>
      </c>
      <c r="C38" s="38">
        <f>IF(AND(C36&lt;0,C37&gt;0),(ABS(C36)+C37)/2,IF(C36&lt;0,ABS(C36),C37))</f>
        <v/>
      </c>
    </row>
    <row r="39">
      <c r="A39" s="16" t="inlineStr">
        <is>
          <t>REI_below  =  min(eᵢ) / Sym_anchor  [negative → below extreme]</t>
        </is>
      </c>
      <c r="B39" s="18">
        <f>IF(B38&gt;0,MIN('Data Export2 Refine'!AG138:AG1137)/B38,"N/A")</f>
        <v/>
      </c>
      <c r="C39" s="18">
        <f>IF(C38&gt;0,MIN('Data Export2 Refine'!AG388:AG637)/C38,"N/A")</f>
        <v/>
      </c>
    </row>
    <row r="40">
      <c r="A40" s="16" t="inlineStr">
        <is>
          <t>REI_above  =  max(eᵢ) / Sym_anchor  [positive → above extreme]</t>
        </is>
      </c>
      <c r="B40" s="18">
        <f>IF(B38&gt;0,MAX('Data Export2 Refine'!AG138:AG1137)/B38,"N/A")</f>
        <v/>
      </c>
      <c r="C40" s="18">
        <f>IF(C38&gt;0,MAX('Data Export2 Refine'!AG388:AG637)/C38,"N/A")</f>
        <v/>
      </c>
    </row>
    <row r="41">
      <c r="A41" s="19" t="inlineStr">
        <is>
          <t>max(eᵢ)  — informational</t>
        </is>
      </c>
      <c r="B41" s="20">
        <f>MAX('Data Export2 Refine'!AG138:AG1137)</f>
        <v/>
      </c>
      <c r="C41" s="20">
        <f>MAX('Data Export2 Refine'!AG388:AG637)</f>
        <v/>
      </c>
    </row>
    <row r="42">
      <c r="A42" s="19" t="inlineStr">
        <is>
          <t>min(eᵢ)  — informational</t>
        </is>
      </c>
      <c r="B42" s="20">
        <f>MIN('Data Export2 Refine'!AG138:AG1137)</f>
        <v/>
      </c>
      <c r="C42" s="20">
        <f>MIN('Data Export2 Refine'!AG388:AG637)</f>
        <v/>
      </c>
    </row>
    <row r="43">
      <c r="A43" s="111" t="inlineStr">
        <is>
          <t>── SSA Crossing Distance  (SCD — position-agnostic swing amplitude) ──</t>
        </is>
      </c>
    </row>
    <row r="44">
      <c r="A44" s="16" t="inlineStr">
        <is>
          <t>n crossings  (SSA ↔ EMA-SSA in window)</t>
        </is>
      </c>
      <c r="B44" s="21">
        <f>SUMPRODUCT(('Data Export2 Refine'!AD138:AD1137=1)*1)</f>
        <v/>
      </c>
      <c r="C44" s="21">
        <f>SUMPRODUCT(('Data Export2 Refine'!AD388:AD637=1)*1)</f>
        <v/>
      </c>
    </row>
    <row r="45" ht="52.5" customHeight="1" s="103">
      <c r="A45" s="16" t="inlineStr">
        <is>
          <t>SCD mean  =  avg |SSA_cross_i − SSA_cross_{i-1}|</t>
        </is>
      </c>
      <c r="B45" s="17">
        <f>IFERROR(AVERAGEIF('Data Export2 Refine'!AM138:AM1137,"&lt;&gt;"),0)</f>
        <v/>
      </c>
      <c r="C45" s="17">
        <f>IFERROR(AVERAGEIF('Data Export2 Refine'!AM388:AM637,"&lt;&gt;"),0)</f>
        <v/>
      </c>
      <c r="D45" s="22" t="inlineStr">
        <is>
          <t>← scored. Detects large swings anywhere in EDT channel, independent of Base_FL.</t>
        </is>
      </c>
    </row>
    <row r="46">
      <c r="A46" s="19" t="inlineStr">
        <is>
          <t>SCD max  =  largest single crossing swing  (informational)</t>
        </is>
      </c>
      <c r="B46" s="20">
        <f>MAX('Data Export2 Refine'!AM138:AM1137)</f>
        <v/>
      </c>
      <c r="C46" s="20">
        <f>MAX('Data Export2 Refine'!AM388:AM637)</f>
        <v/>
      </c>
    </row>
    <row r="47">
      <c r="A47" s="6" t="n"/>
      <c r="B47" s="6" t="n"/>
      <c r="C47" s="6" t="n"/>
      <c r="D47" s="6" t="n"/>
      <c r="E47" s="6" t="n"/>
      <c r="F47" s="6" t="n"/>
    </row>
    <row r="48">
      <c r="A48" s="113" t="inlineStr">
        <is>
          <t>── Individual Scores &amp; Threshold Flags  —  8 Dimensions ──</t>
        </is>
      </c>
    </row>
    <row r="49">
      <c r="A49" s="23" t="inlineStr">
        <is>
          <t>Metric  [weight]</t>
        </is>
      </c>
      <c r="B49" s="24" t="inlineStr">
        <is>
          <t>Ratio / Signal</t>
        </is>
      </c>
      <c r="C49" s="24" t="n"/>
      <c r="D49" s="24" t="inlineStr">
        <is>
          <t>Score  (−100 to +100)</t>
        </is>
      </c>
      <c r="E49" s="24" t="inlineStr">
        <is>
          <t>Threshold ← edit</t>
        </is>
      </c>
      <c r="F49" s="24" t="inlineStr">
        <is>
          <t>Alert</t>
        </is>
      </c>
    </row>
    <row r="50">
      <c r="A50" s="25" t="inlineStr">
        <is>
          <t>Half-Life ratio (fast/slow)  — mean reversion speed   [weight=25%]</t>
        </is>
      </c>
      <c r="B50" s="26">
        <f>IF(AND(B12&gt;0,B12&lt;9999),C12/B12,9999)</f>
        <v/>
      </c>
      <c r="D50" s="27">
        <f>MAX(-100,MIN(100,(1-B50)*100))</f>
        <v/>
      </c>
      <c r="E50" s="39" t="n">
        <v>50</v>
      </c>
      <c r="F50" s="40">
        <f>IF(D50&gt;=E50,"ALERT","—")</f>
        <v/>
      </c>
    </row>
    <row r="51">
      <c r="A51" s="25" t="inlineStr">
        <is>
          <t>Variance Ratio (fast/slow)  — variance divergence   [weight=10%]</t>
        </is>
      </c>
      <c r="B51" s="26">
        <f>IF(B9&gt;0,C9/B9,1)</f>
        <v/>
      </c>
      <c r="D51" s="27">
        <f>MAX(-100,MIN(0,-ABS(B51-1)*100))</f>
        <v/>
      </c>
      <c r="E51" s="39" t="n">
        <v>-50</v>
      </c>
      <c r="F51" s="40">
        <f>IF(D51&lt;=E51,"ALERT","—")</f>
        <v/>
      </c>
    </row>
    <row r="52">
      <c r="A52" s="25" t="inlineStr">
        <is>
          <t>REI_below ratio (fast/slow)  — oversold extreme retreat  [bullish]   [weight=10%]</t>
        </is>
      </c>
      <c r="B52" s="26">
        <f>IF(AND(ISNUMBER(B39),ISNUMBER(C39),B39&lt;0,C39&lt;0),C39/B39,1)</f>
        <v/>
      </c>
      <c r="D52" s="27">
        <f>MAX(-100,MIN(100,(1-B52)*100))</f>
        <v/>
      </c>
      <c r="E52" s="39" t="n">
        <v>60</v>
      </c>
      <c r="F52" s="40">
        <f>IF(D52&gt;=E52,"ALERT","—")</f>
        <v/>
      </c>
    </row>
    <row r="53">
      <c r="A53" s="25" t="inlineStr">
        <is>
          <t>REI_above ratio (fast/slow)  — overbought extreme retreat  [bearish]   [weight=10%]</t>
        </is>
      </c>
      <c r="B53" s="26">
        <f>IF(AND(ISNUMBER(B40),ISNUMBER(C40),B40&gt;0,C40&gt;0),C40/B40,1)</f>
        <v/>
      </c>
      <c r="D53" s="27">
        <f>MAX(-100,MIN(100,(1-B53)*100))</f>
        <v/>
      </c>
      <c r="E53" s="39" t="n">
        <v>60</v>
      </c>
      <c r="F53" s="40">
        <f>IF(D53&gt;=E53,"ALERT","—")</f>
        <v/>
      </c>
    </row>
    <row r="54">
      <c r="A54" s="25" t="inlineStr">
        <is>
          <t>SCD ratio (fast mean / slow mean)  — swing intensity   [weight=20%]</t>
        </is>
      </c>
      <c r="B54" s="26">
        <f>IF(B45&gt;0,C45/B45,1)</f>
        <v/>
      </c>
      <c r="D54" s="27">
        <f>MAX(-100,MIN(100,(B54-1)*200))</f>
        <v/>
      </c>
      <c r="E54" s="39" t="n">
        <v>50</v>
      </c>
      <c r="F54" s="40">
        <f>IF(D54&gt;=E54,"ALERT","—")</f>
        <v/>
      </c>
    </row>
    <row r="55">
      <c r="A55" s="25" t="inlineStr">
        <is>
          <t>R²_close ratio (fast/slow)  — trend coherence   [weight=10%]</t>
        </is>
      </c>
      <c r="B55" s="26">
        <f>IF(B13&gt;0.001,C13/B13,0)</f>
        <v/>
      </c>
      <c r="D55" s="27">
        <f>MAX(-100,MIN(100,(B55-1)*100))</f>
        <v/>
      </c>
      <c r="E55" s="39" t="n">
        <v>-50</v>
      </c>
      <c r="F55" s="40">
        <f>IF(D55&lt;=E55,"ALERT","—")</f>
        <v/>
      </c>
    </row>
    <row r="56">
      <c r="A56" s="25" t="inlineStr">
        <is>
          <t>White's  Δlog₁₀p (fast−slow)  — heteroscedasticity   [weight=10%]</t>
        </is>
      </c>
      <c r="B56" s="26">
        <f>C31-B31</f>
        <v/>
      </c>
      <c r="D56" s="27">
        <f>MAX(-100,MIN(100,B56*5))</f>
        <v/>
      </c>
      <c r="E56" s="39" t="n">
        <v>50</v>
      </c>
      <c r="F56" s="40">
        <f>IF(D56&gt;=E56,"ALERT","—")</f>
        <v/>
      </c>
    </row>
    <row r="57">
      <c r="A57" s="25" t="inlineStr">
        <is>
          <t>JB ratio (fast/slow)  — residual normality   [weight=5%]</t>
        </is>
      </c>
      <c r="B57" s="26">
        <f>IF(B19&gt;0,C19/B19,1)</f>
        <v/>
      </c>
      <c r="D57" s="27">
        <f>MAX(-100,MIN(100,(1-B57)*100))</f>
        <v/>
      </c>
      <c r="E57" s="39" t="n">
        <v>-30</v>
      </c>
      <c r="F57" s="40">
        <f>IF(D57&lt;=E57,"ALERT","—")</f>
        <v/>
      </c>
    </row>
    <row r="58">
      <c r="A58" s="6" t="n"/>
      <c r="B58" s="6" t="n"/>
      <c r="C58" s="6" t="n"/>
      <c r="D58" s="6" t="n"/>
      <c r="E58" s="6" t="n"/>
      <c r="F58" s="6" t="n"/>
    </row>
    <row r="59">
      <c r="A59" s="108" t="inlineStr">
        <is>
          <t>── Composite Score  (secondary context) ──</t>
        </is>
      </c>
    </row>
    <row r="60">
      <c r="A60" s="108" t="inlineStr">
        <is>
          <t>Composite Score (8D)  [HL=25 VR=10 REI_b=10 REI_a=10 SCD=20 R²=10 W=10 JB=5]</t>
        </is>
      </c>
      <c r="D60" s="118">
        <f>0.25*D50+0.1*D51+0.1*D52+0.1*D53+0.2*D54+0.1*D55+0.1*D56+0.05*D57</f>
        <v/>
      </c>
    </row>
    <row r="61" ht="28" customHeight="1" s="103">
      <c r="A61" s="110" t="inlineStr">
        <is>
          <t>Composite Interpretation  (secondary — individual flags are primary)</t>
        </is>
      </c>
      <c r="D61" s="29">
        <f>IF(D60&gt;50,"STRONG BREAKOUT SETUP",IF(D60&gt;20,"MODERATE SETUP — watch for trigger",IF(D60&gt;0,"MILD POSITIVE — early signs",IF(D60&gt;-20,"MIXED — signals conflicting",IF(D60&gt;-50,"STRUCTURAL WEAKNESS","HIGH CAUTION / TREND INTACT")))))</f>
        <v/>
      </c>
    </row>
  </sheetData>
  <mergeCells count="13">
    <mergeCell ref="A2:F2"/>
    <mergeCell ref="A60:C60"/>
    <mergeCell ref="A1:F1"/>
    <mergeCell ref="A61:C61"/>
    <mergeCell ref="A35:F35"/>
    <mergeCell ref="A4:F4"/>
    <mergeCell ref="A48:F48"/>
    <mergeCell ref="A3:F3"/>
    <mergeCell ref="A59:F59"/>
    <mergeCell ref="A15:F15"/>
    <mergeCell ref="A7:F7"/>
    <mergeCell ref="A25:F25"/>
    <mergeCell ref="A43:F4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1"/>
  <sheetViews>
    <sheetView workbookViewId="0">
      <selection activeCell="A1" sqref="A1:F1"/>
    </sheetView>
  </sheetViews>
  <sheetFormatPr baseColWidth="8" defaultRowHeight="14.4"/>
  <cols>
    <col width="52" customWidth="1" style="103" min="1" max="1"/>
    <col width="16" customWidth="1" style="103" min="2" max="3"/>
    <col width="14" customWidth="1" style="103" min="4" max="4"/>
    <col width="13" customWidth="1" style="103" min="5" max="5"/>
    <col width="12" customWidth="1" style="103" min="6" max="6"/>
  </cols>
  <sheetData>
    <row r="1" ht="20.05" customHeight="1" s="103">
      <c r="A1" s="109" t="inlineStr">
        <is>
          <t>MACD Hybrid v2 (8-Dim) — MACD_H2_Int2</t>
        </is>
      </c>
    </row>
    <row r="2">
      <c r="A2" s="107" t="inlineStr">
        <is>
          <t>SLOW Window: Bars 136–1135  (n=1000, anchored from bar 136)</t>
        </is>
      </c>
    </row>
    <row r="3">
      <c r="A3" s="114" t="inlineStr">
        <is>
          <t>FAST Window: Bars 636–885  (n=250, sliding)</t>
        </is>
      </c>
    </row>
    <row r="4" ht="32.05" customHeight="1" s="103">
      <c r="A4" s="112" t="inlineStr">
        <is>
          <t>8-Dim model. REI two-sided (below + above) with symmetric anchor = (|EDT_outermost_below| + EDT_outermost_above) / 2 — robust to Base_FL asymmetry. SCD = SSA crossing-to-crossing distance (position-agnostic). Col E = editable threshold. Col F = ALERT when threshold crossed.</t>
        </is>
      </c>
    </row>
    <row r="5">
      <c r="A5" s="6" t="n"/>
      <c r="B5" s="6" t="n"/>
      <c r="C5" s="6" t="n"/>
      <c r="D5" s="6" t="n"/>
      <c r="E5" s="6" t="n"/>
      <c r="F5" s="6" t="n"/>
    </row>
    <row r="6">
      <c r="A6" s="7" t="inlineStr">
        <is>
          <t>Metric</t>
        </is>
      </c>
      <c r="B6" s="108" t="inlineStr">
        <is>
          <t>SLOW</t>
        </is>
      </c>
      <c r="C6" s="108" t="inlineStr">
        <is>
          <t>FAST</t>
        </is>
      </c>
      <c r="D6" s="108" t="inlineStr">
        <is>
          <t>Score</t>
        </is>
      </c>
      <c r="E6" s="108" t="inlineStr">
        <is>
          <t>Threshold</t>
        </is>
      </c>
      <c r="F6" s="108" t="inlineStr">
        <is>
          <t>Alert</t>
        </is>
      </c>
    </row>
    <row r="7">
      <c r="A7" s="115" t="inlineStr">
        <is>
          <t>── Structural &amp; Mean-Reversion Metrics ──</t>
        </is>
      </c>
    </row>
    <row r="8">
      <c r="A8" s="10" t="inlineStr">
        <is>
          <t>n (observations)</t>
        </is>
      </c>
      <c r="B8" s="11">
        <f>COUNT('Data Export2 Refine'!AF138:AF1137)</f>
        <v/>
      </c>
      <c r="C8" s="11">
        <f>COUNT('Data Export2 Refine'!AF638:AF887)</f>
        <v/>
      </c>
    </row>
    <row r="9">
      <c r="A9" s="10" t="inlineStr">
        <is>
          <t>Variance  E[eᵢ²]</t>
        </is>
      </c>
      <c r="B9" s="12">
        <f>AVERAGE('Data Export2 Refine'!AH138:AH1137)</f>
        <v/>
      </c>
      <c r="C9" s="12">
        <f>AVERAGE('Data Export2 Refine'!AH638:AH887)</f>
        <v/>
      </c>
    </row>
    <row r="10">
      <c r="A10" s="10" t="inlineStr">
        <is>
          <t>σ_rms  (RMS of residuals)</t>
        </is>
      </c>
      <c r="B10" s="12">
        <f>SQRT(AVERAGE('Data Export2 Refine'!AH138:AH1137))</f>
        <v/>
      </c>
      <c r="C10" s="12">
        <f>SQRT(AVERAGE('Data Export2 Refine'!AH638:AH887))</f>
        <v/>
      </c>
    </row>
    <row r="11">
      <c r="A11" s="10" t="inlineStr">
        <is>
          <t>HL Alpha  (AR1 no-const)</t>
        </is>
      </c>
      <c r="B11" s="12">
        <f>SUMPRODUCT(('Data Export2 Refine'!AG139:AG1137-'Data Export2 Refine'!AG138:AG1136),'Data Export2 Refine'!AG138:AG1136)/SUMPRODUCT('Data Export2 Refine'!AG138:AG1136,'Data Export2 Refine'!AG138:AG1136)</f>
        <v/>
      </c>
      <c r="C11" s="12">
        <f>SUMPRODUCT(('Data Export2 Refine'!AG639:AG887-'Data Export2 Refine'!AG638:AG886),'Data Export2 Refine'!AG638:AG886)/SUMPRODUCT('Data Export2 Refine'!AG638:AG886,'Data Export2 Refine'!AG638:AG886)</f>
        <v/>
      </c>
    </row>
    <row r="12">
      <c r="A12" s="10" t="inlineStr">
        <is>
          <t>Half-Life (bars)</t>
        </is>
      </c>
      <c r="B12" s="13">
        <f>IF(B11&gt;=0,9999,-LN(2)/LN(1+B11))</f>
        <v/>
      </c>
      <c r="C12" s="13">
        <f>IF(C11&gt;=0,9999,-LN(2)/LN(1+C11))</f>
        <v/>
      </c>
    </row>
    <row r="13">
      <c r="A13" s="10" t="inlineStr">
        <is>
          <t>R²(close ~ BarIdx)  — linear trend quality</t>
        </is>
      </c>
      <c r="B13" s="12">
        <f>RSQ('Data Export2 Refine'!D138:D1137,'Data Export2 Refine'!AF138:AF1137)</f>
        <v/>
      </c>
      <c r="C13" s="12">
        <f>RSQ('Data Export2 Refine'!D638:D887,'Data Export2 Refine'!AF638:AF887)</f>
        <v/>
      </c>
    </row>
    <row r="14">
      <c r="A14" s="6" t="n"/>
      <c r="B14" s="6" t="n"/>
      <c r="C14" s="6" t="n"/>
      <c r="D14" s="6" t="n"/>
      <c r="E14" s="6" t="n"/>
      <c r="F14" s="6" t="n"/>
    </row>
    <row r="15">
      <c r="A15" s="115" t="inlineStr">
        <is>
          <t>── Jarque-Bera Normality Test  (on eᵢ) ──</t>
        </is>
      </c>
    </row>
    <row r="16">
      <c r="A16" s="10" t="inlineStr">
        <is>
          <t>Significance level α</t>
        </is>
      </c>
      <c r="B16" s="13">
        <f>0.05</f>
        <v/>
      </c>
      <c r="C16" s="13">
        <f>0.05</f>
        <v/>
      </c>
    </row>
    <row r="17">
      <c r="A17" s="10" t="inlineStr">
        <is>
          <t>Skewness  S  (SKEW)</t>
        </is>
      </c>
      <c r="B17" s="12">
        <f>SKEW('Data Export2 Refine'!AG138:AG1137)</f>
        <v/>
      </c>
      <c r="C17" s="12">
        <f>SKEW('Data Export2 Refine'!AG638:AG887)</f>
        <v/>
      </c>
    </row>
    <row r="18">
      <c r="A18" s="10" t="inlineStr">
        <is>
          <t>Excess Kurtosis  K-3  (KURT)</t>
        </is>
      </c>
      <c r="B18" s="12">
        <f>KURT('Data Export2 Refine'!AG138:AG1137)</f>
        <v/>
      </c>
      <c r="C18" s="12">
        <f>KURT('Data Export2 Refine'!AG638:AG887)</f>
        <v/>
      </c>
    </row>
    <row r="19">
      <c r="A19" s="10" t="inlineStr">
        <is>
          <t>JB Statistic  = n/6·(S²+(K-3)²/4)</t>
        </is>
      </c>
      <c r="B19" s="12">
        <f>B8/6*(B17^2+B18^2/4)</f>
        <v/>
      </c>
      <c r="C19" s="12">
        <f>C8/6*(C17^2+C18^2/4)</f>
        <v/>
      </c>
    </row>
    <row r="20">
      <c r="A20" s="10" t="inlineStr">
        <is>
          <t>p-value  (CHIDIST, df=2)</t>
        </is>
      </c>
      <c r="B20" s="12">
        <f>CHIDIST(B19,2)</f>
        <v/>
      </c>
      <c r="C20" s="12">
        <f>CHIDIST(C19,2)</f>
        <v/>
      </c>
    </row>
    <row r="21">
      <c r="A21" s="10" t="inlineStr">
        <is>
          <t>Critical value  χ²(α,2)  (CHIINV)</t>
        </is>
      </c>
      <c r="B21" s="12">
        <f>CHIINV(B16,2)</f>
        <v/>
      </c>
      <c r="C21" s="12">
        <f>CHIINV(C16,2)</f>
        <v/>
      </c>
    </row>
    <row r="22">
      <c r="A22" s="14" t="inlineStr">
        <is>
          <t>JB Decision (Slow)</t>
        </is>
      </c>
      <c r="B22" s="15">
        <f>IF(B19&gt;B21,"REJECT H₀","FAIL TO REJECT")</f>
        <v/>
      </c>
    </row>
    <row r="23">
      <c r="A23" s="14" t="inlineStr">
        <is>
          <t>JB Decision (Fast)</t>
        </is>
      </c>
      <c r="C23" s="15">
        <f>IF(C19&gt;C21,"REJECT H₀","FAIL TO REJECT")</f>
        <v/>
      </c>
    </row>
    <row r="24">
      <c r="A24" s="6" t="n"/>
      <c r="B24" s="6" t="n"/>
      <c r="C24" s="6" t="n"/>
      <c r="D24" s="6" t="n"/>
      <c r="E24" s="6" t="n"/>
      <c r="F24" s="6" t="n"/>
    </row>
    <row r="25">
      <c r="A25" s="115" t="inlineStr">
        <is>
          <t>── White's Heteroscedasticity Test  (on eᵢ) ──</t>
        </is>
      </c>
    </row>
    <row r="26">
      <c r="A26" s="10" t="inlineStr">
        <is>
          <t>Significance level α</t>
        </is>
      </c>
      <c r="B26" s="13">
        <f>0.05</f>
        <v/>
      </c>
      <c r="C26" s="13">
        <f>0.05</f>
        <v/>
      </c>
    </row>
    <row r="27">
      <c r="A27" s="10" t="inlineStr">
        <is>
          <t>R²_aux  (eᵢ² ~ BarIdx + BarIdx²)</t>
        </is>
      </c>
      <c r="B27" s="12">
        <f>INDEX(LINEST('Data Export2 Refine'!AH138:AH1137,CHOOSE({1,2},'Data Export2 Refine'!AF138:AF1137,'Data Export2 Refine'!AK138:AK1137),TRUE,TRUE),3,1)</f>
        <v/>
      </c>
      <c r="C27" s="12">
        <f>INDEX(LINEST('Data Export2 Refine'!AH638:AH887,CHOOSE({1,2},'Data Export2 Refine'!AF638:AF887,'Data Export2 Refine'!AK638:AK887),TRUE,TRUE),3,1)</f>
        <v/>
      </c>
    </row>
    <row r="28">
      <c r="A28" s="10" t="inlineStr">
        <is>
          <t>LM = n × R²_aux</t>
        </is>
      </c>
      <c r="B28" s="12">
        <f>B8*B27</f>
        <v/>
      </c>
      <c r="C28" s="12">
        <f>C8*C27</f>
        <v/>
      </c>
    </row>
    <row r="29">
      <c r="A29" s="10" t="inlineStr">
        <is>
          <t>p-value  (CHIDIST, df=2)</t>
        </is>
      </c>
      <c r="B29" s="12">
        <f>CHIDIST(B28,2)</f>
        <v/>
      </c>
      <c r="C29" s="12">
        <f>CHIDIST(C28,2)</f>
        <v/>
      </c>
    </row>
    <row r="30">
      <c r="A30" s="10" t="inlineStr">
        <is>
          <t>Critical value  χ²(α,2)  (CHIINV)</t>
        </is>
      </c>
      <c r="B30" s="12">
        <f>CHIINV(B26,2)</f>
        <v/>
      </c>
      <c r="C30" s="12">
        <f>CHIINV(C26,2)</f>
        <v/>
      </c>
    </row>
    <row r="31">
      <c r="A31" s="10" t="inlineStr">
        <is>
          <t>log₁₀(p_White)</t>
        </is>
      </c>
      <c r="B31" s="12">
        <f>IF(B29=0,-300,LOG10(B29))</f>
        <v/>
      </c>
      <c r="C31" s="12">
        <f>IF(C29=0,-300,LOG10(C29))</f>
        <v/>
      </c>
    </row>
    <row r="32">
      <c r="A32" s="14" t="inlineStr">
        <is>
          <t>White's Decision (Slow)</t>
        </is>
      </c>
      <c r="B32" s="15">
        <f>IF(B28&gt;B30,"REJECT H₀","FAIL TO REJECT")</f>
        <v/>
      </c>
    </row>
    <row r="33">
      <c r="A33" s="14" t="inlineStr">
        <is>
          <t>White's Decision (Fast)</t>
        </is>
      </c>
      <c r="C33" s="15">
        <f>IF(C28&gt;C30,"REJECT H₀","FAIL TO REJECT")</f>
        <v/>
      </c>
    </row>
    <row r="34">
      <c r="A34" s="6" t="n"/>
      <c r="B34" s="6" t="n"/>
      <c r="C34" s="6" t="n"/>
      <c r="D34" s="6" t="n"/>
      <c r="E34" s="6" t="n"/>
      <c r="F34" s="6" t="n"/>
    </row>
    <row r="35">
      <c r="A35" s="111" t="inlineStr">
        <is>
          <t>── EDT Extremity  (REI — two-sided, Symmetric Anchor) ──</t>
        </is>
      </c>
    </row>
    <row r="36">
      <c r="A36" s="16" t="inlineStr">
        <is>
          <t>Outermost Below EDT offset  (EDT_8→EDT_7→EDT_6 fallback)  [negative]</t>
        </is>
      </c>
      <c r="B36" s="17">
        <f>IF(SUMPRODUCT(('Data Export2 Refine'!Y138:Y1137&lt;&gt;"")*1)&gt;0,SUMPRODUCT(('Data Export2 Refine'!Y138:Y1137&lt;&gt;"")*('Data Export2 Refine'!Y138:Y1137-'Data Export2 Refine'!Q138:Q1137))/SUMPRODUCT(('Data Export2 Refine'!Y138:Y1137&lt;&gt;"")*1),IF(SUMPRODUCT(('Data Export2 Refine'!X138:X1137&lt;&gt;"")*1)&gt;0,SUMPRODUCT(('Data Export2 Refine'!X138:X1137&lt;&gt;"")*('Data Export2 Refine'!X138:X1137-'Data Export2 Refine'!Q138:Q1137))/SUMPRODUCT(('Data Export2 Refine'!X138:X1137&lt;&gt;"")*1),SUMPRODUCT(('Data Export2 Refine'!W138:W1137&lt;&gt;"")*('Data Export2 Refine'!W138:W1137-'Data Export2 Refine'!Q138:Q1137))/SUMPRODUCT(('Data Export2 Refine'!W138:W1137&lt;&gt;"")*1)))</f>
        <v/>
      </c>
      <c r="C36" s="17">
        <f>IF(SUMPRODUCT(('Data Export2 Refine'!Y638:Y887&lt;&gt;"")*1)&gt;0,SUMPRODUCT(('Data Export2 Refine'!Y638:Y887&lt;&gt;"")*('Data Export2 Refine'!Y638:Y887-'Data Export2 Refine'!Q638:Q887))/SUMPRODUCT(('Data Export2 Refine'!Y638:Y887&lt;&gt;"")*1),IF(SUMPRODUCT(('Data Export2 Refine'!X638:X887&lt;&gt;"")*1)&gt;0,SUMPRODUCT(('Data Export2 Refine'!X638:X887&lt;&gt;"")*('Data Export2 Refine'!X638:X887-'Data Export2 Refine'!Q638:Q887))/SUMPRODUCT(('Data Export2 Refine'!X638:X887&lt;&gt;"")*1),SUMPRODUCT(('Data Export2 Refine'!W638:W887&lt;&gt;"")*('Data Export2 Refine'!W638:W887-'Data Export2 Refine'!Q638:Q887))/SUMPRODUCT(('Data Export2 Refine'!W638:W887&lt;&gt;"")*1)))</f>
        <v/>
      </c>
    </row>
    <row r="37">
      <c r="A37" s="16" t="inlineStr">
        <is>
          <t>Outermost Above EDT offset  (EDT_4→EDT_3→EDT_2→EDT_1 fallback)  [positive]</t>
        </is>
      </c>
      <c r="B37" s="17">
        <f>IF(SUMPRODUCT(('Data Export2 Refine'!U138:U1137&lt;&gt;"")*1)&gt;0,SUMPRODUCT(('Data Export2 Refine'!U138:U1137&lt;&gt;"")*('Data Export2 Refine'!U138:U1137-'Data Export2 Refine'!Q138:Q1137))/SUMPRODUCT(('Data Export2 Refine'!U138:U1137&lt;&gt;"")*1),IF(SUMPRODUCT(('Data Export2 Refine'!T138:T1137&lt;&gt;"")*1)&gt;0,SUMPRODUCT(('Data Export2 Refine'!T138:T1137&lt;&gt;"")*('Data Export2 Refine'!T138:T1137-'Data Export2 Refine'!Q138:Q1137))/SUMPRODUCT(('Data Export2 Refine'!T138:T1137&lt;&gt;"")*1),IF(SUMPRODUCT(('Data Export2 Refine'!S138:S1137&lt;&gt;"")*1)&gt;0,SUMPRODUCT(('Data Export2 Refine'!S138:S1137&lt;&gt;"")*('Data Export2 Refine'!S138:S1137-'Data Export2 Refine'!Q138:Q1137))/SUMPRODUCT(('Data Export2 Refine'!S138:S1137&lt;&gt;"")*1),SUMPRODUCT(('Data Export2 Refine'!R138:R1137&lt;&gt;"")*('Data Export2 Refine'!R138:R1137-'Data Export2 Refine'!Q138:Q1137))/SUMPRODUCT(('Data Export2 Refine'!R138:R1137&lt;&gt;"")*1))))</f>
        <v/>
      </c>
      <c r="C37" s="17">
        <f>IF(SUMPRODUCT(('Data Export2 Refine'!U638:U887&lt;&gt;"")*1)&gt;0,SUMPRODUCT(('Data Export2 Refine'!U638:U887&lt;&gt;"")*('Data Export2 Refine'!U638:U887-'Data Export2 Refine'!Q638:Q887))/SUMPRODUCT(('Data Export2 Refine'!U638:U887&lt;&gt;"")*1),IF(SUMPRODUCT(('Data Export2 Refine'!T638:T887&lt;&gt;"")*1)&gt;0,SUMPRODUCT(('Data Export2 Refine'!T638:T887&lt;&gt;"")*('Data Export2 Refine'!T638:T887-'Data Export2 Refine'!Q638:Q887))/SUMPRODUCT(('Data Export2 Refine'!T638:T887&lt;&gt;"")*1),IF(SUMPRODUCT(('Data Export2 Refine'!S638:S887&lt;&gt;"")*1)&gt;0,SUMPRODUCT(('Data Export2 Refine'!S638:S887&lt;&gt;"")*('Data Export2 Refine'!S638:S887-'Data Export2 Refine'!Q638:Q887))/SUMPRODUCT(('Data Export2 Refine'!S638:S887&lt;&gt;"")*1),SUMPRODUCT(('Data Export2 Refine'!R638:R887&lt;&gt;"")*('Data Export2 Refine'!R638:R887-'Data Export2 Refine'!Q638:Q887))/SUMPRODUCT(('Data Export2 Refine'!R638:R887&lt;&gt;"")*1))))</f>
        <v/>
      </c>
    </row>
    <row r="38">
      <c r="A38" s="37" t="inlineStr">
        <is>
          <t>Symmetric Anchor  =  (|EDT_below| + EDT_above) / 2  — scale reference</t>
        </is>
      </c>
      <c r="B38" s="38">
        <f>IF(AND(B36&lt;0,B37&gt;0),(ABS(B36)+B37)/2,IF(B36&lt;0,ABS(B36),B37))</f>
        <v/>
      </c>
      <c r="C38" s="38">
        <f>IF(AND(C36&lt;0,C37&gt;0),(ABS(C36)+C37)/2,IF(C36&lt;0,ABS(C36),C37))</f>
        <v/>
      </c>
    </row>
    <row r="39">
      <c r="A39" s="16" t="inlineStr">
        <is>
          <t>REI_below  =  min(eᵢ) / Sym_anchor  [negative → below extreme]</t>
        </is>
      </c>
      <c r="B39" s="18">
        <f>IF(B38&gt;0,MIN('Data Export2 Refine'!AG138:AG1137)/B38,"N/A")</f>
        <v/>
      </c>
      <c r="C39" s="18">
        <f>IF(C38&gt;0,MIN('Data Export2 Refine'!AG638:AG887)/C38,"N/A")</f>
        <v/>
      </c>
    </row>
    <row r="40">
      <c r="A40" s="16" t="inlineStr">
        <is>
          <t>REI_above  =  max(eᵢ) / Sym_anchor  [positive → above extreme]</t>
        </is>
      </c>
      <c r="B40" s="18">
        <f>IF(B38&gt;0,MAX('Data Export2 Refine'!AG138:AG1137)/B38,"N/A")</f>
        <v/>
      </c>
      <c r="C40" s="18">
        <f>IF(C38&gt;0,MAX('Data Export2 Refine'!AG638:AG887)/C38,"N/A")</f>
        <v/>
      </c>
    </row>
    <row r="41">
      <c r="A41" s="19" t="inlineStr">
        <is>
          <t>max(eᵢ)  — informational</t>
        </is>
      </c>
      <c r="B41" s="20">
        <f>MAX('Data Export2 Refine'!AG138:AG1137)</f>
        <v/>
      </c>
      <c r="C41" s="20">
        <f>MAX('Data Export2 Refine'!AG638:AG887)</f>
        <v/>
      </c>
    </row>
    <row r="42">
      <c r="A42" s="19" t="inlineStr">
        <is>
          <t>min(eᵢ)  — informational</t>
        </is>
      </c>
      <c r="B42" s="20">
        <f>MIN('Data Export2 Refine'!AG138:AG1137)</f>
        <v/>
      </c>
      <c r="C42" s="20">
        <f>MIN('Data Export2 Refine'!AG638:AG887)</f>
        <v/>
      </c>
    </row>
    <row r="43">
      <c r="A43" s="111" t="inlineStr">
        <is>
          <t>── SSA Crossing Distance  (SCD — position-agnostic swing amplitude) ──</t>
        </is>
      </c>
    </row>
    <row r="44">
      <c r="A44" s="16" t="inlineStr">
        <is>
          <t>n crossings  (SSA ↔ EMA-SSA in window)</t>
        </is>
      </c>
      <c r="B44" s="21">
        <f>SUMPRODUCT(('Data Export2 Refine'!AD138:AD1137=1)*1)</f>
        <v/>
      </c>
      <c r="C44" s="21">
        <f>SUMPRODUCT(('Data Export2 Refine'!AD638:AD887=1)*1)</f>
        <v/>
      </c>
    </row>
    <row r="45" ht="52.5" customHeight="1" s="103">
      <c r="A45" s="16" t="inlineStr">
        <is>
          <t>SCD mean  =  avg |SSA_cross_i − SSA_cross_{i-1}|</t>
        </is>
      </c>
      <c r="B45" s="17">
        <f>IFERROR(AVERAGEIF('Data Export2 Refine'!AM138:AM1137,"&lt;&gt;"),0)</f>
        <v/>
      </c>
      <c r="C45" s="17">
        <f>IFERROR(AVERAGEIF('Data Export2 Refine'!AM638:AM887,"&lt;&gt;"),0)</f>
        <v/>
      </c>
      <c r="D45" s="22" t="inlineStr">
        <is>
          <t>← scored. Detects large swings anywhere in EDT channel, independent of Base_FL.</t>
        </is>
      </c>
    </row>
    <row r="46">
      <c r="A46" s="19" t="inlineStr">
        <is>
          <t>SCD max  =  largest single crossing swing  (informational)</t>
        </is>
      </c>
      <c r="B46" s="20">
        <f>MAX('Data Export2 Refine'!AM138:AM1137)</f>
        <v/>
      </c>
      <c r="C46" s="20">
        <f>MAX('Data Export2 Refine'!AM638:AM887)</f>
        <v/>
      </c>
    </row>
    <row r="47">
      <c r="A47" s="6" t="n"/>
      <c r="B47" s="6" t="n"/>
      <c r="C47" s="6" t="n"/>
      <c r="D47" s="6" t="n"/>
      <c r="E47" s="6" t="n"/>
      <c r="F47" s="6" t="n"/>
    </row>
    <row r="48">
      <c r="A48" s="113" t="inlineStr">
        <is>
          <t>── Individual Scores &amp; Threshold Flags  —  8 Dimensions ──</t>
        </is>
      </c>
    </row>
    <row r="49">
      <c r="A49" s="23" t="inlineStr">
        <is>
          <t>Metric  [weight]</t>
        </is>
      </c>
      <c r="B49" s="24" t="inlineStr">
        <is>
          <t>Ratio / Signal</t>
        </is>
      </c>
      <c r="C49" s="24" t="n"/>
      <c r="D49" s="24" t="inlineStr">
        <is>
          <t>Score  (−100 to +100)</t>
        </is>
      </c>
      <c r="E49" s="24" t="inlineStr">
        <is>
          <t>Threshold ← edit</t>
        </is>
      </c>
      <c r="F49" s="24" t="inlineStr">
        <is>
          <t>Alert</t>
        </is>
      </c>
    </row>
    <row r="50">
      <c r="A50" s="25" t="inlineStr">
        <is>
          <t>Half-Life ratio (fast/slow)  — mean reversion speed   [weight=25%]</t>
        </is>
      </c>
      <c r="B50" s="26">
        <f>IF(AND(B12&gt;0,B12&lt;9999),C12/B12,9999)</f>
        <v/>
      </c>
      <c r="D50" s="27">
        <f>MAX(-100,MIN(100,(1-B50)*100))</f>
        <v/>
      </c>
      <c r="E50" s="39" t="n">
        <v>50</v>
      </c>
      <c r="F50" s="40">
        <f>IF(D50&gt;=E50,"ALERT","—")</f>
        <v/>
      </c>
    </row>
    <row r="51">
      <c r="A51" s="25" t="inlineStr">
        <is>
          <t>Variance Ratio (fast/slow)  — variance divergence   [weight=10%]</t>
        </is>
      </c>
      <c r="B51" s="26">
        <f>IF(B9&gt;0,C9/B9,1)</f>
        <v/>
      </c>
      <c r="D51" s="27">
        <f>MAX(-100,MIN(0,-ABS(B51-1)*100))</f>
        <v/>
      </c>
      <c r="E51" s="39" t="n">
        <v>-50</v>
      </c>
      <c r="F51" s="40">
        <f>IF(D51&lt;=E51,"ALERT","—")</f>
        <v/>
      </c>
    </row>
    <row r="52">
      <c r="A52" s="25" t="inlineStr">
        <is>
          <t>REI_below ratio (fast/slow)  — oversold extreme retreat  [bullish]   [weight=10%]</t>
        </is>
      </c>
      <c r="B52" s="26">
        <f>IF(AND(ISNUMBER(B39),ISNUMBER(C39),B39&lt;0,C39&lt;0),C39/B39,1)</f>
        <v/>
      </c>
      <c r="D52" s="27">
        <f>MAX(-100,MIN(100,(1-B52)*100))</f>
        <v/>
      </c>
      <c r="E52" s="39" t="n">
        <v>60</v>
      </c>
      <c r="F52" s="40">
        <f>IF(D52&gt;=E52,"ALERT","—")</f>
        <v/>
      </c>
    </row>
    <row r="53">
      <c r="A53" s="25" t="inlineStr">
        <is>
          <t>REI_above ratio (fast/slow)  — overbought extreme retreat  [bearish]   [weight=10%]</t>
        </is>
      </c>
      <c r="B53" s="26">
        <f>IF(AND(ISNUMBER(B40),ISNUMBER(C40),B40&gt;0,C40&gt;0),C40/B40,1)</f>
        <v/>
      </c>
      <c r="D53" s="27">
        <f>MAX(-100,MIN(100,(1-B53)*100))</f>
        <v/>
      </c>
      <c r="E53" s="39" t="n">
        <v>60</v>
      </c>
      <c r="F53" s="40">
        <f>IF(D53&gt;=E53,"ALERT","—")</f>
        <v/>
      </c>
    </row>
    <row r="54">
      <c r="A54" s="25" t="inlineStr">
        <is>
          <t>SCD ratio (fast mean / slow mean)  — swing intensity   [weight=20%]</t>
        </is>
      </c>
      <c r="B54" s="26">
        <f>IF(B45&gt;0,C45/B45,1)</f>
        <v/>
      </c>
      <c r="D54" s="27">
        <f>MAX(-100,MIN(100,(B54-1)*200))</f>
        <v/>
      </c>
      <c r="E54" s="39" t="n">
        <v>50</v>
      </c>
      <c r="F54" s="40">
        <f>IF(D54&gt;=E54,"ALERT","—")</f>
        <v/>
      </c>
    </row>
    <row r="55">
      <c r="A55" s="25" t="inlineStr">
        <is>
          <t>R²_close ratio (fast/slow)  — trend coherence   [weight=10%]</t>
        </is>
      </c>
      <c r="B55" s="26">
        <f>IF(B13&gt;0.001,C13/B13,0)</f>
        <v/>
      </c>
      <c r="D55" s="27">
        <f>MAX(-100,MIN(100,(B55-1)*100))</f>
        <v/>
      </c>
      <c r="E55" s="39" t="n">
        <v>-50</v>
      </c>
      <c r="F55" s="40">
        <f>IF(D55&lt;=E55,"ALERT","—")</f>
        <v/>
      </c>
    </row>
    <row r="56">
      <c r="A56" s="25" t="inlineStr">
        <is>
          <t>White's  Δlog₁₀p (fast−slow)  — heteroscedasticity   [weight=10%]</t>
        </is>
      </c>
      <c r="B56" s="26">
        <f>C31-B31</f>
        <v/>
      </c>
      <c r="D56" s="27">
        <f>MAX(-100,MIN(100,B56*5))</f>
        <v/>
      </c>
      <c r="E56" s="39" t="n">
        <v>50</v>
      </c>
      <c r="F56" s="40">
        <f>IF(D56&gt;=E56,"ALERT","—")</f>
        <v/>
      </c>
    </row>
    <row r="57">
      <c r="A57" s="25" t="inlineStr">
        <is>
          <t>JB ratio (fast/slow)  — residual normality   [weight=5%]</t>
        </is>
      </c>
      <c r="B57" s="26">
        <f>IF(B19&gt;0,C19/B19,1)</f>
        <v/>
      </c>
      <c r="D57" s="27">
        <f>MAX(-100,MIN(100,(1-B57)*100))</f>
        <v/>
      </c>
      <c r="E57" s="39" t="n">
        <v>-30</v>
      </c>
      <c r="F57" s="40">
        <f>IF(D57&lt;=E57,"ALERT","—")</f>
        <v/>
      </c>
    </row>
    <row r="58">
      <c r="A58" s="6" t="n"/>
      <c r="B58" s="6" t="n"/>
      <c r="C58" s="6" t="n"/>
      <c r="D58" s="6" t="n"/>
      <c r="E58" s="6" t="n"/>
      <c r="F58" s="6" t="n"/>
    </row>
    <row r="59">
      <c r="A59" s="108" t="inlineStr">
        <is>
          <t>── Composite Score  (secondary context) ──</t>
        </is>
      </c>
    </row>
    <row r="60">
      <c r="A60" s="108" t="inlineStr">
        <is>
          <t>Composite Score (8D)  [HL=25 VR=10 REI_b=10 REI_a=10 SCD=20 R²=10 W=10 JB=5]</t>
        </is>
      </c>
      <c r="D60" s="118">
        <f>0.25*D50+0.1*D51+0.1*D52+0.1*D53+0.2*D54+0.1*D55+0.1*D56+0.05*D57</f>
        <v/>
      </c>
    </row>
    <row r="61" ht="28" customHeight="1" s="103">
      <c r="A61" s="110" t="inlineStr">
        <is>
          <t>Composite Interpretation  (secondary — individual flags are primary)</t>
        </is>
      </c>
      <c r="D61" s="29">
        <f>IF(D60&gt;50,"STRONG BREAKOUT SETUP",IF(D60&gt;20,"MODERATE SETUP — watch for trigger",IF(D60&gt;0,"MILD POSITIVE — early signs",IF(D60&gt;-20,"MIXED — signals conflicting",IF(D60&gt;-50,"STRUCTURAL WEAKNESS","HIGH CAUTION / TREND INTACT")))))</f>
        <v/>
      </c>
    </row>
  </sheetData>
  <mergeCells count="13">
    <mergeCell ref="A2:F2"/>
    <mergeCell ref="A60:C60"/>
    <mergeCell ref="A1:F1"/>
    <mergeCell ref="A61:C61"/>
    <mergeCell ref="A35:F35"/>
    <mergeCell ref="A4:F4"/>
    <mergeCell ref="A48:F48"/>
    <mergeCell ref="A3:F3"/>
    <mergeCell ref="A59:F59"/>
    <mergeCell ref="A15:F15"/>
    <mergeCell ref="A7:F7"/>
    <mergeCell ref="A25:F25"/>
    <mergeCell ref="A43:F4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1"/>
  <sheetViews>
    <sheetView workbookViewId="0">
      <selection activeCell="A1" sqref="A1:F1"/>
    </sheetView>
  </sheetViews>
  <sheetFormatPr baseColWidth="8" defaultRowHeight="14.4"/>
  <cols>
    <col width="52" customWidth="1" style="103" min="1" max="1"/>
    <col width="16" customWidth="1" style="103" min="2" max="3"/>
    <col width="14" customWidth="1" style="103" min="4" max="4"/>
    <col width="13" customWidth="1" style="103" min="5" max="5"/>
    <col width="12" customWidth="1" style="103" min="6" max="6"/>
  </cols>
  <sheetData>
    <row r="1" ht="20.05" customHeight="1" s="103">
      <c r="A1" s="109" t="inlineStr">
        <is>
          <t>MACD Hybrid v2 (8-Dim) — MACD_H2_Int3</t>
        </is>
      </c>
    </row>
    <row r="2">
      <c r="A2" s="107" t="inlineStr">
        <is>
          <t>SLOW Window: Bars 136–1135  (n=1000, anchored from bar 136)</t>
        </is>
      </c>
    </row>
    <row r="3">
      <c r="A3" s="114" t="inlineStr">
        <is>
          <t>FAST Window: Bars 886–1135  (n=250, sliding)</t>
        </is>
      </c>
    </row>
    <row r="4" ht="32.05" customHeight="1" s="103">
      <c r="A4" s="112" t="inlineStr">
        <is>
          <t>8-Dim model. REI two-sided (below + above) with symmetric anchor = (|EDT_outermost_below| + EDT_outermost_above) / 2 — robust to Base_FL asymmetry. SCD = SSA crossing-to-crossing distance (position-agnostic). Col E = editable threshold. Col F = ALERT when threshold crossed.</t>
        </is>
      </c>
    </row>
    <row r="5">
      <c r="A5" s="6" t="n"/>
      <c r="B5" s="6" t="n"/>
      <c r="C5" s="6" t="n"/>
      <c r="D5" s="6" t="n"/>
      <c r="E5" s="6" t="n"/>
      <c r="F5" s="6" t="n"/>
    </row>
    <row r="6">
      <c r="A6" s="7" t="inlineStr">
        <is>
          <t>Metric</t>
        </is>
      </c>
      <c r="B6" s="108" t="inlineStr">
        <is>
          <t>SLOW</t>
        </is>
      </c>
      <c r="C6" s="108" t="inlineStr">
        <is>
          <t>FAST</t>
        </is>
      </c>
      <c r="D6" s="108" t="inlineStr">
        <is>
          <t>Score</t>
        </is>
      </c>
      <c r="E6" s="108" t="inlineStr">
        <is>
          <t>Threshold</t>
        </is>
      </c>
      <c r="F6" s="108" t="inlineStr">
        <is>
          <t>Alert</t>
        </is>
      </c>
    </row>
    <row r="7">
      <c r="A7" s="115" t="inlineStr">
        <is>
          <t>── Structural &amp; Mean-Reversion Metrics ──</t>
        </is>
      </c>
    </row>
    <row r="8">
      <c r="A8" s="10" t="inlineStr">
        <is>
          <t>n (observations)</t>
        </is>
      </c>
      <c r="B8" s="11">
        <f>COUNT('Data Export2 Refine'!AF138:AF1137)</f>
        <v/>
      </c>
      <c r="C8" s="11">
        <f>COUNT('Data Export2 Refine'!AF888:AF1137)</f>
        <v/>
      </c>
    </row>
    <row r="9">
      <c r="A9" s="10" t="inlineStr">
        <is>
          <t>Variance  E[eᵢ²]</t>
        </is>
      </c>
      <c r="B9" s="12">
        <f>AVERAGE('Data Export2 Refine'!AH138:AH1137)</f>
        <v/>
      </c>
      <c r="C9" s="12">
        <f>AVERAGE('Data Export2 Refine'!AH888:AH1137)</f>
        <v/>
      </c>
    </row>
    <row r="10">
      <c r="A10" s="10" t="inlineStr">
        <is>
          <t>σ_rms  (RMS of residuals)</t>
        </is>
      </c>
      <c r="B10" s="12">
        <f>SQRT(AVERAGE('Data Export2 Refine'!AH138:AH1137))</f>
        <v/>
      </c>
      <c r="C10" s="12">
        <f>SQRT(AVERAGE('Data Export2 Refine'!AH888:AH1137))</f>
        <v/>
      </c>
    </row>
    <row r="11">
      <c r="A11" s="10" t="inlineStr">
        <is>
          <t>HL Alpha  (AR1 no-const)</t>
        </is>
      </c>
      <c r="B11" s="12">
        <f>SUMPRODUCT(('Data Export2 Refine'!AG139:AG1137-'Data Export2 Refine'!AG138:AG1136),'Data Export2 Refine'!AG138:AG1136)/SUMPRODUCT('Data Export2 Refine'!AG138:AG1136,'Data Export2 Refine'!AG138:AG1136)</f>
        <v/>
      </c>
      <c r="C11" s="12">
        <f>SUMPRODUCT(('Data Export2 Refine'!AG889:AG1137-'Data Export2 Refine'!AG888:AG1136),'Data Export2 Refine'!AG888:AG1136)/SUMPRODUCT('Data Export2 Refine'!AG888:AG1136,'Data Export2 Refine'!AG888:AG1136)</f>
        <v/>
      </c>
    </row>
    <row r="12">
      <c r="A12" s="10" t="inlineStr">
        <is>
          <t>Half-Life (bars)</t>
        </is>
      </c>
      <c r="B12" s="13">
        <f>IF(B11&gt;=0,9999,-LN(2)/LN(1+B11))</f>
        <v/>
      </c>
      <c r="C12" s="13">
        <f>IF(C11&gt;=0,9999,-LN(2)/LN(1+C11))</f>
        <v/>
      </c>
    </row>
    <row r="13">
      <c r="A13" s="10" t="inlineStr">
        <is>
          <t>R²(close ~ BarIdx)  — linear trend quality</t>
        </is>
      </c>
      <c r="B13" s="12">
        <f>RSQ('Data Export2 Refine'!D138:D1137,'Data Export2 Refine'!AF138:AF1137)</f>
        <v/>
      </c>
      <c r="C13" s="12">
        <f>RSQ('Data Export2 Refine'!D888:D1137,'Data Export2 Refine'!AF888:AF1137)</f>
        <v/>
      </c>
    </row>
    <row r="14">
      <c r="A14" s="6" t="n"/>
      <c r="B14" s="6" t="n"/>
      <c r="C14" s="6" t="n"/>
      <c r="D14" s="6" t="n"/>
      <c r="E14" s="6" t="n"/>
      <c r="F14" s="6" t="n"/>
    </row>
    <row r="15">
      <c r="A15" s="115" t="inlineStr">
        <is>
          <t>── Jarque-Bera Normality Test  (on eᵢ) ──</t>
        </is>
      </c>
    </row>
    <row r="16">
      <c r="A16" s="10" t="inlineStr">
        <is>
          <t>Significance level α</t>
        </is>
      </c>
      <c r="B16" s="13">
        <f>0.05</f>
        <v/>
      </c>
      <c r="C16" s="13">
        <f>0.05</f>
        <v/>
      </c>
    </row>
    <row r="17">
      <c r="A17" s="10" t="inlineStr">
        <is>
          <t>Skewness  S  (SKEW)</t>
        </is>
      </c>
      <c r="B17" s="12">
        <f>SKEW('Data Export2 Refine'!AG138:AG1137)</f>
        <v/>
      </c>
      <c r="C17" s="12">
        <f>SKEW('Data Export2 Refine'!AG888:AG1137)</f>
        <v/>
      </c>
    </row>
    <row r="18">
      <c r="A18" s="10" t="inlineStr">
        <is>
          <t>Excess Kurtosis  K-3  (KURT)</t>
        </is>
      </c>
      <c r="B18" s="12">
        <f>KURT('Data Export2 Refine'!AG138:AG1137)</f>
        <v/>
      </c>
      <c r="C18" s="12">
        <f>KURT('Data Export2 Refine'!AG888:AG1137)</f>
        <v/>
      </c>
    </row>
    <row r="19">
      <c r="A19" s="10" t="inlineStr">
        <is>
          <t>JB Statistic  = n/6·(S²+(K-3)²/4)</t>
        </is>
      </c>
      <c r="B19" s="12">
        <f>B8/6*(B17^2+B18^2/4)</f>
        <v/>
      </c>
      <c r="C19" s="12">
        <f>C8/6*(C17^2+C18^2/4)</f>
        <v/>
      </c>
    </row>
    <row r="20">
      <c r="A20" s="10" t="inlineStr">
        <is>
          <t>p-value  (CHIDIST, df=2)</t>
        </is>
      </c>
      <c r="B20" s="12">
        <f>CHIDIST(B19,2)</f>
        <v/>
      </c>
      <c r="C20" s="12">
        <f>CHIDIST(C19,2)</f>
        <v/>
      </c>
    </row>
    <row r="21">
      <c r="A21" s="10" t="inlineStr">
        <is>
          <t>Critical value  χ²(α,2)  (CHIINV)</t>
        </is>
      </c>
      <c r="B21" s="12">
        <f>CHIINV(B16,2)</f>
        <v/>
      </c>
      <c r="C21" s="12">
        <f>CHIINV(C16,2)</f>
        <v/>
      </c>
    </row>
    <row r="22">
      <c r="A22" s="14" t="inlineStr">
        <is>
          <t>JB Decision (Slow)</t>
        </is>
      </c>
      <c r="B22" s="15">
        <f>IF(B19&gt;B21,"REJECT H₀","FAIL TO REJECT")</f>
        <v/>
      </c>
    </row>
    <row r="23">
      <c r="A23" s="14" t="inlineStr">
        <is>
          <t>JB Decision (Fast)</t>
        </is>
      </c>
      <c r="C23" s="15">
        <f>IF(C19&gt;C21,"REJECT H₀","FAIL TO REJECT")</f>
        <v/>
      </c>
    </row>
    <row r="24">
      <c r="A24" s="6" t="n"/>
      <c r="B24" s="6" t="n"/>
      <c r="C24" s="6" t="n"/>
      <c r="D24" s="6" t="n"/>
      <c r="E24" s="6" t="n"/>
      <c r="F24" s="6" t="n"/>
    </row>
    <row r="25">
      <c r="A25" s="115" t="inlineStr">
        <is>
          <t>── White's Heteroscedasticity Test  (on eᵢ) ──</t>
        </is>
      </c>
    </row>
    <row r="26">
      <c r="A26" s="10" t="inlineStr">
        <is>
          <t>Significance level α</t>
        </is>
      </c>
      <c r="B26" s="13">
        <f>0.05</f>
        <v/>
      </c>
      <c r="C26" s="13">
        <f>0.05</f>
        <v/>
      </c>
    </row>
    <row r="27">
      <c r="A27" s="10" t="inlineStr">
        <is>
          <t>R²_aux  (eᵢ² ~ BarIdx + BarIdx²)</t>
        </is>
      </c>
      <c r="B27" s="12">
        <f>INDEX(LINEST('Data Export2 Refine'!AH138:AH1137,CHOOSE({1,2},'Data Export2 Refine'!AF138:AF1137,'Data Export2 Refine'!AK138:AK1137),TRUE,TRUE),3,1)</f>
        <v/>
      </c>
      <c r="C27" s="12">
        <f>INDEX(LINEST('Data Export2 Refine'!AH888:AH1137,CHOOSE({1,2},'Data Export2 Refine'!AF888:AF1137,'Data Export2 Refine'!AK888:AK1137),TRUE,TRUE),3,1)</f>
        <v/>
      </c>
    </row>
    <row r="28">
      <c r="A28" s="10" t="inlineStr">
        <is>
          <t>LM = n × R²_aux</t>
        </is>
      </c>
      <c r="B28" s="12">
        <f>B8*B27</f>
        <v/>
      </c>
      <c r="C28" s="12">
        <f>C8*C27</f>
        <v/>
      </c>
    </row>
    <row r="29">
      <c r="A29" s="10" t="inlineStr">
        <is>
          <t>p-value  (CHIDIST, df=2)</t>
        </is>
      </c>
      <c r="B29" s="12">
        <f>CHIDIST(B28,2)</f>
        <v/>
      </c>
      <c r="C29" s="12">
        <f>CHIDIST(C28,2)</f>
        <v/>
      </c>
    </row>
    <row r="30">
      <c r="A30" s="10" t="inlineStr">
        <is>
          <t>Critical value  χ²(α,2)  (CHIINV)</t>
        </is>
      </c>
      <c r="B30" s="12">
        <f>CHIINV(B26,2)</f>
        <v/>
      </c>
      <c r="C30" s="12">
        <f>CHIINV(C26,2)</f>
        <v/>
      </c>
    </row>
    <row r="31">
      <c r="A31" s="10" t="inlineStr">
        <is>
          <t>log₁₀(p_White)</t>
        </is>
      </c>
      <c r="B31" s="12">
        <f>IF(B29=0,-300,LOG10(B29))</f>
        <v/>
      </c>
      <c r="C31" s="12">
        <f>IF(C29=0,-300,LOG10(C29))</f>
        <v/>
      </c>
    </row>
    <row r="32">
      <c r="A32" s="14" t="inlineStr">
        <is>
          <t>White's Decision (Slow)</t>
        </is>
      </c>
      <c r="B32" s="15">
        <f>IF(B28&gt;B30,"REJECT H₀","FAIL TO REJECT")</f>
        <v/>
      </c>
    </row>
    <row r="33">
      <c r="A33" s="14" t="inlineStr">
        <is>
          <t>White's Decision (Fast)</t>
        </is>
      </c>
      <c r="C33" s="15">
        <f>IF(C28&gt;C30,"REJECT H₀","FAIL TO REJECT")</f>
        <v/>
      </c>
    </row>
    <row r="34">
      <c r="A34" s="6" t="n"/>
      <c r="B34" s="6" t="n"/>
      <c r="C34" s="6" t="n"/>
      <c r="D34" s="6" t="n"/>
      <c r="E34" s="6" t="n"/>
      <c r="F34" s="6" t="n"/>
    </row>
    <row r="35">
      <c r="A35" s="111" t="inlineStr">
        <is>
          <t>── EDT Extremity  (REI — two-sided, Symmetric Anchor) ──</t>
        </is>
      </c>
    </row>
    <row r="36">
      <c r="A36" s="16" t="inlineStr">
        <is>
          <t>Outermost Below EDT offset  (EDT_8→EDT_7→EDT_6 fallback)  [negative]</t>
        </is>
      </c>
      <c r="B36" s="17">
        <f>IF(SUMPRODUCT(('Data Export2 Refine'!Y138:Y1137&lt;&gt;"")*1)&gt;0,SUMPRODUCT(('Data Export2 Refine'!Y138:Y1137&lt;&gt;"")*('Data Export2 Refine'!Y138:Y1137-'Data Export2 Refine'!Q138:Q1137))/SUMPRODUCT(('Data Export2 Refine'!Y138:Y1137&lt;&gt;"")*1),IF(SUMPRODUCT(('Data Export2 Refine'!X138:X1137&lt;&gt;"")*1)&gt;0,SUMPRODUCT(('Data Export2 Refine'!X138:X1137&lt;&gt;"")*('Data Export2 Refine'!X138:X1137-'Data Export2 Refine'!Q138:Q1137))/SUMPRODUCT(('Data Export2 Refine'!X138:X1137&lt;&gt;"")*1),SUMPRODUCT(('Data Export2 Refine'!W138:W1137&lt;&gt;"")*('Data Export2 Refine'!W138:W1137-'Data Export2 Refine'!Q138:Q1137))/SUMPRODUCT(('Data Export2 Refine'!W138:W1137&lt;&gt;"")*1)))</f>
        <v/>
      </c>
      <c r="C36" s="17">
        <f>IF(SUMPRODUCT(('Data Export2 Refine'!Y888:Y1137&lt;&gt;"")*1)&gt;0,SUMPRODUCT(('Data Export2 Refine'!Y888:Y1137&lt;&gt;"")*('Data Export2 Refine'!Y888:Y1137-'Data Export2 Refine'!Q888:Q1137))/SUMPRODUCT(('Data Export2 Refine'!Y888:Y1137&lt;&gt;"")*1),IF(SUMPRODUCT(('Data Export2 Refine'!X888:X1137&lt;&gt;"")*1)&gt;0,SUMPRODUCT(('Data Export2 Refine'!X888:X1137&lt;&gt;"")*('Data Export2 Refine'!X888:X1137-'Data Export2 Refine'!Q888:Q1137))/SUMPRODUCT(('Data Export2 Refine'!X888:X1137&lt;&gt;"")*1),SUMPRODUCT(('Data Export2 Refine'!W888:W1137&lt;&gt;"")*('Data Export2 Refine'!W888:W1137-'Data Export2 Refine'!Q888:Q1137))/SUMPRODUCT(('Data Export2 Refine'!W888:W1137&lt;&gt;"")*1)))</f>
        <v/>
      </c>
    </row>
    <row r="37">
      <c r="A37" s="16" t="inlineStr">
        <is>
          <t>Outermost Above EDT offset  (EDT_4→EDT_3→EDT_2→EDT_1 fallback)  [positive]</t>
        </is>
      </c>
      <c r="B37" s="17">
        <f>IF(SUMPRODUCT(('Data Export2 Refine'!U138:U1137&lt;&gt;"")*1)&gt;0,SUMPRODUCT(('Data Export2 Refine'!U138:U1137&lt;&gt;"")*('Data Export2 Refine'!U138:U1137-'Data Export2 Refine'!Q138:Q1137))/SUMPRODUCT(('Data Export2 Refine'!U138:U1137&lt;&gt;"")*1),IF(SUMPRODUCT(('Data Export2 Refine'!T138:T1137&lt;&gt;"")*1)&gt;0,SUMPRODUCT(('Data Export2 Refine'!T138:T1137&lt;&gt;"")*('Data Export2 Refine'!T138:T1137-'Data Export2 Refine'!Q138:Q1137))/SUMPRODUCT(('Data Export2 Refine'!T138:T1137&lt;&gt;"")*1),IF(SUMPRODUCT(('Data Export2 Refine'!S138:S1137&lt;&gt;"")*1)&gt;0,SUMPRODUCT(('Data Export2 Refine'!S138:S1137&lt;&gt;"")*('Data Export2 Refine'!S138:S1137-'Data Export2 Refine'!Q138:Q1137))/SUMPRODUCT(('Data Export2 Refine'!S138:S1137&lt;&gt;"")*1),SUMPRODUCT(('Data Export2 Refine'!R138:R1137&lt;&gt;"")*('Data Export2 Refine'!R138:R1137-'Data Export2 Refine'!Q138:Q1137))/SUMPRODUCT(('Data Export2 Refine'!R138:R1137&lt;&gt;"")*1))))</f>
        <v/>
      </c>
      <c r="C37" s="17">
        <f>IF(SUMPRODUCT(('Data Export2 Refine'!U888:U1137&lt;&gt;"")*1)&gt;0,SUMPRODUCT(('Data Export2 Refine'!U888:U1137&lt;&gt;"")*('Data Export2 Refine'!U888:U1137-'Data Export2 Refine'!Q888:Q1137))/SUMPRODUCT(('Data Export2 Refine'!U888:U1137&lt;&gt;"")*1),IF(SUMPRODUCT(('Data Export2 Refine'!T888:T1137&lt;&gt;"")*1)&gt;0,SUMPRODUCT(('Data Export2 Refine'!T888:T1137&lt;&gt;"")*('Data Export2 Refine'!T888:T1137-'Data Export2 Refine'!Q888:Q1137))/SUMPRODUCT(('Data Export2 Refine'!T888:T1137&lt;&gt;"")*1),IF(SUMPRODUCT(('Data Export2 Refine'!S888:S1137&lt;&gt;"")*1)&gt;0,SUMPRODUCT(('Data Export2 Refine'!S888:S1137&lt;&gt;"")*('Data Export2 Refine'!S888:S1137-'Data Export2 Refine'!Q888:Q1137))/SUMPRODUCT(('Data Export2 Refine'!S888:S1137&lt;&gt;"")*1),SUMPRODUCT(('Data Export2 Refine'!R888:R1137&lt;&gt;"")*('Data Export2 Refine'!R888:R1137-'Data Export2 Refine'!Q888:Q1137))/SUMPRODUCT(('Data Export2 Refine'!R888:R1137&lt;&gt;"")*1))))</f>
        <v/>
      </c>
    </row>
    <row r="38">
      <c r="A38" s="37" t="inlineStr">
        <is>
          <t>Symmetric Anchor  =  (|EDT_below| + EDT_above) / 2  — scale reference</t>
        </is>
      </c>
      <c r="B38" s="38">
        <f>IF(AND(B36&lt;0,B37&gt;0),(ABS(B36)+B37)/2,IF(B36&lt;0,ABS(B36),B37))</f>
        <v/>
      </c>
      <c r="C38" s="38">
        <f>IF(AND(C36&lt;0,C37&gt;0),(ABS(C36)+C37)/2,IF(C36&lt;0,ABS(C36),C37))</f>
        <v/>
      </c>
    </row>
    <row r="39">
      <c r="A39" s="16" t="inlineStr">
        <is>
          <t>REI_below  =  min(eᵢ) / Sym_anchor  [negative → below extreme]</t>
        </is>
      </c>
      <c r="B39" s="18">
        <f>IF(B38&gt;0,MIN('Data Export2 Refine'!AG138:AG1137)/B38,"N/A")</f>
        <v/>
      </c>
      <c r="C39" s="18">
        <f>IF(C38&gt;0,MIN('Data Export2 Refine'!AG888:AG1137)/C38,"N/A")</f>
        <v/>
      </c>
    </row>
    <row r="40">
      <c r="A40" s="16" t="inlineStr">
        <is>
          <t>REI_above  =  max(eᵢ) / Sym_anchor  [positive → above extreme]</t>
        </is>
      </c>
      <c r="B40" s="18">
        <f>IF(B38&gt;0,MAX('Data Export2 Refine'!AG138:AG1137)/B38,"N/A")</f>
        <v/>
      </c>
      <c r="C40" s="18">
        <f>IF(C38&gt;0,MAX('Data Export2 Refine'!AG888:AG1137)/C38,"N/A")</f>
        <v/>
      </c>
    </row>
    <row r="41">
      <c r="A41" s="19" t="inlineStr">
        <is>
          <t>max(eᵢ)  — informational</t>
        </is>
      </c>
      <c r="B41" s="20">
        <f>MAX('Data Export2 Refine'!AG138:AG1137)</f>
        <v/>
      </c>
      <c r="C41" s="20">
        <f>MAX('Data Export2 Refine'!AG888:AG1137)</f>
        <v/>
      </c>
    </row>
    <row r="42">
      <c r="A42" s="19" t="inlineStr">
        <is>
          <t>min(eᵢ)  — informational</t>
        </is>
      </c>
      <c r="B42" s="20">
        <f>MIN('Data Export2 Refine'!AG138:AG1137)</f>
        <v/>
      </c>
      <c r="C42" s="20">
        <f>MIN('Data Export2 Refine'!AG888:AG1137)</f>
        <v/>
      </c>
    </row>
    <row r="43">
      <c r="A43" s="111" t="inlineStr">
        <is>
          <t>── SSA Crossing Distance  (SCD — position-agnostic swing amplitude) ──</t>
        </is>
      </c>
    </row>
    <row r="44">
      <c r="A44" s="16" t="inlineStr">
        <is>
          <t>n crossings  (SSA ↔ EMA-SSA in window)</t>
        </is>
      </c>
      <c r="B44" s="21">
        <f>SUMPRODUCT(('Data Export2 Refine'!AD138:AD1137=1)*1)</f>
        <v/>
      </c>
      <c r="C44" s="21">
        <f>SUMPRODUCT(('Data Export2 Refine'!AD888:AD1137=1)*1)</f>
        <v/>
      </c>
    </row>
    <row r="45" ht="52.5" customHeight="1" s="103">
      <c r="A45" s="16" t="inlineStr">
        <is>
          <t>SCD mean  =  avg |SSA_cross_i − SSA_cross_{i-1}|</t>
        </is>
      </c>
      <c r="B45" s="17">
        <f>IFERROR(AVERAGEIF('Data Export2 Refine'!AM138:AM1137,"&lt;&gt;"),0)</f>
        <v/>
      </c>
      <c r="C45" s="17">
        <f>IFERROR(AVERAGEIF('Data Export2 Refine'!AM888:AM1137,"&lt;&gt;"),0)</f>
        <v/>
      </c>
      <c r="D45" s="22" t="inlineStr">
        <is>
          <t>← scored. Detects large swings anywhere in EDT channel, independent of Base_FL.</t>
        </is>
      </c>
    </row>
    <row r="46">
      <c r="A46" s="19" t="inlineStr">
        <is>
          <t>SCD max  =  largest single crossing swing  (informational)</t>
        </is>
      </c>
      <c r="B46" s="20">
        <f>MAX('Data Export2 Refine'!AM138:AM1137)</f>
        <v/>
      </c>
      <c r="C46" s="20">
        <f>MAX('Data Export2 Refine'!AM888:AM1137)</f>
        <v/>
      </c>
    </row>
    <row r="47">
      <c r="A47" s="6" t="n"/>
      <c r="B47" s="6" t="n"/>
      <c r="C47" s="6" t="n"/>
      <c r="D47" s="6" t="n"/>
      <c r="E47" s="6" t="n"/>
      <c r="F47" s="6" t="n"/>
    </row>
    <row r="48">
      <c r="A48" s="113" t="inlineStr">
        <is>
          <t>── Individual Scores &amp; Threshold Flags  —  8 Dimensions ──</t>
        </is>
      </c>
    </row>
    <row r="49">
      <c r="A49" s="23" t="inlineStr">
        <is>
          <t>Metric  [weight]</t>
        </is>
      </c>
      <c r="B49" s="24" t="inlineStr">
        <is>
          <t>Ratio / Signal</t>
        </is>
      </c>
      <c r="C49" s="24" t="n"/>
      <c r="D49" s="24" t="inlineStr">
        <is>
          <t>Score  (−100 to +100)</t>
        </is>
      </c>
      <c r="E49" s="24" t="inlineStr">
        <is>
          <t>Threshold ← edit</t>
        </is>
      </c>
      <c r="F49" s="24" t="inlineStr">
        <is>
          <t>Alert</t>
        </is>
      </c>
    </row>
    <row r="50">
      <c r="A50" s="25" t="inlineStr">
        <is>
          <t>Half-Life ratio (fast/slow)  — mean reversion speed   [weight=25%]</t>
        </is>
      </c>
      <c r="B50" s="26">
        <f>IF(AND(B12&gt;0,B12&lt;9999),C12/B12,9999)</f>
        <v/>
      </c>
      <c r="D50" s="27">
        <f>MAX(-100,MIN(100,(1-B50)*100))</f>
        <v/>
      </c>
      <c r="E50" s="39" t="n">
        <v>50</v>
      </c>
      <c r="F50" s="40">
        <f>IF(D50&gt;=E50,"ALERT","—")</f>
        <v/>
      </c>
    </row>
    <row r="51">
      <c r="A51" s="25" t="inlineStr">
        <is>
          <t>Variance Ratio (fast/slow)  — variance divergence   [weight=10%]</t>
        </is>
      </c>
      <c r="B51" s="26">
        <f>IF(B9&gt;0,C9/B9,1)</f>
        <v/>
      </c>
      <c r="D51" s="27">
        <f>MAX(-100,MIN(0,-ABS(B51-1)*100))</f>
        <v/>
      </c>
      <c r="E51" s="39" t="n">
        <v>-50</v>
      </c>
      <c r="F51" s="40">
        <f>IF(D51&lt;=E51,"ALERT","—")</f>
        <v/>
      </c>
    </row>
    <row r="52">
      <c r="A52" s="25" t="inlineStr">
        <is>
          <t>REI_below ratio (fast/slow)  — oversold extreme retreat  [bullish]   [weight=10%]</t>
        </is>
      </c>
      <c r="B52" s="26">
        <f>IF(AND(ISNUMBER(B39),ISNUMBER(C39),B39&lt;0,C39&lt;0),C39/B39,1)</f>
        <v/>
      </c>
      <c r="D52" s="27">
        <f>MAX(-100,MIN(100,(1-B52)*100))</f>
        <v/>
      </c>
      <c r="E52" s="39" t="n">
        <v>60</v>
      </c>
      <c r="F52" s="40">
        <f>IF(D52&gt;=E52,"ALERT","—")</f>
        <v/>
      </c>
    </row>
    <row r="53">
      <c r="A53" s="25" t="inlineStr">
        <is>
          <t>REI_above ratio (fast/slow)  — overbought extreme retreat  [bearish]   [weight=10%]</t>
        </is>
      </c>
      <c r="B53" s="26">
        <f>IF(AND(ISNUMBER(B40),ISNUMBER(C40),B40&gt;0,C40&gt;0),C40/B40,1)</f>
        <v/>
      </c>
      <c r="D53" s="27">
        <f>MAX(-100,MIN(100,(1-B53)*100))</f>
        <v/>
      </c>
      <c r="E53" s="39" t="n">
        <v>60</v>
      </c>
      <c r="F53" s="40">
        <f>IF(D53&gt;=E53,"ALERT","—")</f>
        <v/>
      </c>
    </row>
    <row r="54">
      <c r="A54" s="25" t="inlineStr">
        <is>
          <t>SCD ratio (fast mean / slow mean)  — swing intensity   [weight=20%]</t>
        </is>
      </c>
      <c r="B54" s="26">
        <f>IF(B45&gt;0,C45/B45,1)</f>
        <v/>
      </c>
      <c r="D54" s="27">
        <f>MAX(-100,MIN(100,(B54-1)*200))</f>
        <v/>
      </c>
      <c r="E54" s="39" t="n">
        <v>50</v>
      </c>
      <c r="F54" s="40">
        <f>IF(D54&gt;=E54,"ALERT","—")</f>
        <v/>
      </c>
    </row>
    <row r="55">
      <c r="A55" s="25" t="inlineStr">
        <is>
          <t>R²_close ratio (fast/slow)  — trend coherence   [weight=10%]</t>
        </is>
      </c>
      <c r="B55" s="26">
        <f>IF(B13&gt;0.001,C13/B13,0)</f>
        <v/>
      </c>
      <c r="D55" s="27">
        <f>MAX(-100,MIN(100,(B55-1)*100))</f>
        <v/>
      </c>
      <c r="E55" s="39" t="n">
        <v>-50</v>
      </c>
      <c r="F55" s="40">
        <f>IF(D55&lt;=E55,"ALERT","—")</f>
        <v/>
      </c>
    </row>
    <row r="56">
      <c r="A56" s="25" t="inlineStr">
        <is>
          <t>White's  Δlog₁₀p (fast−slow)  — heteroscedasticity   [weight=10%]</t>
        </is>
      </c>
      <c r="B56" s="26">
        <f>C31-B31</f>
        <v/>
      </c>
      <c r="D56" s="27">
        <f>MAX(-100,MIN(100,B56*5))</f>
        <v/>
      </c>
      <c r="E56" s="39" t="n">
        <v>50</v>
      </c>
      <c r="F56" s="40">
        <f>IF(D56&gt;=E56,"ALERT","—")</f>
        <v/>
      </c>
    </row>
    <row r="57">
      <c r="A57" s="25" t="inlineStr">
        <is>
          <t>JB ratio (fast/slow)  — residual normality   [weight=5%]</t>
        </is>
      </c>
      <c r="B57" s="26">
        <f>IF(B19&gt;0,C19/B19,1)</f>
        <v/>
      </c>
      <c r="D57" s="27">
        <f>MAX(-100,MIN(100,(1-B57)*100))</f>
        <v/>
      </c>
      <c r="E57" s="39" t="n">
        <v>-30</v>
      </c>
      <c r="F57" s="40">
        <f>IF(D57&lt;=E57,"ALERT","—")</f>
        <v/>
      </c>
    </row>
    <row r="58">
      <c r="A58" s="6" t="n"/>
      <c r="B58" s="6" t="n"/>
      <c r="C58" s="6" t="n"/>
      <c r="D58" s="6" t="n"/>
      <c r="E58" s="6" t="n"/>
      <c r="F58" s="6" t="n"/>
    </row>
    <row r="59">
      <c r="A59" s="108" t="inlineStr">
        <is>
          <t>── Composite Score  (secondary context) ──</t>
        </is>
      </c>
    </row>
    <row r="60">
      <c r="A60" s="108" t="inlineStr">
        <is>
          <t>Composite Score (8D)  [HL=25 VR=10 REI_b=10 REI_a=10 SCD=20 R²=10 W=10 JB=5]</t>
        </is>
      </c>
      <c r="D60" s="118">
        <f>0.25*D50+0.1*D51+0.1*D52+0.1*D53+0.2*D54+0.1*D55+0.1*D56+0.05*D57</f>
        <v/>
      </c>
    </row>
    <row r="61" ht="28" customHeight="1" s="103">
      <c r="A61" s="110" t="inlineStr">
        <is>
          <t>Composite Interpretation  (secondary — individual flags are primary)</t>
        </is>
      </c>
      <c r="D61" s="29">
        <f>IF(D60&gt;50,"STRONG BREAKOUT SETUP",IF(D60&gt;20,"MODERATE SETUP — watch for trigger",IF(D60&gt;0,"MILD POSITIVE — early signs",IF(D60&gt;-20,"MIXED — signals conflicting",IF(D60&gt;-50,"STRUCTURAL WEAKNESS","HIGH CAUTION / TREND INTACT")))))</f>
        <v/>
      </c>
    </row>
  </sheetData>
  <mergeCells count="13">
    <mergeCell ref="A2:F2"/>
    <mergeCell ref="A60:C60"/>
    <mergeCell ref="A1:F1"/>
    <mergeCell ref="A61:C61"/>
    <mergeCell ref="A35:F35"/>
    <mergeCell ref="A4:F4"/>
    <mergeCell ref="A48:F48"/>
    <mergeCell ref="A3:F3"/>
    <mergeCell ref="A59:F59"/>
    <mergeCell ref="A15:F15"/>
    <mergeCell ref="A7:F7"/>
    <mergeCell ref="A25:F25"/>
    <mergeCell ref="A43:F4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8"/>
  <sheetViews>
    <sheetView workbookViewId="0">
      <selection activeCell="A1" sqref="A1:G1"/>
    </sheetView>
  </sheetViews>
  <sheetFormatPr baseColWidth="8" defaultRowHeight="14.4"/>
  <cols>
    <col width="38" customWidth="1" style="103" min="1" max="1"/>
    <col width="15" customWidth="1" style="103" min="2" max="7"/>
  </cols>
  <sheetData>
    <row r="1" ht="22" customHeight="1" s="103">
      <c r="A1" s="109" t="inlineStr">
        <is>
          <t>MACD Hybrid v2 — 8-Dim Comparison  |  Int1 / Int2 / Int3</t>
        </is>
      </c>
    </row>
    <row r="2" ht="36" customHeight="1" s="103">
      <c r="A2" s="112" t="inlineStr">
        <is>
          <t>Weights: HL=25%  VR=10%  REI_below=10%  REI_above=10%  SCD=20%  R²=10%  White=10%  JB=5%  |  REI two-sided with symmetric anchor. SCD = SSA crossing amplitude (position-agnostic). Individual threshold flags in each interval sheet (col E=threshold, col F=alert).</t>
        </is>
      </c>
    </row>
    <row r="3">
      <c r="A3" s="120" t="inlineStr">
        <is>
          <t>Metric</t>
        </is>
      </c>
      <c r="B3" s="115" t="inlineStr">
        <is>
          <t>Int1 SLOW</t>
        </is>
      </c>
      <c r="C3" s="31" t="inlineStr">
        <is>
          <t>Int1 FAST</t>
        </is>
      </c>
      <c r="D3" s="115" t="inlineStr">
        <is>
          <t>Int2 SLOW</t>
        </is>
      </c>
      <c r="E3" s="31" t="inlineStr">
        <is>
          <t>Int2 FAST</t>
        </is>
      </c>
      <c r="F3" s="115" t="inlineStr">
        <is>
          <t>Int3 SLOW</t>
        </is>
      </c>
      <c r="G3" s="31" t="inlineStr">
        <is>
          <t>Int3 FAST</t>
        </is>
      </c>
    </row>
    <row r="4">
      <c r="A4" s="115" t="inlineStr">
        <is>
          <t>── METRIC VALUES ──</t>
        </is>
      </c>
    </row>
    <row r="5">
      <c r="A5" s="14" t="inlineStr">
        <is>
          <t>n (obs)</t>
        </is>
      </c>
      <c r="B5" s="32">
        <f>MACD_H2_Int1!B8</f>
        <v/>
      </c>
      <c r="C5" s="32">
        <f>MACD_H2_Int1!C8</f>
        <v/>
      </c>
      <c r="D5" s="32">
        <f>MACD_H2_Int2!B8</f>
        <v/>
      </c>
      <c r="E5" s="32">
        <f>MACD_H2_Int2!C8</f>
        <v/>
      </c>
      <c r="F5" s="32">
        <f>MACD_H2_Int3!B8</f>
        <v/>
      </c>
      <c r="G5" s="32">
        <f>MACD_H2_Int3!C8</f>
        <v/>
      </c>
    </row>
    <row r="6">
      <c r="A6" s="14" t="inlineStr">
        <is>
          <t>σ_rms</t>
        </is>
      </c>
      <c r="B6" s="33">
        <f>MACD_H2_Int1!B10</f>
        <v/>
      </c>
      <c r="C6" s="33">
        <f>MACD_H2_Int1!C10</f>
        <v/>
      </c>
      <c r="D6" s="33">
        <f>MACD_H2_Int2!B10</f>
        <v/>
      </c>
      <c r="E6" s="33">
        <f>MACD_H2_Int2!C10</f>
        <v/>
      </c>
      <c r="F6" s="33">
        <f>MACD_H2_Int3!B10</f>
        <v/>
      </c>
      <c r="G6" s="33">
        <f>MACD_H2_Int3!C10</f>
        <v/>
      </c>
    </row>
    <row r="7">
      <c r="A7" s="14" t="inlineStr">
        <is>
          <t>Half-Life (bars)</t>
        </is>
      </c>
      <c r="B7" s="33">
        <f>MACD_H2_Int1!B12</f>
        <v/>
      </c>
      <c r="C7" s="33">
        <f>MACD_H2_Int1!C12</f>
        <v/>
      </c>
      <c r="D7" s="33">
        <f>MACD_H2_Int2!B12</f>
        <v/>
      </c>
      <c r="E7" s="33">
        <f>MACD_H2_Int2!C12</f>
        <v/>
      </c>
      <c r="F7" s="33">
        <f>MACD_H2_Int3!B12</f>
        <v/>
      </c>
      <c r="G7" s="33">
        <f>MACD_H2_Int3!C12</f>
        <v/>
      </c>
    </row>
    <row r="8">
      <c r="A8" s="14" t="inlineStr">
        <is>
          <t>R²(close~BarIdx)</t>
        </is>
      </c>
      <c r="B8" s="34">
        <f>MACD_H2_Int1!B13</f>
        <v/>
      </c>
      <c r="C8" s="34">
        <f>MACD_H2_Int1!C13</f>
        <v/>
      </c>
      <c r="D8" s="34">
        <f>MACD_H2_Int2!B13</f>
        <v/>
      </c>
      <c r="E8" s="34">
        <f>MACD_H2_Int2!C13</f>
        <v/>
      </c>
      <c r="F8" s="34">
        <f>MACD_H2_Int3!B13</f>
        <v/>
      </c>
      <c r="G8" s="34">
        <f>MACD_H2_Int3!C13</f>
        <v/>
      </c>
    </row>
    <row r="9">
      <c r="A9" s="14" t="inlineStr">
        <is>
          <t>JB Statistic</t>
        </is>
      </c>
      <c r="B9" s="34">
        <f>MACD_H2_Int1!B19</f>
        <v/>
      </c>
      <c r="C9" s="34">
        <f>MACD_H2_Int1!C19</f>
        <v/>
      </c>
      <c r="D9" s="34">
        <f>MACD_H2_Int2!B19</f>
        <v/>
      </c>
      <c r="E9" s="34">
        <f>MACD_H2_Int2!C19</f>
        <v/>
      </c>
      <c r="F9" s="34">
        <f>MACD_H2_Int3!B19</f>
        <v/>
      </c>
      <c r="G9" s="34">
        <f>MACD_H2_Int3!C19</f>
        <v/>
      </c>
    </row>
    <row r="10">
      <c r="A10" s="14" t="inlineStr">
        <is>
          <t>p-value JB</t>
        </is>
      </c>
      <c r="B10" s="34">
        <f>MACD_H2_Int1!B20</f>
        <v/>
      </c>
      <c r="C10" s="34">
        <f>MACD_H2_Int1!C20</f>
        <v/>
      </c>
      <c r="D10" s="34">
        <f>MACD_H2_Int2!B20</f>
        <v/>
      </c>
      <c r="E10" s="34">
        <f>MACD_H2_Int2!C20</f>
        <v/>
      </c>
      <c r="F10" s="34">
        <f>MACD_H2_Int3!B20</f>
        <v/>
      </c>
      <c r="G10" s="34">
        <f>MACD_H2_Int3!C20</f>
        <v/>
      </c>
    </row>
    <row r="11">
      <c r="A11" s="14" t="inlineStr">
        <is>
          <t>log₁₀(p_White)</t>
        </is>
      </c>
      <c r="B11" s="34">
        <f>MACD_H2_Int1!B31</f>
        <v/>
      </c>
      <c r="C11" s="34">
        <f>MACD_H2_Int1!C31</f>
        <v/>
      </c>
      <c r="D11" s="34">
        <f>MACD_H2_Int2!B31</f>
        <v/>
      </c>
      <c r="E11" s="34">
        <f>MACD_H2_Int2!C31</f>
        <v/>
      </c>
      <c r="F11" s="34">
        <f>MACD_H2_Int3!B31</f>
        <v/>
      </c>
      <c r="G11" s="34">
        <f>MACD_H2_Int3!C31</f>
        <v/>
      </c>
    </row>
    <row r="12">
      <c r="A12" s="14" t="inlineStr">
        <is>
          <t>EDT Offset (below)</t>
        </is>
      </c>
      <c r="B12" s="33">
        <f>MACD_H2_Int1!B36</f>
        <v/>
      </c>
      <c r="C12" s="33">
        <f>MACD_H2_Int1!C36</f>
        <v/>
      </c>
      <c r="D12" s="33">
        <f>MACD_H2_Int2!B36</f>
        <v/>
      </c>
      <c r="E12" s="33">
        <f>MACD_H2_Int2!C36</f>
        <v/>
      </c>
      <c r="F12" s="33">
        <f>MACD_H2_Int3!B36</f>
        <v/>
      </c>
      <c r="G12" s="33">
        <f>MACD_H2_Int3!C36</f>
        <v/>
      </c>
    </row>
    <row r="13">
      <c r="A13" s="14" t="inlineStr">
        <is>
          <t>EDT Offset (above)</t>
        </is>
      </c>
      <c r="B13" s="33">
        <f>MACD_H2_Int1!B37</f>
        <v/>
      </c>
      <c r="C13" s="33">
        <f>MACD_H2_Int1!C37</f>
        <v/>
      </c>
      <c r="D13" s="33">
        <f>MACD_H2_Int2!B37</f>
        <v/>
      </c>
      <c r="E13" s="33">
        <f>MACD_H2_Int2!C37</f>
        <v/>
      </c>
      <c r="F13" s="33">
        <f>MACD_H2_Int3!B37</f>
        <v/>
      </c>
      <c r="G13" s="33">
        <f>MACD_H2_Int3!C37</f>
        <v/>
      </c>
    </row>
    <row r="14">
      <c r="A14" s="14" t="inlineStr">
        <is>
          <t>Symmetric Anchor</t>
        </is>
      </c>
      <c r="B14" s="33">
        <f>MACD_H2_Int1!B38</f>
        <v/>
      </c>
      <c r="C14" s="33">
        <f>MACD_H2_Int1!C38</f>
        <v/>
      </c>
      <c r="D14" s="33">
        <f>MACD_H2_Int2!B38</f>
        <v/>
      </c>
      <c r="E14" s="33">
        <f>MACD_H2_Int2!C38</f>
        <v/>
      </c>
      <c r="F14" s="33">
        <f>MACD_H2_Int3!B38</f>
        <v/>
      </c>
      <c r="G14" s="33">
        <f>MACD_H2_Int3!C38</f>
        <v/>
      </c>
    </row>
    <row r="15">
      <c r="A15" s="14" t="inlineStr">
        <is>
          <t>REI_below</t>
        </is>
      </c>
      <c r="B15" s="34">
        <f>MACD_H2_Int1!B39</f>
        <v/>
      </c>
      <c r="C15" s="34">
        <f>MACD_H2_Int1!C39</f>
        <v/>
      </c>
      <c r="D15" s="34">
        <f>MACD_H2_Int2!B39</f>
        <v/>
      </c>
      <c r="E15" s="34">
        <f>MACD_H2_Int2!C39</f>
        <v/>
      </c>
      <c r="F15" s="34">
        <f>MACD_H2_Int3!B39</f>
        <v/>
      </c>
      <c r="G15" s="34">
        <f>MACD_H2_Int3!C39</f>
        <v/>
      </c>
    </row>
    <row r="16">
      <c r="A16" s="14" t="inlineStr">
        <is>
          <t>REI_above</t>
        </is>
      </c>
      <c r="B16" s="34">
        <f>MACD_H2_Int1!B40</f>
        <v/>
      </c>
      <c r="C16" s="34">
        <f>MACD_H2_Int1!C40</f>
        <v/>
      </c>
      <c r="D16" s="34">
        <f>MACD_H2_Int2!B40</f>
        <v/>
      </c>
      <c r="E16" s="34">
        <f>MACD_H2_Int2!C40</f>
        <v/>
      </c>
      <c r="F16" s="34">
        <f>MACD_H2_Int3!B40</f>
        <v/>
      </c>
      <c r="G16" s="34">
        <f>MACD_H2_Int3!C40</f>
        <v/>
      </c>
    </row>
    <row r="17">
      <c r="A17" s="14" t="inlineStr">
        <is>
          <t>SCD n_crossings</t>
        </is>
      </c>
      <c r="B17" s="32">
        <f>MACD_H2_Int1!B44</f>
        <v/>
      </c>
      <c r="C17" s="32">
        <f>MACD_H2_Int1!C44</f>
        <v/>
      </c>
      <c r="D17" s="32">
        <f>MACD_H2_Int2!B44</f>
        <v/>
      </c>
      <c r="E17" s="32">
        <f>MACD_H2_Int2!C44</f>
        <v/>
      </c>
      <c r="F17" s="32">
        <f>MACD_H2_Int3!B44</f>
        <v/>
      </c>
      <c r="G17" s="32">
        <f>MACD_H2_Int3!C44</f>
        <v/>
      </c>
    </row>
    <row r="18">
      <c r="A18" s="14" t="inlineStr">
        <is>
          <t>SCD mean (swing Δ)</t>
        </is>
      </c>
      <c r="B18" s="33">
        <f>MACD_H2_Int1!B45</f>
        <v/>
      </c>
      <c r="C18" s="33">
        <f>MACD_H2_Int1!C45</f>
        <v/>
      </c>
      <c r="D18" s="33">
        <f>MACD_H2_Int2!B45</f>
        <v/>
      </c>
      <c r="E18" s="33">
        <f>MACD_H2_Int2!C45</f>
        <v/>
      </c>
      <c r="F18" s="33">
        <f>MACD_H2_Int3!B45</f>
        <v/>
      </c>
      <c r="G18" s="33">
        <f>MACD_H2_Int3!C45</f>
        <v/>
      </c>
    </row>
    <row r="19">
      <c r="A19" s="14" t="inlineStr">
        <is>
          <t>SCD max</t>
        </is>
      </c>
      <c r="B19" s="33">
        <f>MACD_H2_Int1!B46</f>
        <v/>
      </c>
      <c r="C19" s="33">
        <f>MACD_H2_Int1!C46</f>
        <v/>
      </c>
      <c r="D19" s="33">
        <f>MACD_H2_Int2!B46</f>
        <v/>
      </c>
      <c r="E19" s="33">
        <f>MACD_H2_Int2!C46</f>
        <v/>
      </c>
      <c r="F19" s="33">
        <f>MACD_H2_Int3!B46</f>
        <v/>
      </c>
      <c r="G19" s="33">
        <f>MACD_H2_Int3!C46</f>
        <v/>
      </c>
    </row>
    <row r="21">
      <c r="A21" s="113" t="inlineStr">
        <is>
          <t>── SCORES  (individual threshold flags → see each interval sheet col E/F) ──</t>
        </is>
      </c>
    </row>
    <row r="22">
      <c r="A22" s="35" t="inlineStr">
        <is>
          <t>Score: HL         [25%]</t>
        </is>
      </c>
      <c r="B22" s="116">
        <f>MACD_H2_Int1!D50</f>
        <v/>
      </c>
      <c r="D22" s="116">
        <f>MACD_H2_Int2!D50</f>
        <v/>
      </c>
      <c r="F22" s="116">
        <f>MACD_H2_Int3!D50</f>
        <v/>
      </c>
    </row>
    <row r="23">
      <c r="A23" s="35" t="inlineStr">
        <is>
          <t>Score: VR         [10%]</t>
        </is>
      </c>
      <c r="B23" s="116">
        <f>MACD_H2_Int1!D51</f>
        <v/>
      </c>
      <c r="D23" s="116">
        <f>MACD_H2_Int2!D51</f>
        <v/>
      </c>
      <c r="F23" s="116">
        <f>MACD_H2_Int3!D51</f>
        <v/>
      </c>
    </row>
    <row r="24">
      <c r="A24" s="35" t="inlineStr">
        <is>
          <t>Score: REI_below  [10%]</t>
        </is>
      </c>
      <c r="B24" s="116">
        <f>MACD_H2_Int1!D52</f>
        <v/>
      </c>
      <c r="D24" s="116">
        <f>MACD_H2_Int2!D52</f>
        <v/>
      </c>
      <c r="F24" s="116">
        <f>MACD_H2_Int3!D52</f>
        <v/>
      </c>
    </row>
    <row r="25">
      <c r="A25" s="35" t="inlineStr">
        <is>
          <t>Score: REI_above  [10%]</t>
        </is>
      </c>
      <c r="B25" s="116">
        <f>MACD_H2_Int1!D53</f>
        <v/>
      </c>
      <c r="D25" s="116">
        <f>MACD_H2_Int2!D53</f>
        <v/>
      </c>
      <c r="F25" s="116">
        <f>MACD_H2_Int3!D53</f>
        <v/>
      </c>
    </row>
    <row r="26">
      <c r="A26" s="35" t="inlineStr">
        <is>
          <t>Score: SCD        [20%]</t>
        </is>
      </c>
      <c r="B26" s="116">
        <f>MACD_H2_Int1!D54</f>
        <v/>
      </c>
      <c r="D26" s="116">
        <f>MACD_H2_Int2!D54</f>
        <v/>
      </c>
      <c r="F26" s="116">
        <f>MACD_H2_Int3!D54</f>
        <v/>
      </c>
    </row>
    <row r="27">
      <c r="A27" s="35" t="inlineStr">
        <is>
          <t>Score: R²         [10%]</t>
        </is>
      </c>
      <c r="B27" s="116">
        <f>MACD_H2_Int1!D55</f>
        <v/>
      </c>
      <c r="D27" s="116">
        <f>MACD_H2_Int2!D55</f>
        <v/>
      </c>
      <c r="F27" s="116">
        <f>MACD_H2_Int3!D55</f>
        <v/>
      </c>
    </row>
    <row r="28">
      <c r="A28" s="35" t="inlineStr">
        <is>
          <t>Score: White      [10%]</t>
        </is>
      </c>
      <c r="B28" s="116">
        <f>MACD_H2_Int1!D56</f>
        <v/>
      </c>
      <c r="D28" s="116">
        <f>MACD_H2_Int2!D56</f>
        <v/>
      </c>
      <c r="F28" s="116">
        <f>MACD_H2_Int3!D56</f>
        <v/>
      </c>
    </row>
    <row r="29">
      <c r="A29" s="35" t="inlineStr">
        <is>
          <t>Score: JB         [ 5%]</t>
        </is>
      </c>
      <c r="B29" s="116">
        <f>MACD_H2_Int1!D57</f>
        <v/>
      </c>
      <c r="D29" s="116">
        <f>MACD_H2_Int2!D57</f>
        <v/>
      </c>
      <c r="F29" s="116">
        <f>MACD_H2_Int3!D57</f>
        <v/>
      </c>
    </row>
    <row r="30">
      <c r="A30" s="7" t="inlineStr">
        <is>
          <t>COMPOSITE SCORE (8D)</t>
        </is>
      </c>
      <c r="B30" s="118">
        <f>MACD_H2_Int1!D60</f>
        <v/>
      </c>
      <c r="D30" s="118">
        <f>MACD_H2_Int2!D60</f>
        <v/>
      </c>
      <c r="F30" s="118">
        <f>MACD_H2_Int3!D60</f>
        <v/>
      </c>
    </row>
    <row r="31">
      <c r="A31" s="36" t="inlineStr">
        <is>
          <t>Interpretation</t>
        </is>
      </c>
      <c r="B31" s="117">
        <f>MACD_H2_Int1!D61</f>
        <v/>
      </c>
      <c r="D31" s="117">
        <f>MACD_H2_Int2!D61</f>
        <v/>
      </c>
      <c r="F31" s="117">
        <f>MACD_H2_Int3!D61</f>
        <v/>
      </c>
    </row>
    <row r="33">
      <c r="A33" s="120" t="inlineStr">
        <is>
          <t>── Trader Narrative (from 8-Dim model) ──</t>
        </is>
      </c>
    </row>
    <row r="34" ht="60" customHeight="1" s="103">
      <c r="A34" s="121" t="inlineStr">
        <is>
          <t>Int1  (Bars 386–635): Trend quality collapses (R²_fast≪R²_slow → sc_R2 very negative → R² flag). SCD_fast &lt; SCD_slow — swing amplitude still below average. REI_below mild — price not yet at outer lower fence. First structural warning: downtrend losing linear coherence.</t>
        </is>
      </c>
    </row>
    <row r="35" ht="60" customHeight="1" s="103">
      <c r="A35" s="121" t="inlineStr">
        <is>
          <t>Int2  (Bars 636–885): Price touches outermost below EDT band (REI_below_fast ≈ −1.0 vs sym_anchor). One extraordinary large SCD swing (89.9 pts, the double-bottom low). SCD correctly captures this because swing occurred between lower EDT bands, not crossing Base_FL (ABR was blind to this; SCD is not). Sellers exhausted at the symmetric-anchor extreme.</t>
        </is>
      </c>
    </row>
    <row r="36" ht="60" customHeight="1" s="103">
      <c r="A36" s="121" t="inlineStr">
        <is>
          <t>Int3  (Bars 886–1135): REI_below score high positive → price retreated from lower extreme. SCD_fast highest of all intervals (mean 22.1 vs slow 17.4, ratio≈1.27, score≈+55). 5 of top-10 largest crossing swings occur here — "extraordinary large swings" confirmed. HL extends to ~96 bars. REI_below and SCD flags both triggered. R² and HL flags confirm structural break. All signals converge: breakout imminent.</t>
        </is>
      </c>
    </row>
    <row r="38" ht="72" customHeight="1" s="103">
      <c r="A38" s="119" t="inlineStr">
        <is>
          <t>Design Notes: (1) REI now two-sided: REI_below detects oversold extremes, REI_above detects overbought extremes — both reported independently. (2) Symmetric anchor = (|EDT_outermost_below| + EDT_outermost_above) / 2 — robust to Base_FL positional asymmetry within the EDT channel. (3) Individual threshold flags (col E=threshold editable, col F=ALERT) in each interval sheet: one factor crossing its threshold is a standalone breakout signal, not dependent on composite. Composite is retained as secondary context only.</t>
        </is>
      </c>
    </row>
  </sheetData>
  <mergeCells count="39">
    <mergeCell ref="B25:C25"/>
    <mergeCell ref="F29:G29"/>
    <mergeCell ref="F25:G25"/>
    <mergeCell ref="A35:G35"/>
    <mergeCell ref="A4:G4"/>
    <mergeCell ref="B22:C22"/>
    <mergeCell ref="A38:G38"/>
    <mergeCell ref="D22:E22"/>
    <mergeCell ref="B31:C31"/>
    <mergeCell ref="B27:C27"/>
    <mergeCell ref="D31:E31"/>
    <mergeCell ref="A33:G33"/>
    <mergeCell ref="F24:G24"/>
    <mergeCell ref="F30:G30"/>
    <mergeCell ref="D27:E27"/>
    <mergeCell ref="A34:G34"/>
    <mergeCell ref="B23:C23"/>
    <mergeCell ref="F26:G26"/>
    <mergeCell ref="A36:G36"/>
    <mergeCell ref="A1:G1"/>
    <mergeCell ref="B29:C29"/>
    <mergeCell ref="F23:G23"/>
    <mergeCell ref="B28:C28"/>
    <mergeCell ref="F31:G31"/>
    <mergeCell ref="D28:E28"/>
    <mergeCell ref="F22:G22"/>
    <mergeCell ref="F28:G28"/>
    <mergeCell ref="F27:G27"/>
    <mergeCell ref="D25:E25"/>
    <mergeCell ref="B30:C30"/>
    <mergeCell ref="B24:C24"/>
    <mergeCell ref="D24:E24"/>
    <mergeCell ref="D30:E30"/>
    <mergeCell ref="A21:G21"/>
    <mergeCell ref="D29:E29"/>
    <mergeCell ref="D23:E23"/>
    <mergeCell ref="A2:G2"/>
    <mergeCell ref="B26:C26"/>
    <mergeCell ref="D26:E2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0"/>
  <sheetViews>
    <sheetView topLeftCell="A67" workbookViewId="0">
      <selection activeCell="A1" sqref="A1:F1"/>
    </sheetView>
  </sheetViews>
  <sheetFormatPr baseColWidth="8" defaultRowHeight="14.4"/>
  <cols>
    <col width="22" customWidth="1" style="103" min="1" max="1"/>
    <col width="24" customWidth="1" style="103" min="2" max="2"/>
    <col width="44" customWidth="1" style="103" min="3" max="3"/>
    <col width="48" customWidth="1" style="103" min="4" max="4"/>
    <col width="17" customWidth="1" style="103" min="5" max="5"/>
    <col width="54" customWidth="1" style="103" min="6" max="6"/>
  </cols>
  <sheetData>
    <row r="1" ht="26.05" customHeight="1" s="103">
      <c r="A1" s="122" t="inlineStr">
        <is>
          <t>MACD Hybrid v2  —  8-Dimension Signal Guide  |  LLM Knowledge Base for Trader Guidance</t>
        </is>
      </c>
    </row>
    <row r="2" ht="52" customHeight="1" s="103">
      <c r="A2" s="126" t="inlineStr">
        <is>
          <t>PURPOSE: This sheet is a knowledge base for LLMs to translate statistical signals into plain-language guidance for non-statistician traders. Each of the 8 model dimensions is mapped to concrete price behaviors, channel context, and actionable guidance. Individual ALERT flags (col E/F in interval sheets) are the PRIMARY signals. Composite score is secondary context. One factor crossing its threshold alone can indicate a high-probability setup.</t>
        </is>
      </c>
    </row>
    <row r="3" ht="18" customHeight="1" s="103">
      <c r="A3" s="41" t="inlineStr">
        <is>
          <t>Dimension / Score Range</t>
        </is>
      </c>
      <c r="B3" s="41" t="inlineStr">
        <is>
          <t>Score Condition</t>
        </is>
      </c>
      <c r="C3" s="41" t="inlineStr">
        <is>
          <t>What Statistics Show</t>
        </is>
      </c>
      <c r="D3" s="41" t="inlineStr">
        <is>
          <t>Price Behavior  (Trader View)</t>
        </is>
      </c>
      <c r="E3" s="41" t="inlineStr">
        <is>
          <t>Signal Type</t>
        </is>
      </c>
      <c r="F3" s="41" t="inlineStr">
        <is>
          <t>LLM Guidance Text</t>
        </is>
      </c>
    </row>
    <row r="4" ht="22" customHeight="1" s="103">
      <c r="A4" s="125" t="inlineStr">
        <is>
          <t>1. HALF-LIFE (HL)</t>
        </is>
      </c>
    </row>
    <row r="5" ht="44.05" customHeight="1" s="103">
      <c r="A5" s="127" t="inlineStr">
        <is>
          <t>DEFINITION:  How quickly price residuals (deviations from the Base_FL regression line) decay back toward zero. Short HL = price snaps back to Base_FL fast (channel is strong). Long HL = price takes a long time to return (channel pull is weakening). Ratio = HL_fast / HL_slow. Score = (1 − ratio) × 100. Alert fires when Score ≥ 50 (HL_fast much shorter than baseline = channel holding tightly).</t>
        </is>
      </c>
    </row>
    <row r="6" ht="88" customHeight="1" s="103">
      <c r="A6" s="42" t="inlineStr">
        <is>
          <t>HALF-LIFE</t>
        </is>
      </c>
      <c r="B6" s="43" t="inlineStr">
        <is>
          <t>Score &gt; +50  ⚑ ALERT
Ratio &lt; 0.5
HL_fast &lt;&lt; HL_slow</t>
        </is>
      </c>
      <c r="C6" s="44" t="inlineStr">
        <is>
          <t>Mean reversion is dramatically FASTER than the long-term baseline. Price deviations from Base_FL are corrected very quickly. The AR(1) coefficient is unusually strong — residuals do not persist.</t>
        </is>
      </c>
      <c r="D6" s="45" t="inlineStr">
        <is>
          <t>Price touches an EDT band and immediately bounces back to Base_FL. Oscillations are short and sharp. Each swing is quickly erased. Candles look like they are "magnetically" pulled back to the regression center. Price rarely lingers near the outer EDT lines.</t>
        </is>
      </c>
      <c r="E6" s="46" t="inlineStr">
        <is>
          <t>CHANNEL HOLD
/ Coiling</t>
        </is>
      </c>
      <c r="F6" s="47" t="inlineStr">
        <is>
          <t>Price is being aggressively pulled back to its regression center — the channel walls are acting as very strong magnets. This can mean two things: (a) The channel is in full control — range-bound trades from EDT bands back toward Base_FL are favored; (b) A spring is being compressed — when combined with VR compression or SCD alerts, an explosive breakout may follow this tight coiling phase. Do not interpret HL alert alone as a breakout signal; look for companion signals.</t>
        </is>
      </c>
    </row>
    <row r="7" ht="88" customHeight="1" s="103">
      <c r="A7" s="48" t="inlineStr">
        <is>
          <t>HALF-LIFE</t>
        </is>
      </c>
      <c r="B7" s="43" t="inlineStr">
        <is>
          <t>Score near 0
Ratio ≈ 1.0
HL_fast ≈ HL_slow</t>
        </is>
      </c>
      <c r="C7" s="49" t="inlineStr">
        <is>
          <t>Mean reversion speed in the recent window matches the long-term average. No significant change in residual persistence.</t>
        </is>
      </c>
      <c r="D7" s="50" t="inlineStr">
        <is>
          <t>Price oscillates around Base_FL at a historically normal pace. Swings toward EDT bands are followed by typical-speed returns. Nothing unusual — the channel is functioning as expected.</t>
        </is>
      </c>
      <c r="E7" s="51" t="inlineStr">
        <is>
          <t>NEUTRAL
Normal Channel</t>
        </is>
      </c>
      <c r="F7" s="47" t="inlineStr">
        <is>
          <t>Price is behaving as expected within its regression channel. Mean reversion is working at its historical pace — no structural change in channel dynamics. No action required from this signal alone.</t>
        </is>
      </c>
    </row>
    <row r="8" ht="88" customHeight="1" s="103">
      <c r="A8" s="42" t="inlineStr">
        <is>
          <t>HALF-LIFE</t>
        </is>
      </c>
      <c r="B8" s="43" t="inlineStr">
        <is>
          <t>Score &lt; −50
Ratio &gt; 1.5
HL_fast &gt;&gt; HL_slow</t>
        </is>
      </c>
      <c r="C8" s="44" t="inlineStr">
        <is>
          <t>Mean reversion is much SLOWER than the long-term baseline. Price residuals are more persistent — once price moves away from Base_FL, it takes significantly longer to return than historically expected.</t>
        </is>
      </c>
      <c r="D8" s="45" t="inlineStr">
        <is>
          <t>Price moves toward an outer EDT band and STAYS there longer than normal. It drifts along the outer channel lines rather than bouncing back promptly. The "rubber band" pull toward Base_FL appears to be weakening. Price is beginning to behave more like a trending instrument than a mean-reverting one.</t>
        </is>
      </c>
      <c r="E8" s="52" t="inlineStr">
        <is>
          <t>PRE-BREAKOUT
Trend Building</t>
        </is>
      </c>
      <c r="F8" s="47" t="inlineStr">
        <is>
          <t>The channel's grip on price is loosening. Price is no longer snapping back to its regression center at the usual speed — residuals are becoming persistent. This is an early statistical warning that price may be building toward a directional breakout. The longer price lingers near an outer EDT band without returning, the more likely a breakout becomes. Combine with REI and SCD signals to assess which direction and how close the breakout is.</t>
        </is>
      </c>
    </row>
    <row r="9" ht="88" customHeight="1" s="103">
      <c r="A9" s="48" t="inlineStr">
        <is>
          <t>HALF-LIFE</t>
        </is>
      </c>
      <c r="B9" s="43" t="inlineStr">
        <is>
          <t>Score &lt; −80
Ratio &gt; 1.8
Extremely slow reversion</t>
        </is>
      </c>
      <c r="C9" s="49" t="inlineStr">
        <is>
          <t>Mean reversion has nearly stalled. Residuals are highly persistent. The AR(1) coefficient is near zero or positive — price is trending, not oscillating.</t>
        </is>
      </c>
      <c r="D9" s="50" t="inlineStr">
        <is>
          <t>Price is moving strongly in one direction and not correcting back to Base_FL. It may have already left the current channel structure entirely. EDT bands on one side are being breached repeatedly without a return.</t>
        </is>
      </c>
      <c r="E9" s="53" t="inlineStr">
        <is>
          <t>BREAKOUT
In Progress</t>
        </is>
      </c>
      <c r="F9" s="47" t="inlineStr">
        <is>
          <t>The channel's mean-reversion mechanism has effectively failed in the recent window. Price is in trending mode. If already in a position in the direction of the move, consider holding. If looking to enter, be aware that the channel boundaries may no longer act as reliable support/resistance — price may continue beyond the outer EDT bands.</t>
        </is>
      </c>
    </row>
    <row r="10" ht="4" customHeight="1" s="103">
      <c r="A10" s="54" t="n"/>
      <c r="B10" s="54" t="n"/>
      <c r="C10" s="54" t="n"/>
      <c r="D10" s="54" t="n"/>
      <c r="E10" s="54" t="n"/>
      <c r="F10" s="54" t="n"/>
    </row>
    <row r="11" ht="22" customHeight="1" s="103">
      <c r="A11" s="125" t="inlineStr">
        <is>
          <t>2. VARIANCE RATIO (VR)</t>
        </is>
      </c>
    </row>
    <row r="12" ht="44.05" customHeight="1" s="103">
      <c r="A12" s="127" t="inlineStr">
        <is>
          <t>DEFINITION:  Measures how different the recent price swing size (variance of residuals) is from the long-term baseline. VR Score is ALWAYS ≤ 0 — it is a symmetric divergence penalty in either direction. Ratio = Var_fast / Var_slow. Ratio &gt; 1 = swings EXPANDING (bigger moves). Ratio &lt; 1 = swings CONTRACTING (smaller moves). Score = −|ratio − 1| × 100. Alert fires when Score ≤ −50 (fast variance is more than 50% different from long-term baseline, in either direction). IMPORTANT: Always check the Ratio value alongside the score to determine expansion vs. contraction.</t>
        </is>
      </c>
    </row>
    <row r="13" ht="88" customHeight="1" s="103">
      <c r="A13" s="42" t="inlineStr">
        <is>
          <t>VARIANCE RATIO</t>
        </is>
      </c>
      <c r="B13" s="43" t="inlineStr">
        <is>
          <t>Score ≤ −50  ⚑ ALERT
Ratio &gt; 1.5
Fast variance &gt;&gt; Slow
(Expanding)</t>
        </is>
      </c>
      <c r="C13" s="44" t="inlineStr">
        <is>
          <t>Recent price swings are significantly LARGER than the long-term baseline. The variance of residuals (eᵢ = Close − Base_FL) has expanded dramatically. Price is deviating further from Base_FL than historically expected.</t>
        </is>
      </c>
      <c r="D13" s="45" t="inlineStr">
        <is>
          <t>Bars are making noticeably bigger moves away from Base_FL. Price is reaching or piercing the outer EDT bands more frequently. ATR has expanded. Candles look bigger. Each oscillation cycle is covering more price distance than the historical norm. The channel is being tested with greater force on both sides.</t>
        </is>
      </c>
      <c r="E13" s="55" t="inlineStr">
        <is>
          <t>VOLATILITY
EXPANSION</t>
        </is>
      </c>
      <c r="F13" s="47" t="inlineStr">
        <is>
          <t>Price is moving more aggressively than its historical norm — volatility is building. This is the fuel that drives breakouts. Expanding variance alone does not give direction, but combined with REI_below recovery (price bouncing from lower extreme) it confirms a real directional move is beginning. Widen expected price targets to outer EDT bands or beyond. Tighten stops if already in a position, as larger swings mean larger reversals are also possible.</t>
        </is>
      </c>
    </row>
    <row r="14" ht="88" customHeight="1" s="103">
      <c r="A14" s="48" t="inlineStr">
        <is>
          <t>VARIANCE RATIO</t>
        </is>
      </c>
      <c r="B14" s="43" t="inlineStr">
        <is>
          <t>Score ≤ −50  ⚑ ALERT
Ratio &lt; 0.5
Fast variance &lt;&lt; Slow
(Contracting)</t>
        </is>
      </c>
      <c r="C14" s="49" t="inlineStr">
        <is>
          <t>Recent price swings are significantly SMALLER than the long-term baseline. The variance of residuals has compressed. Price is staying unusually close to Base_FL — deviations are smaller than normal.</t>
        </is>
      </c>
      <c r="D14" s="50" t="inlineStr">
        <is>
          <t>Tight, narrow oscillations around Base_FL. Price is not reaching the outer EDT bands. Candles look small and quiet. ATR has compressed. Price looks "coiled" or consolidating within a very narrow channel around the regression center. Volume may also be declining.</t>
        </is>
      </c>
      <c r="E14" s="55" t="inlineStr">
        <is>
          <t>VOLATILITY
COMPRESSION
(Coiling)</t>
        </is>
      </c>
      <c r="F14" s="47" t="inlineStr">
        <is>
          <t>Price is compressing into a tight range — like a coiled spring storing energy. Historically, volatility compression is followed by volatility expansion (breakout). The direction is not yet determined by this signal alone. Watch for REI_below or REI_above to signal which side breaks first. A breakout from a VR compression alert can be particularly sharp and fast — price "releases" the stored energy quickly once direction is established.</t>
        </is>
      </c>
    </row>
    <row r="15" ht="88" customHeight="1" s="103">
      <c r="A15" s="42" t="inlineStr">
        <is>
          <t>VARIANCE RATIO</t>
        </is>
      </c>
      <c r="B15" s="43" t="inlineStr">
        <is>
          <t>Score near 0
Ratio ≈ 1.0
Fast ≈ Slow variance</t>
        </is>
      </c>
      <c r="C15" s="44" t="inlineStr">
        <is>
          <t>Recent price variance matches the long-term baseline. Swing sizes are historically normal — no unusual compression or expansion.</t>
        </is>
      </c>
      <c r="D15" s="45" t="inlineStr">
        <is>
          <t>Price is making typical-sized moves — not unusually large or small. EDT band touches occur at the normal expected frequency. Consistent, predictable oscillation amplitude.</t>
        </is>
      </c>
      <c r="E15" s="51" t="inlineStr">
        <is>
          <t>NEUTRAL
Normal Swings</t>
        </is>
      </c>
      <c r="F15" s="47" t="inlineStr">
        <is>
          <t>Volatility is at historical norms. No unusual change in price swing intensity. No action from this signal alone.</t>
        </is>
      </c>
    </row>
    <row r="16" ht="88" customHeight="1" s="103">
      <c r="A16" s="48" t="inlineStr">
        <is>
          <t>VARIANCE RATIO</t>
        </is>
      </c>
      <c r="B16" s="43" t="inlineStr">
        <is>
          <t>Score −20 to −50
Ratio 0.5 to 1.5
Moderate divergence</t>
        </is>
      </c>
      <c r="C16" s="49" t="inlineStr">
        <is>
          <t>Variance has diverged moderately from the baseline — a mild expansion or contraction. Not yet at alert threshold but moving in a direction.</t>
        </is>
      </c>
      <c r="D16" s="50" t="inlineStr">
        <is>
          <t>Swings are slightly larger or smaller than usual. Not dramatic enough to classify as volatility expansion or compression.</t>
        </is>
      </c>
      <c r="E16" s="56" t="inlineStr">
        <is>
          <t>WATCHING
Early Shift</t>
        </is>
      </c>
      <c r="F16" s="47" t="inlineStr">
        <is>
          <t>Variance is starting to diverge from baseline but has not reached alert threshold yet. Monitor for progression toward ALERT level. If paired with other early signals, note the direction of change (ratio above or below 1.0).</t>
        </is>
      </c>
    </row>
    <row r="17" ht="4" customHeight="1" s="103">
      <c r="A17" s="54" t="n"/>
      <c r="B17" s="54" t="n"/>
      <c r="C17" s="54" t="n"/>
      <c r="D17" s="54" t="n"/>
      <c r="E17" s="54" t="n"/>
      <c r="F17" s="54" t="n"/>
    </row>
    <row r="18" ht="22" customHeight="1" s="103">
      <c r="A18" s="125" t="inlineStr">
        <is>
          <t>3. REI_BELOW  (Oversold Extreme)</t>
        </is>
      </c>
    </row>
    <row r="19" ht="44.05" customHeight="1" s="103">
      <c r="A19" s="127" t="inlineStr">
        <is>
          <t>DEFINITION:  Measures whether price reached the outer LOWER EDT band AND has since retreated. REI_below = min(eᵢ) / Symmetric_anchor, where Symmetric_anchor = (|EDT_outermost_below| + EDT_outermost_above) / 2. Value is negative (price below Base_FL). Ratio = REI_below_fast / REI_below_slow (both negative → positive ratio). Score = (1 − ratio) × 100. Positive score = fast window shows LESS extreme lower deviation than slow baseline = price has retreated from the lower fence. Alert fires when Score ≥ 60.</t>
        </is>
      </c>
    </row>
    <row r="20" ht="88" customHeight="1" s="103">
      <c r="A20" s="42" t="inlineStr">
        <is>
          <t>REI_BELOW</t>
        </is>
      </c>
      <c r="B20" s="43" t="inlineStr">
        <is>
          <t>Score &gt; +60  ⚑ ALERT
Ratio &lt; 0.4
Fast min(eᵢ) much less negative</t>
        </is>
      </c>
      <c r="C20" s="44" t="inlineStr">
        <is>
          <t>The deepest price drop (relative to the symmetric anchor scale) in the fast window is much shallower than in the slow baseline. Price previously reached the outer lower EDT fence — the statistical extreme oversold boundary — and has now significantly retreated toward Base_FL or above it. The oversold extreme event has occurred AND reversed.</t>
        </is>
      </c>
      <c r="D20" s="45" t="inlineStr">
        <is>
          <t>Price dropped to or near the outermost lower EDT band (the "floor" of the channel) and has since bounced back convincingly toward the center or upper zones. On the chart this looks like: a sharp drop to the lowest visible purple line, a wick or hammer candle at that level, followed by recovery. The low is in — sellers appear exhausted at the outer boundary. This is the statistical confirmation of a chart pattern traders call "touching major support."</t>
        </is>
      </c>
      <c r="E20" s="57" t="inlineStr">
        <is>
          <t>BULLISH
Oversold
Exhaustion</t>
        </is>
      </c>
      <c r="F20" s="47" t="inlineStr">
        <is>
          <t>STRONG BUY SETUP SIGNAL. Price visited the statistical extreme of its channel (the outer lower fence) and is now recovering — sellers have been exhausted at the boundary. This is the most direct confirmation of what chart traders see as a strong bounce from a key support zone. Consider long entries near Base_FL or at the lower EDT bands with targets at upper EDT bands. Risk is below the outer lower EDT band. When this fires alongside SCD ALERT and White ALERT, this is the highest-conviction long setup in the model.</t>
        </is>
      </c>
    </row>
    <row r="21" ht="88" customHeight="1" s="103">
      <c r="A21" s="48" t="inlineStr">
        <is>
          <t>REI_BELOW</t>
        </is>
      </c>
      <c r="B21" s="43" t="inlineStr">
        <is>
          <t>Score +20 to +60
Ratio 0.4 to 0.8
Moderate recovery</t>
        </is>
      </c>
      <c r="C21" s="49" t="inlineStr">
        <is>
          <t>Price has begun retreating from the lower extreme but the recovery is not yet dramatic. REI_below_fast is less negative than baseline but not dramatically so. An early-stage recovery from the lower EDT zone.</t>
        </is>
      </c>
      <c r="D21" s="50" t="inlineStr">
        <is>
          <t>Price has bounced from the lower EDT area but has not yet made a convincing return to Base_FL. The bounce may be shallow. Candles are recovering but are still in the lower half of the channel. The oversold condition is easing but not fully resolved.</t>
        </is>
      </c>
      <c r="E21" s="58" t="inlineStr">
        <is>
          <t>MILD BULLISH
Early Recovery</t>
        </is>
      </c>
      <c r="F21" s="47" t="inlineStr">
        <is>
          <t>Early signs of oversold recovery are present but the signal is not yet at full strength. Watch for this to develop into a full ALERT (score &gt; 60). Do not enter aggressively on this alone — wait for either the threshold to be crossed or for a companion signal (SCD or HL) to confirm the recovery is genuine.</t>
        </is>
      </c>
    </row>
    <row r="22" ht="88" customHeight="1" s="103">
      <c r="A22" s="42" t="inlineStr">
        <is>
          <t>REI_BELOW</t>
        </is>
      </c>
      <c r="B22" s="43" t="inlineStr">
        <is>
          <t>Score near 0
Ratio ≈ 1.0</t>
        </is>
      </c>
      <c r="C22" s="44" t="inlineStr">
        <is>
          <t>No significant difference in lower extreme behavior between the fast and slow windows. Price is not making unusual visits to the outer lower EDT bands.</t>
        </is>
      </c>
      <c r="D22" s="45" t="inlineStr">
        <is>
          <t>Price is oscillating normally, not reaching the outer lower lines in any meaningful way. The lower EDT bands are not being tested. Price is likely in the middle or upper portion of the channel.</t>
        </is>
      </c>
      <c r="E22" s="51" t="inlineStr">
        <is>
          <t>NEUTRAL</t>
        </is>
      </c>
      <c r="F22" s="47" t="inlineStr">
        <is>
          <t>No oversold extreme has been detected. Price has not tested the outer lower fence. This is the normal state when price is in an uptrend or mid-channel oscillation.</t>
        </is>
      </c>
    </row>
    <row r="23" ht="88" customHeight="1" s="103">
      <c r="A23" s="48" t="inlineStr">
        <is>
          <t>REI_BELOW</t>
        </is>
      </c>
      <c r="B23" s="43" t="inlineStr">
        <is>
          <t>Score &lt; 0
Ratio &gt; 1.0
Fast min(eᵢ) MORE negative</t>
        </is>
      </c>
      <c r="C23" s="49" t="inlineStr">
        <is>
          <t>The recent fast window is showing a DEEPER excursion into the lower EDT zone than the slow baseline. Price is currently pressing further into oversold territory. The decline is active — no recovery has occurred yet.</t>
        </is>
      </c>
      <c r="D23" s="50" t="inlineStr">
        <is>
          <t>Price is currently falling toward or through the outer lower EDT bands. Selling pressure is fresh and active. Price may be making new lows within the channel. The "floor" has not yet acted as support — price is still testing or breaching it.</t>
        </is>
      </c>
      <c r="E23" s="59" t="inlineStr">
        <is>
          <t>BEARISH
Oversold
Forming</t>
        </is>
      </c>
      <c r="F23" s="47" t="inlineStr">
        <is>
          <t>Do NOT treat this as a buy signal. Price is moving into extreme oversold territory but no reversal is confirmed. A very negative REI_below fast value means price is currently at or below the outer lower fence — this is dangerous territory for longs. WAIT for the ratio to reverse below 1.0 (score turns positive) before considering long entries. If SCD is also high and this is extreme, the "extraordinary large swing" event may be occurring NOW — it will become a buy setup AFTER the reversal is confirmed.</t>
        </is>
      </c>
    </row>
    <row r="24" ht="4" customHeight="1" s="103">
      <c r="A24" s="54" t="n"/>
      <c r="B24" s="54" t="n"/>
      <c r="C24" s="54" t="n"/>
      <c r="D24" s="54" t="n"/>
      <c r="E24" s="54" t="n"/>
      <c r="F24" s="54" t="n"/>
    </row>
    <row r="25" ht="22" customHeight="1" s="103">
      <c r="A25" s="125" t="inlineStr">
        <is>
          <t>4. REI_ABOVE  (Overbought Extreme)</t>
        </is>
      </c>
    </row>
    <row r="26" ht="44.05" customHeight="1" s="103">
      <c r="A26" s="127" t="inlineStr">
        <is>
          <t>DEFINITION:  Measures whether price reached the outer UPPER EDT band AND has since retreated. REI_above = max(eᵢ) / Symmetric_anchor. Value is positive (price above Base_FL). Ratio = REI_above_fast / REI_above_slow (both positive → positive ratio). Score = (1 − ratio) × 100. Positive score = fast window shows LESS extreme upper deviation = price retreated from upper fence. Alert fires when Score ≥ 60. Reported INDEPENDENTLY from REI_below — both can fire simultaneously.</t>
        </is>
      </c>
    </row>
    <row r="27" ht="88" customHeight="1" s="103">
      <c r="A27" s="42" t="inlineStr">
        <is>
          <t>REI_ABOVE</t>
        </is>
      </c>
      <c r="B27" s="43" t="inlineStr">
        <is>
          <t>Score &gt; +60  ⚑ ALERT
Ratio &lt; 0.4
Fast max(eᵢ) much smaller</t>
        </is>
      </c>
      <c r="C27" s="44" t="inlineStr">
        <is>
          <t>Price previously reached the outer upper EDT fence (the statistical extreme overbought boundary) and has now significantly retreated toward Base_FL or below it in the fast window. The overbought extreme event has occurred AND reversed.</t>
        </is>
      </c>
      <c r="D27" s="45" t="inlineStr">
        <is>
          <t>Price pushed up to or near the outermost upper EDT band (the "ceiling" of the channel) and has since pulled back convincingly toward the center or lower zones. On the chart: a rally to the highest visible purple line, a potential shooting star or rejection wick at that level, followed by decline. Buyers appear exhausted at the upper boundary. This is the statistical confirmation of "price touched major resistance and rejected."</t>
        </is>
      </c>
      <c r="E27" s="59" t="inlineStr">
        <is>
          <t>BEARISH
Overbought
Exhaustion</t>
        </is>
      </c>
      <c r="F27" s="47" t="inlineStr">
        <is>
          <t>STRONG SELL SETUP SIGNAL. Price visited the statistical extreme of its channel (outer upper fence) and is now declining — buyers have been exhausted at the boundary. This is the mirror image of the REI_below bullish signal. Consider short entries near Base_FL or upper EDT bands with targets at lower EDT bands. Risk is above the outer upper EDT band.</t>
        </is>
      </c>
    </row>
    <row r="28" ht="88" customHeight="1" s="103">
      <c r="A28" s="48" t="inlineStr">
        <is>
          <t>REI_ABOVE</t>
        </is>
      </c>
      <c r="B28" s="43" t="inlineStr">
        <is>
          <t>Score near 0
Ratio ≈ 1.0</t>
        </is>
      </c>
      <c r="C28" s="49" t="inlineStr">
        <is>
          <t>No significant visit to the outer upper EDT zone, or behavior unchanged between windows. Price has not meaningfully tested the upper channel extreme.</t>
        </is>
      </c>
      <c r="D28" s="50" t="inlineStr">
        <is>
          <t>Price is not reaching the outer upper EDT bands. Typical during downtrends or when price is in the lower half of the channel.</t>
        </is>
      </c>
      <c r="E28" s="51" t="inlineStr">
        <is>
          <t>NEUTRAL</t>
        </is>
      </c>
      <c r="F28" s="47" t="inlineStr">
        <is>
          <t>No overbought extreme detected. Price has not tested the outer upper fence. This is the normal state during bearish or neutral market phases.</t>
        </is>
      </c>
    </row>
    <row r="29" ht="88" customHeight="1" s="103">
      <c r="A29" s="42" t="inlineStr">
        <is>
          <t>REI_ABOVE</t>
        </is>
      </c>
      <c r="B29" s="43" t="inlineStr">
        <is>
          <t>Score &lt; 0
Ratio &gt; 1.0
Fast max(eᵢ) LARGER</t>
        </is>
      </c>
      <c r="C29" s="44" t="inlineStr">
        <is>
          <t>Price is currently pushing further into upper EDT extreme territory in the fast window. Overbought condition is forming but has NOT reversed yet.</t>
        </is>
      </c>
      <c r="D29" s="45" t="inlineStr">
        <is>
          <t>Price is rallying toward or through the outer upper EDT bands. Momentum is upward and testing the upper channel ceiling. New highs within the channel are being made.</t>
        </is>
      </c>
      <c r="E29" s="59" t="inlineStr">
        <is>
          <t>OVERBOUGHT
Forming</t>
        </is>
      </c>
      <c r="F29" s="47" t="inlineStr">
        <is>
          <t>An overbought extreme is building — price is at or near the upper outer fence. Do NOT short yet. Wait for the ratio to reverse below 1.0 (score turns positive) before considering short entries. The overbought condition must REVERSE before it becomes a sell signal.</t>
        </is>
      </c>
    </row>
    <row r="30" ht="88" customHeight="1" s="103">
      <c r="A30" s="48" t="inlineStr">
        <is>
          <t>REI_ABOVE</t>
        </is>
      </c>
      <c r="B30" s="43" t="inlineStr">
        <is>
          <t>REI_below ALERT
+ REI_above ALERT
both firing</t>
        </is>
      </c>
      <c r="C30" s="49" t="inlineStr">
        <is>
          <t>Within the combined measurement windows, price visited BOTH the outer lower AND outer upper EDT fences. Both extremes have been reached and partially recovered. The full channel range has been swept.</t>
        </is>
      </c>
      <c r="D30" s="50" t="inlineStr">
        <is>
          <t>Extremely large bidirectional swings. Price traveled from the lowest to the highest EDT bands (or close to it) and recovered from both extremes. Visually: large volatile swings covering the full channel width, with wicks touching both outer bands. The channel is under maximum stress.</t>
        </is>
      </c>
      <c r="E30" s="59" t="inlineStr">
        <is>
          <t>EXTREME
BIDIRECTIONAL
VOLATILITY</t>
        </is>
      </c>
      <c r="F30" s="47" t="inlineStr">
        <is>
          <t>Price has tested both extremes of its statistical channel — both buyers and sellers have reached exhaustion. This represents maximum channel stress and almost always precedes a major directional resolution. The NEXT significant move will reveal the winning direction. Watch which REI score is HIGHER after both fire — the side with higher recovery score gives the directional bias. Combined with SCD ALERT, this confirms the "extraordinary large swing" scenario described in the model.</t>
        </is>
      </c>
    </row>
    <row r="31" ht="4" customHeight="1" s="103">
      <c r="A31" s="54" t="n"/>
      <c r="B31" s="54" t="n"/>
      <c r="C31" s="54" t="n"/>
      <c r="D31" s="54" t="n"/>
      <c r="E31" s="54" t="n"/>
      <c r="F31" s="54" t="n"/>
    </row>
    <row r="32" ht="22" customHeight="1" s="103">
      <c r="A32" s="125" t="inlineStr">
        <is>
          <t>5. SCD  (SSA Crossing Distance — Swing Amplitude)</t>
        </is>
      </c>
    </row>
    <row r="33" ht="44.05" customHeight="1" s="103">
      <c r="A33" s="127" t="inlineStr">
        <is>
          <t>DEFINITION:  Measures the amplitude of SSA oscillation cycles. At each crossing of SSA and EMA-SSA lines on the chart, SCD records the distance |SSA_now − SSA_prev_crossing|. SCD_mean is the average of all crossing distances in the window. Ratio = SCD_mean_fast / SCD_mean_slow. Score = (ratio − 1) × 200. KEY ADVANTAGE: SCD is position-agnostic — it detects large swings occurring entirely within the upper or lower EDT bands, even when price never crosses Base_FL. This is the correction to the old ABR flaw. Alert fires when Score ≥ 50.</t>
        </is>
      </c>
    </row>
    <row r="34" ht="88" customHeight="1" s="103">
      <c r="A34" s="42" t="inlineStr">
        <is>
          <t>SCD</t>
        </is>
      </c>
      <c r="B34" s="43" t="inlineStr">
        <is>
          <t>Score &gt; +50  ⚑ ALERT
Ratio &gt; 1.25
Fast SCD mean &gt;&gt; Slow</t>
        </is>
      </c>
      <c r="C34" s="44" t="inlineStr">
        <is>
          <t>The average amplitude of SSA oscillation cycles in the recent window is significantly larger than the long-term baseline. Each "wave" of the SSA trend line is covering more distance between peaks and troughs. The crossing events between SSA and EMA-SSA are occurring with more force.</t>
        </is>
      </c>
      <c r="D34" s="45" t="inlineStr">
        <is>
          <t>Price is making bigger directional swings than usual. Even if price has not crossed Base_FL, the internal momentum cycles are growing — this is detectable deep in the lower or upper EDT zone. On the chart: the SSA line (blue oscillating line) is making taller waves. Individual impulse moves are covering more price distance before reversing. This is the direct statistical confirmation of the "extraordinary large swings" that chart traders observe before breakouts.</t>
        </is>
      </c>
      <c r="E34" s="58" t="inlineStr">
        <is>
          <t>SWING
INTENSITY
BUILDING</t>
        </is>
      </c>
      <c r="F34" s="47" t="inlineStr">
        <is>
          <t>The underlying momentum engine of price is amplifying — bigger oscillation cycles mean more energy is being stored. This is the fuel that drives breakouts, and it is captured here even when the large swings are occurring entirely within a lower or upper EDT zone (which the old ABR metric missed entirely). When REI_below ALERT also fires, this combination is the strongest pre-breakout signature in the model. The "extraordinary large swing" at the double bottom that preceded the chart breakout was detected by SCD, not ABR.</t>
        </is>
      </c>
    </row>
    <row r="35" ht="88" customHeight="1" s="103">
      <c r="A35" s="48" t="inlineStr">
        <is>
          <t>SCD</t>
        </is>
      </c>
      <c r="B35" s="43" t="inlineStr">
        <is>
          <t>Score &gt; +100 (capped)
Ratio &gt; 1.5
Extreme amplitude</t>
        </is>
      </c>
      <c r="C35" s="49" t="inlineStr">
        <is>
          <t>SSA crossing amplitude is extreme — recent cycles are more than 50% larger than historical average. A rare, high-magnitude swing event is occurring.</t>
        </is>
      </c>
      <c r="D35" s="50" t="inlineStr">
        <is>
          <t>Extraordinary large price swings are happening right now or just occurred. Price may be sweeping across multiple EDT bands in a single directional impulse. Visually: a very large candle or rapid series of candles covering an unusually large price range. The "once in many bars" event.</t>
        </is>
      </c>
      <c r="E35" s="59" t="inlineStr">
        <is>
          <t>EXTREME SWING
Rare Event</t>
        </is>
      </c>
      <c r="F35" s="47" t="inlineStr">
        <is>
          <t>This is the statistical marker of an extraordinary swing — the kind of event that chart traders circle and label. In a pre-breakout context, this is the large swing that either marks the final extreme before reversal, or is the breakout move itself beginning. If REI_below has just fired, the large swing was the final washout low — a bullish entry setup. If REI_below has not yet fired, the large swing may still be in progress — wait for confirmation.</t>
        </is>
      </c>
    </row>
    <row r="36" ht="88" customHeight="1" s="103">
      <c r="A36" s="42" t="inlineStr">
        <is>
          <t>SCD</t>
        </is>
      </c>
      <c r="B36" s="43" t="inlineStr">
        <is>
          <t>Score near 0
Ratio ≈ 1.0</t>
        </is>
      </c>
      <c r="C36" s="44" t="inlineStr">
        <is>
          <t>SSA crossing amplitude is consistent with the long-term baseline. Normal oscillation cycles with typical amplitude.</t>
        </is>
      </c>
      <c r="D36" s="45" t="inlineStr">
        <is>
          <t>Price waves are of average size. SSA line crossings with EMA-SSA are happening with normal force. No unusual momentum detected.</t>
        </is>
      </c>
      <c r="E36" s="51" t="inlineStr">
        <is>
          <t>NEUTRAL
Normal Momentum</t>
        </is>
      </c>
      <c r="F36" s="47" t="inlineStr">
        <is>
          <t>Swing intensity is at historical norm. No unusual build-up or collapse of momentum detected. No action from this signal alone.</t>
        </is>
      </c>
    </row>
    <row r="37" ht="88" customHeight="1" s="103">
      <c r="A37" s="48" t="inlineStr">
        <is>
          <t>SCD</t>
        </is>
      </c>
      <c r="B37" s="43" t="inlineStr">
        <is>
          <t>Score &lt; −30
Ratio &lt; 0.85
Fast SCD &lt;&lt; Slow</t>
        </is>
      </c>
      <c r="C37" s="49" t="inlineStr">
        <is>
          <t>SSA oscillation cycles are SMALLER than the long-term baseline. Crossings are happening with less amplitude — price waves are subdued.</t>
        </is>
      </c>
      <c r="D37" s="50" t="inlineStr">
        <is>
          <t>Price is making small, low-energy directional swings. The SSA line is making short, shallow crossings with EMA-SSA. Price lacks directional energy — it appears "sleepy" or range-bound in a tight zone.</t>
        </is>
      </c>
      <c r="E37" s="60" t="inlineStr">
        <is>
          <t>LOW MOMENTUM
Quiet Phase</t>
        </is>
      </c>
      <c r="F37" s="47" t="inlineStr">
        <is>
          <t>Price is in a low-energy phase — no directional momentum is building yet. This is not a breakout setup. Wait for SCD to begin expanding (ratio turning above 1.0 with increasing score) before expecting any meaningful directional move.</t>
        </is>
      </c>
    </row>
    <row r="38" ht="4" customHeight="1" s="103">
      <c r="A38" s="54" t="n"/>
      <c r="B38" s="54" t="n"/>
      <c r="C38" s="54" t="n"/>
      <c r="D38" s="54" t="n"/>
      <c r="E38" s="54" t="n"/>
      <c r="F38" s="54" t="n"/>
    </row>
    <row r="39" ht="22" customHeight="1" s="103">
      <c r="A39" s="125" t="inlineStr">
        <is>
          <t>6. R²  (Trend Coherence / Linearity)</t>
        </is>
      </c>
    </row>
    <row r="40" ht="44.05" customHeight="1" s="103">
      <c r="A40" s="127" t="inlineStr">
        <is>
          <t>DEFINITION:  R² from regressing Close price on BarIndex within the window. Measures how well price fits a straight line. R² ≈ 1.0 = very clean, directional trend. R² ≈ 0.0 = random, choppy, no trend. Ratio = R²_fast / R²_slow. Score = (ratio − 1) × 100. Negative score = recent price action is LESS linear than historical baseline (trend has deteriorated). Alert fires when Score ≤ −50 (R²_fast less than half of R²_slow).</t>
        </is>
      </c>
    </row>
    <row r="41" ht="88" customHeight="1" s="103">
      <c r="A41" s="42" t="inlineStr">
        <is>
          <t>R²</t>
        </is>
      </c>
      <c r="B41" s="43" t="inlineStr">
        <is>
          <t>Score &lt; −50  ⚑ ALERT
Ratio &lt; 0.5
R²_fast &lt;&lt; R²_slow</t>
        </is>
      </c>
      <c r="C41" s="44" t="inlineStr">
        <is>
          <t>The linear trend quality in the recent window has collapsed compared to the long-term baseline. The regression line no longer fits price well — price has deviated significantly from its previous directional slope. The old trend structure has broken down statistically.</t>
        </is>
      </c>
      <c r="D41" s="45" t="inlineStr">
        <is>
          <t>The clean directional slope previously visible in the channel is breaking down. Price is becoming "choppy" — overlapping candles, lack of clear direction, or erratic oscillations. The Base_FL slope (regression line gradient) may be flattening, reversing, or transitioning. What looked like a clean downtrend or uptrend is now acting more like a sideways consolidation or reversal. This is a structural transition moment — the old channel is dying.</t>
        </is>
      </c>
      <c r="E41" s="61" t="inlineStr">
        <is>
          <t>TREND
COLLAPSE
Pre-Breakout</t>
        </is>
      </c>
      <c r="F41" s="47" t="inlineStr">
        <is>
          <t>The current trend structure is statistically failing. Price no longer follows its previous linear path — the regression line is losing its descriptive power over recent price action. This is a critical signal: the old channel is ending. A new directional move (breakout from the collapsing structure) is forming. When R² ALERT fires alongside REI_below ALERT and SCD ALERT, the probability of a genuine breakout is at its highest in this model. This combination matches the chart observation: "trend quality collapses just before price breaks out."</t>
        </is>
      </c>
    </row>
    <row r="42" ht="88" customHeight="1" s="103">
      <c r="A42" s="48" t="inlineStr">
        <is>
          <t>R²</t>
        </is>
      </c>
      <c r="B42" s="43" t="inlineStr">
        <is>
          <t>Score −20 to −50
Ratio 0.5 to 0.8</t>
        </is>
      </c>
      <c r="C42" s="49" t="inlineStr">
        <is>
          <t>Moderate decline in trend coherence. The linear fit is deteriorating but not yet at alert level.</t>
        </is>
      </c>
      <c r="D42" s="50" t="inlineStr">
        <is>
          <t>Price is becoming less directional than the historical baseline. More sideways or erratic movement within the channel, but not fully collapsed yet.</t>
        </is>
      </c>
      <c r="E42" s="55" t="inlineStr">
        <is>
          <t>DETERIORATING
Trend</t>
        </is>
      </c>
      <c r="F42" s="47" t="inlineStr">
        <is>
          <t>Trend quality is fading — early signs of the structural change that often precedes breakouts. Not yet at alert threshold, but monitor for progression. When combined with other early signals, this direction of change is meaningful.</t>
        </is>
      </c>
    </row>
    <row r="43" ht="88" customHeight="1" s="103">
      <c r="A43" s="42" t="inlineStr">
        <is>
          <t>R²</t>
        </is>
      </c>
      <c r="B43" s="43" t="inlineStr">
        <is>
          <t>Score near 0
Ratio ≈ 1.0</t>
        </is>
      </c>
      <c r="C43" s="44" t="inlineStr">
        <is>
          <t>Linear trend quality in the fast window matches the long-term baseline. Trend coherence is unchanged.</t>
        </is>
      </c>
      <c r="D43" s="45" t="inlineStr">
        <is>
          <t>Price is following the channel slope (Base_FL gradient) with the same consistency as the historical norm. Normal mix of trend and oscillation.</t>
        </is>
      </c>
      <c r="E43" s="51" t="inlineStr">
        <is>
          <t>NEUTRAL
Trend Stable</t>
        </is>
      </c>
      <c r="F43" s="47" t="inlineStr">
        <is>
          <t>Trend coherence is unchanged from historical norms. The channel direction and slope are holding steady.</t>
        </is>
      </c>
    </row>
    <row r="44" ht="88" customHeight="1" s="103">
      <c r="A44" s="48" t="inlineStr">
        <is>
          <t>R²</t>
        </is>
      </c>
      <c r="B44" s="43" t="inlineStr">
        <is>
          <t>Score &gt; +50
Ratio &gt; 1.5
R²_fast &gt;&gt; R²_slow</t>
        </is>
      </c>
      <c r="C44" s="49" t="inlineStr">
        <is>
          <t>Price is fitting a linear trend BETTER than the historical baseline in the recent window. The regression line is very tight — price is closely following a straight-line trajectory.</t>
        </is>
      </c>
      <c r="D44" s="50" t="inlineStr">
        <is>
          <t>Price is making unusually clean, directional moves with very little oscillation. Low noise — each bar moves in the same direction with minimal retracement. Looks like a sustained impulsive move on the chart.</t>
        </is>
      </c>
      <c r="E44" s="57" t="inlineStr">
        <is>
          <t>STRONG TREND
In Progress</t>
        </is>
      </c>
      <c r="F44" s="47" t="inlineStr">
        <is>
          <t>Price is in a very clean, committed directional run — trending with unusually high linear conviction. This is not a "setup" signal; it is a "trend is already fully in motion" signal. Momentum-following trades are favored. Do not counter-trade this condition — wait for trend coherence to deteriorate before fading the move.</t>
        </is>
      </c>
    </row>
    <row r="45" ht="4" customHeight="1" s="103">
      <c r="A45" s="54" t="n"/>
      <c r="B45" s="54" t="n"/>
      <c r="C45" s="54" t="n"/>
      <c r="D45" s="54" t="n"/>
      <c r="E45" s="54" t="n"/>
      <c r="F45" s="54" t="n"/>
    </row>
    <row r="46" ht="22" customHeight="1" s="103">
      <c r="A46" s="125" t="inlineStr">
        <is>
          <t>7. WHITE'S TEST  (Heteroscedasticity)</t>
        </is>
      </c>
    </row>
    <row r="47" ht="44.05" customHeight="1" s="103">
      <c r="A47" s="127" t="inlineStr">
        <is>
          <t>DEFINITION:  Tests whether the variance of price residuals is constant over time (homoscedastic) or changing (heteroscedastic). Homoscedastic = price deviates from Base_FL by similar amounts throughout the window. Heteroscedastic = price deviations follow a pattern — some periods large, some small. Score = Δlog₁₀(p_White) × 5, where Δ = fast − slow. Positive score = heteroscedasticity is STRONGER in the fast window = variance structure is changing. Alert fires when Score ≥ 50.</t>
        </is>
      </c>
    </row>
    <row r="48" ht="88" customHeight="1" s="103">
      <c r="A48" s="42" t="inlineStr">
        <is>
          <t>WHITE'S TEST</t>
        </is>
      </c>
      <c r="B48" s="43" t="inlineStr">
        <is>
          <t>Score &gt; +50  ⚑ ALERT
Δlog₁₀p &gt; +10
Strong heteroscedasticity in fast window</t>
        </is>
      </c>
      <c r="C48" s="44" t="inlineStr">
        <is>
          <t>The variance of residuals is no longer constant in the fast window — it changes systematically over time. Price deviations from Base_FL follow a pattern (not random). Some recent periods show small deviations, others show large ones, in a structured sequence.</t>
        </is>
      </c>
      <c r="D48" s="45" t="inlineStr">
        <is>
          <t>Price is NOT making random-sized moves around Base_FL. Instead, it is making small moves for a while, then suddenly large moves — or vice versa. This looks like expanding or contracting volatility clusters on the chart. The "texture" of how price interacts with the channel has changed. A common pattern: price consolidates quietly near Base_FL for many bars, then suddenly makes a large move to an outer EDT band — the "quiet then explosive" signature.</t>
        </is>
      </c>
      <c r="E48" s="62" t="inlineStr">
        <is>
          <t>STRUCTURAL
CHANGE
In Progress</t>
        </is>
      </c>
      <c r="F48" s="47" t="inlineStr">
        <is>
          <t>The statistical structure of how price behaves relative to its trend line is actively changing. This is a high-confidence indicator that the current market regime is transitioning. In a pre-breakout scenario, this often accompanies the pattern of: quiet consolidation → increasingly large deviations → final explosive breakout. Price is "waking up." When combined with SCD and REI_below alerts, the White's test alert confirms that the structural change is well underway, not just a temporary fluctuation.</t>
        </is>
      </c>
    </row>
    <row r="49" ht="88" customHeight="1" s="103">
      <c r="A49" s="48" t="inlineStr">
        <is>
          <t>WHITE'S TEST</t>
        </is>
      </c>
      <c r="B49" s="43" t="inlineStr">
        <is>
          <t>Score +20 to +50
Moderate heteroscedasticity increase</t>
        </is>
      </c>
      <c r="C49" s="49" t="inlineStr">
        <is>
          <t>Variance structure is beginning to change in the fast window but not yet at alert level. Some time-dependence in residual variance is emerging.</t>
        </is>
      </c>
      <c r="D49" s="50" t="inlineStr">
        <is>
          <t>Subtle change in the regularity of price oscillations. Some bars are larger than others in a non-random way, but not dramatically so.</t>
        </is>
      </c>
      <c r="E49" s="63" t="inlineStr">
        <is>
          <t>EARLY
REGIME SHIFT</t>
        </is>
      </c>
      <c r="F49" s="47" t="inlineStr">
        <is>
          <t>Early signs of a structural change in price behavior — the variance is becoming less constant. Not yet a full signal. Monitor for progression toward ALERT level.</t>
        </is>
      </c>
    </row>
    <row r="50" ht="88" customHeight="1" s="103">
      <c r="A50" s="42" t="inlineStr">
        <is>
          <t>WHITE'S TEST</t>
        </is>
      </c>
      <c r="B50" s="43" t="inlineStr">
        <is>
          <t>Score near 0
Δlog₁₀p ≈ 0</t>
        </is>
      </c>
      <c r="C50" s="44" t="inlineStr">
        <is>
          <t>Variance of residuals is stationary and consistent in the fast window. Price deviations from Base_FL are homoscedastic — equally sized throughout the window.</t>
        </is>
      </c>
      <c r="D50" s="45" t="inlineStr">
        <is>
          <t>Price makes similar-sized moves away from Base_FL across all bars in the window. Consistent, predictable oscillation amplitude throughout — no clustering of large or small moves.</t>
        </is>
      </c>
      <c r="E50" s="51" t="inlineStr">
        <is>
          <t>NEUTRAL
Stable Regime</t>
        </is>
      </c>
      <c r="F50" s="47" t="inlineStr">
        <is>
          <t>The variance structure is stable. No regime change is occurring. The channel is operating in a steady, consistent manner.</t>
        </is>
      </c>
    </row>
    <row r="51" ht="88" customHeight="1" s="103">
      <c r="A51" s="48" t="inlineStr">
        <is>
          <t>WHITE'S TEST</t>
        </is>
      </c>
      <c r="B51" s="43" t="inlineStr">
        <is>
          <t>Score &lt; −30
Δlog₁₀p &lt; −6
Fast more homoscedastic</t>
        </is>
      </c>
      <c r="C51" s="49" t="inlineStr">
        <is>
          <t>The fast window is actually MORE homoscedastic than the slow baseline — residual variance has become very consistent over time.</t>
        </is>
      </c>
      <c r="D51" s="50" t="inlineStr">
        <is>
          <t>Price is making very regular, equal-sized oscillations around Base_FL. Each bar moves a similar distance from the regression line. Price looks "rhythmic" and almost mechanical in its behavior.</t>
        </is>
      </c>
      <c r="E51" s="58" t="inlineStr">
        <is>
          <t>REGULAR
Oscillation
Pattern</t>
        </is>
      </c>
      <c r="F51" s="47" t="inlineStr">
        <is>
          <t>Price is moving in a very consistent, predictable rhythm around its baseline. This often indicates a consolidation phase where price is digesting a previous move in a controlled, regular pattern. While this is a stable condition, remember that regular oscillations can end abruptly — the regularity may itself be the "coiling" before a breakout.</t>
        </is>
      </c>
    </row>
    <row r="52" ht="4" customHeight="1" s="103">
      <c r="A52" s="54" t="n"/>
      <c r="B52" s="54" t="n"/>
      <c r="C52" s="54" t="n"/>
      <c r="D52" s="54" t="n"/>
      <c r="E52" s="54" t="n"/>
      <c r="F52" s="54" t="n"/>
    </row>
    <row r="53" ht="22" customHeight="1" s="103">
      <c r="A53" s="125" t="inlineStr">
        <is>
          <t>8. JB TEST  (Residual Normality)</t>
        </is>
      </c>
    </row>
    <row r="54" ht="44.05" customHeight="1" s="103">
      <c r="A54" s="127" t="inlineStr">
        <is>
          <t>DEFINITION:  Jarque-Bera test on residuals eᵢ. Tests both Skewness (S) and Excess Kurtosis (K). Normal distribution: S=0, K=0. High kurtosis (K&gt;0): fat tails — occasional extreme price bars far from Base_FL. High skewness (S≠0): directional lean — price going further in one direction than the other. Ratio = JB_fast / JB_slow. Score = (1 − ratio) × 100. NEGATIVE score = MORE non-normal in fast window (higher JB = worse normality). POSITIVE score = more normal in fast window. Alert fires when Score ≤ −30 (residuals becoming significantly more non-normal). Check Skewness (S) and Kurtosis (K) rows in the sheet to identify the driver.</t>
        </is>
      </c>
    </row>
    <row r="55" ht="88" customHeight="1" s="103">
      <c r="A55" s="42" t="inlineStr">
        <is>
          <t>JB TEST</t>
        </is>
      </c>
      <c r="B55" s="43" t="inlineStr">
        <is>
          <t>Score &lt; −30  ⚑ ALERT
Ratio &gt; 1.3
JB_fast &gt;&gt; JB_slow
Driver: High Kurtosis (K &gt; 3)</t>
        </is>
      </c>
      <c r="C55" s="44" t="inlineStr">
        <is>
          <t>Residuals in the fast window have fat tails — excess kurtosis is the primary driver of non-normality. Price is making occasional extreme bars: large deviations from Base_FL that are much bigger than typical. The distribution has more probability in the extreme tails than a normal curve would suggest.</t>
        </is>
      </c>
      <c r="D55" s="45" t="inlineStr">
        <is>
          <t>Most bars look normal-sized, but occasionally price makes a dramatic spike or jump far from Base_FL — potentially a large wick, gap, or sudden impulse bar reaching the outer EDT bands. These outlier bars appear "out of character" relative to the surrounding bars. They represent the rare but large events — including the "extraordinary large swing" type events that are also captured by SCD.</t>
        </is>
      </c>
      <c r="E55" s="59" t="inlineStr">
        <is>
          <t>FAT TAIL
Extreme Events
Occurring</t>
        </is>
      </c>
      <c r="F55" s="47" t="inlineStr">
        <is>
          <t>Unusual large-magnitude price events are occurring in the recent window. While most price action looks normal, there are occasional "outlier" bars making extreme moves. In a breakout context, one of these extreme bars may be the actual breakout candle or its precursor. Risk management is critical here — stops should be positioned beyond the outer EDT bands to account for the larger-than-expected moves that fat-tail conditions produce.</t>
        </is>
      </c>
    </row>
    <row r="56" ht="88" customHeight="1" s="103">
      <c r="A56" s="48" t="inlineStr">
        <is>
          <t>JB TEST</t>
        </is>
      </c>
      <c r="B56" s="43" t="inlineStr">
        <is>
          <t>Score &lt; −30  ⚑ ALERT
Ratio &gt; 1.3
JB_fast &gt;&gt; JB_slow
Driver: High Skewness (|S| &gt; 1)</t>
        </is>
      </c>
      <c r="C56" s="49" t="inlineStr">
        <is>
          <t>Residuals are skewed in one direction — the distribution is lopsided. Price is not oscillating symmetrically around Base_FL. It is going further or spending more time in one direction than the other.</t>
        </is>
      </c>
      <c r="D56" s="50" t="inlineStr">
        <is>
          <t>Negative skew (S &lt; 0): Price drops further below Base_FL than it rises above it. The lower EDT bands are being tested more aggressively than the upper ones. Bearish directional bias in the residuals. Positive skew (S &gt; 0): Price rises further above Base_FL than it falls below. The upper EDT bands are being tested more aggressively. Bullish directional bias. The channel is being used asymmetrically.</t>
        </is>
      </c>
      <c r="E56" s="52" t="inlineStr">
        <is>
          <t>DIRECTIONAL
BIAS
Detected</t>
        </is>
      </c>
      <c r="F56" s="47" t="inlineStr">
        <is>
          <t>Price has a statistical lean in one direction within the channel. Negative skewness combined with REI_below firing = strong confirmation that the oversold extreme is statistically significant (price really did go unusually far below Base_FL). Positive skewness combined with REI_above firing = overbought extreme statistically confirmed. Use the skewness direction to align with (or against) REI signals for highest-conviction trades.</t>
        </is>
      </c>
    </row>
    <row r="57" ht="88" customHeight="1" s="103">
      <c r="A57" s="42" t="inlineStr">
        <is>
          <t>JB TEST</t>
        </is>
      </c>
      <c r="B57" s="43" t="inlineStr">
        <is>
          <t>Score &gt; +50
Ratio &lt; 0.5
JB_fast &lt;&lt; JB_slow
Residuals more normal</t>
        </is>
      </c>
      <c r="C57" s="44" t="inlineStr">
        <is>
          <t>Residuals in the fast window are becoming MORE normally distributed than the slow baseline — lower skewness and kurtosis. The unusual distributional events from earlier periods are no longer present in the recent window.</t>
        </is>
      </c>
      <c r="D57" s="45" t="inlineStr">
        <is>
          <t>Price is oscillating symmetrically and with typical-sized moves around Base_FL. Fewer extreme bars. No directional lean. Price behavior looks "well-balanced" statistically — each side of Base_FL gets equal attention.</t>
        </is>
      </c>
      <c r="E57" s="58" t="inlineStr">
        <is>
          <t>NORMAL
Distribution
Restored</t>
        </is>
      </c>
      <c r="F57" s="47" t="inlineStr">
        <is>
          <t>The unusual distributional events from earlier windows have calmed down. Price has "normalized" statistically after a period of extremes. This can indicate: (a) post-spike consolidation after a large JB event; or (b) a return to balanced channel oscillation after a directional bias has been resolved. Normal distribution with other signals neutral = channel is fully restored and functioning.</t>
        </is>
      </c>
    </row>
    <row r="58" ht="88" customHeight="1" s="103">
      <c r="A58" s="48" t="inlineStr">
        <is>
          <t>JB TEST</t>
        </is>
      </c>
      <c r="B58" s="43" t="inlineStr">
        <is>
          <t>Score near 0
Ratio ≈ 1.0</t>
        </is>
      </c>
      <c r="C58" s="49" t="inlineStr">
        <is>
          <t>Residual normality is consistent with the long-term baseline. No unusual fat tails or directional skew.</t>
        </is>
      </c>
      <c r="D58" s="50" t="inlineStr">
        <is>
          <t>Normal, symmetric distribution of price moves. No unusual extreme bars. No directional lean. Price oscillates equally above and below Base_FL with typical amplitudes.</t>
        </is>
      </c>
      <c r="E58" s="51" t="inlineStr">
        <is>
          <t>NEUTRAL
Normal Distribution</t>
        </is>
      </c>
      <c r="F58" s="47" t="inlineStr">
        <is>
          <t>Residual distribution is at historical norm. No unusual events detected. No action from this signal alone.</t>
        </is>
      </c>
    </row>
    <row r="59" ht="4" customHeight="1" s="103">
      <c r="A59" s="54" t="n"/>
      <c r="B59" s="54" t="n"/>
      <c r="C59" s="54" t="n"/>
      <c r="D59" s="54" t="n"/>
      <c r="E59" s="54" t="n"/>
      <c r="F59" s="54" t="n"/>
    </row>
    <row r="61" ht="26.05" customHeight="1" s="103">
      <c r="A61" s="124" t="inlineStr">
        <is>
          <t>══  MULTI-SIGNAL COMBINATION PATTERNS  ══  When multiple flags fire simultaneously — what it means and how to respond</t>
        </is>
      </c>
    </row>
    <row r="62" ht="18" customHeight="1" s="103">
      <c r="A62" s="41" t="inlineStr">
        <is>
          <t>Pattern Name</t>
        </is>
      </c>
      <c r="B62" s="41" t="inlineStr">
        <is>
          <t>Flags Triggered</t>
        </is>
      </c>
      <c r="C62" s="41" t="inlineStr">
        <is>
          <t>Statistical Combination</t>
        </is>
      </c>
      <c r="D62" s="41" t="inlineStr">
        <is>
          <t>Price Behavior on Chart</t>
        </is>
      </c>
      <c r="E62" s="41" t="inlineStr">
        <is>
          <t>Signal Type</t>
        </is>
      </c>
      <c r="F62" s="41" t="inlineStr">
        <is>
          <t>LLM Guidance Text</t>
        </is>
      </c>
    </row>
    <row r="63" ht="88" customHeight="1" s="103">
      <c r="A63" s="64" t="inlineStr">
        <is>
          <t>Pre-Bullish Breakout
(Highest Conviction)</t>
        </is>
      </c>
      <c r="B63" s="55" t="inlineStr">
        <is>
          <t>REI_below ⚑ + SCD ⚑ + White ⚑</t>
        </is>
      </c>
      <c r="C63" s="65" t="inlineStr">
        <is>
          <t>Price visited the outer lower fence (oversold extreme) and is recovering (REI_below). Swing amplitude is growing (SCD). The variance structure is systematically changing (White). All three confirm the pre-breakout statistical fingerprint.</t>
        </is>
      </c>
      <c r="D63" s="66" t="inlineStr">
        <is>
          <t>Price dropped to the lowest EDT band, made an extraordinary large swing, and is now bouncing back while the "texture" of its movement has fundamentally changed. Chart traders see: sharp drop to major support → large bounce → growing momentum.</t>
        </is>
      </c>
      <c r="E63" s="67" t="inlineStr">
        <is>
          <t>HIGHEST CONVICTION
Bullish Setup</t>
        </is>
      </c>
      <c r="F63" s="47" t="inlineStr">
        <is>
          <t>This is the pre-breakout signature the model was designed to detect. REI_below confirms sellers exhausted at the outer boundary. SCD confirms the large swings that chart traders visually observe. White confirms the regime is actively changing. All three together = statistical confirmation that a bullish breakout is imminent or in progress. This is the exact combination that fired before the breakout shown in the annotated chart.</t>
        </is>
      </c>
    </row>
    <row r="64" ht="88" customHeight="1" s="103">
      <c r="A64" s="68" t="inlineStr">
        <is>
          <t>Coiling / Spring-Loaded
Setup</t>
        </is>
      </c>
      <c r="B64" s="55" t="inlineStr">
        <is>
          <t>VR ⚑ (contracting) + HL ⚑</t>
        </is>
      </c>
      <c r="C64" s="49" t="inlineStr">
        <is>
          <t>Volatility is compressing (smaller swings, VR ratio &lt; 1) while mean reversion is becoming faster (HL_fast &lt; HL_slow). Price is being "squeezed" into a tight range with strong channel pull.</t>
        </is>
      </c>
      <c r="D64" s="50" t="inlineStr">
        <is>
          <t>Very narrow candles, low ATR. Price bouncing rapidly between narrow EDT band zones. Looks "boring" or consolidating on the chart but statistically is storing energy.</t>
        </is>
      </c>
      <c r="E64" s="63" t="inlineStr">
        <is>
          <t>COILING
Pre-Explosive</t>
        </is>
      </c>
      <c r="F64" s="47" t="inlineStr">
        <is>
          <t>Price is a coiled spring — energy is stored, direction not yet determined. WAIT for REI_below or REI_above to signal which side breaks first. The breakout from a volatility compression period tends to be fast and sharp. Do not enter until direction is confirmed by an REI alert.</t>
        </is>
      </c>
    </row>
    <row r="65" ht="88" customHeight="1" s="103">
      <c r="A65" s="64" t="inlineStr">
        <is>
          <t>Trend Breakdown /
Reversal Setup</t>
        </is>
      </c>
      <c r="B65" s="55" t="inlineStr">
        <is>
          <t>R² ⚑ + White ⚑</t>
        </is>
      </c>
      <c r="C65" s="65" t="inlineStr">
        <is>
          <t>The linear trend quality has collapsed (R²_fast &lt;&lt; R²_slow) while the variance structure is actively changing (heteroscedasticity alert). The old channel direction is ending; a new regime is forming.</t>
        </is>
      </c>
      <c r="D65" s="66" t="inlineStr">
        <is>
          <t>Price that was trending cleanly in one direction is now making choppy, overlapping candles. The Base_FL slope may be flattening or reversing. EDT bands are being tested from unexpected angles.</t>
        </is>
      </c>
      <c r="E65" s="61" t="inlineStr">
        <is>
          <t>TREND ENDING
New Direction
Forming</t>
        </is>
      </c>
      <c r="F65" s="47" t="inlineStr">
        <is>
          <t>The current trend is statistically over — both the linear coherence and variance structure confirm it. A new directional move is forming but direction is not yet clear. Watch for REI_below or REI_above ALERT to fire next — whichever side alerts first reveals the direction of the new channel.</t>
        </is>
      </c>
    </row>
    <row r="66" ht="88" customHeight="1" s="103">
      <c r="A66" s="68" t="inlineStr">
        <is>
          <t>Momentum Breakout
Already in Progress</t>
        </is>
      </c>
      <c r="B66" s="55" t="inlineStr">
        <is>
          <t>VR ⚑ (expanding) + SCD ⚑ + HL very negative</t>
        </is>
      </c>
      <c r="C66" s="49" t="inlineStr">
        <is>
          <t>Variance is expanding (bigger swings), swing amplitude is growing (SCD), and mean reversion is slowing (HL ratio &gt; 1.5). All three indicate accelerating directional movement.</t>
        </is>
      </c>
      <c r="D66" s="50" t="inlineStr">
        <is>
          <t>Large candles moving strongly in one direction. EDT bands being breached. Price pulling away from Base_FL and not correcting back. Momentum feels real and strong on the chart.</t>
        </is>
      </c>
      <c r="E66" s="53" t="inlineStr">
        <is>
          <t>BREAKOUT
In Progress</t>
        </is>
      </c>
      <c r="F66" s="47" t="inlineStr">
        <is>
          <t>The breakout may already be happening — this is a "train is moving" signal, not a setup signal. Momentum trades in the direction of price movement are favored. Do not fade this combination. If already in a position, consider holding and only exiting if REI_above or REI_below fires on the opposite side (exhaustion signal).</t>
        </is>
      </c>
    </row>
    <row r="67" ht="88" customHeight="1" s="103">
      <c r="A67" s="64" t="inlineStr">
        <is>
          <t>Extreme Bidirectional
Exhaustion → Major
Directional Resolution</t>
        </is>
      </c>
      <c r="B67" s="55" t="inlineStr">
        <is>
          <t>REI_below ⚑ + REI_above ⚑ + SCD ⚑</t>
        </is>
      </c>
      <c r="C67" s="65" t="inlineStr">
        <is>
          <t>Price visited BOTH outer EDT fences AND swing amplitude is extreme. Both buyers and sellers have reached exhaustion points with large oscillations in both directions.</t>
        </is>
      </c>
      <c r="D67" s="66" t="inlineStr">
        <is>
          <t>Wild swings — price sweeping from lowest to highest EDT bands. Multiple large wicks. Looks chaotic and volatile on the chart. Eventually resolves strongly in one direction.</t>
        </is>
      </c>
      <c r="E67" s="69" t="inlineStr">
        <is>
          <t>EXHAUSTION
BOTH SIDES
Resolution Coming</t>
        </is>
      </c>
      <c r="F67" s="47" t="inlineStr">
        <is>
          <t>A major directional resolution is likely after this pattern. Both sides have been exhausted at their statistical extremes. The NEXT significant move will be strong and directional. To identify direction: the REI signal that fires LAST (or has a higher score) indicates which side most recently showed exhaustion and thus which direction the resolution will go. If REI_below score &gt; REI_above score → bullish resolution likely. If REI_above score &gt; REI_below score → bearish resolution likely.</t>
        </is>
      </c>
    </row>
    <row r="68" ht="88" customHeight="1" s="103">
      <c r="A68" s="68" t="inlineStr">
        <is>
          <t>False Channel /
Base_FL Transition</t>
        </is>
      </c>
      <c r="B68" s="55" t="inlineStr">
        <is>
          <t>R² ⚑ + HL very negative
+ VR ⚑ (expanding)</t>
        </is>
      </c>
      <c r="C68" s="49" t="inlineStr">
        <is>
          <t>Trend coherence has collapsed (R² alert), mean reversion has nearly stalled (HL much longer), and variance is expanding. The current Base_FL regression line is no longer representative of where price "wants" to be.</t>
        </is>
      </c>
      <c r="D68" s="50" t="inlineStr">
        <is>
          <t>Price is moving far from Base_FL and not returning. The regression slope no longer matches actual price direction. EDT bands from the current channel model are being left behind.</t>
        </is>
      </c>
      <c r="E68" s="46" t="inlineStr">
        <is>
          <t>CHANNEL
INVALIDATION
Rebuild Needed</t>
        </is>
      </c>
      <c r="F68" s="47" t="inlineStr">
        <is>
          <t>The current channel model (Base_FL + EDT bands) has lost its relevance for the current price action. Price has moved beyond the model's descriptive power. This is not a trade signal per se — it is a model maintenance alert. A fresh regression (new data export) should be performed to re-anchor the channel to current price behavior. Signals from the current model should be treated with reduced confidence until recalibrated.</t>
        </is>
      </c>
    </row>
    <row r="70" ht="60" customHeight="1" s="103">
      <c r="A70" s="123" t="inlineStr">
        <is>
          <t>NOTES FOR LLM USE: (1) Always check the Ratio value (col B in interval sheets) alongside the Score — for VR, the ratio tells you expansion vs. contraction direction which the score alone does not show. (2) For JB ALERT, check Skewness (S) and Kurtosis (K) rows in the interval sheet to determine whether the non-normality driver is fat tails (kurtosis) or directional lean (skewness). (3) The Symmetric Anchor row shows the scale reference used for REI — a higher anchor value means the outer EDT bands are further from Base_FL on both sides, giving context for how extreme the REI values are in absolute price terms. (4) All thresholds in col E of interval sheets are editable — adjust per market regime or asset volatility profile.</t>
        </is>
      </c>
    </row>
  </sheetData>
  <mergeCells count="20">
    <mergeCell ref="A54:F54"/>
    <mergeCell ref="A46:F46"/>
    <mergeCell ref="A18:F18"/>
    <mergeCell ref="A12:F12"/>
    <mergeCell ref="A26:F26"/>
    <mergeCell ref="A2:F2"/>
    <mergeCell ref="A33:F33"/>
    <mergeCell ref="A47:F47"/>
    <mergeCell ref="A5:F5"/>
    <mergeCell ref="A32:F32"/>
    <mergeCell ref="A4:F4"/>
    <mergeCell ref="A53:F53"/>
    <mergeCell ref="A19:F19"/>
    <mergeCell ref="A40:F40"/>
    <mergeCell ref="A39:F39"/>
    <mergeCell ref="A11:F11"/>
    <mergeCell ref="A1:F1"/>
    <mergeCell ref="A70:F70"/>
    <mergeCell ref="A61:F61"/>
    <mergeCell ref="A25:F2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90"/>
  <sheetViews>
    <sheetView topLeftCell="A73" workbookViewId="0">
      <selection activeCell="A1" sqref="A1:F1"/>
    </sheetView>
  </sheetViews>
  <sheetFormatPr baseColWidth="8" defaultRowHeight="14.4"/>
  <cols>
    <col width="28" customWidth="1" style="103" min="1" max="1"/>
    <col width="22" customWidth="1" style="103" min="2" max="5"/>
    <col width="36" customWidth="1" style="103" min="6" max="6"/>
  </cols>
  <sheetData>
    <row r="1" ht="28" customHeight="1" s="103">
      <c r="A1" s="135" t="inlineStr">
        <is>
          <t>Real-Time Sliding Window Architecture  —  Statistical Model Design</t>
        </is>
      </c>
    </row>
    <row r="2" ht="36" customHeight="1" s="103">
      <c r="A2" s="140" t="inlineStr">
        <is>
          <t>This sheet documents the continuous real-time statistical architecture that replaces the 3-interval POC design in Excel. Intended as specification for Python implementation using Pandas / NumPy / SciPy.</t>
        </is>
      </c>
    </row>
    <row r="3" ht="6" customHeight="1" s="103">
      <c r="A3" s="70" t="n"/>
      <c r="B3" s="70" t="n"/>
      <c r="C3" s="70" t="n"/>
      <c r="D3" s="70" t="n"/>
      <c r="E3" s="70" t="n"/>
      <c r="F3" s="70" t="n"/>
    </row>
    <row r="4" ht="22" customHeight="1" s="103">
      <c r="A4" s="137" t="inlineStr">
        <is>
          <t xml:space="preserve">  1.  Core Concept — Two Windows, Every Bar</t>
        </is>
      </c>
    </row>
    <row r="5" ht="90" customHeight="1" s="103">
      <c r="A5" s="141" t="inlineStr">
        <is>
          <t>At every new bar N, two statistical windows are computed simultaneously and compared:
  SLOW window  :  bars 1 → N        (expanding — grows by 1 each bar, anchored at the beginning)
  FAST window  :  bars (N−249) → N  (sliding — always exactly 250 bars, moves forward each bar)
The 8-dimension statistical comparison (score = fast vs slow ratio) is performed at every bar, not just at 3 fixed interval checkpoints as in the POC. Every bar produces a complete set of signals and alert flags.</t>
        </is>
      </c>
    </row>
    <row r="6" ht="6" customHeight="1" s="103">
      <c r="A6" s="70" t="n"/>
      <c r="B6" s="70" t="n"/>
      <c r="C6" s="70" t="n"/>
      <c r="D6" s="70" t="n"/>
      <c r="E6" s="70" t="n"/>
      <c r="F6" s="70" t="n"/>
    </row>
    <row r="7" ht="22" customHeight="1" s="103">
      <c r="A7" s="137" t="inlineStr">
        <is>
          <t xml:space="preserve">  2.  Window Definitions  (Formal)</t>
        </is>
      </c>
    </row>
    <row r="8" ht="18" customHeight="1" s="103">
      <c r="A8" s="120" t="inlineStr">
        <is>
          <t>Parameter</t>
        </is>
      </c>
      <c r="B8" s="115" t="inlineStr">
        <is>
          <t>Slow Window</t>
        </is>
      </c>
      <c r="C8" s="31" t="inlineStr">
        <is>
          <t>Fast Window</t>
        </is>
      </c>
      <c r="D8" s="120" t="inlineStr">
        <is>
          <t>Fixed?</t>
        </is>
      </c>
      <c r="E8" s="120" t="inlineStr">
        <is>
          <t>Size at bar N</t>
        </is>
      </c>
      <c r="F8" s="120" t="inlineStr">
        <is>
          <t>Notes</t>
        </is>
      </c>
    </row>
    <row r="9" ht="36" customHeight="1" s="103">
      <c r="A9" s="71" t="inlineStr">
        <is>
          <t>Start index</t>
        </is>
      </c>
      <c r="B9" s="72" t="inlineStr">
        <is>
          <t>bar 1</t>
        </is>
      </c>
      <c r="C9" s="73" t="inlineStr">
        <is>
          <t>bar  N − 249</t>
        </is>
      </c>
      <c r="D9" s="74" t="inlineStr">
        <is>
          <t>Start fixed (slow)
Start slides (fast)</t>
        </is>
      </c>
      <c r="E9" s="74" t="inlineStr">
        <is>
          <t>N bars / 250 bars</t>
        </is>
      </c>
      <c r="F9" s="136" t="n"/>
    </row>
    <row r="10" ht="36" customHeight="1" s="103">
      <c r="A10" s="76" t="inlineStr">
        <is>
          <t>End index</t>
        </is>
      </c>
      <c r="B10" s="72" t="inlineStr">
        <is>
          <t>bar N</t>
        </is>
      </c>
      <c r="C10" s="73" t="inlineStr">
        <is>
          <t>bar N</t>
        </is>
      </c>
      <c r="D10" s="77" t="inlineStr">
        <is>
          <t>Both end at current bar N</t>
        </is>
      </c>
      <c r="E10" s="77" t="n"/>
      <c r="F10" s="136" t="n"/>
    </row>
    <row r="11" ht="36" customHeight="1" s="103">
      <c r="A11" s="71" t="inlineStr">
        <is>
          <t>Window size</t>
        </is>
      </c>
      <c r="B11" s="72" t="inlineStr">
        <is>
          <t>N  (grows)</t>
        </is>
      </c>
      <c r="C11" s="73" t="inlineStr">
        <is>
          <t>250  (constant)</t>
        </is>
      </c>
      <c r="D11" s="74" t="inlineStr">
        <is>
          <t>Slow expands; Fast is fixed-size</t>
        </is>
      </c>
      <c r="E11" s="74" t="n"/>
      <c r="F11" s="136" t="inlineStr">
        <is>
          <t>Minimum N = 500 before signals are trusted</t>
        </is>
      </c>
    </row>
    <row r="12" ht="36" customHeight="1" s="103">
      <c r="A12" s="76" t="inlineStr">
        <is>
          <t>Window type</t>
        </is>
      </c>
      <c r="B12" s="72" t="inlineStr">
        <is>
          <t>Expanding</t>
        </is>
      </c>
      <c r="C12" s="73" t="inlineStr">
        <is>
          <t>Sliding</t>
        </is>
      </c>
      <c r="D12" s="77" t="n"/>
      <c r="E12" s="77" t="n"/>
      <c r="F12" s="136" t="inlineStr">
        <is>
          <t>Slow accumulates all history; Fast is always "recent"</t>
        </is>
      </c>
    </row>
    <row r="13" ht="36" customHeight="1" s="103">
      <c r="A13" s="71" t="inlineStr">
        <is>
          <t>Purpose</t>
        </is>
      </c>
      <c r="B13" s="72" t="inlineStr">
        <is>
          <t>Stable baseline
(long-term norm)</t>
        </is>
      </c>
      <c r="C13" s="73" t="inlineStr">
        <is>
          <t>Sensitive signal
(recent behavior)</t>
        </is>
      </c>
      <c r="D13" s="74" t="n"/>
      <c r="E13" s="74" t="n"/>
      <c r="F13" s="136" t="inlineStr">
        <is>
          <t>Score = how does recent behavior differ from the full history?</t>
        </is>
      </c>
    </row>
    <row r="14" ht="36" customHeight="1" s="103">
      <c r="A14" s="76" t="inlineStr">
        <is>
          <t>Update on new bar</t>
        </is>
      </c>
      <c r="B14" s="72" t="inlineStr">
        <is>
          <t>Append 1 bar</t>
        </is>
      </c>
      <c r="C14" s="73" t="inlineStr">
        <is>
          <t>Append 1 bar,
remove oldest</t>
        </is>
      </c>
      <c r="D14" s="77" t="n"/>
      <c r="E14" s="77" t="n"/>
      <c r="F14" s="136" t="inlineStr">
        <is>
          <t>Both windows always end at the latest bar N</t>
        </is>
      </c>
    </row>
    <row r="15" ht="6" customHeight="1" s="103">
      <c r="A15" s="70" t="n"/>
      <c r="B15" s="70" t="n"/>
      <c r="C15" s="70" t="n"/>
      <c r="D15" s="70" t="n"/>
      <c r="E15" s="70" t="n"/>
      <c r="F15" s="70" t="n"/>
    </row>
    <row r="16" ht="22" customHeight="1" s="103">
      <c r="A16" s="137" t="inlineStr">
        <is>
          <t xml:space="preserve">  3.  Bar-by-Bar Illustration  (as described by user)</t>
        </is>
      </c>
    </row>
    <row r="17" ht="18" customHeight="1" s="103">
      <c r="A17" s="120" t="inlineStr">
        <is>
          <t>Current Bar  N</t>
        </is>
      </c>
      <c r="B17" s="115" t="inlineStr">
        <is>
          <t>Slow Window</t>
        </is>
      </c>
      <c r="C17" s="31" t="inlineStr">
        <is>
          <t>Fast Window</t>
        </is>
      </c>
      <c r="D17" s="120" t="inlineStr">
        <is>
          <t>Slow Size</t>
        </is>
      </c>
      <c r="E17" s="120" t="inlineStr">
        <is>
          <t>Fast Size</t>
        </is>
      </c>
      <c r="F17" s="120" t="inlineStr">
        <is>
          <t>Action</t>
        </is>
      </c>
    </row>
    <row r="18" ht="28" customHeight="1" s="103">
      <c r="A18" s="78" t="inlineStr">
        <is>
          <t>N = 250</t>
        </is>
      </c>
      <c r="B18" s="72" t="inlineStr">
        <is>
          <t>bars 1 → 250</t>
        </is>
      </c>
      <c r="C18" s="73" t="inlineStr">
        <is>
          <t>bars 1 → 250</t>
        </is>
      </c>
      <c r="D18" s="74" t="inlineStr">
        <is>
          <t>250</t>
        </is>
      </c>
      <c r="E18" s="79" t="inlineStr">
        <is>
          <t>250</t>
        </is>
      </c>
      <c r="F18" s="136" t="inlineStr">
        <is>
          <t>Cold start — fast window not yet full; signals unreliable</t>
        </is>
      </c>
    </row>
    <row r="19" ht="28" customHeight="1" s="103">
      <c r="A19" s="80" t="inlineStr">
        <is>
          <t>N = 499</t>
        </is>
      </c>
      <c r="B19" s="72" t="inlineStr">
        <is>
          <t>bars 1 → 499</t>
        </is>
      </c>
      <c r="C19" s="73" t="inlineStr">
        <is>
          <t>bars 250 → 499</t>
        </is>
      </c>
      <c r="D19" s="81" t="inlineStr">
        <is>
          <t>499</t>
        </is>
      </c>
      <c r="E19" s="79" t="inlineStr">
        <is>
          <t>250</t>
        </is>
      </c>
      <c r="F19" s="136" t="inlineStr">
        <is>
          <t>Approaching minimum trust threshold</t>
        </is>
      </c>
    </row>
    <row r="20" ht="28" customHeight="1" s="103">
      <c r="A20" s="82" t="inlineStr">
        <is>
          <t>N = 500</t>
        </is>
      </c>
      <c r="B20" s="72" t="inlineStr">
        <is>
          <t>bars 1 → 500</t>
        </is>
      </c>
      <c r="C20" s="73" t="inlineStr">
        <is>
          <t>bars 251 → 500</t>
        </is>
      </c>
      <c r="D20" s="74" t="inlineStr">
        <is>
          <t>500</t>
        </is>
      </c>
      <c r="E20" s="79" t="inlineStr">
        <is>
          <t>250</t>
        </is>
      </c>
      <c r="F20" s="83" t="inlineStr">
        <is>
          <t>Minimum recommended threshold reached — signals become meaningful</t>
        </is>
      </c>
    </row>
    <row r="21" ht="28" customHeight="1" s="103">
      <c r="A21" s="80" t="inlineStr">
        <is>
          <t>N = 501  →</t>
        </is>
      </c>
      <c r="B21" s="72" t="inlineStr">
        <is>
          <t>bars 1 → 501</t>
        </is>
      </c>
      <c r="C21" s="73" t="inlineStr">
        <is>
          <t>bars 252 → 501</t>
        </is>
      </c>
      <c r="D21" s="81" t="inlineStr">
        <is>
          <t>501</t>
        </is>
      </c>
      <c r="E21" s="79" t="inlineStr">
        <is>
          <t>250</t>
        </is>
      </c>
      <c r="F21" s="136" t="inlineStr">
        <is>
          <t>New bar added: slow expands by 1, fast slides forward by 1</t>
        </is>
      </c>
    </row>
    <row r="22" ht="28" customHeight="1" s="103">
      <c r="A22" s="78" t="inlineStr">
        <is>
          <t>N = 502  →</t>
        </is>
      </c>
      <c r="B22" s="72" t="inlineStr">
        <is>
          <t>bars 1 → 502</t>
        </is>
      </c>
      <c r="C22" s="73" t="inlineStr">
        <is>
          <t>bars 253 → 502</t>
        </is>
      </c>
      <c r="D22" s="74" t="inlineStr">
        <is>
          <t>502</t>
        </is>
      </c>
      <c r="E22" s="79" t="inlineStr">
        <is>
          <t>250</t>
        </is>
      </c>
      <c r="F22" s="136" t="inlineStr">
        <is>
          <t>New bar added: slow expands by 1, fast slides forward by 1</t>
        </is>
      </c>
    </row>
    <row r="23" ht="28" customHeight="1" s="103">
      <c r="A23" s="80" t="inlineStr">
        <is>
          <t>N = 503  →</t>
        </is>
      </c>
      <c r="B23" s="72" t="inlineStr">
        <is>
          <t>bars 1 → 503</t>
        </is>
      </c>
      <c r="C23" s="73" t="inlineStr">
        <is>
          <t>bars 254 → 503</t>
        </is>
      </c>
      <c r="D23" s="81" t="inlineStr">
        <is>
          <t>503</t>
        </is>
      </c>
      <c r="E23" s="79" t="inlineStr">
        <is>
          <t>250</t>
        </is>
      </c>
      <c r="F23" s="136" t="inlineStr">
        <is>
          <t>Pattern repeats every bar indefinitely</t>
        </is>
      </c>
    </row>
    <row r="24" ht="28" customHeight="1" s="103">
      <c r="A24" s="78" t="inlineStr">
        <is>
          <t>…</t>
        </is>
      </c>
      <c r="B24" s="72" t="inlineStr">
        <is>
          <t>…</t>
        </is>
      </c>
      <c r="C24" s="73" t="inlineStr">
        <is>
          <t>…</t>
        </is>
      </c>
      <c r="D24" s="74" t="inlineStr">
        <is>
          <t>…</t>
        </is>
      </c>
      <c r="E24" s="79" t="inlineStr">
        <is>
          <t>250</t>
        </is>
      </c>
      <c r="F24" s="136" t="inlineStr">
        <is>
          <t>Fast window always = 250 bars. Slow window always = full history.</t>
        </is>
      </c>
    </row>
    <row r="25" ht="28" customHeight="1" s="103">
      <c r="A25" s="80" t="inlineStr">
        <is>
          <t>N = 2000</t>
        </is>
      </c>
      <c r="B25" s="72" t="inlineStr">
        <is>
          <t>bars 1 → 2000</t>
        </is>
      </c>
      <c r="C25" s="73" t="inlineStr">
        <is>
          <t>bars 1751 → 2000</t>
        </is>
      </c>
      <c r="D25" s="81" t="inlineStr">
        <is>
          <t>2000</t>
        </is>
      </c>
      <c r="E25" s="79" t="inlineStr">
        <is>
          <t>250</t>
        </is>
      </c>
      <c r="F25" s="136" t="inlineStr">
        <is>
          <t>Slow baseline very stable (2000 bars). Fast = most recent 250 bars.</t>
        </is>
      </c>
    </row>
    <row r="26" ht="44.05" customHeight="1" s="103">
      <c r="A26" s="138" t="inlineStr">
        <is>
          <t>KEY INSIGHT: The fast window size is ALWAYS exactly 250 bars — it never changes. Only the slow window grows. This means the "ratio" comparison (fast ÷ slow) is always comparing "the most recent 250 bars" against "everything we have ever seen." The more history accumulates in the slow window, the more stable and meaningful the baseline becomes.</t>
        </is>
      </c>
    </row>
    <row r="27" ht="6" customHeight="1" s="103">
      <c r="A27" s="70" t="n"/>
      <c r="B27" s="70" t="n"/>
      <c r="C27" s="70" t="n"/>
      <c r="D27" s="70" t="n"/>
      <c r="E27" s="70" t="n"/>
      <c r="F27" s="70" t="n"/>
    </row>
    <row r="28" ht="22" customHeight="1" s="103">
      <c r="A28" s="137" t="inlineStr">
        <is>
          <t xml:space="preserve">  4.  Cold Start Protocol</t>
        </is>
      </c>
    </row>
    <row r="29" ht="18" customHeight="1" s="103">
      <c r="A29" s="120" t="inlineStr">
        <is>
          <t>Bar Count N</t>
        </is>
      </c>
      <c r="B29" s="120" t="inlineStr">
        <is>
          <t>Status</t>
        </is>
      </c>
      <c r="C29" s="120" t="inlineStr">
        <is>
          <t>Description</t>
        </is>
      </c>
    </row>
    <row r="30" ht="32.05" customHeight="1" s="103">
      <c r="A30" s="84" t="inlineStr">
        <is>
          <t>N &lt; 250</t>
        </is>
      </c>
      <c r="B30" s="85" t="inlineStr">
        <is>
          <t>BLOCKED</t>
        </is>
      </c>
      <c r="C30" s="132" t="inlineStr">
        <is>
          <t>Fast window is not yet 250 bars. Cannot compute fast statistics. Output: no signals.</t>
        </is>
      </c>
    </row>
    <row r="31" ht="32.05" customHeight="1" s="103">
      <c r="A31" s="84" t="inlineStr">
        <is>
          <t>250 ≤ N &lt; 500</t>
        </is>
      </c>
      <c r="B31" s="86" t="inlineStr">
        <is>
          <t>UNSTABLE</t>
        </is>
      </c>
      <c r="C31" s="132" t="inlineStr">
        <is>
          <t>Fast window is full but slow window is too small to be a meaningful baseline. Ratios may be volatile and misleading. Output: signals shown but flagged as unreliable.</t>
        </is>
      </c>
    </row>
    <row r="32" ht="32.05" customHeight="1" s="103">
      <c r="A32" s="84" t="inlineStr">
        <is>
          <t>500 ≤ N &lt; 1000</t>
        </is>
      </c>
      <c r="B32" s="82" t="inlineStr">
        <is>
          <t>PROVISIONAL</t>
        </is>
      </c>
      <c r="C32" s="132" t="inlineStr">
        <is>
          <t>Minimum threshold met. Slow window is building stability. Signals are meaningful but should be treated with moderate confidence.</t>
        </is>
      </c>
    </row>
    <row r="33" ht="32.05" customHeight="1" s="103">
      <c r="A33" s="84" t="inlineStr">
        <is>
          <t>N ≥ 1000</t>
        </is>
      </c>
      <c r="B33" s="87" t="inlineStr">
        <is>
          <t>STABLE</t>
        </is>
      </c>
      <c r="C33" s="132" t="inlineStr">
        <is>
          <t>Slow baseline has sufficient depth. All 8 dimension signals are fully reliable. Scores and alert flags should be treated at full confidence.</t>
        </is>
      </c>
    </row>
    <row r="34" ht="6" customHeight="1" s="103">
      <c r="A34" s="70" t="n"/>
      <c r="B34" s="70" t="n"/>
      <c r="C34" s="70" t="n"/>
      <c r="D34" s="70" t="n"/>
      <c r="E34" s="70" t="n"/>
      <c r="F34" s="70" t="n"/>
    </row>
    <row r="35" ht="22" customHeight="1" s="103">
      <c r="A35" s="137" t="inlineStr">
        <is>
          <t xml:space="preserve">  5.  Base_FL Design Decision  (Regression Anchor)</t>
        </is>
      </c>
    </row>
    <row r="36" ht="44.05" customHeight="1" s="103">
      <c r="A36" s="133" t="inlineStr">
        <is>
          <t>In the Excel POC, Base_FL was provided as a pre-computed column from the MQ5 indicator export (one regression value per bar, computed externally). In the real-time Python model, Base_FL must be computed internally. Two design options:</t>
        </is>
      </c>
    </row>
    <row r="37" ht="18" customHeight="1" s="103">
      <c r="A37" s="120" t="inlineStr">
        <is>
          <t>Option</t>
        </is>
      </c>
      <c r="B37" s="120" t="inlineStr">
        <is>
          <t>Definition</t>
        </is>
      </c>
      <c r="C37" s="120" t="inlineStr">
        <is>
          <t>Residual eᵢ</t>
        </is>
      </c>
      <c r="D37" s="120" t="inlineStr">
        <is>
          <t>Advantage</t>
        </is>
      </c>
      <c r="E37" s="120" t="inlineStr">
        <is>
          <t>Disadvantage</t>
        </is>
      </c>
      <c r="F37" s="120" t="inlineStr">
        <is>
          <t>Recommendation</t>
        </is>
      </c>
    </row>
    <row r="38" ht="70" customHeight="1" s="103">
      <c r="A38" s="88" t="inlineStr">
        <is>
          <t>A — Single
Slow-Window
Regression</t>
        </is>
      </c>
      <c r="B38" s="89" t="inlineStr">
        <is>
          <t>Base_FL = OLS regression line fitted to Close prices over bars 1→N (slow window). One regression per bar update.</t>
        </is>
      </c>
      <c r="C38" s="90" t="inlineStr">
        <is>
          <t>eᵢ = Close_i − Base_FL_i
Same residual used for both slow and fast statistics.</t>
        </is>
      </c>
      <c r="D38" s="91" t="inlineStr">
        <is>
          <t>Consistent with Excel POC design. Residuals have a stable, long-term regression anchor. Simpler to implement.</t>
        </is>
      </c>
      <c r="E38" s="128" t="inlineStr">
        <is>
          <t>Slow-window regression may diverge from recent price if trend has shifted. Fast-window statistics use residuals from a "stale" long-term trend.</t>
        </is>
      </c>
      <c r="F38" s="87" t="inlineStr">
        <is>
          <t>✓ RECOMMENDED
for first implementation.
Matches Excel POC logic.</t>
        </is>
      </c>
    </row>
    <row r="39" ht="70" customHeight="1" s="103">
      <c r="A39" s="93" t="inlineStr">
        <is>
          <t>B — Dual
Window
Regression</t>
        </is>
      </c>
      <c r="B39" s="94" t="inlineStr">
        <is>
          <t>Separate OLS regression fitted to slow window (1→N) AND fast window (N−249→N). Two regressions per bar update.</t>
        </is>
      </c>
      <c r="C39" s="90" t="inlineStr">
        <is>
          <t>eᵢ_slow = Close_i − Base_FL_slow_i
eᵢ_fast = Close_i − Base_FL_fast_i
(different residuals per window)</t>
        </is>
      </c>
      <c r="D39" s="91" t="inlineStr">
        <is>
          <t>Fast residuals reflect the recent local trend — more accurate for recent behavior. REI, SCD, and HL are more sensitive to current market structure.</t>
        </is>
      </c>
      <c r="E39" s="128" t="inlineStr">
        <is>
          <t>More complex. R² comparison becomes less straightforward. Requires careful handling of two different regression slopes.</t>
        </is>
      </c>
      <c r="F39" s="82" t="inlineStr">
        <is>
          <t>Consider for v2 after
Option A is validated.</t>
        </is>
      </c>
    </row>
    <row r="40" ht="6" customHeight="1" s="103">
      <c r="A40" s="70" t="n"/>
      <c r="B40" s="70" t="n"/>
      <c r="C40" s="70" t="n"/>
      <c r="D40" s="70" t="n"/>
      <c r="E40" s="70" t="n"/>
      <c r="F40" s="70" t="n"/>
    </row>
    <row r="41" ht="22" customHeight="1" s="103">
      <c r="A41" s="137" t="inlineStr">
        <is>
          <t xml:space="preserve">  6.  Per-Bar Computation Flow  (on every new bar N)</t>
        </is>
      </c>
    </row>
    <row r="42" ht="18" customHeight="1" s="103">
      <c r="A42" s="120" t="inlineStr">
        <is>
          <t>Step</t>
        </is>
      </c>
      <c r="B42" s="120" t="inlineStr">
        <is>
          <t>Name</t>
        </is>
      </c>
      <c r="C42" s="120" t="inlineStr">
        <is>
          <t>Logic</t>
        </is>
      </c>
      <c r="E42" s="120" t="inlineStr">
        <is>
          <t>Python Implementation</t>
        </is>
      </c>
    </row>
    <row r="43" ht="56.05" customHeight="1" s="103">
      <c r="A43" s="95" t="inlineStr">
        <is>
          <t>Step 1</t>
        </is>
      </c>
      <c r="B43" s="96" t="inlineStr">
        <is>
          <t>Receive new bar</t>
        </is>
      </c>
      <c r="C43" s="131" t="inlineStr">
        <is>
          <t>Append new OHLCV bar to DataFrame. Update bar index N.</t>
        </is>
      </c>
      <c r="E43" s="130" t="inlineStr">
        <is>
          <t>pandas.DataFrame.append() or concat()</t>
        </is>
      </c>
    </row>
    <row r="44" ht="56.05" customHeight="1" s="103">
      <c r="A44" s="95" t="inlineStr">
        <is>
          <t>Step 2</t>
        </is>
      </c>
      <c r="B44" s="96" t="inlineStr">
        <is>
          <t>Slice windows</t>
        </is>
      </c>
      <c r="C44" s="139" t="inlineStr">
        <is>
          <t>slow_data = df.iloc[0 : N]
fast_data = df.iloc[N-250 : N]</t>
        </is>
      </c>
      <c r="E44" s="130" t="inlineStr">
        <is>
          <t>pandas iloc slicing — O(1) view, no copy needed</t>
        </is>
      </c>
    </row>
    <row r="45" ht="56.05" customHeight="1" s="103">
      <c r="A45" s="95" t="inlineStr">
        <is>
          <t>Step 3</t>
        </is>
      </c>
      <c r="B45" s="96" t="inlineStr">
        <is>
          <t>Compute Base_FL
(Option A)</t>
        </is>
      </c>
      <c r="C45" s="131" t="inlineStr">
        <is>
          <t>Fit OLS on slow_data Close vs BarIdx.
Base_FL_i = intercept + slope × BarIdx_i for all bars.</t>
        </is>
      </c>
      <c r="E45" s="130" t="inlineStr">
        <is>
          <t>numpy.polyfit(x, y, 1)  or  scipy.stats.linregress()</t>
        </is>
      </c>
    </row>
    <row r="46" ht="56.05" customHeight="1" s="103">
      <c r="A46" s="95" t="inlineStr">
        <is>
          <t>Step 4</t>
        </is>
      </c>
      <c r="B46" s="96" t="inlineStr">
        <is>
          <t>Compute residuals</t>
        </is>
      </c>
      <c r="C46" s="139" t="inlineStr">
        <is>
          <t>e_i = Close_i − Base_FL_i  (for all bars)
e_slow = residuals for bars 1→N
e_fast = residuals for bars N−249→N</t>
        </is>
      </c>
      <c r="E46" s="130" t="inlineStr">
        <is>
          <t>numpy array subtraction — vectorized</t>
        </is>
      </c>
    </row>
    <row r="47" ht="56.05" customHeight="1" s="103">
      <c r="A47" s="95" t="inlineStr">
        <is>
          <t>Step 5</t>
        </is>
      </c>
      <c r="B47" s="96" t="inlineStr">
        <is>
          <t>Compute EDT offsets
+ Symmetric Anchor</t>
        </is>
      </c>
      <c r="C47" s="131" t="inlineStr">
        <is>
          <t>For each EDT column (above + below Base_FL):
  offset = mean(EDT_col − Base_FL) for non-null values
sym_anchor_slow = (|below_offset_slow| + above_offset_slow) / 2
sym_anchor_fast = (|below_offset_fast| + above_offset_fast) / 2</t>
        </is>
      </c>
      <c r="E47" s="130" t="inlineStr">
        <is>
          <t>numpy.nanmean()  — handles empty EDT columns</t>
        </is>
      </c>
    </row>
    <row r="48" ht="56.05" customHeight="1" s="103">
      <c r="A48" s="95" t="inlineStr">
        <is>
          <t>Step 6</t>
        </is>
      </c>
      <c r="B48" s="96" t="inlineStr">
        <is>
          <t>Compute SCD
(SSA crossing distance)</t>
        </is>
      </c>
      <c r="C48" s="139" t="inlineStr">
        <is>
          <t>Maintain running state: last_crossing_SSA
At each SSA ↔ EMA-SSA crossing:
  scd_i = |SSA_now − last_crossing_SSA|
  last_crossing_SSA = SSA_now
SCD_mean_slow = mean of all scd_i in slow window
SCD_mean_fast = mean of all scd_i in fast window</t>
        </is>
      </c>
      <c r="E48" s="130" t="inlineStr">
        <is>
          <t>numpy.diff() for crossing detection
State variable updated each bar</t>
        </is>
      </c>
    </row>
    <row r="49" ht="56.05" customHeight="1" s="103">
      <c r="A49" s="95" t="inlineStr">
        <is>
          <t>Step 7</t>
        </is>
      </c>
      <c r="B49" s="96" t="inlineStr">
        <is>
          <t>Compute all
8 dimension metrics</t>
        </is>
      </c>
      <c r="C49" s="131" t="inlineStr">
        <is>
          <t>For each window (slow, fast) compute:
  HL alpha → Half-Life
  Variance → VR
  min/max(eᵢ) + sym_anchor → REI_below, REI_above
  SCD mean → SCD ratio
  R²(Close ~ BarIdx)
  White's LM test
  JB statistic (Skewness + Kurtosis)</t>
        </is>
      </c>
      <c r="E49" s="130" t="inlineStr">
        <is>
          <t>See Section 7 for Python library mapping</t>
        </is>
      </c>
    </row>
    <row r="50" ht="56.05" customHeight="1" s="103">
      <c r="A50" s="95" t="inlineStr">
        <is>
          <t>Step 8</t>
        </is>
      </c>
      <c r="B50" s="96" t="inlineStr">
        <is>
          <t>Compute scores
+ apply thresholds</t>
        </is>
      </c>
      <c r="C50" s="139" t="inlineStr">
        <is>
          <t>For each dimension:
  ratio = metric_fast / metric_slow  (or delta)
  score = formula(ratio)  →  clipped to [−100, +100]
  flag  = True if score crosses threshold
Composite = weighted sum of 8 scores</t>
        </is>
      </c>
      <c r="E50" s="130" t="inlineStr">
        <is>
          <t>Pure Python arithmetic on scalars —
result of Step 7 computations</t>
        </is>
      </c>
    </row>
    <row r="51" ht="56.05" customHeight="1" s="103">
      <c r="A51" s="95" t="inlineStr">
        <is>
          <t>Step 9</t>
        </is>
      </c>
      <c r="B51" s="96" t="inlineStr">
        <is>
          <t>Output signal packet</t>
        </is>
      </c>
      <c r="C51" s="131" t="inlineStr">
        <is>
          <t>Emit per-bar output dict/DataFrame row:
  bar_N, timestamp, 8 scores, 8 flags,
  composite score, all raw metrics
  (HL_slow, HL_fast, VR_ratio, REI_below_slow/fast, etc.)</t>
        </is>
      </c>
      <c r="E51" s="130" t="inlineStr">
        <is>
          <t>Append to output DataFrame or stream via API / websocket</t>
        </is>
      </c>
    </row>
    <row r="52" ht="6" customHeight="1" s="103">
      <c r="A52" s="70" t="n"/>
      <c r="B52" s="70" t="n"/>
      <c r="C52" s="70" t="n"/>
      <c r="D52" s="70" t="n"/>
      <c r="E52" s="70" t="n"/>
      <c r="F52" s="70" t="n"/>
    </row>
    <row r="53" ht="22" customHeight="1" s="103">
      <c r="A53" s="137" t="inlineStr">
        <is>
          <t xml:space="preserve">  7.  Python Library Mapping  —  Dimension → Implementation</t>
        </is>
      </c>
    </row>
    <row r="54" ht="18" customHeight="1" s="103">
      <c r="A54" s="120" t="inlineStr">
        <is>
          <t>Dimension</t>
        </is>
      </c>
      <c r="B54" s="120" t="inlineStr">
        <is>
          <t>Metric</t>
        </is>
      </c>
      <c r="C54" s="120" t="inlineStr">
        <is>
          <t>Python Function / Formula</t>
        </is>
      </c>
      <c r="D54" s="120" t="inlineStr">
        <is>
          <t>Library</t>
        </is>
      </c>
      <c r="E54" s="120" t="inlineStr">
        <is>
          <t>Notes</t>
        </is>
      </c>
    </row>
    <row r="55" ht="60" customHeight="1" s="103">
      <c r="A55" s="97" t="inlineStr">
        <is>
          <t>Half-Life (HL)</t>
        </is>
      </c>
      <c r="B55" s="78" t="inlineStr">
        <is>
          <t>AR(1) α coefficient</t>
        </is>
      </c>
      <c r="C55" s="98" t="inlineStr">
        <is>
          <t>alpha = np.dot(np.diff(e), e[:-1]) / np.dot(e[:-1], e[:-1])
HL = -np.log(2) / np.log(1 + alpha)</t>
        </is>
      </c>
      <c r="D55" s="79" t="inlineStr">
        <is>
          <t>NumPy</t>
        </is>
      </c>
      <c r="E55" s="136" t="inlineStr">
        <is>
          <t>No-constant AR(1) — matches Excel SUMPRODUCT formula exactly</t>
        </is>
      </c>
    </row>
    <row r="56" ht="60" customHeight="1" s="103">
      <c r="A56" s="97" t="inlineStr">
        <is>
          <t>Variance Ratio (VR)</t>
        </is>
      </c>
      <c r="B56" s="99" t="inlineStr">
        <is>
          <t>E[eᵢ²] per window</t>
        </is>
      </c>
      <c r="C56" s="98" t="inlineStr">
        <is>
          <t>var_slow = np.mean(e_slow**2)
var_fast = np.mean(e_fast**2)
VR_ratio = var_fast / var_slow</t>
        </is>
      </c>
      <c r="D56" s="79" t="inlineStr">
        <is>
          <t>NumPy</t>
        </is>
      </c>
      <c r="E56" s="136" t="inlineStr">
        <is>
          <t>Mean of squared residuals (not ddof-corrected) — matches Excel AVERAGE(AH)</t>
        </is>
      </c>
    </row>
    <row r="57" ht="60" customHeight="1" s="103">
      <c r="A57" s="97" t="inlineStr">
        <is>
          <t>REI_below</t>
        </is>
      </c>
      <c r="B57" s="78" t="inlineStr">
        <is>
          <t>min(eᵢ) / sym_anchor</t>
        </is>
      </c>
      <c r="C57" s="98" t="inlineStr">
        <is>
          <t>rei_below_slow = np.min(e_slow) / sym_anchor_slow
rei_below_fast = np.min(e_fast) / sym_anchor_fast</t>
        </is>
      </c>
      <c r="D57" s="79" t="inlineStr">
        <is>
          <t>NumPy</t>
        </is>
      </c>
      <c r="E57" s="136" t="inlineStr">
        <is>
          <t>sym_anchor computed in Step 5. Both values are negative.</t>
        </is>
      </c>
    </row>
    <row r="58" ht="60" customHeight="1" s="103">
      <c r="A58" s="97" t="inlineStr">
        <is>
          <t>REI_above</t>
        </is>
      </c>
      <c r="B58" s="99" t="inlineStr">
        <is>
          <t>max(eᵢ) / sym_anchor</t>
        </is>
      </c>
      <c r="C58" s="98" t="inlineStr">
        <is>
          <t>rei_above_slow = np.max(e_slow) / sym_anchor_slow
rei_above_fast = np.max(e_fast) / sym_anchor_fast</t>
        </is>
      </c>
      <c r="D58" s="79" t="inlineStr">
        <is>
          <t>NumPy</t>
        </is>
      </c>
      <c r="E58" s="136" t="inlineStr">
        <is>
          <t>Both values are positive. Independent from REI_below.</t>
        </is>
      </c>
    </row>
    <row r="59" ht="60" customHeight="1" s="103">
      <c r="A59" s="97" t="inlineStr">
        <is>
          <t>SCD</t>
        </is>
      </c>
      <c r="B59" s="78" t="inlineStr">
        <is>
          <t>SSA crossing amplitude mean</t>
        </is>
      </c>
      <c r="C59" s="98" t="inlineStr">
        <is>
          <t>cross_idx = np.where(np.diff(np.sign(SSA - EMA_SSA)))[0]
scd_vals = np.abs(np.diff(SSA[cross_idx]))
SCD_mean = np.mean(scd_vals_in_window)</t>
        </is>
      </c>
      <c r="D59" s="79" t="inlineStr">
        <is>
          <t>NumPy</t>
        </is>
      </c>
      <c r="E59" s="136" t="inlineStr">
        <is>
          <t>State variable last_cross_SSA maintained per bar. Window filter applied to scd_vals array.</t>
        </is>
      </c>
    </row>
    <row r="60" ht="60" customHeight="1" s="103">
      <c r="A60" s="97" t="inlineStr">
        <is>
          <t>R²</t>
        </is>
      </c>
      <c r="B60" s="99" t="inlineStr">
        <is>
          <t>RSQ(Close ~ BarIdx)</t>
        </is>
      </c>
      <c r="C60" s="98" t="inlineStr">
        <is>
          <t>slope, intercept, r, p, se = scipy.stats.linregress(bar_idx, close)
R2 = r**2
— or —
R2 = np.corrcoef(bar_idx, close)[0,1]**2</t>
        </is>
      </c>
      <c r="D60" s="79" t="inlineStr">
        <is>
          <t>SciPy / NumPy</t>
        </is>
      </c>
      <c r="E60" s="136" t="inlineStr">
        <is>
          <t>Fast option: np.corrcoef() squared. Use scipy.stats.linregress() if slope/intercept also needed.</t>
        </is>
      </c>
    </row>
    <row r="61" ht="60" customHeight="1" s="103">
      <c r="A61" s="97" t="inlineStr">
        <is>
          <t>White's Test</t>
        </is>
      </c>
      <c r="B61" s="78" t="inlineStr">
        <is>
          <t>LM = n × R²_aux
(eᵢ² ~ BarIdx + BarIdx²)</t>
        </is>
      </c>
      <c r="C61" s="98" t="inlineStr">
        <is>
          <t>e2 = e**2
X = np.column_stack([bar_idx, bar_idx**2, np.ones(n)])
r2_aux = 1 - np.var(e2 - X @ np.linalg.lstsq(X,e2)[0]) / np.var(e2)
LM = n * r2_aux
p_white = scipy.stats.chi2.sf(LM, df=2)</t>
        </is>
      </c>
      <c r="D61" s="79" t="inlineStr">
        <is>
          <t>NumPy + SciPy</t>
        </is>
      </c>
      <c r="E61" s="136" t="inlineStr">
        <is>
          <t>Equivalent to Excel LINEST with CHOOSE({1,2},...). np.linalg.lstsq is the cleanest implementation.</t>
        </is>
      </c>
    </row>
    <row r="62" ht="60" customHeight="1" s="103">
      <c r="A62" s="97" t="inlineStr">
        <is>
          <t>JB Test</t>
        </is>
      </c>
      <c r="B62" s="99" t="inlineStr">
        <is>
          <t>JB = n/6 × (S² + K²/4)</t>
        </is>
      </c>
      <c r="C62" s="98" t="inlineStr">
        <is>
          <t>S = scipy.stats.skew(e)
K = scipy.stats.kurtosis(e)   # excess kurtosis
JB = (n/6) * (S**2 + K**2/4)
p_jb = scipy.stats.chi2.sf(JB, df=2)</t>
        </is>
      </c>
      <c r="D62" s="79" t="inlineStr">
        <is>
          <t>SciPy</t>
        </is>
      </c>
      <c r="E62" s="136" t="inlineStr">
        <is>
          <t>scipy.stats.kurtosis() returns excess kurtosis by default (K−3). Matches Excel KURT() function.</t>
        </is>
      </c>
    </row>
    <row r="63" ht="60" customHeight="1" s="103">
      <c r="A63" s="97" t="inlineStr">
        <is>
          <t>Symmetric Anchor</t>
        </is>
      </c>
      <c r="B63" s="78" t="inlineStr">
        <is>
          <t>(|below_offset| + above_offset) / 2</t>
        </is>
      </c>
      <c r="C63" s="98" t="inlineStr">
        <is>
          <t>below_off = np.nanmean(EDT_below_col - Base_FL)
above_off = np.nanmean(EDT_above_col - Base_FL)
sym_anchor = (abs(below_off) + above_off) / 2</t>
        </is>
      </c>
      <c r="D63" s="79" t="inlineStr">
        <is>
          <t>NumPy</t>
        </is>
      </c>
      <c r="E63" s="136" t="inlineStr">
        <is>
          <t>np.nanmean ignores NaN (empty EDT cells). Fallback chain: EDT_8→EDT_7→EDT_6 (below), EDT_4→EDT_3→EDT_2 (above).</t>
        </is>
      </c>
    </row>
    <row r="64" ht="6" customHeight="1" s="103">
      <c r="A64" s="70" t="n"/>
      <c r="B64" s="70" t="n"/>
      <c r="C64" s="70" t="n"/>
      <c r="D64" s="70" t="n"/>
      <c r="E64" s="70" t="n"/>
      <c r="F64" s="70" t="n"/>
    </row>
    <row r="65" ht="22" customHeight="1" s="103">
      <c r="A65" s="137" t="inlineStr">
        <is>
          <t xml:space="preserve">  8.  Signal Output Structure  —  Per Bar N</t>
        </is>
      </c>
    </row>
    <row r="66" ht="28" customHeight="1" s="103">
      <c r="A66" s="133" t="inlineStr">
        <is>
          <t>At every bar N, the model emits one row to an output DataFrame (or streaming payload). All values below are computed and available simultaneously:</t>
        </is>
      </c>
    </row>
    <row r="67" ht="18" customHeight="1" s="103">
      <c r="A67" s="120" t="inlineStr">
        <is>
          <t>Field Group</t>
        </is>
      </c>
      <c r="B67" s="120" t="inlineStr">
        <is>
          <t>Fields</t>
        </is>
      </c>
      <c r="D67" s="120" t="inlineStr">
        <is>
          <t>Type</t>
        </is>
      </c>
      <c r="E67" s="120" t="inlineStr">
        <is>
          <t>Example Values</t>
        </is>
      </c>
    </row>
    <row r="68" ht="52" customHeight="1" s="103">
      <c r="A68" s="95" t="inlineStr">
        <is>
          <t>Identity</t>
        </is>
      </c>
      <c r="B68" s="131" t="inlineStr">
        <is>
          <t>bar_N, timestamp, close_price</t>
        </is>
      </c>
      <c r="D68" s="100" t="inlineStr">
        <is>
          <t>int / datetime / float</t>
        </is>
      </c>
      <c r="E68" s="134" t="inlineStr">
        <is>
          <t>N=501, 2024-04-15 14:15, 3254.80</t>
        </is>
      </c>
    </row>
    <row r="69" ht="52" customHeight="1" s="103">
      <c r="A69" s="95" t="inlineStr">
        <is>
          <t>Raw Metrics
(Slow Window)</t>
        </is>
      </c>
      <c r="B69" s="139" t="inlineStr">
        <is>
          <t>HL_slow, VR_slow, REI_below_slow, REI_above_slow,
SCD_mean_slow, R2_slow, LM_slow, JB_slow,
sym_anchor_slow</t>
        </is>
      </c>
      <c r="D69" s="100" t="inlineStr">
        <is>
          <t>float</t>
        </is>
      </c>
      <c r="E69" s="134" t="inlineStr">
        <is>
          <t>HL_slow=42.3, VR_slow=1842.5,
REI_below_slow=−0.82</t>
        </is>
      </c>
    </row>
    <row r="70" ht="52" customHeight="1" s="103">
      <c r="A70" s="95" t="inlineStr">
        <is>
          <t>Raw Metrics
(Fast Window)</t>
        </is>
      </c>
      <c r="B70" s="131" t="inlineStr">
        <is>
          <t>HL_fast, VR_fast, REI_below_fast, REI_above_fast,
SCD_mean_fast, R2_fast, LM_fast, JB_fast,
sym_anchor_fast</t>
        </is>
      </c>
      <c r="D70" s="100" t="inlineStr">
        <is>
          <t>float</t>
        </is>
      </c>
      <c r="E70" s="134" t="inlineStr">
        <is>
          <t>HL_fast=78.1, VR_fast=3302.4,
REI_below_fast=−0.11</t>
        </is>
      </c>
    </row>
    <row r="71" ht="52" customHeight="1" s="103">
      <c r="A71" s="95" t="inlineStr">
        <is>
          <t>Scores
(8 Dimensions)</t>
        </is>
      </c>
      <c r="B71" s="139" t="inlineStr">
        <is>
          <t>score_HL, score_VR, score_REI_below, score_REI_above,
score_SCD, score_R2, score_White, score_JB</t>
        </is>
      </c>
      <c r="D71" s="100" t="inlineStr">
        <is>
          <t>float  [−100, +100]</t>
        </is>
      </c>
      <c r="E71" s="134" t="inlineStr">
        <is>
          <t>score_HL=−83.4, score_REI_below=+86.7,
score_SCD=+54.6</t>
        </is>
      </c>
    </row>
    <row r="72" ht="52" customHeight="1" s="103">
      <c r="A72" s="95" t="inlineStr">
        <is>
          <t>Alert Flags
(8 Dimensions)</t>
        </is>
      </c>
      <c r="B72" s="131" t="inlineStr">
        <is>
          <t>flag_HL, flag_VR, flag_REI_below, flag_REI_above,
flag_SCD, flag_R2, flag_White, flag_JB</t>
        </is>
      </c>
      <c r="D72" s="100" t="inlineStr">
        <is>
          <t>bool  (True / False)</t>
        </is>
      </c>
      <c r="E72" s="134" t="inlineStr">
        <is>
          <t>flag_REI_below=True, flag_SCD=True,
flag_HL=False</t>
        </is>
      </c>
    </row>
    <row r="73" ht="52" customHeight="1" s="103">
      <c r="A73" s="95" t="inlineStr">
        <is>
          <t>Composite</t>
        </is>
      </c>
      <c r="B73" s="139" t="inlineStr">
        <is>
          <t>composite_score, composite_interpretation</t>
        </is>
      </c>
      <c r="D73" s="100" t="inlineStr">
        <is>
          <t>float / string</t>
        </is>
      </c>
      <c r="E73" s="134" t="inlineStr">
        <is>
          <t>composite=+52.3,
"STRONG BREAKOUT SETUP"</t>
        </is>
      </c>
    </row>
    <row r="74" ht="52" customHeight="1" s="103">
      <c r="A74" s="95" t="inlineStr">
        <is>
          <t>Threshold Reference</t>
        </is>
      </c>
      <c r="B74" s="131" t="inlineStr">
        <is>
          <t>thr_HL, thr_VR, thr_REI_below, thr_REI_above,
thr_SCD, thr_R2, thr_White, thr_JB</t>
        </is>
      </c>
      <c r="D74" s="100" t="inlineStr">
        <is>
          <t>float  (configurable)</t>
        </is>
      </c>
      <c r="E74" s="134" t="inlineStr">
        <is>
          <t>thr_REI_below=60, thr_SCD=50,
thr_R2=−50</t>
        </is>
      </c>
    </row>
    <row r="75" ht="6" customHeight="1" s="103">
      <c r="A75" s="70" t="n"/>
      <c r="B75" s="70" t="n"/>
      <c r="C75" s="70" t="n"/>
      <c r="D75" s="70" t="n"/>
      <c r="E75" s="70" t="n"/>
      <c r="F75" s="70" t="n"/>
    </row>
    <row r="76" ht="22" customHeight="1" s="103">
      <c r="A76" s="137" t="inlineStr">
        <is>
          <t xml:space="preserve">  9.  POC (Excel) vs Real-Time Python  —  Key Differences</t>
        </is>
      </c>
    </row>
    <row r="77" ht="18" customHeight="1" s="103">
      <c r="A77" s="120" t="inlineStr">
        <is>
          <t>Aspect</t>
        </is>
      </c>
      <c r="B77" s="115" t="inlineStr">
        <is>
          <t>Excel POC (3 Fixed Intervals)</t>
        </is>
      </c>
      <c r="D77" s="142" t="inlineStr">
        <is>
          <t>Real-Time Python (Sliding Window)</t>
        </is>
      </c>
    </row>
    <row r="78" ht="32.05" customHeight="1" s="103">
      <c r="A78" s="101" t="inlineStr">
        <is>
          <t>Signal frequency</t>
        </is>
      </c>
      <c r="B78" s="128" t="inlineStr">
        <is>
          <t>One score snapshot per interval (3 total in POC)</t>
        </is>
      </c>
      <c r="D78" s="129" t="inlineStr">
        <is>
          <t>One complete score set per bar — continuous, real-time</t>
        </is>
      </c>
    </row>
    <row r="79" ht="32.05" customHeight="1" s="103">
      <c r="A79" s="101" t="inlineStr">
        <is>
          <t>Window approach</t>
        </is>
      </c>
      <c r="B79" s="128" t="inlineStr">
        <is>
          <t>3 fixed slow+fast pairs, defined manually</t>
        </is>
      </c>
      <c r="D79" s="129" t="inlineStr">
        <is>
          <t>Expanding slow + sliding fast, computed automatically every bar</t>
        </is>
      </c>
    </row>
    <row r="80" ht="32.05" customHeight="1" s="103">
      <c r="A80" s="101" t="inlineStr">
        <is>
          <t>Responsiveness</t>
        </is>
      </c>
      <c r="B80" s="128" t="inlineStr">
        <is>
          <t>Cannot detect events between interval boundaries</t>
        </is>
      </c>
      <c r="D80" s="129" t="inlineStr">
        <is>
          <t>Detects signal changes as soon as they occur — bar by bar</t>
        </is>
      </c>
    </row>
    <row r="81" ht="32.05" customHeight="1" s="103">
      <c r="A81" s="101" t="inlineStr">
        <is>
          <t>History depth</t>
        </is>
      </c>
      <c r="B81" s="128" t="inlineStr">
        <is>
          <t>Fixed slow window (1000 bars in POC)</t>
        </is>
      </c>
      <c r="D81" s="129" t="inlineStr">
        <is>
          <t>Slow window grows with every bar — increasingly stable baseline over time</t>
        </is>
      </c>
    </row>
    <row r="82" ht="32.05" customHeight="1" s="103">
      <c r="A82" s="101" t="inlineStr">
        <is>
          <t>Computation</t>
        </is>
      </c>
      <c r="B82" s="128" t="inlineStr">
        <is>
          <t>Excel formulas (SUMPRODUCT, LINEST etc.) — slow for large N</t>
        </is>
      </c>
      <c r="D82" s="129" t="inlineStr">
        <is>
          <t>NumPy vectorized operations — milliseconds per bar even for large N</t>
        </is>
      </c>
    </row>
    <row r="83" ht="32.05" customHeight="1" s="103">
      <c r="A83" s="101" t="inlineStr">
        <is>
          <t>Base_FL source</t>
        </is>
      </c>
      <c r="B83" s="128" t="inlineStr">
        <is>
          <t>Pre-computed from MQ5 indicator export</t>
        </is>
      </c>
      <c r="D83" s="129" t="inlineStr">
        <is>
          <t>Computed internally via OLS regression on slow window</t>
        </is>
      </c>
    </row>
    <row r="84" ht="32.05" customHeight="1" s="103">
      <c r="A84" s="101" t="inlineStr">
        <is>
          <t>SCD computation</t>
        </is>
      </c>
      <c r="B84" s="128" t="inlineStr">
        <is>
          <t>AL/AM helper columns with carry-forward formulas in Excel</t>
        </is>
      </c>
      <c r="D84" s="129" t="inlineStr">
        <is>
          <t>State variable updated each bar in Python loop — cleaner and faster</t>
        </is>
      </c>
    </row>
    <row r="85" ht="32.05" customHeight="1" s="103">
      <c r="A85" s="101" t="inlineStr">
        <is>
          <t>Alert flags</t>
        </is>
      </c>
      <c r="B85" s="128" t="inlineStr">
        <is>
          <t>Static threshold cells (col E) in Excel sheet</t>
        </is>
      </c>
      <c r="D85" s="129" t="inlineStr">
        <is>
          <t>Configurable threshold dict in Python — easily adjusted per regime</t>
        </is>
      </c>
    </row>
    <row r="86" ht="32.05" customHeight="1" s="103">
      <c r="A86" s="101" t="inlineStr">
        <is>
          <t>Output format</t>
        </is>
      </c>
      <c r="B86" s="128" t="inlineStr">
        <is>
          <t>Excel rows in 4 separate sheets (Int1/2/3 + Comp)</t>
        </is>
      </c>
      <c r="D86" s="129" t="inlineStr">
        <is>
          <t>Pandas DataFrame — one row per bar, all fields in columns</t>
        </is>
      </c>
    </row>
    <row r="87" ht="32.05" customHeight="1" s="103">
      <c r="A87" s="101" t="inlineStr">
        <is>
          <t>Scalability</t>
        </is>
      </c>
      <c r="B87" s="128" t="inlineStr">
        <is>
          <t>Limited by Excel row/formula limits</t>
        </is>
      </c>
      <c r="D87" s="129" t="inlineStr">
        <is>
          <t>Scales to any bar count — memory and compute linear in N</t>
        </is>
      </c>
    </row>
    <row r="88" ht="32.05" customHeight="1" s="103">
      <c r="A88" s="101" t="inlineStr">
        <is>
          <t>Purpose</t>
        </is>
      </c>
      <c r="B88" s="128" t="inlineStr">
        <is>
          <t>Proof of concept — validate model logic and formulas</t>
        </is>
      </c>
      <c r="D88" s="129" t="inlineStr">
        <is>
          <t>Production model — live trading signal generation</t>
        </is>
      </c>
    </row>
    <row r="89" ht="6" customHeight="1" s="103">
      <c r="A89" s="70" t="n"/>
      <c r="B89" s="70" t="n"/>
      <c r="C89" s="70" t="n"/>
      <c r="D89" s="70" t="n"/>
      <c r="E89" s="70" t="n"/>
      <c r="F89" s="70" t="n"/>
    </row>
    <row r="90" ht="52" customHeight="1" s="103">
      <c r="A90" s="138" t="inlineStr">
        <is>
          <t>IMPLEMENTATION NOTE: The Excel workbook (Model_v2.xlsx) serves as the validated specification. All formulas, weights, thresholds, and signal logic defined in the MACD_H2 sheets and H2_Signal_Guide are the authoritative reference for the Python implementation. The Python model should reproduce identical scores to the Excel POC for the same input data before being considered production-ready.</t>
        </is>
      </c>
    </row>
  </sheetData>
  <mergeCells count="92">
    <mergeCell ref="E62:F62"/>
    <mergeCell ref="A66:F66"/>
    <mergeCell ref="E71:F71"/>
    <mergeCell ref="C32:F32"/>
    <mergeCell ref="B77:C77"/>
    <mergeCell ref="E73:F73"/>
    <mergeCell ref="E51:F51"/>
    <mergeCell ref="B86:C86"/>
    <mergeCell ref="A77"/>
    <mergeCell ref="A5:F5"/>
    <mergeCell ref="B67:C67"/>
    <mergeCell ref="E63:F63"/>
    <mergeCell ref="C50:D50"/>
    <mergeCell ref="C43:D43"/>
    <mergeCell ref="B69:C69"/>
    <mergeCell ref="B78:C78"/>
    <mergeCell ref="E49:F49"/>
    <mergeCell ref="D80:F80"/>
    <mergeCell ref="A7:F7"/>
    <mergeCell ref="A41:F41"/>
    <mergeCell ref="A16:F16"/>
    <mergeCell ref="E55:F55"/>
    <mergeCell ref="E67:F67"/>
    <mergeCell ref="C45:D45"/>
    <mergeCell ref="E48:F48"/>
    <mergeCell ref="A2:F2"/>
    <mergeCell ref="C47:D47"/>
    <mergeCell ref="C30:F30"/>
    <mergeCell ref="A35:F35"/>
    <mergeCell ref="D83:F83"/>
    <mergeCell ref="A28:F28"/>
    <mergeCell ref="D85:F85"/>
    <mergeCell ref="B84:C84"/>
    <mergeCell ref="B80:C80"/>
    <mergeCell ref="B79:C79"/>
    <mergeCell ref="D86:F86"/>
    <mergeCell ref="E58:F58"/>
    <mergeCell ref="E50:F50"/>
    <mergeCell ref="A90:F90"/>
    <mergeCell ref="B72:C72"/>
    <mergeCell ref="E68:F68"/>
    <mergeCell ref="B81:C81"/>
    <mergeCell ref="A26:F26"/>
    <mergeCell ref="B71:C71"/>
    <mergeCell ref="D78:F78"/>
    <mergeCell ref="E44:F44"/>
    <mergeCell ref="D87:F87"/>
    <mergeCell ref="A76:F76"/>
    <mergeCell ref="C44:D44"/>
    <mergeCell ref="E69:F69"/>
    <mergeCell ref="B88:C88"/>
    <mergeCell ref="A53:F53"/>
    <mergeCell ref="B82:C82"/>
    <mergeCell ref="E59:F59"/>
    <mergeCell ref="D82:F82"/>
    <mergeCell ref="C46:D46"/>
    <mergeCell ref="E46:F46"/>
    <mergeCell ref="C51:D51"/>
    <mergeCell ref="C29:F29"/>
    <mergeCell ref="E61:F61"/>
    <mergeCell ref="C48:D48"/>
    <mergeCell ref="E70:F70"/>
    <mergeCell ref="B83:C83"/>
    <mergeCell ref="E57:F57"/>
    <mergeCell ref="C31:F31"/>
    <mergeCell ref="E54:F54"/>
    <mergeCell ref="A36:F36"/>
    <mergeCell ref="E72:F72"/>
    <mergeCell ref="A1:F1"/>
    <mergeCell ref="D84:F84"/>
    <mergeCell ref="B85:C85"/>
    <mergeCell ref="E56:F56"/>
    <mergeCell ref="D77:F77"/>
    <mergeCell ref="A65:F65"/>
    <mergeCell ref="C49:D49"/>
    <mergeCell ref="E43:F43"/>
    <mergeCell ref="C42:D42"/>
    <mergeCell ref="E42:F42"/>
    <mergeCell ref="B70:C70"/>
    <mergeCell ref="C33:F33"/>
    <mergeCell ref="A4:F4"/>
    <mergeCell ref="E60:F60"/>
    <mergeCell ref="E74:F74"/>
    <mergeCell ref="B73:C73"/>
    <mergeCell ref="B87:C87"/>
    <mergeCell ref="D79:F79"/>
    <mergeCell ref="E45:F45"/>
    <mergeCell ref="D88:F88"/>
    <mergeCell ref="B74:C74"/>
    <mergeCell ref="D81:F81"/>
    <mergeCell ref="B68:C68"/>
    <mergeCell ref="E47:F4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4"/>
  <sheetViews>
    <sheetView workbookViewId="0">
      <pane ySplit="4" topLeftCell="A5" activePane="bottomLeft" state="frozen"/>
      <selection pane="bottomLeft" activeCell="A1" sqref="A1"/>
    </sheetView>
  </sheetViews>
  <sheetFormatPr baseColWidth="8" defaultRowHeight="15"/>
  <cols>
    <col width="22" customWidth="1" style="103" min="1" max="1"/>
    <col width="22" customWidth="1" style="103" min="2" max="2"/>
    <col width="12" customWidth="1" style="103" min="3" max="3"/>
    <col width="12" customWidth="1" style="103" min="4" max="4"/>
    <col width="26" customWidth="1" style="103" min="5" max="5"/>
    <col width="8" customWidth="1" style="103" min="6" max="6"/>
    <col width="48" customWidth="1" style="103" min="7" max="7"/>
    <col width="14" customWidth="1" style="103" min="8" max="8"/>
    <col width="12" customWidth="1" style="103" min="9" max="9"/>
    <col width="38" customWidth="1" style="103" min="10" max="10"/>
  </cols>
  <sheetData>
    <row r="1">
      <c r="A1" s="143" t="inlineStr">
        <is>
          <t>MACD Hybrid v2  —  UI Signal Comment Lookup Table</t>
        </is>
      </c>
    </row>
    <row r="2">
      <c r="A2" s="144" t="inlineStr">
        <is>
          <t>Deterministic short comments for App UI display  |  No LLM required  |  Map score ranges → comment string + color + risk level</t>
        </is>
      </c>
    </row>
    <row r="3" ht="30" customHeight="1" s="103">
      <c r="A3" s="145" t="inlineStr">
        <is>
          <t>HOW TO USE:  For each dimension, Python reads the Score value from the interval sheet (col D, "Score" rows). Look up the matching row in this table using Score Min/Max bounds. For VR and JB alerts, also check Sub-condition (col E) to select the correct comment. Composite score uses the same lookup against Section 2. Multi-signal patterns in Section 3 require ALL listed flags to be ALERT simultaneously. Display col G (Short UI Comment) with the background color from col I (UI Color Hex) and the Risk badge from col H.</t>
        </is>
      </c>
    </row>
    <row r="5" ht="28" customHeight="1" s="103">
      <c r="A5" s="146" t="inlineStr">
        <is>
          <t>Dimension / Pattern</t>
        </is>
      </c>
      <c r="B5" s="146" t="inlineStr">
        <is>
          <t>Score Condition</t>
        </is>
      </c>
      <c r="C5" s="146" t="inlineStr">
        <is>
          <t>Score Min
(≥ inclusive)</t>
        </is>
      </c>
      <c r="D5" s="146" t="inlineStr">
        <is>
          <t>Score Max
(&lt; exclusive)</t>
        </is>
      </c>
      <c r="E5" s="146" t="inlineStr">
        <is>
          <t>Sub-condition</t>
        </is>
      </c>
      <c r="F5" s="146" t="inlineStr">
        <is>
          <t>Alert?</t>
        </is>
      </c>
      <c r="G5" s="146" t="inlineStr">
        <is>
          <t>Short UI Comment  (display on App)</t>
        </is>
      </c>
      <c r="H5" s="146" t="inlineStr">
        <is>
          <t>Risk Level</t>
        </is>
      </c>
      <c r="I5" s="146" t="inlineStr">
        <is>
          <t>UI Color
(Hex)</t>
        </is>
      </c>
      <c r="J5" s="146" t="inlineStr">
        <is>
          <t>Trader Action Hint</t>
        </is>
      </c>
    </row>
    <row r="6" ht="18" customHeight="1" s="103">
      <c r="A6" s="147" t="inlineStr">
        <is>
          <t>1. HALF-LIFE (HL)  —  Mean Reversion Speed</t>
        </is>
      </c>
    </row>
    <row r="7" ht="14" customHeight="1" s="103">
      <c r="A7" s="148" t="inlineStr">
        <is>
          <t xml:space="preserve">   ℹ  Score = (1 − HL_fast/HL_slow) × 100  |  Alert threshold: Score ≥ 50</t>
        </is>
      </c>
    </row>
    <row r="8" ht="40" customHeight="1" s="103">
      <c r="A8" s="149" t="inlineStr">
        <is>
          <t>HALF-LIFE</t>
        </is>
      </c>
      <c r="B8" s="150" t="inlineStr">
        <is>
          <t>Score ≥ 50  ⚑ ALERT</t>
        </is>
      </c>
      <c r="C8" s="151" t="n">
        <v>50</v>
      </c>
      <c r="D8" s="151" t="n">
        <v>999</v>
      </c>
      <c r="E8" s="150" t="inlineStr">
        <is>
          <t>—</t>
        </is>
      </c>
      <c r="F8" s="152" t="inlineStr">
        <is>
          <t>YES</t>
        </is>
      </c>
      <c r="G8" s="153" t="inlineStr">
        <is>
          <t>⚑ Channel locked tight — coiling or strong bounce zone</t>
        </is>
      </c>
      <c r="H8" s="154" t="inlineStr">
        <is>
          <t>COILING</t>
        </is>
      </c>
      <c r="I8" s="155" t="inlineStr">
        <is>
          <t>#B7950B</t>
        </is>
      </c>
      <c r="J8" s="150" t="inlineStr">
        <is>
          <t>Watch for VR compression to confirm spring setup</t>
        </is>
      </c>
    </row>
    <row r="9" ht="40" customHeight="1" s="103">
      <c r="A9" s="156" t="inlineStr">
        <is>
          <t>HALF-LIFE</t>
        </is>
      </c>
      <c r="B9" s="157" t="inlineStr">
        <is>
          <t>Score +20 to +49</t>
        </is>
      </c>
      <c r="C9" s="158" t="n">
        <v>20</v>
      </c>
      <c r="D9" s="158" t="n">
        <v>50</v>
      </c>
      <c r="E9" s="157" t="inlineStr">
        <is>
          <t>—</t>
        </is>
      </c>
      <c r="F9" s="159" t="inlineStr">
        <is>
          <t>—</t>
        </is>
      </c>
      <c r="G9" s="160" t="inlineStr">
        <is>
          <t>Mean reversion tightening — channel holding well</t>
        </is>
      </c>
      <c r="H9" s="161" t="inlineStr">
        <is>
          <t>NEUTRAL</t>
        </is>
      </c>
      <c r="I9" s="162" t="inlineStr">
        <is>
          <t>#27AE60</t>
        </is>
      </c>
      <c r="J9" s="157" t="inlineStr">
        <is>
          <t>Normal; monitor for progression toward ALERT</t>
        </is>
      </c>
    </row>
    <row r="10" ht="40" customHeight="1" s="103">
      <c r="A10" s="156" t="inlineStr">
        <is>
          <t>HALF-LIFE</t>
        </is>
      </c>
      <c r="B10" s="163" t="inlineStr">
        <is>
          <t>Score −19 to +19</t>
        </is>
      </c>
      <c r="C10" s="164" t="n">
        <v>-19</v>
      </c>
      <c r="D10" s="164" t="n">
        <v>20</v>
      </c>
      <c r="E10" s="163" t="inlineStr">
        <is>
          <t>—</t>
        </is>
      </c>
      <c r="F10" s="165" t="inlineStr">
        <is>
          <t>—</t>
        </is>
      </c>
      <c r="G10" s="166" t="inlineStr">
        <is>
          <t>Mean reversion normal — channel dynamics stable</t>
        </is>
      </c>
      <c r="H10" s="167" t="inlineStr">
        <is>
          <t>NEUTRAL</t>
        </is>
      </c>
      <c r="I10" s="162" t="inlineStr">
        <is>
          <t>#27AE60</t>
        </is>
      </c>
      <c r="J10" s="163" t="inlineStr">
        <is>
          <t>No action from HL alone</t>
        </is>
      </c>
    </row>
    <row r="11" ht="40" customHeight="1" s="103">
      <c r="A11" s="168" t="inlineStr">
        <is>
          <t>HALF-LIFE</t>
        </is>
      </c>
      <c r="B11" s="157" t="inlineStr">
        <is>
          <t>Score −49 to −20</t>
        </is>
      </c>
      <c r="C11" s="158" t="n">
        <v>-49</v>
      </c>
      <c r="D11" s="158" t="n">
        <v>-19</v>
      </c>
      <c r="E11" s="157" t="inlineStr">
        <is>
          <t>—</t>
        </is>
      </c>
      <c r="F11" s="159" t="inlineStr">
        <is>
          <t>—</t>
        </is>
      </c>
      <c r="G11" s="160" t="inlineStr">
        <is>
          <t>Channel grip weakening — drift risk rising</t>
        </is>
      </c>
      <c r="H11" s="169" t="inlineStr">
        <is>
          <t>WATCH</t>
        </is>
      </c>
      <c r="I11" s="170" t="inlineStr">
        <is>
          <t>#F39C12</t>
        </is>
      </c>
      <c r="J11" s="157" t="inlineStr">
        <is>
          <t>Watch for REI or R² signal to confirm breakout direction</t>
        </is>
      </c>
    </row>
    <row r="12" ht="40" customHeight="1" s="103">
      <c r="A12" s="171" t="inlineStr">
        <is>
          <t>HALF-LIFE</t>
        </is>
      </c>
      <c r="B12" s="172" t="inlineStr">
        <is>
          <t>Score −79 to −50</t>
        </is>
      </c>
      <c r="C12" s="173" t="n">
        <v>-79</v>
      </c>
      <c r="D12" s="173" t="n">
        <v>-49</v>
      </c>
      <c r="E12" s="172" t="inlineStr">
        <is>
          <t>—</t>
        </is>
      </c>
      <c r="F12" s="174" t="inlineStr">
        <is>
          <t>—</t>
        </is>
      </c>
      <c r="G12" s="175" t="inlineStr">
        <is>
          <t>Price stalling at edge — trend building</t>
        </is>
      </c>
      <c r="H12" s="176" t="inlineStr">
        <is>
          <t>CAUTION</t>
        </is>
      </c>
      <c r="I12" s="177" t="inlineStr">
        <is>
          <t>#E67E22</t>
        </is>
      </c>
      <c r="J12" s="172" t="inlineStr">
        <is>
          <t>Prepare for breakout; check SCD and R² for confirmation</t>
        </is>
      </c>
    </row>
    <row r="13" ht="40" customHeight="1" s="103">
      <c r="A13" s="178" t="inlineStr">
        <is>
          <t>HALF-LIFE</t>
        </is>
      </c>
      <c r="B13" s="157" t="inlineStr">
        <is>
          <t>Score &lt; −80  (Critical)</t>
        </is>
      </c>
      <c r="C13" s="158" t="n">
        <v>-999</v>
      </c>
      <c r="D13" s="158" t="n">
        <v>-79</v>
      </c>
      <c r="E13" s="157" t="inlineStr">
        <is>
          <t>—</t>
        </is>
      </c>
      <c r="F13" s="159" t="inlineStr">
        <is>
          <t>—</t>
        </is>
      </c>
      <c r="G13" s="160" t="inlineStr">
        <is>
          <t>Channel failed — price in full trending mode</t>
        </is>
      </c>
      <c r="H13" s="179" t="inlineStr">
        <is>
          <t>HIGH BEAR</t>
        </is>
      </c>
      <c r="I13" s="180" t="inlineStr">
        <is>
          <t>#C0392B</t>
        </is>
      </c>
      <c r="J13" s="157" t="inlineStr">
        <is>
          <t>Trade the trend, not the range; channel boundaries unreliable</t>
        </is>
      </c>
    </row>
    <row r="14" ht="18" customHeight="1" s="103">
      <c r="A14" s="147" t="inlineStr">
        <is>
          <t>2. VARIANCE RATIO (VR)  —  Swing Size Divergence</t>
        </is>
      </c>
    </row>
    <row r="15" ht="14" customHeight="1" s="103">
      <c r="A15" s="148" t="inlineStr">
        <is>
          <t xml:space="preserve">   ℹ  Score = −|ratio − 1| × 100  (always ≤ 0)  |  Alert: Score ≤ −50  |  Always check Ratio direction alongside score</t>
        </is>
      </c>
    </row>
    <row r="16" ht="40" customHeight="1" s="103">
      <c r="A16" s="178" t="inlineStr">
        <is>
          <t>VARIANCE RATIO</t>
        </is>
      </c>
      <c r="B16" s="181" t="inlineStr">
        <is>
          <t>Score ≤ −50  ⚑ ALERT
Ratio &gt; 1.0  (Expanding)</t>
        </is>
      </c>
      <c r="C16" s="182" t="n">
        <v>-999</v>
      </c>
      <c r="D16" s="182" t="n">
        <v>-49</v>
      </c>
      <c r="E16" s="181" t="inlineStr">
        <is>
          <t>Ratio &gt; 1.0
(Expanding)</t>
        </is>
      </c>
      <c r="F16" s="183" t="inlineStr">
        <is>
          <t>YES</t>
        </is>
      </c>
      <c r="G16" s="184" t="inlineStr">
        <is>
          <t>⚑ Volatility spiking — big swings expected now</t>
        </is>
      </c>
      <c r="H16" s="183" t="inlineStr">
        <is>
          <t>HIGH BEAR</t>
        </is>
      </c>
      <c r="I16" s="180" t="inlineStr">
        <is>
          <t>#C0392B</t>
        </is>
      </c>
      <c r="J16" s="181" t="inlineStr">
        <is>
          <t>Widen targets to outer EDT bands; tighten stops for reversals</t>
        </is>
      </c>
    </row>
    <row r="17" ht="40" customHeight="1" s="103">
      <c r="A17" s="149" t="inlineStr">
        <is>
          <t>VARIANCE RATIO</t>
        </is>
      </c>
      <c r="B17" s="157" t="inlineStr">
        <is>
          <t>Score ≤ −50  ⚑ ALERT
Ratio &lt; 1.0  (Contracting)</t>
        </is>
      </c>
      <c r="C17" s="158" t="n">
        <v>-999</v>
      </c>
      <c r="D17" s="158" t="n">
        <v>-49</v>
      </c>
      <c r="E17" s="157" t="inlineStr">
        <is>
          <t>Ratio &lt; 1.0
(Contracting)</t>
        </is>
      </c>
      <c r="F17" s="179" t="inlineStr">
        <is>
          <t>YES</t>
        </is>
      </c>
      <c r="G17" s="185" t="inlineStr">
        <is>
          <t>⚑ Price coiling tight — breakout loading</t>
        </is>
      </c>
      <c r="H17" s="186" t="inlineStr">
        <is>
          <t>COILING</t>
        </is>
      </c>
      <c r="I17" s="155" t="inlineStr">
        <is>
          <t>#B7950B</t>
        </is>
      </c>
      <c r="J17" s="157" t="inlineStr">
        <is>
          <t>Wait for REI_below or REI_above to signal breakout direction</t>
        </is>
      </c>
    </row>
    <row r="18" ht="40" customHeight="1" s="103">
      <c r="A18" s="168" t="inlineStr">
        <is>
          <t>VARIANCE RATIO</t>
        </is>
      </c>
      <c r="B18" s="187" t="inlineStr">
        <is>
          <t>Score −49 to −20</t>
        </is>
      </c>
      <c r="C18" s="188" t="n">
        <v>-49</v>
      </c>
      <c r="D18" s="188" t="n">
        <v>-19</v>
      </c>
      <c r="E18" s="187" t="inlineStr">
        <is>
          <t>—</t>
        </is>
      </c>
      <c r="F18" s="189" t="inlineStr">
        <is>
          <t>—</t>
        </is>
      </c>
      <c r="G18" s="190" t="inlineStr">
        <is>
          <t>Swing size shifting — monitor direction of change</t>
        </is>
      </c>
      <c r="H18" s="191" t="inlineStr">
        <is>
          <t>WATCH</t>
        </is>
      </c>
      <c r="I18" s="170" t="inlineStr">
        <is>
          <t>#F39C12</t>
        </is>
      </c>
      <c r="J18" s="187" t="inlineStr">
        <is>
          <t>Note if ratio is above or below 1.0 for bias</t>
        </is>
      </c>
    </row>
    <row r="19" ht="40" customHeight="1" s="103">
      <c r="A19" s="156" t="inlineStr">
        <is>
          <t>VARIANCE RATIO</t>
        </is>
      </c>
      <c r="B19" s="157" t="inlineStr">
        <is>
          <t>Score −19 to 0</t>
        </is>
      </c>
      <c r="C19" s="158" t="n">
        <v>-19</v>
      </c>
      <c r="D19" s="158" t="n">
        <v>1</v>
      </c>
      <c r="E19" s="157" t="inlineStr">
        <is>
          <t>—</t>
        </is>
      </c>
      <c r="F19" s="159" t="inlineStr">
        <is>
          <t>—</t>
        </is>
      </c>
      <c r="G19" s="160" t="inlineStr">
        <is>
          <t>Volatility stable — swing sizes at normal range</t>
        </is>
      </c>
      <c r="H19" s="161" t="inlineStr">
        <is>
          <t>NEUTRAL</t>
        </is>
      </c>
      <c r="I19" s="162" t="inlineStr">
        <is>
          <t>#27AE60</t>
        </is>
      </c>
      <c r="J19" s="157" t="inlineStr">
        <is>
          <t>No action from VR alone</t>
        </is>
      </c>
    </row>
    <row r="20" ht="18" customHeight="1" s="103">
      <c r="A20" s="147" t="inlineStr">
        <is>
          <t>3. REI_BELOW  —  Oversold Extreme Retreat (Bullish)</t>
        </is>
      </c>
    </row>
    <row r="21" ht="14" customHeight="1" s="103">
      <c r="A21" s="148" t="inlineStr">
        <is>
          <t xml:space="preserve">   ℹ  Score = (1 − REI_below_fast/REI_below_slow) × 100  |  Alert: Score ≥ 60  |  Positive score = price retreated from lower fence</t>
        </is>
      </c>
    </row>
    <row r="22" ht="40" customHeight="1" s="103">
      <c r="A22" s="192" t="inlineStr">
        <is>
          <t>REI_BELOW</t>
        </is>
      </c>
      <c r="B22" s="193" t="inlineStr">
        <is>
          <t>Score ≥ 60  ⚑ ALERT</t>
        </is>
      </c>
      <c r="C22" s="194" t="n">
        <v>60</v>
      </c>
      <c r="D22" s="194" t="n">
        <v>999</v>
      </c>
      <c r="E22" s="193" t="inlineStr">
        <is>
          <t>—</t>
        </is>
      </c>
      <c r="F22" s="195" t="inlineStr">
        <is>
          <t>YES</t>
        </is>
      </c>
      <c r="G22" s="196" t="inlineStr">
        <is>
          <t>⚑ Sellers exhausted at lower fence — strong buy setup</t>
        </is>
      </c>
      <c r="H22" s="197" t="inlineStr">
        <is>
          <t>HIGH BULL</t>
        </is>
      </c>
      <c r="I22" s="198" t="inlineStr">
        <is>
          <t>#196F3D</t>
        </is>
      </c>
      <c r="J22" s="193" t="inlineStr">
        <is>
          <t>Consider long entries; targets at upper EDT bands; stop below outer lower band</t>
        </is>
      </c>
    </row>
    <row r="23" ht="40" customHeight="1" s="103">
      <c r="A23" s="199" t="inlineStr">
        <is>
          <t>REI_BELOW</t>
        </is>
      </c>
      <c r="B23" s="157" t="inlineStr">
        <is>
          <t>Score +20 to +59</t>
        </is>
      </c>
      <c r="C23" s="158" t="n">
        <v>20</v>
      </c>
      <c r="D23" s="158" t="n">
        <v>60</v>
      </c>
      <c r="E23" s="157" t="inlineStr">
        <is>
          <t>—</t>
        </is>
      </c>
      <c r="F23" s="159" t="inlineStr">
        <is>
          <t>—</t>
        </is>
      </c>
      <c r="G23" s="160" t="inlineStr">
        <is>
          <t>Early recovery from lower extreme — signal developing</t>
        </is>
      </c>
      <c r="H23" s="200" t="inlineStr">
        <is>
          <t>MILD BULL</t>
        </is>
      </c>
      <c r="I23" s="201" t="inlineStr">
        <is>
          <t>#82C985</t>
        </is>
      </c>
      <c r="J23" s="157" t="inlineStr">
        <is>
          <t>Wait for score ≥ 60 or SCD companion before entering</t>
        </is>
      </c>
    </row>
    <row r="24" ht="40" customHeight="1" s="103">
      <c r="A24" s="156" t="inlineStr">
        <is>
          <t>REI_BELOW</t>
        </is>
      </c>
      <c r="B24" s="163" t="inlineStr">
        <is>
          <t>Score −19 to +19</t>
        </is>
      </c>
      <c r="C24" s="164" t="n">
        <v>-19</v>
      </c>
      <c r="D24" s="164" t="n">
        <v>20</v>
      </c>
      <c r="E24" s="163" t="inlineStr">
        <is>
          <t>—</t>
        </is>
      </c>
      <c r="F24" s="165" t="inlineStr">
        <is>
          <t>—</t>
        </is>
      </c>
      <c r="G24" s="166" t="inlineStr">
        <is>
          <t>Lower channel not being tested</t>
        </is>
      </c>
      <c r="H24" s="167" t="inlineStr">
        <is>
          <t>NEUTRAL</t>
        </is>
      </c>
      <c r="I24" s="162" t="inlineStr">
        <is>
          <t>#27AE60</t>
        </is>
      </c>
      <c r="J24" s="163" t="inlineStr">
        <is>
          <t>Normal; no oversold condition present</t>
        </is>
      </c>
    </row>
    <row r="25" ht="40" customHeight="1" s="103">
      <c r="A25" s="171" t="inlineStr">
        <is>
          <t>REI_BELOW</t>
        </is>
      </c>
      <c r="B25" s="157" t="inlineStr">
        <is>
          <t>Score &lt; −20</t>
        </is>
      </c>
      <c r="C25" s="158" t="n">
        <v>-999</v>
      </c>
      <c r="D25" s="158" t="n">
        <v>-19</v>
      </c>
      <c r="E25" s="157" t="inlineStr">
        <is>
          <t>—</t>
        </is>
      </c>
      <c r="F25" s="159" t="inlineStr">
        <is>
          <t>—</t>
        </is>
      </c>
      <c r="G25" s="160" t="inlineStr">
        <is>
          <t>Pressing deeper into oversold — no reversal yet</t>
        </is>
      </c>
      <c r="H25" s="202" t="inlineStr">
        <is>
          <t>CAUTION</t>
        </is>
      </c>
      <c r="I25" s="177" t="inlineStr">
        <is>
          <t>#E67E22</t>
        </is>
      </c>
      <c r="J25" s="157" t="inlineStr">
        <is>
          <t>Do not buy yet; wait for score to turn positive (reversal confirmed)</t>
        </is>
      </c>
    </row>
    <row r="26" ht="18" customHeight="1" s="103">
      <c r="A26" s="147" t="inlineStr">
        <is>
          <t>4. REI_ABOVE  —  Overbought Extreme Retreat (Bearish)</t>
        </is>
      </c>
    </row>
    <row r="27" ht="14" customHeight="1" s="103">
      <c r="A27" s="148" t="inlineStr">
        <is>
          <t xml:space="preserve">   ℹ  Score = (1 − REI_above_fast/REI_above_slow) × 100  |  Alert: Score ≥ 60  |  Positive score = price retreated from upper fence</t>
        </is>
      </c>
    </row>
    <row r="28" ht="40" customHeight="1" s="103">
      <c r="A28" s="203" t="inlineStr">
        <is>
          <t>REI_ABOVE</t>
        </is>
      </c>
      <c r="B28" s="204" t="inlineStr">
        <is>
          <t>Score ≥ 60  ⚑ ALERT</t>
        </is>
      </c>
      <c r="C28" s="205" t="n">
        <v>60</v>
      </c>
      <c r="D28" s="205" t="n">
        <v>999</v>
      </c>
      <c r="E28" s="204" t="inlineStr">
        <is>
          <t>—</t>
        </is>
      </c>
      <c r="F28" s="206" t="inlineStr">
        <is>
          <t>YES</t>
        </is>
      </c>
      <c r="G28" s="207" t="inlineStr">
        <is>
          <t>⚑ Buyers exhausted at upper fence — strong sell setup</t>
        </is>
      </c>
      <c r="H28" s="208" t="inlineStr">
        <is>
          <t>EXTREME BEAR</t>
        </is>
      </c>
      <c r="I28" s="209" t="inlineStr">
        <is>
          <t>#8B0000</t>
        </is>
      </c>
      <c r="J28" s="204" t="inlineStr">
        <is>
          <t>Consider short entries; targets at lower EDT bands; stop above outer upper band</t>
        </is>
      </c>
    </row>
    <row r="29" ht="40" customHeight="1" s="103">
      <c r="A29" s="178" t="inlineStr">
        <is>
          <t>REI_ABOVE</t>
        </is>
      </c>
      <c r="B29" s="157" t="inlineStr">
        <is>
          <t>Score +20 to +59</t>
        </is>
      </c>
      <c r="C29" s="158" t="n">
        <v>20</v>
      </c>
      <c r="D29" s="158" t="n">
        <v>60</v>
      </c>
      <c r="E29" s="157" t="inlineStr">
        <is>
          <t>—</t>
        </is>
      </c>
      <c r="F29" s="159" t="inlineStr">
        <is>
          <t>—</t>
        </is>
      </c>
      <c r="G29" s="160" t="inlineStr">
        <is>
          <t>Early pullback from upper extreme — signal developing</t>
        </is>
      </c>
      <c r="H29" s="179" t="inlineStr">
        <is>
          <t>HIGH BEAR</t>
        </is>
      </c>
      <c r="I29" s="180" t="inlineStr">
        <is>
          <t>#C0392B</t>
        </is>
      </c>
      <c r="J29" s="157" t="inlineStr">
        <is>
          <t>Wait for score ≥ 60 or companion signal before entering short</t>
        </is>
      </c>
    </row>
    <row r="30" ht="40" customHeight="1" s="103">
      <c r="A30" s="156" t="inlineStr">
        <is>
          <t>REI_ABOVE</t>
        </is>
      </c>
      <c r="B30" s="163" t="inlineStr">
        <is>
          <t>Score −19 to +19</t>
        </is>
      </c>
      <c r="C30" s="164" t="n">
        <v>-19</v>
      </c>
      <c r="D30" s="164" t="n">
        <v>20</v>
      </c>
      <c r="E30" s="163" t="inlineStr">
        <is>
          <t>—</t>
        </is>
      </c>
      <c r="F30" s="165" t="inlineStr">
        <is>
          <t>—</t>
        </is>
      </c>
      <c r="G30" s="166" t="inlineStr">
        <is>
          <t>Upper channel not being tested</t>
        </is>
      </c>
      <c r="H30" s="167" t="inlineStr">
        <is>
          <t>NEUTRAL</t>
        </is>
      </c>
      <c r="I30" s="162" t="inlineStr">
        <is>
          <t>#27AE60</t>
        </is>
      </c>
      <c r="J30" s="163" t="inlineStr">
        <is>
          <t>Normal; no overbought condition present</t>
        </is>
      </c>
    </row>
    <row r="31" ht="40" customHeight="1" s="103">
      <c r="A31" s="171" t="inlineStr">
        <is>
          <t>REI_ABOVE</t>
        </is>
      </c>
      <c r="B31" s="157" t="inlineStr">
        <is>
          <t>Score &lt; −20</t>
        </is>
      </c>
      <c r="C31" s="158" t="n">
        <v>-999</v>
      </c>
      <c r="D31" s="158" t="n">
        <v>-19</v>
      </c>
      <c r="E31" s="157" t="inlineStr">
        <is>
          <t>—</t>
        </is>
      </c>
      <c r="F31" s="159" t="inlineStr">
        <is>
          <t>—</t>
        </is>
      </c>
      <c r="G31" s="160" t="inlineStr">
        <is>
          <t>Pushing into overbought territory — no reversal yet</t>
        </is>
      </c>
      <c r="H31" s="202" t="inlineStr">
        <is>
          <t>CAUTION</t>
        </is>
      </c>
      <c r="I31" s="177" t="inlineStr">
        <is>
          <t>#E67E22</t>
        </is>
      </c>
      <c r="J31" s="157" t="inlineStr">
        <is>
          <t>Do not short yet; wait for score to turn positive (reversal confirmed)</t>
        </is>
      </c>
    </row>
    <row r="32" ht="18" customHeight="1" s="103">
      <c r="A32" s="147" t="inlineStr">
        <is>
          <t>5. SCD  —  Swing Amplitude (SSA Crossing Distance)</t>
        </is>
      </c>
    </row>
    <row r="33" ht="14" customHeight="1" s="103">
      <c r="A33" s="148" t="inlineStr">
        <is>
          <t xml:space="preserve">   ℹ  Score = (SCD_fast/SCD_slow − 1) × 200  |  Alert: Score ≥ 50  |  Position-agnostic: detects large swings anywhere in channel</t>
        </is>
      </c>
    </row>
    <row r="34" ht="40" customHeight="1" s="103">
      <c r="A34" s="203" t="inlineStr">
        <is>
          <t>SCD</t>
        </is>
      </c>
      <c r="B34" s="204" t="inlineStr">
        <is>
          <t>Score &gt; 100  ⚑ EXTREME</t>
        </is>
      </c>
      <c r="C34" s="205" t="n">
        <v>100</v>
      </c>
      <c r="D34" s="205" t="n">
        <v>999</v>
      </c>
      <c r="E34" s="204" t="inlineStr">
        <is>
          <t>—</t>
        </is>
      </c>
      <c r="F34" s="206" t="inlineStr">
        <is>
          <t>YES</t>
        </is>
      </c>
      <c r="G34" s="207" t="inlineStr">
        <is>
          <t>⚑ Extraordinary swing event — rare high-magnitude move</t>
        </is>
      </c>
      <c r="H34" s="208" t="inlineStr">
        <is>
          <t>EXTREME BEAR</t>
        </is>
      </c>
      <c r="I34" s="209" t="inlineStr">
        <is>
          <t>#8B0000</t>
        </is>
      </c>
      <c r="J34" s="204" t="inlineStr">
        <is>
          <t>If REI_below also fired: this was the final washout; bullish entry setup</t>
        </is>
      </c>
    </row>
    <row r="35" ht="40" customHeight="1" s="103">
      <c r="A35" s="178" t="inlineStr">
        <is>
          <t>SCD</t>
        </is>
      </c>
      <c r="B35" s="157" t="inlineStr">
        <is>
          <t>Score +50 to +100  ⚑ ALERT</t>
        </is>
      </c>
      <c r="C35" s="158" t="n">
        <v>50</v>
      </c>
      <c r="D35" s="158" t="n">
        <v>100</v>
      </c>
      <c r="E35" s="157" t="inlineStr">
        <is>
          <t>—</t>
        </is>
      </c>
      <c r="F35" s="179" t="inlineStr">
        <is>
          <t>YES</t>
        </is>
      </c>
      <c r="G35" s="185" t="inlineStr">
        <is>
          <t>⚑ Swing intensity surging — breakout fuel building</t>
        </is>
      </c>
      <c r="H35" s="179" t="inlineStr">
        <is>
          <t>HIGH BEAR</t>
        </is>
      </c>
      <c r="I35" s="180" t="inlineStr">
        <is>
          <t>#C0392B</t>
        </is>
      </c>
      <c r="J35" s="157" t="inlineStr">
        <is>
          <t>When REI_below also fires: highest-conviction long setup in model</t>
        </is>
      </c>
    </row>
    <row r="36" ht="40" customHeight="1" s="103">
      <c r="A36" s="168" t="inlineStr">
        <is>
          <t>SCD</t>
        </is>
      </c>
      <c r="B36" s="187" t="inlineStr">
        <is>
          <t>Score +20 to +49</t>
        </is>
      </c>
      <c r="C36" s="188" t="n">
        <v>20</v>
      </c>
      <c r="D36" s="188" t="n">
        <v>50</v>
      </c>
      <c r="E36" s="187" t="inlineStr">
        <is>
          <t>—</t>
        </is>
      </c>
      <c r="F36" s="189" t="inlineStr">
        <is>
          <t>—</t>
        </is>
      </c>
      <c r="G36" s="190" t="inlineStr">
        <is>
          <t>Momentum building — watch for escalation to alert</t>
        </is>
      </c>
      <c r="H36" s="191" t="inlineStr">
        <is>
          <t>WATCH</t>
        </is>
      </c>
      <c r="I36" s="170" t="inlineStr">
        <is>
          <t>#F39C12</t>
        </is>
      </c>
      <c r="J36" s="187" t="inlineStr">
        <is>
          <t>Monitor; not yet a standalone signal</t>
        </is>
      </c>
    </row>
    <row r="37" ht="40" customHeight="1" s="103">
      <c r="A37" s="156" t="inlineStr">
        <is>
          <t>SCD</t>
        </is>
      </c>
      <c r="B37" s="157" t="inlineStr">
        <is>
          <t>Score −29 to +19</t>
        </is>
      </c>
      <c r="C37" s="158" t="n">
        <v>-29</v>
      </c>
      <c r="D37" s="158" t="n">
        <v>20</v>
      </c>
      <c r="E37" s="157" t="inlineStr">
        <is>
          <t>—</t>
        </is>
      </c>
      <c r="F37" s="159" t="inlineStr">
        <is>
          <t>—</t>
        </is>
      </c>
      <c r="G37" s="160" t="inlineStr">
        <is>
          <t>Swing momentum at normal levels</t>
        </is>
      </c>
      <c r="H37" s="161" t="inlineStr">
        <is>
          <t>NEUTRAL</t>
        </is>
      </c>
      <c r="I37" s="162" t="inlineStr">
        <is>
          <t>#27AE60</t>
        </is>
      </c>
      <c r="J37" s="157" t="inlineStr">
        <is>
          <t>No action from SCD alone</t>
        </is>
      </c>
    </row>
    <row r="38" ht="40" customHeight="1" s="103">
      <c r="A38" s="210" t="inlineStr">
        <is>
          <t>SCD</t>
        </is>
      </c>
      <c r="B38" s="211" t="inlineStr">
        <is>
          <t>Score &lt; −30</t>
        </is>
      </c>
      <c r="C38" s="212" t="n">
        <v>-999</v>
      </c>
      <c r="D38" s="212" t="n">
        <v>-29</v>
      </c>
      <c r="E38" s="211" t="inlineStr">
        <is>
          <t>—</t>
        </is>
      </c>
      <c r="F38" s="213" t="inlineStr">
        <is>
          <t>—</t>
        </is>
      </c>
      <c r="G38" s="214" t="inlineStr">
        <is>
          <t>Low energy phase — no breakout expected soon</t>
        </is>
      </c>
      <c r="H38" s="215" t="inlineStr">
        <is>
          <t>RHYTHMIC</t>
        </is>
      </c>
      <c r="I38" s="216" t="inlineStr">
        <is>
          <t>#148F77</t>
        </is>
      </c>
      <c r="J38" s="211" t="inlineStr">
        <is>
          <t>Wait for SCD ratio to rise above 1.0 before expecting any move</t>
        </is>
      </c>
    </row>
    <row r="39" ht="18" customHeight="1" s="103">
      <c r="A39" s="147" t="inlineStr">
        <is>
          <t>6. R²  —  Trend Coherence / Linearity</t>
        </is>
      </c>
    </row>
    <row r="40" ht="14" customHeight="1" s="103">
      <c r="A40" s="148" t="inlineStr">
        <is>
          <t xml:space="preserve">   ℹ  Score = (R²_fast/R²_slow − 1) × 100  |  Alert: Score ≤ −50  |  Negative = trend quality collapsing vs baseline</t>
        </is>
      </c>
    </row>
    <row r="41" ht="40" customHeight="1" s="103">
      <c r="A41" s="217" t="inlineStr">
        <is>
          <t>R²</t>
        </is>
      </c>
      <c r="B41" s="218" t="inlineStr">
        <is>
          <t>Score ≤ −50  ⚑ ALERT</t>
        </is>
      </c>
      <c r="C41" s="219" t="n">
        <v>-999</v>
      </c>
      <c r="D41" s="219" t="n">
        <v>-49</v>
      </c>
      <c r="E41" s="218" t="inlineStr">
        <is>
          <t>—</t>
        </is>
      </c>
      <c r="F41" s="220" t="inlineStr">
        <is>
          <t>YES</t>
        </is>
      </c>
      <c r="G41" s="221" t="inlineStr">
        <is>
          <t>⚑ Trend structure collapsing — breakout zone forming</t>
        </is>
      </c>
      <c r="H41" s="222" t="inlineStr">
        <is>
          <t>REGIME</t>
        </is>
      </c>
      <c r="I41" s="223" t="inlineStr">
        <is>
          <t>#6C3483</t>
        </is>
      </c>
      <c r="J41" s="218" t="inlineStr">
        <is>
          <t>When paired with REI_below + SCD: highest-conviction breakout signal</t>
        </is>
      </c>
    </row>
    <row r="42" ht="40" customHeight="1" s="103">
      <c r="A42" s="168" t="inlineStr">
        <is>
          <t>R²</t>
        </is>
      </c>
      <c r="B42" s="157" t="inlineStr">
        <is>
          <t>Score −49 to −20</t>
        </is>
      </c>
      <c r="C42" s="158" t="n">
        <v>-49</v>
      </c>
      <c r="D42" s="158" t="n">
        <v>-19</v>
      </c>
      <c r="E42" s="157" t="inlineStr">
        <is>
          <t>—</t>
        </is>
      </c>
      <c r="F42" s="159" t="inlineStr">
        <is>
          <t>—</t>
        </is>
      </c>
      <c r="G42" s="160" t="inlineStr">
        <is>
          <t>Trend coherence fading — early structural warning</t>
        </is>
      </c>
      <c r="H42" s="169" t="inlineStr">
        <is>
          <t>WATCH</t>
        </is>
      </c>
      <c r="I42" s="170" t="inlineStr">
        <is>
          <t>#F39C12</t>
        </is>
      </c>
      <c r="J42" s="157" t="inlineStr">
        <is>
          <t>Monitor for progression to alert level</t>
        </is>
      </c>
    </row>
    <row r="43" ht="40" customHeight="1" s="103">
      <c r="A43" s="156" t="inlineStr">
        <is>
          <t>R²</t>
        </is>
      </c>
      <c r="B43" s="163" t="inlineStr">
        <is>
          <t>Score −19 to +19</t>
        </is>
      </c>
      <c r="C43" s="164" t="n">
        <v>-19</v>
      </c>
      <c r="D43" s="164" t="n">
        <v>20</v>
      </c>
      <c r="E43" s="163" t="inlineStr">
        <is>
          <t>—</t>
        </is>
      </c>
      <c r="F43" s="165" t="inlineStr">
        <is>
          <t>—</t>
        </is>
      </c>
      <c r="G43" s="166" t="inlineStr">
        <is>
          <t>Trend quality stable — channel intact</t>
        </is>
      </c>
      <c r="H43" s="167" t="inlineStr">
        <is>
          <t>NEUTRAL</t>
        </is>
      </c>
      <c r="I43" s="162" t="inlineStr">
        <is>
          <t>#27AE60</t>
        </is>
      </c>
      <c r="J43" s="163" t="inlineStr">
        <is>
          <t>No action from R² alone</t>
        </is>
      </c>
    </row>
    <row r="44" ht="40" customHeight="1" s="103">
      <c r="A44" s="199" t="inlineStr">
        <is>
          <t>R²</t>
        </is>
      </c>
      <c r="B44" s="157" t="inlineStr">
        <is>
          <t>Score +20 to +49</t>
        </is>
      </c>
      <c r="C44" s="158" t="n">
        <v>20</v>
      </c>
      <c r="D44" s="158" t="n">
        <v>50</v>
      </c>
      <c r="E44" s="157" t="inlineStr">
        <is>
          <t>—</t>
        </is>
      </c>
      <c r="F44" s="159" t="inlineStr">
        <is>
          <t>—</t>
        </is>
      </c>
      <c r="G44" s="160" t="inlineStr">
        <is>
          <t>Trend slightly cleaner than baseline</t>
        </is>
      </c>
      <c r="H44" s="200" t="inlineStr">
        <is>
          <t>MILD BULL</t>
        </is>
      </c>
      <c r="I44" s="201" t="inlineStr">
        <is>
          <t>#82C985</t>
        </is>
      </c>
      <c r="J44" s="157" t="inlineStr">
        <is>
          <t>Trend is firming; momentum trades slightly favored</t>
        </is>
      </c>
    </row>
    <row r="45" ht="40" customHeight="1" s="103">
      <c r="A45" s="192" t="inlineStr">
        <is>
          <t>R²</t>
        </is>
      </c>
      <c r="B45" s="193" t="inlineStr">
        <is>
          <t>Score ≥ +50</t>
        </is>
      </c>
      <c r="C45" s="194" t="n">
        <v>50</v>
      </c>
      <c r="D45" s="194" t="n">
        <v>999</v>
      </c>
      <c r="E45" s="193" t="inlineStr">
        <is>
          <t>—</t>
        </is>
      </c>
      <c r="F45" s="224" t="inlineStr">
        <is>
          <t>—</t>
        </is>
      </c>
      <c r="G45" s="225" t="inlineStr">
        <is>
          <t>Clean directional trend in progress — follow it</t>
        </is>
      </c>
      <c r="H45" s="197" t="inlineStr">
        <is>
          <t>HIGH BULL</t>
        </is>
      </c>
      <c r="I45" s="198" t="inlineStr">
        <is>
          <t>#196F3D</t>
        </is>
      </c>
      <c r="J45" s="193" t="inlineStr">
        <is>
          <t>Do not counter-trade; wait for R² to deteriorate before fading</t>
        </is>
      </c>
    </row>
    <row r="46" ht="18" customHeight="1" s="103">
      <c r="A46" s="147" t="inlineStr">
        <is>
          <t>7. WHITE'S TEST  —  Heteroscedasticity (Regime Change)</t>
        </is>
      </c>
    </row>
    <row r="47" ht="14" customHeight="1" s="103">
      <c r="A47" s="148" t="inlineStr">
        <is>
          <t xml:space="preserve">   ℹ  Score = Δlog₁₀(p_White) × 5  |  Alert: Score ≥ 50  |  Positive = heteroscedasticity stronger in fast window</t>
        </is>
      </c>
    </row>
    <row r="48" ht="40" customHeight="1" s="103">
      <c r="A48" s="217" t="inlineStr">
        <is>
          <t>WHITE'S TEST</t>
        </is>
      </c>
      <c r="B48" s="218" t="inlineStr">
        <is>
          <t>Score ≥ 50  ⚑ ALERT</t>
        </is>
      </c>
      <c r="C48" s="219" t="n">
        <v>50</v>
      </c>
      <c r="D48" s="219" t="n">
        <v>999</v>
      </c>
      <c r="E48" s="218" t="inlineStr">
        <is>
          <t>—</t>
        </is>
      </c>
      <c r="F48" s="220" t="inlineStr">
        <is>
          <t>YES</t>
        </is>
      </c>
      <c r="G48" s="221" t="inlineStr">
        <is>
          <t>⚑ Market regime shifting — price structure changing now</t>
        </is>
      </c>
      <c r="H48" s="222" t="inlineStr">
        <is>
          <t>REGIME</t>
        </is>
      </c>
      <c r="I48" s="223" t="inlineStr">
        <is>
          <t>#6C3483</t>
        </is>
      </c>
      <c r="J48" s="218" t="inlineStr">
        <is>
          <t>Combined with SCD + REI_below: confirms pre-breakout structural change</t>
        </is>
      </c>
    </row>
    <row r="49" ht="40" customHeight="1" s="103">
      <c r="A49" s="168" t="inlineStr">
        <is>
          <t>WHITE'S TEST</t>
        </is>
      </c>
      <c r="B49" s="157" t="inlineStr">
        <is>
          <t>Score +20 to +49</t>
        </is>
      </c>
      <c r="C49" s="158" t="n">
        <v>20</v>
      </c>
      <c r="D49" s="158" t="n">
        <v>50</v>
      </c>
      <c r="E49" s="157" t="inlineStr">
        <is>
          <t>—</t>
        </is>
      </c>
      <c r="F49" s="159" t="inlineStr">
        <is>
          <t>—</t>
        </is>
      </c>
      <c r="G49" s="160" t="inlineStr">
        <is>
          <t>Variance pattern shifting — early regime warning</t>
        </is>
      </c>
      <c r="H49" s="169" t="inlineStr">
        <is>
          <t>WATCH</t>
        </is>
      </c>
      <c r="I49" s="170" t="inlineStr">
        <is>
          <t>#F39C12</t>
        </is>
      </c>
      <c r="J49" s="157" t="inlineStr">
        <is>
          <t>Monitor; not yet at full alert level</t>
        </is>
      </c>
    </row>
    <row r="50" ht="40" customHeight="1" s="103">
      <c r="A50" s="156" t="inlineStr">
        <is>
          <t>WHITE'S TEST</t>
        </is>
      </c>
      <c r="B50" s="163" t="inlineStr">
        <is>
          <t>Score −29 to +19</t>
        </is>
      </c>
      <c r="C50" s="164" t="n">
        <v>-29</v>
      </c>
      <c r="D50" s="164" t="n">
        <v>20</v>
      </c>
      <c r="E50" s="163" t="inlineStr">
        <is>
          <t>—</t>
        </is>
      </c>
      <c r="F50" s="165" t="inlineStr">
        <is>
          <t>—</t>
        </is>
      </c>
      <c r="G50" s="166" t="inlineStr">
        <is>
          <t>Price regime stable — consistent volatility structure</t>
        </is>
      </c>
      <c r="H50" s="167" t="inlineStr">
        <is>
          <t>NEUTRAL</t>
        </is>
      </c>
      <c r="I50" s="162" t="inlineStr">
        <is>
          <t>#27AE60</t>
        </is>
      </c>
      <c r="J50" s="163" t="inlineStr">
        <is>
          <t>No action from White's test alone</t>
        </is>
      </c>
    </row>
    <row r="51" ht="40" customHeight="1" s="103">
      <c r="A51" s="210" t="inlineStr">
        <is>
          <t>WHITE'S TEST</t>
        </is>
      </c>
      <c r="B51" s="157" t="inlineStr">
        <is>
          <t>Score &lt; −30</t>
        </is>
      </c>
      <c r="C51" s="158" t="n">
        <v>-999</v>
      </c>
      <c r="D51" s="158" t="n">
        <v>-29</v>
      </c>
      <c r="E51" s="157" t="inlineStr">
        <is>
          <t>—</t>
        </is>
      </c>
      <c r="F51" s="159" t="inlineStr">
        <is>
          <t>—</t>
        </is>
      </c>
      <c r="G51" s="160" t="inlineStr">
        <is>
          <t>Very regular oscillations — rhythmic consolidation phase</t>
        </is>
      </c>
      <c r="H51" s="226" t="inlineStr">
        <is>
          <t>RHYTHMIC</t>
        </is>
      </c>
      <c r="I51" s="216" t="inlineStr">
        <is>
          <t>#148F77</t>
        </is>
      </c>
      <c r="J51" s="157" t="inlineStr">
        <is>
          <t>Steady phase; note that regularity can end abruptly with a breakout</t>
        </is>
      </c>
    </row>
    <row r="52" ht="18" customHeight="1" s="103">
      <c r="A52" s="147" t="inlineStr">
        <is>
          <t>8. JB TEST  —  Residual Normality (Fat Tails / Directional Lean)</t>
        </is>
      </c>
    </row>
    <row r="53" ht="14" customHeight="1" s="103">
      <c r="A53" s="148" t="inlineStr">
        <is>
          <t xml:space="preserve">   ℹ  Score = (1 − JB_fast/JB_slow) × 100  |  Alert: Score ≤ −30  |  Negative = more non-normal; check K and S to identify driver</t>
        </is>
      </c>
    </row>
    <row r="54" ht="40" customHeight="1" s="103">
      <c r="A54" s="178" t="inlineStr">
        <is>
          <t>JB TEST</t>
        </is>
      </c>
      <c r="B54" s="181" t="inlineStr">
        <is>
          <t>Score ≤ −30  ⚑ ALERT
Driver: Kurtosis (K &gt; 3)</t>
        </is>
      </c>
      <c r="C54" s="182" t="n">
        <v>-999</v>
      </c>
      <c r="D54" s="182" t="n">
        <v>-29</v>
      </c>
      <c r="E54" s="181" t="inlineStr">
        <is>
          <t>K &gt; 3
(Fat tails)</t>
        </is>
      </c>
      <c r="F54" s="183" t="inlineStr">
        <is>
          <t>YES</t>
        </is>
      </c>
      <c r="G54" s="184" t="inlineStr">
        <is>
          <t>⚑ Extreme price bars detected — fat tail risk active</t>
        </is>
      </c>
      <c r="H54" s="183" t="inlineStr">
        <is>
          <t>HIGH BEAR</t>
        </is>
      </c>
      <c r="I54" s="180" t="inlineStr">
        <is>
          <t>#C0392B</t>
        </is>
      </c>
      <c r="J54" s="181" t="inlineStr">
        <is>
          <t>Widen stops beyond outer EDT bands; expect occasional outlier candles</t>
        </is>
      </c>
    </row>
    <row r="55" ht="40" customHeight="1" s="103">
      <c r="A55" s="178" t="inlineStr">
        <is>
          <t>JB TEST</t>
        </is>
      </c>
      <c r="B55" s="157" t="inlineStr">
        <is>
          <t>Score ≤ −30  ⚑ ALERT
Driver: Neg. Skewness (S &lt; −1)</t>
        </is>
      </c>
      <c r="C55" s="158" t="n">
        <v>-999</v>
      </c>
      <c r="D55" s="158" t="n">
        <v>-29</v>
      </c>
      <c r="E55" s="157" t="inlineStr">
        <is>
          <t>S &lt; −1
(Bearish lean)</t>
        </is>
      </c>
      <c r="F55" s="179" t="inlineStr">
        <is>
          <t>YES</t>
        </is>
      </c>
      <c r="G55" s="185" t="inlineStr">
        <is>
          <t>⚑ Bearish lean in residuals — downside asymmetric risk</t>
        </is>
      </c>
      <c r="H55" s="179" t="inlineStr">
        <is>
          <t>HIGH BEAR</t>
        </is>
      </c>
      <c r="I55" s="180" t="inlineStr">
        <is>
          <t>#C0392B</t>
        </is>
      </c>
      <c r="J55" s="157" t="inlineStr">
        <is>
          <t>Bearish skew confirms REI_above sell setup if both active</t>
        </is>
      </c>
    </row>
    <row r="56" ht="40" customHeight="1" s="103">
      <c r="A56" s="199" t="inlineStr">
        <is>
          <t>JB TEST</t>
        </is>
      </c>
      <c r="B56" s="227" t="inlineStr">
        <is>
          <t>Score ≤ −30  ⚑ ALERT
Driver: Pos. Skewness (S &gt; +1)</t>
        </is>
      </c>
      <c r="C56" s="228" t="n">
        <v>-999</v>
      </c>
      <c r="D56" s="228" t="n">
        <v>-29</v>
      </c>
      <c r="E56" s="227" t="inlineStr">
        <is>
          <t>S &gt; +1
(Bullish lean)</t>
        </is>
      </c>
      <c r="F56" s="229" t="inlineStr">
        <is>
          <t>YES</t>
        </is>
      </c>
      <c r="G56" s="230" t="inlineStr">
        <is>
          <t>⚑ Bullish lean in residuals — upside asymmetric bias</t>
        </is>
      </c>
      <c r="H56" s="231" t="inlineStr">
        <is>
          <t>MILD BULL</t>
        </is>
      </c>
      <c r="I56" s="201" t="inlineStr">
        <is>
          <t>#82C985</t>
        </is>
      </c>
      <c r="J56" s="227" t="inlineStr">
        <is>
          <t>Bullish skew confirms REI_below buy setup if both active</t>
        </is>
      </c>
    </row>
    <row r="57" ht="40" customHeight="1" s="103">
      <c r="A57" s="156" t="inlineStr">
        <is>
          <t>JB TEST</t>
        </is>
      </c>
      <c r="B57" s="157" t="inlineStr">
        <is>
          <t>Score −29 to 0</t>
        </is>
      </c>
      <c r="C57" s="158" t="n">
        <v>-29</v>
      </c>
      <c r="D57" s="158" t="n">
        <v>1</v>
      </c>
      <c r="E57" s="157" t="inlineStr">
        <is>
          <t>—</t>
        </is>
      </c>
      <c r="F57" s="159" t="inlineStr">
        <is>
          <t>—</t>
        </is>
      </c>
      <c r="G57" s="160" t="inlineStr">
        <is>
          <t>Distribution near normal — no significant lean detected</t>
        </is>
      </c>
      <c r="H57" s="161" t="inlineStr">
        <is>
          <t>NEUTRAL</t>
        </is>
      </c>
      <c r="I57" s="162" t="inlineStr">
        <is>
          <t>#27AE60</t>
        </is>
      </c>
      <c r="J57" s="157" t="inlineStr">
        <is>
          <t>No action from JB alone</t>
        </is>
      </c>
    </row>
    <row r="58" ht="40" customHeight="1" s="103">
      <c r="A58" s="156" t="inlineStr">
        <is>
          <t>JB TEST</t>
        </is>
      </c>
      <c r="B58" s="163" t="inlineStr">
        <is>
          <t>Score &gt; 0 to +50</t>
        </is>
      </c>
      <c r="C58" s="164" t="n">
        <v>1</v>
      </c>
      <c r="D58" s="164" t="n">
        <v>50</v>
      </c>
      <c r="E58" s="163" t="inlineStr">
        <is>
          <t>—</t>
        </is>
      </c>
      <c r="F58" s="165" t="inlineStr">
        <is>
          <t>—</t>
        </is>
      </c>
      <c r="G58" s="166" t="inlineStr">
        <is>
          <t>Residuals more normal than baseline</t>
        </is>
      </c>
      <c r="H58" s="167" t="inlineStr">
        <is>
          <t>NEUTRAL</t>
        </is>
      </c>
      <c r="I58" s="162" t="inlineStr">
        <is>
          <t>#27AE60</t>
        </is>
      </c>
      <c r="J58" s="163" t="inlineStr">
        <is>
          <t>Price behavior balanced; channel oscillation symmetric</t>
        </is>
      </c>
    </row>
    <row r="59" ht="40" customHeight="1" s="103">
      <c r="A59" s="210" t="inlineStr">
        <is>
          <t>JB TEST</t>
        </is>
      </c>
      <c r="B59" s="157" t="inlineStr">
        <is>
          <t>Score &gt; +50</t>
        </is>
      </c>
      <c r="C59" s="158" t="n">
        <v>50</v>
      </c>
      <c r="D59" s="158" t="n">
        <v>999</v>
      </c>
      <c r="E59" s="157" t="inlineStr">
        <is>
          <t>—</t>
        </is>
      </c>
      <c r="F59" s="159" t="inlineStr">
        <is>
          <t>—</t>
        </is>
      </c>
      <c r="G59" s="160" t="inlineStr">
        <is>
          <t>Residuals fully normalised after extreme events</t>
        </is>
      </c>
      <c r="H59" s="226" t="inlineStr">
        <is>
          <t>RHYTHMIC</t>
        </is>
      </c>
      <c r="I59" s="216" t="inlineStr">
        <is>
          <t>#148F77</t>
        </is>
      </c>
      <c r="J59" s="157" t="inlineStr">
        <is>
          <t>Post-spike calm; channel likely restored to balanced oscillation</t>
        </is>
      </c>
    </row>
    <row r="61" ht="28" customHeight="1" s="103">
      <c r="A61" s="146" t="inlineStr">
        <is>
          <t>Dimension / Pattern</t>
        </is>
      </c>
      <c r="B61" s="146" t="inlineStr">
        <is>
          <t>Composite Score
Interpretation</t>
        </is>
      </c>
      <c r="C61" s="146" t="inlineStr">
        <is>
          <t>Score Min
(≥ inclusive)</t>
        </is>
      </c>
      <c r="D61" s="146" t="inlineStr">
        <is>
          <t>Score Max
(&lt; exclusive)</t>
        </is>
      </c>
      <c r="E61" s="146" t="inlineStr">
        <is>
          <t>Sub-condition</t>
        </is>
      </c>
      <c r="F61" s="146" t="inlineStr">
        <is>
          <t>Alert?</t>
        </is>
      </c>
      <c r="G61" s="146" t="inlineStr">
        <is>
          <t>Short UI Comment  (display on App)</t>
        </is>
      </c>
      <c r="H61" s="146" t="inlineStr">
        <is>
          <t>Risk Level</t>
        </is>
      </c>
      <c r="I61" s="146" t="inlineStr">
        <is>
          <t>UI Color
(Hex)</t>
        </is>
      </c>
      <c r="J61" s="146" t="inlineStr">
        <is>
          <t>Trader Action Hint</t>
        </is>
      </c>
    </row>
    <row r="62" ht="18" customHeight="1" s="103">
      <c r="A62" s="147" t="inlineStr">
        <is>
          <t>COMPOSITE SCORE (8-Dimension Weighted)  —  Secondary Context Only</t>
        </is>
      </c>
    </row>
    <row r="63" ht="14" customHeight="1" s="103">
      <c r="A63" s="148" t="inlineStr">
        <is>
          <t xml:space="preserve">   ℹ  Weights: HL=25% SCD=20% VR=10% REI_b=10% REI_a=10% R²=10% White=10% JB=5%  |  Individual ALERT flags are PRIMARY; composite is secondary</t>
        </is>
      </c>
    </row>
    <row r="64" ht="40" customHeight="1" s="103">
      <c r="A64" s="232" t="inlineStr">
        <is>
          <t>COMPOSITE</t>
        </is>
      </c>
      <c r="B64" s="233" t="inlineStr">
        <is>
          <t>Score ≥ +60</t>
        </is>
      </c>
      <c r="C64" s="234" t="n">
        <v>60</v>
      </c>
      <c r="D64" s="234" t="n">
        <v>999</v>
      </c>
      <c r="E64" s="233" t="inlineStr">
        <is>
          <t>—</t>
        </is>
      </c>
      <c r="F64" s="235" t="inlineStr">
        <is>
          <t>—</t>
        </is>
      </c>
      <c r="G64" s="236" t="inlineStr">
        <is>
          <t>Strong setup — multiple high-conviction signals aligned</t>
        </is>
      </c>
      <c r="H64" s="237" t="inlineStr">
        <is>
          <t>EXTREME BULL</t>
        </is>
      </c>
      <c r="I64" s="238" t="inlineStr">
        <is>
          <t>#1A5276</t>
        </is>
      </c>
      <c r="J64" s="233" t="inlineStr">
        <is>
          <t>High-conviction directional setup; verify REI + SCD flags confirm direction</t>
        </is>
      </c>
    </row>
    <row r="65" ht="40" customHeight="1" s="103">
      <c r="A65" s="192" t="inlineStr">
        <is>
          <t>COMPOSITE</t>
        </is>
      </c>
      <c r="B65" s="157" t="inlineStr">
        <is>
          <t>Score +40 to +59</t>
        </is>
      </c>
      <c r="C65" s="158" t="n">
        <v>40</v>
      </c>
      <c r="D65" s="158" t="n">
        <v>60</v>
      </c>
      <c r="E65" s="157" t="inlineStr">
        <is>
          <t>—</t>
        </is>
      </c>
      <c r="F65" s="159" t="inlineStr">
        <is>
          <t>—</t>
        </is>
      </c>
      <c r="G65" s="160" t="inlineStr">
        <is>
          <t>Strong positive bias — most signals agree</t>
        </is>
      </c>
      <c r="H65" s="239" t="inlineStr">
        <is>
          <t>HIGH BULL</t>
        </is>
      </c>
      <c r="I65" s="198" t="inlineStr">
        <is>
          <t>#196F3D</t>
        </is>
      </c>
      <c r="J65" s="157" t="inlineStr">
        <is>
          <t>Conditions favorable; look for individual ALERT to trigger entry</t>
        </is>
      </c>
    </row>
    <row r="66" ht="40" customHeight="1" s="103">
      <c r="A66" s="199" t="inlineStr">
        <is>
          <t>COMPOSITE</t>
        </is>
      </c>
      <c r="B66" s="227" t="inlineStr">
        <is>
          <t>Score +20 to +39</t>
        </is>
      </c>
      <c r="C66" s="228" t="n">
        <v>20</v>
      </c>
      <c r="D66" s="228" t="n">
        <v>40</v>
      </c>
      <c r="E66" s="227" t="inlineStr">
        <is>
          <t>—</t>
        </is>
      </c>
      <c r="F66" s="240" t="inlineStr">
        <is>
          <t>—</t>
        </is>
      </c>
      <c r="G66" s="241" t="inlineStr">
        <is>
          <t>Moderate setup — watch for trigger signal</t>
        </is>
      </c>
      <c r="H66" s="231" t="inlineStr">
        <is>
          <t>MILD BULL</t>
        </is>
      </c>
      <c r="I66" s="201" t="inlineStr">
        <is>
          <t>#82C985</t>
        </is>
      </c>
      <c r="J66" s="227" t="inlineStr">
        <is>
          <t>Early setup forming; not yet entry-ready without an individual ALERT</t>
        </is>
      </c>
    </row>
    <row r="67" ht="40" customHeight="1" s="103">
      <c r="A67" s="156" t="inlineStr">
        <is>
          <t>COMPOSITE</t>
        </is>
      </c>
      <c r="B67" s="157" t="inlineStr">
        <is>
          <t>Score +5 to +19</t>
        </is>
      </c>
      <c r="C67" s="158" t="n">
        <v>5</v>
      </c>
      <c r="D67" s="158" t="n">
        <v>20</v>
      </c>
      <c r="E67" s="157" t="inlineStr">
        <is>
          <t>—</t>
        </is>
      </c>
      <c r="F67" s="159" t="inlineStr">
        <is>
          <t>—</t>
        </is>
      </c>
      <c r="G67" s="160" t="inlineStr">
        <is>
          <t>Mild positive — early signs, not yet actionable</t>
        </is>
      </c>
      <c r="H67" s="161" t="inlineStr">
        <is>
          <t>NEUTRAL</t>
        </is>
      </c>
      <c r="I67" s="162" t="inlineStr">
        <is>
          <t>#27AE60</t>
        </is>
      </c>
      <c r="J67" s="157" t="inlineStr">
        <is>
          <t>Monitor for individual alerts to develop</t>
        </is>
      </c>
    </row>
    <row r="68" ht="40" customHeight="1" s="103">
      <c r="A68" s="156" t="inlineStr">
        <is>
          <t>COMPOSITE</t>
        </is>
      </c>
      <c r="B68" s="163" t="inlineStr">
        <is>
          <t>Score −4 to +4</t>
        </is>
      </c>
      <c r="C68" s="164" t="n">
        <v>-4</v>
      </c>
      <c r="D68" s="164" t="n">
        <v>5</v>
      </c>
      <c r="E68" s="163" t="inlineStr">
        <is>
          <t>—</t>
        </is>
      </c>
      <c r="F68" s="165" t="inlineStr">
        <is>
          <t>—</t>
        </is>
      </c>
      <c r="G68" s="166" t="inlineStr">
        <is>
          <t>Mixed — signals conflicting or neutral</t>
        </is>
      </c>
      <c r="H68" s="167" t="inlineStr">
        <is>
          <t>NEUTRAL</t>
        </is>
      </c>
      <c r="I68" s="162" t="inlineStr">
        <is>
          <t>#27AE60</t>
        </is>
      </c>
      <c r="J68" s="163" t="inlineStr">
        <is>
          <t>No directional edge; avoid directional bias</t>
        </is>
      </c>
    </row>
    <row r="69" ht="40" customHeight="1" s="103">
      <c r="A69" s="168" t="inlineStr">
        <is>
          <t>COMPOSITE</t>
        </is>
      </c>
      <c r="B69" s="157" t="inlineStr">
        <is>
          <t>Score −19 to −5</t>
        </is>
      </c>
      <c r="C69" s="158" t="n">
        <v>-19</v>
      </c>
      <c r="D69" s="158" t="n">
        <v>-4</v>
      </c>
      <c r="E69" s="157" t="inlineStr">
        <is>
          <t>—</t>
        </is>
      </c>
      <c r="F69" s="159" t="inlineStr">
        <is>
          <t>—</t>
        </is>
      </c>
      <c r="G69" s="160" t="inlineStr">
        <is>
          <t>Mild bearish lean — slightly unfavorable for longs</t>
        </is>
      </c>
      <c r="H69" s="169" t="inlineStr">
        <is>
          <t>WATCH</t>
        </is>
      </c>
      <c r="I69" s="170" t="inlineStr">
        <is>
          <t>#F39C12</t>
        </is>
      </c>
      <c r="J69" s="157" t="inlineStr">
        <is>
          <t>Monitor individual bear flags for developing setup</t>
        </is>
      </c>
    </row>
    <row r="70" ht="40" customHeight="1" s="103">
      <c r="A70" s="171" t="inlineStr">
        <is>
          <t>COMPOSITE</t>
        </is>
      </c>
      <c r="B70" s="172" t="inlineStr">
        <is>
          <t>Score −39 to −20</t>
        </is>
      </c>
      <c r="C70" s="173" t="n">
        <v>-39</v>
      </c>
      <c r="D70" s="173" t="n">
        <v>-19</v>
      </c>
      <c r="E70" s="172" t="inlineStr">
        <is>
          <t>—</t>
        </is>
      </c>
      <c r="F70" s="174" t="inlineStr">
        <is>
          <t>—</t>
        </is>
      </c>
      <c r="G70" s="175" t="inlineStr">
        <is>
          <t>Moderate bearish — caution on long entries</t>
        </is>
      </c>
      <c r="H70" s="176" t="inlineStr">
        <is>
          <t>CAUTION</t>
        </is>
      </c>
      <c r="I70" s="177" t="inlineStr">
        <is>
          <t>#E67E22</t>
        </is>
      </c>
      <c r="J70" s="172" t="inlineStr">
        <is>
          <t>Bearish signals accumulating; wait for confirming REI_above ALERT</t>
        </is>
      </c>
    </row>
    <row r="71" ht="40" customHeight="1" s="103">
      <c r="A71" s="178" t="inlineStr">
        <is>
          <t>COMPOSITE</t>
        </is>
      </c>
      <c r="B71" s="157" t="inlineStr">
        <is>
          <t>Score −59 to −40</t>
        </is>
      </c>
      <c r="C71" s="158" t="n">
        <v>-59</v>
      </c>
      <c r="D71" s="158" t="n">
        <v>-39</v>
      </c>
      <c r="E71" s="157" t="inlineStr">
        <is>
          <t>—</t>
        </is>
      </c>
      <c r="F71" s="159" t="inlineStr">
        <is>
          <t>—</t>
        </is>
      </c>
      <c r="G71" s="160" t="inlineStr">
        <is>
          <t>Strong bearish bias — short setup conditions present</t>
        </is>
      </c>
      <c r="H71" s="179" t="inlineStr">
        <is>
          <t>HIGH BEAR</t>
        </is>
      </c>
      <c r="I71" s="180" t="inlineStr">
        <is>
          <t>#C0392B</t>
        </is>
      </c>
      <c r="J71" s="157" t="inlineStr">
        <is>
          <t>Look for REI_above ALERT to time short entry</t>
        </is>
      </c>
    </row>
    <row r="72" ht="40" customHeight="1" s="103">
      <c r="A72" s="203" t="inlineStr">
        <is>
          <t>COMPOSITE</t>
        </is>
      </c>
      <c r="B72" s="204" t="inlineStr">
        <is>
          <t>Score &lt; −60</t>
        </is>
      </c>
      <c r="C72" s="205" t="n">
        <v>-999</v>
      </c>
      <c r="D72" s="205" t="n">
        <v>-59</v>
      </c>
      <c r="E72" s="204" t="inlineStr">
        <is>
          <t>—</t>
        </is>
      </c>
      <c r="F72" s="242" t="inlineStr">
        <is>
          <t>—</t>
        </is>
      </c>
      <c r="G72" s="243" t="inlineStr">
        <is>
          <t>Heavy bearish pressure — high risk to longs</t>
        </is>
      </c>
      <c r="H72" s="208" t="inlineStr">
        <is>
          <t>EXTREME BEAR</t>
        </is>
      </c>
      <c r="I72" s="209" t="inlineStr">
        <is>
          <t>#8B0000</t>
        </is>
      </c>
      <c r="J72" s="204" t="inlineStr">
        <is>
          <t>All bearish signals active; shorts favored; respect stops</t>
        </is>
      </c>
    </row>
    <row r="74" ht="28" customHeight="1" s="103">
      <c r="A74" s="146" t="inlineStr">
        <is>
          <t>Pattern Name</t>
        </is>
      </c>
      <c r="B74" s="146" t="inlineStr">
        <is>
          <t>Alert Flags Required
(ALL must fire)</t>
        </is>
      </c>
      <c r="C74" s="146" t="inlineStr">
        <is>
          <t>Priority
(1=highest)</t>
        </is>
      </c>
      <c r="D74" s="146" t="inlineStr">
        <is>
          <t>Direction
Bias</t>
        </is>
      </c>
      <c r="E74" s="146" t="inlineStr">
        <is>
          <t>Statistical Combination Summary</t>
        </is>
      </c>
      <c r="F74" s="146" t="inlineStr">
        <is>
          <t>Alert?</t>
        </is>
      </c>
      <c r="G74" s="146" t="inlineStr">
        <is>
          <t>Short UI Comment  (display on App)</t>
        </is>
      </c>
      <c r="H74" s="146" t="inlineStr">
        <is>
          <t>Risk Level</t>
        </is>
      </c>
      <c r="I74" s="146" t="inlineStr">
        <is>
          <t>UI Color
(Hex)</t>
        </is>
      </c>
      <c r="J74" s="146" t="inlineStr">
        <is>
          <t>Trader Action Hint</t>
        </is>
      </c>
    </row>
    <row r="75" ht="18" customHeight="1" s="103">
      <c r="A75" s="147" t="inlineStr">
        <is>
          <t>MULTI-SIGNAL COMBINATION PATTERNS  —  When Multiple Flags Fire Simultaneously</t>
        </is>
      </c>
    </row>
    <row r="76" ht="14" customHeight="1" s="103">
      <c r="A76" s="148" t="inlineStr">
        <is>
          <t xml:space="preserve">   ℹ  Individual flags are PRIMARY signals. These combinations are the highest-conviction setups in the model.</t>
        </is>
      </c>
    </row>
    <row r="77" ht="40" customHeight="1" s="103">
      <c r="A77" s="232" t="inlineStr">
        <is>
          <t>Pre-Bullish Breakout
(Highest Conviction)</t>
        </is>
      </c>
      <c r="B77" s="233" t="inlineStr">
        <is>
          <t>REI_below ⚑
+ SCD ⚑
+ White ⚑</t>
        </is>
      </c>
      <c r="C77" s="234" t="n">
        <v>1</v>
      </c>
      <c r="D77" s="234" t="inlineStr">
        <is>
          <t>BULL</t>
        </is>
      </c>
      <c r="E77" s="233" t="inlineStr">
        <is>
          <t>Oversold extreme reversed + swing amplitude surging + regime shifting simultaneously</t>
        </is>
      </c>
      <c r="F77" s="244" t="inlineStr">
        <is>
          <t>YES</t>
        </is>
      </c>
      <c r="G77" s="245" t="inlineStr">
        <is>
          <t>⚑⚑⚑ PRE-BREAKOUT: Sellers exhausted, big swings, regime shifting — prime long</t>
        </is>
      </c>
      <c r="H77" s="237" t="inlineStr">
        <is>
          <t>EXTREME BULL</t>
        </is>
      </c>
      <c r="I77" s="238" t="inlineStr">
        <is>
          <t>#1A5276</t>
        </is>
      </c>
      <c r="J77" s="233" t="inlineStr">
        <is>
          <t>Long entry near Base_FL or lower EDT bands; targets at upper EDT bands; stop below outer lower band</t>
        </is>
      </c>
    </row>
    <row r="78" ht="40" customHeight="1" s="103">
      <c r="A78" s="149" t="inlineStr">
        <is>
          <t>Coiling Spring
(Energy Stored)</t>
        </is>
      </c>
      <c r="B78" s="157" t="inlineStr">
        <is>
          <t>VR ⚑ (contracting)
+ HL ⚑</t>
        </is>
      </c>
      <c r="C78" s="158" t="n">
        <v>2</v>
      </c>
      <c r="D78" s="158" t="inlineStr">
        <is>
          <t>NEUTRAL</t>
        </is>
      </c>
      <c r="E78" s="157" t="inlineStr">
        <is>
          <t>Volatility compressing while mean reversion tightening — energy being stored</t>
        </is>
      </c>
      <c r="F78" s="179" t="inlineStr">
        <is>
          <t>YES</t>
        </is>
      </c>
      <c r="G78" s="185" t="inlineStr">
        <is>
          <t>⚑⚑ Coiling spring loaded — wait for REI to signal which side breaks</t>
        </is>
      </c>
      <c r="H78" s="186" t="inlineStr">
        <is>
          <t>COILING</t>
        </is>
      </c>
      <c r="I78" s="155" t="inlineStr">
        <is>
          <t>#B7950B</t>
        </is>
      </c>
      <c r="J78" s="157" t="inlineStr">
        <is>
          <t>Do NOT enter yet; wait for REI_below or REI_above ALERT to confirm direction</t>
        </is>
      </c>
    </row>
    <row r="79" ht="40" customHeight="1" s="103">
      <c r="A79" s="217" t="inlineStr">
        <is>
          <t>Trend Ending /
Reversal Setup</t>
        </is>
      </c>
      <c r="B79" s="218" t="inlineStr">
        <is>
          <t>R² ⚑
+ White ⚑</t>
        </is>
      </c>
      <c r="C79" s="219" t="n">
        <v>3</v>
      </c>
      <c r="D79" s="219" t="inlineStr">
        <is>
          <t>NEUTRAL</t>
        </is>
      </c>
      <c r="E79" s="218" t="inlineStr">
        <is>
          <t>Trend coherence collapsed + variance structure changing — old channel dying</t>
        </is>
      </c>
      <c r="F79" s="220" t="inlineStr">
        <is>
          <t>YES</t>
        </is>
      </c>
      <c r="G79" s="221" t="inlineStr">
        <is>
          <t>⚑⚑ Old trend structure ending — new direction forming</t>
        </is>
      </c>
      <c r="H79" s="222" t="inlineStr">
        <is>
          <t>REGIME</t>
        </is>
      </c>
      <c r="I79" s="223" t="inlineStr">
        <is>
          <t>#6C3483</t>
        </is>
      </c>
      <c r="J79" s="218" t="inlineStr">
        <is>
          <t>Watch for next REI flag to confirm which direction the new trend takes</t>
        </is>
      </c>
    </row>
    <row r="80" ht="40" customHeight="1" s="103">
      <c r="A80" s="171" t="inlineStr">
        <is>
          <t>Breakout In Progress
(Train Moving)</t>
        </is>
      </c>
      <c r="B80" s="157" t="inlineStr">
        <is>
          <t>VR ⚑ (expanding)
+ SCD ⚑</t>
        </is>
      </c>
      <c r="C80" s="158" t="n">
        <v>4</v>
      </c>
      <c r="D80" s="158" t="inlineStr">
        <is>
          <t>DIRECTIONAL</t>
        </is>
      </c>
      <c r="E80" s="157" t="inlineStr">
        <is>
          <t>Variance expanding + swing amplitude growing — momentum accelerating</t>
        </is>
      </c>
      <c r="F80" s="179" t="inlineStr">
        <is>
          <t>YES</t>
        </is>
      </c>
      <c r="G80" s="185" t="inlineStr">
        <is>
          <t>⚑⚑ Breakout underway — ride the direction, do not fade</t>
        </is>
      </c>
      <c r="H80" s="202" t="inlineStr">
        <is>
          <t>CAUTION</t>
        </is>
      </c>
      <c r="I80" s="177" t="inlineStr">
        <is>
          <t>#E67E22</t>
        </is>
      </c>
      <c r="J80" s="157" t="inlineStr">
        <is>
          <t>Momentum trade in direction of price; exit only when REI opposite side fires</t>
        </is>
      </c>
    </row>
    <row r="81" ht="40" customHeight="1" s="103">
      <c r="A81" s="178" t="inlineStr">
        <is>
          <t>Full Momentum Breakout</t>
        </is>
      </c>
      <c r="B81" s="181" t="inlineStr">
        <is>
          <t>VR ⚑ (expanding)
+ SCD ⚑
+ HL score &lt; −50</t>
        </is>
      </c>
      <c r="C81" s="182" t="n">
        <v>5</v>
      </c>
      <c r="D81" s="182" t="inlineStr">
        <is>
          <t>DIRECTIONAL</t>
        </is>
      </c>
      <c r="E81" s="181" t="inlineStr">
        <is>
          <t>Variance expanding + swings surging + channel grip stalled — all confirm momentum</t>
        </is>
      </c>
      <c r="F81" s="183" t="inlineStr">
        <is>
          <t>YES</t>
        </is>
      </c>
      <c r="G81" s="184" t="inlineStr">
        <is>
          <t>⚑⚑⚑ Momentum breakout confirmed — trend in full motion</t>
        </is>
      </c>
      <c r="H81" s="183" t="inlineStr">
        <is>
          <t>HIGH BEAR</t>
        </is>
      </c>
      <c r="I81" s="180" t="inlineStr">
        <is>
          <t>#C0392B</t>
        </is>
      </c>
      <c r="J81" s="181" t="inlineStr">
        <is>
          <t>Full trend-following stance; no mean-reversion trades until HL recovers</t>
        </is>
      </c>
    </row>
    <row r="82" ht="40" customHeight="1" s="103">
      <c r="A82" s="203" t="inlineStr">
        <is>
          <t>Both Sides Exhausted
(Major Resolution Coming)</t>
        </is>
      </c>
      <c r="B82" s="157" t="inlineStr">
        <is>
          <t>REI_below ⚑
+ REI_above ⚑
+ SCD ⚑</t>
        </is>
      </c>
      <c r="C82" s="158" t="n">
        <v>6</v>
      </c>
      <c r="D82" s="158" t="inlineStr">
        <is>
          <t>WATCH</t>
        </is>
      </c>
      <c r="E82" s="157" t="inlineStr">
        <is>
          <t>Both outer fences visited + extraordinary swings — buyers and sellers both exhausted</t>
        </is>
      </c>
      <c r="F82" s="179" t="inlineStr">
        <is>
          <t>YES</t>
        </is>
      </c>
      <c r="G82" s="185" t="inlineStr">
        <is>
          <t>⚑⚑⚑ Both extremes hit — major directional move imminent</t>
        </is>
      </c>
      <c r="H82" s="246" t="inlineStr">
        <is>
          <t>EXTREME BEAR</t>
        </is>
      </c>
      <c r="I82" s="209" t="inlineStr">
        <is>
          <t>#8B0000</t>
        </is>
      </c>
      <c r="J82" s="157" t="inlineStr">
        <is>
          <t>Compare REI scores: higher score reveals direction. REI_below &gt; REI_above → bull; else → bear</t>
        </is>
      </c>
    </row>
    <row r="83" ht="40" customHeight="1" s="103">
      <c r="A83" s="247" t="inlineStr">
        <is>
          <t>Channel Model Invalid
(Recalibration Needed)</t>
        </is>
      </c>
      <c r="B83" s="248" t="inlineStr">
        <is>
          <t>R² ⚑
+ HL score &lt; −80
+ VR ⚑ (expanding)</t>
        </is>
      </c>
      <c r="C83" s="249" t="n">
        <v>7</v>
      </c>
      <c r="D83" s="249" t="inlineStr">
        <is>
          <t>INVALID</t>
        </is>
      </c>
      <c r="E83" s="248" t="inlineStr">
        <is>
          <t>Trend coherence zero + channel grip gone + volatility expanding — model lost price</t>
        </is>
      </c>
      <c r="F83" s="250" t="inlineStr">
        <is>
          <t>YES</t>
        </is>
      </c>
      <c r="G83" s="251" t="inlineStr">
        <is>
          <t>⚠ Channel model invalid — recalibrate before trusting signals</t>
        </is>
      </c>
      <c r="H83" s="252" t="inlineStr">
        <is>
          <t>INVALID</t>
        </is>
      </c>
      <c r="I83" s="253" t="inlineStr">
        <is>
          <t>#626567</t>
        </is>
      </c>
      <c r="J83" s="248" t="inlineStr">
        <is>
          <t>Run fresh data export and re-anchor regression; current EDT bands may be stale</t>
        </is>
      </c>
    </row>
    <row r="85" ht="18" customHeight="1" s="103">
      <c r="A85" s="147" t="inlineStr">
        <is>
          <t>QUICK REFERENCE — Alert Thresholds &amp; Score Formulas (all editable in interval sheets col E)</t>
        </is>
      </c>
    </row>
    <row r="86" ht="28" customHeight="1" s="103">
      <c r="A86" s="146" t="inlineStr">
        <is>
          <t>Dimension</t>
        </is>
      </c>
      <c r="B86" s="146" t="inlineStr">
        <is>
          <t>Alert Fires When</t>
        </is>
      </c>
      <c r="C86" s="146" t="inlineStr">
        <is>
          <t>Score Formula</t>
        </is>
      </c>
      <c r="D86" s="146" t="inlineStr">
        <is>
          <t>Score Range</t>
        </is>
      </c>
      <c r="E86" s="146" t="inlineStr">
        <is>
          <t>Key Note</t>
        </is>
      </c>
      <c r="F86" s="146" t="inlineStr"/>
      <c r="G86" s="146" t="inlineStr"/>
      <c r="H86" s="146" t="inlineStr"/>
      <c r="I86" s="146" t="inlineStr"/>
      <c r="J86" s="146" t="inlineStr"/>
    </row>
    <row r="87" ht="22" customHeight="1" s="103">
      <c r="A87" s="254" t="inlineStr">
        <is>
          <t>HALF-LIFE</t>
        </is>
      </c>
      <c r="B87" s="255" t="inlineStr">
        <is>
          <t>Score ≥ 50</t>
        </is>
      </c>
      <c r="C87" s="256" t="inlineStr">
        <is>
          <t>(1 − HL_fast/HL_slow) × 100</t>
        </is>
      </c>
      <c r="D87" s="256" t="inlineStr">
        <is>
          <t>−∞ to +100</t>
        </is>
      </c>
      <c r="E87" s="256" t="inlineStr">
        <is>
          <t>Positive = channel tightening. Negative = channel losing grip</t>
        </is>
      </c>
    </row>
    <row r="88" ht="22" customHeight="1" s="103">
      <c r="A88" s="257" t="inlineStr">
        <is>
          <t>VARIANCE RATIO</t>
        </is>
      </c>
      <c r="B88" s="258" t="inlineStr">
        <is>
          <t>Score ≤ −50</t>
        </is>
      </c>
      <c r="C88" s="259" t="inlineStr">
        <is>
          <t>−|Var_fast/Var_slow − 1| × 100</t>
        </is>
      </c>
      <c r="D88" s="259" t="inlineStr">
        <is>
          <t>−∞ to 0</t>
        </is>
      </c>
      <c r="E88" s="259" t="inlineStr">
        <is>
          <t>Always ≤ 0. Check Ratio direction: &gt;1 = expanding, &lt;1 = contracting</t>
        </is>
      </c>
    </row>
    <row r="89" ht="22" customHeight="1" s="103">
      <c r="A89" s="254" t="inlineStr">
        <is>
          <t>REI_BELOW</t>
        </is>
      </c>
      <c r="B89" s="255" t="inlineStr">
        <is>
          <t>Score ≥ 60</t>
        </is>
      </c>
      <c r="C89" s="256" t="inlineStr">
        <is>
          <t>(1 − REI_below_fast/REI_below_slow) × 100</t>
        </is>
      </c>
      <c r="D89" s="256" t="inlineStr">
        <is>
          <t>−∞ to +100</t>
        </is>
      </c>
      <c r="E89" s="256" t="inlineStr">
        <is>
          <t>Positive = price retreated from lower extreme (bullish reversal)</t>
        </is>
      </c>
    </row>
    <row r="90" ht="22" customHeight="1" s="103">
      <c r="A90" s="257" t="inlineStr">
        <is>
          <t>REI_ABOVE</t>
        </is>
      </c>
      <c r="B90" s="258" t="inlineStr">
        <is>
          <t>Score ≥ 60</t>
        </is>
      </c>
      <c r="C90" s="259" t="inlineStr">
        <is>
          <t>(1 − REI_above_fast/REI_above_slow) × 100</t>
        </is>
      </c>
      <c r="D90" s="259" t="inlineStr">
        <is>
          <t>−∞ to +100</t>
        </is>
      </c>
      <c r="E90" s="259" t="inlineStr">
        <is>
          <t>Positive = price retreated from upper extreme (bearish reversal)</t>
        </is>
      </c>
    </row>
    <row r="91" ht="22" customHeight="1" s="103">
      <c r="A91" s="254" t="inlineStr">
        <is>
          <t>SCD</t>
        </is>
      </c>
      <c r="B91" s="255" t="inlineStr">
        <is>
          <t>Score ≥ 50</t>
        </is>
      </c>
      <c r="C91" s="256" t="inlineStr">
        <is>
          <t>(SCD_fast_mean/SCD_slow_mean − 1) × 200</t>
        </is>
      </c>
      <c r="D91" s="256" t="inlineStr">
        <is>
          <t>−∞ to +∞</t>
        </is>
      </c>
      <c r="E91" s="256" t="inlineStr">
        <is>
          <t>Position-agnostic. Detects large swings inside upper or lower EDT zones</t>
        </is>
      </c>
    </row>
    <row r="92" ht="22" customHeight="1" s="103">
      <c r="A92" s="257" t="inlineStr">
        <is>
          <t>R²</t>
        </is>
      </c>
      <c r="B92" s="258" t="inlineStr">
        <is>
          <t>Score ≤ −50</t>
        </is>
      </c>
      <c r="C92" s="259" t="inlineStr">
        <is>
          <t>(R²_fast/R²_slow − 1) × 100</t>
        </is>
      </c>
      <c r="D92" s="259" t="inlineStr">
        <is>
          <t>−∞ to +∞</t>
        </is>
      </c>
      <c r="E92" s="259" t="inlineStr">
        <is>
          <t>Negative = trend quality worse than baseline (pre-breakout deterioration)</t>
        </is>
      </c>
    </row>
    <row r="93" ht="22" customHeight="1" s="103">
      <c r="A93" s="254" t="inlineStr">
        <is>
          <t>WHITE'S TEST</t>
        </is>
      </c>
      <c r="B93" s="255" t="inlineStr">
        <is>
          <t>Score ≥ 50</t>
        </is>
      </c>
      <c r="C93" s="256" t="inlineStr">
        <is>
          <t>Δlog₁₀(p_White) × 5</t>
        </is>
      </c>
      <c r="D93" s="256" t="inlineStr">
        <is>
          <t>−∞ to +∞</t>
        </is>
      </c>
      <c r="E93" s="256" t="inlineStr">
        <is>
          <t>Positive = heteroscedasticity increasing (regime structure changing)</t>
        </is>
      </c>
    </row>
    <row r="94" ht="22" customHeight="1" s="103">
      <c r="A94" s="257" t="inlineStr">
        <is>
          <t>JB TEST</t>
        </is>
      </c>
      <c r="B94" s="258" t="inlineStr">
        <is>
          <t>Score ≤ −30</t>
        </is>
      </c>
      <c r="C94" s="259" t="inlineStr">
        <is>
          <t>(1 − JB_fast/JB_slow) × 100</t>
        </is>
      </c>
      <c r="D94" s="259" t="inlineStr">
        <is>
          <t>−∞ to +100</t>
        </is>
      </c>
      <c r="E94" s="259" t="inlineStr">
        <is>
          <t>Negative = more non-normal. Check Skewness S and Kurtosis K for driver</t>
        </is>
      </c>
    </row>
  </sheetData>
  <mergeCells count="24">
    <mergeCell ref="A47:J47"/>
    <mergeCell ref="A85:J85"/>
    <mergeCell ref="A32:J32"/>
    <mergeCell ref="A14:J14"/>
    <mergeCell ref="A62:J62"/>
    <mergeCell ref="A53:J53"/>
    <mergeCell ref="A20:J20"/>
    <mergeCell ref="A52:J52"/>
    <mergeCell ref="A63:J63"/>
    <mergeCell ref="A40:J40"/>
    <mergeCell ref="A39:J39"/>
    <mergeCell ref="A15:J15"/>
    <mergeCell ref="A1:J1"/>
    <mergeCell ref="A6:J6"/>
    <mergeCell ref="A7:J7"/>
    <mergeCell ref="A46:J46"/>
    <mergeCell ref="A75:J75"/>
    <mergeCell ref="A27:J27"/>
    <mergeCell ref="A3:J3"/>
    <mergeCell ref="A21:J21"/>
    <mergeCell ref="A26:J26"/>
    <mergeCell ref="A2:J2"/>
    <mergeCell ref="A76:J76"/>
    <mergeCell ref="A33:J3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WiN</dc:creator>
  <dcterms:created xmlns:dcterms="http://purl.org/dc/terms/" xmlns:xsi="http://www.w3.org/2001/XMLSchema-instance" xsi:type="dcterms:W3CDTF">2026-05-10T04:09:50Z</dcterms:created>
  <dcterms:modified xmlns:dcterms="http://purl.org/dc/terms/" xmlns:xsi="http://www.w3.org/2001/XMLSchema-instance" xsi:type="dcterms:W3CDTF">2026-05-11T11:43:27Z</dcterms:modified>
  <cp:lastModifiedBy>WiN</cp:lastModifiedBy>
</cp:coreProperties>
</file>